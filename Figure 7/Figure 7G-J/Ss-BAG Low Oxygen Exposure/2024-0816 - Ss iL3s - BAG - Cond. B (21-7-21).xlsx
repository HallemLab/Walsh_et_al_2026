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annawalsh/Documents/UCLA :: 2019-2027/Hallem Lab/Data/Calcium Imaging Data/Ss iL3s - BAG/2024-0816/"/>
    </mc:Choice>
  </mc:AlternateContent>
  <xr:revisionPtr revIDLastSave="0" documentId="13_ncr:1_{8056406A-881B-B24B-94FA-8020F7C6F83E}" xr6:coauthVersionLast="47" xr6:coauthVersionMax="47" xr10:uidLastSave="{00000000-0000-0000-0000-000000000000}"/>
  <bookViews>
    <workbookView minimized="1" xWindow="740" yWindow="500" windowWidth="28060" windowHeight="15620" activeTab="3" xr2:uid="{703F31A7-3FB6-4B05-8EA8-379C6E25ED1D}"/>
  </bookViews>
  <sheets>
    <sheet name="240816B014" sheetId="1" r:id="rId1"/>
    <sheet name="240816B015" sheetId="9" r:id="rId2"/>
    <sheet name="240816B016" sheetId="16" r:id="rId3"/>
    <sheet name="240816B017" sheetId="17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22" i="17" l="1"/>
  <c r="I322" i="17"/>
  <c r="K322" i="17" s="1"/>
  <c r="L322" i="17" s="1"/>
  <c r="J321" i="17"/>
  <c r="I321" i="17"/>
  <c r="K321" i="17" s="1"/>
  <c r="J320" i="17"/>
  <c r="I320" i="17"/>
  <c r="K320" i="17" s="1"/>
  <c r="J319" i="17"/>
  <c r="I319" i="17"/>
  <c r="K319" i="17" s="1"/>
  <c r="J318" i="17"/>
  <c r="I318" i="17"/>
  <c r="K318" i="17" s="1"/>
  <c r="J317" i="17"/>
  <c r="I317" i="17"/>
  <c r="K317" i="17" s="1"/>
  <c r="L317" i="17" s="1"/>
  <c r="J316" i="17"/>
  <c r="I316" i="17"/>
  <c r="K316" i="17" s="1"/>
  <c r="J315" i="17"/>
  <c r="I315" i="17"/>
  <c r="K315" i="17" s="1"/>
  <c r="J314" i="17"/>
  <c r="I314" i="17"/>
  <c r="K314" i="17" s="1"/>
  <c r="L314" i="17" s="1"/>
  <c r="J313" i="17"/>
  <c r="I313" i="17"/>
  <c r="K313" i="17" s="1"/>
  <c r="L313" i="17" s="1"/>
  <c r="V95" i="17" s="1"/>
  <c r="J312" i="17"/>
  <c r="I312" i="17"/>
  <c r="K312" i="17" s="1"/>
  <c r="J311" i="17"/>
  <c r="I311" i="17"/>
  <c r="K311" i="17" s="1"/>
  <c r="J310" i="17"/>
  <c r="I310" i="17"/>
  <c r="K310" i="17" s="1"/>
  <c r="L310" i="17" s="1"/>
  <c r="J309" i="17"/>
  <c r="I309" i="17"/>
  <c r="K309" i="17" s="1"/>
  <c r="L309" i="17" s="1"/>
  <c r="J308" i="17"/>
  <c r="I308" i="17"/>
  <c r="K308" i="17" s="1"/>
  <c r="J307" i="17"/>
  <c r="I307" i="17"/>
  <c r="K307" i="17" s="1"/>
  <c r="J306" i="17"/>
  <c r="I306" i="17"/>
  <c r="K306" i="17" s="1"/>
  <c r="J305" i="17"/>
  <c r="I305" i="17"/>
  <c r="K305" i="17" s="1"/>
  <c r="J304" i="17"/>
  <c r="I304" i="17"/>
  <c r="K304" i="17" s="1"/>
  <c r="L304" i="17" s="1"/>
  <c r="J303" i="17"/>
  <c r="I303" i="17"/>
  <c r="K303" i="17" s="1"/>
  <c r="J302" i="17"/>
  <c r="I302" i="17"/>
  <c r="K302" i="17" s="1"/>
  <c r="J301" i="17"/>
  <c r="I301" i="17"/>
  <c r="K301" i="17" s="1"/>
  <c r="J300" i="17"/>
  <c r="I300" i="17"/>
  <c r="K300" i="17" s="1"/>
  <c r="L300" i="17" s="1"/>
  <c r="J299" i="17"/>
  <c r="I299" i="17"/>
  <c r="K299" i="17" s="1"/>
  <c r="J298" i="17"/>
  <c r="I298" i="17"/>
  <c r="K298" i="17" s="1"/>
  <c r="J297" i="17"/>
  <c r="I297" i="17"/>
  <c r="K297" i="17" s="1"/>
  <c r="J296" i="17"/>
  <c r="I296" i="17"/>
  <c r="K296" i="17" s="1"/>
  <c r="L296" i="17" s="1"/>
  <c r="J295" i="17"/>
  <c r="I295" i="17"/>
  <c r="K295" i="17" s="1"/>
  <c r="J294" i="17"/>
  <c r="I294" i="17"/>
  <c r="K294" i="17" s="1"/>
  <c r="L294" i="17" s="1"/>
  <c r="J293" i="17"/>
  <c r="I293" i="17"/>
  <c r="K293" i="17" s="1"/>
  <c r="J292" i="17"/>
  <c r="I292" i="17"/>
  <c r="K292" i="17" s="1"/>
  <c r="L292" i="17" s="1"/>
  <c r="J291" i="17"/>
  <c r="I291" i="17"/>
  <c r="K291" i="17" s="1"/>
  <c r="J290" i="17"/>
  <c r="I290" i="17"/>
  <c r="K290" i="17" s="1"/>
  <c r="L290" i="17" s="1"/>
  <c r="J289" i="17"/>
  <c r="I289" i="17"/>
  <c r="K289" i="17" s="1"/>
  <c r="J288" i="17"/>
  <c r="I288" i="17"/>
  <c r="K288" i="17" s="1"/>
  <c r="J287" i="17"/>
  <c r="I287" i="17"/>
  <c r="K287" i="17" s="1"/>
  <c r="J286" i="17"/>
  <c r="I286" i="17"/>
  <c r="K286" i="17" s="1"/>
  <c r="L286" i="17" s="1"/>
  <c r="J285" i="17"/>
  <c r="I285" i="17"/>
  <c r="K285" i="17" s="1"/>
  <c r="J284" i="17"/>
  <c r="I284" i="17"/>
  <c r="K284" i="17" s="1"/>
  <c r="L284" i="17" s="1"/>
  <c r="J283" i="17"/>
  <c r="I283" i="17"/>
  <c r="K283" i="17" s="1"/>
  <c r="J282" i="17"/>
  <c r="I282" i="17"/>
  <c r="K282" i="17" s="1"/>
  <c r="J281" i="17"/>
  <c r="I281" i="17"/>
  <c r="K281" i="17" s="1"/>
  <c r="J280" i="17"/>
  <c r="I280" i="17"/>
  <c r="K280" i="17" s="1"/>
  <c r="L280" i="17" s="1"/>
  <c r="J279" i="17"/>
  <c r="I279" i="17"/>
  <c r="K279" i="17" s="1"/>
  <c r="J278" i="17"/>
  <c r="I278" i="17"/>
  <c r="K278" i="17" s="1"/>
  <c r="J277" i="17"/>
  <c r="I277" i="17"/>
  <c r="K277" i="17" s="1"/>
  <c r="J276" i="17"/>
  <c r="I276" i="17"/>
  <c r="K276" i="17" s="1"/>
  <c r="L276" i="17" s="1"/>
  <c r="J275" i="17"/>
  <c r="I275" i="17"/>
  <c r="K275" i="17" s="1"/>
  <c r="J274" i="17"/>
  <c r="I274" i="17"/>
  <c r="K274" i="17" s="1"/>
  <c r="J273" i="17"/>
  <c r="I273" i="17"/>
  <c r="K273" i="17" s="1"/>
  <c r="J272" i="17"/>
  <c r="I272" i="17"/>
  <c r="K272" i="17" s="1"/>
  <c r="L272" i="17" s="1"/>
  <c r="J271" i="17"/>
  <c r="I271" i="17"/>
  <c r="K271" i="17" s="1"/>
  <c r="J270" i="17"/>
  <c r="I270" i="17"/>
  <c r="K270" i="17" s="1"/>
  <c r="J269" i="17"/>
  <c r="I269" i="17"/>
  <c r="K269" i="17" s="1"/>
  <c r="L269" i="17" s="1"/>
  <c r="J268" i="17"/>
  <c r="I268" i="17"/>
  <c r="K268" i="17" s="1"/>
  <c r="L268" i="17" s="1"/>
  <c r="J267" i="17"/>
  <c r="I267" i="17"/>
  <c r="K267" i="17" s="1"/>
  <c r="J266" i="17"/>
  <c r="I266" i="17"/>
  <c r="K266" i="17" s="1"/>
  <c r="J265" i="17"/>
  <c r="I265" i="17"/>
  <c r="K265" i="17" s="1"/>
  <c r="L265" i="17" s="1"/>
  <c r="J264" i="17"/>
  <c r="I264" i="17"/>
  <c r="K264" i="17" s="1"/>
  <c r="L264" i="17" s="1"/>
  <c r="J263" i="17"/>
  <c r="I263" i="17"/>
  <c r="K263" i="17" s="1"/>
  <c r="J262" i="17"/>
  <c r="I262" i="17"/>
  <c r="K262" i="17" s="1"/>
  <c r="L262" i="17" s="1"/>
  <c r="J261" i="17"/>
  <c r="I261" i="17"/>
  <c r="K261" i="17" s="1"/>
  <c r="L261" i="17" s="1"/>
  <c r="J260" i="17"/>
  <c r="I260" i="17"/>
  <c r="K260" i="17" s="1"/>
  <c r="J259" i="17"/>
  <c r="I259" i="17"/>
  <c r="K259" i="17" s="1"/>
  <c r="J258" i="17"/>
  <c r="I258" i="17"/>
  <c r="K258" i="17" s="1"/>
  <c r="J257" i="17"/>
  <c r="I257" i="17"/>
  <c r="K257" i="17" s="1"/>
  <c r="L257" i="17" s="1"/>
  <c r="J256" i="17"/>
  <c r="I256" i="17"/>
  <c r="K256" i="17" s="1"/>
  <c r="J255" i="17"/>
  <c r="I255" i="17"/>
  <c r="K255" i="17" s="1"/>
  <c r="J254" i="17"/>
  <c r="I254" i="17"/>
  <c r="K254" i="17" s="1"/>
  <c r="L254" i="17" s="1"/>
  <c r="J253" i="17"/>
  <c r="I253" i="17"/>
  <c r="K253" i="17" s="1"/>
  <c r="L253" i="17" s="1"/>
  <c r="J252" i="17"/>
  <c r="I252" i="17"/>
  <c r="K252" i="17" s="1"/>
  <c r="L252" i="17" s="1"/>
  <c r="J251" i="17"/>
  <c r="I251" i="17"/>
  <c r="K251" i="17" s="1"/>
  <c r="J250" i="17"/>
  <c r="I250" i="17"/>
  <c r="K250" i="17" s="1"/>
  <c r="J249" i="17"/>
  <c r="I249" i="17"/>
  <c r="K249" i="17" s="1"/>
  <c r="J248" i="17"/>
  <c r="I248" i="17"/>
  <c r="K248" i="17" s="1"/>
  <c r="J247" i="17"/>
  <c r="I247" i="17"/>
  <c r="K247" i="17" s="1"/>
  <c r="J246" i="17"/>
  <c r="I246" i="17"/>
  <c r="K246" i="17" s="1"/>
  <c r="J245" i="17"/>
  <c r="I245" i="17"/>
  <c r="K245" i="17" s="1"/>
  <c r="J244" i="17"/>
  <c r="I244" i="17"/>
  <c r="K244" i="17" s="1"/>
  <c r="J243" i="17"/>
  <c r="I243" i="17"/>
  <c r="K243" i="17" s="1"/>
  <c r="J242" i="17"/>
  <c r="I242" i="17"/>
  <c r="K242" i="17" s="1"/>
  <c r="J241" i="17"/>
  <c r="I241" i="17"/>
  <c r="K241" i="17" s="1"/>
  <c r="J240" i="17"/>
  <c r="I240" i="17"/>
  <c r="K240" i="17" s="1"/>
  <c r="J239" i="17"/>
  <c r="I239" i="17"/>
  <c r="K239" i="17" s="1"/>
  <c r="J238" i="17"/>
  <c r="I238" i="17"/>
  <c r="K238" i="17" s="1"/>
  <c r="J237" i="17"/>
  <c r="I237" i="17"/>
  <c r="K237" i="17" s="1"/>
  <c r="J236" i="17"/>
  <c r="I236" i="17"/>
  <c r="K236" i="17" s="1"/>
  <c r="J235" i="17"/>
  <c r="I235" i="17"/>
  <c r="K235" i="17" s="1"/>
  <c r="J234" i="17"/>
  <c r="I234" i="17"/>
  <c r="K234" i="17" s="1"/>
  <c r="J233" i="17"/>
  <c r="I233" i="17"/>
  <c r="K233" i="17" s="1"/>
  <c r="J232" i="17"/>
  <c r="I232" i="17"/>
  <c r="K232" i="17" s="1"/>
  <c r="J231" i="17"/>
  <c r="I231" i="17"/>
  <c r="K231" i="17" s="1"/>
  <c r="J230" i="17"/>
  <c r="I230" i="17"/>
  <c r="K230" i="17" s="1"/>
  <c r="J229" i="17"/>
  <c r="I229" i="17"/>
  <c r="K229" i="17" s="1"/>
  <c r="J228" i="17"/>
  <c r="I228" i="17"/>
  <c r="K228" i="17" s="1"/>
  <c r="J227" i="17"/>
  <c r="I227" i="17"/>
  <c r="K227" i="17" s="1"/>
  <c r="L227" i="17" s="1"/>
  <c r="J226" i="17"/>
  <c r="I226" i="17"/>
  <c r="K226" i="17" s="1"/>
  <c r="J225" i="17"/>
  <c r="I225" i="17"/>
  <c r="K225" i="17" s="1"/>
  <c r="J224" i="17"/>
  <c r="I224" i="17"/>
  <c r="K224" i="17" s="1"/>
  <c r="J223" i="17"/>
  <c r="I223" i="17"/>
  <c r="K223" i="17" s="1"/>
  <c r="L223" i="17" s="1"/>
  <c r="J222" i="17"/>
  <c r="I222" i="17"/>
  <c r="K222" i="17" s="1"/>
  <c r="J221" i="17"/>
  <c r="I221" i="17"/>
  <c r="K221" i="17" s="1"/>
  <c r="J220" i="17"/>
  <c r="I220" i="17"/>
  <c r="K220" i="17" s="1"/>
  <c r="J219" i="17"/>
  <c r="I219" i="17"/>
  <c r="K219" i="17" s="1"/>
  <c r="L219" i="17" s="1"/>
  <c r="J218" i="17"/>
  <c r="I218" i="17"/>
  <c r="K218" i="17" s="1"/>
  <c r="J217" i="17"/>
  <c r="I217" i="17"/>
  <c r="K217" i="17" s="1"/>
  <c r="J216" i="17"/>
  <c r="I216" i="17"/>
  <c r="K216" i="17" s="1"/>
  <c r="J215" i="17"/>
  <c r="I215" i="17"/>
  <c r="K215" i="17" s="1"/>
  <c r="J214" i="17"/>
  <c r="I214" i="17"/>
  <c r="K214" i="17" s="1"/>
  <c r="J213" i="17"/>
  <c r="I213" i="17"/>
  <c r="K213" i="17" s="1"/>
  <c r="J212" i="17"/>
  <c r="I212" i="17"/>
  <c r="K212" i="17" s="1"/>
  <c r="J211" i="17"/>
  <c r="I211" i="17"/>
  <c r="K211" i="17" s="1"/>
  <c r="J210" i="17"/>
  <c r="I210" i="17"/>
  <c r="K210" i="17" s="1"/>
  <c r="J209" i="17"/>
  <c r="I209" i="17"/>
  <c r="K209" i="17" s="1"/>
  <c r="J208" i="17"/>
  <c r="I208" i="17"/>
  <c r="K208" i="17" s="1"/>
  <c r="J207" i="17"/>
  <c r="I207" i="17"/>
  <c r="K207" i="17" s="1"/>
  <c r="L207" i="17" s="1"/>
  <c r="J206" i="17"/>
  <c r="I206" i="17"/>
  <c r="K206" i="17" s="1"/>
  <c r="L206" i="17" s="1"/>
  <c r="J205" i="17"/>
  <c r="I205" i="17"/>
  <c r="K205" i="17" s="1"/>
  <c r="J204" i="17"/>
  <c r="I204" i="17"/>
  <c r="K204" i="17" s="1"/>
  <c r="L204" i="17" s="1"/>
  <c r="J203" i="17"/>
  <c r="I203" i="17"/>
  <c r="K203" i="17" s="1"/>
  <c r="J202" i="17"/>
  <c r="I202" i="17"/>
  <c r="K202" i="17" s="1"/>
  <c r="J201" i="17"/>
  <c r="I201" i="17"/>
  <c r="K201" i="17" s="1"/>
  <c r="J200" i="17"/>
  <c r="I200" i="17"/>
  <c r="K200" i="17" s="1"/>
  <c r="L200" i="17" s="1"/>
  <c r="J199" i="17"/>
  <c r="I199" i="17"/>
  <c r="K199" i="17" s="1"/>
  <c r="J198" i="17"/>
  <c r="I198" i="17"/>
  <c r="K198" i="17" s="1"/>
  <c r="J197" i="17"/>
  <c r="I197" i="17"/>
  <c r="K197" i="17" s="1"/>
  <c r="J196" i="17"/>
  <c r="I196" i="17"/>
  <c r="K196" i="17" s="1"/>
  <c r="L196" i="17" s="1"/>
  <c r="J195" i="17"/>
  <c r="I195" i="17"/>
  <c r="K195" i="17" s="1"/>
  <c r="J194" i="17"/>
  <c r="I194" i="17"/>
  <c r="K194" i="17" s="1"/>
  <c r="J193" i="17"/>
  <c r="I193" i="17"/>
  <c r="K193" i="17" s="1"/>
  <c r="J192" i="17"/>
  <c r="I192" i="17"/>
  <c r="K192" i="17" s="1"/>
  <c r="J191" i="17"/>
  <c r="I191" i="17"/>
  <c r="K191" i="17" s="1"/>
  <c r="J190" i="17"/>
  <c r="I190" i="17"/>
  <c r="K190" i="17" s="1"/>
  <c r="J189" i="17"/>
  <c r="I189" i="17"/>
  <c r="K189" i="17" s="1"/>
  <c r="J188" i="17"/>
  <c r="I188" i="17"/>
  <c r="K188" i="17" s="1"/>
  <c r="J187" i="17"/>
  <c r="I187" i="17"/>
  <c r="K187" i="17" s="1"/>
  <c r="J186" i="17"/>
  <c r="I186" i="17"/>
  <c r="K186" i="17" s="1"/>
  <c r="J185" i="17"/>
  <c r="I185" i="17"/>
  <c r="K185" i="17" s="1"/>
  <c r="L185" i="17" s="1"/>
  <c r="J184" i="17"/>
  <c r="I184" i="17"/>
  <c r="K184" i="17" s="1"/>
  <c r="L184" i="17" s="1"/>
  <c r="J183" i="17"/>
  <c r="I183" i="17"/>
  <c r="K183" i="17" s="1"/>
  <c r="J182" i="17"/>
  <c r="I182" i="17"/>
  <c r="K182" i="17" s="1"/>
  <c r="J181" i="17"/>
  <c r="I181" i="17"/>
  <c r="K181" i="17" s="1"/>
  <c r="J180" i="17"/>
  <c r="I180" i="17"/>
  <c r="K180" i="17" s="1"/>
  <c r="L180" i="17" s="1"/>
  <c r="J179" i="17"/>
  <c r="I179" i="17"/>
  <c r="K179" i="17" s="1"/>
  <c r="J178" i="17"/>
  <c r="I178" i="17"/>
  <c r="K178" i="17" s="1"/>
  <c r="J177" i="17"/>
  <c r="I177" i="17"/>
  <c r="K177" i="17" s="1"/>
  <c r="J176" i="17"/>
  <c r="I176" i="17"/>
  <c r="K176" i="17" s="1"/>
  <c r="L176" i="17" s="1"/>
  <c r="J175" i="17"/>
  <c r="I175" i="17"/>
  <c r="K175" i="17" s="1"/>
  <c r="J174" i="17"/>
  <c r="I174" i="17"/>
  <c r="K174" i="17" s="1"/>
  <c r="J173" i="17"/>
  <c r="I173" i="17"/>
  <c r="K173" i="17" s="1"/>
  <c r="J172" i="17"/>
  <c r="I172" i="17"/>
  <c r="K172" i="17" s="1"/>
  <c r="L172" i="17" s="1"/>
  <c r="J171" i="17"/>
  <c r="I171" i="17"/>
  <c r="K171" i="17" s="1"/>
  <c r="J170" i="17"/>
  <c r="I170" i="17"/>
  <c r="K170" i="17" s="1"/>
  <c r="J169" i="17"/>
  <c r="I169" i="17"/>
  <c r="K169" i="17" s="1"/>
  <c r="J168" i="17"/>
  <c r="I168" i="17"/>
  <c r="K168" i="17" s="1"/>
  <c r="L168" i="17" s="1"/>
  <c r="J167" i="17"/>
  <c r="I167" i="17"/>
  <c r="K167" i="17" s="1"/>
  <c r="J166" i="17"/>
  <c r="I166" i="17"/>
  <c r="K166" i="17" s="1"/>
  <c r="J165" i="17"/>
  <c r="I165" i="17"/>
  <c r="K165" i="17" s="1"/>
  <c r="J164" i="17"/>
  <c r="I164" i="17"/>
  <c r="K164" i="17" s="1"/>
  <c r="J163" i="17"/>
  <c r="I163" i="17"/>
  <c r="K163" i="17" s="1"/>
  <c r="J162" i="17"/>
  <c r="I162" i="17"/>
  <c r="K162" i="17" s="1"/>
  <c r="J161" i="17"/>
  <c r="I161" i="17"/>
  <c r="K161" i="17" s="1"/>
  <c r="J160" i="17"/>
  <c r="I160" i="17"/>
  <c r="K160" i="17" s="1"/>
  <c r="L160" i="17" s="1"/>
  <c r="J159" i="17"/>
  <c r="I159" i="17"/>
  <c r="K159" i="17" s="1"/>
  <c r="J158" i="17"/>
  <c r="I158" i="17"/>
  <c r="K158" i="17" s="1"/>
  <c r="J157" i="17"/>
  <c r="I157" i="17"/>
  <c r="K157" i="17" s="1"/>
  <c r="J156" i="17"/>
  <c r="I156" i="17"/>
  <c r="K156" i="17" s="1"/>
  <c r="J155" i="17"/>
  <c r="I155" i="17"/>
  <c r="K155" i="17" s="1"/>
  <c r="J154" i="17"/>
  <c r="I154" i="17"/>
  <c r="K154" i="17" s="1"/>
  <c r="J153" i="17"/>
  <c r="I153" i="17"/>
  <c r="K153" i="17" s="1"/>
  <c r="J152" i="17"/>
  <c r="I152" i="17"/>
  <c r="K152" i="17" s="1"/>
  <c r="J151" i="17"/>
  <c r="I151" i="17"/>
  <c r="K151" i="17" s="1"/>
  <c r="J150" i="17"/>
  <c r="I150" i="17"/>
  <c r="K150" i="17" s="1"/>
  <c r="J149" i="17"/>
  <c r="I149" i="17"/>
  <c r="K149" i="17" s="1"/>
  <c r="J148" i="17"/>
  <c r="I148" i="17"/>
  <c r="K148" i="17" s="1"/>
  <c r="J147" i="17"/>
  <c r="I147" i="17"/>
  <c r="K147" i="17" s="1"/>
  <c r="J146" i="17"/>
  <c r="I146" i="17"/>
  <c r="K146" i="17" s="1"/>
  <c r="L146" i="17" s="1"/>
  <c r="J145" i="17"/>
  <c r="I145" i="17"/>
  <c r="K145" i="17" s="1"/>
  <c r="J144" i="17"/>
  <c r="I144" i="17"/>
  <c r="K144" i="17" s="1"/>
  <c r="J143" i="17"/>
  <c r="I143" i="17"/>
  <c r="K143" i="17" s="1"/>
  <c r="J142" i="17"/>
  <c r="I142" i="17"/>
  <c r="K142" i="17" s="1"/>
  <c r="L142" i="17" s="1"/>
  <c r="J141" i="17"/>
  <c r="I141" i="17"/>
  <c r="K141" i="17" s="1"/>
  <c r="J140" i="17"/>
  <c r="I140" i="17"/>
  <c r="K140" i="17" s="1"/>
  <c r="J139" i="17"/>
  <c r="I139" i="17"/>
  <c r="K139" i="17" s="1"/>
  <c r="J138" i="17"/>
  <c r="I138" i="17"/>
  <c r="K138" i="17" s="1"/>
  <c r="J137" i="17"/>
  <c r="I137" i="17"/>
  <c r="K137" i="17" s="1"/>
  <c r="J136" i="17"/>
  <c r="I136" i="17"/>
  <c r="K136" i="17" s="1"/>
  <c r="J135" i="17"/>
  <c r="I135" i="17"/>
  <c r="K135" i="17" s="1"/>
  <c r="J134" i="17"/>
  <c r="I134" i="17"/>
  <c r="K134" i="17" s="1"/>
  <c r="J133" i="17"/>
  <c r="I133" i="17"/>
  <c r="K133" i="17" s="1"/>
  <c r="J132" i="17"/>
  <c r="I132" i="17"/>
  <c r="K132" i="17" s="1"/>
  <c r="J131" i="17"/>
  <c r="I131" i="17"/>
  <c r="K131" i="17" s="1"/>
  <c r="J130" i="17"/>
  <c r="I130" i="17"/>
  <c r="K130" i="17" s="1"/>
  <c r="J129" i="17"/>
  <c r="I129" i="17"/>
  <c r="K129" i="17" s="1"/>
  <c r="J128" i="17"/>
  <c r="I128" i="17"/>
  <c r="K128" i="17" s="1"/>
  <c r="J127" i="17"/>
  <c r="I127" i="17"/>
  <c r="K127" i="17" s="1"/>
  <c r="L127" i="17" s="1"/>
  <c r="J126" i="17"/>
  <c r="I126" i="17"/>
  <c r="K126" i="17" s="1"/>
  <c r="J125" i="17"/>
  <c r="I125" i="17"/>
  <c r="K125" i="17" s="1"/>
  <c r="J124" i="17"/>
  <c r="I124" i="17"/>
  <c r="K124" i="17" s="1"/>
  <c r="J123" i="17"/>
  <c r="I123" i="17"/>
  <c r="K123" i="17" s="1"/>
  <c r="J122" i="17"/>
  <c r="I122" i="17"/>
  <c r="K122" i="17" s="1"/>
  <c r="J121" i="17"/>
  <c r="I121" i="17"/>
  <c r="K121" i="17" s="1"/>
  <c r="J120" i="17"/>
  <c r="I120" i="17"/>
  <c r="K120" i="17" s="1"/>
  <c r="J119" i="17"/>
  <c r="I119" i="17"/>
  <c r="K119" i="17" s="1"/>
  <c r="J118" i="17"/>
  <c r="I118" i="17"/>
  <c r="K118" i="17" s="1"/>
  <c r="J117" i="17"/>
  <c r="I117" i="17"/>
  <c r="K117" i="17" s="1"/>
  <c r="L117" i="17" s="1"/>
  <c r="J116" i="17"/>
  <c r="I116" i="17"/>
  <c r="K116" i="17" s="1"/>
  <c r="J115" i="17"/>
  <c r="I115" i="17"/>
  <c r="K115" i="17" s="1"/>
  <c r="L115" i="17" s="1"/>
  <c r="J114" i="17"/>
  <c r="I114" i="17"/>
  <c r="K114" i="17" s="1"/>
  <c r="L114" i="17" s="1"/>
  <c r="K113" i="17"/>
  <c r="J113" i="17"/>
  <c r="I113" i="17"/>
  <c r="J112" i="17"/>
  <c r="I112" i="17"/>
  <c r="K112" i="17" s="1"/>
  <c r="L112" i="17" s="1"/>
  <c r="J111" i="17"/>
  <c r="I111" i="17"/>
  <c r="K111" i="17" s="1"/>
  <c r="J110" i="17"/>
  <c r="I110" i="17"/>
  <c r="K110" i="17" s="1"/>
  <c r="J109" i="17"/>
  <c r="I109" i="17"/>
  <c r="K109" i="17" s="1"/>
  <c r="J108" i="17"/>
  <c r="I108" i="17"/>
  <c r="K108" i="17" s="1"/>
  <c r="L108" i="17" s="1"/>
  <c r="J107" i="17"/>
  <c r="I107" i="17"/>
  <c r="K107" i="17" s="1"/>
  <c r="J106" i="17"/>
  <c r="I106" i="17"/>
  <c r="K106" i="17" s="1"/>
  <c r="J105" i="17"/>
  <c r="I105" i="17"/>
  <c r="K105" i="17" s="1"/>
  <c r="J104" i="17"/>
  <c r="I104" i="17"/>
  <c r="K104" i="17" s="1"/>
  <c r="J103" i="17"/>
  <c r="I103" i="17"/>
  <c r="K103" i="17" s="1"/>
  <c r="J102" i="17"/>
  <c r="I102" i="17"/>
  <c r="K102" i="17" s="1"/>
  <c r="J101" i="17"/>
  <c r="I101" i="17"/>
  <c r="K101" i="17" s="1"/>
  <c r="J100" i="17"/>
  <c r="I100" i="17"/>
  <c r="K100" i="17" s="1"/>
  <c r="L100" i="17" s="1"/>
  <c r="V99" i="17"/>
  <c r="J99" i="17"/>
  <c r="I99" i="17"/>
  <c r="K99" i="17" s="1"/>
  <c r="J98" i="17"/>
  <c r="I98" i="17"/>
  <c r="K98" i="17" s="1"/>
  <c r="J97" i="17"/>
  <c r="I97" i="17"/>
  <c r="K97" i="17" s="1"/>
  <c r="V96" i="17"/>
  <c r="J96" i="17"/>
  <c r="I96" i="17"/>
  <c r="K96" i="17" s="1"/>
  <c r="J95" i="17"/>
  <c r="I95" i="17"/>
  <c r="K95" i="17" s="1"/>
  <c r="J94" i="17"/>
  <c r="I94" i="17"/>
  <c r="K94" i="17" s="1"/>
  <c r="J93" i="17"/>
  <c r="I93" i="17"/>
  <c r="K93" i="17" s="1"/>
  <c r="J92" i="17"/>
  <c r="I92" i="17"/>
  <c r="K92" i="17" s="1"/>
  <c r="V91" i="17"/>
  <c r="J91" i="17"/>
  <c r="I91" i="17"/>
  <c r="K91" i="17" s="1"/>
  <c r="J90" i="17"/>
  <c r="I90" i="17"/>
  <c r="K90" i="17" s="1"/>
  <c r="J89" i="17"/>
  <c r="I89" i="17"/>
  <c r="K89" i="17" s="1"/>
  <c r="J88" i="17"/>
  <c r="I88" i="17"/>
  <c r="K88" i="17" s="1"/>
  <c r="J87" i="17"/>
  <c r="I87" i="17"/>
  <c r="K87" i="17" s="1"/>
  <c r="J86" i="17"/>
  <c r="I86" i="17"/>
  <c r="K86" i="17" s="1"/>
  <c r="J85" i="17"/>
  <c r="I85" i="17"/>
  <c r="K85" i="17" s="1"/>
  <c r="J84" i="17"/>
  <c r="I84" i="17"/>
  <c r="K84" i="17" s="1"/>
  <c r="J83" i="17"/>
  <c r="I83" i="17"/>
  <c r="K83" i="17" s="1"/>
  <c r="J82" i="17"/>
  <c r="I82" i="17"/>
  <c r="K82" i="17" s="1"/>
  <c r="L82" i="17" s="1"/>
  <c r="J81" i="17"/>
  <c r="I81" i="17"/>
  <c r="K81" i="17" s="1"/>
  <c r="J80" i="17"/>
  <c r="I80" i="17"/>
  <c r="K80" i="17" s="1"/>
  <c r="J79" i="17"/>
  <c r="I79" i="17"/>
  <c r="K79" i="17" s="1"/>
  <c r="J78" i="17"/>
  <c r="I78" i="17"/>
  <c r="K78" i="17" s="1"/>
  <c r="L78" i="17" s="1"/>
  <c r="J77" i="17"/>
  <c r="I77" i="17"/>
  <c r="K77" i="17" s="1"/>
  <c r="J76" i="17"/>
  <c r="I76" i="17"/>
  <c r="K76" i="17" s="1"/>
  <c r="J75" i="17"/>
  <c r="I75" i="17"/>
  <c r="K75" i="17" s="1"/>
  <c r="J74" i="17"/>
  <c r="I74" i="17"/>
  <c r="K74" i="17" s="1"/>
  <c r="L74" i="17" s="1"/>
  <c r="J73" i="17"/>
  <c r="I73" i="17"/>
  <c r="K73" i="17" s="1"/>
  <c r="J72" i="17"/>
  <c r="I72" i="17"/>
  <c r="K72" i="17" s="1"/>
  <c r="L72" i="17" s="1"/>
  <c r="J71" i="17"/>
  <c r="I71" i="17"/>
  <c r="K71" i="17" s="1"/>
  <c r="J70" i="17"/>
  <c r="I70" i="17"/>
  <c r="K70" i="17" s="1"/>
  <c r="J69" i="17"/>
  <c r="I69" i="17"/>
  <c r="K69" i="17" s="1"/>
  <c r="J68" i="17"/>
  <c r="I68" i="17"/>
  <c r="K68" i="17" s="1"/>
  <c r="L68" i="17" s="1"/>
  <c r="V70" i="17" s="1"/>
  <c r="J67" i="17"/>
  <c r="I67" i="17"/>
  <c r="K67" i="17" s="1"/>
  <c r="J66" i="17"/>
  <c r="I66" i="17"/>
  <c r="K66" i="17" s="1"/>
  <c r="J65" i="17"/>
  <c r="I65" i="17"/>
  <c r="K65" i="17" s="1"/>
  <c r="J64" i="17"/>
  <c r="I64" i="17"/>
  <c r="K64" i="17" s="1"/>
  <c r="L64" i="17" s="1"/>
  <c r="J63" i="17"/>
  <c r="I63" i="17"/>
  <c r="K63" i="17" s="1"/>
  <c r="J62" i="17"/>
  <c r="I62" i="17"/>
  <c r="K62" i="17" s="1"/>
  <c r="J61" i="17"/>
  <c r="I61" i="17"/>
  <c r="K61" i="17" s="1"/>
  <c r="J60" i="17"/>
  <c r="I60" i="17"/>
  <c r="K60" i="17" s="1"/>
  <c r="J59" i="17"/>
  <c r="I59" i="17"/>
  <c r="K59" i="17" s="1"/>
  <c r="J58" i="17"/>
  <c r="I58" i="17"/>
  <c r="K58" i="17" s="1"/>
  <c r="J57" i="17"/>
  <c r="I57" i="17"/>
  <c r="K57" i="17" s="1"/>
  <c r="L57" i="17" s="1"/>
  <c r="J56" i="17"/>
  <c r="I56" i="17"/>
  <c r="K56" i="17" s="1"/>
  <c r="L56" i="17" s="1"/>
  <c r="J55" i="17"/>
  <c r="I55" i="17"/>
  <c r="K55" i="17" s="1"/>
  <c r="L55" i="17" s="1"/>
  <c r="J54" i="17"/>
  <c r="I54" i="17"/>
  <c r="K54" i="17" s="1"/>
  <c r="J53" i="17"/>
  <c r="I53" i="17"/>
  <c r="K53" i="17" s="1"/>
  <c r="L53" i="17" s="1"/>
  <c r="J52" i="17"/>
  <c r="I52" i="17"/>
  <c r="K52" i="17" s="1"/>
  <c r="J51" i="17"/>
  <c r="I51" i="17"/>
  <c r="K51" i="17" s="1"/>
  <c r="J50" i="17"/>
  <c r="I50" i="17"/>
  <c r="K50" i="17" s="1"/>
  <c r="J49" i="17"/>
  <c r="I49" i="17"/>
  <c r="K49" i="17" s="1"/>
  <c r="J48" i="17"/>
  <c r="I48" i="17"/>
  <c r="K48" i="17" s="1"/>
  <c r="J47" i="17"/>
  <c r="I47" i="17"/>
  <c r="K47" i="17" s="1"/>
  <c r="J46" i="17"/>
  <c r="I46" i="17"/>
  <c r="K46" i="17" s="1"/>
  <c r="J45" i="17"/>
  <c r="I45" i="17"/>
  <c r="K45" i="17" s="1"/>
  <c r="J44" i="17"/>
  <c r="I44" i="17"/>
  <c r="K44" i="17" s="1"/>
  <c r="J43" i="17"/>
  <c r="I43" i="17"/>
  <c r="K43" i="17" s="1"/>
  <c r="J42" i="17"/>
  <c r="I42" i="17"/>
  <c r="K42" i="17" s="1"/>
  <c r="J41" i="17"/>
  <c r="I41" i="17"/>
  <c r="K41" i="17" s="1"/>
  <c r="J40" i="17"/>
  <c r="I40" i="17"/>
  <c r="K40" i="17" s="1"/>
  <c r="J39" i="17"/>
  <c r="I39" i="17"/>
  <c r="K39" i="17" s="1"/>
  <c r="J38" i="17"/>
  <c r="I38" i="17"/>
  <c r="K38" i="17" s="1"/>
  <c r="J37" i="17"/>
  <c r="I37" i="17"/>
  <c r="K37" i="17" s="1"/>
  <c r="J36" i="17"/>
  <c r="I36" i="17"/>
  <c r="K36" i="17" s="1"/>
  <c r="J35" i="17"/>
  <c r="I35" i="17"/>
  <c r="K35" i="17" s="1"/>
  <c r="L35" i="17" s="1"/>
  <c r="J34" i="17"/>
  <c r="I34" i="17"/>
  <c r="K34" i="17" s="1"/>
  <c r="J33" i="17"/>
  <c r="I33" i="17"/>
  <c r="K33" i="17" s="1"/>
  <c r="J32" i="17"/>
  <c r="I32" i="17"/>
  <c r="K32" i="17" s="1"/>
  <c r="J31" i="17"/>
  <c r="I31" i="17"/>
  <c r="K31" i="17" s="1"/>
  <c r="L31" i="17" s="1"/>
  <c r="J30" i="17"/>
  <c r="I30" i="17"/>
  <c r="K30" i="17" s="1"/>
  <c r="J29" i="17"/>
  <c r="I29" i="17"/>
  <c r="K29" i="17" s="1"/>
  <c r="J28" i="17"/>
  <c r="I28" i="17"/>
  <c r="K28" i="17" s="1"/>
  <c r="J27" i="17"/>
  <c r="I27" i="17"/>
  <c r="K27" i="17" s="1"/>
  <c r="J26" i="17"/>
  <c r="I26" i="17"/>
  <c r="K26" i="17" s="1"/>
  <c r="J25" i="17"/>
  <c r="I25" i="17"/>
  <c r="K25" i="17" s="1"/>
  <c r="J24" i="17"/>
  <c r="I24" i="17"/>
  <c r="K24" i="17" s="1"/>
  <c r="J23" i="17"/>
  <c r="I23" i="17"/>
  <c r="K23" i="17" s="1"/>
  <c r="J22" i="17"/>
  <c r="I22" i="17"/>
  <c r="K22" i="17" s="1"/>
  <c r="L22" i="17" s="1"/>
  <c r="J21" i="17"/>
  <c r="I21" i="17"/>
  <c r="K21" i="17" s="1"/>
  <c r="J20" i="17"/>
  <c r="I20" i="17"/>
  <c r="K20" i="17" s="1"/>
  <c r="L20" i="17" s="1"/>
  <c r="J19" i="17"/>
  <c r="I19" i="17"/>
  <c r="K19" i="17" s="1"/>
  <c r="J18" i="17"/>
  <c r="I18" i="17"/>
  <c r="K18" i="17" s="1"/>
  <c r="L18" i="17" s="1"/>
  <c r="J17" i="17"/>
  <c r="I17" i="17"/>
  <c r="K17" i="17" s="1"/>
  <c r="J16" i="17"/>
  <c r="I16" i="17"/>
  <c r="K16" i="17" s="1"/>
  <c r="J15" i="17"/>
  <c r="I15" i="17"/>
  <c r="K15" i="17" s="1"/>
  <c r="J14" i="17"/>
  <c r="I14" i="17"/>
  <c r="K14" i="17" s="1"/>
  <c r="J13" i="17"/>
  <c r="I13" i="17"/>
  <c r="K13" i="17" s="1"/>
  <c r="J12" i="17"/>
  <c r="I12" i="17"/>
  <c r="K12" i="17" s="1"/>
  <c r="J11" i="17"/>
  <c r="I11" i="17"/>
  <c r="K11" i="17" s="1"/>
  <c r="J10" i="17"/>
  <c r="I10" i="17"/>
  <c r="K10" i="17" s="1"/>
  <c r="J9" i="17"/>
  <c r="I9" i="17"/>
  <c r="K9" i="17" s="1"/>
  <c r="J8" i="17"/>
  <c r="I8" i="17"/>
  <c r="K8" i="17" s="1"/>
  <c r="J7" i="17"/>
  <c r="I7" i="17"/>
  <c r="K7" i="17" s="1"/>
  <c r="J6" i="17"/>
  <c r="I6" i="17"/>
  <c r="K6" i="17" s="1"/>
  <c r="J5" i="17"/>
  <c r="I5" i="17"/>
  <c r="K5" i="17" s="1"/>
  <c r="J4" i="17"/>
  <c r="I4" i="17"/>
  <c r="K4" i="17" s="1"/>
  <c r="J3" i="17"/>
  <c r="I3" i="17"/>
  <c r="K3" i="17" s="1"/>
  <c r="J2" i="17"/>
  <c r="I2" i="17"/>
  <c r="K2" i="17" s="1"/>
  <c r="J322" i="16"/>
  <c r="I322" i="16"/>
  <c r="K322" i="16" s="1"/>
  <c r="J321" i="16"/>
  <c r="I321" i="16"/>
  <c r="K321" i="16" s="1"/>
  <c r="J320" i="16"/>
  <c r="I320" i="16"/>
  <c r="K320" i="16" s="1"/>
  <c r="J319" i="16"/>
  <c r="I319" i="16"/>
  <c r="K319" i="16" s="1"/>
  <c r="J318" i="16"/>
  <c r="I318" i="16"/>
  <c r="K318" i="16" s="1"/>
  <c r="J317" i="16"/>
  <c r="I317" i="16"/>
  <c r="K317" i="16" s="1"/>
  <c r="J316" i="16"/>
  <c r="I316" i="16"/>
  <c r="K316" i="16" s="1"/>
  <c r="J315" i="16"/>
  <c r="I315" i="16"/>
  <c r="K315" i="16" s="1"/>
  <c r="J314" i="16"/>
  <c r="I314" i="16"/>
  <c r="K314" i="16" s="1"/>
  <c r="J313" i="16"/>
  <c r="I313" i="16"/>
  <c r="K313" i="16" s="1"/>
  <c r="J312" i="16"/>
  <c r="I312" i="16"/>
  <c r="K312" i="16" s="1"/>
  <c r="J311" i="16"/>
  <c r="I311" i="16"/>
  <c r="K311" i="16" s="1"/>
  <c r="J310" i="16"/>
  <c r="I310" i="16"/>
  <c r="K310" i="16" s="1"/>
  <c r="J309" i="16"/>
  <c r="I309" i="16"/>
  <c r="K309" i="16" s="1"/>
  <c r="J308" i="16"/>
  <c r="I308" i="16"/>
  <c r="K308" i="16" s="1"/>
  <c r="J307" i="16"/>
  <c r="I307" i="16"/>
  <c r="K307" i="16" s="1"/>
  <c r="J306" i="16"/>
  <c r="I306" i="16"/>
  <c r="K306" i="16" s="1"/>
  <c r="J305" i="16"/>
  <c r="I305" i="16"/>
  <c r="K305" i="16" s="1"/>
  <c r="J304" i="16"/>
  <c r="I304" i="16"/>
  <c r="K304" i="16" s="1"/>
  <c r="J303" i="16"/>
  <c r="I303" i="16"/>
  <c r="K303" i="16" s="1"/>
  <c r="J302" i="16"/>
  <c r="I302" i="16"/>
  <c r="K302" i="16" s="1"/>
  <c r="J301" i="16"/>
  <c r="I301" i="16"/>
  <c r="K301" i="16" s="1"/>
  <c r="J300" i="16"/>
  <c r="I300" i="16"/>
  <c r="K300" i="16" s="1"/>
  <c r="J299" i="16"/>
  <c r="I299" i="16"/>
  <c r="K299" i="16" s="1"/>
  <c r="J298" i="16"/>
  <c r="I298" i="16"/>
  <c r="K298" i="16" s="1"/>
  <c r="J297" i="16"/>
  <c r="I297" i="16"/>
  <c r="K297" i="16" s="1"/>
  <c r="J296" i="16"/>
  <c r="I296" i="16"/>
  <c r="K296" i="16" s="1"/>
  <c r="J295" i="16"/>
  <c r="I295" i="16"/>
  <c r="K295" i="16" s="1"/>
  <c r="J294" i="16"/>
  <c r="I294" i="16"/>
  <c r="K294" i="16" s="1"/>
  <c r="J293" i="16"/>
  <c r="I293" i="16"/>
  <c r="K293" i="16" s="1"/>
  <c r="J292" i="16"/>
  <c r="I292" i="16"/>
  <c r="K292" i="16" s="1"/>
  <c r="J291" i="16"/>
  <c r="I291" i="16"/>
  <c r="K291" i="16" s="1"/>
  <c r="J290" i="16"/>
  <c r="I290" i="16"/>
  <c r="K290" i="16" s="1"/>
  <c r="J289" i="16"/>
  <c r="I289" i="16"/>
  <c r="K289" i="16" s="1"/>
  <c r="J288" i="16"/>
  <c r="I288" i="16"/>
  <c r="K288" i="16" s="1"/>
  <c r="J287" i="16"/>
  <c r="I287" i="16"/>
  <c r="K287" i="16" s="1"/>
  <c r="J286" i="16"/>
  <c r="I286" i="16"/>
  <c r="K286" i="16" s="1"/>
  <c r="J285" i="16"/>
  <c r="I285" i="16"/>
  <c r="K285" i="16" s="1"/>
  <c r="J284" i="16"/>
  <c r="I284" i="16"/>
  <c r="K284" i="16" s="1"/>
  <c r="J283" i="16"/>
  <c r="I283" i="16"/>
  <c r="K283" i="16" s="1"/>
  <c r="J282" i="16"/>
  <c r="I282" i="16"/>
  <c r="K282" i="16" s="1"/>
  <c r="J281" i="16"/>
  <c r="I281" i="16"/>
  <c r="K281" i="16" s="1"/>
  <c r="J280" i="16"/>
  <c r="I280" i="16"/>
  <c r="K280" i="16" s="1"/>
  <c r="J279" i="16"/>
  <c r="I279" i="16"/>
  <c r="K279" i="16" s="1"/>
  <c r="J278" i="16"/>
  <c r="I278" i="16"/>
  <c r="K278" i="16" s="1"/>
  <c r="J277" i="16"/>
  <c r="I277" i="16"/>
  <c r="K277" i="16" s="1"/>
  <c r="J276" i="16"/>
  <c r="I276" i="16"/>
  <c r="K276" i="16" s="1"/>
  <c r="J275" i="16"/>
  <c r="I275" i="16"/>
  <c r="K275" i="16" s="1"/>
  <c r="J274" i="16"/>
  <c r="I274" i="16"/>
  <c r="K274" i="16" s="1"/>
  <c r="J273" i="16"/>
  <c r="I273" i="16"/>
  <c r="K273" i="16" s="1"/>
  <c r="J272" i="16"/>
  <c r="I272" i="16"/>
  <c r="K272" i="16" s="1"/>
  <c r="J271" i="16"/>
  <c r="I271" i="16"/>
  <c r="K271" i="16" s="1"/>
  <c r="J270" i="16"/>
  <c r="I270" i="16"/>
  <c r="K270" i="16" s="1"/>
  <c r="J269" i="16"/>
  <c r="I269" i="16"/>
  <c r="K269" i="16" s="1"/>
  <c r="J268" i="16"/>
  <c r="I268" i="16"/>
  <c r="K268" i="16" s="1"/>
  <c r="J267" i="16"/>
  <c r="I267" i="16"/>
  <c r="K267" i="16" s="1"/>
  <c r="J266" i="16"/>
  <c r="I266" i="16"/>
  <c r="K266" i="16" s="1"/>
  <c r="J265" i="16"/>
  <c r="I265" i="16"/>
  <c r="K265" i="16" s="1"/>
  <c r="J264" i="16"/>
  <c r="I264" i="16"/>
  <c r="K264" i="16" s="1"/>
  <c r="L264" i="16" s="1"/>
  <c r="J263" i="16"/>
  <c r="I263" i="16"/>
  <c r="K263" i="16" s="1"/>
  <c r="J262" i="16"/>
  <c r="I262" i="16"/>
  <c r="K262" i="16" s="1"/>
  <c r="J261" i="16"/>
  <c r="I261" i="16"/>
  <c r="K261" i="16" s="1"/>
  <c r="J260" i="16"/>
  <c r="I260" i="16"/>
  <c r="K260" i="16" s="1"/>
  <c r="J259" i="16"/>
  <c r="I259" i="16"/>
  <c r="K259" i="16" s="1"/>
  <c r="J258" i="16"/>
  <c r="I258" i="16"/>
  <c r="K258" i="16" s="1"/>
  <c r="L258" i="16" s="1"/>
  <c r="J257" i="16"/>
  <c r="I257" i="16"/>
  <c r="K257" i="16" s="1"/>
  <c r="J256" i="16"/>
  <c r="I256" i="16"/>
  <c r="K256" i="16" s="1"/>
  <c r="L256" i="16" s="1"/>
  <c r="J255" i="16"/>
  <c r="I255" i="16"/>
  <c r="K255" i="16" s="1"/>
  <c r="J254" i="16"/>
  <c r="I254" i="16"/>
  <c r="K254" i="16" s="1"/>
  <c r="J253" i="16"/>
  <c r="I253" i="16"/>
  <c r="K253" i="16" s="1"/>
  <c r="J252" i="16"/>
  <c r="I252" i="16"/>
  <c r="K252" i="16" s="1"/>
  <c r="L252" i="16" s="1"/>
  <c r="J251" i="16"/>
  <c r="I251" i="16"/>
  <c r="K251" i="16" s="1"/>
  <c r="J250" i="16"/>
  <c r="I250" i="16"/>
  <c r="K250" i="16" s="1"/>
  <c r="L250" i="16" s="1"/>
  <c r="J249" i="16"/>
  <c r="I249" i="16"/>
  <c r="K249" i="16" s="1"/>
  <c r="J248" i="16"/>
  <c r="I248" i="16"/>
  <c r="K248" i="16" s="1"/>
  <c r="J247" i="16"/>
  <c r="I247" i="16"/>
  <c r="K247" i="16" s="1"/>
  <c r="J246" i="16"/>
  <c r="I246" i="16"/>
  <c r="K246" i="16" s="1"/>
  <c r="J245" i="16"/>
  <c r="I245" i="16"/>
  <c r="K245" i="16" s="1"/>
  <c r="J244" i="16"/>
  <c r="I244" i="16"/>
  <c r="K244" i="16" s="1"/>
  <c r="L244" i="16" s="1"/>
  <c r="J243" i="16"/>
  <c r="I243" i="16"/>
  <c r="K243" i="16" s="1"/>
  <c r="J242" i="16"/>
  <c r="I242" i="16"/>
  <c r="K242" i="16" s="1"/>
  <c r="L242" i="16" s="1"/>
  <c r="J241" i="16"/>
  <c r="I241" i="16"/>
  <c r="K241" i="16" s="1"/>
  <c r="J240" i="16"/>
  <c r="I240" i="16"/>
  <c r="K240" i="16" s="1"/>
  <c r="L240" i="16" s="1"/>
  <c r="J239" i="16"/>
  <c r="I239" i="16"/>
  <c r="K239" i="16" s="1"/>
  <c r="J238" i="16"/>
  <c r="I238" i="16"/>
  <c r="K238" i="16" s="1"/>
  <c r="L238" i="16" s="1"/>
  <c r="J237" i="16"/>
  <c r="I237" i="16"/>
  <c r="K237" i="16" s="1"/>
  <c r="J236" i="16"/>
  <c r="I236" i="16"/>
  <c r="K236" i="16" s="1"/>
  <c r="L236" i="16" s="1"/>
  <c r="J235" i="16"/>
  <c r="I235" i="16"/>
  <c r="K235" i="16" s="1"/>
  <c r="J234" i="16"/>
  <c r="I234" i="16"/>
  <c r="K234" i="16" s="1"/>
  <c r="L234" i="16" s="1"/>
  <c r="J233" i="16"/>
  <c r="I233" i="16"/>
  <c r="K233" i="16" s="1"/>
  <c r="J232" i="16"/>
  <c r="I232" i="16"/>
  <c r="K232" i="16" s="1"/>
  <c r="L232" i="16" s="1"/>
  <c r="J231" i="16"/>
  <c r="I231" i="16"/>
  <c r="K231" i="16" s="1"/>
  <c r="J230" i="16"/>
  <c r="I230" i="16"/>
  <c r="K230" i="16" s="1"/>
  <c r="J229" i="16"/>
  <c r="I229" i="16"/>
  <c r="K229" i="16" s="1"/>
  <c r="J228" i="16"/>
  <c r="I228" i="16"/>
  <c r="K228" i="16" s="1"/>
  <c r="L228" i="16" s="1"/>
  <c r="J227" i="16"/>
  <c r="I227" i="16"/>
  <c r="K227" i="16" s="1"/>
  <c r="J226" i="16"/>
  <c r="I226" i="16"/>
  <c r="K226" i="16" s="1"/>
  <c r="J225" i="16"/>
  <c r="I225" i="16"/>
  <c r="K225" i="16" s="1"/>
  <c r="J224" i="16"/>
  <c r="I224" i="16"/>
  <c r="K224" i="16" s="1"/>
  <c r="L224" i="16" s="1"/>
  <c r="J223" i="16"/>
  <c r="I223" i="16"/>
  <c r="K223" i="16" s="1"/>
  <c r="J222" i="16"/>
  <c r="I222" i="16"/>
  <c r="K222" i="16" s="1"/>
  <c r="J221" i="16"/>
  <c r="I221" i="16"/>
  <c r="K221" i="16" s="1"/>
  <c r="J220" i="16"/>
  <c r="I220" i="16"/>
  <c r="K220" i="16" s="1"/>
  <c r="L220" i="16" s="1"/>
  <c r="J219" i="16"/>
  <c r="I219" i="16"/>
  <c r="K219" i="16" s="1"/>
  <c r="J218" i="16"/>
  <c r="I218" i="16"/>
  <c r="K218" i="16" s="1"/>
  <c r="L218" i="16" s="1"/>
  <c r="J217" i="16"/>
  <c r="I217" i="16"/>
  <c r="K217" i="16" s="1"/>
  <c r="J216" i="16"/>
  <c r="I216" i="16"/>
  <c r="K216" i="16" s="1"/>
  <c r="L216" i="16" s="1"/>
  <c r="J215" i="16"/>
  <c r="I215" i="16"/>
  <c r="K215" i="16" s="1"/>
  <c r="J214" i="16"/>
  <c r="I214" i="16"/>
  <c r="K214" i="16" s="1"/>
  <c r="J213" i="16"/>
  <c r="I213" i="16"/>
  <c r="K213" i="16" s="1"/>
  <c r="J212" i="16"/>
  <c r="I212" i="16"/>
  <c r="K212" i="16" s="1"/>
  <c r="L212" i="16" s="1"/>
  <c r="J211" i="16"/>
  <c r="I211" i="16"/>
  <c r="K211" i="16" s="1"/>
  <c r="J210" i="16"/>
  <c r="I210" i="16"/>
  <c r="K210" i="16" s="1"/>
  <c r="J209" i="16"/>
  <c r="I209" i="16"/>
  <c r="K209" i="16" s="1"/>
  <c r="J208" i="16"/>
  <c r="I208" i="16"/>
  <c r="K208" i="16" s="1"/>
  <c r="L208" i="16" s="1"/>
  <c r="J207" i="16"/>
  <c r="I207" i="16"/>
  <c r="K207" i="16" s="1"/>
  <c r="J206" i="16"/>
  <c r="I206" i="16"/>
  <c r="K206" i="16" s="1"/>
  <c r="L206" i="16" s="1"/>
  <c r="J205" i="16"/>
  <c r="I205" i="16"/>
  <c r="K205" i="16" s="1"/>
  <c r="J204" i="16"/>
  <c r="I204" i="16"/>
  <c r="K204" i="16" s="1"/>
  <c r="L204" i="16" s="1"/>
  <c r="J203" i="16"/>
  <c r="I203" i="16"/>
  <c r="K203" i="16" s="1"/>
  <c r="J202" i="16"/>
  <c r="I202" i="16"/>
  <c r="K202" i="16" s="1"/>
  <c r="L202" i="16" s="1"/>
  <c r="J201" i="16"/>
  <c r="I201" i="16"/>
  <c r="K201" i="16" s="1"/>
  <c r="J200" i="16"/>
  <c r="I200" i="16"/>
  <c r="K200" i="16" s="1"/>
  <c r="J199" i="16"/>
  <c r="I199" i="16"/>
  <c r="K199" i="16" s="1"/>
  <c r="J198" i="16"/>
  <c r="I198" i="16"/>
  <c r="K198" i="16" s="1"/>
  <c r="J197" i="16"/>
  <c r="I197" i="16"/>
  <c r="K197" i="16" s="1"/>
  <c r="J196" i="16"/>
  <c r="I196" i="16"/>
  <c r="K196" i="16" s="1"/>
  <c r="J195" i="16"/>
  <c r="I195" i="16"/>
  <c r="K195" i="16" s="1"/>
  <c r="J194" i="16"/>
  <c r="I194" i="16"/>
  <c r="K194" i="16" s="1"/>
  <c r="L194" i="16" s="1"/>
  <c r="J193" i="16"/>
  <c r="I193" i="16"/>
  <c r="K193" i="16" s="1"/>
  <c r="J192" i="16"/>
  <c r="I192" i="16"/>
  <c r="K192" i="16" s="1"/>
  <c r="J191" i="16"/>
  <c r="I191" i="16"/>
  <c r="K191" i="16" s="1"/>
  <c r="J190" i="16"/>
  <c r="I190" i="16"/>
  <c r="K190" i="16" s="1"/>
  <c r="J189" i="16"/>
  <c r="I189" i="16"/>
  <c r="K189" i="16" s="1"/>
  <c r="J188" i="16"/>
  <c r="I188" i="16"/>
  <c r="K188" i="16" s="1"/>
  <c r="J187" i="16"/>
  <c r="I187" i="16"/>
  <c r="K187" i="16" s="1"/>
  <c r="J186" i="16"/>
  <c r="I186" i="16"/>
  <c r="K186" i="16" s="1"/>
  <c r="L186" i="16" s="1"/>
  <c r="J185" i="16"/>
  <c r="I185" i="16"/>
  <c r="K185" i="16" s="1"/>
  <c r="J184" i="16"/>
  <c r="I184" i="16"/>
  <c r="K184" i="16" s="1"/>
  <c r="J183" i="16"/>
  <c r="I183" i="16"/>
  <c r="K183" i="16" s="1"/>
  <c r="J182" i="16"/>
  <c r="I182" i="16"/>
  <c r="K182" i="16" s="1"/>
  <c r="L182" i="16" s="1"/>
  <c r="J181" i="16"/>
  <c r="I181" i="16"/>
  <c r="K181" i="16" s="1"/>
  <c r="J180" i="16"/>
  <c r="I180" i="16"/>
  <c r="K180" i="16" s="1"/>
  <c r="J179" i="16"/>
  <c r="I179" i="16"/>
  <c r="K179" i="16" s="1"/>
  <c r="J178" i="16"/>
  <c r="I178" i="16"/>
  <c r="K178" i="16" s="1"/>
  <c r="J177" i="16"/>
  <c r="I177" i="16"/>
  <c r="K177" i="16" s="1"/>
  <c r="J176" i="16"/>
  <c r="I176" i="16"/>
  <c r="K176" i="16" s="1"/>
  <c r="J175" i="16"/>
  <c r="I175" i="16"/>
  <c r="K175" i="16" s="1"/>
  <c r="J174" i="16"/>
  <c r="I174" i="16"/>
  <c r="K174" i="16" s="1"/>
  <c r="L174" i="16" s="1"/>
  <c r="J173" i="16"/>
  <c r="I173" i="16"/>
  <c r="K173" i="16" s="1"/>
  <c r="J172" i="16"/>
  <c r="I172" i="16"/>
  <c r="K172" i="16" s="1"/>
  <c r="J171" i="16"/>
  <c r="I171" i="16"/>
  <c r="K171" i="16" s="1"/>
  <c r="J170" i="16"/>
  <c r="I170" i="16"/>
  <c r="K170" i="16" s="1"/>
  <c r="J169" i="16"/>
  <c r="I169" i="16"/>
  <c r="K169" i="16" s="1"/>
  <c r="J168" i="16"/>
  <c r="I168" i="16"/>
  <c r="K168" i="16" s="1"/>
  <c r="J167" i="16"/>
  <c r="I167" i="16"/>
  <c r="K167" i="16" s="1"/>
  <c r="J166" i="16"/>
  <c r="I166" i="16"/>
  <c r="K166" i="16" s="1"/>
  <c r="L166" i="16" s="1"/>
  <c r="J165" i="16"/>
  <c r="I165" i="16"/>
  <c r="K165" i="16" s="1"/>
  <c r="J164" i="16"/>
  <c r="I164" i="16"/>
  <c r="K164" i="16" s="1"/>
  <c r="J163" i="16"/>
  <c r="I163" i="16"/>
  <c r="K163" i="16" s="1"/>
  <c r="J162" i="16"/>
  <c r="I162" i="16"/>
  <c r="K162" i="16" s="1"/>
  <c r="J161" i="16"/>
  <c r="I161" i="16"/>
  <c r="K161" i="16" s="1"/>
  <c r="J160" i="16"/>
  <c r="I160" i="16"/>
  <c r="K160" i="16" s="1"/>
  <c r="J159" i="16"/>
  <c r="I159" i="16"/>
  <c r="K159" i="16" s="1"/>
  <c r="J158" i="16"/>
  <c r="I158" i="16"/>
  <c r="K158" i="16" s="1"/>
  <c r="J157" i="16"/>
  <c r="I157" i="16"/>
  <c r="K157" i="16" s="1"/>
  <c r="J156" i="16"/>
  <c r="I156" i="16"/>
  <c r="K156" i="16" s="1"/>
  <c r="J155" i="16"/>
  <c r="I155" i="16"/>
  <c r="K155" i="16" s="1"/>
  <c r="J154" i="16"/>
  <c r="I154" i="16"/>
  <c r="K154" i="16" s="1"/>
  <c r="J153" i="16"/>
  <c r="I153" i="16"/>
  <c r="K153" i="16" s="1"/>
  <c r="J152" i="16"/>
  <c r="I152" i="16"/>
  <c r="K152" i="16" s="1"/>
  <c r="J151" i="16"/>
  <c r="I151" i="16"/>
  <c r="K151" i="16" s="1"/>
  <c r="J150" i="16"/>
  <c r="I150" i="16"/>
  <c r="K150" i="16" s="1"/>
  <c r="J149" i="16"/>
  <c r="I149" i="16"/>
  <c r="K149" i="16" s="1"/>
  <c r="J148" i="16"/>
  <c r="I148" i="16"/>
  <c r="K148" i="16" s="1"/>
  <c r="J147" i="16"/>
  <c r="I147" i="16"/>
  <c r="K147" i="16" s="1"/>
  <c r="J146" i="16"/>
  <c r="I146" i="16"/>
  <c r="K146" i="16" s="1"/>
  <c r="J145" i="16"/>
  <c r="I145" i="16"/>
  <c r="K145" i="16" s="1"/>
  <c r="J144" i="16"/>
  <c r="I144" i="16"/>
  <c r="K144" i="16" s="1"/>
  <c r="J143" i="16"/>
  <c r="I143" i="16"/>
  <c r="K143" i="16" s="1"/>
  <c r="J142" i="16"/>
  <c r="I142" i="16"/>
  <c r="K142" i="16" s="1"/>
  <c r="L142" i="16" s="1"/>
  <c r="J141" i="16"/>
  <c r="I141" i="16"/>
  <c r="K141" i="16" s="1"/>
  <c r="J140" i="16"/>
  <c r="I140" i="16"/>
  <c r="K140" i="16" s="1"/>
  <c r="J139" i="16"/>
  <c r="I139" i="16"/>
  <c r="K139" i="16" s="1"/>
  <c r="J138" i="16"/>
  <c r="I138" i="16"/>
  <c r="K138" i="16" s="1"/>
  <c r="J137" i="16"/>
  <c r="I137" i="16"/>
  <c r="K137" i="16" s="1"/>
  <c r="J136" i="16"/>
  <c r="I136" i="16"/>
  <c r="K136" i="16" s="1"/>
  <c r="J135" i="16"/>
  <c r="I135" i="16"/>
  <c r="K135" i="16" s="1"/>
  <c r="J134" i="16"/>
  <c r="I134" i="16"/>
  <c r="K134" i="16" s="1"/>
  <c r="L134" i="16" s="1"/>
  <c r="J133" i="16"/>
  <c r="I133" i="16"/>
  <c r="K133" i="16" s="1"/>
  <c r="J132" i="16"/>
  <c r="I132" i="16"/>
  <c r="K132" i="16" s="1"/>
  <c r="J131" i="16"/>
  <c r="I131" i="16"/>
  <c r="K131" i="16" s="1"/>
  <c r="J130" i="16"/>
  <c r="I130" i="16"/>
  <c r="K130" i="16" s="1"/>
  <c r="L130" i="16" s="1"/>
  <c r="J129" i="16"/>
  <c r="I129" i="16"/>
  <c r="K129" i="16" s="1"/>
  <c r="J128" i="16"/>
  <c r="I128" i="16"/>
  <c r="K128" i="16" s="1"/>
  <c r="J127" i="16"/>
  <c r="I127" i="16"/>
  <c r="K127" i="16" s="1"/>
  <c r="L127" i="16" s="1"/>
  <c r="J126" i="16"/>
  <c r="I126" i="16"/>
  <c r="K126" i="16" s="1"/>
  <c r="J125" i="16"/>
  <c r="I125" i="16"/>
  <c r="K125" i="16" s="1"/>
  <c r="J124" i="16"/>
  <c r="I124" i="16"/>
  <c r="K124" i="16" s="1"/>
  <c r="J123" i="16"/>
  <c r="I123" i="16"/>
  <c r="K123" i="16" s="1"/>
  <c r="L123" i="16" s="1"/>
  <c r="J122" i="16"/>
  <c r="I122" i="16"/>
  <c r="K122" i="16" s="1"/>
  <c r="J121" i="16"/>
  <c r="I121" i="16"/>
  <c r="K121" i="16" s="1"/>
  <c r="J120" i="16"/>
  <c r="I120" i="16"/>
  <c r="K120" i="16" s="1"/>
  <c r="J119" i="16"/>
  <c r="I119" i="16"/>
  <c r="K119" i="16" s="1"/>
  <c r="J118" i="16"/>
  <c r="I118" i="16"/>
  <c r="K118" i="16" s="1"/>
  <c r="J117" i="16"/>
  <c r="I117" i="16"/>
  <c r="K117" i="16" s="1"/>
  <c r="J116" i="16"/>
  <c r="I116" i="16"/>
  <c r="K116" i="16" s="1"/>
  <c r="J115" i="16"/>
  <c r="I115" i="16"/>
  <c r="K115" i="16" s="1"/>
  <c r="L115" i="16" s="1"/>
  <c r="J114" i="16"/>
  <c r="I114" i="16"/>
  <c r="K114" i="16" s="1"/>
  <c r="J113" i="16"/>
  <c r="I113" i="16"/>
  <c r="K113" i="16" s="1"/>
  <c r="J112" i="16"/>
  <c r="I112" i="16"/>
  <c r="K112" i="16" s="1"/>
  <c r="J111" i="16"/>
  <c r="I111" i="16"/>
  <c r="K111" i="16" s="1"/>
  <c r="L111" i="16" s="1"/>
  <c r="J110" i="16"/>
  <c r="I110" i="16"/>
  <c r="K110" i="16" s="1"/>
  <c r="J109" i="16"/>
  <c r="I109" i="16"/>
  <c r="K109" i="16" s="1"/>
  <c r="J108" i="16"/>
  <c r="I108" i="16"/>
  <c r="K108" i="16" s="1"/>
  <c r="J107" i="16"/>
  <c r="I107" i="16"/>
  <c r="K107" i="16" s="1"/>
  <c r="L107" i="16" s="1"/>
  <c r="J106" i="16"/>
  <c r="I106" i="16"/>
  <c r="K106" i="16" s="1"/>
  <c r="J105" i="16"/>
  <c r="I105" i="16"/>
  <c r="K105" i="16" s="1"/>
  <c r="J104" i="16"/>
  <c r="I104" i="16"/>
  <c r="K104" i="16" s="1"/>
  <c r="J103" i="16"/>
  <c r="I103" i="16"/>
  <c r="K103" i="16" s="1"/>
  <c r="J102" i="16"/>
  <c r="I102" i="16"/>
  <c r="K102" i="16" s="1"/>
  <c r="J101" i="16"/>
  <c r="I101" i="16"/>
  <c r="K101" i="16" s="1"/>
  <c r="J100" i="16"/>
  <c r="I100" i="16"/>
  <c r="K100" i="16" s="1"/>
  <c r="J99" i="16"/>
  <c r="I99" i="16"/>
  <c r="K99" i="16" s="1"/>
  <c r="J98" i="16"/>
  <c r="I98" i="16"/>
  <c r="K98" i="16" s="1"/>
  <c r="J97" i="16"/>
  <c r="I97" i="16"/>
  <c r="K97" i="16" s="1"/>
  <c r="J96" i="16"/>
  <c r="I96" i="16"/>
  <c r="K96" i="16" s="1"/>
  <c r="J95" i="16"/>
  <c r="I95" i="16"/>
  <c r="K95" i="16" s="1"/>
  <c r="L95" i="16" s="1"/>
  <c r="J94" i="16"/>
  <c r="I94" i="16"/>
  <c r="K94" i="16" s="1"/>
  <c r="J93" i="16"/>
  <c r="I93" i="16"/>
  <c r="K93" i="16" s="1"/>
  <c r="J92" i="16"/>
  <c r="I92" i="16"/>
  <c r="K92" i="16" s="1"/>
  <c r="J91" i="16"/>
  <c r="I91" i="16"/>
  <c r="K91" i="16" s="1"/>
  <c r="J90" i="16"/>
  <c r="I90" i="16"/>
  <c r="K90" i="16" s="1"/>
  <c r="J89" i="16"/>
  <c r="I89" i="16"/>
  <c r="K89" i="16" s="1"/>
  <c r="J88" i="16"/>
  <c r="I88" i="16"/>
  <c r="K88" i="16" s="1"/>
  <c r="J87" i="16"/>
  <c r="I87" i="16"/>
  <c r="K87" i="16" s="1"/>
  <c r="J86" i="16"/>
  <c r="I86" i="16"/>
  <c r="K86" i="16" s="1"/>
  <c r="J85" i="16"/>
  <c r="I85" i="16"/>
  <c r="K85" i="16" s="1"/>
  <c r="J84" i="16"/>
  <c r="I84" i="16"/>
  <c r="K84" i="16" s="1"/>
  <c r="J83" i="16"/>
  <c r="I83" i="16"/>
  <c r="K83" i="16" s="1"/>
  <c r="L83" i="16" s="1"/>
  <c r="J82" i="16"/>
  <c r="I82" i="16"/>
  <c r="K82" i="16" s="1"/>
  <c r="J81" i="16"/>
  <c r="I81" i="16"/>
  <c r="K81" i="16" s="1"/>
  <c r="J80" i="16"/>
  <c r="I80" i="16"/>
  <c r="K80" i="16" s="1"/>
  <c r="J79" i="16"/>
  <c r="I79" i="16"/>
  <c r="K79" i="16" s="1"/>
  <c r="L79" i="16" s="1"/>
  <c r="J78" i="16"/>
  <c r="I78" i="16"/>
  <c r="K78" i="16" s="1"/>
  <c r="J77" i="16"/>
  <c r="I77" i="16"/>
  <c r="K77" i="16" s="1"/>
  <c r="J76" i="16"/>
  <c r="I76" i="16"/>
  <c r="K76" i="16" s="1"/>
  <c r="J75" i="16"/>
  <c r="I75" i="16"/>
  <c r="K75" i="16" s="1"/>
  <c r="J74" i="16"/>
  <c r="I74" i="16"/>
  <c r="K74" i="16" s="1"/>
  <c r="J73" i="16"/>
  <c r="I73" i="16"/>
  <c r="K73" i="16" s="1"/>
  <c r="J72" i="16"/>
  <c r="I72" i="16"/>
  <c r="K72" i="16" s="1"/>
  <c r="L72" i="16" s="1"/>
  <c r="V74" i="16" s="1"/>
  <c r="J71" i="16"/>
  <c r="I71" i="16"/>
  <c r="K71" i="16" s="1"/>
  <c r="L71" i="16" s="1"/>
  <c r="J70" i="16"/>
  <c r="I70" i="16"/>
  <c r="K70" i="16" s="1"/>
  <c r="J69" i="16"/>
  <c r="I69" i="16"/>
  <c r="K69" i="16" s="1"/>
  <c r="J68" i="16"/>
  <c r="I68" i="16"/>
  <c r="K68" i="16" s="1"/>
  <c r="J67" i="16"/>
  <c r="I67" i="16"/>
  <c r="K67" i="16" s="1"/>
  <c r="L67" i="16" s="1"/>
  <c r="J66" i="16"/>
  <c r="I66" i="16"/>
  <c r="K66" i="16" s="1"/>
  <c r="J65" i="16"/>
  <c r="I65" i="16"/>
  <c r="K65" i="16" s="1"/>
  <c r="J64" i="16"/>
  <c r="I64" i="16"/>
  <c r="K64" i="16" s="1"/>
  <c r="L64" i="16" s="1"/>
  <c r="J63" i="16"/>
  <c r="I63" i="16"/>
  <c r="K63" i="16" s="1"/>
  <c r="L63" i="16" s="1"/>
  <c r="V65" i="16" s="1"/>
  <c r="J62" i="16"/>
  <c r="I62" i="16"/>
  <c r="K62" i="16" s="1"/>
  <c r="J61" i="16"/>
  <c r="I61" i="16"/>
  <c r="K61" i="16" s="1"/>
  <c r="L61" i="16" s="1"/>
  <c r="J60" i="16"/>
  <c r="I60" i="16"/>
  <c r="K60" i="16" s="1"/>
  <c r="L60" i="16" s="1"/>
  <c r="J59" i="16"/>
  <c r="I59" i="16"/>
  <c r="K59" i="16" s="1"/>
  <c r="L59" i="16" s="1"/>
  <c r="J58" i="16"/>
  <c r="I58" i="16"/>
  <c r="K58" i="16" s="1"/>
  <c r="J57" i="16"/>
  <c r="I57" i="16"/>
  <c r="K57" i="16" s="1"/>
  <c r="L57" i="16" s="1"/>
  <c r="J56" i="16"/>
  <c r="I56" i="16"/>
  <c r="K56" i="16" s="1"/>
  <c r="J55" i="16"/>
  <c r="I55" i="16"/>
  <c r="K55" i="16" s="1"/>
  <c r="L55" i="16" s="1"/>
  <c r="J54" i="16"/>
  <c r="I54" i="16"/>
  <c r="K54" i="16" s="1"/>
  <c r="J53" i="16"/>
  <c r="I53" i="16"/>
  <c r="K53" i="16" s="1"/>
  <c r="J52" i="16"/>
  <c r="I52" i="16"/>
  <c r="K52" i="16" s="1"/>
  <c r="J51" i="16"/>
  <c r="I51" i="16"/>
  <c r="K51" i="16" s="1"/>
  <c r="J50" i="16"/>
  <c r="I50" i="16"/>
  <c r="K50" i="16" s="1"/>
  <c r="J49" i="16"/>
  <c r="I49" i="16"/>
  <c r="K49" i="16" s="1"/>
  <c r="L49" i="16" s="1"/>
  <c r="J48" i="16"/>
  <c r="I48" i="16"/>
  <c r="K48" i="16" s="1"/>
  <c r="L48" i="16" s="1"/>
  <c r="J47" i="16"/>
  <c r="I47" i="16"/>
  <c r="K47" i="16" s="1"/>
  <c r="L47" i="16" s="1"/>
  <c r="J46" i="16"/>
  <c r="I46" i="16"/>
  <c r="K46" i="16" s="1"/>
  <c r="J45" i="16"/>
  <c r="I45" i="16"/>
  <c r="K45" i="16" s="1"/>
  <c r="L45" i="16" s="1"/>
  <c r="J44" i="16"/>
  <c r="I44" i="16"/>
  <c r="K44" i="16" s="1"/>
  <c r="J43" i="16"/>
  <c r="I43" i="16"/>
  <c r="K43" i="16" s="1"/>
  <c r="J42" i="16"/>
  <c r="I42" i="16"/>
  <c r="K42" i="16" s="1"/>
  <c r="J41" i="16"/>
  <c r="I41" i="16"/>
  <c r="K41" i="16" s="1"/>
  <c r="J40" i="16"/>
  <c r="I40" i="16"/>
  <c r="K40" i="16" s="1"/>
  <c r="L40" i="16" s="1"/>
  <c r="J39" i="16"/>
  <c r="I39" i="16"/>
  <c r="K39" i="16" s="1"/>
  <c r="J38" i="16"/>
  <c r="I38" i="16"/>
  <c r="K38" i="16" s="1"/>
  <c r="J37" i="16"/>
  <c r="I37" i="16"/>
  <c r="K37" i="16" s="1"/>
  <c r="L37" i="16" s="1"/>
  <c r="J36" i="16"/>
  <c r="I36" i="16"/>
  <c r="K36" i="16" s="1"/>
  <c r="L36" i="16" s="1"/>
  <c r="J35" i="16"/>
  <c r="I35" i="16"/>
  <c r="K35" i="16" s="1"/>
  <c r="L35" i="16" s="1"/>
  <c r="K34" i="16"/>
  <c r="J34" i="16"/>
  <c r="I34" i="16"/>
  <c r="J33" i="16"/>
  <c r="I33" i="16"/>
  <c r="K33" i="16" s="1"/>
  <c r="J32" i="16"/>
  <c r="I32" i="16"/>
  <c r="K32" i="16" s="1"/>
  <c r="J31" i="16"/>
  <c r="I31" i="16"/>
  <c r="K31" i="16" s="1"/>
  <c r="J30" i="16"/>
  <c r="I30" i="16"/>
  <c r="K30" i="16" s="1"/>
  <c r="J29" i="16"/>
  <c r="I29" i="16"/>
  <c r="K29" i="16" s="1"/>
  <c r="J28" i="16"/>
  <c r="I28" i="16"/>
  <c r="K28" i="16" s="1"/>
  <c r="J27" i="16"/>
  <c r="I27" i="16"/>
  <c r="K27" i="16" s="1"/>
  <c r="J26" i="16"/>
  <c r="I26" i="16"/>
  <c r="K26" i="16" s="1"/>
  <c r="J25" i="16"/>
  <c r="I25" i="16"/>
  <c r="K25" i="16" s="1"/>
  <c r="J24" i="16"/>
  <c r="I24" i="16"/>
  <c r="K24" i="16" s="1"/>
  <c r="J23" i="16"/>
  <c r="I23" i="16"/>
  <c r="K23" i="16" s="1"/>
  <c r="J22" i="16"/>
  <c r="I22" i="16"/>
  <c r="K22" i="16" s="1"/>
  <c r="J21" i="16"/>
  <c r="I21" i="16"/>
  <c r="K21" i="16" s="1"/>
  <c r="J20" i="16"/>
  <c r="I20" i="16"/>
  <c r="K20" i="16" s="1"/>
  <c r="J19" i="16"/>
  <c r="I19" i="16"/>
  <c r="K19" i="16" s="1"/>
  <c r="L19" i="16" s="1"/>
  <c r="J18" i="16"/>
  <c r="I18" i="16"/>
  <c r="K18" i="16" s="1"/>
  <c r="J17" i="16"/>
  <c r="I17" i="16"/>
  <c r="K17" i="16" s="1"/>
  <c r="L17" i="16" s="1"/>
  <c r="J16" i="16"/>
  <c r="I16" i="16"/>
  <c r="K16" i="16" s="1"/>
  <c r="J15" i="16"/>
  <c r="I15" i="16"/>
  <c r="K15" i="16" s="1"/>
  <c r="L15" i="16" s="1"/>
  <c r="J14" i="16"/>
  <c r="I14" i="16"/>
  <c r="K14" i="16" s="1"/>
  <c r="J13" i="16"/>
  <c r="I13" i="16"/>
  <c r="K13" i="16" s="1"/>
  <c r="L13" i="16" s="1"/>
  <c r="J12" i="16"/>
  <c r="I12" i="16"/>
  <c r="K12" i="16" s="1"/>
  <c r="J11" i="16"/>
  <c r="I11" i="16"/>
  <c r="K11" i="16" s="1"/>
  <c r="J10" i="16"/>
  <c r="I10" i="16"/>
  <c r="K10" i="16" s="1"/>
  <c r="J9" i="16"/>
  <c r="I9" i="16"/>
  <c r="K9" i="16" s="1"/>
  <c r="J8" i="16"/>
  <c r="I8" i="16"/>
  <c r="K8" i="16" s="1"/>
  <c r="J7" i="16"/>
  <c r="I7" i="16"/>
  <c r="K7" i="16" s="1"/>
  <c r="J6" i="16"/>
  <c r="I6" i="16"/>
  <c r="K6" i="16" s="1"/>
  <c r="J5" i="16"/>
  <c r="I5" i="16"/>
  <c r="K5" i="16" s="1"/>
  <c r="J4" i="16"/>
  <c r="I4" i="16"/>
  <c r="K4" i="16" s="1"/>
  <c r="L4" i="16" s="1"/>
  <c r="J3" i="16"/>
  <c r="I3" i="16"/>
  <c r="K3" i="16" s="1"/>
  <c r="L3" i="16" s="1"/>
  <c r="J2" i="16"/>
  <c r="I2" i="16"/>
  <c r="K2" i="16" s="1"/>
  <c r="I322" i="9"/>
  <c r="K322" i="9" s="1"/>
  <c r="J322" i="9"/>
  <c r="I322" i="1"/>
  <c r="K322" i="1" s="1"/>
  <c r="J322" i="1"/>
  <c r="L308" i="17" l="1"/>
  <c r="L26" i="17"/>
  <c r="L84" i="17"/>
  <c r="L16" i="17"/>
  <c r="L74" i="16"/>
  <c r="L102" i="16"/>
  <c r="L119" i="16"/>
  <c r="L112" i="16"/>
  <c r="L268" i="16"/>
  <c r="L300" i="16"/>
  <c r="L304" i="16"/>
  <c r="V86" i="16" s="1"/>
  <c r="L308" i="16"/>
  <c r="V90" i="16" s="1"/>
  <c r="L312" i="16"/>
  <c r="V94" i="16" s="1"/>
  <c r="L316" i="16"/>
  <c r="V98" i="16" s="1"/>
  <c r="L320" i="16"/>
  <c r="L8" i="16"/>
  <c r="L12" i="16"/>
  <c r="L20" i="16"/>
  <c r="L311" i="16"/>
  <c r="V93" i="16" s="1"/>
  <c r="L120" i="16"/>
  <c r="L14" i="16"/>
  <c r="L18" i="16"/>
  <c r="L133" i="16"/>
  <c r="L149" i="16"/>
  <c r="L153" i="16"/>
  <c r="L165" i="16"/>
  <c r="L201" i="16"/>
  <c r="L281" i="16"/>
  <c r="L289" i="16"/>
  <c r="L9" i="17"/>
  <c r="L75" i="17"/>
  <c r="V77" i="17" s="1"/>
  <c r="L79" i="17"/>
  <c r="V81" i="17" s="1"/>
  <c r="L83" i="17"/>
  <c r="L101" i="17"/>
  <c r="L105" i="17"/>
  <c r="L116" i="17"/>
  <c r="L233" i="17"/>
  <c r="L237" i="17"/>
  <c r="L91" i="17"/>
  <c r="L222" i="17"/>
  <c r="L50" i="17"/>
  <c r="L2" i="17"/>
  <c r="L6" i="17"/>
  <c r="L14" i="17"/>
  <c r="L25" i="17"/>
  <c r="L29" i="17"/>
  <c r="L37" i="17"/>
  <c r="L41" i="17"/>
  <c r="L95" i="17"/>
  <c r="L102" i="17"/>
  <c r="L133" i="17"/>
  <c r="L137" i="17"/>
  <c r="L230" i="17"/>
  <c r="L238" i="17"/>
  <c r="L246" i="17"/>
  <c r="L250" i="17"/>
  <c r="L38" i="17"/>
  <c r="L46" i="17"/>
  <c r="L96" i="17"/>
  <c r="L126" i="17"/>
  <c r="L130" i="17"/>
  <c r="L134" i="17"/>
  <c r="L152" i="17"/>
  <c r="L156" i="17"/>
  <c r="L209" i="17"/>
  <c r="L213" i="17"/>
  <c r="L217" i="17"/>
  <c r="L10" i="17"/>
  <c r="L67" i="17"/>
  <c r="V69" i="17" s="1"/>
  <c r="L138" i="17"/>
  <c r="L226" i="17"/>
  <c r="L316" i="17"/>
  <c r="V98" i="17" s="1"/>
  <c r="L87" i="17"/>
  <c r="L97" i="17"/>
  <c r="L150" i="17"/>
  <c r="L34" i="17"/>
  <c r="L161" i="17"/>
  <c r="L61" i="17"/>
  <c r="L88" i="17"/>
  <c r="L98" i="17"/>
  <c r="L173" i="17"/>
  <c r="L181" i="17"/>
  <c r="L192" i="17"/>
  <c r="L302" i="17"/>
  <c r="V84" i="17" s="1"/>
  <c r="L306" i="17"/>
  <c r="V88" i="17" s="1"/>
  <c r="L13" i="17"/>
  <c r="L69" i="17"/>
  <c r="L121" i="17"/>
  <c r="L132" i="17"/>
  <c r="L136" i="17"/>
  <c r="L155" i="17"/>
  <c r="L162" i="17"/>
  <c r="L255" i="17"/>
  <c r="L58" i="17"/>
  <c r="L62" i="17"/>
  <c r="V64" i="17" s="1"/>
  <c r="L73" i="17"/>
  <c r="V75" i="17" s="1"/>
  <c r="L77" i="17"/>
  <c r="V79" i="17" s="1"/>
  <c r="L85" i="17"/>
  <c r="L92" i="17"/>
  <c r="L144" i="17"/>
  <c r="L159" i="17"/>
  <c r="L166" i="17"/>
  <c r="L170" i="17"/>
  <c r="L178" i="17"/>
  <c r="L182" i="17"/>
  <c r="L193" i="17"/>
  <c r="L232" i="17"/>
  <c r="L236" i="17"/>
  <c r="L240" i="17"/>
  <c r="L244" i="17"/>
  <c r="L248" i="17"/>
  <c r="L259" i="17"/>
  <c r="L291" i="17"/>
  <c r="L299" i="17"/>
  <c r="L303" i="17"/>
  <c r="V85" i="17" s="1"/>
  <c r="L198" i="16"/>
  <c r="L70" i="16"/>
  <c r="L101" i="16"/>
  <c r="L109" i="16"/>
  <c r="L136" i="16"/>
  <c r="L211" i="16"/>
  <c r="L231" i="16"/>
  <c r="L235" i="16"/>
  <c r="L243" i="16"/>
  <c r="L251" i="16"/>
  <c r="L259" i="16"/>
  <c r="L27" i="16"/>
  <c r="L31" i="16"/>
  <c r="L173" i="16"/>
  <c r="L200" i="16"/>
  <c r="L276" i="16"/>
  <c r="L131" i="16"/>
  <c r="L209" i="16"/>
  <c r="L213" i="16"/>
  <c r="L217" i="16"/>
  <c r="L233" i="16"/>
  <c r="L249" i="16"/>
  <c r="L257" i="16"/>
  <c r="L24" i="16"/>
  <c r="L87" i="16"/>
  <c r="L97" i="16"/>
  <c r="L139" i="16"/>
  <c r="L143" i="16"/>
  <c r="L21" i="16"/>
  <c r="L25" i="16"/>
  <c r="L29" i="16"/>
  <c r="L88" i="16"/>
  <c r="L92" i="16"/>
  <c r="L98" i="16"/>
  <c r="L125" i="16"/>
  <c r="L147" i="16"/>
  <c r="L151" i="16"/>
  <c r="L159" i="16"/>
  <c r="L167" i="16"/>
  <c r="L179" i="16"/>
  <c r="L183" i="16"/>
  <c r="L187" i="16"/>
  <c r="L191" i="16"/>
  <c r="L266" i="16"/>
  <c r="L274" i="16"/>
  <c r="L293" i="16"/>
  <c r="L313" i="16"/>
  <c r="V95" i="16" s="1"/>
  <c r="L26" i="16"/>
  <c r="L30" i="16"/>
  <c r="L73" i="16"/>
  <c r="V75" i="16" s="1"/>
  <c r="L85" i="16"/>
  <c r="L89" i="16"/>
  <c r="L99" i="16"/>
  <c r="L122" i="16"/>
  <c r="L126" i="16"/>
  <c r="L156" i="16"/>
  <c r="L160" i="16"/>
  <c r="L164" i="16"/>
  <c r="L168" i="16"/>
  <c r="L172" i="16"/>
  <c r="L176" i="16"/>
  <c r="L180" i="16"/>
  <c r="L184" i="16"/>
  <c r="L188" i="16"/>
  <c r="L192" i="16"/>
  <c r="L196" i="16"/>
  <c r="L314" i="16"/>
  <c r="V96" i="16" s="1"/>
  <c r="L318" i="16"/>
  <c r="V100" i="16" s="1"/>
  <c r="L322" i="9"/>
  <c r="L5" i="17"/>
  <c r="L43" i="17"/>
  <c r="L106" i="17"/>
  <c r="L149" i="17"/>
  <c r="L186" i="17"/>
  <c r="L212" i="17"/>
  <c r="L231" i="17"/>
  <c r="L281" i="17"/>
  <c r="L12" i="17"/>
  <c r="L19" i="17"/>
  <c r="L40" i="17"/>
  <c r="L54" i="17"/>
  <c r="L76" i="17"/>
  <c r="V78" i="17" s="1"/>
  <c r="L103" i="17"/>
  <c r="L110" i="17"/>
  <c r="L120" i="17"/>
  <c r="L124" i="17"/>
  <c r="L135" i="17"/>
  <c r="L153" i="17"/>
  <c r="L171" i="17"/>
  <c r="L175" i="17"/>
  <c r="L179" i="17"/>
  <c r="L183" i="17"/>
  <c r="L190" i="17"/>
  <c r="L205" i="17"/>
  <c r="L216" i="17"/>
  <c r="L220" i="17"/>
  <c r="L224" i="17"/>
  <c r="L243" i="17"/>
  <c r="L247" i="17"/>
  <c r="L258" i="17"/>
  <c r="L285" i="17"/>
  <c r="L274" i="17"/>
  <c r="L278" i="17"/>
  <c r="L282" i="17"/>
  <c r="L289" i="17"/>
  <c r="L293" i="17"/>
  <c r="L301" i="17"/>
  <c r="L305" i="17"/>
  <c r="V87" i="17" s="1"/>
  <c r="L320" i="17"/>
  <c r="V102" i="17" s="1"/>
  <c r="L47" i="17"/>
  <c r="L157" i="17"/>
  <c r="L194" i="17"/>
  <c r="L228" i="17"/>
  <c r="L3" i="17"/>
  <c r="L7" i="17"/>
  <c r="L27" i="17"/>
  <c r="L70" i="17"/>
  <c r="V72" i="17" s="1"/>
  <c r="L118" i="17"/>
  <c r="L129" i="17"/>
  <c r="L140" i="17"/>
  <c r="L147" i="17"/>
  <c r="L154" i="17"/>
  <c r="L158" i="17"/>
  <c r="L169" i="17"/>
  <c r="L195" i="17"/>
  <c r="L199" i="17"/>
  <c r="L203" i="17"/>
  <c r="L214" i="17"/>
  <c r="L229" i="17"/>
  <c r="L263" i="17"/>
  <c r="L267" i="17"/>
  <c r="L271" i="17"/>
  <c r="L275" i="17"/>
  <c r="L279" i="17"/>
  <c r="L321" i="17"/>
  <c r="V103" i="17" s="1"/>
  <c r="L287" i="17"/>
  <c r="L4" i="17"/>
  <c r="L21" i="17"/>
  <c r="L24" i="17"/>
  <c r="L28" i="17"/>
  <c r="L42" i="17"/>
  <c r="L60" i="17"/>
  <c r="L63" i="17"/>
  <c r="V65" i="17" s="1"/>
  <c r="L71" i="17"/>
  <c r="V73" i="17" s="1"/>
  <c r="L122" i="17"/>
  <c r="L256" i="17"/>
  <c r="L307" i="17"/>
  <c r="V89" i="17" s="1"/>
  <c r="L148" i="17"/>
  <c r="L311" i="17"/>
  <c r="V93" i="17" s="1"/>
  <c r="L48" i="17"/>
  <c r="L288" i="17"/>
  <c r="L312" i="17"/>
  <c r="V94" i="17" s="1"/>
  <c r="L15" i="17"/>
  <c r="L99" i="17"/>
  <c r="L208" i="17"/>
  <c r="L260" i="17"/>
  <c r="L125" i="17"/>
  <c r="L23" i="17"/>
  <c r="L93" i="17"/>
  <c r="L89" i="17"/>
  <c r="L8" i="17"/>
  <c r="L44" i="17"/>
  <c r="L163" i="17"/>
  <c r="L187" i="17"/>
  <c r="L197" i="17"/>
  <c r="L241" i="17"/>
  <c r="L297" i="17"/>
  <c r="L318" i="17"/>
  <c r="V100" i="17" s="1"/>
  <c r="L45" i="17"/>
  <c r="L94" i="17"/>
  <c r="L164" i="17"/>
  <c r="L11" i="17"/>
  <c r="L80" i="17"/>
  <c r="V82" i="17" s="1"/>
  <c r="L104" i="17"/>
  <c r="L167" i="17"/>
  <c r="L191" i="17"/>
  <c r="L201" i="17"/>
  <c r="L211" i="17"/>
  <c r="L235" i="17"/>
  <c r="L245" i="17"/>
  <c r="L266" i="17"/>
  <c r="L273" i="17"/>
  <c r="L188" i="17"/>
  <c r="L215" i="17"/>
  <c r="L32" i="17"/>
  <c r="L39" i="17"/>
  <c r="L51" i="17"/>
  <c r="L81" i="17"/>
  <c r="V83" i="17" s="1"/>
  <c r="L128" i="17"/>
  <c r="L174" i="17"/>
  <c r="L177" i="17"/>
  <c r="L198" i="17"/>
  <c r="L218" i="17"/>
  <c r="L225" i="17"/>
  <c r="L239" i="17"/>
  <c r="L242" i="17"/>
  <c r="L249" i="17"/>
  <c r="L270" i="17"/>
  <c r="L277" i="17"/>
  <c r="L295" i="17"/>
  <c r="L298" i="17"/>
  <c r="L319" i="17"/>
  <c r="V101" i="17" s="1"/>
  <c r="V80" i="17"/>
  <c r="V76" i="17"/>
  <c r="L141" i="17"/>
  <c r="L17" i="17"/>
  <c r="V74" i="17"/>
  <c r="L210" i="17"/>
  <c r="L33" i="17"/>
  <c r="L36" i="17"/>
  <c r="V66" i="17"/>
  <c r="V71" i="17"/>
  <c r="L202" i="17"/>
  <c r="L66" i="17"/>
  <c r="L131" i="17"/>
  <c r="L49" i="17"/>
  <c r="L52" i="17"/>
  <c r="L65" i="17"/>
  <c r="L86" i="17"/>
  <c r="L90" i="17"/>
  <c r="L113" i="17"/>
  <c r="L145" i="17"/>
  <c r="L59" i="17"/>
  <c r="L109" i="17"/>
  <c r="L30" i="17"/>
  <c r="V86" i="17"/>
  <c r="L107" i="17"/>
  <c r="L139" i="17"/>
  <c r="L221" i="17"/>
  <c r="L251" i="17"/>
  <c r="L315" i="17"/>
  <c r="L111" i="17"/>
  <c r="L143" i="17"/>
  <c r="L165" i="17"/>
  <c r="L234" i="17"/>
  <c r="V90" i="17"/>
  <c r="L119" i="17"/>
  <c r="L151" i="17"/>
  <c r="L123" i="17"/>
  <c r="L189" i="17"/>
  <c r="L283" i="17"/>
  <c r="V92" i="17"/>
  <c r="L11" i="16"/>
  <c r="L94" i="16"/>
  <c r="L292" i="16"/>
  <c r="L52" i="16"/>
  <c r="L77" i="16"/>
  <c r="V79" i="16" s="1"/>
  <c r="L175" i="16"/>
  <c r="L225" i="16"/>
  <c r="L267" i="16"/>
  <c r="L275" i="16"/>
  <c r="L282" i="16"/>
  <c r="L286" i="16"/>
  <c r="L305" i="16"/>
  <c r="V87" i="16" s="1"/>
  <c r="L53" i="16"/>
  <c r="L138" i="16"/>
  <c r="L210" i="16"/>
  <c r="L241" i="16"/>
  <c r="L279" i="16"/>
  <c r="L321" i="16"/>
  <c r="V103" i="16" s="1"/>
  <c r="L90" i="16"/>
  <c r="L93" i="16"/>
  <c r="L117" i="16"/>
  <c r="L157" i="16"/>
  <c r="L226" i="16"/>
  <c r="L245" i="16"/>
  <c r="L272" i="16"/>
  <c r="L291" i="16"/>
  <c r="L298" i="16"/>
  <c r="L306" i="16"/>
  <c r="V88" i="16" s="1"/>
  <c r="L46" i="16"/>
  <c r="L50" i="16"/>
  <c r="L54" i="16"/>
  <c r="L65" i="16"/>
  <c r="V67" i="16" s="1"/>
  <c r="L68" i="16"/>
  <c r="V70" i="16" s="1"/>
  <c r="L110" i="16"/>
  <c r="L135" i="16"/>
  <c r="L260" i="16"/>
  <c r="L2" i="16"/>
  <c r="L10" i="16"/>
  <c r="L34" i="16"/>
  <c r="L62" i="16"/>
  <c r="V64" i="16" s="1"/>
  <c r="L69" i="16"/>
  <c r="L76" i="16"/>
  <c r="V78" i="16" s="1"/>
  <c r="L80" i="16"/>
  <c r="V82" i="16" s="1"/>
  <c r="L84" i="16"/>
  <c r="L96" i="16"/>
  <c r="L114" i="16"/>
  <c r="L132" i="16"/>
  <c r="L146" i="16"/>
  <c r="L150" i="16"/>
  <c r="L154" i="16"/>
  <c r="L158" i="16"/>
  <c r="L181" i="16"/>
  <c r="L227" i="16"/>
  <c r="L265" i="16"/>
  <c r="L273" i="16"/>
  <c r="L284" i="16"/>
  <c r="L288" i="16"/>
  <c r="L299" i="16"/>
  <c r="L307" i="16"/>
  <c r="L103" i="16"/>
  <c r="L129" i="16"/>
  <c r="L189" i="16"/>
  <c r="L248" i="16"/>
  <c r="L263" i="16"/>
  <c r="L270" i="16"/>
  <c r="L277" i="16"/>
  <c r="L280" i="16"/>
  <c r="L295" i="16"/>
  <c r="L302" i="16"/>
  <c r="V84" i="16" s="1"/>
  <c r="L309" i="16"/>
  <c r="V91" i="16" s="1"/>
  <c r="L9" i="16"/>
  <c r="L28" i="16"/>
  <c r="L44" i="16"/>
  <c r="L148" i="16"/>
  <c r="L193" i="16"/>
  <c r="L6" i="16"/>
  <c r="L16" i="16"/>
  <c r="L38" i="16"/>
  <c r="L41" i="16"/>
  <c r="L51" i="16"/>
  <c r="L58" i="16"/>
  <c r="L104" i="16"/>
  <c r="L118" i="16"/>
  <c r="L124" i="16"/>
  <c r="L145" i="16"/>
  <c r="L152" i="16"/>
  <c r="L162" i="16"/>
  <c r="L169" i="16"/>
  <c r="L190" i="16"/>
  <c r="L197" i="16"/>
  <c r="L207" i="16"/>
  <c r="L214" i="16"/>
  <c r="L221" i="16"/>
  <c r="L239" i="16"/>
  <c r="L246" i="16"/>
  <c r="L253" i="16"/>
  <c r="L271" i="16"/>
  <c r="L278" i="16"/>
  <c r="L285" i="16"/>
  <c r="L303" i="16"/>
  <c r="V85" i="16" s="1"/>
  <c r="L310" i="16"/>
  <c r="V92" i="16" s="1"/>
  <c r="L317" i="16"/>
  <c r="V99" i="16" s="1"/>
  <c r="L7" i="16"/>
  <c r="L22" i="16"/>
  <c r="L39" i="16"/>
  <c r="L42" i="16"/>
  <c r="L78" i="16"/>
  <c r="V80" i="16" s="1"/>
  <c r="L140" i="16"/>
  <c r="L163" i="16"/>
  <c r="L170" i="16"/>
  <c r="L177" i="16"/>
  <c r="L215" i="16"/>
  <c r="L222" i="16"/>
  <c r="L229" i="16"/>
  <c r="L247" i="16"/>
  <c r="L254" i="16"/>
  <c r="L261" i="16"/>
  <c r="L296" i="16"/>
  <c r="L195" i="16"/>
  <c r="L283" i="16"/>
  <c r="L290" i="16"/>
  <c r="L297" i="16"/>
  <c r="L315" i="16"/>
  <c r="V97" i="16" s="1"/>
  <c r="L322" i="16"/>
  <c r="L23" i="16"/>
  <c r="L75" i="16"/>
  <c r="V77" i="16" s="1"/>
  <c r="L82" i="16"/>
  <c r="L100" i="16"/>
  <c r="L106" i="16"/>
  <c r="L116" i="16"/>
  <c r="L141" i="16"/>
  <c r="L171" i="16"/>
  <c r="L178" i="16"/>
  <c r="L185" i="16"/>
  <c r="L199" i="16"/>
  <c r="L205" i="16"/>
  <c r="L223" i="16"/>
  <c r="L230" i="16"/>
  <c r="L237" i="16"/>
  <c r="L255" i="16"/>
  <c r="L262" i="16"/>
  <c r="L269" i="16"/>
  <c r="L287" i="16"/>
  <c r="L294" i="16"/>
  <c r="L301" i="16"/>
  <c r="L319" i="16"/>
  <c r="V101" i="16" s="1"/>
  <c r="L5" i="16"/>
  <c r="L43" i="16"/>
  <c r="V73" i="16"/>
  <c r="L137" i="16"/>
  <c r="L66" i="16"/>
  <c r="L81" i="16"/>
  <c r="L121" i="16"/>
  <c r="V71" i="16"/>
  <c r="V76" i="16"/>
  <c r="L86" i="16"/>
  <c r="L113" i="16"/>
  <c r="L203" i="16"/>
  <c r="V102" i="16"/>
  <c r="L32" i="16"/>
  <c r="V66" i="16"/>
  <c r="V81" i="16"/>
  <c r="V89" i="16"/>
  <c r="L56" i="16"/>
  <c r="L91" i="16"/>
  <c r="L144" i="16"/>
  <c r="V69" i="16"/>
  <c r="L105" i="16"/>
  <c r="L128" i="16"/>
  <c r="L219" i="16"/>
  <c r="L33" i="16"/>
  <c r="V72" i="16"/>
  <c r="L108" i="16"/>
  <c r="L155" i="16"/>
  <c r="L161" i="16"/>
  <c r="L322" i="1"/>
  <c r="V97" i="17" l="1"/>
  <c r="V68" i="17"/>
  <c r="V67" i="17"/>
  <c r="N2" i="17" s="1"/>
  <c r="V83" i="16"/>
  <c r="V68" i="16"/>
  <c r="N5" i="16" s="1"/>
  <c r="N5" i="17" l="1"/>
  <c r="M261" i="17"/>
  <c r="M285" i="17"/>
  <c r="M317" i="17"/>
  <c r="M309" i="17"/>
  <c r="M245" i="17"/>
  <c r="M211" i="17"/>
  <c r="M269" i="17"/>
  <c r="M293" i="17"/>
  <c r="M253" i="17"/>
  <c r="M101" i="17"/>
  <c r="M179" i="17"/>
  <c r="M41" i="17"/>
  <c r="M301" i="17"/>
  <c r="M277" i="17"/>
  <c r="M181" i="17"/>
  <c r="M171" i="17"/>
  <c r="M34" i="17"/>
  <c r="M88" i="17"/>
  <c r="M235" i="17"/>
  <c r="M240" i="17"/>
  <c r="M6" i="17"/>
  <c r="M2" i="17"/>
  <c r="M12" i="17"/>
  <c r="M92" i="17"/>
  <c r="M27" i="17"/>
  <c r="M25" i="17"/>
  <c r="M8" i="17"/>
  <c r="M83" i="17"/>
  <c r="M80" i="17"/>
  <c r="M133" i="17"/>
  <c r="M238" i="17"/>
  <c r="M286" i="17"/>
  <c r="M51" i="17"/>
  <c r="M144" i="17"/>
  <c r="M320" i="17"/>
  <c r="M26" i="17"/>
  <c r="M197" i="17"/>
  <c r="M292" i="17"/>
  <c r="M233" i="17"/>
  <c r="M130" i="17"/>
  <c r="M280" i="17"/>
  <c r="M264" i="17"/>
  <c r="M203" i="17"/>
  <c r="M194" i="17"/>
  <c r="M229" i="17"/>
  <c r="M20" i="17"/>
  <c r="M138" i="17"/>
  <c r="M304" i="17"/>
  <c r="M198" i="17"/>
  <c r="M275" i="17"/>
  <c r="M193" i="17"/>
  <c r="M318" i="17"/>
  <c r="M117" i="17"/>
  <c r="M307" i="17"/>
  <c r="M217" i="17"/>
  <c r="M313" i="17"/>
  <c r="M287" i="17"/>
  <c r="M266" i="17"/>
  <c r="M68" i="17"/>
  <c r="M316" i="17"/>
  <c r="M274" i="17"/>
  <c r="M23" i="17"/>
  <c r="M254" i="17"/>
  <c r="M244" i="17"/>
  <c r="M149" i="17"/>
  <c r="M222" i="17"/>
  <c r="M249" i="17"/>
  <c r="M311" i="17"/>
  <c r="M290" i="17"/>
  <c r="M72" i="17"/>
  <c r="M178" i="17"/>
  <c r="M160" i="17"/>
  <c r="M185" i="17"/>
  <c r="M214" i="17"/>
  <c r="M196" i="17"/>
  <c r="M91" i="17"/>
  <c r="M105" i="17"/>
  <c r="M57" i="17"/>
  <c r="M28" i="17"/>
  <c r="M38" i="17"/>
  <c r="M110" i="17"/>
  <c r="M118" i="17"/>
  <c r="M148" i="17"/>
  <c r="M289" i="17"/>
  <c r="M163" i="17"/>
  <c r="M48" i="17"/>
  <c r="M69" i="17"/>
  <c r="M200" i="17"/>
  <c r="M136" i="17"/>
  <c r="M272" i="17"/>
  <c r="M134" i="17"/>
  <c r="M63" i="17"/>
  <c r="M99" i="17"/>
  <c r="M248" i="17"/>
  <c r="M204" i="17"/>
  <c r="M46" i="17"/>
  <c r="M161" i="17"/>
  <c r="M302" i="17"/>
  <c r="M206" i="17"/>
  <c r="M132" i="17"/>
  <c r="M267" i="17"/>
  <c r="M188" i="17"/>
  <c r="M177" i="17"/>
  <c r="M230" i="17"/>
  <c r="M295" i="17"/>
  <c r="M84" i="17"/>
  <c r="M7" i="17"/>
  <c r="M122" i="17"/>
  <c r="M219" i="17"/>
  <c r="M296" i="17"/>
  <c r="M279" i="17"/>
  <c r="M232" i="17"/>
  <c r="M114" i="17"/>
  <c r="M40" i="17"/>
  <c r="M31" i="17"/>
  <c r="M44" i="17"/>
  <c r="M142" i="17"/>
  <c r="M150" i="17"/>
  <c r="M4" i="17"/>
  <c r="M61" i="17"/>
  <c r="M85" i="17"/>
  <c r="M62" i="17"/>
  <c r="M169" i="17"/>
  <c r="M32" i="17"/>
  <c r="M3" i="17"/>
  <c r="M231" i="17"/>
  <c r="M162" i="17"/>
  <c r="M14" i="17"/>
  <c r="M140" i="17"/>
  <c r="M29" i="17"/>
  <c r="M218" i="17"/>
  <c r="M124" i="17"/>
  <c r="M173" i="17"/>
  <c r="M305" i="17"/>
  <c r="M228" i="17"/>
  <c r="M236" i="17"/>
  <c r="M321" i="17"/>
  <c r="M147" i="17"/>
  <c r="M294" i="17"/>
  <c r="M209" i="17"/>
  <c r="M220" i="17"/>
  <c r="M246" i="17"/>
  <c r="M303" i="17"/>
  <c r="M282" i="17"/>
  <c r="M182" i="17"/>
  <c r="M129" i="17"/>
  <c r="M268" i="17"/>
  <c r="M115" i="17"/>
  <c r="M322" i="17"/>
  <c r="M15" i="17"/>
  <c r="M120" i="17"/>
  <c r="M43" i="17"/>
  <c r="M37" i="17"/>
  <c r="M53" i="17"/>
  <c r="M11" i="17"/>
  <c r="M176" i="17"/>
  <c r="M121" i="17"/>
  <c r="M175" i="17"/>
  <c r="M126" i="17"/>
  <c r="M73" i="17"/>
  <c r="M256" i="17"/>
  <c r="M56" i="17"/>
  <c r="M157" i="17"/>
  <c r="M81" i="17"/>
  <c r="M186" i="17"/>
  <c r="M16" i="17"/>
  <c r="M225" i="17"/>
  <c r="M239" i="17"/>
  <c r="M297" i="17"/>
  <c r="M247" i="17"/>
  <c r="M116" i="17"/>
  <c r="M192" i="17"/>
  <c r="M13" i="17"/>
  <c r="M64" i="17"/>
  <c r="M89" i="17"/>
  <c r="M106" i="17"/>
  <c r="M9" i="17"/>
  <c r="M137" i="17"/>
  <c r="M87" i="17"/>
  <c r="M95" i="17"/>
  <c r="M67" i="17"/>
  <c r="M47" i="17"/>
  <c r="M24" i="17"/>
  <c r="M70" i="17"/>
  <c r="M74" i="17"/>
  <c r="M153" i="17"/>
  <c r="M77" i="17"/>
  <c r="M187" i="17"/>
  <c r="M35" i="17"/>
  <c r="M75" i="17"/>
  <c r="M55" i="17"/>
  <c r="M262" i="17"/>
  <c r="M94" i="17"/>
  <c r="M167" i="17"/>
  <c r="M223" i="17"/>
  <c r="M39" i="17"/>
  <c r="M125" i="17"/>
  <c r="M237" i="17"/>
  <c r="M183" i="17"/>
  <c r="M19" i="17"/>
  <c r="M195" i="17"/>
  <c r="M278" i="17"/>
  <c r="M257" i="17"/>
  <c r="M308" i="17"/>
  <c r="M170" i="17"/>
  <c r="M300" i="17"/>
  <c r="M243" i="17"/>
  <c r="M158" i="17"/>
  <c r="M252" i="17"/>
  <c r="M255" i="17"/>
  <c r="M319" i="17"/>
  <c r="M298" i="17"/>
  <c r="M184" i="17"/>
  <c r="M215" i="17"/>
  <c r="M172" i="17"/>
  <c r="M18" i="17"/>
  <c r="M146" i="17"/>
  <c r="M103" i="17"/>
  <c r="M159" i="17"/>
  <c r="M50" i="17"/>
  <c r="M154" i="17"/>
  <c r="M213" i="17"/>
  <c r="M100" i="17"/>
  <c r="M190" i="17"/>
  <c r="M104" i="17"/>
  <c r="M96" i="17"/>
  <c r="M93" i="17"/>
  <c r="M312" i="17"/>
  <c r="M98" i="17"/>
  <c r="M191" i="17"/>
  <c r="M97" i="17"/>
  <c r="M265" i="17"/>
  <c r="M128" i="17"/>
  <c r="M10" i="17"/>
  <c r="M212" i="17"/>
  <c r="M205" i="17"/>
  <c r="M155" i="17"/>
  <c r="M281" i="17"/>
  <c r="M260" i="17"/>
  <c r="M82" i="17"/>
  <c r="M180" i="17"/>
  <c r="M241" i="17"/>
  <c r="M270" i="17"/>
  <c r="M166" i="17"/>
  <c r="M263" i="17"/>
  <c r="M242" i="17"/>
  <c r="M306" i="17"/>
  <c r="M168" i="17"/>
  <c r="M224" i="17"/>
  <c r="M258" i="17"/>
  <c r="M22" i="17"/>
  <c r="M152" i="17"/>
  <c r="M60" i="17"/>
  <c r="M21" i="17"/>
  <c r="M71" i="17"/>
  <c r="M54" i="17"/>
  <c r="M5" i="17"/>
  <c r="M78" i="17"/>
  <c r="M174" i="17"/>
  <c r="M227" i="17"/>
  <c r="M112" i="17"/>
  <c r="M156" i="17"/>
  <c r="M42" i="17"/>
  <c r="M127" i="17"/>
  <c r="M199" i="17"/>
  <c r="M108" i="17"/>
  <c r="M207" i="17"/>
  <c r="M135" i="17"/>
  <c r="M79" i="17"/>
  <c r="M76" i="17"/>
  <c r="M259" i="17"/>
  <c r="M45" i="17"/>
  <c r="M288" i="17"/>
  <c r="M164" i="17"/>
  <c r="M284" i="17"/>
  <c r="M291" i="17"/>
  <c r="M102" i="17"/>
  <c r="M201" i="17"/>
  <c r="M273" i="17"/>
  <c r="M310" i="17"/>
  <c r="M271" i="17"/>
  <c r="M250" i="17"/>
  <c r="M314" i="17"/>
  <c r="M208" i="17"/>
  <c r="M216" i="17"/>
  <c r="M226" i="17"/>
  <c r="M58" i="17"/>
  <c r="M299" i="17"/>
  <c r="M276" i="17"/>
  <c r="M189" i="17"/>
  <c r="M143" i="17"/>
  <c r="M119" i="17"/>
  <c r="M221" i="17"/>
  <c r="M113" i="17"/>
  <c r="M165" i="17"/>
  <c r="M202" i="17"/>
  <c r="M86" i="17"/>
  <c r="M151" i="17"/>
  <c r="M145" i="17"/>
  <c r="M49" i="17"/>
  <c r="M66" i="17"/>
  <c r="M234" i="17"/>
  <c r="M36" i="17"/>
  <c r="M283" i="17"/>
  <c r="M30" i="17"/>
  <c r="M139" i="17"/>
  <c r="M33" i="17"/>
  <c r="M251" i="17"/>
  <c r="M52" i="17"/>
  <c r="M210" i="17"/>
  <c r="M141" i="17"/>
  <c r="M59" i="17"/>
  <c r="M17" i="17"/>
  <c r="M65" i="17"/>
  <c r="M131" i="17"/>
  <c r="M107" i="17"/>
  <c r="M315" i="17"/>
  <c r="M111" i="17"/>
  <c r="M90" i="17"/>
  <c r="M123" i="17"/>
  <c r="M109" i="17"/>
  <c r="N2" i="16"/>
  <c r="O2" i="17" l="1"/>
  <c r="P299" i="17" s="1"/>
  <c r="P38" i="17"/>
  <c r="P27" i="17"/>
  <c r="M197" i="16"/>
  <c r="M181" i="16"/>
  <c r="M165" i="16"/>
  <c r="M139" i="16"/>
  <c r="M123" i="16"/>
  <c r="M189" i="16"/>
  <c r="M100" i="16"/>
  <c r="M54" i="16"/>
  <c r="M114" i="16"/>
  <c r="M173" i="16"/>
  <c r="M47" i="16"/>
  <c r="M117" i="16"/>
  <c r="M78" i="16"/>
  <c r="M31" i="16"/>
  <c r="M157" i="16"/>
  <c r="M124" i="16"/>
  <c r="M38" i="16"/>
  <c r="M57" i="16"/>
  <c r="M200" i="16"/>
  <c r="M140" i="16"/>
  <c r="M147" i="16"/>
  <c r="M131" i="16"/>
  <c r="M73" i="16"/>
  <c r="M8" i="16"/>
  <c r="M168" i="16"/>
  <c r="M34" i="16"/>
  <c r="M25" i="16"/>
  <c r="M10" i="16"/>
  <c r="M4" i="16"/>
  <c r="M109" i="16"/>
  <c r="M227" i="16"/>
  <c r="M162" i="16"/>
  <c r="M280" i="16"/>
  <c r="M58" i="16"/>
  <c r="M178" i="16"/>
  <c r="M36" i="16"/>
  <c r="M74" i="16"/>
  <c r="M163" i="16"/>
  <c r="M256" i="16"/>
  <c r="M62" i="16"/>
  <c r="M110" i="16"/>
  <c r="M167" i="16"/>
  <c r="M292" i="16"/>
  <c r="M130" i="16"/>
  <c r="M247" i="16"/>
  <c r="M244" i="16"/>
  <c r="M72" i="16"/>
  <c r="M107" i="16"/>
  <c r="M251" i="16"/>
  <c r="M171" i="16"/>
  <c r="M255" i="16"/>
  <c r="M158" i="16"/>
  <c r="M169" i="16"/>
  <c r="M241" i="16"/>
  <c r="M305" i="16"/>
  <c r="M226" i="16"/>
  <c r="M198" i="16"/>
  <c r="M266" i="16"/>
  <c r="M298" i="16"/>
  <c r="M2" i="16"/>
  <c r="M12" i="16"/>
  <c r="M41" i="16"/>
  <c r="M77" i="16"/>
  <c r="M21" i="16"/>
  <c r="M11" i="16"/>
  <c r="M184" i="16"/>
  <c r="M85" i="16"/>
  <c r="M308" i="16"/>
  <c r="M269" i="16"/>
  <c r="M174" i="16"/>
  <c r="M313" i="16"/>
  <c r="M238" i="16"/>
  <c r="M270" i="16"/>
  <c r="M304" i="16"/>
  <c r="M213" i="16"/>
  <c r="M295" i="16"/>
  <c r="M61" i="16"/>
  <c r="M220" i="16"/>
  <c r="M259" i="16"/>
  <c r="M194" i="16"/>
  <c r="M271" i="16"/>
  <c r="M320" i="16"/>
  <c r="M64" i="16"/>
  <c r="M116" i="16"/>
  <c r="M179" i="16"/>
  <c r="M307" i="16"/>
  <c r="M136" i="16"/>
  <c r="M261" i="16"/>
  <c r="M80" i="16"/>
  <c r="M120" i="16"/>
  <c r="M268" i="16"/>
  <c r="M70" i="16"/>
  <c r="M176" i="16"/>
  <c r="M164" i="16"/>
  <c r="M249" i="16"/>
  <c r="M234" i="16"/>
  <c r="M302" i="16"/>
  <c r="M166" i="16"/>
  <c r="M18" i="16"/>
  <c r="M71" i="16"/>
  <c r="M276" i="16"/>
  <c r="M151" i="16"/>
  <c r="M101" i="16"/>
  <c r="M35" i="16"/>
  <c r="M67" i="16"/>
  <c r="M133" i="16"/>
  <c r="M225" i="16"/>
  <c r="M258" i="16"/>
  <c r="M88" i="16"/>
  <c r="M277" i="16"/>
  <c r="M154" i="16"/>
  <c r="M152" i="16"/>
  <c r="M150" i="16"/>
  <c r="M233" i="16"/>
  <c r="M294" i="16"/>
  <c r="M9" i="16"/>
  <c r="M60" i="16"/>
  <c r="M83" i="16"/>
  <c r="M29" i="16"/>
  <c r="M14" i="16"/>
  <c r="M20" i="16"/>
  <c r="M94" i="16"/>
  <c r="M216" i="16"/>
  <c r="M309" i="16"/>
  <c r="M235" i="16"/>
  <c r="M19" i="16"/>
  <c r="M95" i="16"/>
  <c r="M285" i="16"/>
  <c r="M13" i="16"/>
  <c r="M135" i="16"/>
  <c r="M201" i="16"/>
  <c r="M264" i="16"/>
  <c r="M45" i="16"/>
  <c r="M283" i="16"/>
  <c r="M186" i="16"/>
  <c r="M272" i="16"/>
  <c r="M180" i="16"/>
  <c r="M185" i="16"/>
  <c r="M257" i="16"/>
  <c r="M321" i="16"/>
  <c r="M242" i="16"/>
  <c r="M274" i="16"/>
  <c r="M306" i="16"/>
  <c r="M196" i="16"/>
  <c r="M310" i="16"/>
  <c r="M188" i="16"/>
  <c r="M53" i="16"/>
  <c r="M145" i="16"/>
  <c r="M299" i="16"/>
  <c r="M260" i="16"/>
  <c r="M311" i="16"/>
  <c r="M210" i="16"/>
  <c r="M103" i="16"/>
  <c r="M156" i="16"/>
  <c r="M316" i="16"/>
  <c r="M104" i="16"/>
  <c r="M232" i="16"/>
  <c r="M291" i="16"/>
  <c r="M230" i="16"/>
  <c r="M193" i="16"/>
  <c r="M15" i="16"/>
  <c r="M126" i="16"/>
  <c r="M96" i="16"/>
  <c r="M149" i="16"/>
  <c r="M3" i="16"/>
  <c r="M26" i="16"/>
  <c r="M17" i="16"/>
  <c r="M55" i="16"/>
  <c r="M112" i="16"/>
  <c r="M231" i="16"/>
  <c r="M68" i="16"/>
  <c r="M252" i="16"/>
  <c r="M39" i="16"/>
  <c r="M207" i="16"/>
  <c r="M288" i="16"/>
  <c r="M40" i="16"/>
  <c r="M138" i="16"/>
  <c r="M211" i="16"/>
  <c r="M90" i="16"/>
  <c r="M97" i="16"/>
  <c r="M183" i="16"/>
  <c r="M279" i="16"/>
  <c r="M52" i="16"/>
  <c r="M84" i="16"/>
  <c r="M160" i="16"/>
  <c r="M300" i="16"/>
  <c r="M75" i="16"/>
  <c r="M205" i="16"/>
  <c r="M287" i="16"/>
  <c r="M190" i="16"/>
  <c r="M265" i="16"/>
  <c r="M172" i="16"/>
  <c r="M246" i="16"/>
  <c r="M278" i="16"/>
  <c r="M175" i="16"/>
  <c r="M49" i="16"/>
  <c r="M263" i="16"/>
  <c r="M229" i="16"/>
  <c r="M237" i="16"/>
  <c r="M289" i="16"/>
  <c r="M290" i="16"/>
  <c r="M50" i="16"/>
  <c r="M153" i="16"/>
  <c r="M253" i="16"/>
  <c r="M275" i="16"/>
  <c r="M297" i="16"/>
  <c r="M28" i="16"/>
  <c r="M6" i="16"/>
  <c r="M142" i="16"/>
  <c r="M159" i="16"/>
  <c r="M7" i="16"/>
  <c r="M30" i="16"/>
  <c r="M23" i="16"/>
  <c r="M63" i="16"/>
  <c r="M118" i="16"/>
  <c r="M245" i="16"/>
  <c r="M312" i="16"/>
  <c r="M267" i="16"/>
  <c r="M51" i="16"/>
  <c r="M115" i="16"/>
  <c r="M221" i="16"/>
  <c r="M303" i="16"/>
  <c r="M87" i="16"/>
  <c r="M79" i="16"/>
  <c r="M141" i="16"/>
  <c r="M228" i="16"/>
  <c r="M111" i="16"/>
  <c r="M119" i="16"/>
  <c r="M195" i="16"/>
  <c r="M293" i="16"/>
  <c r="M65" i="16"/>
  <c r="M89" i="16"/>
  <c r="M199" i="16"/>
  <c r="M315" i="16"/>
  <c r="M208" i="16"/>
  <c r="M301" i="16"/>
  <c r="M206" i="16"/>
  <c r="M209" i="16"/>
  <c r="M273" i="16"/>
  <c r="M250" i="16"/>
  <c r="M282" i="16"/>
  <c r="M314" i="16"/>
  <c r="M170" i="16"/>
  <c r="M322" i="16"/>
  <c r="M191" i="16"/>
  <c r="M92" i="16"/>
  <c r="M48" i="16"/>
  <c r="M148" i="16"/>
  <c r="M59" i="16"/>
  <c r="M42" i="16"/>
  <c r="M240" i="16"/>
  <c r="M218" i="16"/>
  <c r="M37" i="16"/>
  <c r="M16" i="16"/>
  <c r="M27" i="16"/>
  <c r="M93" i="16"/>
  <c r="M22" i="16"/>
  <c r="M46" i="16"/>
  <c r="M82" i="16"/>
  <c r="M248" i="16"/>
  <c r="M134" i="16"/>
  <c r="M284" i="16"/>
  <c r="M69" i="16"/>
  <c r="M132" i="16"/>
  <c r="M224" i="16"/>
  <c r="M192" i="16"/>
  <c r="M99" i="16"/>
  <c r="M143" i="16"/>
  <c r="M243" i="16"/>
  <c r="M212" i="16"/>
  <c r="M122" i="16"/>
  <c r="M215" i="16"/>
  <c r="M296" i="16"/>
  <c r="M98" i="16"/>
  <c r="M204" i="16"/>
  <c r="M223" i="16"/>
  <c r="M214" i="16"/>
  <c r="M217" i="16"/>
  <c r="M281" i="16"/>
  <c r="M202" i="16"/>
  <c r="M177" i="16"/>
  <c r="M254" i="16"/>
  <c r="M286" i="16"/>
  <c r="M318" i="16"/>
  <c r="M44" i="16"/>
  <c r="M106" i="16"/>
  <c r="M129" i="16"/>
  <c r="M239" i="16"/>
  <c r="M146" i="16"/>
  <c r="M125" i="16"/>
  <c r="M102" i="16"/>
  <c r="M187" i="16"/>
  <c r="M222" i="16"/>
  <c r="M182" i="16"/>
  <c r="M24" i="16"/>
  <c r="M76" i="16"/>
  <c r="M317" i="16"/>
  <c r="M127" i="16"/>
  <c r="M236" i="16"/>
  <c r="M319" i="16"/>
  <c r="M262" i="16"/>
  <c r="M108" i="16"/>
  <c r="M113" i="16"/>
  <c r="M66" i="16"/>
  <c r="M81" i="16"/>
  <c r="M86" i="16"/>
  <c r="M121" i="16"/>
  <c r="M219" i="16"/>
  <c r="M43" i="16"/>
  <c r="M128" i="16"/>
  <c r="M161" i="16"/>
  <c r="M137" i="16"/>
  <c r="M155" i="16"/>
  <c r="M144" i="16"/>
  <c r="M33" i="16"/>
  <c r="M56" i="16"/>
  <c r="M105" i="16"/>
  <c r="M91" i="16"/>
  <c r="M5" i="16"/>
  <c r="M32" i="16"/>
  <c r="M203" i="16"/>
  <c r="P302" i="17" l="1"/>
  <c r="P7" i="17"/>
  <c r="P173" i="17"/>
  <c r="P35" i="17"/>
  <c r="P50" i="17"/>
  <c r="P129" i="17"/>
  <c r="P146" i="17"/>
  <c r="P53" i="17"/>
  <c r="P311" i="17"/>
  <c r="P15" i="17"/>
  <c r="P295" i="17"/>
  <c r="P288" i="17"/>
  <c r="P255" i="17"/>
  <c r="P124" i="17"/>
  <c r="P233" i="17"/>
  <c r="P136" i="17"/>
  <c r="P49" i="17"/>
  <c r="P271" i="17"/>
  <c r="P203" i="17"/>
  <c r="P209" i="17"/>
  <c r="P177" i="17"/>
  <c r="P110" i="17"/>
  <c r="P298" i="17"/>
  <c r="P133" i="17"/>
  <c r="P48" i="17"/>
  <c r="P34" i="17"/>
  <c r="P286" i="17"/>
  <c r="P206" i="17"/>
  <c r="P3" i="17"/>
  <c r="P279" i="17"/>
  <c r="P182" i="17"/>
  <c r="P25" i="17"/>
  <c r="P103" i="17"/>
  <c r="P157" i="17"/>
  <c r="P107" i="17"/>
  <c r="P227" i="17"/>
  <c r="P60" i="17"/>
  <c r="P175" i="17"/>
  <c r="P225" i="17"/>
  <c r="P37" i="17"/>
  <c r="P144" i="17"/>
  <c r="P164" i="17"/>
  <c r="P116" i="17"/>
  <c r="P244" i="17"/>
  <c r="P59" i="17"/>
  <c r="P112" i="17"/>
  <c r="P215" i="17"/>
  <c r="P89" i="17"/>
  <c r="P252" i="17"/>
  <c r="P272" i="17"/>
  <c r="P250" i="17"/>
  <c r="P93" i="17"/>
  <c r="P123" i="17"/>
  <c r="P245" i="17"/>
  <c r="P226" i="17"/>
  <c r="P213" i="17"/>
  <c r="P97" i="17"/>
  <c r="P160" i="17"/>
  <c r="P143" i="17"/>
  <c r="P309" i="17"/>
  <c r="P274" i="17"/>
  <c r="P92" i="17"/>
  <c r="P200" i="17"/>
  <c r="P260" i="17"/>
  <c r="P320" i="17"/>
  <c r="P145" i="17"/>
  <c r="P316" i="17"/>
  <c r="P290" i="17"/>
  <c r="P2" i="17"/>
  <c r="P282" i="17"/>
  <c r="P165" i="17"/>
  <c r="P14" i="17"/>
  <c r="P212" i="17"/>
  <c r="P61" i="17"/>
  <c r="P208" i="17"/>
  <c r="P125" i="17"/>
  <c r="P248" i="17"/>
  <c r="P138" i="17"/>
  <c r="P36" i="17"/>
  <c r="P51" i="17"/>
  <c r="P161" i="17"/>
  <c r="P256" i="17"/>
  <c r="P104" i="17"/>
  <c r="P276" i="17"/>
  <c r="P236" i="17"/>
  <c r="P264" i="17"/>
  <c r="P84" i="17"/>
  <c r="P56" i="17"/>
  <c r="P96" i="17"/>
  <c r="P189" i="17"/>
  <c r="P262" i="17"/>
  <c r="P193" i="17"/>
  <c r="P31" i="17"/>
  <c r="P87" i="17"/>
  <c r="P270" i="17"/>
  <c r="P33" i="17"/>
  <c r="P205" i="17"/>
  <c r="P216" i="17"/>
  <c r="P73" i="17"/>
  <c r="P41" i="17"/>
  <c r="P91" i="17"/>
  <c r="P115" i="17"/>
  <c r="P251" i="17"/>
  <c r="P301" i="17"/>
  <c r="P105" i="17"/>
  <c r="P220" i="17"/>
  <c r="P170" i="17"/>
  <c r="P79" i="17"/>
  <c r="P232" i="17"/>
  <c r="P292" i="17"/>
  <c r="P188" i="17"/>
  <c r="P16" i="17"/>
  <c r="P191" i="17"/>
  <c r="P158" i="17"/>
  <c r="P217" i="17"/>
  <c r="P4" i="17"/>
  <c r="P24" i="17"/>
  <c r="P306" i="17"/>
  <c r="P141" i="17"/>
  <c r="P280" i="17"/>
  <c r="P297" i="17"/>
  <c r="P128" i="17"/>
  <c r="P86" i="17"/>
  <c r="P19" i="17"/>
  <c r="P275" i="17"/>
  <c r="P40" i="17"/>
  <c r="P247" i="17"/>
  <c r="P10" i="17"/>
  <c r="P151" i="17"/>
  <c r="P45" i="17"/>
  <c r="P68" i="17"/>
  <c r="P169" i="17"/>
  <c r="P77" i="17"/>
  <c r="P22" i="17"/>
  <c r="P131" i="17"/>
  <c r="P166" i="17"/>
  <c r="P281" i="17"/>
  <c r="P70" i="17"/>
  <c r="P240" i="17"/>
  <c r="P289" i="17"/>
  <c r="P176" i="17"/>
  <c r="P242" i="17"/>
  <c r="P6" i="17"/>
  <c r="P163" i="17"/>
  <c r="P322" i="17"/>
  <c r="P184" i="17"/>
  <c r="P102" i="17"/>
  <c r="P106" i="17"/>
  <c r="P20" i="17"/>
  <c r="P296" i="17"/>
  <c r="P64" i="17"/>
  <c r="P21" i="17"/>
  <c r="P310" i="17"/>
  <c r="P254" i="17"/>
  <c r="P162" i="17"/>
  <c r="P55" i="17"/>
  <c r="P71" i="17"/>
  <c r="P313" i="17"/>
  <c r="P198" i="17"/>
  <c r="P9" i="17"/>
  <c r="P180" i="17"/>
  <c r="P127" i="17"/>
  <c r="P137" i="17"/>
  <c r="P241" i="17"/>
  <c r="P139" i="17"/>
  <c r="P317" i="17"/>
  <c r="P249" i="17"/>
  <c r="P218" i="17"/>
  <c r="P223" i="17"/>
  <c r="P174" i="17"/>
  <c r="P132" i="17"/>
  <c r="P152" i="17"/>
  <c r="P234" i="17"/>
  <c r="P190" i="17"/>
  <c r="P83" i="17"/>
  <c r="P81" i="17"/>
  <c r="P171" i="17"/>
  <c r="P80" i="17"/>
  <c r="P99" i="17"/>
  <c r="P121" i="17"/>
  <c r="P154" i="17"/>
  <c r="P221" i="17"/>
  <c r="P265" i="17"/>
  <c r="P307" i="17"/>
  <c r="P150" i="17"/>
  <c r="P47" i="17"/>
  <c r="P201" i="17"/>
  <c r="P269" i="17"/>
  <c r="P178" i="17"/>
  <c r="P228" i="17"/>
  <c r="P183" i="17"/>
  <c r="P42" i="17"/>
  <c r="P46" i="17"/>
  <c r="P287" i="17"/>
  <c r="P85" i="17"/>
  <c r="P74" i="17"/>
  <c r="P224" i="17"/>
  <c r="P17" i="17"/>
  <c r="P285" i="17"/>
  <c r="P222" i="17"/>
  <c r="P62" i="17"/>
  <c r="P153" i="17"/>
  <c r="P258" i="17"/>
  <c r="P65" i="17"/>
  <c r="P179" i="17"/>
  <c r="P196" i="17"/>
  <c r="P294" i="17"/>
  <c r="P257" i="17"/>
  <c r="P207" i="17"/>
  <c r="P192" i="17"/>
  <c r="P135" i="17"/>
  <c r="P111" i="17"/>
  <c r="P168" i="17"/>
  <c r="P26" i="17"/>
  <c r="P122" i="17"/>
  <c r="P95" i="17"/>
  <c r="P230" i="17"/>
  <c r="P197" i="17"/>
  <c r="P267" i="17"/>
  <c r="P186" i="17"/>
  <c r="P98" i="17"/>
  <c r="P66" i="17"/>
  <c r="P283" i="17"/>
  <c r="P23" i="17"/>
  <c r="P231" i="17"/>
  <c r="P75" i="17"/>
  <c r="P113" i="17"/>
  <c r="P181" i="17"/>
  <c r="P28" i="17"/>
  <c r="P303" i="17"/>
  <c r="P243" i="17"/>
  <c r="P259" i="17"/>
  <c r="P43" i="17"/>
  <c r="P266" i="17"/>
  <c r="P149" i="17"/>
  <c r="P101" i="17"/>
  <c r="P29" i="17"/>
  <c r="P78" i="17"/>
  <c r="P76" i="17"/>
  <c r="P235" i="17"/>
  <c r="P148" i="17"/>
  <c r="P268" i="17"/>
  <c r="P319" i="17"/>
  <c r="P284" i="17"/>
  <c r="P187" i="17"/>
  <c r="P291" i="17"/>
  <c r="P90" i="17"/>
  <c r="P54" i="17"/>
  <c r="P194" i="17"/>
  <c r="P44" i="17"/>
  <c r="P308" i="17"/>
  <c r="P229" i="17"/>
  <c r="P219" i="17"/>
  <c r="P13" i="17"/>
  <c r="P155" i="17"/>
  <c r="P52" i="17"/>
  <c r="P211" i="17"/>
  <c r="P72" i="17"/>
  <c r="P305" i="17"/>
  <c r="P237" i="17"/>
  <c r="P210" i="17"/>
  <c r="P12" i="17"/>
  <c r="P69" i="17"/>
  <c r="P120" i="17"/>
  <c r="P172" i="17"/>
  <c r="P273" i="17"/>
  <c r="P18" i="17"/>
  <c r="P114" i="17"/>
  <c r="P30" i="17"/>
  <c r="P63" i="17"/>
  <c r="P261" i="17"/>
  <c r="P140" i="17"/>
  <c r="P94" i="17"/>
  <c r="P5" i="17"/>
  <c r="P109" i="17"/>
  <c r="P214" i="17"/>
  <c r="P167" i="17"/>
  <c r="P239" i="17"/>
  <c r="P253" i="17"/>
  <c r="P185" i="17"/>
  <c r="P321" i="17"/>
  <c r="P195" i="17"/>
  <c r="P199" i="17"/>
  <c r="P156" i="17"/>
  <c r="P88" i="17"/>
  <c r="P118" i="17"/>
  <c r="P147" i="17"/>
  <c r="P278" i="17"/>
  <c r="P108" i="17"/>
  <c r="P130" i="17"/>
  <c r="P8" i="17"/>
  <c r="P134" i="17"/>
  <c r="P11" i="17"/>
  <c r="P159" i="17"/>
  <c r="P314" i="17"/>
  <c r="P39" i="17"/>
  <c r="P119" i="17"/>
  <c r="P293" i="17"/>
  <c r="P202" i="17"/>
  <c r="P318" i="17"/>
  <c r="P32" i="17"/>
  <c r="P312" i="17"/>
  <c r="P82" i="17"/>
  <c r="P117" i="17"/>
  <c r="P142" i="17"/>
  <c r="P67" i="17"/>
  <c r="P263" i="17"/>
  <c r="P315" i="17"/>
  <c r="P277" i="17"/>
  <c r="P57" i="17"/>
  <c r="P246" i="17"/>
  <c r="P300" i="17"/>
  <c r="P304" i="17"/>
  <c r="P238" i="17"/>
  <c r="P204" i="17"/>
  <c r="P126" i="17"/>
  <c r="P100" i="17"/>
  <c r="P58" i="17"/>
  <c r="O2" i="16"/>
  <c r="P204" i="16" s="1"/>
  <c r="P256" i="16"/>
  <c r="P317" i="16" l="1"/>
  <c r="P155" i="16"/>
  <c r="P17" i="16"/>
  <c r="P166" i="16"/>
  <c r="P156" i="16"/>
  <c r="P280" i="16"/>
  <c r="P253" i="16"/>
  <c r="P302" i="16"/>
  <c r="P187" i="16"/>
  <c r="P67" i="16"/>
  <c r="P4" i="16"/>
  <c r="P282" i="16"/>
  <c r="P212" i="16"/>
  <c r="P270" i="16"/>
  <c r="P211" i="16"/>
  <c r="P124" i="16"/>
  <c r="P228" i="16"/>
  <c r="P281" i="16"/>
  <c r="P310" i="16"/>
  <c r="P42" i="16"/>
  <c r="P173" i="16"/>
  <c r="P240" i="16"/>
  <c r="P114" i="16"/>
  <c r="P138" i="16"/>
  <c r="P34" i="16"/>
  <c r="P117" i="16"/>
  <c r="P220" i="16"/>
  <c r="P40" i="16"/>
  <c r="P298" i="16"/>
  <c r="P242" i="16"/>
  <c r="P64" i="16"/>
  <c r="P195" i="16"/>
  <c r="P112" i="16"/>
  <c r="P33" i="16"/>
  <c r="P168" i="16"/>
  <c r="P141" i="16"/>
  <c r="P320" i="16"/>
  <c r="P71" i="16"/>
  <c r="P279" i="16"/>
  <c r="P116" i="16"/>
  <c r="P205" i="16"/>
  <c r="P223" i="16"/>
  <c r="P78" i="16"/>
  <c r="P276" i="16"/>
  <c r="P275" i="16"/>
  <c r="P43" i="16"/>
  <c r="P41" i="16"/>
  <c r="P260" i="16"/>
  <c r="P16" i="16"/>
  <c r="P99" i="16"/>
  <c r="P29" i="16"/>
  <c r="P273" i="16"/>
  <c r="P286" i="16"/>
  <c r="P14" i="16"/>
  <c r="P38" i="16"/>
  <c r="P271" i="16"/>
  <c r="P15" i="16"/>
  <c r="P199" i="16"/>
  <c r="P81" i="16"/>
  <c r="P213" i="16"/>
  <c r="P57" i="16"/>
  <c r="P120" i="16"/>
  <c r="P126" i="16"/>
  <c r="P314" i="16"/>
  <c r="P139" i="16"/>
  <c r="P70" i="16"/>
  <c r="P49" i="16"/>
  <c r="P318" i="16"/>
  <c r="P147" i="16"/>
  <c r="P88" i="16"/>
  <c r="P221" i="16"/>
  <c r="P25" i="16"/>
  <c r="P174" i="16"/>
  <c r="P291" i="16"/>
  <c r="P284" i="16"/>
  <c r="P73" i="16"/>
  <c r="P95" i="16"/>
  <c r="P27" i="16"/>
  <c r="P54" i="16"/>
  <c r="P285" i="16"/>
  <c r="P225" i="16"/>
  <c r="P300" i="16"/>
  <c r="P140" i="16"/>
  <c r="P56" i="16"/>
  <c r="P206" i="16"/>
  <c r="P190" i="16"/>
  <c r="P288" i="16"/>
  <c r="P110" i="16"/>
  <c r="P150" i="16"/>
  <c r="P160" i="16"/>
  <c r="P22" i="16"/>
  <c r="P46" i="16"/>
  <c r="P316" i="16"/>
  <c r="P171" i="16"/>
  <c r="P94" i="16"/>
  <c r="P278" i="16"/>
  <c r="P127" i="16"/>
  <c r="P10" i="16"/>
  <c r="P264" i="16"/>
  <c r="P115" i="16"/>
  <c r="P105" i="16"/>
  <c r="P169" i="16"/>
  <c r="P232" i="16"/>
  <c r="P191" i="16"/>
  <c r="P189" i="16"/>
  <c r="P164" i="16"/>
  <c r="P229" i="16"/>
  <c r="P128" i="16"/>
  <c r="P77" i="16"/>
  <c r="P52" i="16"/>
  <c r="P113" i="16"/>
  <c r="P107" i="16"/>
  <c r="P250" i="16"/>
  <c r="P203" i="16"/>
  <c r="P233" i="16"/>
  <c r="P309" i="16"/>
  <c r="P247" i="16"/>
  <c r="P121" i="16"/>
  <c r="P217" i="16"/>
  <c r="P24" i="16"/>
  <c r="P251" i="16"/>
  <c r="P20" i="16"/>
  <c r="P224" i="16"/>
  <c r="P125" i="16"/>
  <c r="P170" i="16"/>
  <c r="P266" i="16"/>
  <c r="P135" i="16"/>
  <c r="P50" i="16"/>
  <c r="P144" i="16"/>
  <c r="P36" i="16"/>
  <c r="P321" i="16"/>
  <c r="P218" i="16"/>
  <c r="P292" i="16"/>
  <c r="P61" i="16"/>
  <c r="P3" i="16"/>
  <c r="P243" i="16"/>
  <c r="P31" i="16"/>
  <c r="P83" i="16"/>
  <c r="P63" i="16"/>
  <c r="P178" i="16"/>
  <c r="P136" i="16"/>
  <c r="P265" i="16"/>
  <c r="P161" i="16"/>
  <c r="P226" i="16"/>
  <c r="P148" i="16"/>
  <c r="P198" i="16"/>
  <c r="P13" i="16"/>
  <c r="P290" i="16"/>
  <c r="P296" i="16"/>
  <c r="P165" i="16"/>
  <c r="P236" i="16"/>
  <c r="P184" i="16"/>
  <c r="P185" i="16"/>
  <c r="P159" i="16"/>
  <c r="P47" i="16"/>
  <c r="P2" i="16"/>
  <c r="P104" i="16"/>
  <c r="P248" i="16"/>
  <c r="P68" i="16"/>
  <c r="P179" i="16"/>
  <c r="P39" i="16"/>
  <c r="P214" i="16"/>
  <c r="P131" i="16"/>
  <c r="P283" i="16"/>
  <c r="P303" i="16"/>
  <c r="P257" i="16"/>
  <c r="P101" i="16"/>
  <c r="P118" i="16"/>
  <c r="P5" i="16"/>
  <c r="P21" i="16"/>
  <c r="P93" i="16"/>
  <c r="P59" i="16"/>
  <c r="P58" i="16"/>
  <c r="P254" i="16"/>
  <c r="P30" i="16"/>
  <c r="P299" i="16"/>
  <c r="P307" i="16"/>
  <c r="P305" i="16"/>
  <c r="P172" i="16"/>
  <c r="P246" i="16"/>
  <c r="P197" i="16"/>
  <c r="P11" i="16"/>
  <c r="P180" i="16"/>
  <c r="P142" i="16"/>
  <c r="P146" i="16"/>
  <c r="P200" i="16"/>
  <c r="P181" i="16"/>
  <c r="P304" i="16"/>
  <c r="P188" i="16"/>
  <c r="P267" i="16"/>
  <c r="P18" i="16"/>
  <c r="P295" i="16"/>
  <c r="P149" i="16"/>
  <c r="P143" i="16"/>
  <c r="P208" i="16"/>
  <c r="P176" i="16"/>
  <c r="P183" i="16"/>
  <c r="P222" i="16"/>
  <c r="P241" i="16"/>
  <c r="P274" i="16"/>
  <c r="P92" i="16"/>
  <c r="P7" i="16"/>
  <c r="P154" i="16"/>
  <c r="P65" i="16"/>
  <c r="P294" i="16"/>
  <c r="P152" i="16"/>
  <c r="P32" i="16"/>
  <c r="P272" i="16"/>
  <c r="P132" i="16"/>
  <c r="P66" i="16"/>
  <c r="P84" i="16"/>
  <c r="P137" i="16"/>
  <c r="P80" i="16"/>
  <c r="P103" i="16"/>
  <c r="P312" i="16"/>
  <c r="P177" i="16"/>
  <c r="P86" i="16"/>
  <c r="P175" i="16"/>
  <c r="P167" i="16"/>
  <c r="P133" i="16"/>
  <c r="P231" i="16"/>
  <c r="P315" i="16"/>
  <c r="P53" i="16"/>
  <c r="P308" i="16"/>
  <c r="P145" i="16"/>
  <c r="P119" i="16"/>
  <c r="P44" i="16"/>
  <c r="P74" i="16"/>
  <c r="P60" i="16"/>
  <c r="P23" i="16"/>
  <c r="P262" i="16"/>
  <c r="P109" i="16"/>
  <c r="P19" i="16"/>
  <c r="P297" i="16"/>
  <c r="P106" i="16"/>
  <c r="P72" i="16"/>
  <c r="P311" i="16"/>
  <c r="P48" i="16"/>
  <c r="P51" i="16"/>
  <c r="P238" i="16"/>
  <c r="P289" i="16"/>
  <c r="P85" i="16"/>
  <c r="P192" i="16"/>
  <c r="P153" i="16"/>
  <c r="P130" i="16"/>
  <c r="P258" i="16"/>
  <c r="P252" i="16"/>
  <c r="P301" i="16"/>
  <c r="P319" i="16"/>
  <c r="P102" i="16"/>
  <c r="P12" i="16"/>
  <c r="P235" i="16"/>
  <c r="P287" i="16"/>
  <c r="P37" i="16"/>
  <c r="P201" i="16"/>
  <c r="P163" i="16"/>
  <c r="P151" i="16"/>
  <c r="P26" i="16"/>
  <c r="P293" i="16"/>
  <c r="P182" i="16"/>
  <c r="P100" i="16"/>
  <c r="P313" i="16"/>
  <c r="P186" i="16"/>
  <c r="P237" i="16"/>
  <c r="P69" i="16"/>
  <c r="P255" i="16"/>
  <c r="P8" i="16"/>
  <c r="P194" i="16"/>
  <c r="P196" i="16"/>
  <c r="P6" i="16"/>
  <c r="P215" i="16"/>
  <c r="P216" i="16"/>
  <c r="P98" i="16"/>
  <c r="P82" i="16"/>
  <c r="P158" i="16"/>
  <c r="P9" i="16"/>
  <c r="P97" i="16"/>
  <c r="P322" i="16"/>
  <c r="P219" i="16"/>
  <c r="P123" i="16"/>
  <c r="P269" i="16"/>
  <c r="P45" i="16"/>
  <c r="P263" i="16"/>
  <c r="P134" i="16"/>
  <c r="P75" i="16"/>
  <c r="P244" i="16"/>
  <c r="P277" i="16"/>
  <c r="P207" i="16"/>
  <c r="P209" i="16"/>
  <c r="P108" i="16"/>
  <c r="P157" i="16"/>
  <c r="P259" i="16"/>
  <c r="P306" i="16"/>
  <c r="P28" i="16"/>
  <c r="P122" i="16"/>
  <c r="P268" i="16"/>
  <c r="P162" i="16"/>
  <c r="P261" i="16"/>
  <c r="P210" i="16"/>
  <c r="P245" i="16"/>
  <c r="P202" i="16"/>
  <c r="P90" i="16"/>
  <c r="P234" i="16"/>
  <c r="P193" i="16"/>
  <c r="P79" i="16"/>
  <c r="P239" i="16"/>
  <c r="P111" i="16"/>
  <c r="P91" i="16"/>
  <c r="P227" i="16"/>
  <c r="P249" i="16"/>
  <c r="P230" i="16"/>
  <c r="P87" i="16"/>
  <c r="P129" i="16"/>
  <c r="P96" i="16"/>
  <c r="P62" i="16"/>
  <c r="P35" i="16"/>
  <c r="P55" i="16"/>
  <c r="P89" i="16"/>
  <c r="P76" i="16"/>
  <c r="J321" i="9" l="1"/>
  <c r="I321" i="9"/>
  <c r="K321" i="9" s="1"/>
  <c r="J320" i="9"/>
  <c r="I320" i="9"/>
  <c r="K320" i="9" s="1"/>
  <c r="J319" i="9"/>
  <c r="I319" i="9"/>
  <c r="K319" i="9" s="1"/>
  <c r="J318" i="9"/>
  <c r="I318" i="9"/>
  <c r="K318" i="9" s="1"/>
  <c r="J317" i="9"/>
  <c r="I317" i="9"/>
  <c r="K317" i="9" s="1"/>
  <c r="J316" i="9"/>
  <c r="I316" i="9"/>
  <c r="K316" i="9" s="1"/>
  <c r="J315" i="9"/>
  <c r="I315" i="9"/>
  <c r="K315" i="9" s="1"/>
  <c r="J314" i="9"/>
  <c r="I314" i="9"/>
  <c r="K314" i="9" s="1"/>
  <c r="J313" i="9"/>
  <c r="I313" i="9"/>
  <c r="K313" i="9" s="1"/>
  <c r="J312" i="9"/>
  <c r="I312" i="9"/>
  <c r="K312" i="9" s="1"/>
  <c r="J311" i="9"/>
  <c r="I311" i="9"/>
  <c r="K311" i="9" s="1"/>
  <c r="J310" i="9"/>
  <c r="I310" i="9"/>
  <c r="K310" i="9" s="1"/>
  <c r="J309" i="9"/>
  <c r="I309" i="9"/>
  <c r="K309" i="9" s="1"/>
  <c r="J308" i="9"/>
  <c r="I308" i="9"/>
  <c r="K308" i="9" s="1"/>
  <c r="J307" i="9"/>
  <c r="I307" i="9"/>
  <c r="K307" i="9" s="1"/>
  <c r="J306" i="9"/>
  <c r="I306" i="9"/>
  <c r="K306" i="9" s="1"/>
  <c r="J305" i="9"/>
  <c r="I305" i="9"/>
  <c r="K305" i="9" s="1"/>
  <c r="J304" i="9"/>
  <c r="I304" i="9"/>
  <c r="K304" i="9" s="1"/>
  <c r="J303" i="9"/>
  <c r="I303" i="9"/>
  <c r="K303" i="9" s="1"/>
  <c r="J302" i="9"/>
  <c r="I302" i="9"/>
  <c r="K302" i="9" s="1"/>
  <c r="J301" i="9"/>
  <c r="I301" i="9"/>
  <c r="K301" i="9" s="1"/>
  <c r="J300" i="9"/>
  <c r="I300" i="9"/>
  <c r="K300" i="9" s="1"/>
  <c r="J299" i="9"/>
  <c r="I299" i="9"/>
  <c r="K299" i="9" s="1"/>
  <c r="J298" i="9"/>
  <c r="I298" i="9"/>
  <c r="K298" i="9" s="1"/>
  <c r="J297" i="9"/>
  <c r="I297" i="9"/>
  <c r="K297" i="9" s="1"/>
  <c r="J296" i="9"/>
  <c r="I296" i="9"/>
  <c r="K296" i="9" s="1"/>
  <c r="J295" i="9"/>
  <c r="I295" i="9"/>
  <c r="K295" i="9" s="1"/>
  <c r="J294" i="9"/>
  <c r="I294" i="9"/>
  <c r="K294" i="9" s="1"/>
  <c r="J293" i="9"/>
  <c r="I293" i="9"/>
  <c r="K293" i="9" s="1"/>
  <c r="J292" i="9"/>
  <c r="I292" i="9"/>
  <c r="K292" i="9" s="1"/>
  <c r="J291" i="9"/>
  <c r="I291" i="9"/>
  <c r="K291" i="9" s="1"/>
  <c r="J290" i="9"/>
  <c r="I290" i="9"/>
  <c r="K290" i="9" s="1"/>
  <c r="J289" i="9"/>
  <c r="I289" i="9"/>
  <c r="K289" i="9" s="1"/>
  <c r="J288" i="9"/>
  <c r="I288" i="9"/>
  <c r="K288" i="9" s="1"/>
  <c r="J287" i="9"/>
  <c r="I287" i="9"/>
  <c r="K287" i="9" s="1"/>
  <c r="J286" i="9"/>
  <c r="I286" i="9"/>
  <c r="K286" i="9" s="1"/>
  <c r="J285" i="9"/>
  <c r="I285" i="9"/>
  <c r="K285" i="9" s="1"/>
  <c r="J284" i="9"/>
  <c r="I284" i="9"/>
  <c r="K284" i="9" s="1"/>
  <c r="J283" i="9"/>
  <c r="I283" i="9"/>
  <c r="K283" i="9" s="1"/>
  <c r="J282" i="9"/>
  <c r="I282" i="9"/>
  <c r="K282" i="9" s="1"/>
  <c r="J281" i="9"/>
  <c r="I281" i="9"/>
  <c r="K281" i="9" s="1"/>
  <c r="J280" i="9"/>
  <c r="I280" i="9"/>
  <c r="K280" i="9" s="1"/>
  <c r="J279" i="9"/>
  <c r="I279" i="9"/>
  <c r="K279" i="9" s="1"/>
  <c r="J278" i="9"/>
  <c r="I278" i="9"/>
  <c r="K278" i="9" s="1"/>
  <c r="J277" i="9"/>
  <c r="I277" i="9"/>
  <c r="K277" i="9" s="1"/>
  <c r="J276" i="9"/>
  <c r="I276" i="9"/>
  <c r="K276" i="9" s="1"/>
  <c r="J275" i="9"/>
  <c r="I275" i="9"/>
  <c r="K275" i="9" s="1"/>
  <c r="J274" i="9"/>
  <c r="I274" i="9"/>
  <c r="K274" i="9" s="1"/>
  <c r="J273" i="9"/>
  <c r="I273" i="9"/>
  <c r="K273" i="9" s="1"/>
  <c r="J272" i="9"/>
  <c r="I272" i="9"/>
  <c r="K272" i="9" s="1"/>
  <c r="J271" i="9"/>
  <c r="I271" i="9"/>
  <c r="K271" i="9" s="1"/>
  <c r="J270" i="9"/>
  <c r="I270" i="9"/>
  <c r="K270" i="9" s="1"/>
  <c r="J269" i="9"/>
  <c r="I269" i="9"/>
  <c r="K269" i="9" s="1"/>
  <c r="J268" i="9"/>
  <c r="I268" i="9"/>
  <c r="K268" i="9" s="1"/>
  <c r="J267" i="9"/>
  <c r="I267" i="9"/>
  <c r="K267" i="9" s="1"/>
  <c r="J266" i="9"/>
  <c r="I266" i="9"/>
  <c r="K266" i="9" s="1"/>
  <c r="J265" i="9"/>
  <c r="I265" i="9"/>
  <c r="K265" i="9" s="1"/>
  <c r="J264" i="9"/>
  <c r="I264" i="9"/>
  <c r="K264" i="9" s="1"/>
  <c r="J263" i="9"/>
  <c r="I263" i="9"/>
  <c r="K263" i="9" s="1"/>
  <c r="J262" i="9"/>
  <c r="I262" i="9"/>
  <c r="K262" i="9" s="1"/>
  <c r="J261" i="9"/>
  <c r="I261" i="9"/>
  <c r="K261" i="9" s="1"/>
  <c r="J260" i="9"/>
  <c r="I260" i="9"/>
  <c r="K260" i="9" s="1"/>
  <c r="J259" i="9"/>
  <c r="I259" i="9"/>
  <c r="K259" i="9" s="1"/>
  <c r="J258" i="9"/>
  <c r="I258" i="9"/>
  <c r="K258" i="9" s="1"/>
  <c r="J257" i="9"/>
  <c r="I257" i="9"/>
  <c r="K257" i="9" s="1"/>
  <c r="J256" i="9"/>
  <c r="I256" i="9"/>
  <c r="K256" i="9" s="1"/>
  <c r="J255" i="9"/>
  <c r="I255" i="9"/>
  <c r="K255" i="9" s="1"/>
  <c r="J254" i="9"/>
  <c r="I254" i="9"/>
  <c r="K254" i="9" s="1"/>
  <c r="J253" i="9"/>
  <c r="I253" i="9"/>
  <c r="K253" i="9" s="1"/>
  <c r="J252" i="9"/>
  <c r="I252" i="9"/>
  <c r="K252" i="9" s="1"/>
  <c r="J251" i="9"/>
  <c r="I251" i="9"/>
  <c r="K251" i="9" s="1"/>
  <c r="J250" i="9"/>
  <c r="I250" i="9"/>
  <c r="K250" i="9" s="1"/>
  <c r="J249" i="9"/>
  <c r="I249" i="9"/>
  <c r="K249" i="9" s="1"/>
  <c r="J248" i="9"/>
  <c r="I248" i="9"/>
  <c r="K248" i="9" s="1"/>
  <c r="J247" i="9"/>
  <c r="I247" i="9"/>
  <c r="K247" i="9" s="1"/>
  <c r="J246" i="9"/>
  <c r="I246" i="9"/>
  <c r="K246" i="9" s="1"/>
  <c r="J245" i="9"/>
  <c r="I245" i="9"/>
  <c r="K245" i="9" s="1"/>
  <c r="J244" i="9"/>
  <c r="I244" i="9"/>
  <c r="K244" i="9" s="1"/>
  <c r="J243" i="9"/>
  <c r="I243" i="9"/>
  <c r="K243" i="9" s="1"/>
  <c r="J242" i="9"/>
  <c r="I242" i="9"/>
  <c r="K242" i="9" s="1"/>
  <c r="J241" i="9"/>
  <c r="I241" i="9"/>
  <c r="K241" i="9" s="1"/>
  <c r="J240" i="9"/>
  <c r="I240" i="9"/>
  <c r="K240" i="9" s="1"/>
  <c r="J239" i="9"/>
  <c r="I239" i="9"/>
  <c r="K239" i="9" s="1"/>
  <c r="J238" i="9"/>
  <c r="I238" i="9"/>
  <c r="K238" i="9" s="1"/>
  <c r="J237" i="9"/>
  <c r="I237" i="9"/>
  <c r="K237" i="9" s="1"/>
  <c r="J236" i="9"/>
  <c r="I236" i="9"/>
  <c r="K236" i="9" s="1"/>
  <c r="J235" i="9"/>
  <c r="I235" i="9"/>
  <c r="K235" i="9" s="1"/>
  <c r="J234" i="9"/>
  <c r="I234" i="9"/>
  <c r="K234" i="9" s="1"/>
  <c r="J233" i="9"/>
  <c r="I233" i="9"/>
  <c r="K233" i="9" s="1"/>
  <c r="J232" i="9"/>
  <c r="I232" i="9"/>
  <c r="K232" i="9" s="1"/>
  <c r="J231" i="9"/>
  <c r="I231" i="9"/>
  <c r="K231" i="9" s="1"/>
  <c r="J230" i="9"/>
  <c r="I230" i="9"/>
  <c r="K230" i="9" s="1"/>
  <c r="J229" i="9"/>
  <c r="I229" i="9"/>
  <c r="K229" i="9" s="1"/>
  <c r="J228" i="9"/>
  <c r="I228" i="9"/>
  <c r="K228" i="9" s="1"/>
  <c r="J227" i="9"/>
  <c r="I227" i="9"/>
  <c r="K227" i="9" s="1"/>
  <c r="J226" i="9"/>
  <c r="I226" i="9"/>
  <c r="K226" i="9" s="1"/>
  <c r="J225" i="9"/>
  <c r="I225" i="9"/>
  <c r="K225" i="9" s="1"/>
  <c r="J224" i="9"/>
  <c r="I224" i="9"/>
  <c r="K224" i="9" s="1"/>
  <c r="J223" i="9"/>
  <c r="I223" i="9"/>
  <c r="K223" i="9" s="1"/>
  <c r="J222" i="9"/>
  <c r="I222" i="9"/>
  <c r="K222" i="9" s="1"/>
  <c r="J221" i="9"/>
  <c r="I221" i="9"/>
  <c r="K221" i="9" s="1"/>
  <c r="J220" i="9"/>
  <c r="I220" i="9"/>
  <c r="K220" i="9" s="1"/>
  <c r="J219" i="9"/>
  <c r="I219" i="9"/>
  <c r="K219" i="9" s="1"/>
  <c r="J218" i="9"/>
  <c r="I218" i="9"/>
  <c r="K218" i="9" s="1"/>
  <c r="J217" i="9"/>
  <c r="I217" i="9"/>
  <c r="K217" i="9" s="1"/>
  <c r="J216" i="9"/>
  <c r="I216" i="9"/>
  <c r="K216" i="9" s="1"/>
  <c r="J215" i="9"/>
  <c r="I215" i="9"/>
  <c r="K215" i="9" s="1"/>
  <c r="J214" i="9"/>
  <c r="I214" i="9"/>
  <c r="K214" i="9" s="1"/>
  <c r="J213" i="9"/>
  <c r="I213" i="9"/>
  <c r="K213" i="9" s="1"/>
  <c r="J212" i="9"/>
  <c r="I212" i="9"/>
  <c r="K212" i="9" s="1"/>
  <c r="J211" i="9"/>
  <c r="I211" i="9"/>
  <c r="K211" i="9" s="1"/>
  <c r="J210" i="9"/>
  <c r="I210" i="9"/>
  <c r="K210" i="9" s="1"/>
  <c r="J209" i="9"/>
  <c r="I209" i="9"/>
  <c r="K209" i="9" s="1"/>
  <c r="J208" i="9"/>
  <c r="I208" i="9"/>
  <c r="K208" i="9" s="1"/>
  <c r="J207" i="9"/>
  <c r="I207" i="9"/>
  <c r="K207" i="9" s="1"/>
  <c r="J206" i="9"/>
  <c r="I206" i="9"/>
  <c r="K206" i="9" s="1"/>
  <c r="J205" i="9"/>
  <c r="I205" i="9"/>
  <c r="K205" i="9" s="1"/>
  <c r="J204" i="9"/>
  <c r="I204" i="9"/>
  <c r="K204" i="9" s="1"/>
  <c r="J203" i="9"/>
  <c r="I203" i="9"/>
  <c r="K203" i="9" s="1"/>
  <c r="J202" i="9"/>
  <c r="I202" i="9"/>
  <c r="K202" i="9" s="1"/>
  <c r="J201" i="9"/>
  <c r="I201" i="9"/>
  <c r="K201" i="9" s="1"/>
  <c r="J200" i="9"/>
  <c r="I200" i="9"/>
  <c r="K200" i="9" s="1"/>
  <c r="J199" i="9"/>
  <c r="I199" i="9"/>
  <c r="K199" i="9" s="1"/>
  <c r="J198" i="9"/>
  <c r="I198" i="9"/>
  <c r="K198" i="9" s="1"/>
  <c r="J197" i="9"/>
  <c r="I197" i="9"/>
  <c r="K197" i="9" s="1"/>
  <c r="J196" i="9"/>
  <c r="I196" i="9"/>
  <c r="K196" i="9" s="1"/>
  <c r="J195" i="9"/>
  <c r="I195" i="9"/>
  <c r="K195" i="9" s="1"/>
  <c r="J194" i="9"/>
  <c r="I194" i="9"/>
  <c r="K194" i="9" s="1"/>
  <c r="J193" i="9"/>
  <c r="I193" i="9"/>
  <c r="K193" i="9" s="1"/>
  <c r="J192" i="9"/>
  <c r="I192" i="9"/>
  <c r="K192" i="9" s="1"/>
  <c r="J191" i="9"/>
  <c r="I191" i="9"/>
  <c r="K191" i="9" s="1"/>
  <c r="J190" i="9"/>
  <c r="I190" i="9"/>
  <c r="K190" i="9" s="1"/>
  <c r="J189" i="9"/>
  <c r="I189" i="9"/>
  <c r="K189" i="9" s="1"/>
  <c r="J188" i="9"/>
  <c r="I188" i="9"/>
  <c r="K188" i="9" s="1"/>
  <c r="J187" i="9"/>
  <c r="I187" i="9"/>
  <c r="K187" i="9" s="1"/>
  <c r="J186" i="9"/>
  <c r="I186" i="9"/>
  <c r="K186" i="9" s="1"/>
  <c r="J185" i="9"/>
  <c r="I185" i="9"/>
  <c r="K185" i="9" s="1"/>
  <c r="J184" i="9"/>
  <c r="I184" i="9"/>
  <c r="K184" i="9" s="1"/>
  <c r="J183" i="9"/>
  <c r="I183" i="9"/>
  <c r="K183" i="9" s="1"/>
  <c r="J182" i="9"/>
  <c r="I182" i="9"/>
  <c r="K182" i="9" s="1"/>
  <c r="J181" i="9"/>
  <c r="I181" i="9"/>
  <c r="K181" i="9" s="1"/>
  <c r="J180" i="9"/>
  <c r="I180" i="9"/>
  <c r="K180" i="9" s="1"/>
  <c r="J179" i="9"/>
  <c r="I179" i="9"/>
  <c r="K179" i="9" s="1"/>
  <c r="J178" i="9"/>
  <c r="I178" i="9"/>
  <c r="K178" i="9" s="1"/>
  <c r="J177" i="9"/>
  <c r="I177" i="9"/>
  <c r="K177" i="9" s="1"/>
  <c r="J176" i="9"/>
  <c r="I176" i="9"/>
  <c r="K176" i="9" s="1"/>
  <c r="J175" i="9"/>
  <c r="I175" i="9"/>
  <c r="K175" i="9" s="1"/>
  <c r="J174" i="9"/>
  <c r="I174" i="9"/>
  <c r="K174" i="9" s="1"/>
  <c r="J173" i="9"/>
  <c r="I173" i="9"/>
  <c r="K173" i="9" s="1"/>
  <c r="J172" i="9"/>
  <c r="I172" i="9"/>
  <c r="K172" i="9" s="1"/>
  <c r="J171" i="9"/>
  <c r="I171" i="9"/>
  <c r="K171" i="9" s="1"/>
  <c r="J170" i="9"/>
  <c r="I170" i="9"/>
  <c r="K170" i="9" s="1"/>
  <c r="J169" i="9"/>
  <c r="I169" i="9"/>
  <c r="K169" i="9" s="1"/>
  <c r="J168" i="9"/>
  <c r="I168" i="9"/>
  <c r="K168" i="9" s="1"/>
  <c r="J167" i="9"/>
  <c r="I167" i="9"/>
  <c r="K167" i="9" s="1"/>
  <c r="J166" i="9"/>
  <c r="I166" i="9"/>
  <c r="K166" i="9" s="1"/>
  <c r="J165" i="9"/>
  <c r="I165" i="9"/>
  <c r="K165" i="9" s="1"/>
  <c r="J164" i="9"/>
  <c r="I164" i="9"/>
  <c r="K164" i="9" s="1"/>
  <c r="J163" i="9"/>
  <c r="I163" i="9"/>
  <c r="K163" i="9" s="1"/>
  <c r="J162" i="9"/>
  <c r="I162" i="9"/>
  <c r="K162" i="9" s="1"/>
  <c r="J161" i="9"/>
  <c r="I161" i="9"/>
  <c r="K161" i="9" s="1"/>
  <c r="J160" i="9"/>
  <c r="I160" i="9"/>
  <c r="K160" i="9" s="1"/>
  <c r="J159" i="9"/>
  <c r="I159" i="9"/>
  <c r="K159" i="9" s="1"/>
  <c r="J158" i="9"/>
  <c r="I158" i="9"/>
  <c r="K158" i="9" s="1"/>
  <c r="J157" i="9"/>
  <c r="I157" i="9"/>
  <c r="K157" i="9" s="1"/>
  <c r="J156" i="9"/>
  <c r="I156" i="9"/>
  <c r="K156" i="9" s="1"/>
  <c r="J155" i="9"/>
  <c r="I155" i="9"/>
  <c r="K155" i="9" s="1"/>
  <c r="J154" i="9"/>
  <c r="I154" i="9"/>
  <c r="K154" i="9" s="1"/>
  <c r="J153" i="9"/>
  <c r="I153" i="9"/>
  <c r="K153" i="9" s="1"/>
  <c r="J152" i="9"/>
  <c r="I152" i="9"/>
  <c r="K152" i="9" s="1"/>
  <c r="J151" i="9"/>
  <c r="I151" i="9"/>
  <c r="K151" i="9" s="1"/>
  <c r="J150" i="9"/>
  <c r="I150" i="9"/>
  <c r="K150" i="9" s="1"/>
  <c r="J149" i="9"/>
  <c r="I149" i="9"/>
  <c r="K149" i="9" s="1"/>
  <c r="J148" i="9"/>
  <c r="I148" i="9"/>
  <c r="K148" i="9" s="1"/>
  <c r="J147" i="9"/>
  <c r="I147" i="9"/>
  <c r="K147" i="9" s="1"/>
  <c r="J146" i="9"/>
  <c r="I146" i="9"/>
  <c r="K146" i="9" s="1"/>
  <c r="J145" i="9"/>
  <c r="I145" i="9"/>
  <c r="K145" i="9" s="1"/>
  <c r="J144" i="9"/>
  <c r="I144" i="9"/>
  <c r="K144" i="9" s="1"/>
  <c r="J143" i="9"/>
  <c r="I143" i="9"/>
  <c r="K143" i="9" s="1"/>
  <c r="J142" i="9"/>
  <c r="I142" i="9"/>
  <c r="K142" i="9" s="1"/>
  <c r="J141" i="9"/>
  <c r="I141" i="9"/>
  <c r="K141" i="9" s="1"/>
  <c r="J140" i="9"/>
  <c r="I140" i="9"/>
  <c r="K140" i="9" s="1"/>
  <c r="J139" i="9"/>
  <c r="I139" i="9"/>
  <c r="K139" i="9" s="1"/>
  <c r="J138" i="9"/>
  <c r="I138" i="9"/>
  <c r="K138" i="9" s="1"/>
  <c r="J137" i="9"/>
  <c r="I137" i="9"/>
  <c r="K137" i="9" s="1"/>
  <c r="J136" i="9"/>
  <c r="I136" i="9"/>
  <c r="K136" i="9" s="1"/>
  <c r="J135" i="9"/>
  <c r="I135" i="9"/>
  <c r="K135" i="9" s="1"/>
  <c r="J134" i="9"/>
  <c r="I134" i="9"/>
  <c r="K134" i="9" s="1"/>
  <c r="J133" i="9"/>
  <c r="I133" i="9"/>
  <c r="K133" i="9" s="1"/>
  <c r="J132" i="9"/>
  <c r="I132" i="9"/>
  <c r="K132" i="9" s="1"/>
  <c r="J131" i="9"/>
  <c r="I131" i="9"/>
  <c r="K131" i="9" s="1"/>
  <c r="J130" i="9"/>
  <c r="I130" i="9"/>
  <c r="K130" i="9" s="1"/>
  <c r="J129" i="9"/>
  <c r="I129" i="9"/>
  <c r="K129" i="9" s="1"/>
  <c r="J128" i="9"/>
  <c r="I128" i="9"/>
  <c r="K128" i="9" s="1"/>
  <c r="J127" i="9"/>
  <c r="I127" i="9"/>
  <c r="K127" i="9" s="1"/>
  <c r="J126" i="9"/>
  <c r="I126" i="9"/>
  <c r="K126" i="9" s="1"/>
  <c r="J125" i="9"/>
  <c r="I125" i="9"/>
  <c r="K125" i="9" s="1"/>
  <c r="J124" i="9"/>
  <c r="I124" i="9"/>
  <c r="K124" i="9" s="1"/>
  <c r="J123" i="9"/>
  <c r="I123" i="9"/>
  <c r="K123" i="9" s="1"/>
  <c r="J122" i="9"/>
  <c r="I122" i="9"/>
  <c r="K122" i="9" s="1"/>
  <c r="J121" i="9"/>
  <c r="I121" i="9"/>
  <c r="K121" i="9" s="1"/>
  <c r="J120" i="9"/>
  <c r="I120" i="9"/>
  <c r="K120" i="9" s="1"/>
  <c r="J119" i="9"/>
  <c r="I119" i="9"/>
  <c r="K119" i="9" s="1"/>
  <c r="J118" i="9"/>
  <c r="I118" i="9"/>
  <c r="K118" i="9" s="1"/>
  <c r="J117" i="9"/>
  <c r="I117" i="9"/>
  <c r="K117" i="9" s="1"/>
  <c r="J116" i="9"/>
  <c r="I116" i="9"/>
  <c r="K116" i="9" s="1"/>
  <c r="J115" i="9"/>
  <c r="I115" i="9"/>
  <c r="K115" i="9" s="1"/>
  <c r="J114" i="9"/>
  <c r="I114" i="9"/>
  <c r="K114" i="9" s="1"/>
  <c r="J113" i="9"/>
  <c r="I113" i="9"/>
  <c r="K113" i="9" s="1"/>
  <c r="J112" i="9"/>
  <c r="I112" i="9"/>
  <c r="K112" i="9" s="1"/>
  <c r="J111" i="9"/>
  <c r="I111" i="9"/>
  <c r="K111" i="9" s="1"/>
  <c r="J110" i="9"/>
  <c r="I110" i="9"/>
  <c r="K110" i="9" s="1"/>
  <c r="J109" i="9"/>
  <c r="I109" i="9"/>
  <c r="K109" i="9" s="1"/>
  <c r="J108" i="9"/>
  <c r="I108" i="9"/>
  <c r="K108" i="9" s="1"/>
  <c r="J107" i="9"/>
  <c r="I107" i="9"/>
  <c r="K107" i="9" s="1"/>
  <c r="J106" i="9"/>
  <c r="I106" i="9"/>
  <c r="K106" i="9" s="1"/>
  <c r="J105" i="9"/>
  <c r="I105" i="9"/>
  <c r="K105" i="9" s="1"/>
  <c r="J104" i="9"/>
  <c r="I104" i="9"/>
  <c r="K104" i="9" s="1"/>
  <c r="J103" i="9"/>
  <c r="I103" i="9"/>
  <c r="K103" i="9" s="1"/>
  <c r="J102" i="9"/>
  <c r="I102" i="9"/>
  <c r="K102" i="9" s="1"/>
  <c r="J101" i="9"/>
  <c r="I101" i="9"/>
  <c r="K101" i="9" s="1"/>
  <c r="J100" i="9"/>
  <c r="I100" i="9"/>
  <c r="K100" i="9" s="1"/>
  <c r="J99" i="9"/>
  <c r="I99" i="9"/>
  <c r="K99" i="9" s="1"/>
  <c r="J98" i="9"/>
  <c r="I98" i="9"/>
  <c r="K98" i="9" s="1"/>
  <c r="J97" i="9"/>
  <c r="I97" i="9"/>
  <c r="K97" i="9" s="1"/>
  <c r="J96" i="9"/>
  <c r="I96" i="9"/>
  <c r="K96" i="9" s="1"/>
  <c r="J95" i="9"/>
  <c r="I95" i="9"/>
  <c r="K95" i="9" s="1"/>
  <c r="J94" i="9"/>
  <c r="I94" i="9"/>
  <c r="K94" i="9" s="1"/>
  <c r="J93" i="9"/>
  <c r="I93" i="9"/>
  <c r="K93" i="9" s="1"/>
  <c r="J92" i="9"/>
  <c r="I92" i="9"/>
  <c r="K92" i="9" s="1"/>
  <c r="J91" i="9"/>
  <c r="I91" i="9"/>
  <c r="K91" i="9" s="1"/>
  <c r="J90" i="9"/>
  <c r="I90" i="9"/>
  <c r="K90" i="9" s="1"/>
  <c r="J89" i="9"/>
  <c r="I89" i="9"/>
  <c r="K89" i="9" s="1"/>
  <c r="J88" i="9"/>
  <c r="I88" i="9"/>
  <c r="K88" i="9" s="1"/>
  <c r="J87" i="9"/>
  <c r="I87" i="9"/>
  <c r="K87" i="9" s="1"/>
  <c r="J86" i="9"/>
  <c r="I86" i="9"/>
  <c r="K86" i="9" s="1"/>
  <c r="J85" i="9"/>
  <c r="I85" i="9"/>
  <c r="K85" i="9" s="1"/>
  <c r="J84" i="9"/>
  <c r="I84" i="9"/>
  <c r="K84" i="9" s="1"/>
  <c r="J83" i="9"/>
  <c r="I83" i="9"/>
  <c r="K83" i="9" s="1"/>
  <c r="J82" i="9"/>
  <c r="I82" i="9"/>
  <c r="K82" i="9" s="1"/>
  <c r="J81" i="9"/>
  <c r="I81" i="9"/>
  <c r="K81" i="9" s="1"/>
  <c r="J80" i="9"/>
  <c r="I80" i="9"/>
  <c r="K80" i="9" s="1"/>
  <c r="J79" i="9"/>
  <c r="I79" i="9"/>
  <c r="K79" i="9" s="1"/>
  <c r="J78" i="9"/>
  <c r="I78" i="9"/>
  <c r="K78" i="9" s="1"/>
  <c r="J77" i="9"/>
  <c r="I77" i="9"/>
  <c r="K77" i="9" s="1"/>
  <c r="J76" i="9"/>
  <c r="I76" i="9"/>
  <c r="K76" i="9" s="1"/>
  <c r="J75" i="9"/>
  <c r="I75" i="9"/>
  <c r="K75" i="9" s="1"/>
  <c r="J74" i="9"/>
  <c r="I74" i="9"/>
  <c r="K74" i="9" s="1"/>
  <c r="J73" i="9"/>
  <c r="I73" i="9"/>
  <c r="K73" i="9" s="1"/>
  <c r="J72" i="9"/>
  <c r="I72" i="9"/>
  <c r="K72" i="9" s="1"/>
  <c r="J71" i="9"/>
  <c r="I71" i="9"/>
  <c r="K71" i="9" s="1"/>
  <c r="J70" i="9"/>
  <c r="I70" i="9"/>
  <c r="K70" i="9" s="1"/>
  <c r="J69" i="9"/>
  <c r="I69" i="9"/>
  <c r="K69" i="9" s="1"/>
  <c r="J68" i="9"/>
  <c r="I68" i="9"/>
  <c r="K68" i="9" s="1"/>
  <c r="J67" i="9"/>
  <c r="I67" i="9"/>
  <c r="K67" i="9" s="1"/>
  <c r="J66" i="9"/>
  <c r="I66" i="9"/>
  <c r="K66" i="9" s="1"/>
  <c r="J65" i="9"/>
  <c r="I65" i="9"/>
  <c r="K65" i="9" s="1"/>
  <c r="J64" i="9"/>
  <c r="I64" i="9"/>
  <c r="K64" i="9" s="1"/>
  <c r="J63" i="9"/>
  <c r="I63" i="9"/>
  <c r="K63" i="9" s="1"/>
  <c r="J62" i="9"/>
  <c r="I62" i="9"/>
  <c r="K62" i="9" s="1"/>
  <c r="J61" i="9"/>
  <c r="I61" i="9"/>
  <c r="K61" i="9" s="1"/>
  <c r="J60" i="9"/>
  <c r="I60" i="9"/>
  <c r="K60" i="9" s="1"/>
  <c r="J59" i="9"/>
  <c r="I59" i="9"/>
  <c r="K59" i="9" s="1"/>
  <c r="J58" i="9"/>
  <c r="I58" i="9"/>
  <c r="K58" i="9" s="1"/>
  <c r="J57" i="9"/>
  <c r="I57" i="9"/>
  <c r="K57" i="9" s="1"/>
  <c r="J56" i="9"/>
  <c r="I56" i="9"/>
  <c r="K56" i="9" s="1"/>
  <c r="J55" i="9"/>
  <c r="I55" i="9"/>
  <c r="K55" i="9" s="1"/>
  <c r="J54" i="9"/>
  <c r="I54" i="9"/>
  <c r="K54" i="9" s="1"/>
  <c r="J53" i="9"/>
  <c r="I53" i="9"/>
  <c r="K53" i="9" s="1"/>
  <c r="J52" i="9"/>
  <c r="I52" i="9"/>
  <c r="K52" i="9" s="1"/>
  <c r="J51" i="9"/>
  <c r="I51" i="9"/>
  <c r="K51" i="9" s="1"/>
  <c r="J50" i="9"/>
  <c r="I50" i="9"/>
  <c r="K50" i="9" s="1"/>
  <c r="J49" i="9"/>
  <c r="I49" i="9"/>
  <c r="K49" i="9" s="1"/>
  <c r="J48" i="9"/>
  <c r="I48" i="9"/>
  <c r="K48" i="9" s="1"/>
  <c r="J47" i="9"/>
  <c r="I47" i="9"/>
  <c r="K47" i="9" s="1"/>
  <c r="J46" i="9"/>
  <c r="I46" i="9"/>
  <c r="K46" i="9" s="1"/>
  <c r="J45" i="9"/>
  <c r="I45" i="9"/>
  <c r="K45" i="9" s="1"/>
  <c r="J44" i="9"/>
  <c r="I44" i="9"/>
  <c r="K44" i="9" s="1"/>
  <c r="J43" i="9"/>
  <c r="I43" i="9"/>
  <c r="K43" i="9" s="1"/>
  <c r="J42" i="9"/>
  <c r="I42" i="9"/>
  <c r="K42" i="9" s="1"/>
  <c r="J41" i="9"/>
  <c r="I41" i="9"/>
  <c r="K41" i="9" s="1"/>
  <c r="J40" i="9"/>
  <c r="I40" i="9"/>
  <c r="K40" i="9" s="1"/>
  <c r="J39" i="9"/>
  <c r="I39" i="9"/>
  <c r="K39" i="9" s="1"/>
  <c r="J38" i="9"/>
  <c r="I38" i="9"/>
  <c r="K38" i="9" s="1"/>
  <c r="J37" i="9"/>
  <c r="I37" i="9"/>
  <c r="K37" i="9" s="1"/>
  <c r="J36" i="9"/>
  <c r="I36" i="9"/>
  <c r="K36" i="9" s="1"/>
  <c r="J35" i="9"/>
  <c r="I35" i="9"/>
  <c r="K35" i="9" s="1"/>
  <c r="J34" i="9"/>
  <c r="I34" i="9"/>
  <c r="K34" i="9" s="1"/>
  <c r="L34" i="9" s="1"/>
  <c r="J33" i="9"/>
  <c r="I33" i="9"/>
  <c r="K33" i="9" s="1"/>
  <c r="J32" i="9"/>
  <c r="I32" i="9"/>
  <c r="K32" i="9" s="1"/>
  <c r="J31" i="9"/>
  <c r="I31" i="9"/>
  <c r="K31" i="9" s="1"/>
  <c r="J30" i="9"/>
  <c r="I30" i="9"/>
  <c r="K30" i="9" s="1"/>
  <c r="J29" i="9"/>
  <c r="I29" i="9"/>
  <c r="K29" i="9" s="1"/>
  <c r="J28" i="9"/>
  <c r="I28" i="9"/>
  <c r="K28" i="9" s="1"/>
  <c r="J27" i="9"/>
  <c r="I27" i="9"/>
  <c r="K27" i="9" s="1"/>
  <c r="J26" i="9"/>
  <c r="I26" i="9"/>
  <c r="K26" i="9" s="1"/>
  <c r="L26" i="9" s="1"/>
  <c r="J25" i="9"/>
  <c r="I25" i="9"/>
  <c r="K25" i="9" s="1"/>
  <c r="J24" i="9"/>
  <c r="I24" i="9"/>
  <c r="K24" i="9" s="1"/>
  <c r="J23" i="9"/>
  <c r="I23" i="9"/>
  <c r="K23" i="9" s="1"/>
  <c r="J22" i="9"/>
  <c r="I22" i="9"/>
  <c r="K22" i="9" s="1"/>
  <c r="L22" i="9" s="1"/>
  <c r="J21" i="9"/>
  <c r="I21" i="9"/>
  <c r="K21" i="9" s="1"/>
  <c r="J20" i="9"/>
  <c r="I20" i="9"/>
  <c r="K20" i="9" s="1"/>
  <c r="J19" i="9"/>
  <c r="I19" i="9"/>
  <c r="K19" i="9" s="1"/>
  <c r="J18" i="9"/>
  <c r="I18" i="9"/>
  <c r="K18" i="9" s="1"/>
  <c r="J17" i="9"/>
  <c r="I17" i="9"/>
  <c r="K17" i="9" s="1"/>
  <c r="J16" i="9"/>
  <c r="I16" i="9"/>
  <c r="K16" i="9" s="1"/>
  <c r="J15" i="9"/>
  <c r="I15" i="9"/>
  <c r="K15" i="9" s="1"/>
  <c r="J14" i="9"/>
  <c r="I14" i="9"/>
  <c r="K14" i="9" s="1"/>
  <c r="L14" i="9" s="1"/>
  <c r="J13" i="9"/>
  <c r="I13" i="9"/>
  <c r="K13" i="9" s="1"/>
  <c r="J12" i="9"/>
  <c r="I12" i="9"/>
  <c r="K12" i="9" s="1"/>
  <c r="J11" i="9"/>
  <c r="I11" i="9"/>
  <c r="K11" i="9" s="1"/>
  <c r="J10" i="9"/>
  <c r="I10" i="9"/>
  <c r="K10" i="9" s="1"/>
  <c r="L10" i="9" s="1"/>
  <c r="J9" i="9"/>
  <c r="I9" i="9"/>
  <c r="K9" i="9" s="1"/>
  <c r="J8" i="9"/>
  <c r="I8" i="9"/>
  <c r="K8" i="9" s="1"/>
  <c r="J7" i="9"/>
  <c r="I7" i="9"/>
  <c r="K7" i="9" s="1"/>
  <c r="J6" i="9"/>
  <c r="I6" i="9"/>
  <c r="K6" i="9" s="1"/>
  <c r="J5" i="9"/>
  <c r="I5" i="9"/>
  <c r="K5" i="9" s="1"/>
  <c r="J4" i="9"/>
  <c r="I4" i="9"/>
  <c r="K4" i="9" s="1"/>
  <c r="J3" i="9"/>
  <c r="I3" i="9"/>
  <c r="K3" i="9" s="1"/>
  <c r="J2" i="9"/>
  <c r="I2" i="9"/>
  <c r="K2" i="9" s="1"/>
  <c r="L278" i="9" l="1"/>
  <c r="L282" i="9"/>
  <c r="L290" i="9"/>
  <c r="L294" i="9"/>
  <c r="L252" i="9"/>
  <c r="L302" i="9"/>
  <c r="V84" i="9" s="1"/>
  <c r="L83" i="9"/>
  <c r="L179" i="9"/>
  <c r="L183" i="9"/>
  <c r="L187" i="9"/>
  <c r="L191" i="9"/>
  <c r="L195" i="9"/>
  <c r="L199" i="9"/>
  <c r="L203" i="9"/>
  <c r="L207" i="9"/>
  <c r="L211" i="9"/>
  <c r="L219" i="9"/>
  <c r="L223" i="9"/>
  <c r="L227" i="9"/>
  <c r="L231" i="9"/>
  <c r="L235" i="9"/>
  <c r="L239" i="9"/>
  <c r="L243" i="9"/>
  <c r="L251" i="9"/>
  <c r="L255" i="9"/>
  <c r="L259" i="9"/>
  <c r="L263" i="9"/>
  <c r="L267" i="9"/>
  <c r="L271" i="9"/>
  <c r="L275" i="9"/>
  <c r="L283" i="9"/>
  <c r="L8" i="9"/>
  <c r="L16" i="9"/>
  <c r="L32" i="9"/>
  <c r="L40" i="9"/>
  <c r="L44" i="9"/>
  <c r="L52" i="9"/>
  <c r="L88" i="9"/>
  <c r="L108" i="9"/>
  <c r="L116" i="9"/>
  <c r="L120" i="9"/>
  <c r="L128" i="9"/>
  <c r="L132" i="9"/>
  <c r="L136" i="9"/>
  <c r="L144" i="9"/>
  <c r="L164" i="9"/>
  <c r="L168" i="9"/>
  <c r="L172" i="9"/>
  <c r="L180" i="9"/>
  <c r="L188" i="9"/>
  <c r="L192" i="9"/>
  <c r="L196" i="9"/>
  <c r="L200" i="9"/>
  <c r="L208" i="9"/>
  <c r="L220" i="9"/>
  <c r="L232" i="9"/>
  <c r="L240" i="9"/>
  <c r="L287" i="9"/>
  <c r="L291" i="9"/>
  <c r="L295" i="9"/>
  <c r="L299" i="9"/>
  <c r="L303" i="9"/>
  <c r="V85" i="9" s="1"/>
  <c r="L307" i="9"/>
  <c r="V89" i="9" s="1"/>
  <c r="L315" i="9"/>
  <c r="V97" i="9" s="1"/>
  <c r="L319" i="9"/>
  <c r="V101" i="9" s="1"/>
  <c r="L256" i="9"/>
  <c r="L260" i="9"/>
  <c r="L264" i="9"/>
  <c r="L272" i="9"/>
  <c r="L284" i="9"/>
  <c r="L292" i="9"/>
  <c r="L296" i="9"/>
  <c r="L304" i="9"/>
  <c r="V86" i="9" s="1"/>
  <c r="L308" i="9"/>
  <c r="V90" i="9" s="1"/>
  <c r="L316" i="9"/>
  <c r="V98" i="9" s="1"/>
  <c r="L5" i="9"/>
  <c r="L9" i="9"/>
  <c r="L13" i="9"/>
  <c r="L17" i="9"/>
  <c r="L21" i="9"/>
  <c r="L25" i="9"/>
  <c r="L53" i="9"/>
  <c r="L57" i="9"/>
  <c r="L61" i="9"/>
  <c r="L97" i="9"/>
  <c r="L101" i="9"/>
  <c r="L157" i="9"/>
  <c r="L165" i="9"/>
  <c r="L169" i="9"/>
  <c r="L173" i="9"/>
  <c r="L51" i="9"/>
  <c r="L63" i="9"/>
  <c r="L67" i="9"/>
  <c r="V69" i="9" s="1"/>
  <c r="L75" i="9"/>
  <c r="V77" i="9" s="1"/>
  <c r="L79" i="9"/>
  <c r="V81" i="9" s="1"/>
  <c r="L56" i="9"/>
  <c r="L60" i="9"/>
  <c r="L64" i="9"/>
  <c r="V66" i="9" s="1"/>
  <c r="L72" i="9"/>
  <c r="L76" i="9"/>
  <c r="V78" i="9" s="1"/>
  <c r="L80" i="9"/>
  <c r="V82" i="9" s="1"/>
  <c r="L73" i="9"/>
  <c r="V75" i="9" s="1"/>
  <c r="L77" i="9"/>
  <c r="V79" i="9" s="1"/>
  <c r="L81" i="9"/>
  <c r="V83" i="9" s="1"/>
  <c r="L176" i="9"/>
  <c r="L47" i="9"/>
  <c r="L86" i="9"/>
  <c r="L90" i="9"/>
  <c r="L94" i="9"/>
  <c r="L134" i="9"/>
  <c r="L138" i="9"/>
  <c r="L146" i="9"/>
  <c r="L162" i="9"/>
  <c r="L166" i="9"/>
  <c r="L170" i="9"/>
  <c r="L174" i="9"/>
  <c r="L181" i="9"/>
  <c r="L189" i="9"/>
  <c r="L193" i="9"/>
  <c r="L201" i="9"/>
  <c r="L205" i="9"/>
  <c r="L209" i="9"/>
  <c r="L221" i="9"/>
  <c r="L225" i="9"/>
  <c r="L233" i="9"/>
  <c r="L237" i="9"/>
  <c r="L245" i="9"/>
  <c r="L249" i="9"/>
  <c r="L253" i="9"/>
  <c r="L257" i="9"/>
  <c r="L265" i="9"/>
  <c r="L269" i="9"/>
  <c r="L82" i="9"/>
  <c r="L37" i="9"/>
  <c r="L41" i="9"/>
  <c r="L45" i="9"/>
  <c r="L84" i="9"/>
  <c r="L95" i="9"/>
  <c r="L99" i="9"/>
  <c r="L106" i="9"/>
  <c r="L110" i="9"/>
  <c r="L114" i="9"/>
  <c r="L276" i="9"/>
  <c r="L38" i="9"/>
  <c r="L49" i="9"/>
  <c r="L96" i="9"/>
  <c r="L115" i="9"/>
  <c r="L19" i="9"/>
  <c r="L23" i="9"/>
  <c r="L31" i="9"/>
  <c r="L50" i="9"/>
  <c r="L54" i="9"/>
  <c r="L66" i="9"/>
  <c r="V68" i="9" s="1"/>
  <c r="L74" i="9"/>
  <c r="V76" i="9" s="1"/>
  <c r="L85" i="9"/>
  <c r="L89" i="9"/>
  <c r="L100" i="9"/>
  <c r="L131" i="9"/>
  <c r="L135" i="9"/>
  <c r="L143" i="9"/>
  <c r="L163" i="9"/>
  <c r="L167" i="9"/>
  <c r="L171" i="9"/>
  <c r="L194" i="9"/>
  <c r="L198" i="9"/>
  <c r="L202" i="9"/>
  <c r="L206" i="9"/>
  <c r="L214" i="9"/>
  <c r="L218" i="9"/>
  <c r="L226" i="9"/>
  <c r="L230" i="9"/>
  <c r="L238" i="9"/>
  <c r="L242" i="9"/>
  <c r="L250" i="9"/>
  <c r="L258" i="9"/>
  <c r="L262" i="9"/>
  <c r="L270" i="9"/>
  <c r="L285" i="9"/>
  <c r="L289" i="9"/>
  <c r="L297" i="9"/>
  <c r="L301" i="9"/>
  <c r="L309" i="9"/>
  <c r="V91" i="9" s="1"/>
  <c r="L317" i="9"/>
  <c r="V99" i="9" s="1"/>
  <c r="L321" i="9"/>
  <c r="V103" i="9" s="1"/>
  <c r="L139" i="9"/>
  <c r="L154" i="9"/>
  <c r="L158" i="9"/>
  <c r="L184" i="9"/>
  <c r="L246" i="9"/>
  <c r="L277" i="9"/>
  <c r="L36" i="9"/>
  <c r="L3" i="9"/>
  <c r="L28" i="9"/>
  <c r="L42" i="9"/>
  <c r="L58" i="9"/>
  <c r="L68" i="9"/>
  <c r="V70" i="9" s="1"/>
  <c r="L98" i="9"/>
  <c r="L104" i="9"/>
  <c r="L111" i="9"/>
  <c r="L118" i="9"/>
  <c r="L122" i="9"/>
  <c r="L151" i="9"/>
  <c r="L155" i="9"/>
  <c r="L159" i="9"/>
  <c r="L185" i="9"/>
  <c r="L212" i="9"/>
  <c r="L4" i="9"/>
  <c r="L7" i="9"/>
  <c r="L29" i="9"/>
  <c r="L46" i="9"/>
  <c r="L69" i="9"/>
  <c r="V71" i="9" s="1"/>
  <c r="L112" i="9"/>
  <c r="L119" i="9"/>
  <c r="L123" i="9"/>
  <c r="L130" i="9"/>
  <c r="L148" i="9"/>
  <c r="L152" i="9"/>
  <c r="L160" i="9"/>
  <c r="L178" i="9"/>
  <c r="L182" i="9"/>
  <c r="L186" i="9"/>
  <c r="L213" i="9"/>
  <c r="L244" i="9"/>
  <c r="L310" i="9"/>
  <c r="V92" i="9" s="1"/>
  <c r="L140" i="9"/>
  <c r="L215" i="9"/>
  <c r="L43" i="9"/>
  <c r="L103" i="9"/>
  <c r="L216" i="9"/>
  <c r="L234" i="9"/>
  <c r="L241" i="9"/>
  <c r="L248" i="9"/>
  <c r="L266" i="9"/>
  <c r="L273" i="9"/>
  <c r="L280" i="9"/>
  <c r="L298" i="9"/>
  <c r="L305" i="9"/>
  <c r="V87" i="9" s="1"/>
  <c r="L312" i="9"/>
  <c r="V94" i="9" s="1"/>
  <c r="L33" i="9"/>
  <c r="L2" i="9"/>
  <c r="L55" i="9"/>
  <c r="L78" i="9"/>
  <c r="V80" i="9" s="1"/>
  <c r="L35" i="9"/>
  <c r="L91" i="9"/>
  <c r="L107" i="9"/>
  <c r="L142" i="9"/>
  <c r="L177" i="9"/>
  <c r="L210" i="9"/>
  <c r="L217" i="9"/>
  <c r="L224" i="9"/>
  <c r="L274" i="9"/>
  <c r="L281" i="9"/>
  <c r="L288" i="9"/>
  <c r="L306" i="9"/>
  <c r="V88" i="9" s="1"/>
  <c r="L313" i="9"/>
  <c r="V95" i="9" s="1"/>
  <c r="L320" i="9"/>
  <c r="V102" i="9" s="1"/>
  <c r="L124" i="9"/>
  <c r="L147" i="9"/>
  <c r="L175" i="9"/>
  <c r="L311" i="9"/>
  <c r="V93" i="9" s="1"/>
  <c r="L20" i="9"/>
  <c r="L149" i="9"/>
  <c r="L228" i="9"/>
  <c r="L48" i="9"/>
  <c r="L247" i="9"/>
  <c r="L279" i="9"/>
  <c r="L15" i="9"/>
  <c r="L59" i="9"/>
  <c r="L70" i="9"/>
  <c r="V72" i="9" s="1"/>
  <c r="L314" i="9"/>
  <c r="V96" i="9" s="1"/>
  <c r="L6" i="9"/>
  <c r="L12" i="9"/>
  <c r="L18" i="9"/>
  <c r="L24" i="9"/>
  <c r="L30" i="9"/>
  <c r="L39" i="9"/>
  <c r="L62" i="9"/>
  <c r="V64" i="9" s="1"/>
  <c r="L65" i="9"/>
  <c r="V67" i="9" s="1"/>
  <c r="L71" i="9"/>
  <c r="V73" i="9" s="1"/>
  <c r="L87" i="9"/>
  <c r="L92" i="9"/>
  <c r="L102" i="9"/>
  <c r="L127" i="9"/>
  <c r="L150" i="9"/>
  <c r="L190" i="9"/>
  <c r="L197" i="9"/>
  <c r="L204" i="9"/>
  <c r="L222" i="9"/>
  <c r="L229" i="9"/>
  <c r="L236" i="9"/>
  <c r="L254" i="9"/>
  <c r="L261" i="9"/>
  <c r="L268" i="9"/>
  <c r="L286" i="9"/>
  <c r="L293" i="9"/>
  <c r="L300" i="9"/>
  <c r="L318" i="9"/>
  <c r="V100" i="9" s="1"/>
  <c r="V65" i="9"/>
  <c r="V74" i="9"/>
  <c r="L126" i="9"/>
  <c r="L27" i="9"/>
  <c r="L93" i="9"/>
  <c r="L161" i="9"/>
  <c r="L11" i="9"/>
  <c r="L117" i="9"/>
  <c r="L156" i="9"/>
  <c r="L133" i="9"/>
  <c r="L105" i="9"/>
  <c r="L121" i="9"/>
  <c r="L137" i="9"/>
  <c r="L153" i="9"/>
  <c r="L109" i="9"/>
  <c r="L125" i="9"/>
  <c r="L141" i="9"/>
  <c r="L113" i="9"/>
  <c r="L129" i="9"/>
  <c r="L145" i="9"/>
  <c r="J321" i="1"/>
  <c r="I321" i="1"/>
  <c r="K321" i="1" s="1"/>
  <c r="J320" i="1"/>
  <c r="I320" i="1"/>
  <c r="K320" i="1" s="1"/>
  <c r="J319" i="1"/>
  <c r="I319" i="1"/>
  <c r="K319" i="1" s="1"/>
  <c r="J318" i="1"/>
  <c r="I318" i="1"/>
  <c r="K318" i="1" s="1"/>
  <c r="J317" i="1"/>
  <c r="I317" i="1"/>
  <c r="K317" i="1" s="1"/>
  <c r="J316" i="1"/>
  <c r="I316" i="1"/>
  <c r="K316" i="1" s="1"/>
  <c r="J315" i="1"/>
  <c r="I315" i="1"/>
  <c r="K315" i="1" s="1"/>
  <c r="J314" i="1"/>
  <c r="I314" i="1"/>
  <c r="K314" i="1" s="1"/>
  <c r="J313" i="1"/>
  <c r="I313" i="1"/>
  <c r="J312" i="1"/>
  <c r="I312" i="1"/>
  <c r="K312" i="1" s="1"/>
  <c r="J311" i="1"/>
  <c r="I311" i="1"/>
  <c r="K311" i="1" s="1"/>
  <c r="J310" i="1"/>
  <c r="I310" i="1"/>
  <c r="K310" i="1" s="1"/>
  <c r="J309" i="1"/>
  <c r="I309" i="1"/>
  <c r="K309" i="1" s="1"/>
  <c r="J308" i="1"/>
  <c r="I308" i="1"/>
  <c r="K308" i="1" s="1"/>
  <c r="J307" i="1"/>
  <c r="I307" i="1"/>
  <c r="K307" i="1" s="1"/>
  <c r="J306" i="1"/>
  <c r="I306" i="1"/>
  <c r="K306" i="1" s="1"/>
  <c r="J305" i="1"/>
  <c r="I305" i="1"/>
  <c r="K305" i="1" s="1"/>
  <c r="J304" i="1"/>
  <c r="I304" i="1"/>
  <c r="K304" i="1" s="1"/>
  <c r="J303" i="1"/>
  <c r="I303" i="1"/>
  <c r="K303" i="1" s="1"/>
  <c r="J302" i="1"/>
  <c r="I302" i="1"/>
  <c r="K302" i="1" s="1"/>
  <c r="J301" i="1"/>
  <c r="I301" i="1"/>
  <c r="K301" i="1" s="1"/>
  <c r="J300" i="1"/>
  <c r="I300" i="1"/>
  <c r="K300" i="1" s="1"/>
  <c r="J299" i="1"/>
  <c r="I299" i="1"/>
  <c r="K299" i="1" s="1"/>
  <c r="J298" i="1"/>
  <c r="I298" i="1"/>
  <c r="K298" i="1" s="1"/>
  <c r="J297" i="1"/>
  <c r="I297" i="1"/>
  <c r="K297" i="1" s="1"/>
  <c r="J296" i="1"/>
  <c r="I296" i="1"/>
  <c r="K296" i="1" s="1"/>
  <c r="J295" i="1"/>
  <c r="I295" i="1"/>
  <c r="K295" i="1" s="1"/>
  <c r="J294" i="1"/>
  <c r="I294" i="1"/>
  <c r="K294" i="1" s="1"/>
  <c r="J293" i="1"/>
  <c r="I293" i="1"/>
  <c r="K293" i="1" s="1"/>
  <c r="J292" i="1"/>
  <c r="I292" i="1"/>
  <c r="K292" i="1" s="1"/>
  <c r="J291" i="1"/>
  <c r="I291" i="1"/>
  <c r="K291" i="1" s="1"/>
  <c r="J290" i="1"/>
  <c r="I290" i="1"/>
  <c r="K290" i="1" s="1"/>
  <c r="J289" i="1"/>
  <c r="I289" i="1"/>
  <c r="K289" i="1" s="1"/>
  <c r="J288" i="1"/>
  <c r="I288" i="1"/>
  <c r="K288" i="1" s="1"/>
  <c r="J287" i="1"/>
  <c r="I287" i="1"/>
  <c r="K287" i="1" s="1"/>
  <c r="J286" i="1"/>
  <c r="I286" i="1"/>
  <c r="K286" i="1" s="1"/>
  <c r="J285" i="1"/>
  <c r="I285" i="1"/>
  <c r="K285" i="1" s="1"/>
  <c r="J284" i="1"/>
  <c r="I284" i="1"/>
  <c r="K284" i="1" s="1"/>
  <c r="J283" i="1"/>
  <c r="I283" i="1"/>
  <c r="J282" i="1"/>
  <c r="I282" i="1"/>
  <c r="K282" i="1" s="1"/>
  <c r="J281" i="1"/>
  <c r="I281" i="1"/>
  <c r="K281" i="1" s="1"/>
  <c r="J280" i="1"/>
  <c r="I280" i="1"/>
  <c r="K280" i="1" s="1"/>
  <c r="J279" i="1"/>
  <c r="I279" i="1"/>
  <c r="K279" i="1" s="1"/>
  <c r="J278" i="1"/>
  <c r="I278" i="1"/>
  <c r="K278" i="1" s="1"/>
  <c r="J277" i="1"/>
  <c r="I277" i="1"/>
  <c r="K277" i="1" s="1"/>
  <c r="J276" i="1"/>
  <c r="I276" i="1"/>
  <c r="K276" i="1" s="1"/>
  <c r="J275" i="1"/>
  <c r="I275" i="1"/>
  <c r="K275" i="1" s="1"/>
  <c r="J274" i="1"/>
  <c r="I274" i="1"/>
  <c r="K274" i="1" s="1"/>
  <c r="J273" i="1"/>
  <c r="I273" i="1"/>
  <c r="K273" i="1" s="1"/>
  <c r="J272" i="1"/>
  <c r="I272" i="1"/>
  <c r="K272" i="1" s="1"/>
  <c r="J271" i="1"/>
  <c r="I271" i="1"/>
  <c r="K271" i="1" s="1"/>
  <c r="J270" i="1"/>
  <c r="I270" i="1"/>
  <c r="K270" i="1" s="1"/>
  <c r="J269" i="1"/>
  <c r="I269" i="1"/>
  <c r="J268" i="1"/>
  <c r="I268" i="1"/>
  <c r="K268" i="1" s="1"/>
  <c r="J267" i="1"/>
  <c r="I267" i="1"/>
  <c r="K267" i="1" s="1"/>
  <c r="J266" i="1"/>
  <c r="I266" i="1"/>
  <c r="K266" i="1" s="1"/>
  <c r="J265" i="1"/>
  <c r="I265" i="1"/>
  <c r="J264" i="1"/>
  <c r="I264" i="1"/>
  <c r="K264" i="1" s="1"/>
  <c r="J263" i="1"/>
  <c r="I263" i="1"/>
  <c r="J262" i="1"/>
  <c r="I262" i="1"/>
  <c r="K262" i="1" s="1"/>
  <c r="J261" i="1"/>
  <c r="I261" i="1"/>
  <c r="K261" i="1" s="1"/>
  <c r="J260" i="1"/>
  <c r="I260" i="1"/>
  <c r="K260" i="1" s="1"/>
  <c r="J259" i="1"/>
  <c r="I259" i="1"/>
  <c r="K259" i="1" s="1"/>
  <c r="J258" i="1"/>
  <c r="I258" i="1"/>
  <c r="K258" i="1" s="1"/>
  <c r="J257" i="1"/>
  <c r="I257" i="1"/>
  <c r="J256" i="1"/>
  <c r="I256" i="1"/>
  <c r="K256" i="1" s="1"/>
  <c r="J255" i="1"/>
  <c r="I255" i="1"/>
  <c r="K255" i="1" s="1"/>
  <c r="J254" i="1"/>
  <c r="I254" i="1"/>
  <c r="K254" i="1" s="1"/>
  <c r="J253" i="1"/>
  <c r="I253" i="1"/>
  <c r="K253" i="1" s="1"/>
  <c r="J252" i="1"/>
  <c r="I252" i="1"/>
  <c r="K252" i="1" s="1"/>
  <c r="J251" i="1"/>
  <c r="I251" i="1"/>
  <c r="K251" i="1" s="1"/>
  <c r="J250" i="1"/>
  <c r="I250" i="1"/>
  <c r="J249" i="1"/>
  <c r="I249" i="1"/>
  <c r="J248" i="1"/>
  <c r="I248" i="1"/>
  <c r="K248" i="1" s="1"/>
  <c r="J247" i="1"/>
  <c r="I247" i="1"/>
  <c r="K247" i="1" s="1"/>
  <c r="J246" i="1"/>
  <c r="I246" i="1"/>
  <c r="K246" i="1" s="1"/>
  <c r="J245" i="1"/>
  <c r="I245" i="1"/>
  <c r="J244" i="1"/>
  <c r="I244" i="1"/>
  <c r="K244" i="1" s="1"/>
  <c r="J243" i="1"/>
  <c r="I243" i="1"/>
  <c r="K243" i="1" s="1"/>
  <c r="J242" i="1"/>
  <c r="I242" i="1"/>
  <c r="K242" i="1" s="1"/>
  <c r="J241" i="1"/>
  <c r="I241" i="1"/>
  <c r="K241" i="1" s="1"/>
  <c r="J240" i="1"/>
  <c r="I240" i="1"/>
  <c r="K240" i="1" s="1"/>
  <c r="J239" i="1"/>
  <c r="I239" i="1"/>
  <c r="K239" i="1" s="1"/>
  <c r="J238" i="1"/>
  <c r="I238" i="1"/>
  <c r="K238" i="1" s="1"/>
  <c r="J237" i="1"/>
  <c r="I237" i="1"/>
  <c r="K237" i="1" s="1"/>
  <c r="J236" i="1"/>
  <c r="I236" i="1"/>
  <c r="K236" i="1" s="1"/>
  <c r="J235" i="1"/>
  <c r="I235" i="1"/>
  <c r="K235" i="1" s="1"/>
  <c r="J234" i="1"/>
  <c r="I234" i="1"/>
  <c r="K234" i="1" s="1"/>
  <c r="J233" i="1"/>
  <c r="I233" i="1"/>
  <c r="J232" i="1"/>
  <c r="I232" i="1"/>
  <c r="K232" i="1" s="1"/>
  <c r="J231" i="1"/>
  <c r="I231" i="1"/>
  <c r="J230" i="1"/>
  <c r="I230" i="1"/>
  <c r="J229" i="1"/>
  <c r="I229" i="1"/>
  <c r="J228" i="1"/>
  <c r="I228" i="1"/>
  <c r="K228" i="1" s="1"/>
  <c r="J227" i="1"/>
  <c r="I227" i="1"/>
  <c r="K227" i="1" s="1"/>
  <c r="J226" i="1"/>
  <c r="I226" i="1"/>
  <c r="K226" i="1" s="1"/>
  <c r="J225" i="1"/>
  <c r="I225" i="1"/>
  <c r="K225" i="1" s="1"/>
  <c r="J224" i="1"/>
  <c r="I224" i="1"/>
  <c r="K224" i="1" s="1"/>
  <c r="J223" i="1"/>
  <c r="I223" i="1"/>
  <c r="K223" i="1" s="1"/>
  <c r="J222" i="1"/>
  <c r="I222" i="1"/>
  <c r="K222" i="1" s="1"/>
  <c r="J221" i="1"/>
  <c r="I221" i="1"/>
  <c r="K221" i="1" s="1"/>
  <c r="J220" i="1"/>
  <c r="I220" i="1"/>
  <c r="J219" i="1"/>
  <c r="I219" i="1"/>
  <c r="K219" i="1" s="1"/>
  <c r="J218" i="1"/>
  <c r="I218" i="1"/>
  <c r="K218" i="1" s="1"/>
  <c r="J217" i="1"/>
  <c r="I217" i="1"/>
  <c r="K217" i="1" s="1"/>
  <c r="J216" i="1"/>
  <c r="I216" i="1"/>
  <c r="K216" i="1" s="1"/>
  <c r="J215" i="1"/>
  <c r="I215" i="1"/>
  <c r="K215" i="1" s="1"/>
  <c r="J214" i="1"/>
  <c r="I214" i="1"/>
  <c r="K214" i="1" s="1"/>
  <c r="J213" i="1"/>
  <c r="I213" i="1"/>
  <c r="K213" i="1" s="1"/>
  <c r="J212" i="1"/>
  <c r="I212" i="1"/>
  <c r="K212" i="1" s="1"/>
  <c r="J211" i="1"/>
  <c r="I211" i="1"/>
  <c r="J210" i="1"/>
  <c r="I210" i="1"/>
  <c r="K210" i="1" s="1"/>
  <c r="J209" i="1"/>
  <c r="I209" i="1"/>
  <c r="K209" i="1" s="1"/>
  <c r="J208" i="1"/>
  <c r="I208" i="1"/>
  <c r="K208" i="1" s="1"/>
  <c r="J207" i="1"/>
  <c r="I207" i="1"/>
  <c r="K207" i="1" s="1"/>
  <c r="J206" i="1"/>
  <c r="I206" i="1"/>
  <c r="K206" i="1" s="1"/>
  <c r="J205" i="1"/>
  <c r="I205" i="1"/>
  <c r="J204" i="1"/>
  <c r="I204" i="1"/>
  <c r="K204" i="1" s="1"/>
  <c r="J203" i="1"/>
  <c r="I203" i="1"/>
  <c r="K203" i="1" s="1"/>
  <c r="J202" i="1"/>
  <c r="I202" i="1"/>
  <c r="K202" i="1" s="1"/>
  <c r="J201" i="1"/>
  <c r="I201" i="1"/>
  <c r="K201" i="1" s="1"/>
  <c r="J200" i="1"/>
  <c r="I200" i="1"/>
  <c r="K200" i="1" s="1"/>
  <c r="J199" i="1"/>
  <c r="I199" i="1"/>
  <c r="K199" i="1" s="1"/>
  <c r="J198" i="1"/>
  <c r="I198" i="1"/>
  <c r="K198" i="1" s="1"/>
  <c r="J197" i="1"/>
  <c r="I197" i="1"/>
  <c r="K197" i="1" s="1"/>
  <c r="J196" i="1"/>
  <c r="I196" i="1"/>
  <c r="K196" i="1" s="1"/>
  <c r="J195" i="1"/>
  <c r="I195" i="1"/>
  <c r="J194" i="1"/>
  <c r="I194" i="1"/>
  <c r="K194" i="1" s="1"/>
  <c r="J193" i="1"/>
  <c r="I193" i="1"/>
  <c r="K193" i="1" s="1"/>
  <c r="J192" i="1"/>
  <c r="I192" i="1"/>
  <c r="J191" i="1"/>
  <c r="I191" i="1"/>
  <c r="K191" i="1" s="1"/>
  <c r="J190" i="1"/>
  <c r="I190" i="1"/>
  <c r="K190" i="1" s="1"/>
  <c r="J189" i="1"/>
  <c r="I189" i="1"/>
  <c r="K189" i="1" s="1"/>
  <c r="J188" i="1"/>
  <c r="I188" i="1"/>
  <c r="K188" i="1" s="1"/>
  <c r="J187" i="1"/>
  <c r="I187" i="1"/>
  <c r="K187" i="1" s="1"/>
  <c r="J186" i="1"/>
  <c r="I186" i="1"/>
  <c r="K186" i="1" s="1"/>
  <c r="J185" i="1"/>
  <c r="I185" i="1"/>
  <c r="K185" i="1" s="1"/>
  <c r="J184" i="1"/>
  <c r="I184" i="1"/>
  <c r="J183" i="1"/>
  <c r="I183" i="1"/>
  <c r="K183" i="1" s="1"/>
  <c r="J182" i="1"/>
  <c r="I182" i="1"/>
  <c r="K182" i="1" s="1"/>
  <c r="J181" i="1"/>
  <c r="I181" i="1"/>
  <c r="K181" i="1" s="1"/>
  <c r="J180" i="1"/>
  <c r="I180" i="1"/>
  <c r="K180" i="1" s="1"/>
  <c r="J179" i="1"/>
  <c r="I179" i="1"/>
  <c r="K179" i="1" s="1"/>
  <c r="J178" i="1"/>
  <c r="I178" i="1"/>
  <c r="K178" i="1" s="1"/>
  <c r="J177" i="1"/>
  <c r="I177" i="1"/>
  <c r="K177" i="1" s="1"/>
  <c r="J176" i="1"/>
  <c r="I176" i="1"/>
  <c r="K176" i="1" s="1"/>
  <c r="J175" i="1"/>
  <c r="I175" i="1"/>
  <c r="J174" i="1"/>
  <c r="I174" i="1"/>
  <c r="K174" i="1" s="1"/>
  <c r="J173" i="1"/>
  <c r="I173" i="1"/>
  <c r="K173" i="1" s="1"/>
  <c r="J172" i="1"/>
  <c r="I172" i="1"/>
  <c r="K172" i="1" s="1"/>
  <c r="J171" i="1"/>
  <c r="I171" i="1"/>
  <c r="K171" i="1" s="1"/>
  <c r="J170" i="1"/>
  <c r="I170" i="1"/>
  <c r="K170" i="1" s="1"/>
  <c r="J169" i="1"/>
  <c r="I169" i="1"/>
  <c r="K169" i="1" s="1"/>
  <c r="J168" i="1"/>
  <c r="I168" i="1"/>
  <c r="J167" i="1"/>
  <c r="I167" i="1"/>
  <c r="K167" i="1" s="1"/>
  <c r="J166" i="1"/>
  <c r="I166" i="1"/>
  <c r="K166" i="1" s="1"/>
  <c r="J165" i="1"/>
  <c r="I165" i="1"/>
  <c r="K165" i="1" s="1"/>
  <c r="J164" i="1"/>
  <c r="I164" i="1"/>
  <c r="K164" i="1" s="1"/>
  <c r="J163" i="1"/>
  <c r="I163" i="1"/>
  <c r="K163" i="1" s="1"/>
  <c r="J162" i="1"/>
  <c r="I162" i="1"/>
  <c r="K162" i="1" s="1"/>
  <c r="J161" i="1"/>
  <c r="I161" i="1"/>
  <c r="K161" i="1" s="1"/>
  <c r="J160" i="1"/>
  <c r="I160" i="1"/>
  <c r="K160" i="1" s="1"/>
  <c r="J159" i="1"/>
  <c r="I159" i="1"/>
  <c r="K159" i="1" s="1"/>
  <c r="J158" i="1"/>
  <c r="I158" i="1"/>
  <c r="K158" i="1" s="1"/>
  <c r="J157" i="1"/>
  <c r="I157" i="1"/>
  <c r="K157" i="1" s="1"/>
  <c r="J156" i="1"/>
  <c r="I156" i="1"/>
  <c r="K156" i="1" s="1"/>
  <c r="J155" i="1"/>
  <c r="I155" i="1"/>
  <c r="J154" i="1"/>
  <c r="I154" i="1"/>
  <c r="K154" i="1" s="1"/>
  <c r="J153" i="1"/>
  <c r="I153" i="1"/>
  <c r="K153" i="1" s="1"/>
  <c r="J152" i="1"/>
  <c r="I152" i="1"/>
  <c r="K152" i="1" s="1"/>
  <c r="J151" i="1"/>
  <c r="I151" i="1"/>
  <c r="K151" i="1" s="1"/>
  <c r="J150" i="1"/>
  <c r="I150" i="1"/>
  <c r="J149" i="1"/>
  <c r="I149" i="1"/>
  <c r="J148" i="1"/>
  <c r="I148" i="1"/>
  <c r="K148" i="1" s="1"/>
  <c r="J147" i="1"/>
  <c r="I147" i="1"/>
  <c r="J146" i="1"/>
  <c r="I146" i="1"/>
  <c r="K146" i="1" s="1"/>
  <c r="J145" i="1"/>
  <c r="I145" i="1"/>
  <c r="J144" i="1"/>
  <c r="I144" i="1"/>
  <c r="K144" i="1" s="1"/>
  <c r="J143" i="1"/>
  <c r="I143" i="1"/>
  <c r="J142" i="1"/>
  <c r="I142" i="1"/>
  <c r="K142" i="1" s="1"/>
  <c r="J141" i="1"/>
  <c r="I141" i="1"/>
  <c r="K141" i="1" s="1"/>
  <c r="J140" i="1"/>
  <c r="I140" i="1"/>
  <c r="K140" i="1" s="1"/>
  <c r="J139" i="1"/>
  <c r="I139" i="1"/>
  <c r="K139" i="1" s="1"/>
  <c r="J138" i="1"/>
  <c r="I138" i="1"/>
  <c r="K138" i="1" s="1"/>
  <c r="J137" i="1"/>
  <c r="I137" i="1"/>
  <c r="K137" i="1" s="1"/>
  <c r="J136" i="1"/>
  <c r="I136" i="1"/>
  <c r="K136" i="1" s="1"/>
  <c r="J135" i="1"/>
  <c r="I135" i="1"/>
  <c r="K135" i="1" s="1"/>
  <c r="J134" i="1"/>
  <c r="I134" i="1"/>
  <c r="K134" i="1" s="1"/>
  <c r="J133" i="1"/>
  <c r="I133" i="1"/>
  <c r="K133" i="1" s="1"/>
  <c r="J132" i="1"/>
  <c r="I132" i="1"/>
  <c r="K132" i="1" s="1"/>
  <c r="J131" i="1"/>
  <c r="I131" i="1"/>
  <c r="K131" i="1" s="1"/>
  <c r="J130" i="1"/>
  <c r="I130" i="1"/>
  <c r="J129" i="1"/>
  <c r="I129" i="1"/>
  <c r="J128" i="1"/>
  <c r="I128" i="1"/>
  <c r="K128" i="1" s="1"/>
  <c r="J127" i="1"/>
  <c r="I127" i="1"/>
  <c r="K127" i="1" s="1"/>
  <c r="J126" i="1"/>
  <c r="I126" i="1"/>
  <c r="K126" i="1" s="1"/>
  <c r="J125" i="1"/>
  <c r="I125" i="1"/>
  <c r="K125" i="1" s="1"/>
  <c r="J124" i="1"/>
  <c r="I124" i="1"/>
  <c r="J123" i="1"/>
  <c r="I123" i="1"/>
  <c r="K123" i="1" s="1"/>
  <c r="J122" i="1"/>
  <c r="I122" i="1"/>
  <c r="K122" i="1" s="1"/>
  <c r="J121" i="1"/>
  <c r="I121" i="1"/>
  <c r="K121" i="1" s="1"/>
  <c r="J120" i="1"/>
  <c r="I120" i="1"/>
  <c r="K120" i="1" s="1"/>
  <c r="J119" i="1"/>
  <c r="I119" i="1"/>
  <c r="K119" i="1" s="1"/>
  <c r="J118" i="1"/>
  <c r="I118" i="1"/>
  <c r="K118" i="1" s="1"/>
  <c r="J117" i="1"/>
  <c r="I117" i="1"/>
  <c r="K117" i="1" s="1"/>
  <c r="J116" i="1"/>
  <c r="I116" i="1"/>
  <c r="K116" i="1" s="1"/>
  <c r="J115" i="1"/>
  <c r="I115" i="1"/>
  <c r="K115" i="1" s="1"/>
  <c r="J114" i="1"/>
  <c r="I114" i="1"/>
  <c r="K114" i="1" s="1"/>
  <c r="J113" i="1"/>
  <c r="I113" i="1"/>
  <c r="K113" i="1" s="1"/>
  <c r="J112" i="1"/>
  <c r="I112" i="1"/>
  <c r="K112" i="1" s="1"/>
  <c r="J111" i="1"/>
  <c r="I111" i="1"/>
  <c r="J110" i="1"/>
  <c r="I110" i="1"/>
  <c r="J109" i="1"/>
  <c r="I109" i="1"/>
  <c r="J108" i="1"/>
  <c r="I108" i="1"/>
  <c r="K108" i="1" s="1"/>
  <c r="J107" i="1"/>
  <c r="I107" i="1"/>
  <c r="K107" i="1" s="1"/>
  <c r="J106" i="1"/>
  <c r="I106" i="1"/>
  <c r="K106" i="1" s="1"/>
  <c r="J105" i="1"/>
  <c r="I105" i="1"/>
  <c r="J104" i="1"/>
  <c r="I104" i="1"/>
  <c r="K104" i="1" s="1"/>
  <c r="J103" i="1"/>
  <c r="I103" i="1"/>
  <c r="J102" i="1"/>
  <c r="I102" i="1"/>
  <c r="K102" i="1" s="1"/>
  <c r="J101" i="1"/>
  <c r="I101" i="1"/>
  <c r="K101" i="1" s="1"/>
  <c r="J100" i="1"/>
  <c r="I100" i="1"/>
  <c r="K100" i="1" s="1"/>
  <c r="J99" i="1"/>
  <c r="I99" i="1"/>
  <c r="K99" i="1" s="1"/>
  <c r="J98" i="1"/>
  <c r="I98" i="1"/>
  <c r="K98" i="1" s="1"/>
  <c r="J97" i="1"/>
  <c r="I97" i="1"/>
  <c r="K97" i="1" s="1"/>
  <c r="J96" i="1"/>
  <c r="I96" i="1"/>
  <c r="K96" i="1" s="1"/>
  <c r="J95" i="1"/>
  <c r="I95" i="1"/>
  <c r="K95" i="1" s="1"/>
  <c r="J94" i="1"/>
  <c r="I94" i="1"/>
  <c r="K94" i="1" s="1"/>
  <c r="J93" i="1"/>
  <c r="I93" i="1"/>
  <c r="K93" i="1" s="1"/>
  <c r="J92" i="1"/>
  <c r="I92" i="1"/>
  <c r="K92" i="1" s="1"/>
  <c r="J91" i="1"/>
  <c r="I91" i="1"/>
  <c r="K91" i="1" s="1"/>
  <c r="J90" i="1"/>
  <c r="I90" i="1"/>
  <c r="K90" i="1" s="1"/>
  <c r="J89" i="1"/>
  <c r="I89" i="1"/>
  <c r="K89" i="1" s="1"/>
  <c r="J88" i="1"/>
  <c r="I88" i="1"/>
  <c r="K88" i="1" s="1"/>
  <c r="J87" i="1"/>
  <c r="I87" i="1"/>
  <c r="K87" i="1" s="1"/>
  <c r="J86" i="1"/>
  <c r="I86" i="1"/>
  <c r="K86" i="1" s="1"/>
  <c r="J85" i="1"/>
  <c r="I85" i="1"/>
  <c r="K85" i="1" s="1"/>
  <c r="J84" i="1"/>
  <c r="I84" i="1"/>
  <c r="K84" i="1" s="1"/>
  <c r="J83" i="1"/>
  <c r="I83" i="1"/>
  <c r="K83" i="1" s="1"/>
  <c r="J82" i="1"/>
  <c r="I82" i="1"/>
  <c r="K82" i="1" s="1"/>
  <c r="J81" i="1"/>
  <c r="I81" i="1"/>
  <c r="K81" i="1" s="1"/>
  <c r="J80" i="1"/>
  <c r="I80" i="1"/>
  <c r="K80" i="1" s="1"/>
  <c r="J79" i="1"/>
  <c r="I79" i="1"/>
  <c r="K79" i="1" s="1"/>
  <c r="J78" i="1"/>
  <c r="I78" i="1"/>
  <c r="K78" i="1" s="1"/>
  <c r="J77" i="1"/>
  <c r="I77" i="1"/>
  <c r="K77" i="1" s="1"/>
  <c r="L77" i="1" s="1"/>
  <c r="J76" i="1"/>
  <c r="I76" i="1"/>
  <c r="K76" i="1" s="1"/>
  <c r="J75" i="1"/>
  <c r="I75" i="1"/>
  <c r="K75" i="1" s="1"/>
  <c r="J74" i="1"/>
  <c r="I74" i="1"/>
  <c r="K74" i="1" s="1"/>
  <c r="J73" i="1"/>
  <c r="I73" i="1"/>
  <c r="K73" i="1" s="1"/>
  <c r="J72" i="1"/>
  <c r="I72" i="1"/>
  <c r="J71" i="1"/>
  <c r="I71" i="1"/>
  <c r="K71" i="1" s="1"/>
  <c r="J70" i="1"/>
  <c r="I70" i="1"/>
  <c r="K70" i="1" s="1"/>
  <c r="J69" i="1"/>
  <c r="I69" i="1"/>
  <c r="K69" i="1" s="1"/>
  <c r="J68" i="1"/>
  <c r="I68" i="1"/>
  <c r="K68" i="1" s="1"/>
  <c r="J67" i="1"/>
  <c r="I67" i="1"/>
  <c r="K67" i="1" s="1"/>
  <c r="J66" i="1"/>
  <c r="I66" i="1"/>
  <c r="K66" i="1" s="1"/>
  <c r="J65" i="1"/>
  <c r="I65" i="1"/>
  <c r="K65" i="1" s="1"/>
  <c r="J64" i="1"/>
  <c r="I64" i="1"/>
  <c r="K64" i="1" s="1"/>
  <c r="J63" i="1"/>
  <c r="I63" i="1"/>
  <c r="J62" i="1"/>
  <c r="I62" i="1"/>
  <c r="K62" i="1" s="1"/>
  <c r="J61" i="1"/>
  <c r="I61" i="1"/>
  <c r="K61" i="1" s="1"/>
  <c r="J60" i="1"/>
  <c r="I60" i="1"/>
  <c r="J59" i="1"/>
  <c r="I59" i="1"/>
  <c r="K59" i="1" s="1"/>
  <c r="J58" i="1"/>
  <c r="I58" i="1"/>
  <c r="K58" i="1" s="1"/>
  <c r="J57" i="1"/>
  <c r="I57" i="1"/>
  <c r="K57" i="1" s="1"/>
  <c r="J56" i="1"/>
  <c r="I56" i="1"/>
  <c r="K56" i="1" s="1"/>
  <c r="J55" i="1"/>
  <c r="I55" i="1"/>
  <c r="K55" i="1" s="1"/>
  <c r="J54" i="1"/>
  <c r="I54" i="1"/>
  <c r="K54" i="1" s="1"/>
  <c r="J53" i="1"/>
  <c r="I53" i="1"/>
  <c r="K53" i="1" s="1"/>
  <c r="J52" i="1"/>
  <c r="I52" i="1"/>
  <c r="J51" i="1"/>
  <c r="I51" i="1"/>
  <c r="K51" i="1" s="1"/>
  <c r="J50" i="1"/>
  <c r="I50" i="1"/>
  <c r="K50" i="1" s="1"/>
  <c r="J49" i="1"/>
  <c r="I49" i="1"/>
  <c r="K49" i="1" s="1"/>
  <c r="J48" i="1"/>
  <c r="I48" i="1"/>
  <c r="K48" i="1" s="1"/>
  <c r="J47" i="1"/>
  <c r="I47" i="1"/>
  <c r="K47" i="1" s="1"/>
  <c r="J46" i="1"/>
  <c r="I46" i="1"/>
  <c r="K46" i="1" s="1"/>
  <c r="J45" i="1"/>
  <c r="I45" i="1"/>
  <c r="K45" i="1" s="1"/>
  <c r="J44" i="1"/>
  <c r="I44" i="1"/>
  <c r="K44" i="1" s="1"/>
  <c r="J43" i="1"/>
  <c r="I43" i="1"/>
  <c r="J42" i="1"/>
  <c r="I42" i="1"/>
  <c r="K42" i="1" s="1"/>
  <c r="J41" i="1"/>
  <c r="I41" i="1"/>
  <c r="K41" i="1" s="1"/>
  <c r="J40" i="1"/>
  <c r="I40" i="1"/>
  <c r="K40" i="1" s="1"/>
  <c r="J39" i="1"/>
  <c r="I39" i="1"/>
  <c r="K39" i="1" s="1"/>
  <c r="J38" i="1"/>
  <c r="I38" i="1"/>
  <c r="K38" i="1" s="1"/>
  <c r="J37" i="1"/>
  <c r="I37" i="1"/>
  <c r="K37" i="1" s="1"/>
  <c r="J36" i="1"/>
  <c r="I36" i="1"/>
  <c r="K36" i="1" s="1"/>
  <c r="J35" i="1"/>
  <c r="I35" i="1"/>
  <c r="K35" i="1" s="1"/>
  <c r="J34" i="1"/>
  <c r="I34" i="1"/>
  <c r="K34" i="1" s="1"/>
  <c r="J33" i="1"/>
  <c r="I33" i="1"/>
  <c r="K33" i="1" s="1"/>
  <c r="J32" i="1"/>
  <c r="I32" i="1"/>
  <c r="K32" i="1" s="1"/>
  <c r="J31" i="1"/>
  <c r="I31" i="1"/>
  <c r="K31" i="1" s="1"/>
  <c r="J30" i="1"/>
  <c r="I30" i="1"/>
  <c r="J29" i="1"/>
  <c r="I29" i="1"/>
  <c r="K29" i="1" s="1"/>
  <c r="J28" i="1"/>
  <c r="I28" i="1"/>
  <c r="K28" i="1" s="1"/>
  <c r="J27" i="1"/>
  <c r="I27" i="1"/>
  <c r="K27" i="1" s="1"/>
  <c r="J26" i="1"/>
  <c r="I26" i="1"/>
  <c r="K26" i="1" s="1"/>
  <c r="J25" i="1"/>
  <c r="I25" i="1"/>
  <c r="K25" i="1" s="1"/>
  <c r="J24" i="1"/>
  <c r="I24" i="1"/>
  <c r="K24" i="1" s="1"/>
  <c r="J23" i="1"/>
  <c r="I23" i="1"/>
  <c r="J22" i="1"/>
  <c r="I22" i="1"/>
  <c r="K22" i="1" s="1"/>
  <c r="J21" i="1"/>
  <c r="I21" i="1"/>
  <c r="K21" i="1" s="1"/>
  <c r="J20" i="1"/>
  <c r="I20" i="1"/>
  <c r="K20" i="1" s="1"/>
  <c r="J19" i="1"/>
  <c r="I19" i="1"/>
  <c r="K19" i="1" s="1"/>
  <c r="J18" i="1"/>
  <c r="I18" i="1"/>
  <c r="K18" i="1" s="1"/>
  <c r="J17" i="1"/>
  <c r="I17" i="1"/>
  <c r="K17" i="1" s="1"/>
  <c r="J16" i="1"/>
  <c r="I16" i="1"/>
  <c r="K16" i="1" s="1"/>
  <c r="J15" i="1"/>
  <c r="I15" i="1"/>
  <c r="K15" i="1" s="1"/>
  <c r="J14" i="1"/>
  <c r="I14" i="1"/>
  <c r="K14" i="1" s="1"/>
  <c r="J13" i="1"/>
  <c r="I13" i="1"/>
  <c r="K13" i="1" s="1"/>
  <c r="J12" i="1"/>
  <c r="I12" i="1"/>
  <c r="K12" i="1" s="1"/>
  <c r="J11" i="1"/>
  <c r="I11" i="1"/>
  <c r="J10" i="1"/>
  <c r="I10" i="1"/>
  <c r="K10" i="1" s="1"/>
  <c r="J9" i="1"/>
  <c r="I9" i="1"/>
  <c r="K9" i="1" s="1"/>
  <c r="J8" i="1"/>
  <c r="I8" i="1"/>
  <c r="K8" i="1" s="1"/>
  <c r="J7" i="1"/>
  <c r="I7" i="1"/>
  <c r="K7" i="1" s="1"/>
  <c r="J6" i="1"/>
  <c r="I6" i="1"/>
  <c r="K6" i="1" s="1"/>
  <c r="J5" i="1"/>
  <c r="I5" i="1"/>
  <c r="K5" i="1" s="1"/>
  <c r="J4" i="1"/>
  <c r="I4" i="1"/>
  <c r="J3" i="1"/>
  <c r="I3" i="1"/>
  <c r="J2" i="1"/>
  <c r="I2" i="1"/>
  <c r="K2" i="1" s="1"/>
  <c r="L95" i="1" l="1"/>
  <c r="L44" i="1"/>
  <c r="L80" i="1"/>
  <c r="V82" i="1" s="1"/>
  <c r="L100" i="1"/>
  <c r="L144" i="1"/>
  <c r="L188" i="1"/>
  <c r="L208" i="1"/>
  <c r="L232" i="1"/>
  <c r="L252" i="1"/>
  <c r="L272" i="1"/>
  <c r="L292" i="1"/>
  <c r="L97" i="1"/>
  <c r="N2" i="9"/>
  <c r="N5" i="9"/>
  <c r="L14" i="1"/>
  <c r="L70" i="1"/>
  <c r="V72" i="1" s="1"/>
  <c r="L82" i="1"/>
  <c r="L154" i="1"/>
  <c r="L178" i="1"/>
  <c r="L198" i="1"/>
  <c r="L238" i="1"/>
  <c r="L242" i="1"/>
  <c r="L262" i="1"/>
  <c r="L282" i="1"/>
  <c r="L302" i="1"/>
  <c r="V84" i="1" s="1"/>
  <c r="L42" i="1"/>
  <c r="L73" i="1"/>
  <c r="V75" i="1" s="1"/>
  <c r="L93" i="1"/>
  <c r="L46" i="1"/>
  <c r="L56" i="1"/>
  <c r="L106" i="1"/>
  <c r="L116" i="1"/>
  <c r="L126" i="1"/>
  <c r="L136" i="1"/>
  <c r="L216" i="1"/>
  <c r="L236" i="1"/>
  <c r="L246" i="1"/>
  <c r="L256" i="1"/>
  <c r="L276" i="1"/>
  <c r="L286" i="1"/>
  <c r="L296" i="1"/>
  <c r="L316" i="1"/>
  <c r="V98" i="1" s="1"/>
  <c r="L176" i="1"/>
  <c r="L258" i="1"/>
  <c r="L319" i="1"/>
  <c r="V101" i="1" s="1"/>
  <c r="L161" i="1"/>
  <c r="L212" i="1"/>
  <c r="L222" i="1"/>
  <c r="L318" i="1"/>
  <c r="V100" i="1" s="1"/>
  <c r="L6" i="1"/>
  <c r="L16" i="1"/>
  <c r="L26" i="1"/>
  <c r="L36" i="1"/>
  <c r="L85" i="1"/>
  <c r="L206" i="1"/>
  <c r="L76" i="1"/>
  <c r="V78" i="1" s="1"/>
  <c r="L166" i="1"/>
  <c r="L186" i="1"/>
  <c r="L196" i="1"/>
  <c r="L156" i="1"/>
  <c r="L306" i="1"/>
  <c r="V88" i="1" s="1"/>
  <c r="L218" i="1"/>
  <c r="L228" i="1"/>
  <c r="L248" i="1"/>
  <c r="L268" i="1"/>
  <c r="L278" i="1"/>
  <c r="L288" i="1"/>
  <c r="L298" i="1"/>
  <c r="L308" i="1"/>
  <c r="V90" i="1" s="1"/>
  <c r="L201" i="1"/>
  <c r="L12" i="1"/>
  <c r="L79" i="1"/>
  <c r="V81" i="1" s="1"/>
  <c r="L202" i="1"/>
  <c r="L267" i="1"/>
  <c r="L285" i="1"/>
  <c r="L41" i="1"/>
  <c r="L22" i="1"/>
  <c r="L32" i="1"/>
  <c r="L61" i="1"/>
  <c r="L89" i="1"/>
  <c r="L98" i="1"/>
  <c r="L165" i="1"/>
  <c r="L193" i="1"/>
  <c r="L239" i="1"/>
  <c r="L295" i="1"/>
  <c r="K220" i="1"/>
  <c r="L220" i="1" s="1"/>
  <c r="K60" i="1"/>
  <c r="L60" i="1" s="1"/>
  <c r="L221" i="1"/>
  <c r="L305" i="1"/>
  <c r="V87" i="1" s="1"/>
  <c r="L20" i="1"/>
  <c r="L62" i="1"/>
  <c r="V64" i="1" s="1"/>
  <c r="L240" i="1"/>
  <c r="L315" i="1"/>
  <c r="V97" i="1" s="1"/>
  <c r="L58" i="1"/>
  <c r="L59" i="1"/>
  <c r="L99" i="1"/>
  <c r="L5" i="1"/>
  <c r="L81" i="1"/>
  <c r="V83" i="1" s="1"/>
  <c r="L118" i="1"/>
  <c r="L185" i="1"/>
  <c r="L259" i="1"/>
  <c r="K257" i="1"/>
  <c r="L257" i="1" s="1"/>
  <c r="L138" i="1"/>
  <c r="L241" i="1"/>
  <c r="L15" i="1"/>
  <c r="L119" i="1"/>
  <c r="L158" i="1"/>
  <c r="L260" i="1"/>
  <c r="K195" i="1"/>
  <c r="L195" i="1" s="1"/>
  <c r="K175" i="1"/>
  <c r="L175" i="1" s="1"/>
  <c r="K155" i="1"/>
  <c r="L155" i="1" s="1"/>
  <c r="L35" i="1"/>
  <c r="L317" i="1"/>
  <c r="V99" i="1" s="1"/>
  <c r="L34" i="1"/>
  <c r="L215" i="1"/>
  <c r="L279" i="1"/>
  <c r="K313" i="1"/>
  <c r="L313" i="1" s="1"/>
  <c r="V95" i="1" s="1"/>
  <c r="K233" i="1"/>
  <c r="L233" i="1" s="1"/>
  <c r="L139" i="1"/>
  <c r="L45" i="1"/>
  <c r="L65" i="1"/>
  <c r="V67" i="1" s="1"/>
  <c r="L140" i="1"/>
  <c r="L197" i="1"/>
  <c r="L224" i="1"/>
  <c r="L261" i="1"/>
  <c r="L289" i="1"/>
  <c r="L299" i="1"/>
  <c r="K192" i="1"/>
  <c r="L192" i="1" s="1"/>
  <c r="K72" i="1"/>
  <c r="L72" i="1" s="1"/>
  <c r="V74" i="1" s="1"/>
  <c r="K52" i="1"/>
  <c r="L52" i="1" s="1"/>
  <c r="L92" i="1"/>
  <c r="L101" i="1"/>
  <c r="L83" i="1"/>
  <c r="L102" i="1"/>
  <c r="L121" i="1"/>
  <c r="L169" i="1"/>
  <c r="L234" i="1"/>
  <c r="L243" i="1"/>
  <c r="K231" i="1"/>
  <c r="L231" i="1" s="1"/>
  <c r="K211" i="1"/>
  <c r="L211" i="1" s="1"/>
  <c r="K111" i="1"/>
  <c r="L111" i="1" s="1"/>
  <c r="K11" i="1"/>
  <c r="L11" i="1" s="1"/>
  <c r="L25" i="1"/>
  <c r="L55" i="1"/>
  <c r="L159" i="1"/>
  <c r="L27" i="1"/>
  <c r="L66" i="1"/>
  <c r="V68" i="1" s="1"/>
  <c r="L75" i="1"/>
  <c r="V77" i="1" s="1"/>
  <c r="L112" i="1"/>
  <c r="L141" i="1"/>
  <c r="L225" i="1"/>
  <c r="L309" i="1"/>
  <c r="V91" i="1" s="1"/>
  <c r="K250" i="1"/>
  <c r="L250" i="1" s="1"/>
  <c r="K230" i="1"/>
  <c r="L230" i="1" s="1"/>
  <c r="K150" i="1"/>
  <c r="L150" i="1" s="1"/>
  <c r="K130" i="1"/>
  <c r="L130" i="1" s="1"/>
  <c r="K110" i="1"/>
  <c r="L110" i="1" s="1"/>
  <c r="K30" i="1"/>
  <c r="L30" i="1" s="1"/>
  <c r="L37" i="1"/>
  <c r="L122" i="1"/>
  <c r="L179" i="1"/>
  <c r="K269" i="1"/>
  <c r="L269" i="1" s="1"/>
  <c r="K249" i="1"/>
  <c r="L249" i="1" s="1"/>
  <c r="K229" i="1"/>
  <c r="L229" i="1" s="1"/>
  <c r="K149" i="1"/>
  <c r="L149" i="1" s="1"/>
  <c r="K129" i="1"/>
  <c r="L129" i="1" s="1"/>
  <c r="K109" i="1"/>
  <c r="L109" i="1" s="1"/>
  <c r="L18" i="1"/>
  <c r="L132" i="1"/>
  <c r="L170" i="1"/>
  <c r="L235" i="1"/>
  <c r="L9" i="1"/>
  <c r="L38" i="1"/>
  <c r="L113" i="1"/>
  <c r="L152" i="1"/>
  <c r="L189" i="1"/>
  <c r="K168" i="1"/>
  <c r="L168" i="1" s="1"/>
  <c r="L19" i="1"/>
  <c r="L29" i="1"/>
  <c r="L48" i="1"/>
  <c r="L133" i="1"/>
  <c r="L199" i="1"/>
  <c r="L273" i="1"/>
  <c r="K147" i="1"/>
  <c r="L147" i="1" s="1"/>
  <c r="L114" i="1"/>
  <c r="L162" i="1"/>
  <c r="L190" i="1"/>
  <c r="L209" i="1"/>
  <c r="L255" i="1"/>
  <c r="L320" i="1"/>
  <c r="V102" i="1" s="1"/>
  <c r="L266" i="1"/>
  <c r="L226" i="1"/>
  <c r="L146" i="1"/>
  <c r="L49" i="1"/>
  <c r="L172" i="1"/>
  <c r="L181" i="1"/>
  <c r="L237" i="1"/>
  <c r="K265" i="1"/>
  <c r="L265" i="1" s="1"/>
  <c r="K245" i="1"/>
  <c r="L245" i="1" s="1"/>
  <c r="K205" i="1"/>
  <c r="L205" i="1" s="1"/>
  <c r="K145" i="1"/>
  <c r="L145" i="1" s="1"/>
  <c r="K105" i="1"/>
  <c r="L105" i="1" s="1"/>
  <c r="L39" i="1"/>
  <c r="L293" i="1"/>
  <c r="K184" i="1"/>
  <c r="L184" i="1" s="1"/>
  <c r="K124" i="1"/>
  <c r="L124" i="1" s="1"/>
  <c r="L24" i="1"/>
  <c r="K4" i="1"/>
  <c r="L4" i="1" s="1"/>
  <c r="L69" i="1"/>
  <c r="V71" i="1" s="1"/>
  <c r="L87" i="1"/>
  <c r="L115" i="1"/>
  <c r="L21" i="1"/>
  <c r="L50" i="1"/>
  <c r="L78" i="1"/>
  <c r="V80" i="1" s="1"/>
  <c r="L96" i="1"/>
  <c r="L125" i="1"/>
  <c r="L135" i="1"/>
  <c r="L219" i="1"/>
  <c r="L247" i="1"/>
  <c r="L275" i="1"/>
  <c r="L321" i="1"/>
  <c r="V103" i="1" s="1"/>
  <c r="K283" i="1"/>
  <c r="L283" i="1" s="1"/>
  <c r="K263" i="1"/>
  <c r="L263" i="1" s="1"/>
  <c r="K143" i="1"/>
  <c r="L143" i="1" s="1"/>
  <c r="K103" i="1"/>
  <c r="L103" i="1" s="1"/>
  <c r="K63" i="1"/>
  <c r="L63" i="1" s="1"/>
  <c r="V65" i="1" s="1"/>
  <c r="K43" i="1"/>
  <c r="L43" i="1" s="1"/>
  <c r="K23" i="1"/>
  <c r="L23" i="1" s="1"/>
  <c r="K3" i="1"/>
  <c r="L3" i="1" s="1"/>
  <c r="L71" i="1"/>
  <c r="V73" i="1" s="1"/>
  <c r="L107" i="1"/>
  <c r="L163" i="1"/>
  <c r="L287" i="1"/>
  <c r="L53" i="1"/>
  <c r="L90" i="1"/>
  <c r="L117" i="1"/>
  <c r="L173" i="1"/>
  <c r="L182" i="1"/>
  <c r="L191" i="1"/>
  <c r="L200" i="1"/>
  <c r="L244" i="1"/>
  <c r="L270" i="1"/>
  <c r="L314" i="1"/>
  <c r="V96" i="1" s="1"/>
  <c r="L164" i="1"/>
  <c r="L8" i="1"/>
  <c r="L54" i="1"/>
  <c r="L91" i="1"/>
  <c r="L137" i="1"/>
  <c r="L174" i="1"/>
  <c r="L183" i="1"/>
  <c r="L210" i="1"/>
  <c r="L297" i="1"/>
  <c r="L217" i="1"/>
  <c r="L7" i="1"/>
  <c r="L108" i="1"/>
  <c r="L127" i="1"/>
  <c r="L227" i="1"/>
  <c r="L253" i="1"/>
  <c r="L17" i="1"/>
  <c r="L64" i="1"/>
  <c r="V66" i="1" s="1"/>
  <c r="L128" i="1"/>
  <c r="L254" i="1"/>
  <c r="L271" i="1"/>
  <c r="L280" i="1"/>
  <c r="L74" i="1"/>
  <c r="V76" i="1" s="1"/>
  <c r="L307" i="1"/>
  <c r="V89" i="1" s="1"/>
  <c r="L10" i="1"/>
  <c r="L28" i="1"/>
  <c r="L120" i="1"/>
  <c r="L148" i="1"/>
  <c r="L157" i="1"/>
  <c r="L194" i="1"/>
  <c r="L203" i="1"/>
  <c r="L264" i="1"/>
  <c r="L281" i="1"/>
  <c r="L290" i="1"/>
  <c r="L84" i="1"/>
  <c r="L167" i="1"/>
  <c r="L204" i="1"/>
  <c r="L47" i="1"/>
  <c r="L57" i="1"/>
  <c r="L67" i="1"/>
  <c r="V69" i="1" s="1"/>
  <c r="L94" i="1"/>
  <c r="L131" i="1"/>
  <c r="L177" i="1"/>
  <c r="L213" i="1"/>
  <c r="L274" i="1"/>
  <c r="L291" i="1"/>
  <c r="L300" i="1"/>
  <c r="L68" i="1"/>
  <c r="V70" i="1" s="1"/>
  <c r="L187" i="1"/>
  <c r="L214" i="1"/>
  <c r="L13" i="1"/>
  <c r="L31" i="1"/>
  <c r="L40" i="1"/>
  <c r="L86" i="1"/>
  <c r="L104" i="1"/>
  <c r="L123" i="1"/>
  <c r="L142" i="1"/>
  <c r="L151" i="1"/>
  <c r="L160" i="1"/>
  <c r="L223" i="1"/>
  <c r="L284" i="1"/>
  <c r="L301" i="1"/>
  <c r="L310" i="1"/>
  <c r="V92" i="1" s="1"/>
  <c r="L134" i="1"/>
  <c r="L207" i="1"/>
  <c r="L294" i="1"/>
  <c r="L311" i="1"/>
  <c r="V93" i="1" s="1"/>
  <c r="L33" i="1"/>
  <c r="L51" i="1"/>
  <c r="L88" i="1"/>
  <c r="L153" i="1"/>
  <c r="L171" i="1"/>
  <c r="L180" i="1"/>
  <c r="L251" i="1"/>
  <c r="L277" i="1"/>
  <c r="L303" i="1"/>
  <c r="V85" i="1" s="1"/>
  <c r="L312" i="1"/>
  <c r="V94" i="1" s="1"/>
  <c r="L304" i="1"/>
  <c r="V86" i="1" s="1"/>
  <c r="L2" i="1"/>
  <c r="V79" i="1"/>
  <c r="M154" i="9" l="1"/>
  <c r="M322" i="9"/>
  <c r="M153" i="9"/>
  <c r="M48" i="9"/>
  <c r="M216" i="9"/>
  <c r="M197" i="9"/>
  <c r="M93" i="9"/>
  <c r="M109" i="9"/>
  <c r="M185" i="9"/>
  <c r="M187" i="9"/>
  <c r="M68" i="9"/>
  <c r="M207" i="9"/>
  <c r="M253" i="9"/>
  <c r="M33" i="9"/>
  <c r="M133" i="9"/>
  <c r="M6" i="9"/>
  <c r="M50" i="9"/>
  <c r="M218" i="9"/>
  <c r="M191" i="9"/>
  <c r="M300" i="9"/>
  <c r="M40" i="9"/>
  <c r="M104" i="9"/>
  <c r="M280" i="9"/>
  <c r="M124" i="9"/>
  <c r="M38" i="9"/>
  <c r="M145" i="9"/>
  <c r="M65" i="9"/>
  <c r="M117" i="9"/>
  <c r="M299" i="9"/>
  <c r="M92" i="9"/>
  <c r="M320" i="9"/>
  <c r="M95" i="9"/>
  <c r="M265" i="9"/>
  <c r="M167" i="9"/>
  <c r="M210" i="9"/>
  <c r="M35" i="9"/>
  <c r="M4" i="9"/>
  <c r="M297" i="9"/>
  <c r="M149" i="9"/>
  <c r="M279" i="9"/>
  <c r="M220" i="9"/>
  <c r="M190" i="9"/>
  <c r="M163" i="9"/>
  <c r="M287" i="9"/>
  <c r="M90" i="9"/>
  <c r="M47" i="9"/>
  <c r="M204" i="9"/>
  <c r="M55" i="9"/>
  <c r="M9" i="9"/>
  <c r="M302" i="9"/>
  <c r="M230" i="9"/>
  <c r="M41" i="9"/>
  <c r="M59" i="9"/>
  <c r="M318" i="9"/>
  <c r="M97" i="9"/>
  <c r="M86" i="9"/>
  <c r="M289" i="9"/>
  <c r="M274" i="9"/>
  <c r="M235" i="9"/>
  <c r="M268" i="9"/>
  <c r="M71" i="9"/>
  <c r="M244" i="9"/>
  <c r="M166" i="9"/>
  <c r="M175" i="9"/>
  <c r="M310" i="9"/>
  <c r="M2" i="9"/>
  <c r="M202" i="9"/>
  <c r="M186" i="9"/>
  <c r="M58" i="9"/>
  <c r="M54" i="9"/>
  <c r="M45" i="9"/>
  <c r="M168" i="9"/>
  <c r="M243" i="9"/>
  <c r="M307" i="9"/>
  <c r="M26" i="9"/>
  <c r="M284" i="9"/>
  <c r="M170" i="9"/>
  <c r="M217" i="9"/>
  <c r="M51" i="9"/>
  <c r="M128" i="9"/>
  <c r="M232" i="9"/>
  <c r="M142" i="9"/>
  <c r="M157" i="9"/>
  <c r="M306" i="9"/>
  <c r="M121" i="9"/>
  <c r="M200" i="9"/>
  <c r="M272" i="9"/>
  <c r="M213" i="9"/>
  <c r="M15" i="9"/>
  <c r="M295" i="9"/>
  <c r="M44" i="9"/>
  <c r="M164" i="9"/>
  <c r="M43" i="9"/>
  <c r="M252" i="9"/>
  <c r="M7" i="9"/>
  <c r="M205" i="9"/>
  <c r="M129" i="9"/>
  <c r="M242" i="9"/>
  <c r="M96" i="9"/>
  <c r="M31" i="9"/>
  <c r="M67" i="9"/>
  <c r="M172" i="9"/>
  <c r="M221" i="9"/>
  <c r="M180" i="9"/>
  <c r="M286" i="9"/>
  <c r="M136" i="9"/>
  <c r="M27" i="9"/>
  <c r="M263" i="9"/>
  <c r="M62" i="9"/>
  <c r="M158" i="9"/>
  <c r="M49" i="9"/>
  <c r="M155" i="9"/>
  <c r="M251" i="9"/>
  <c r="M315" i="9"/>
  <c r="M24" i="9"/>
  <c r="M308" i="9"/>
  <c r="M254" i="9"/>
  <c r="M249" i="9"/>
  <c r="M17" i="9"/>
  <c r="M77" i="9"/>
  <c r="M285" i="9"/>
  <c r="M294" i="9"/>
  <c r="M209" i="9"/>
  <c r="M262" i="9"/>
  <c r="M110" i="9"/>
  <c r="M214" i="9"/>
  <c r="M138" i="9"/>
  <c r="M226" i="9"/>
  <c r="M281" i="9"/>
  <c r="M152" i="9"/>
  <c r="M174" i="9"/>
  <c r="M140" i="9"/>
  <c r="M256" i="9"/>
  <c r="M260" i="9"/>
  <c r="M273" i="9"/>
  <c r="M206" i="9"/>
  <c r="M29" i="9"/>
  <c r="M304" i="9"/>
  <c r="M247" i="9"/>
  <c r="M63" i="9"/>
  <c r="M61" i="9"/>
  <c r="M116" i="9"/>
  <c r="M222" i="9"/>
  <c r="M269" i="9"/>
  <c r="M198" i="9"/>
  <c r="M282" i="9"/>
  <c r="M194" i="9"/>
  <c r="M28" i="9"/>
  <c r="M179" i="9"/>
  <c r="M236" i="9"/>
  <c r="M82" i="9"/>
  <c r="M19" i="9"/>
  <c r="M229" i="9"/>
  <c r="M20" i="9"/>
  <c r="M270" i="9"/>
  <c r="M156" i="9"/>
  <c r="M34" i="9"/>
  <c r="M46" i="9"/>
  <c r="M14" i="9"/>
  <c r="M203" i="9"/>
  <c r="M267" i="9"/>
  <c r="M60" i="9"/>
  <c r="M144" i="9"/>
  <c r="M88" i="9"/>
  <c r="M159" i="9"/>
  <c r="M313" i="9"/>
  <c r="M94" i="9"/>
  <c r="M292" i="9"/>
  <c r="M75" i="9"/>
  <c r="M139" i="9"/>
  <c r="M245" i="9"/>
  <c r="M261" i="9"/>
  <c r="M277" i="9"/>
  <c r="M85" i="9"/>
  <c r="M257" i="9"/>
  <c r="M188" i="9"/>
  <c r="M53" i="9"/>
  <c r="M176" i="9"/>
  <c r="M161" i="9"/>
  <c r="M189" i="9"/>
  <c r="M73" i="9"/>
  <c r="M101" i="9"/>
  <c r="M123" i="9"/>
  <c r="M231" i="9"/>
  <c r="M169" i="9"/>
  <c r="M148" i="9"/>
  <c r="M305" i="9"/>
  <c r="M178" i="9"/>
  <c r="M127" i="9"/>
  <c r="M225" i="9"/>
  <c r="M316" i="9"/>
  <c r="M119" i="9"/>
  <c r="M181" i="9"/>
  <c r="M162" i="9"/>
  <c r="M303" i="9"/>
  <c r="M301" i="9"/>
  <c r="M311" i="9"/>
  <c r="M271" i="9"/>
  <c r="M228" i="9"/>
  <c r="M111" i="9"/>
  <c r="M258" i="9"/>
  <c r="M208" i="9"/>
  <c r="M56" i="9"/>
  <c r="M118" i="9"/>
  <c r="M72" i="9"/>
  <c r="M12" i="9"/>
  <c r="M212" i="9"/>
  <c r="M16" i="9"/>
  <c r="M42" i="9"/>
  <c r="M74" i="9"/>
  <c r="M21" i="9"/>
  <c r="M211" i="9"/>
  <c r="M275" i="9"/>
  <c r="M64" i="9"/>
  <c r="M99" i="9"/>
  <c r="M196" i="9"/>
  <c r="M224" i="9"/>
  <c r="M147" i="9"/>
  <c r="M160" i="9"/>
  <c r="M173" i="9"/>
  <c r="M314" i="9"/>
  <c r="M66" i="9"/>
  <c r="M131" i="9"/>
  <c r="M319" i="9"/>
  <c r="M112" i="9"/>
  <c r="M83" i="9"/>
  <c r="M248" i="9"/>
  <c r="M32" i="9"/>
  <c r="M259" i="9"/>
  <c r="M199" i="9"/>
  <c r="M10" i="9"/>
  <c r="M276" i="9"/>
  <c r="M107" i="9"/>
  <c r="M201" i="9"/>
  <c r="M23" i="9"/>
  <c r="M239" i="9"/>
  <c r="M296" i="9"/>
  <c r="M150" i="9"/>
  <c r="M321" i="9"/>
  <c r="M132" i="9"/>
  <c r="M36" i="9"/>
  <c r="M76" i="9"/>
  <c r="M146" i="9"/>
  <c r="M137" i="9"/>
  <c r="M290" i="9"/>
  <c r="M141" i="9"/>
  <c r="M240" i="9"/>
  <c r="M81" i="9"/>
  <c r="M103" i="9"/>
  <c r="M114" i="9"/>
  <c r="M113" i="9"/>
  <c r="M298" i="9"/>
  <c r="M165" i="9"/>
  <c r="M135" i="9"/>
  <c r="M87" i="9"/>
  <c r="M130" i="9"/>
  <c r="M184" i="9"/>
  <c r="M171" i="9"/>
  <c r="M5" i="9"/>
  <c r="M30" i="9"/>
  <c r="M219" i="9"/>
  <c r="M283" i="9"/>
  <c r="M57" i="9"/>
  <c r="M234" i="9"/>
  <c r="M278" i="9"/>
  <c r="M288" i="9"/>
  <c r="M106" i="9"/>
  <c r="M108" i="9"/>
  <c r="M250" i="9"/>
  <c r="M312" i="9"/>
  <c r="M192" i="9"/>
  <c r="M78" i="9"/>
  <c r="M52" i="9"/>
  <c r="M237" i="9"/>
  <c r="M91" i="9"/>
  <c r="M317" i="9"/>
  <c r="M115" i="9"/>
  <c r="M98" i="9"/>
  <c r="M195" i="9"/>
  <c r="M89" i="9"/>
  <c r="M39" i="9"/>
  <c r="M25" i="9"/>
  <c r="M238" i="9"/>
  <c r="M100" i="9"/>
  <c r="M233" i="9"/>
  <c r="M122" i="9"/>
  <c r="M182" i="9"/>
  <c r="M183" i="9"/>
  <c r="M215" i="9"/>
  <c r="M80" i="9"/>
  <c r="M70" i="9"/>
  <c r="M8" i="9"/>
  <c r="M177" i="9"/>
  <c r="M246" i="9"/>
  <c r="M264" i="9"/>
  <c r="M241" i="9"/>
  <c r="M151" i="9"/>
  <c r="M193" i="9"/>
  <c r="M105" i="9"/>
  <c r="M3" i="9"/>
  <c r="M255" i="9"/>
  <c r="M309" i="9"/>
  <c r="M102" i="9"/>
  <c r="M223" i="9"/>
  <c r="M22" i="9"/>
  <c r="M126" i="9"/>
  <c r="M69" i="9"/>
  <c r="M18" i="9"/>
  <c r="M120" i="9"/>
  <c r="M37" i="9"/>
  <c r="M84" i="9"/>
  <c r="M227" i="9"/>
  <c r="M291" i="9"/>
  <c r="M143" i="9"/>
  <c r="M134" i="9"/>
  <c r="M11" i="9"/>
  <c r="M125" i="9"/>
  <c r="M13" i="9"/>
  <c r="M266" i="9"/>
  <c r="M79" i="9"/>
  <c r="M293" i="9"/>
  <c r="N2" i="1"/>
  <c r="M322" i="1" s="1"/>
  <c r="N5" i="1"/>
  <c r="O2" i="9" l="1"/>
  <c r="P211" i="9" s="1"/>
  <c r="M107" i="1"/>
  <c r="M305" i="1"/>
  <c r="M65" i="1"/>
  <c r="M165" i="1"/>
  <c r="M193" i="1"/>
  <c r="M156" i="1"/>
  <c r="M290" i="1"/>
  <c r="M208" i="1"/>
  <c r="M41" i="1"/>
  <c r="M49" i="1"/>
  <c r="M95" i="1"/>
  <c r="M215" i="1"/>
  <c r="M258" i="1"/>
  <c r="M276" i="1"/>
  <c r="M161" i="1"/>
  <c r="M135" i="1"/>
  <c r="M64" i="1"/>
  <c r="M314" i="1"/>
  <c r="M73" i="1"/>
  <c r="M201" i="1"/>
  <c r="M202" i="1"/>
  <c r="M220" i="1"/>
  <c r="M298" i="1"/>
  <c r="M58" i="1"/>
  <c r="M11" i="1"/>
  <c r="M59" i="1"/>
  <c r="M14" i="1"/>
  <c r="M104" i="1"/>
  <c r="M241" i="1"/>
  <c r="M285" i="1"/>
  <c r="M294" i="1"/>
  <c r="M171" i="1"/>
  <c r="M162" i="1"/>
  <c r="M97" i="1"/>
  <c r="M219" i="1"/>
  <c r="M211" i="1"/>
  <c r="M228" i="1"/>
  <c r="M68" i="1"/>
  <c r="M4" i="1"/>
  <c r="M69" i="1"/>
  <c r="M33" i="1"/>
  <c r="M123" i="1"/>
  <c r="M267" i="1"/>
  <c r="M180" i="1"/>
  <c r="M198" i="1"/>
  <c r="M106" i="1"/>
  <c r="M89" i="1"/>
  <c r="M81" i="1"/>
  <c r="M28" i="1"/>
  <c r="M118" i="1"/>
  <c r="M236" i="1"/>
  <c r="M237" i="1"/>
  <c r="M255" i="1"/>
  <c r="M316" i="1"/>
  <c r="M112" i="1"/>
  <c r="M50" i="1"/>
  <c r="M142" i="1"/>
  <c r="M293" i="1"/>
  <c r="M319" i="1"/>
  <c r="M302" i="1"/>
  <c r="M189" i="1"/>
  <c r="M216" i="1"/>
  <c r="M144" i="1"/>
  <c r="M72" i="1"/>
  <c r="M36" i="1"/>
  <c r="M137" i="1"/>
  <c r="M254" i="1"/>
  <c r="M263" i="1"/>
  <c r="M307" i="1"/>
  <c r="M10" i="1"/>
  <c r="M131" i="1"/>
  <c r="M85" i="1"/>
  <c r="M86" i="1"/>
  <c r="M151" i="1"/>
  <c r="M57" i="1"/>
  <c r="M235" i="1"/>
  <c r="M311" i="1"/>
  <c r="M225" i="1"/>
  <c r="M234" i="1"/>
  <c r="M172" i="1"/>
  <c r="M259" i="1"/>
  <c r="M117" i="1"/>
  <c r="M45" i="1"/>
  <c r="M174" i="1"/>
  <c r="M262" i="1"/>
  <c r="M289" i="1"/>
  <c r="M22" i="1"/>
  <c r="M76" i="1"/>
  <c r="M177" i="1"/>
  <c r="M103" i="1"/>
  <c r="M113" i="1"/>
  <c r="M160" i="1"/>
  <c r="M51" i="1"/>
  <c r="M13" i="1"/>
  <c r="M251" i="1"/>
  <c r="M242" i="1"/>
  <c r="M181" i="1"/>
  <c r="M114" i="1"/>
  <c r="M126" i="1"/>
  <c r="M55" i="1"/>
  <c r="M183" i="1"/>
  <c r="M271" i="1"/>
  <c r="M306" i="1"/>
  <c r="M98" i="1"/>
  <c r="M31" i="1"/>
  <c r="M94" i="1"/>
  <c r="M213" i="1"/>
  <c r="M122" i="1"/>
  <c r="M132" i="1"/>
  <c r="M169" i="1"/>
  <c r="M133" i="1"/>
  <c r="M87" i="1"/>
  <c r="M320" i="1"/>
  <c r="M277" i="1"/>
  <c r="M260" i="1"/>
  <c r="M190" i="1"/>
  <c r="M265" i="1"/>
  <c r="M154" i="1"/>
  <c r="M91" i="1"/>
  <c r="M192" i="1"/>
  <c r="M280" i="1"/>
  <c r="M47" i="1"/>
  <c r="M48" i="1"/>
  <c r="M102" i="1"/>
  <c r="M239" i="1"/>
  <c r="M141" i="1"/>
  <c r="M187" i="1"/>
  <c r="M196" i="1"/>
  <c r="M43" i="1"/>
  <c r="M178" i="1"/>
  <c r="M303" i="1"/>
  <c r="M268" i="1"/>
  <c r="M199" i="1"/>
  <c r="M153" i="1"/>
  <c r="M173" i="1"/>
  <c r="M99" i="1"/>
  <c r="M210" i="1"/>
  <c r="M288" i="1"/>
  <c r="M44" i="1"/>
  <c r="M120" i="1"/>
  <c r="M84" i="1"/>
  <c r="M121" i="1"/>
  <c r="M256" i="1"/>
  <c r="M150" i="1"/>
  <c r="M214" i="1"/>
  <c r="M223" i="1"/>
  <c r="M61" i="1"/>
  <c r="M25" i="1"/>
  <c r="M287" i="1"/>
  <c r="M295" i="1"/>
  <c r="M217" i="1"/>
  <c r="M250" i="1"/>
  <c r="M182" i="1"/>
  <c r="M108" i="1"/>
  <c r="M218" i="1"/>
  <c r="M163" i="1"/>
  <c r="M29" i="1"/>
  <c r="M139" i="1"/>
  <c r="M93" i="1"/>
  <c r="M140" i="1"/>
  <c r="M274" i="1"/>
  <c r="M159" i="1"/>
  <c r="M222" i="1"/>
  <c r="M249" i="1"/>
  <c r="M96" i="1"/>
  <c r="M52" i="1"/>
  <c r="M21" i="1"/>
  <c r="M145" i="1"/>
  <c r="M243" i="1"/>
  <c r="M129" i="1"/>
  <c r="M191" i="1"/>
  <c r="M127" i="1"/>
  <c r="M245" i="1"/>
  <c r="M19" i="1"/>
  <c r="M46" i="1"/>
  <c r="M148" i="1"/>
  <c r="M111" i="1"/>
  <c r="M149" i="1"/>
  <c r="M282" i="1"/>
  <c r="M168" i="1"/>
  <c r="M240" i="1"/>
  <c r="M266" i="1"/>
  <c r="M105" i="1"/>
  <c r="M70" i="1"/>
  <c r="M40" i="1"/>
  <c r="M312" i="1"/>
  <c r="M20" i="1"/>
  <c r="M269" i="1"/>
  <c r="M77" i="1"/>
  <c r="M200" i="1"/>
  <c r="M136" i="1"/>
  <c r="M297" i="1"/>
  <c r="M38" i="1"/>
  <c r="M3" i="1"/>
  <c r="M157" i="1"/>
  <c r="M130" i="1"/>
  <c r="M158" i="1"/>
  <c r="M291" i="1"/>
  <c r="M186" i="1"/>
  <c r="M248" i="1"/>
  <c r="M284" i="1"/>
  <c r="M124" i="1"/>
  <c r="M197" i="1"/>
  <c r="M39" i="1"/>
  <c r="M101" i="1"/>
  <c r="M286" i="1"/>
  <c r="M209" i="1"/>
  <c r="M155" i="1"/>
  <c r="M66" i="1"/>
  <c r="M12" i="1"/>
  <c r="M185" i="1"/>
  <c r="M166" i="1"/>
  <c r="M167" i="1"/>
  <c r="M300" i="1"/>
  <c r="M205" i="1"/>
  <c r="M275" i="1"/>
  <c r="M292" i="1"/>
  <c r="M143" i="1"/>
  <c r="M79" i="1"/>
  <c r="M8" i="1"/>
  <c r="M6" i="1"/>
  <c r="M42" i="1"/>
  <c r="M304" i="1"/>
  <c r="M67" i="1"/>
  <c r="M226" i="1"/>
  <c r="M164" i="1"/>
  <c r="M315" i="1"/>
  <c r="M30" i="1"/>
  <c r="M194" i="1"/>
  <c r="M221" i="1"/>
  <c r="M176" i="1"/>
  <c r="M308" i="1"/>
  <c r="M231" i="1"/>
  <c r="M301" i="1"/>
  <c r="M152" i="1"/>
  <c r="M88" i="1"/>
  <c r="M34" i="1"/>
  <c r="M78" i="1"/>
  <c r="M9" i="1"/>
  <c r="M32" i="1"/>
  <c r="M244" i="1"/>
  <c r="M227" i="1"/>
  <c r="M80" i="1"/>
  <c r="M82" i="1"/>
  <c r="M56" i="1"/>
  <c r="M203" i="1"/>
  <c r="M247" i="1"/>
  <c r="M195" i="1"/>
  <c r="M257" i="1"/>
  <c r="M318" i="1"/>
  <c r="M170" i="1"/>
  <c r="M115" i="1"/>
  <c r="M18" i="1"/>
  <c r="M281" i="1"/>
  <c r="M252" i="1"/>
  <c r="M253" i="1"/>
  <c r="M119" i="1"/>
  <c r="M75" i="1"/>
  <c r="M229" i="1"/>
  <c r="M273" i="1"/>
  <c r="M204" i="1"/>
  <c r="M90" i="1"/>
  <c r="M283" i="1"/>
  <c r="M27" i="1"/>
  <c r="M310" i="1"/>
  <c r="M179" i="1"/>
  <c r="M134" i="1"/>
  <c r="M62" i="1"/>
  <c r="M7" i="1"/>
  <c r="M26" i="1"/>
  <c r="M313" i="1"/>
  <c r="M261" i="1"/>
  <c r="M279" i="1"/>
  <c r="M92" i="1"/>
  <c r="M138" i="1"/>
  <c r="M246" i="1"/>
  <c r="M299" i="1"/>
  <c r="M212" i="1"/>
  <c r="M37" i="1"/>
  <c r="M83" i="1"/>
  <c r="M54" i="1"/>
  <c r="M206" i="1"/>
  <c r="M188" i="1"/>
  <c r="M71" i="1"/>
  <c r="M16" i="1"/>
  <c r="M35" i="1"/>
  <c r="M321" i="1"/>
  <c r="M184" i="1"/>
  <c r="M270" i="1"/>
  <c r="M296" i="1"/>
  <c r="M109" i="1"/>
  <c r="M147" i="1"/>
  <c r="M100" i="1"/>
  <c r="M264" i="1"/>
  <c r="M317" i="1"/>
  <c r="M230" i="1"/>
  <c r="M23" i="1"/>
  <c r="M309" i="1"/>
  <c r="M15" i="1"/>
  <c r="M2" i="1"/>
  <c r="M224" i="1"/>
  <c r="M207" i="1"/>
  <c r="M17" i="1"/>
  <c r="M63" i="1"/>
  <c r="M146" i="1"/>
  <c r="M278" i="1"/>
  <c r="M116" i="1"/>
  <c r="M128" i="1"/>
  <c r="M175" i="1"/>
  <c r="M110" i="1"/>
  <c r="M272" i="1"/>
  <c r="M238" i="1"/>
  <c r="M5" i="1"/>
  <c r="M74" i="1"/>
  <c r="M60" i="1"/>
  <c r="M24" i="1"/>
  <c r="M232" i="1"/>
  <c r="M233" i="1"/>
  <c r="M125" i="1"/>
  <c r="M53" i="1"/>
  <c r="P285" i="9" l="1"/>
  <c r="P217" i="9"/>
  <c r="P322" i="9"/>
  <c r="P45" i="9"/>
  <c r="P304" i="9"/>
  <c r="P155" i="9"/>
  <c r="P33" i="9"/>
  <c r="P209" i="9"/>
  <c r="P225" i="9"/>
  <c r="P142" i="9"/>
  <c r="P276" i="9"/>
  <c r="P9" i="9"/>
  <c r="P227" i="9"/>
  <c r="P288" i="9"/>
  <c r="P289" i="9"/>
  <c r="P237" i="9"/>
  <c r="P189" i="9"/>
  <c r="P36" i="9"/>
  <c r="P174" i="9"/>
  <c r="P30" i="9"/>
  <c r="P37" i="9"/>
  <c r="P97" i="9"/>
  <c r="P275" i="9"/>
  <c r="P40" i="9"/>
  <c r="P32" i="9"/>
  <c r="P27" i="9"/>
  <c r="P139" i="9"/>
  <c r="P91" i="9"/>
  <c r="P164" i="9"/>
  <c r="P226" i="9"/>
  <c r="P214" i="9"/>
  <c r="P89" i="9"/>
  <c r="P282" i="9"/>
  <c r="P161" i="9"/>
  <c r="P80" i="9"/>
  <c r="P48" i="9"/>
  <c r="P238" i="9"/>
  <c r="P188" i="9"/>
  <c r="P16" i="9"/>
  <c r="P118" i="9"/>
  <c r="P29" i="9"/>
  <c r="P103" i="9"/>
  <c r="P302" i="9"/>
  <c r="P149" i="9"/>
  <c r="P208" i="9"/>
  <c r="P260" i="9"/>
  <c r="P181" i="9"/>
  <c r="P75" i="9"/>
  <c r="P50" i="9"/>
  <c r="P117" i="9"/>
  <c r="P206" i="9"/>
  <c r="P187" i="9"/>
  <c r="P70" i="9"/>
  <c r="P230" i="9"/>
  <c r="P256" i="9"/>
  <c r="P264" i="9"/>
  <c r="P241" i="9"/>
  <c r="P66" i="9"/>
  <c r="P76" i="9"/>
  <c r="P244" i="9"/>
  <c r="P305" i="9"/>
  <c r="P144" i="9"/>
  <c r="P157" i="9"/>
  <c r="P105" i="9"/>
  <c r="P184" i="9"/>
  <c r="P203" i="9"/>
  <c r="P177" i="9"/>
  <c r="P47" i="9"/>
  <c r="P74" i="9"/>
  <c r="P102" i="9"/>
  <c r="P223" i="9"/>
  <c r="P291" i="9"/>
  <c r="P266" i="9"/>
  <c r="P44" i="9"/>
  <c r="P21" i="9"/>
  <c r="P314" i="9"/>
  <c r="P252" i="9"/>
  <c r="P69" i="9"/>
  <c r="P19" i="9"/>
  <c r="P286" i="9"/>
  <c r="P292" i="9"/>
  <c r="P309" i="9"/>
  <c r="P299" i="9"/>
  <c r="P160" i="9"/>
  <c r="P127" i="9"/>
  <c r="P79" i="9"/>
  <c r="P293" i="9"/>
  <c r="P100" i="9"/>
  <c r="P96" i="9"/>
  <c r="P173" i="9"/>
  <c r="P239" i="9"/>
  <c r="P172" i="9"/>
  <c r="P88" i="9"/>
  <c r="P77" i="9"/>
  <c r="P198" i="9"/>
  <c r="P13" i="9"/>
  <c r="P245" i="9"/>
  <c r="P101" i="9"/>
  <c r="P59" i="9"/>
  <c r="P68" i="9"/>
  <c r="P233" i="9"/>
  <c r="P270" i="9"/>
  <c r="P83" i="9"/>
  <c r="P106" i="9"/>
  <c r="P24" i="9"/>
  <c r="P152" i="9"/>
  <c r="P154" i="9"/>
  <c r="P205" i="9"/>
  <c r="P254" i="9"/>
  <c r="P112" i="9"/>
  <c r="P53" i="9"/>
  <c r="P34" i="9"/>
  <c r="P58" i="9"/>
  <c r="P99" i="9"/>
  <c r="P150" i="9"/>
  <c r="P135" i="9"/>
  <c r="P312" i="9"/>
  <c r="P215" i="9"/>
  <c r="P153" i="9"/>
  <c r="P183" i="9"/>
  <c r="P86" i="9"/>
  <c r="P41" i="9"/>
  <c r="P14" i="9"/>
  <c r="P132" i="9"/>
  <c r="P128" i="9"/>
  <c r="P104" i="9"/>
  <c r="P133" i="9"/>
  <c r="P228" i="9"/>
  <c r="P290" i="9"/>
  <c r="P265" i="9"/>
  <c r="P258" i="9"/>
  <c r="P51" i="9"/>
  <c r="P94" i="9"/>
  <c r="P303" i="9"/>
  <c r="P308" i="9"/>
  <c r="P64" i="9"/>
  <c r="P300" i="9"/>
  <c r="P221" i="9"/>
  <c r="P249" i="9"/>
  <c r="P46" i="9"/>
  <c r="P170" i="9"/>
  <c r="P196" i="9"/>
  <c r="P273" i="9"/>
  <c r="P321" i="9"/>
  <c r="P87" i="9"/>
  <c r="P185" i="9"/>
  <c r="P123" i="9"/>
  <c r="P320" i="9"/>
  <c r="P163" i="9"/>
  <c r="P259" i="9"/>
  <c r="P224" i="9"/>
  <c r="P130" i="9"/>
  <c r="P120" i="9"/>
  <c r="P231" i="9"/>
  <c r="P235" i="9"/>
  <c r="P162" i="9"/>
  <c r="P124" i="9"/>
  <c r="P199" i="9"/>
  <c r="P240" i="9"/>
  <c r="P12" i="9"/>
  <c r="P131" i="9"/>
  <c r="P7" i="9"/>
  <c r="P78" i="9"/>
  <c r="P116" i="9"/>
  <c r="P180" i="9"/>
  <c r="P17" i="9"/>
  <c r="P277" i="9"/>
  <c r="P121" i="9"/>
  <c r="P246" i="9"/>
  <c r="P219" i="9"/>
  <c r="P111" i="9"/>
  <c r="P236" i="9"/>
  <c r="P190" i="9"/>
  <c r="P49" i="9"/>
  <c r="P82" i="9"/>
  <c r="P81" i="9"/>
  <c r="P253" i="9"/>
  <c r="P156" i="9"/>
  <c r="P122" i="9"/>
  <c r="P280" i="9"/>
  <c r="P138" i="9"/>
  <c r="P281" i="9"/>
  <c r="P93" i="9"/>
  <c r="P269" i="9"/>
  <c r="P200" i="9"/>
  <c r="P145" i="9"/>
  <c r="P272" i="9"/>
  <c r="P158" i="9"/>
  <c r="P257" i="9"/>
  <c r="P220" i="9"/>
  <c r="P316" i="9"/>
  <c r="P216" i="9"/>
  <c r="P213" i="9"/>
  <c r="P175" i="9"/>
  <c r="P10" i="9"/>
  <c r="P166" i="9"/>
  <c r="P126" i="9"/>
  <c r="P62" i="9"/>
  <c r="P39" i="9"/>
  <c r="P179" i="9"/>
  <c r="P159" i="9"/>
  <c r="P90" i="9"/>
  <c r="P311" i="9"/>
  <c r="P141" i="9"/>
  <c r="P283" i="9"/>
  <c r="P169" i="9"/>
  <c r="P318" i="9"/>
  <c r="P210" i="9"/>
  <c r="P35" i="9"/>
  <c r="P243" i="9"/>
  <c r="P313" i="9"/>
  <c r="P57" i="9"/>
  <c r="P192" i="9"/>
  <c r="P287" i="9"/>
  <c r="P248" i="9"/>
  <c r="P42" i="9"/>
  <c r="P255" i="9"/>
  <c r="P274" i="9"/>
  <c r="P202" i="9"/>
  <c r="P250" i="9"/>
  <c r="P38" i="9"/>
  <c r="P72" i="9"/>
  <c r="P234" i="9"/>
  <c r="P268" i="9"/>
  <c r="P98" i="9"/>
  <c r="P165" i="9"/>
  <c r="P182" i="9"/>
  <c r="P73" i="9"/>
  <c r="P125" i="9"/>
  <c r="P110" i="9"/>
  <c r="P296" i="9"/>
  <c r="P167" i="9"/>
  <c r="P193" i="9"/>
  <c r="P134" i="9"/>
  <c r="P317" i="9"/>
  <c r="P108" i="9"/>
  <c r="P222" i="9"/>
  <c r="P148" i="9"/>
  <c r="P204" i="9"/>
  <c r="P151" i="9"/>
  <c r="P25" i="9"/>
  <c r="P195" i="9"/>
  <c r="P143" i="9"/>
  <c r="P186" i="9"/>
  <c r="P3" i="9"/>
  <c r="P297" i="9"/>
  <c r="P262" i="9"/>
  <c r="P84" i="9"/>
  <c r="P218" i="9"/>
  <c r="P23" i="9"/>
  <c r="P11" i="9"/>
  <c r="P115" i="9"/>
  <c r="P212" i="9"/>
  <c r="P278" i="9"/>
  <c r="P295" i="9"/>
  <c r="P61" i="9"/>
  <c r="P201" i="9"/>
  <c r="P95" i="9"/>
  <c r="P119" i="9"/>
  <c r="P137" i="9"/>
  <c r="P191" i="9"/>
  <c r="P22" i="9"/>
  <c r="P315" i="9"/>
  <c r="P20" i="9"/>
  <c r="P31" i="9"/>
  <c r="P301" i="9"/>
  <c r="P284" i="9"/>
  <c r="P2" i="9"/>
  <c r="P26" i="9"/>
  <c r="P306" i="9"/>
  <c r="P15" i="9"/>
  <c r="P176" i="9"/>
  <c r="P147" i="9"/>
  <c r="P319" i="9"/>
  <c r="P178" i="9"/>
  <c r="P242" i="9"/>
  <c r="P229" i="9"/>
  <c r="P114" i="9"/>
  <c r="P310" i="9"/>
  <c r="P55" i="9"/>
  <c r="P92" i="9"/>
  <c r="P298" i="9"/>
  <c r="P279" i="9"/>
  <c r="P263" i="9"/>
  <c r="P232" i="9"/>
  <c r="P4" i="9"/>
  <c r="P60" i="9"/>
  <c r="P146" i="9"/>
  <c r="P85" i="9"/>
  <c r="P6" i="9"/>
  <c r="P43" i="9"/>
  <c r="P307" i="9"/>
  <c r="P194" i="9"/>
  <c r="P63" i="9"/>
  <c r="P18" i="9"/>
  <c r="P129" i="9"/>
  <c r="P65" i="9"/>
  <c r="P168" i="9"/>
  <c r="P271" i="9"/>
  <c r="P107" i="9"/>
  <c r="P251" i="9"/>
  <c r="P267" i="9"/>
  <c r="P171" i="9"/>
  <c r="P140" i="9"/>
  <c r="P5" i="9"/>
  <c r="P197" i="9"/>
  <c r="P247" i="9"/>
  <c r="P136" i="9"/>
  <c r="P52" i="9"/>
  <c r="P207" i="9"/>
  <c r="P261" i="9"/>
  <c r="P109" i="9"/>
  <c r="P113" i="9"/>
  <c r="P71" i="9"/>
  <c r="P54" i="9"/>
  <c r="P67" i="9"/>
  <c r="P294" i="9"/>
  <c r="P56" i="9"/>
  <c r="P28" i="9"/>
  <c r="P8" i="9"/>
  <c r="O2" i="1"/>
  <c r="P55" i="1" l="1"/>
  <c r="P322" i="1"/>
  <c r="P216" i="1"/>
  <c r="P259" i="1"/>
  <c r="P117" i="1"/>
  <c r="P121" i="1"/>
  <c r="P159" i="1"/>
  <c r="P48" i="1"/>
  <c r="P256" i="1"/>
  <c r="P105" i="1"/>
  <c r="P304" i="1"/>
  <c r="P273" i="1"/>
  <c r="P146" i="1"/>
  <c r="P156" i="1"/>
  <c r="P22" i="1"/>
  <c r="P155" i="1"/>
  <c r="P243" i="1"/>
  <c r="P221" i="1"/>
  <c r="P201" i="1"/>
  <c r="P202" i="1"/>
  <c r="P97" i="1"/>
  <c r="P33" i="1"/>
  <c r="P75" i="1"/>
  <c r="P189" i="1"/>
  <c r="P116" i="1"/>
  <c r="P183" i="1"/>
  <c r="P137" i="1"/>
  <c r="P280" i="1"/>
  <c r="P254" i="1"/>
  <c r="P213" i="1"/>
  <c r="P271" i="1"/>
  <c r="P21" i="1"/>
  <c r="P47" i="1"/>
  <c r="P145" i="1"/>
  <c r="P222" i="1"/>
  <c r="P109" i="1"/>
  <c r="P27" i="1"/>
  <c r="P112" i="1"/>
  <c r="P71" i="1"/>
  <c r="P99" i="1"/>
  <c r="P63" i="1"/>
  <c r="P292" i="1"/>
  <c r="P269" i="1"/>
  <c r="P77" i="1"/>
  <c r="P318" i="1"/>
  <c r="P272" i="1"/>
  <c r="P258" i="1"/>
  <c r="P316" i="1"/>
  <c r="P57" i="1"/>
  <c r="P163" i="1"/>
  <c r="P34" i="1"/>
  <c r="P212" i="1"/>
  <c r="P66" i="1"/>
  <c r="P26" i="1"/>
  <c r="P238" i="1"/>
  <c r="P162" i="1"/>
  <c r="P151" i="1"/>
  <c r="P251" i="1"/>
  <c r="P148" i="1"/>
  <c r="P119" i="1"/>
  <c r="P309" i="1"/>
  <c r="P16" i="1"/>
  <c r="P59" i="1"/>
  <c r="P187" i="1"/>
  <c r="P30" i="1"/>
  <c r="P194" i="1"/>
  <c r="P296" i="1"/>
  <c r="P125" i="1"/>
  <c r="P255" i="1"/>
  <c r="P13" i="1"/>
  <c r="P260" i="1"/>
  <c r="P130" i="1"/>
  <c r="P299" i="1"/>
  <c r="P168" i="1"/>
  <c r="P197" i="1"/>
  <c r="P35" i="1"/>
  <c r="P106" i="1"/>
  <c r="P61" i="1"/>
  <c r="P195" i="1"/>
  <c r="P257" i="1"/>
  <c r="P110" i="1"/>
  <c r="P302" i="1"/>
  <c r="P86" i="1"/>
  <c r="P277" i="1"/>
  <c r="P173" i="1"/>
  <c r="P275" i="1"/>
  <c r="P23" i="1"/>
  <c r="P73" i="1"/>
  <c r="P7" i="1"/>
  <c r="P32" i="1"/>
  <c r="P215" i="1"/>
  <c r="P51" i="1"/>
  <c r="P153" i="1"/>
  <c r="P218" i="1"/>
  <c r="P88" i="1"/>
  <c r="P232" i="1"/>
  <c r="P4" i="1"/>
  <c r="P84" i="1"/>
  <c r="P266" i="1"/>
  <c r="P283" i="1"/>
  <c r="P193" i="1"/>
  <c r="P289" i="1"/>
  <c r="P20" i="1"/>
  <c r="P62" i="1"/>
  <c r="P270" i="1"/>
  <c r="P95" i="1"/>
  <c r="P171" i="1"/>
  <c r="P320" i="1"/>
  <c r="P108" i="1"/>
  <c r="P46" i="1"/>
  <c r="P253" i="1"/>
  <c r="P233" i="1"/>
  <c r="P319" i="1"/>
  <c r="P274" i="1"/>
  <c r="P124" i="1"/>
  <c r="P165" i="1"/>
  <c r="P11" i="1"/>
  <c r="P94" i="1"/>
  <c r="P209" i="1"/>
  <c r="P184" i="1"/>
  <c r="P140" i="1"/>
  <c r="P294" i="1"/>
  <c r="P237" i="1"/>
  <c r="P199" i="1"/>
  <c r="P19" i="1"/>
  <c r="P157" i="1"/>
  <c r="P246" i="1"/>
  <c r="P69" i="1"/>
  <c r="P234" i="1"/>
  <c r="P240" i="1"/>
  <c r="P42" i="1"/>
  <c r="P58" i="1"/>
  <c r="P198" i="1"/>
  <c r="P141" i="1"/>
  <c r="P315" i="1"/>
  <c r="P128" i="1"/>
  <c r="P83" i="1"/>
  <c r="P236" i="1"/>
  <c r="P85" i="1"/>
  <c r="P182" i="1"/>
  <c r="P3" i="1"/>
  <c r="P205" i="1"/>
  <c r="P230" i="1"/>
  <c r="P314" i="1"/>
  <c r="P126" i="1"/>
  <c r="P284" i="1"/>
  <c r="P227" i="1"/>
  <c r="P180" i="1"/>
  <c r="P36" i="1"/>
  <c r="P223" i="1"/>
  <c r="P247" i="1"/>
  <c r="P175" i="1"/>
  <c r="P49" i="1"/>
  <c r="P131" i="1"/>
  <c r="P160" i="1"/>
  <c r="P245" i="1"/>
  <c r="P300" i="1"/>
  <c r="P152" i="1"/>
  <c r="P172" i="1"/>
  <c r="P68" i="1"/>
  <c r="P91" i="1"/>
  <c r="P6" i="1"/>
  <c r="P90" i="1"/>
  <c r="P72" i="1"/>
  <c r="P262" i="1"/>
  <c r="P52" i="1"/>
  <c r="P134" i="1"/>
  <c r="P248" i="1"/>
  <c r="P285" i="1"/>
  <c r="P113" i="1"/>
  <c r="P87" i="1"/>
  <c r="P38" i="1"/>
  <c r="P301" i="1"/>
  <c r="P252" i="1"/>
  <c r="P64" i="1"/>
  <c r="P293" i="1"/>
  <c r="P44" i="1"/>
  <c r="P244" i="1"/>
  <c r="P206" i="1"/>
  <c r="P174" i="1"/>
  <c r="P31" i="1"/>
  <c r="P312" i="1"/>
  <c r="P321" i="1"/>
  <c r="P2" i="1"/>
  <c r="P118" i="1"/>
  <c r="P133" i="1"/>
  <c r="P268" i="1"/>
  <c r="P167" i="1"/>
  <c r="P281" i="1"/>
  <c r="P138" i="1"/>
  <c r="P228" i="1"/>
  <c r="P225" i="1"/>
  <c r="P93" i="1"/>
  <c r="P204" i="1"/>
  <c r="P188" i="1"/>
  <c r="P98" i="1"/>
  <c r="P239" i="1"/>
  <c r="P286" i="1"/>
  <c r="P208" i="1"/>
  <c r="P41" i="1"/>
  <c r="P10" i="1"/>
  <c r="P303" i="1"/>
  <c r="P250" i="1"/>
  <c r="P231" i="1"/>
  <c r="P92" i="1"/>
  <c r="P317" i="1"/>
  <c r="P142" i="1"/>
  <c r="P114" i="1"/>
  <c r="P282" i="1"/>
  <c r="P54" i="1"/>
  <c r="P17" i="1"/>
  <c r="P102" i="1"/>
  <c r="P214" i="1"/>
  <c r="P164" i="1"/>
  <c r="P104" i="1"/>
  <c r="P241" i="1"/>
  <c r="P103" i="1"/>
  <c r="P217" i="1"/>
  <c r="P127" i="1"/>
  <c r="P18" i="1"/>
  <c r="P264" i="1"/>
  <c r="P120" i="1"/>
  <c r="P311" i="1"/>
  <c r="P154" i="1"/>
  <c r="P186" i="1"/>
  <c r="P224" i="1"/>
  <c r="P65" i="1"/>
  <c r="P150" i="1"/>
  <c r="P96" i="1"/>
  <c r="P203" i="1"/>
  <c r="P81" i="1"/>
  <c r="P28" i="1"/>
  <c r="P169" i="1"/>
  <c r="P191" i="1"/>
  <c r="P297" i="1"/>
  <c r="P279" i="1"/>
  <c r="P74" i="1"/>
  <c r="P135" i="1"/>
  <c r="P181" i="1"/>
  <c r="P288" i="1"/>
  <c r="P79" i="1"/>
  <c r="P207" i="1"/>
  <c r="P298" i="1"/>
  <c r="P249" i="1"/>
  <c r="P40" i="1"/>
  <c r="P179" i="1"/>
  <c r="P263" i="1"/>
  <c r="P307" i="1"/>
  <c r="P178" i="1"/>
  <c r="P136" i="1"/>
  <c r="P166" i="1"/>
  <c r="P100" i="1"/>
  <c r="P60" i="1"/>
  <c r="P211" i="1"/>
  <c r="P265" i="1"/>
  <c r="P139" i="1"/>
  <c r="P9" i="1"/>
  <c r="P80" i="1"/>
  <c r="P267" i="1"/>
  <c r="P70" i="1"/>
  <c r="P101" i="1"/>
  <c r="P278" i="1"/>
  <c r="P76" i="1"/>
  <c r="P177" i="1"/>
  <c r="P295" i="1"/>
  <c r="P185" i="1"/>
  <c r="P308" i="1"/>
  <c r="P5" i="1"/>
  <c r="P24" i="1"/>
  <c r="P50" i="1"/>
  <c r="P210" i="1"/>
  <c r="P149" i="1"/>
  <c r="P229" i="1"/>
  <c r="P305" i="1"/>
  <c r="P144" i="1"/>
  <c r="P39" i="1"/>
  <c r="P226" i="1"/>
  <c r="P290" i="1"/>
  <c r="P122" i="1"/>
  <c r="P132" i="1"/>
  <c r="P129" i="1"/>
  <c r="P176" i="1"/>
  <c r="P115" i="1"/>
  <c r="P8" i="1"/>
  <c r="P192" i="1"/>
  <c r="P235" i="1"/>
  <c r="P29" i="1"/>
  <c r="P291" i="1"/>
  <c r="P37" i="1"/>
  <c r="P220" i="1"/>
  <c r="P45" i="1"/>
  <c r="P67" i="1"/>
  <c r="P56" i="1"/>
  <c r="P14" i="1"/>
  <c r="P196" i="1"/>
  <c r="P43" i="1"/>
  <c r="P200" i="1"/>
  <c r="P170" i="1"/>
  <c r="P261" i="1"/>
  <c r="P53" i="1"/>
  <c r="P161" i="1"/>
  <c r="P242" i="1"/>
  <c r="P111" i="1"/>
  <c r="P143" i="1"/>
  <c r="P15" i="1"/>
  <c r="P107" i="1"/>
  <c r="P123" i="1"/>
  <c r="P306" i="1"/>
  <c r="P82" i="1"/>
  <c r="P310" i="1"/>
  <c r="P89" i="1"/>
  <c r="P25" i="1"/>
  <c r="P287" i="1"/>
  <c r="P12" i="1"/>
  <c r="P313" i="1"/>
  <c r="P147" i="1"/>
  <c r="P276" i="1"/>
  <c r="P219" i="1"/>
  <c r="P190" i="1"/>
  <c r="P158" i="1"/>
  <c r="P78" i="1"/>
</calcChain>
</file>

<file path=xl/sharedStrings.xml><?xml version="1.0" encoding="utf-8"?>
<sst xmlns="http://schemas.openxmlformats.org/spreadsheetml/2006/main" count="84" uniqueCount="19">
  <si>
    <t>Time (s)</t>
  </si>
  <si>
    <t>Image #</t>
  </si>
  <si>
    <t>Markers</t>
  </si>
  <si>
    <t>Slope of linear trendline</t>
  </si>
  <si>
    <r>
      <t>R</t>
    </r>
    <r>
      <rPr>
        <b/>
        <vertAlign val="subscript"/>
        <sz val="10"/>
        <rFont val="Arial"/>
        <family val="2"/>
      </rPr>
      <t>0</t>
    </r>
  </si>
  <si>
    <r>
      <rPr>
        <b/>
        <sz val="10"/>
        <rFont val="Symbol"/>
        <family val="1"/>
      </rPr>
      <t>D</t>
    </r>
    <r>
      <rPr>
        <b/>
        <sz val="10"/>
        <rFont val="Arial"/>
        <family val="2"/>
      </rPr>
      <t>R/R</t>
    </r>
    <r>
      <rPr>
        <b/>
        <vertAlign val="subscript"/>
        <sz val="10"/>
        <rFont val="Arial"/>
        <family val="2"/>
      </rPr>
      <t>0</t>
    </r>
  </si>
  <si>
    <t>21% O2</t>
  </si>
  <si>
    <r>
      <t>R</t>
    </r>
    <r>
      <rPr>
        <b/>
        <vertAlign val="superscript"/>
        <sz val="10"/>
        <rFont val="Arial"/>
        <family val="2"/>
      </rPr>
      <t>2</t>
    </r>
  </si>
  <si>
    <t>For baseline correction:</t>
  </si>
  <si>
    <t>For O2 pulse line:</t>
  </si>
  <si>
    <t>R1_DensMeanChannel0::R1_mScarlet</t>
  </si>
  <si>
    <t>R1_DensMeanChannel1::R1_eGFP</t>
  </si>
  <si>
    <t>R2_DensMeanChannel0::R2_mScarlet</t>
  </si>
  <si>
    <t>R2_DensMeanChannel1::R2_eGFP</t>
  </si>
  <si>
    <t>GFP</t>
  </si>
  <si>
    <t>mScarlet</t>
  </si>
  <si>
    <t>GFP/mScarlet ratio</t>
  </si>
  <si>
    <t>GFP/mScarlet, baseline-adjusted</t>
  </si>
  <si>
    <t>GFP adjust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</si>
</sst>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vertAlign val="subscript"/>
      <sz val="10"/>
      <name val="Arial"/>
      <family val="2"/>
    </font>
    <font>
      <b/>
      <sz val="10"/>
      <name val="Symbol"/>
      <family val="1"/>
    </font>
    <font>
      <b/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0" xfId="1" applyFont="1"/>
    <xf numFmtId="0" fontId="1" fillId="0" borderId="0" xfId="0" applyFont="1"/>
    <xf numFmtId="0" fontId="2" fillId="0" borderId="0" xfId="1" applyFont="1" applyAlignment="1">
      <alignment wrapText="1"/>
    </xf>
    <xf numFmtId="0" fontId="1" fillId="2" borderId="0" xfId="1" applyFill="1"/>
    <xf numFmtId="164" fontId="1" fillId="2" borderId="0" xfId="1" applyNumberFormat="1" applyFill="1"/>
    <xf numFmtId="2" fontId="1" fillId="2" borderId="0" xfId="1" applyNumberFormat="1" applyFill="1"/>
    <xf numFmtId="165" fontId="1" fillId="2" borderId="0" xfId="1" applyNumberFormat="1" applyFill="1"/>
    <xf numFmtId="0" fontId="1" fillId="0" borderId="0" xfId="1"/>
    <xf numFmtId="164" fontId="1" fillId="0" borderId="0" xfId="1" applyNumberFormat="1"/>
    <xf numFmtId="2" fontId="1" fillId="0" borderId="0" xfId="1" applyNumberFormat="1"/>
    <xf numFmtId="165" fontId="1" fillId="0" borderId="0" xfId="1" applyNumberFormat="1"/>
    <xf numFmtId="0" fontId="1" fillId="0" borderId="0" xfId="1" quotePrefix="1"/>
    <xf numFmtId="0" fontId="1" fillId="3" borderId="0" xfId="1" applyFill="1"/>
    <xf numFmtId="164" fontId="1" fillId="3" borderId="0" xfId="1" applyNumberFormat="1" applyFill="1"/>
    <xf numFmtId="2" fontId="1" fillId="3" borderId="0" xfId="1" applyNumberFormat="1" applyFill="1"/>
  </cellXfs>
  <cellStyles count="2">
    <cellStyle name="Normal" xfId="0" builtinId="0"/>
    <cellStyle name="Normal 2" xfId="1" xr:uid="{1D49C091-8A5D-49A2-90C3-7E5CC801D3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'240816B014'!$A$2:$A$321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'240816B014'!$J$2:$J$321</c:f>
              <c:numCache>
                <c:formatCode>0.0</c:formatCode>
                <c:ptCount val="320"/>
                <c:pt idx="0">
                  <c:v>292.48698925169998</c:v>
                </c:pt>
                <c:pt idx="1">
                  <c:v>289.33370701017998</c:v>
                </c:pt>
                <c:pt idx="2">
                  <c:v>287.51746089980998</c:v>
                </c:pt>
                <c:pt idx="3">
                  <c:v>290.74358974359001</c:v>
                </c:pt>
                <c:pt idx="4">
                  <c:v>290.26063199985003</c:v>
                </c:pt>
                <c:pt idx="5">
                  <c:v>281.93147416773002</c:v>
                </c:pt>
                <c:pt idx="6">
                  <c:v>267.79802482921002</c:v>
                </c:pt>
                <c:pt idx="7">
                  <c:v>253.43605443108999</c:v>
                </c:pt>
                <c:pt idx="8">
                  <c:v>311.92100687011003</c:v>
                </c:pt>
                <c:pt idx="9">
                  <c:v>302.41075308595998</c:v>
                </c:pt>
                <c:pt idx="10">
                  <c:v>308.83371040724001</c:v>
                </c:pt>
                <c:pt idx="11">
                  <c:v>308.99217117338003</c:v>
                </c:pt>
                <c:pt idx="12">
                  <c:v>317.04117828781</c:v>
                </c:pt>
                <c:pt idx="13">
                  <c:v>316.40773128612</c:v>
                </c:pt>
                <c:pt idx="14">
                  <c:v>306.75653585256003</c:v>
                </c:pt>
                <c:pt idx="15">
                  <c:v>309.08529862769001</c:v>
                </c:pt>
                <c:pt idx="16">
                  <c:v>299.51381961690998</c:v>
                </c:pt>
                <c:pt idx="17">
                  <c:v>305.07559186177002</c:v>
                </c:pt>
                <c:pt idx="18">
                  <c:v>299.08798975761999</c:v>
                </c:pt>
                <c:pt idx="19">
                  <c:v>299.72160945349003</c:v>
                </c:pt>
                <c:pt idx="20">
                  <c:v>300.31690198346001</c:v>
                </c:pt>
                <c:pt idx="21">
                  <c:v>298.30895791515002</c:v>
                </c:pt>
                <c:pt idx="22">
                  <c:v>305.17953616492002</c:v>
                </c:pt>
                <c:pt idx="23">
                  <c:v>310.05190405234998</c:v>
                </c:pt>
                <c:pt idx="24">
                  <c:v>309.59073355115004</c:v>
                </c:pt>
                <c:pt idx="25">
                  <c:v>307.30063612710001</c:v>
                </c:pt>
                <c:pt idx="26">
                  <c:v>303.17831950349</c:v>
                </c:pt>
                <c:pt idx="27">
                  <c:v>306.23319799682997</c:v>
                </c:pt>
                <c:pt idx="28">
                  <c:v>305.20137341481001</c:v>
                </c:pt>
                <c:pt idx="29">
                  <c:v>302.95630385548998</c:v>
                </c:pt>
                <c:pt idx="30">
                  <c:v>306.39290075779002</c:v>
                </c:pt>
                <c:pt idx="31">
                  <c:v>309.37158298131999</c:v>
                </c:pt>
                <c:pt idx="32">
                  <c:v>303.16695944006005</c:v>
                </c:pt>
                <c:pt idx="33">
                  <c:v>292.79900138071002</c:v>
                </c:pt>
                <c:pt idx="34">
                  <c:v>306.89053903884002</c:v>
                </c:pt>
                <c:pt idx="35">
                  <c:v>313.07746420804</c:v>
                </c:pt>
                <c:pt idx="36">
                  <c:v>310.14808523920999</c:v>
                </c:pt>
                <c:pt idx="37">
                  <c:v>309.61328507699</c:v>
                </c:pt>
                <c:pt idx="38">
                  <c:v>305.16950668253003</c:v>
                </c:pt>
                <c:pt idx="39">
                  <c:v>306.73654234276</c:v>
                </c:pt>
                <c:pt idx="40">
                  <c:v>293.60079856943997</c:v>
                </c:pt>
                <c:pt idx="41">
                  <c:v>303.53669940495001</c:v>
                </c:pt>
                <c:pt idx="42">
                  <c:v>307.09494121717</c:v>
                </c:pt>
                <c:pt idx="43">
                  <c:v>295.31254621558003</c:v>
                </c:pt>
                <c:pt idx="44">
                  <c:v>303.91987436194</c:v>
                </c:pt>
                <c:pt idx="45">
                  <c:v>312.66927366780999</c:v>
                </c:pt>
                <c:pt idx="46">
                  <c:v>312.79142051327995</c:v>
                </c:pt>
                <c:pt idx="47">
                  <c:v>309.83239093380007</c:v>
                </c:pt>
                <c:pt idx="48">
                  <c:v>312.59829934534002</c:v>
                </c:pt>
                <c:pt idx="49">
                  <c:v>312.73990913717</c:v>
                </c:pt>
                <c:pt idx="50">
                  <c:v>309.56733854381002</c:v>
                </c:pt>
                <c:pt idx="51">
                  <c:v>309.57478943176</c:v>
                </c:pt>
                <c:pt idx="52">
                  <c:v>301.95198027353001</c:v>
                </c:pt>
                <c:pt idx="53">
                  <c:v>308.73721761825004</c:v>
                </c:pt>
                <c:pt idx="54">
                  <c:v>304.51435931330002</c:v>
                </c:pt>
                <c:pt idx="55">
                  <c:v>304.52325486807001</c:v>
                </c:pt>
                <c:pt idx="56">
                  <c:v>297.18197671463003</c:v>
                </c:pt>
                <c:pt idx="57">
                  <c:v>300.49944843365</c:v>
                </c:pt>
                <c:pt idx="58">
                  <c:v>302.31259341730004</c:v>
                </c:pt>
                <c:pt idx="59">
                  <c:v>292.63294076635998</c:v>
                </c:pt>
                <c:pt idx="60">
                  <c:v>293.45451190005002</c:v>
                </c:pt>
                <c:pt idx="61">
                  <c:v>296.73061316090997</c:v>
                </c:pt>
                <c:pt idx="62">
                  <c:v>298.92496314894004</c:v>
                </c:pt>
                <c:pt idx="63">
                  <c:v>299.55628458399997</c:v>
                </c:pt>
                <c:pt idx="64">
                  <c:v>297.22438893675002</c:v>
                </c:pt>
                <c:pt idx="65">
                  <c:v>304.35492547844001</c:v>
                </c:pt>
                <c:pt idx="66">
                  <c:v>296.81205913964004</c:v>
                </c:pt>
                <c:pt idx="67">
                  <c:v>298.32178854959</c:v>
                </c:pt>
                <c:pt idx="68">
                  <c:v>303.44881393116998</c:v>
                </c:pt>
                <c:pt idx="69">
                  <c:v>302.12036050663005</c:v>
                </c:pt>
                <c:pt idx="70">
                  <c:v>297.02971205368999</c:v>
                </c:pt>
                <c:pt idx="71">
                  <c:v>302.62991176413999</c:v>
                </c:pt>
                <c:pt idx="72">
                  <c:v>311.09521698656999</c:v>
                </c:pt>
                <c:pt idx="73">
                  <c:v>308.93840197954</c:v>
                </c:pt>
                <c:pt idx="74">
                  <c:v>301.39562287843</c:v>
                </c:pt>
                <c:pt idx="75">
                  <c:v>308.92724090851004</c:v>
                </c:pt>
                <c:pt idx="76">
                  <c:v>303.27636590548002</c:v>
                </c:pt>
                <c:pt idx="77">
                  <c:v>305.78506787331003</c:v>
                </c:pt>
                <c:pt idx="78">
                  <c:v>303.12209202087001</c:v>
                </c:pt>
                <c:pt idx="79">
                  <c:v>305.88121001617998</c:v>
                </c:pt>
                <c:pt idx="80">
                  <c:v>319.36603094629999</c:v>
                </c:pt>
                <c:pt idx="81">
                  <c:v>312.30138302265999</c:v>
                </c:pt>
                <c:pt idx="82">
                  <c:v>313.52012125693</c:v>
                </c:pt>
                <c:pt idx="83">
                  <c:v>315.73236537719998</c:v>
                </c:pt>
                <c:pt idx="84">
                  <c:v>312.68789119278</c:v>
                </c:pt>
                <c:pt idx="85">
                  <c:v>309.32292928808999</c:v>
                </c:pt>
                <c:pt idx="86">
                  <c:v>311.07027836155004</c:v>
                </c:pt>
                <c:pt idx="87">
                  <c:v>307.84623599235999</c:v>
                </c:pt>
                <c:pt idx="88">
                  <c:v>305.83370413218</c:v>
                </c:pt>
                <c:pt idx="89">
                  <c:v>308.28396346318993</c:v>
                </c:pt>
                <c:pt idx="90">
                  <c:v>306.60655503910004</c:v>
                </c:pt>
                <c:pt idx="91">
                  <c:v>303.31842607867998</c:v>
                </c:pt>
                <c:pt idx="92">
                  <c:v>307.63286236174997</c:v>
                </c:pt>
                <c:pt idx="93">
                  <c:v>307.58378114425</c:v>
                </c:pt>
                <c:pt idx="94">
                  <c:v>304.86867787962001</c:v>
                </c:pt>
                <c:pt idx="95">
                  <c:v>307.70597933110002</c:v>
                </c:pt>
                <c:pt idx="96">
                  <c:v>307.30954173826001</c:v>
                </c:pt>
                <c:pt idx="97">
                  <c:v>306.50283860780002</c:v>
                </c:pt>
                <c:pt idx="98">
                  <c:v>302.63032723854002</c:v>
                </c:pt>
                <c:pt idx="99">
                  <c:v>302.84443676224998</c:v>
                </c:pt>
                <c:pt idx="100">
                  <c:v>301.57263550131</c:v>
                </c:pt>
                <c:pt idx="101">
                  <c:v>301.35946609530004</c:v>
                </c:pt>
                <c:pt idx="102">
                  <c:v>306.68990491577</c:v>
                </c:pt>
                <c:pt idx="103">
                  <c:v>305.90695116635993</c:v>
                </c:pt>
                <c:pt idx="104">
                  <c:v>304.55444582116002</c:v>
                </c:pt>
                <c:pt idx="105">
                  <c:v>301.01867913464002</c:v>
                </c:pt>
                <c:pt idx="106">
                  <c:v>300.80295178701999</c:v>
                </c:pt>
                <c:pt idx="107">
                  <c:v>299.23593303257996</c:v>
                </c:pt>
                <c:pt idx="108">
                  <c:v>299.66461187058997</c:v>
                </c:pt>
                <c:pt idx="109">
                  <c:v>298.7910713919</c:v>
                </c:pt>
                <c:pt idx="110">
                  <c:v>296.8322688554</c:v>
                </c:pt>
                <c:pt idx="111">
                  <c:v>298.47021287276999</c:v>
                </c:pt>
                <c:pt idx="112">
                  <c:v>296.11519408181999</c:v>
                </c:pt>
                <c:pt idx="113">
                  <c:v>294.25635549227002</c:v>
                </c:pt>
                <c:pt idx="114">
                  <c:v>295.69090664312</c:v>
                </c:pt>
                <c:pt idx="115">
                  <c:v>296.95440429168002</c:v>
                </c:pt>
                <c:pt idx="116">
                  <c:v>296.40098757995003</c:v>
                </c:pt>
                <c:pt idx="117">
                  <c:v>300.99354810003001</c:v>
                </c:pt>
                <c:pt idx="118">
                  <c:v>305.16196950094002</c:v>
                </c:pt>
                <c:pt idx="119">
                  <c:v>304.59904664763997</c:v>
                </c:pt>
                <c:pt idx="120">
                  <c:v>302.83387983378998</c:v>
                </c:pt>
                <c:pt idx="121">
                  <c:v>303.53518367663003</c:v>
                </c:pt>
                <c:pt idx="122">
                  <c:v>301.14666520628998</c:v>
                </c:pt>
                <c:pt idx="123">
                  <c:v>300.92660008259998</c:v>
                </c:pt>
                <c:pt idx="124">
                  <c:v>302.54378620992998</c:v>
                </c:pt>
                <c:pt idx="125">
                  <c:v>299.13123084681001</c:v>
                </c:pt>
                <c:pt idx="126">
                  <c:v>296.94465171149</c:v>
                </c:pt>
                <c:pt idx="127">
                  <c:v>297.05066481381004</c:v>
                </c:pt>
                <c:pt idx="128">
                  <c:v>307.73989886889001</c:v>
                </c:pt>
                <c:pt idx="129">
                  <c:v>299.00276900310001</c:v>
                </c:pt>
                <c:pt idx="130">
                  <c:v>300.04906912547006</c:v>
                </c:pt>
                <c:pt idx="131">
                  <c:v>285.52796924438002</c:v>
                </c:pt>
                <c:pt idx="132">
                  <c:v>285.69944771431</c:v>
                </c:pt>
                <c:pt idx="133">
                  <c:v>292.13134759977004</c:v>
                </c:pt>
                <c:pt idx="134">
                  <c:v>303.77673801977005</c:v>
                </c:pt>
                <c:pt idx="135">
                  <c:v>287.75292360630999</c:v>
                </c:pt>
                <c:pt idx="136">
                  <c:v>290.77224736047998</c:v>
                </c:pt>
                <c:pt idx="137">
                  <c:v>292.49321266968002</c:v>
                </c:pt>
                <c:pt idx="138">
                  <c:v>294.72473604827002</c:v>
                </c:pt>
                <c:pt idx="139">
                  <c:v>294.23001508295999</c:v>
                </c:pt>
                <c:pt idx="140">
                  <c:v>290.30769230768999</c:v>
                </c:pt>
                <c:pt idx="141">
                  <c:v>298.01206636501001</c:v>
                </c:pt>
                <c:pt idx="142">
                  <c:v>293.26621417798003</c:v>
                </c:pt>
                <c:pt idx="143">
                  <c:v>290.97511312218001</c:v>
                </c:pt>
                <c:pt idx="144">
                  <c:v>288.47963800905006</c:v>
                </c:pt>
                <c:pt idx="145">
                  <c:v>273.33785822021002</c:v>
                </c:pt>
                <c:pt idx="146">
                  <c:v>291.28853695324005</c:v>
                </c:pt>
                <c:pt idx="147">
                  <c:v>277.69204525572002</c:v>
                </c:pt>
                <c:pt idx="148">
                  <c:v>278.47408395911998</c:v>
                </c:pt>
                <c:pt idx="149">
                  <c:v>280.26227705754997</c:v>
                </c:pt>
                <c:pt idx="150">
                  <c:v>275.93298547621998</c:v>
                </c:pt>
                <c:pt idx="151">
                  <c:v>280.25001057751001</c:v>
                </c:pt>
                <c:pt idx="152">
                  <c:v>280.8487759249</c:v>
                </c:pt>
                <c:pt idx="153">
                  <c:v>292.13319621555002</c:v>
                </c:pt>
                <c:pt idx="154">
                  <c:v>288.78271630330005</c:v>
                </c:pt>
                <c:pt idx="155">
                  <c:v>269.84943781708</c:v>
                </c:pt>
                <c:pt idx="156">
                  <c:v>278.15268106662</c:v>
                </c:pt>
                <c:pt idx="157">
                  <c:v>283.40659665897999</c:v>
                </c:pt>
                <c:pt idx="158">
                  <c:v>286.33846766697002</c:v>
                </c:pt>
                <c:pt idx="159">
                  <c:v>288.34319683768001</c:v>
                </c:pt>
                <c:pt idx="160">
                  <c:v>284.00336228986998</c:v>
                </c:pt>
                <c:pt idx="161">
                  <c:v>279.52302033346996</c:v>
                </c:pt>
                <c:pt idx="162">
                  <c:v>282.56457490478999</c:v>
                </c:pt>
                <c:pt idx="163">
                  <c:v>296.83132679174003</c:v>
                </c:pt>
                <c:pt idx="164">
                  <c:v>300.43209994593002</c:v>
                </c:pt>
                <c:pt idx="165">
                  <c:v>277.79891869268999</c:v>
                </c:pt>
                <c:pt idx="166">
                  <c:v>271.95018865087002</c:v>
                </c:pt>
                <c:pt idx="167">
                  <c:v>276.72044583578997</c:v>
                </c:pt>
                <c:pt idx="168">
                  <c:v>284.75554012938005</c:v>
                </c:pt>
                <c:pt idx="169">
                  <c:v>283.03773567825999</c:v>
                </c:pt>
                <c:pt idx="170">
                  <c:v>278.08265865850001</c:v>
                </c:pt>
                <c:pt idx="171">
                  <c:v>280.44521099229001</c:v>
                </c:pt>
                <c:pt idx="172">
                  <c:v>285.91959415194003</c:v>
                </c:pt>
                <c:pt idx="173">
                  <c:v>299.40298683575998</c:v>
                </c:pt>
                <c:pt idx="174">
                  <c:v>299.53475203847006</c:v>
                </c:pt>
                <c:pt idx="175">
                  <c:v>297.97457898138998</c:v>
                </c:pt>
                <c:pt idx="176">
                  <c:v>290.37558488983001</c:v>
                </c:pt>
                <c:pt idx="177">
                  <c:v>299.38343348553997</c:v>
                </c:pt>
                <c:pt idx="178">
                  <c:v>283.23345942547002</c:v>
                </c:pt>
                <c:pt idx="179">
                  <c:v>305.21203750467998</c:v>
                </c:pt>
                <c:pt idx="180">
                  <c:v>309.80375321672</c:v>
                </c:pt>
                <c:pt idx="181">
                  <c:v>308.73893756244001</c:v>
                </c:pt>
                <c:pt idx="182">
                  <c:v>306.97958086807</c:v>
                </c:pt>
                <c:pt idx="183">
                  <c:v>308.35270525776002</c:v>
                </c:pt>
                <c:pt idx="184">
                  <c:v>302.95242249475996</c:v>
                </c:pt>
                <c:pt idx="185">
                  <c:v>299.58770009244</c:v>
                </c:pt>
                <c:pt idx="186">
                  <c:v>305.92607823901005</c:v>
                </c:pt>
                <c:pt idx="187">
                  <c:v>307.33731962402999</c:v>
                </c:pt>
                <c:pt idx="188">
                  <c:v>303.94230769231001</c:v>
                </c:pt>
                <c:pt idx="189">
                  <c:v>298.80813639171998</c:v>
                </c:pt>
                <c:pt idx="190">
                  <c:v>289.23832774536999</c:v>
                </c:pt>
                <c:pt idx="191">
                  <c:v>296.27487779170997</c:v>
                </c:pt>
                <c:pt idx="192">
                  <c:v>305.44641688927999</c:v>
                </c:pt>
                <c:pt idx="193">
                  <c:v>308.19266432245001</c:v>
                </c:pt>
                <c:pt idx="194">
                  <c:v>308.4394655511</c:v>
                </c:pt>
                <c:pt idx="195">
                  <c:v>305.05733629301</c:v>
                </c:pt>
                <c:pt idx="196">
                  <c:v>312.50530066307999</c:v>
                </c:pt>
                <c:pt idx="197">
                  <c:v>316.30436153562005</c:v>
                </c:pt>
                <c:pt idx="198">
                  <c:v>292.62783061556001</c:v>
                </c:pt>
                <c:pt idx="199">
                  <c:v>275.75977098439</c:v>
                </c:pt>
                <c:pt idx="200">
                  <c:v>285.23621749440997</c:v>
                </c:pt>
                <c:pt idx="201">
                  <c:v>282.13031083610002</c:v>
                </c:pt>
                <c:pt idx="202">
                  <c:v>288.53159584038002</c:v>
                </c:pt>
                <c:pt idx="203">
                  <c:v>281.76454391391002</c:v>
                </c:pt>
                <c:pt idx="204">
                  <c:v>289.68300615708</c:v>
                </c:pt>
                <c:pt idx="205">
                  <c:v>292.11387631975998</c:v>
                </c:pt>
                <c:pt idx="206">
                  <c:v>296.99472096529996</c:v>
                </c:pt>
                <c:pt idx="207">
                  <c:v>304.04971862956</c:v>
                </c:pt>
                <c:pt idx="208">
                  <c:v>290.30807706537001</c:v>
                </c:pt>
                <c:pt idx="209">
                  <c:v>302.81046375834001</c:v>
                </c:pt>
                <c:pt idx="210">
                  <c:v>307.72254510417002</c:v>
                </c:pt>
                <c:pt idx="211">
                  <c:v>305.79670013517</c:v>
                </c:pt>
                <c:pt idx="212">
                  <c:v>304.63488925935002</c:v>
                </c:pt>
                <c:pt idx="213">
                  <c:v>297.26627428299003</c:v>
                </c:pt>
                <c:pt idx="214">
                  <c:v>303.44148380000001</c:v>
                </c:pt>
                <c:pt idx="215">
                  <c:v>306.07003708366</c:v>
                </c:pt>
                <c:pt idx="216">
                  <c:v>303.70935596910999</c:v>
                </c:pt>
                <c:pt idx="217">
                  <c:v>302.46574921466998</c:v>
                </c:pt>
                <c:pt idx="218">
                  <c:v>294.13135836944002</c:v>
                </c:pt>
                <c:pt idx="219">
                  <c:v>299.39754910536999</c:v>
                </c:pt>
                <c:pt idx="220">
                  <c:v>297.29750530877004</c:v>
                </c:pt>
                <c:pt idx="221">
                  <c:v>302.14638286684999</c:v>
                </c:pt>
                <c:pt idx="222">
                  <c:v>300.42503283460996</c:v>
                </c:pt>
                <c:pt idx="223">
                  <c:v>307.22616501955997</c:v>
                </c:pt>
                <c:pt idx="224">
                  <c:v>314.29927184549001</c:v>
                </c:pt>
                <c:pt idx="225">
                  <c:v>312.52063218449001</c:v>
                </c:pt>
                <c:pt idx="226">
                  <c:v>311.22692324793002</c:v>
                </c:pt>
                <c:pt idx="227">
                  <c:v>309.17863042652999</c:v>
                </c:pt>
                <c:pt idx="228">
                  <c:v>309.38024834263001</c:v>
                </c:pt>
                <c:pt idx="229">
                  <c:v>307.43553422293002</c:v>
                </c:pt>
                <c:pt idx="230">
                  <c:v>298.92251852556001</c:v>
                </c:pt>
                <c:pt idx="231">
                  <c:v>294.40388377637998</c:v>
                </c:pt>
                <c:pt idx="232">
                  <c:v>295.37086986678997</c:v>
                </c:pt>
                <c:pt idx="233">
                  <c:v>293.71850598395997</c:v>
                </c:pt>
                <c:pt idx="234">
                  <c:v>296.95011083087002</c:v>
                </c:pt>
                <c:pt idx="235">
                  <c:v>306.51381086542</c:v>
                </c:pt>
                <c:pt idx="236">
                  <c:v>301.04447252341004</c:v>
                </c:pt>
                <c:pt idx="237">
                  <c:v>302.68869770129999</c:v>
                </c:pt>
                <c:pt idx="238">
                  <c:v>293.36779840140997</c:v>
                </c:pt>
                <c:pt idx="239">
                  <c:v>293.70432872911999</c:v>
                </c:pt>
                <c:pt idx="240">
                  <c:v>274.85926450267004</c:v>
                </c:pt>
                <c:pt idx="241">
                  <c:v>275.14527844763001</c:v>
                </c:pt>
                <c:pt idx="242">
                  <c:v>273.42187457663999</c:v>
                </c:pt>
                <c:pt idx="243">
                  <c:v>278.67561031782998</c:v>
                </c:pt>
                <c:pt idx="244">
                  <c:v>280.59004840995999</c:v>
                </c:pt>
                <c:pt idx="245">
                  <c:v>285.73364953023997</c:v>
                </c:pt>
                <c:pt idx="246">
                  <c:v>283.27857243453002</c:v>
                </c:pt>
                <c:pt idx="247">
                  <c:v>290.28544494721001</c:v>
                </c:pt>
                <c:pt idx="248">
                  <c:v>289.41757868577997</c:v>
                </c:pt>
                <c:pt idx="249">
                  <c:v>280.38428828436003</c:v>
                </c:pt>
                <c:pt idx="250">
                  <c:v>280.42152206109995</c:v>
                </c:pt>
                <c:pt idx="251">
                  <c:v>283.50527903469003</c:v>
                </c:pt>
                <c:pt idx="252">
                  <c:v>289.59098270910999</c:v>
                </c:pt>
                <c:pt idx="253">
                  <c:v>292.36220374588004</c:v>
                </c:pt>
                <c:pt idx="254">
                  <c:v>288.00331110044999</c:v>
                </c:pt>
                <c:pt idx="255">
                  <c:v>271.01526300056003</c:v>
                </c:pt>
                <c:pt idx="256">
                  <c:v>273.66359232536001</c:v>
                </c:pt>
                <c:pt idx="257">
                  <c:v>279.05427486309998</c:v>
                </c:pt>
                <c:pt idx="258">
                  <c:v>281.91747758740001</c:v>
                </c:pt>
                <c:pt idx="259">
                  <c:v>285.28939956275997</c:v>
                </c:pt>
                <c:pt idx="260">
                  <c:v>294.40341659763999</c:v>
                </c:pt>
                <c:pt idx="261">
                  <c:v>275.92534393019002</c:v>
                </c:pt>
                <c:pt idx="262">
                  <c:v>289.95588632213997</c:v>
                </c:pt>
                <c:pt idx="263">
                  <c:v>287.35495526145996</c:v>
                </c:pt>
                <c:pt idx="264">
                  <c:v>287.78394175484004</c:v>
                </c:pt>
                <c:pt idx="265">
                  <c:v>289.42582360878998</c:v>
                </c:pt>
                <c:pt idx="266">
                  <c:v>291.62230916659001</c:v>
                </c:pt>
                <c:pt idx="267">
                  <c:v>282.81643225097002</c:v>
                </c:pt>
                <c:pt idx="268">
                  <c:v>293.25278081366002</c:v>
                </c:pt>
                <c:pt idx="269">
                  <c:v>275.81638118001001</c:v>
                </c:pt>
                <c:pt idx="270">
                  <c:v>291.52505855836</c:v>
                </c:pt>
                <c:pt idx="271">
                  <c:v>291.90190582387999</c:v>
                </c:pt>
                <c:pt idx="272">
                  <c:v>295.86792611050998</c:v>
                </c:pt>
                <c:pt idx="273">
                  <c:v>290.66393337661998</c:v>
                </c:pt>
                <c:pt idx="274">
                  <c:v>289.93397325410001</c:v>
                </c:pt>
                <c:pt idx="275">
                  <c:v>296.85081301780997</c:v>
                </c:pt>
                <c:pt idx="276">
                  <c:v>299.51393275336</c:v>
                </c:pt>
                <c:pt idx="277">
                  <c:v>298.78491772366999</c:v>
                </c:pt>
                <c:pt idx="278">
                  <c:v>292.2587083958</c:v>
                </c:pt>
                <c:pt idx="279">
                  <c:v>285.94112547636996</c:v>
                </c:pt>
                <c:pt idx="280">
                  <c:v>285.64115255997001</c:v>
                </c:pt>
                <c:pt idx="281">
                  <c:v>287.60726406958003</c:v>
                </c:pt>
                <c:pt idx="282">
                  <c:v>286.26450587169995</c:v>
                </c:pt>
                <c:pt idx="283">
                  <c:v>293.98780274982994</c:v>
                </c:pt>
                <c:pt idx="284">
                  <c:v>293.95883123520002</c:v>
                </c:pt>
                <c:pt idx="285">
                  <c:v>288.92996397541998</c:v>
                </c:pt>
                <c:pt idx="286">
                  <c:v>285.03385902705998</c:v>
                </c:pt>
                <c:pt idx="287">
                  <c:v>289.54181922435998</c:v>
                </c:pt>
                <c:pt idx="288">
                  <c:v>297.19827968175002</c:v>
                </c:pt>
                <c:pt idx="289">
                  <c:v>287.38994767993</c:v>
                </c:pt>
                <c:pt idx="290">
                  <c:v>284.47811668155998</c:v>
                </c:pt>
                <c:pt idx="291">
                  <c:v>286.04061576082995</c:v>
                </c:pt>
                <c:pt idx="292">
                  <c:v>285.16842880016998</c:v>
                </c:pt>
                <c:pt idx="293">
                  <c:v>280.70374852825</c:v>
                </c:pt>
                <c:pt idx="294">
                  <c:v>278.46284674650997</c:v>
                </c:pt>
                <c:pt idx="295">
                  <c:v>273.74924330246995</c:v>
                </c:pt>
                <c:pt idx="296">
                  <c:v>261.27516309650002</c:v>
                </c:pt>
                <c:pt idx="297">
                  <c:v>268.81849571591999</c:v>
                </c:pt>
                <c:pt idx="298">
                  <c:v>274.49608421072003</c:v>
                </c:pt>
                <c:pt idx="299">
                  <c:v>302.45007042867996</c:v>
                </c:pt>
                <c:pt idx="300">
                  <c:v>289.39139251608003</c:v>
                </c:pt>
                <c:pt idx="301">
                  <c:v>274.67683717999</c:v>
                </c:pt>
                <c:pt idx="302">
                  <c:v>287.00185269169003</c:v>
                </c:pt>
                <c:pt idx="303">
                  <c:v>279.88769846817002</c:v>
                </c:pt>
                <c:pt idx="304">
                  <c:v>279.83306963733003</c:v>
                </c:pt>
                <c:pt idx="305">
                  <c:v>299.92376060040999</c:v>
                </c:pt>
                <c:pt idx="306">
                  <c:v>301.41426924952998</c:v>
                </c:pt>
                <c:pt idx="307">
                  <c:v>295.19571388861993</c:v>
                </c:pt>
                <c:pt idx="308">
                  <c:v>283.51940977261995</c:v>
                </c:pt>
                <c:pt idx="309">
                  <c:v>278.25748996841003</c:v>
                </c:pt>
                <c:pt idx="310">
                  <c:v>279.88813910470003</c:v>
                </c:pt>
                <c:pt idx="311">
                  <c:v>276.11960499728997</c:v>
                </c:pt>
                <c:pt idx="312">
                  <c:v>272.16266029197999</c:v>
                </c:pt>
                <c:pt idx="313">
                  <c:v>271.34495708336999</c:v>
                </c:pt>
                <c:pt idx="314">
                  <c:v>274.65663292578</c:v>
                </c:pt>
                <c:pt idx="315">
                  <c:v>272.61761301152001</c:v>
                </c:pt>
                <c:pt idx="316">
                  <c:v>270.04891576355999</c:v>
                </c:pt>
                <c:pt idx="317">
                  <c:v>273.26456628840998</c:v>
                </c:pt>
                <c:pt idx="318">
                  <c:v>272.07534668669001</c:v>
                </c:pt>
                <c:pt idx="319">
                  <c:v>268.57498238052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FD-4FB3-8BB3-55D8E2731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96-4070-A8B2-8F61A25880E1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'240816B014'!$A$2:$A$321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'240816B014'!$P$2:$P$321</c:f>
              <c:numCache>
                <c:formatCode>General</c:formatCode>
                <c:ptCount val="320"/>
                <c:pt idx="0">
                  <c:v>-10.222468731545826</c:v>
                </c:pt>
                <c:pt idx="1">
                  <c:v>-10.729830626309056</c:v>
                </c:pt>
                <c:pt idx="2">
                  <c:v>-11.59911032684092</c:v>
                </c:pt>
                <c:pt idx="3">
                  <c:v>-10.867961523832543</c:v>
                </c:pt>
                <c:pt idx="4">
                  <c:v>-10.360190830020215</c:v>
                </c:pt>
                <c:pt idx="5">
                  <c:v>-10.472803386101289</c:v>
                </c:pt>
                <c:pt idx="6">
                  <c:v>-9.8225516348631423</c:v>
                </c:pt>
                <c:pt idx="7">
                  <c:v>-7.6872140907517288</c:v>
                </c:pt>
                <c:pt idx="8">
                  <c:v>-12.408139719819083</c:v>
                </c:pt>
                <c:pt idx="9">
                  <c:v>-9.9543209943740543</c:v>
                </c:pt>
                <c:pt idx="10">
                  <c:v>-12.290203403910702</c:v>
                </c:pt>
                <c:pt idx="11">
                  <c:v>-12.302956993392904</c:v>
                </c:pt>
                <c:pt idx="12">
                  <c:v>-12.950353753612658</c:v>
                </c:pt>
                <c:pt idx="13">
                  <c:v>-13.492212123564574</c:v>
                </c:pt>
                <c:pt idx="14">
                  <c:v>-12.560101570202651</c:v>
                </c:pt>
                <c:pt idx="15">
                  <c:v>-14.228768887770732</c:v>
                </c:pt>
                <c:pt idx="16">
                  <c:v>-12.592969776137885</c:v>
                </c:pt>
                <c:pt idx="17">
                  <c:v>-12.593987210452863</c:v>
                </c:pt>
                <c:pt idx="18">
                  <c:v>-10.463811538241822</c:v>
                </c:pt>
                <c:pt idx="19">
                  <c:v>-9.546342356457318</c:v>
                </c:pt>
                <c:pt idx="20">
                  <c:v>-9.7063830282958321</c:v>
                </c:pt>
                <c:pt idx="21">
                  <c:v>-10.728652861319722</c:v>
                </c:pt>
                <c:pt idx="22">
                  <c:v>-11.995695597744565</c:v>
                </c:pt>
                <c:pt idx="23">
                  <c:v>-12.924935676935132</c:v>
                </c:pt>
                <c:pt idx="24">
                  <c:v>-13.174795730714878</c:v>
                </c:pt>
                <c:pt idx="25">
                  <c:v>-13.021243489280291</c:v>
                </c:pt>
                <c:pt idx="26">
                  <c:v>-11.74751787177131</c:v>
                </c:pt>
                <c:pt idx="27">
                  <c:v>-13.418820180004056</c:v>
                </c:pt>
                <c:pt idx="28">
                  <c:v>-13.714196931457975</c:v>
                </c:pt>
                <c:pt idx="29">
                  <c:v>-11.705805336416001</c:v>
                </c:pt>
                <c:pt idx="30">
                  <c:v>-11.742741453558196</c:v>
                </c:pt>
                <c:pt idx="31">
                  <c:v>-13.528601731759077</c:v>
                </c:pt>
                <c:pt idx="32">
                  <c:v>-12.252013717141324</c:v>
                </c:pt>
                <c:pt idx="33">
                  <c:v>-10.108640359475169</c:v>
                </c:pt>
                <c:pt idx="34">
                  <c:v>-10.34125370166225</c:v>
                </c:pt>
                <c:pt idx="35">
                  <c:v>-11.23540801048512</c:v>
                </c:pt>
                <c:pt idx="36">
                  <c:v>-11.428802324740252</c:v>
                </c:pt>
                <c:pt idx="37">
                  <c:v>-13.283211634721525</c:v>
                </c:pt>
                <c:pt idx="38">
                  <c:v>-10.274449952998825</c:v>
                </c:pt>
                <c:pt idx="39">
                  <c:v>-11.17357691091814</c:v>
                </c:pt>
                <c:pt idx="40">
                  <c:v>-8.1530681458455039</c:v>
                </c:pt>
                <c:pt idx="41">
                  <c:v>-8.1464023384570883</c:v>
                </c:pt>
                <c:pt idx="42">
                  <c:v>-9.7208175433176898</c:v>
                </c:pt>
                <c:pt idx="43">
                  <c:v>-8.8398685254429648</c:v>
                </c:pt>
                <c:pt idx="44">
                  <c:v>-9.4299340442704978</c:v>
                </c:pt>
                <c:pt idx="45">
                  <c:v>-11.24719309204623</c:v>
                </c:pt>
                <c:pt idx="46">
                  <c:v>-12.72643416649367</c:v>
                </c:pt>
                <c:pt idx="47">
                  <c:v>-13.184650672145015</c:v>
                </c:pt>
                <c:pt idx="48">
                  <c:v>-10.466238044966675</c:v>
                </c:pt>
                <c:pt idx="49">
                  <c:v>-11.763293080365798</c:v>
                </c:pt>
                <c:pt idx="50">
                  <c:v>-11.379866187036914</c:v>
                </c:pt>
                <c:pt idx="51">
                  <c:v>-11.738616498451663</c:v>
                </c:pt>
                <c:pt idx="52">
                  <c:v>-10.087890835934465</c:v>
                </c:pt>
                <c:pt idx="53">
                  <c:v>-13.60195236148907</c:v>
                </c:pt>
                <c:pt idx="54">
                  <c:v>-10.482216444507626</c:v>
                </c:pt>
                <c:pt idx="55">
                  <c:v>-10.114389172851974</c:v>
                </c:pt>
                <c:pt idx="56">
                  <c:v>-8.2577751323832054</c:v>
                </c:pt>
                <c:pt idx="57">
                  <c:v>-8.0406331205131707</c:v>
                </c:pt>
                <c:pt idx="58">
                  <c:v>-9.0432897803315981</c:v>
                </c:pt>
                <c:pt idx="59">
                  <c:v>-3.4117775890493078</c:v>
                </c:pt>
                <c:pt idx="60">
                  <c:v>-3.5254190059243671</c:v>
                </c:pt>
                <c:pt idx="61">
                  <c:v>-4.2634387855463673</c:v>
                </c:pt>
                <c:pt idx="62">
                  <c:v>-5.5477540272941788</c:v>
                </c:pt>
                <c:pt idx="63">
                  <c:v>-4.9692071522034738</c:v>
                </c:pt>
                <c:pt idx="64">
                  <c:v>-3.7122033664948511</c:v>
                </c:pt>
                <c:pt idx="65">
                  <c:v>-3.2788870837122994</c:v>
                </c:pt>
                <c:pt idx="66">
                  <c:v>-1.8291054973907914</c:v>
                </c:pt>
                <c:pt idx="67">
                  <c:v>-4.2397186424626181</c:v>
                </c:pt>
                <c:pt idx="68">
                  <c:v>-4.3588561187897099</c:v>
                </c:pt>
                <c:pt idx="69">
                  <c:v>-1.2483352209599572</c:v>
                </c:pt>
                <c:pt idx="70">
                  <c:v>3.0209656419097399</c:v>
                </c:pt>
                <c:pt idx="71">
                  <c:v>2.6068966841942927</c:v>
                </c:pt>
                <c:pt idx="72">
                  <c:v>2.4161405253369144</c:v>
                </c:pt>
                <c:pt idx="73">
                  <c:v>1.1488328609076295</c:v>
                </c:pt>
                <c:pt idx="74">
                  <c:v>1.7821784761521364</c:v>
                </c:pt>
                <c:pt idx="75">
                  <c:v>-1.469989461398888</c:v>
                </c:pt>
                <c:pt idx="76">
                  <c:v>0.3129861146320701</c:v>
                </c:pt>
                <c:pt idx="77">
                  <c:v>3.2359805959901373</c:v>
                </c:pt>
                <c:pt idx="78">
                  <c:v>10.076618284622999</c:v>
                </c:pt>
                <c:pt idx="79">
                  <c:v>13.84231517843198</c:v>
                </c:pt>
                <c:pt idx="80">
                  <c:v>15.700768267578013</c:v>
                </c:pt>
                <c:pt idx="81">
                  <c:v>21.680982535057478</c:v>
                </c:pt>
                <c:pt idx="82">
                  <c:v>26.055972822730837</c:v>
                </c:pt>
                <c:pt idx="83">
                  <c:v>30.216628534846318</c:v>
                </c:pt>
                <c:pt idx="84">
                  <c:v>32.857702288307891</c:v>
                </c:pt>
                <c:pt idx="85">
                  <c:v>30.218292443418843</c:v>
                </c:pt>
                <c:pt idx="86">
                  <c:v>25.411234449102871</c:v>
                </c:pt>
                <c:pt idx="87">
                  <c:v>22.475150812872986</c:v>
                </c:pt>
                <c:pt idx="88">
                  <c:v>19.472097356659201</c:v>
                </c:pt>
                <c:pt idx="89">
                  <c:v>15.899546677259524</c:v>
                </c:pt>
                <c:pt idx="90">
                  <c:v>12.591796984078337</c:v>
                </c:pt>
                <c:pt idx="91">
                  <c:v>11.736254633983709</c:v>
                </c:pt>
                <c:pt idx="92">
                  <c:v>6.9794066873801492</c:v>
                </c:pt>
                <c:pt idx="93">
                  <c:v>4.4491000979928845</c:v>
                </c:pt>
                <c:pt idx="94">
                  <c:v>4.5065788160183606</c:v>
                </c:pt>
                <c:pt idx="95">
                  <c:v>1.0003373894015404</c:v>
                </c:pt>
                <c:pt idx="96">
                  <c:v>-1.2370295539748519</c:v>
                </c:pt>
                <c:pt idx="97">
                  <c:v>-2.2604104666252378</c:v>
                </c:pt>
                <c:pt idx="98">
                  <c:v>-0.58149101025881</c:v>
                </c:pt>
                <c:pt idx="99">
                  <c:v>-1.9165982256474052</c:v>
                </c:pt>
                <c:pt idx="100">
                  <c:v>-2.7729994365273316</c:v>
                </c:pt>
                <c:pt idx="101">
                  <c:v>-3.3676857451091462</c:v>
                </c:pt>
                <c:pt idx="102">
                  <c:v>-5.6419152364255734</c:v>
                </c:pt>
                <c:pt idx="103">
                  <c:v>-7.7270135797566297</c:v>
                </c:pt>
                <c:pt idx="104">
                  <c:v>-8.7837645626490524</c:v>
                </c:pt>
                <c:pt idx="105">
                  <c:v>-7.8152485570901762</c:v>
                </c:pt>
                <c:pt idx="106">
                  <c:v>-8.0847234146620242</c:v>
                </c:pt>
                <c:pt idx="107">
                  <c:v>-7.0377764505033067</c:v>
                </c:pt>
                <c:pt idx="108">
                  <c:v>-8.3738042704466356</c:v>
                </c:pt>
                <c:pt idx="109">
                  <c:v>-7.506461394185318</c:v>
                </c:pt>
                <c:pt idx="110">
                  <c:v>-8.3767439117399096</c:v>
                </c:pt>
                <c:pt idx="111">
                  <c:v>-8.8429534029017756</c:v>
                </c:pt>
                <c:pt idx="112">
                  <c:v>-8.604458490826854</c:v>
                </c:pt>
                <c:pt idx="113">
                  <c:v>-8.8391125277725191</c:v>
                </c:pt>
                <c:pt idx="114">
                  <c:v>-9.0451761469695775</c:v>
                </c:pt>
                <c:pt idx="115">
                  <c:v>-9.9266447548692778</c:v>
                </c:pt>
                <c:pt idx="116">
                  <c:v>-9.86006798507014</c:v>
                </c:pt>
                <c:pt idx="117">
                  <c:v>-9.4291668840189917</c:v>
                </c:pt>
                <c:pt idx="118">
                  <c:v>-12.715818007956106</c:v>
                </c:pt>
                <c:pt idx="119">
                  <c:v>-11.881355270329868</c:v>
                </c:pt>
                <c:pt idx="120">
                  <c:v>-10.622658316541226</c:v>
                </c:pt>
                <c:pt idx="121">
                  <c:v>-10.372427377911237</c:v>
                </c:pt>
                <c:pt idx="122">
                  <c:v>-10.517209441959093</c:v>
                </c:pt>
                <c:pt idx="123">
                  <c:v>-9.402998472946333</c:v>
                </c:pt>
                <c:pt idx="124">
                  <c:v>-10.279334708438476</c:v>
                </c:pt>
                <c:pt idx="125">
                  <c:v>-8.4564609507720494</c:v>
                </c:pt>
                <c:pt idx="126">
                  <c:v>-7.2306712859291373</c:v>
                </c:pt>
                <c:pt idx="127">
                  <c:v>-8.0091171572279904</c:v>
                </c:pt>
                <c:pt idx="128">
                  <c:v>-10.01911491333083</c:v>
                </c:pt>
                <c:pt idx="129">
                  <c:v>-8.1442402300007775</c:v>
                </c:pt>
                <c:pt idx="130">
                  <c:v>-8.6209013952375049</c:v>
                </c:pt>
                <c:pt idx="131">
                  <c:v>-5.959458597266087</c:v>
                </c:pt>
                <c:pt idx="132">
                  <c:v>-6.5485615707491496</c:v>
                </c:pt>
                <c:pt idx="133">
                  <c:v>-9.2751407690886083</c:v>
                </c:pt>
                <c:pt idx="134">
                  <c:v>-10.910440881340886</c:v>
                </c:pt>
                <c:pt idx="135">
                  <c:v>-7.5960893933402867</c:v>
                </c:pt>
                <c:pt idx="136">
                  <c:v>-8.8579056660757569</c:v>
                </c:pt>
                <c:pt idx="137">
                  <c:v>-9.9289382098857111</c:v>
                </c:pt>
                <c:pt idx="138">
                  <c:v>-11.601912469121617</c:v>
                </c:pt>
                <c:pt idx="139">
                  <c:v>-10.43100582697857</c:v>
                </c:pt>
                <c:pt idx="140">
                  <c:v>-8.111682390132243</c:v>
                </c:pt>
                <c:pt idx="141">
                  <c:v>-9.9463351518700041</c:v>
                </c:pt>
                <c:pt idx="142">
                  <c:v>-11.19052199860425</c:v>
                </c:pt>
                <c:pt idx="143">
                  <c:v>-10.952504971698348</c:v>
                </c:pt>
                <c:pt idx="144">
                  <c:v>-10.536633749835525</c:v>
                </c:pt>
                <c:pt idx="145">
                  <c:v>-11.921788733431935</c:v>
                </c:pt>
                <c:pt idx="146">
                  <c:v>-12.061240871976201</c:v>
                </c:pt>
                <c:pt idx="147">
                  <c:v>-9.1328857122752609</c:v>
                </c:pt>
                <c:pt idx="148">
                  <c:v>-9.2567382434075682</c:v>
                </c:pt>
                <c:pt idx="149">
                  <c:v>-10.424701716564375</c:v>
                </c:pt>
                <c:pt idx="150">
                  <c:v>-8.2381594655742436</c:v>
                </c:pt>
                <c:pt idx="151">
                  <c:v>-10.186459561129645</c:v>
                </c:pt>
                <c:pt idx="152">
                  <c:v>-9.4840166157754275</c:v>
                </c:pt>
                <c:pt idx="153">
                  <c:v>-10.845698521209425</c:v>
                </c:pt>
                <c:pt idx="154">
                  <c:v>-10.481978467981307</c:v>
                </c:pt>
                <c:pt idx="155">
                  <c:v>-5.5212336301399043</c:v>
                </c:pt>
                <c:pt idx="156">
                  <c:v>-8.7772920858275008</c:v>
                </c:pt>
                <c:pt idx="157">
                  <c:v>-9.8371108951472177</c:v>
                </c:pt>
                <c:pt idx="158">
                  <c:v>-9.6992879012212061</c:v>
                </c:pt>
                <c:pt idx="159">
                  <c:v>-9.7730219430365395</c:v>
                </c:pt>
                <c:pt idx="160">
                  <c:v>-8.125698830536594</c:v>
                </c:pt>
                <c:pt idx="161">
                  <c:v>-6.9685113555162106</c:v>
                </c:pt>
                <c:pt idx="162">
                  <c:v>-9.1498661369741807</c:v>
                </c:pt>
                <c:pt idx="163">
                  <c:v>-6.7827032996128054</c:v>
                </c:pt>
                <c:pt idx="164">
                  <c:v>-4.0984323279910226</c:v>
                </c:pt>
                <c:pt idx="165">
                  <c:v>-0.39598479762064698</c:v>
                </c:pt>
                <c:pt idx="166">
                  <c:v>0.35869886150383917</c:v>
                </c:pt>
                <c:pt idx="167">
                  <c:v>-0.13498143893936451</c:v>
                </c:pt>
                <c:pt idx="168">
                  <c:v>-3.0292417378125309</c:v>
                </c:pt>
                <c:pt idx="169">
                  <c:v>-2.7542180245991847</c:v>
                </c:pt>
                <c:pt idx="170">
                  <c:v>1.0951036262423239</c:v>
                </c:pt>
                <c:pt idx="171">
                  <c:v>0.76220508645264917</c:v>
                </c:pt>
                <c:pt idx="172">
                  <c:v>-0.27738970455034673</c:v>
                </c:pt>
                <c:pt idx="173">
                  <c:v>-3.2792267727145226</c:v>
                </c:pt>
                <c:pt idx="174">
                  <c:v>-3.7086284213464715</c:v>
                </c:pt>
                <c:pt idx="175">
                  <c:v>-3.5672109122853519</c:v>
                </c:pt>
                <c:pt idx="176">
                  <c:v>0.42188127923498792</c:v>
                </c:pt>
                <c:pt idx="177">
                  <c:v>-1.5898958761175852</c:v>
                </c:pt>
                <c:pt idx="178">
                  <c:v>2.4214893821408934</c:v>
                </c:pt>
                <c:pt idx="179">
                  <c:v>-1.5499776399934355</c:v>
                </c:pt>
                <c:pt idx="180">
                  <c:v>-4.6536862109345334</c:v>
                </c:pt>
                <c:pt idx="181">
                  <c:v>-5.4322860991260473</c:v>
                </c:pt>
                <c:pt idx="182">
                  <c:v>-4.5461970999933321</c:v>
                </c:pt>
                <c:pt idx="183">
                  <c:v>-4.0680502157008807</c:v>
                </c:pt>
                <c:pt idx="184">
                  <c:v>-1.6481831518734751</c:v>
                </c:pt>
                <c:pt idx="185">
                  <c:v>-1.7012892625174538</c:v>
                </c:pt>
                <c:pt idx="186">
                  <c:v>-4.87357355286575</c:v>
                </c:pt>
                <c:pt idx="187">
                  <c:v>-5.9454231323958338</c:v>
                </c:pt>
                <c:pt idx="188">
                  <c:v>-4.6635406824417496</c:v>
                </c:pt>
                <c:pt idx="189">
                  <c:v>-3.5278975214716812</c:v>
                </c:pt>
                <c:pt idx="190">
                  <c:v>0.80587629751331047</c:v>
                </c:pt>
                <c:pt idx="191">
                  <c:v>2.0115033729082663</c:v>
                </c:pt>
                <c:pt idx="192">
                  <c:v>2.7040199648229368</c:v>
                </c:pt>
                <c:pt idx="193">
                  <c:v>6.6100197535878564</c:v>
                </c:pt>
                <c:pt idx="194">
                  <c:v>5.3267797034948234</c:v>
                </c:pt>
                <c:pt idx="195">
                  <c:v>1.524754236163667</c:v>
                </c:pt>
                <c:pt idx="196">
                  <c:v>2.0598133108427188</c:v>
                </c:pt>
                <c:pt idx="197">
                  <c:v>4.2447506254277911</c:v>
                </c:pt>
                <c:pt idx="198">
                  <c:v>16.79863643310517</c:v>
                </c:pt>
                <c:pt idx="199">
                  <c:v>21.64375210362892</c:v>
                </c:pt>
                <c:pt idx="200">
                  <c:v>17.314392507446069</c:v>
                </c:pt>
                <c:pt idx="201">
                  <c:v>20.610508699965273</c:v>
                </c:pt>
                <c:pt idx="202">
                  <c:v>19.672665287432018</c:v>
                </c:pt>
                <c:pt idx="203">
                  <c:v>28.811535770206493</c:v>
                </c:pt>
                <c:pt idx="204">
                  <c:v>25.314145126447084</c:v>
                </c:pt>
                <c:pt idx="205">
                  <c:v>29.395191090308504</c:v>
                </c:pt>
                <c:pt idx="206">
                  <c:v>23.035987670892375</c:v>
                </c:pt>
                <c:pt idx="207">
                  <c:v>20.367752049531614</c:v>
                </c:pt>
                <c:pt idx="208">
                  <c:v>30.286719397817023</c:v>
                </c:pt>
                <c:pt idx="209">
                  <c:v>31.3673147095015</c:v>
                </c:pt>
                <c:pt idx="210">
                  <c:v>25.902699143104829</c:v>
                </c:pt>
                <c:pt idx="211">
                  <c:v>20.204558690943305</c:v>
                </c:pt>
                <c:pt idx="212">
                  <c:v>17.321210397411519</c:v>
                </c:pt>
                <c:pt idx="213">
                  <c:v>19.914550117933235</c:v>
                </c:pt>
                <c:pt idx="214">
                  <c:v>16.931756466338467</c:v>
                </c:pt>
                <c:pt idx="215">
                  <c:v>21.923666020382303</c:v>
                </c:pt>
                <c:pt idx="216">
                  <c:v>22.916439667603125</c:v>
                </c:pt>
                <c:pt idx="217">
                  <c:v>26.054188173239602</c:v>
                </c:pt>
                <c:pt idx="218">
                  <c:v>42.913990109961489</c:v>
                </c:pt>
                <c:pt idx="219">
                  <c:v>49.16532104122642</c:v>
                </c:pt>
                <c:pt idx="220">
                  <c:v>54.785548265430748</c:v>
                </c:pt>
                <c:pt idx="221">
                  <c:v>53.153924276681217</c:v>
                </c:pt>
                <c:pt idx="222">
                  <c:v>51.436097855218534</c:v>
                </c:pt>
                <c:pt idx="223">
                  <c:v>44.674487688689112</c:v>
                </c:pt>
                <c:pt idx="224">
                  <c:v>38.446644312701409</c:v>
                </c:pt>
                <c:pt idx="225">
                  <c:v>32.989122002691033</c:v>
                </c:pt>
                <c:pt idx="226">
                  <c:v>26.78000691835075</c:v>
                </c:pt>
                <c:pt idx="227">
                  <c:v>21.303612330987754</c:v>
                </c:pt>
                <c:pt idx="228">
                  <c:v>16.358559967173338</c:v>
                </c:pt>
                <c:pt idx="229">
                  <c:v>15.437698206731158</c:v>
                </c:pt>
                <c:pt idx="230">
                  <c:v>15.554647367238953</c:v>
                </c:pt>
                <c:pt idx="231">
                  <c:v>21.76576579573241</c:v>
                </c:pt>
                <c:pt idx="232">
                  <c:v>21.255372302871038</c:v>
                </c:pt>
                <c:pt idx="233">
                  <c:v>22.118237391342515</c:v>
                </c:pt>
                <c:pt idx="234">
                  <c:v>22.887499853084954</c:v>
                </c:pt>
                <c:pt idx="235">
                  <c:v>19.173085006057658</c:v>
                </c:pt>
                <c:pt idx="236">
                  <c:v>13.397122569241457</c:v>
                </c:pt>
                <c:pt idx="237">
                  <c:v>12.935966092366677</c:v>
                </c:pt>
                <c:pt idx="238">
                  <c:v>17.7049485113386</c:v>
                </c:pt>
                <c:pt idx="239">
                  <c:v>17.406792634349191</c:v>
                </c:pt>
                <c:pt idx="240">
                  <c:v>23.712785450360894</c:v>
                </c:pt>
                <c:pt idx="241">
                  <c:v>25.828491014124339</c:v>
                </c:pt>
                <c:pt idx="242">
                  <c:v>24.473399212443773</c:v>
                </c:pt>
                <c:pt idx="243">
                  <c:v>25.405875991313675</c:v>
                </c:pt>
                <c:pt idx="244">
                  <c:v>21.361204243697973</c:v>
                </c:pt>
                <c:pt idx="245">
                  <c:v>17.089726921945093</c:v>
                </c:pt>
                <c:pt idx="246">
                  <c:v>14.576974166873782</c:v>
                </c:pt>
                <c:pt idx="247">
                  <c:v>9.0480392698590819</c:v>
                </c:pt>
                <c:pt idx="248">
                  <c:v>5.5258884650391966</c:v>
                </c:pt>
                <c:pt idx="249">
                  <c:v>7.1853667859181085</c:v>
                </c:pt>
                <c:pt idx="250">
                  <c:v>7.6143661933601612</c:v>
                </c:pt>
                <c:pt idx="251">
                  <c:v>7.0813365443810756</c:v>
                </c:pt>
                <c:pt idx="252">
                  <c:v>4.8279143799289423</c:v>
                </c:pt>
                <c:pt idx="253">
                  <c:v>4.3147370100149756</c:v>
                </c:pt>
                <c:pt idx="254">
                  <c:v>5.4002945774882054</c:v>
                </c:pt>
                <c:pt idx="255">
                  <c:v>10.29519801461988</c:v>
                </c:pt>
                <c:pt idx="256">
                  <c:v>10.590026626250074</c:v>
                </c:pt>
                <c:pt idx="257">
                  <c:v>7.0370336361975259</c:v>
                </c:pt>
                <c:pt idx="258">
                  <c:v>7.1946505157492542</c:v>
                </c:pt>
                <c:pt idx="259">
                  <c:v>5.9020762751904563</c:v>
                </c:pt>
                <c:pt idx="260">
                  <c:v>3.3942799790525875</c:v>
                </c:pt>
                <c:pt idx="261">
                  <c:v>2.764219492226871</c:v>
                </c:pt>
                <c:pt idx="262">
                  <c:v>-0.13468089175621509</c:v>
                </c:pt>
                <c:pt idx="263">
                  <c:v>-1.2134118201484132</c:v>
                </c:pt>
                <c:pt idx="264">
                  <c:v>0.94186170633461541</c:v>
                </c:pt>
                <c:pt idx="265">
                  <c:v>0.72909291043778701</c:v>
                </c:pt>
                <c:pt idx="266">
                  <c:v>2.4968560656917425</c:v>
                </c:pt>
                <c:pt idx="267">
                  <c:v>6.0315784696795616</c:v>
                </c:pt>
                <c:pt idx="268">
                  <c:v>9.0187201040194971</c:v>
                </c:pt>
                <c:pt idx="269">
                  <c:v>13.157767475574467</c:v>
                </c:pt>
                <c:pt idx="270">
                  <c:v>10.225678209311983</c:v>
                </c:pt>
                <c:pt idx="271">
                  <c:v>9.4643302780657059</c:v>
                </c:pt>
                <c:pt idx="272">
                  <c:v>10.275903917130995</c:v>
                </c:pt>
                <c:pt idx="273">
                  <c:v>10.146673367194794</c:v>
                </c:pt>
                <c:pt idx="274">
                  <c:v>7.8905501667085183</c:v>
                </c:pt>
                <c:pt idx="275">
                  <c:v>4.5054292497061752</c:v>
                </c:pt>
                <c:pt idx="276">
                  <c:v>4.4678211404411288</c:v>
                </c:pt>
                <c:pt idx="277">
                  <c:v>3.8351138921442511</c:v>
                </c:pt>
                <c:pt idx="278">
                  <c:v>2.0020737160918225</c:v>
                </c:pt>
                <c:pt idx="279">
                  <c:v>4.3903888093807675</c:v>
                </c:pt>
                <c:pt idx="280">
                  <c:v>6.2881526482002723</c:v>
                </c:pt>
                <c:pt idx="281">
                  <c:v>4.9787207361228454</c:v>
                </c:pt>
                <c:pt idx="282">
                  <c:v>7.599155014236457</c:v>
                </c:pt>
                <c:pt idx="283">
                  <c:v>3.9759259723583713</c:v>
                </c:pt>
                <c:pt idx="284">
                  <c:v>3.0095191945498212</c:v>
                </c:pt>
                <c:pt idx="285">
                  <c:v>2.4398216522346918</c:v>
                </c:pt>
                <c:pt idx="286">
                  <c:v>3.3150061355819265</c:v>
                </c:pt>
                <c:pt idx="287">
                  <c:v>1.8249636583507911</c:v>
                </c:pt>
                <c:pt idx="288">
                  <c:v>-0.69637438152756426</c:v>
                </c:pt>
                <c:pt idx="289">
                  <c:v>0.70869325657252513</c:v>
                </c:pt>
                <c:pt idx="290">
                  <c:v>0.26226509957157113</c:v>
                </c:pt>
                <c:pt idx="291">
                  <c:v>-1.240970321385344</c:v>
                </c:pt>
                <c:pt idx="292">
                  <c:v>-0.98112057403578978</c:v>
                </c:pt>
                <c:pt idx="293">
                  <c:v>-0.72900382864357016</c:v>
                </c:pt>
                <c:pt idx="294">
                  <c:v>-1.6597579757711516</c:v>
                </c:pt>
                <c:pt idx="295">
                  <c:v>0.17365703086612472</c:v>
                </c:pt>
                <c:pt idx="296">
                  <c:v>0.95138606236251588</c:v>
                </c:pt>
                <c:pt idx="297">
                  <c:v>-0.17686617018310535</c:v>
                </c:pt>
                <c:pt idx="298">
                  <c:v>-0.71371633024932979</c:v>
                </c:pt>
                <c:pt idx="299">
                  <c:v>-5.2630183940916107</c:v>
                </c:pt>
                <c:pt idx="300">
                  <c:v>-4.0743674837289623</c:v>
                </c:pt>
                <c:pt idx="301">
                  <c:v>-1.1566021301982863</c:v>
                </c:pt>
                <c:pt idx="302">
                  <c:v>-2.8795553353057279</c:v>
                </c:pt>
                <c:pt idx="303">
                  <c:v>-0.46700874250183499</c:v>
                </c:pt>
                <c:pt idx="304">
                  <c:v>-1.9580691584972083</c:v>
                </c:pt>
                <c:pt idx="305">
                  <c:v>-3.5947470016572911</c:v>
                </c:pt>
                <c:pt idx="306">
                  <c:v>-3.1701353704087927</c:v>
                </c:pt>
                <c:pt idx="307">
                  <c:v>-3.8661290023658328</c:v>
                </c:pt>
                <c:pt idx="308">
                  <c:v>-0.9093615941585691</c:v>
                </c:pt>
                <c:pt idx="309">
                  <c:v>1.0291833766588356</c:v>
                </c:pt>
                <c:pt idx="310">
                  <c:v>2.6618659829898923</c:v>
                </c:pt>
                <c:pt idx="311">
                  <c:v>3.3010500570404027</c:v>
                </c:pt>
                <c:pt idx="312">
                  <c:v>4.6481821135907158</c:v>
                </c:pt>
                <c:pt idx="313">
                  <c:v>2.0697909077225356</c:v>
                </c:pt>
                <c:pt idx="314">
                  <c:v>1.0831396445778803</c:v>
                </c:pt>
                <c:pt idx="315">
                  <c:v>1.860349089487092</c:v>
                </c:pt>
                <c:pt idx="316">
                  <c:v>1.0592267791037215</c:v>
                </c:pt>
                <c:pt idx="317">
                  <c:v>-4.0955549748795173E-2</c:v>
                </c:pt>
                <c:pt idx="318">
                  <c:v>-0.70276343857886803</c:v>
                </c:pt>
                <c:pt idx="319">
                  <c:v>-8.9602350716766782E-2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96-4070-A8B2-8F61A25880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'240816B015'!$A$2:$A$321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'240816B015'!$J$2:$J$321</c:f>
              <c:numCache>
                <c:formatCode>0.0</c:formatCode>
                <c:ptCount val="320"/>
                <c:pt idx="0">
                  <c:v>1295.2230642889101</c:v>
                </c:pt>
                <c:pt idx="1">
                  <c:v>1309.0743311646099</c:v>
                </c:pt>
                <c:pt idx="2">
                  <c:v>1306.2186318167101</c:v>
                </c:pt>
                <c:pt idx="3">
                  <c:v>1311.5761831607599</c:v>
                </c:pt>
                <c:pt idx="4">
                  <c:v>1308.9758907775401</c:v>
                </c:pt>
                <c:pt idx="5">
                  <c:v>1294.6870154969702</c:v>
                </c:pt>
                <c:pt idx="6">
                  <c:v>1258.52726526166</c:v>
                </c:pt>
                <c:pt idx="7">
                  <c:v>1483.4634944154</c:v>
                </c:pt>
                <c:pt idx="8">
                  <c:v>1499.92164765148</c:v>
                </c:pt>
                <c:pt idx="9">
                  <c:v>1572.5589896260399</c:v>
                </c:pt>
                <c:pt idx="10">
                  <c:v>1585.0441535407699</c:v>
                </c:pt>
                <c:pt idx="11">
                  <c:v>1586.1944202807099</c:v>
                </c:pt>
                <c:pt idx="12">
                  <c:v>1584.7468885041901</c:v>
                </c:pt>
                <c:pt idx="13">
                  <c:v>1584.05910082625</c:v>
                </c:pt>
                <c:pt idx="14">
                  <c:v>1616.6681291612501</c:v>
                </c:pt>
                <c:pt idx="15">
                  <c:v>1628.5567008713299</c:v>
                </c:pt>
                <c:pt idx="16">
                  <c:v>1625.4324901820301</c:v>
                </c:pt>
                <c:pt idx="17">
                  <c:v>1618.47832157994</c:v>
                </c:pt>
                <c:pt idx="18">
                  <c:v>1605.58055543823</c:v>
                </c:pt>
                <c:pt idx="19">
                  <c:v>1627.4635263150201</c:v>
                </c:pt>
                <c:pt idx="20">
                  <c:v>1630.9412046225302</c:v>
                </c:pt>
                <c:pt idx="21">
                  <c:v>1626.9969412891201</c:v>
                </c:pt>
                <c:pt idx="22">
                  <c:v>1615.2276790113501</c:v>
                </c:pt>
                <c:pt idx="23">
                  <c:v>1640.86614304009</c:v>
                </c:pt>
                <c:pt idx="24">
                  <c:v>1653.2839322663999</c:v>
                </c:pt>
                <c:pt idx="25">
                  <c:v>1648.71482060163</c:v>
                </c:pt>
                <c:pt idx="26">
                  <c:v>1653.1902523823499</c:v>
                </c:pt>
                <c:pt idx="27">
                  <c:v>1629.0907957152999</c:v>
                </c:pt>
                <c:pt idx="28">
                  <c:v>1612.52035527777</c:v>
                </c:pt>
                <c:pt idx="29">
                  <c:v>1607.8824683641901</c:v>
                </c:pt>
                <c:pt idx="30">
                  <c:v>1581.00372450488</c:v>
                </c:pt>
                <c:pt idx="31">
                  <c:v>1593.1464071056</c:v>
                </c:pt>
                <c:pt idx="32">
                  <c:v>1600.48930225358</c:v>
                </c:pt>
                <c:pt idx="33">
                  <c:v>1600.2596497895702</c:v>
                </c:pt>
                <c:pt idx="34">
                  <c:v>1605.9300142167799</c:v>
                </c:pt>
                <c:pt idx="35">
                  <c:v>1605.3333544473101</c:v>
                </c:pt>
                <c:pt idx="36">
                  <c:v>1588.7928592542601</c:v>
                </c:pt>
                <c:pt idx="37">
                  <c:v>1597.72215418828</c:v>
                </c:pt>
                <c:pt idx="38">
                  <c:v>1612.77599200488</c:v>
                </c:pt>
                <c:pt idx="39">
                  <c:v>1578.91545120565</c:v>
                </c:pt>
                <c:pt idx="40">
                  <c:v>1582.9680025856999</c:v>
                </c:pt>
                <c:pt idx="41">
                  <c:v>1599.0831623618901</c:v>
                </c:pt>
                <c:pt idx="42">
                  <c:v>1615.4787962676801</c:v>
                </c:pt>
                <c:pt idx="43">
                  <c:v>1606.9607318512401</c:v>
                </c:pt>
                <c:pt idx="44">
                  <c:v>1589.2486818807899</c:v>
                </c:pt>
                <c:pt idx="45">
                  <c:v>1606.2695160338599</c:v>
                </c:pt>
                <c:pt idx="46">
                  <c:v>1613.3949664146601</c:v>
                </c:pt>
                <c:pt idx="47">
                  <c:v>1605.2452994575799</c:v>
                </c:pt>
                <c:pt idx="48">
                  <c:v>1600.25404288804</c:v>
                </c:pt>
                <c:pt idx="49">
                  <c:v>1605.1702214664999</c:v>
                </c:pt>
                <c:pt idx="50">
                  <c:v>1602.7351212726298</c:v>
                </c:pt>
                <c:pt idx="51">
                  <c:v>1641.60922402408</c:v>
                </c:pt>
                <c:pt idx="52">
                  <c:v>1609.2065695174601</c:v>
                </c:pt>
                <c:pt idx="53">
                  <c:v>1599.4325257862902</c:v>
                </c:pt>
                <c:pt idx="54">
                  <c:v>1617.9100432815501</c:v>
                </c:pt>
                <c:pt idx="55">
                  <c:v>1640.20818554843</c:v>
                </c:pt>
                <c:pt idx="56">
                  <c:v>1669.12511312214</c:v>
                </c:pt>
                <c:pt idx="57">
                  <c:v>1665.80667772127</c:v>
                </c:pt>
                <c:pt idx="58">
                  <c:v>1635.16722689076</c:v>
                </c:pt>
                <c:pt idx="59">
                  <c:v>1625.3153803996699</c:v>
                </c:pt>
                <c:pt idx="60">
                  <c:v>1627.0501082038199</c:v>
                </c:pt>
                <c:pt idx="61">
                  <c:v>1617.3783016216701</c:v>
                </c:pt>
                <c:pt idx="62">
                  <c:v>1606.8160071386199</c:v>
                </c:pt>
                <c:pt idx="63">
                  <c:v>1633.16576965231</c:v>
                </c:pt>
                <c:pt idx="64">
                  <c:v>1640.2580942075501</c:v>
                </c:pt>
                <c:pt idx="65">
                  <c:v>1624.7965206148999</c:v>
                </c:pt>
                <c:pt idx="66">
                  <c:v>1639.45231162696</c:v>
                </c:pt>
                <c:pt idx="67">
                  <c:v>1530.1923484443701</c:v>
                </c:pt>
                <c:pt idx="68">
                  <c:v>1541.6556111407599</c:v>
                </c:pt>
                <c:pt idx="69">
                  <c:v>1523.8587364042701</c:v>
                </c:pt>
                <c:pt idx="70">
                  <c:v>1530.9705053258801</c:v>
                </c:pt>
                <c:pt idx="71">
                  <c:v>1539.7936693741299</c:v>
                </c:pt>
                <c:pt idx="72">
                  <c:v>1509.77317669545</c:v>
                </c:pt>
                <c:pt idx="73">
                  <c:v>1508.92164638434</c:v>
                </c:pt>
                <c:pt idx="74">
                  <c:v>1491.7843835192998</c:v>
                </c:pt>
                <c:pt idx="75">
                  <c:v>1515.0144936904501</c:v>
                </c:pt>
                <c:pt idx="76">
                  <c:v>1502.7006885697901</c:v>
                </c:pt>
                <c:pt idx="77">
                  <c:v>1516.9363255670098</c:v>
                </c:pt>
                <c:pt idx="78">
                  <c:v>1502.5051839465</c:v>
                </c:pt>
                <c:pt idx="79">
                  <c:v>1511.5479623956801</c:v>
                </c:pt>
                <c:pt idx="80">
                  <c:v>1501.0460948259199</c:v>
                </c:pt>
                <c:pt idx="81">
                  <c:v>1541.1949467412701</c:v>
                </c:pt>
                <c:pt idx="82">
                  <c:v>1569.1712501053998</c:v>
                </c:pt>
                <c:pt idx="83">
                  <c:v>1581.16400607063</c:v>
                </c:pt>
                <c:pt idx="84">
                  <c:v>1553.3353264382399</c:v>
                </c:pt>
                <c:pt idx="85">
                  <c:v>1526.0770284702598</c:v>
                </c:pt>
                <c:pt idx="86">
                  <c:v>1499.73780247885</c:v>
                </c:pt>
                <c:pt idx="87">
                  <c:v>1508.4259014642801</c:v>
                </c:pt>
                <c:pt idx="88">
                  <c:v>1488.3847643404799</c:v>
                </c:pt>
                <c:pt idx="89">
                  <c:v>1498.07366431527</c:v>
                </c:pt>
                <c:pt idx="90">
                  <c:v>1505.2021907759399</c:v>
                </c:pt>
                <c:pt idx="91">
                  <c:v>1465.3648492173199</c:v>
                </c:pt>
                <c:pt idx="92">
                  <c:v>1471.16695567857</c:v>
                </c:pt>
                <c:pt idx="93">
                  <c:v>1464.3527613051699</c:v>
                </c:pt>
                <c:pt idx="94">
                  <c:v>1457.12245158932</c:v>
                </c:pt>
                <c:pt idx="95">
                  <c:v>1463.3979806638001</c:v>
                </c:pt>
                <c:pt idx="96">
                  <c:v>1516.45059441836</c:v>
                </c:pt>
                <c:pt idx="97">
                  <c:v>1500.0483895899401</c:v>
                </c:pt>
                <c:pt idx="98">
                  <c:v>1527.03632837747</c:v>
                </c:pt>
                <c:pt idx="99">
                  <c:v>1520.85002810486</c:v>
                </c:pt>
                <c:pt idx="100">
                  <c:v>1568.6427081869701</c:v>
                </c:pt>
                <c:pt idx="101">
                  <c:v>1597.7634819144798</c:v>
                </c:pt>
                <c:pt idx="102">
                  <c:v>1547.35629971055</c:v>
                </c:pt>
                <c:pt idx="103">
                  <c:v>1515.18272673616</c:v>
                </c:pt>
                <c:pt idx="104">
                  <c:v>1545.4100994912701</c:v>
                </c:pt>
                <c:pt idx="105">
                  <c:v>1550.74546527641</c:v>
                </c:pt>
                <c:pt idx="106">
                  <c:v>1555.5460723419701</c:v>
                </c:pt>
                <c:pt idx="107">
                  <c:v>1561.48471656223</c:v>
                </c:pt>
                <c:pt idx="108">
                  <c:v>1567.41935443078</c:v>
                </c:pt>
                <c:pt idx="109">
                  <c:v>1569.0229715297401</c:v>
                </c:pt>
                <c:pt idx="110">
                  <c:v>1551.0605800849</c:v>
                </c:pt>
                <c:pt idx="111">
                  <c:v>1524.0366178578702</c:v>
                </c:pt>
                <c:pt idx="112">
                  <c:v>1534.6123380455699</c:v>
                </c:pt>
                <c:pt idx="113">
                  <c:v>1520.66261628394</c:v>
                </c:pt>
                <c:pt idx="114">
                  <c:v>1479.11802506955</c:v>
                </c:pt>
                <c:pt idx="115">
                  <c:v>1541.1691970433201</c:v>
                </c:pt>
                <c:pt idx="116">
                  <c:v>1512.5470349344</c:v>
                </c:pt>
                <c:pt idx="117">
                  <c:v>1527.5569194233199</c:v>
                </c:pt>
                <c:pt idx="118">
                  <c:v>1521.0468986257201</c:v>
                </c:pt>
                <c:pt idx="119">
                  <c:v>1520.4423161237698</c:v>
                </c:pt>
                <c:pt idx="120">
                  <c:v>1520.20206289873</c:v>
                </c:pt>
                <c:pt idx="121">
                  <c:v>1477.8709676512901</c:v>
                </c:pt>
                <c:pt idx="122">
                  <c:v>1511.3238568336701</c:v>
                </c:pt>
                <c:pt idx="123">
                  <c:v>1556.7938801607502</c:v>
                </c:pt>
                <c:pt idx="124">
                  <c:v>1548.27154239626</c:v>
                </c:pt>
                <c:pt idx="125">
                  <c:v>1535.0499648688501</c:v>
                </c:pt>
                <c:pt idx="126">
                  <c:v>1495.89749304408</c:v>
                </c:pt>
                <c:pt idx="127">
                  <c:v>1477.6295860150001</c:v>
                </c:pt>
                <c:pt idx="128">
                  <c:v>1465.8147733341</c:v>
                </c:pt>
                <c:pt idx="129">
                  <c:v>1443.03267614735</c:v>
                </c:pt>
                <c:pt idx="130">
                  <c:v>1439.33345743359</c:v>
                </c:pt>
                <c:pt idx="131">
                  <c:v>1447.4444172605999</c:v>
                </c:pt>
                <c:pt idx="132">
                  <c:v>1440.7437400276799</c:v>
                </c:pt>
                <c:pt idx="133">
                  <c:v>1436.3460021984001</c:v>
                </c:pt>
                <c:pt idx="134">
                  <c:v>1388.61037832855</c:v>
                </c:pt>
                <c:pt idx="135">
                  <c:v>1428.0440686274201</c:v>
                </c:pt>
                <c:pt idx="136">
                  <c:v>1388.0350210084</c:v>
                </c:pt>
                <c:pt idx="137">
                  <c:v>1399.26919656005</c:v>
                </c:pt>
                <c:pt idx="138">
                  <c:v>1397.0937893687899</c:v>
                </c:pt>
                <c:pt idx="139">
                  <c:v>1394.36059959877</c:v>
                </c:pt>
                <c:pt idx="140">
                  <c:v>1382.6477546611</c:v>
                </c:pt>
                <c:pt idx="141">
                  <c:v>1385.52913258792</c:v>
                </c:pt>
                <c:pt idx="142">
                  <c:v>1398.7424929971701</c:v>
                </c:pt>
                <c:pt idx="143">
                  <c:v>1389.3373809524101</c:v>
                </c:pt>
                <c:pt idx="144">
                  <c:v>1399.2097899159701</c:v>
                </c:pt>
                <c:pt idx="145">
                  <c:v>1404.8562464986301</c:v>
                </c:pt>
                <c:pt idx="146">
                  <c:v>1398.43167366943</c:v>
                </c:pt>
                <c:pt idx="147">
                  <c:v>1394.1154201680699</c:v>
                </c:pt>
                <c:pt idx="148">
                  <c:v>1390.1008123249001</c:v>
                </c:pt>
                <c:pt idx="149">
                  <c:v>1389.0734523809901</c:v>
                </c:pt>
                <c:pt idx="150">
                  <c:v>1383.98345238099</c:v>
                </c:pt>
                <c:pt idx="151">
                  <c:v>1385.6831512605002</c:v>
                </c:pt>
                <c:pt idx="152">
                  <c:v>1394.3832492996901</c:v>
                </c:pt>
                <c:pt idx="153">
                  <c:v>1390.5063935574601</c:v>
                </c:pt>
                <c:pt idx="154">
                  <c:v>1386.1076750700599</c:v>
                </c:pt>
                <c:pt idx="155">
                  <c:v>1372.35348039212</c:v>
                </c:pt>
                <c:pt idx="156">
                  <c:v>1360.9960784314101</c:v>
                </c:pt>
                <c:pt idx="157">
                  <c:v>1376.1975715829099</c:v>
                </c:pt>
                <c:pt idx="158">
                  <c:v>1366.8157503401801</c:v>
                </c:pt>
                <c:pt idx="159">
                  <c:v>1357.8566237847099</c:v>
                </c:pt>
                <c:pt idx="160">
                  <c:v>1321.4495924580299</c:v>
                </c:pt>
                <c:pt idx="161">
                  <c:v>1411.2410160044199</c:v>
                </c:pt>
                <c:pt idx="162">
                  <c:v>1411.5316399927299</c:v>
                </c:pt>
                <c:pt idx="163">
                  <c:v>1415.07777261662</c:v>
                </c:pt>
                <c:pt idx="164">
                  <c:v>1439.3190293202401</c:v>
                </c:pt>
                <c:pt idx="165">
                  <c:v>1463.33806567852</c:v>
                </c:pt>
                <c:pt idx="166">
                  <c:v>1418.6678546795399</c:v>
                </c:pt>
                <c:pt idx="167">
                  <c:v>1375.4484335993998</c:v>
                </c:pt>
                <c:pt idx="168">
                  <c:v>1401.2347667100801</c:v>
                </c:pt>
                <c:pt idx="169">
                  <c:v>1405.8082592032299</c:v>
                </c:pt>
                <c:pt idx="170">
                  <c:v>1406.4917337646</c:v>
                </c:pt>
                <c:pt idx="171">
                  <c:v>1418.0076649907098</c:v>
                </c:pt>
                <c:pt idx="172">
                  <c:v>1411.43801202488</c:v>
                </c:pt>
                <c:pt idx="173">
                  <c:v>1412.03428852709</c:v>
                </c:pt>
                <c:pt idx="174">
                  <c:v>1399.1438416371</c:v>
                </c:pt>
                <c:pt idx="175">
                  <c:v>1394.6091663443201</c:v>
                </c:pt>
                <c:pt idx="176">
                  <c:v>1389.78477198408</c:v>
                </c:pt>
                <c:pt idx="177">
                  <c:v>1402.9772019268</c:v>
                </c:pt>
                <c:pt idx="178">
                  <c:v>1398.8000421926099</c:v>
                </c:pt>
                <c:pt idx="179">
                  <c:v>1377.0157167469099</c:v>
                </c:pt>
                <c:pt idx="180">
                  <c:v>1381.81136739219</c:v>
                </c:pt>
                <c:pt idx="181">
                  <c:v>1386.6307865405799</c:v>
                </c:pt>
                <c:pt idx="182">
                  <c:v>1391.4826377412701</c:v>
                </c:pt>
                <c:pt idx="183">
                  <c:v>1386.5981435252099</c:v>
                </c:pt>
                <c:pt idx="184">
                  <c:v>1414.61746820347</c:v>
                </c:pt>
                <c:pt idx="185">
                  <c:v>1422.7552265500499</c:v>
                </c:pt>
                <c:pt idx="186">
                  <c:v>1434.3740446854999</c:v>
                </c:pt>
                <c:pt idx="187">
                  <c:v>1411.5192524983299</c:v>
                </c:pt>
                <c:pt idx="188">
                  <c:v>1420.1502597660999</c:v>
                </c:pt>
                <c:pt idx="189">
                  <c:v>1407.12069753578</c:v>
                </c:pt>
                <c:pt idx="190">
                  <c:v>1411.4998381785099</c:v>
                </c:pt>
                <c:pt idx="191">
                  <c:v>1406.2471723824801</c:v>
                </c:pt>
                <c:pt idx="192">
                  <c:v>1398.4382253577598</c:v>
                </c:pt>
                <c:pt idx="193">
                  <c:v>1410.95994066551</c:v>
                </c:pt>
                <c:pt idx="194">
                  <c:v>1408.3211844196699</c:v>
                </c:pt>
                <c:pt idx="195">
                  <c:v>1411.6076794231001</c:v>
                </c:pt>
                <c:pt idx="196">
                  <c:v>1413.5873197252201</c:v>
                </c:pt>
                <c:pt idx="197">
                  <c:v>1411.3752824778499</c:v>
                </c:pt>
                <c:pt idx="198">
                  <c:v>1404.46406853284</c:v>
                </c:pt>
                <c:pt idx="199">
                  <c:v>1450.4871820350099</c:v>
                </c:pt>
                <c:pt idx="200">
                  <c:v>1426.8937003179301</c:v>
                </c:pt>
                <c:pt idx="201">
                  <c:v>1420.54923631614</c:v>
                </c:pt>
                <c:pt idx="202">
                  <c:v>1428.4103836992999</c:v>
                </c:pt>
                <c:pt idx="203">
                  <c:v>1422.8139818080001</c:v>
                </c:pt>
                <c:pt idx="204">
                  <c:v>1423.0308132672799</c:v>
                </c:pt>
                <c:pt idx="205">
                  <c:v>1417.5346361582801</c:v>
                </c:pt>
                <c:pt idx="206">
                  <c:v>1411.576473394</c:v>
                </c:pt>
                <c:pt idx="207">
                  <c:v>1403.8218571569</c:v>
                </c:pt>
                <c:pt idx="208">
                  <c:v>1410.40079965206</c:v>
                </c:pt>
                <c:pt idx="209">
                  <c:v>1417.0655195634502</c:v>
                </c:pt>
                <c:pt idx="210">
                  <c:v>1453.4489434268</c:v>
                </c:pt>
                <c:pt idx="211">
                  <c:v>1402.47254011975</c:v>
                </c:pt>
                <c:pt idx="212">
                  <c:v>1401.1497723504399</c:v>
                </c:pt>
                <c:pt idx="213">
                  <c:v>1412.7983418116798</c:v>
                </c:pt>
                <c:pt idx="214">
                  <c:v>1412.6551516259001</c:v>
                </c:pt>
                <c:pt idx="215">
                  <c:v>1412.3666647930002</c:v>
                </c:pt>
                <c:pt idx="216">
                  <c:v>1408.97948488308</c:v>
                </c:pt>
                <c:pt idx="217">
                  <c:v>1402.3642804665401</c:v>
                </c:pt>
                <c:pt idx="218">
                  <c:v>1405.4487129073</c:v>
                </c:pt>
                <c:pt idx="219">
                  <c:v>1411.1359812201299</c:v>
                </c:pt>
                <c:pt idx="220">
                  <c:v>1426.1093574485899</c:v>
                </c:pt>
                <c:pt idx="221">
                  <c:v>1429.9174892291499</c:v>
                </c:pt>
                <c:pt idx="222">
                  <c:v>1434.1744984288598</c:v>
                </c:pt>
                <c:pt idx="223">
                  <c:v>1439.2000853132799</c:v>
                </c:pt>
                <c:pt idx="224">
                  <c:v>1423.71851982405</c:v>
                </c:pt>
                <c:pt idx="225">
                  <c:v>1420.37986324083</c:v>
                </c:pt>
                <c:pt idx="226">
                  <c:v>1401.98311073793</c:v>
                </c:pt>
                <c:pt idx="227">
                  <c:v>1393.6825483681901</c:v>
                </c:pt>
                <c:pt idx="228">
                  <c:v>1387.1509673636799</c:v>
                </c:pt>
                <c:pt idx="229">
                  <c:v>1385.4405608755001</c:v>
                </c:pt>
                <c:pt idx="230">
                  <c:v>1381.6012605041599</c:v>
                </c:pt>
                <c:pt idx="231">
                  <c:v>1377.3291967949999</c:v>
                </c:pt>
                <c:pt idx="232">
                  <c:v>1381.10620480753</c:v>
                </c:pt>
                <c:pt idx="233">
                  <c:v>1375.0460132890901</c:v>
                </c:pt>
                <c:pt idx="234">
                  <c:v>1351.0503419972599</c:v>
                </c:pt>
                <c:pt idx="235">
                  <c:v>1355.6082177056899</c:v>
                </c:pt>
                <c:pt idx="236">
                  <c:v>1359.2220441665099</c:v>
                </c:pt>
                <c:pt idx="237">
                  <c:v>1350.3073773695401</c:v>
                </c:pt>
                <c:pt idx="238">
                  <c:v>1373.1458172584801</c:v>
                </c:pt>
                <c:pt idx="239">
                  <c:v>1370.2428192646498</c:v>
                </c:pt>
                <c:pt idx="240">
                  <c:v>1381.46054628859</c:v>
                </c:pt>
                <c:pt idx="241">
                  <c:v>1385.1226652263599</c:v>
                </c:pt>
                <c:pt idx="242">
                  <c:v>1383.91743381831</c:v>
                </c:pt>
                <c:pt idx="243">
                  <c:v>1379.7515733505002</c:v>
                </c:pt>
                <c:pt idx="244">
                  <c:v>1371.8517431012599</c:v>
                </c:pt>
                <c:pt idx="245">
                  <c:v>1415.5812441740602</c:v>
                </c:pt>
                <c:pt idx="246">
                  <c:v>1420.2632459822901</c:v>
                </c:pt>
                <c:pt idx="247">
                  <c:v>1424.2054078679</c:v>
                </c:pt>
                <c:pt idx="248">
                  <c:v>1425.6202199311499</c:v>
                </c:pt>
                <c:pt idx="249">
                  <c:v>1425.2059629523401</c:v>
                </c:pt>
                <c:pt idx="250">
                  <c:v>1427.57806855853</c:v>
                </c:pt>
                <c:pt idx="251">
                  <c:v>1446.16624217665</c:v>
                </c:pt>
                <c:pt idx="252">
                  <c:v>1444.1781218242099</c:v>
                </c:pt>
                <c:pt idx="253">
                  <c:v>1482.7285714285399</c:v>
                </c:pt>
                <c:pt idx="254">
                  <c:v>1470.90420168069</c:v>
                </c:pt>
                <c:pt idx="255">
                  <c:v>1471.1974789916399</c:v>
                </c:pt>
                <c:pt idx="256">
                  <c:v>1457.9815126050601</c:v>
                </c:pt>
                <c:pt idx="257">
                  <c:v>1468.2386554622001</c:v>
                </c:pt>
                <c:pt idx="258">
                  <c:v>1464.8319327730899</c:v>
                </c:pt>
                <c:pt idx="259">
                  <c:v>1458.4058823529701</c:v>
                </c:pt>
                <c:pt idx="260">
                  <c:v>1455.03781512608</c:v>
                </c:pt>
                <c:pt idx="261">
                  <c:v>1468.1344537815201</c:v>
                </c:pt>
                <c:pt idx="262">
                  <c:v>1464.36050420172</c:v>
                </c:pt>
                <c:pt idx="263">
                  <c:v>1474.8100840336601</c:v>
                </c:pt>
                <c:pt idx="264">
                  <c:v>1482.8924369747499</c:v>
                </c:pt>
                <c:pt idx="265">
                  <c:v>1473.1621848739198</c:v>
                </c:pt>
                <c:pt idx="266">
                  <c:v>1444.6680672268799</c:v>
                </c:pt>
                <c:pt idx="267">
                  <c:v>1450.8025210084199</c:v>
                </c:pt>
                <c:pt idx="268">
                  <c:v>1486.3927156791999</c:v>
                </c:pt>
                <c:pt idx="269">
                  <c:v>1479.8332404318601</c:v>
                </c:pt>
                <c:pt idx="270">
                  <c:v>1465.16536323075</c:v>
                </c:pt>
                <c:pt idx="271">
                  <c:v>1494.9181439409499</c:v>
                </c:pt>
                <c:pt idx="272">
                  <c:v>1499.88806075198</c:v>
                </c:pt>
                <c:pt idx="273">
                  <c:v>1458.4524414790999</c:v>
                </c:pt>
                <c:pt idx="274">
                  <c:v>1435.7094309080198</c:v>
                </c:pt>
                <c:pt idx="275">
                  <c:v>1457.12640795014</c:v>
                </c:pt>
                <c:pt idx="276">
                  <c:v>1460.72480469577</c:v>
                </c:pt>
                <c:pt idx="277">
                  <c:v>1486.5016243683799</c:v>
                </c:pt>
                <c:pt idx="278">
                  <c:v>1491.8886054925001</c:v>
                </c:pt>
                <c:pt idx="279">
                  <c:v>1520.8009557591499</c:v>
                </c:pt>
                <c:pt idx="280">
                  <c:v>1491.8360260687</c:v>
                </c:pt>
                <c:pt idx="281">
                  <c:v>1450.82856720577</c:v>
                </c:pt>
                <c:pt idx="282">
                  <c:v>1463.7949972971501</c:v>
                </c:pt>
                <c:pt idx="283">
                  <c:v>1468.7140547446802</c:v>
                </c:pt>
                <c:pt idx="284">
                  <c:v>1489.4775124084699</c:v>
                </c:pt>
                <c:pt idx="285">
                  <c:v>1501.9082018772201</c:v>
                </c:pt>
                <c:pt idx="286">
                  <c:v>1507.8067177748701</c:v>
                </c:pt>
                <c:pt idx="287">
                  <c:v>1482.3394761413499</c:v>
                </c:pt>
                <c:pt idx="288">
                  <c:v>1443.2618605337</c:v>
                </c:pt>
                <c:pt idx="289">
                  <c:v>1428.3502088554599</c:v>
                </c:pt>
                <c:pt idx="290">
                  <c:v>1423.1913656690501</c:v>
                </c:pt>
                <c:pt idx="291">
                  <c:v>1491.71478205318</c:v>
                </c:pt>
                <c:pt idx="292">
                  <c:v>1491.7200255540702</c:v>
                </c:pt>
                <c:pt idx="293">
                  <c:v>1499.0320556292399</c:v>
                </c:pt>
                <c:pt idx="294">
                  <c:v>1515.97252936266</c:v>
                </c:pt>
                <c:pt idx="295">
                  <c:v>1496.02312644361</c:v>
                </c:pt>
                <c:pt idx="296">
                  <c:v>1504.9133274362698</c:v>
                </c:pt>
                <c:pt idx="297">
                  <c:v>1530.061108654</c:v>
                </c:pt>
                <c:pt idx="298">
                  <c:v>1536.6520664406501</c:v>
                </c:pt>
                <c:pt idx="299">
                  <c:v>1525.70603960879</c:v>
                </c:pt>
                <c:pt idx="300">
                  <c:v>1538.4370730748799</c:v>
                </c:pt>
                <c:pt idx="301">
                  <c:v>1512.7460563172599</c:v>
                </c:pt>
                <c:pt idx="302">
                  <c:v>1531.0281635461099</c:v>
                </c:pt>
                <c:pt idx="303">
                  <c:v>1514.3269644700299</c:v>
                </c:pt>
                <c:pt idx="304">
                  <c:v>1527.4152341638799</c:v>
                </c:pt>
                <c:pt idx="305">
                  <c:v>1447.7715522329102</c:v>
                </c:pt>
                <c:pt idx="306">
                  <c:v>1454.89768837304</c:v>
                </c:pt>
                <c:pt idx="307">
                  <c:v>1493.2197886512299</c:v>
                </c:pt>
                <c:pt idx="308">
                  <c:v>1463.06169725413</c:v>
                </c:pt>
                <c:pt idx="309">
                  <c:v>1465.0256133891598</c:v>
                </c:pt>
                <c:pt idx="310">
                  <c:v>1458.79068528825</c:v>
                </c:pt>
                <c:pt idx="311">
                  <c:v>1448.8941176470601</c:v>
                </c:pt>
                <c:pt idx="312">
                  <c:v>1467.98473192097</c:v>
                </c:pt>
                <c:pt idx="313">
                  <c:v>1477.0821043910701</c:v>
                </c:pt>
                <c:pt idx="314">
                  <c:v>1438.7884416924198</c:v>
                </c:pt>
                <c:pt idx="315">
                  <c:v>1473.8496191459399</c:v>
                </c:pt>
                <c:pt idx="316">
                  <c:v>1480.7865992167901</c:v>
                </c:pt>
                <c:pt idx="317">
                  <c:v>1470.56558384544</c:v>
                </c:pt>
                <c:pt idx="318">
                  <c:v>1485.11719832211</c:v>
                </c:pt>
                <c:pt idx="319">
                  <c:v>1512.3376520757802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D-094B-9B31-057E7585D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DD-2D40-BB2E-D7AA7BE01C93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'240816B015'!$A$2:$A$321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'240816B015'!$P$2:$P$321</c:f>
              <c:numCache>
                <c:formatCode>General</c:formatCode>
                <c:ptCount val="320"/>
                <c:pt idx="0">
                  <c:v>-36.00154241885793</c:v>
                </c:pt>
                <c:pt idx="1">
                  <c:v>-36.340505155734562</c:v>
                </c:pt>
                <c:pt idx="2">
                  <c:v>-36.423259295324975</c:v>
                </c:pt>
                <c:pt idx="3">
                  <c:v>-36.309485047990989</c:v>
                </c:pt>
                <c:pt idx="4">
                  <c:v>-35.950315470299174</c:v>
                </c:pt>
                <c:pt idx="5">
                  <c:v>-35.888700685576268</c:v>
                </c:pt>
                <c:pt idx="6">
                  <c:v>-35.660126727338834</c:v>
                </c:pt>
                <c:pt idx="7">
                  <c:v>-38.01745775171824</c:v>
                </c:pt>
                <c:pt idx="8">
                  <c:v>-38.464566319586432</c:v>
                </c:pt>
                <c:pt idx="9">
                  <c:v>-38.626695262202027</c:v>
                </c:pt>
                <c:pt idx="10">
                  <c:v>-39.025717679131326</c:v>
                </c:pt>
                <c:pt idx="11">
                  <c:v>-38.825258036462643</c:v>
                </c:pt>
                <c:pt idx="12">
                  <c:v>-38.433828258217481</c:v>
                </c:pt>
                <c:pt idx="13">
                  <c:v>-37.548474114736052</c:v>
                </c:pt>
                <c:pt idx="14">
                  <c:v>-37.92898955071189</c:v>
                </c:pt>
                <c:pt idx="15">
                  <c:v>-35.819975751910462</c:v>
                </c:pt>
                <c:pt idx="16">
                  <c:v>-35.564878881106324</c:v>
                </c:pt>
                <c:pt idx="17">
                  <c:v>-35.517717431188345</c:v>
                </c:pt>
                <c:pt idx="18">
                  <c:v>-34.61401045752082</c:v>
                </c:pt>
                <c:pt idx="19">
                  <c:v>-34.59103321395289</c:v>
                </c:pt>
                <c:pt idx="20">
                  <c:v>-33.662745982745953</c:v>
                </c:pt>
                <c:pt idx="21">
                  <c:v>-34.153346472466964</c:v>
                </c:pt>
                <c:pt idx="22">
                  <c:v>-33.899107012119515</c:v>
                </c:pt>
                <c:pt idx="23">
                  <c:v>-32.762741581864269</c:v>
                </c:pt>
                <c:pt idx="24">
                  <c:v>-32.767062809879228</c:v>
                </c:pt>
                <c:pt idx="25">
                  <c:v>-32.900575174818528</c:v>
                </c:pt>
                <c:pt idx="26">
                  <c:v>-33.166937413755882</c:v>
                </c:pt>
                <c:pt idx="27">
                  <c:v>-32.798659592915882</c:v>
                </c:pt>
                <c:pt idx="28">
                  <c:v>-32.626243680277547</c:v>
                </c:pt>
                <c:pt idx="29">
                  <c:v>-32.337014556596714</c:v>
                </c:pt>
                <c:pt idx="30">
                  <c:v>-31.032932476621056</c:v>
                </c:pt>
                <c:pt idx="31">
                  <c:v>-31.0669098426937</c:v>
                </c:pt>
                <c:pt idx="32">
                  <c:v>-28.357070415589767</c:v>
                </c:pt>
                <c:pt idx="33">
                  <c:v>-28.724640756691826</c:v>
                </c:pt>
                <c:pt idx="34">
                  <c:v>-28.72645894938265</c:v>
                </c:pt>
                <c:pt idx="35">
                  <c:v>-29.777399010314269</c:v>
                </c:pt>
                <c:pt idx="36">
                  <c:v>-29.190194973597507</c:v>
                </c:pt>
                <c:pt idx="37">
                  <c:v>-28.604066555993828</c:v>
                </c:pt>
                <c:pt idx="38">
                  <c:v>-25.619938614902971</c:v>
                </c:pt>
                <c:pt idx="39">
                  <c:v>-25.980597615124395</c:v>
                </c:pt>
                <c:pt idx="40">
                  <c:v>-24.359233284715216</c:v>
                </c:pt>
                <c:pt idx="41">
                  <c:v>-22.807198230693597</c:v>
                </c:pt>
                <c:pt idx="42">
                  <c:v>-20.514078851648158</c:v>
                </c:pt>
                <c:pt idx="43">
                  <c:v>-20.120028562960258</c:v>
                </c:pt>
                <c:pt idx="44">
                  <c:v>-21.58657932004617</c:v>
                </c:pt>
                <c:pt idx="45">
                  <c:v>-20.058317103876245</c:v>
                </c:pt>
                <c:pt idx="46">
                  <c:v>-19.005846944902459</c:v>
                </c:pt>
                <c:pt idx="47">
                  <c:v>-17.84566064917254</c:v>
                </c:pt>
                <c:pt idx="48">
                  <c:v>-16.308599945030114</c:v>
                </c:pt>
                <c:pt idx="49">
                  <c:v>-15.38443429728642</c:v>
                </c:pt>
                <c:pt idx="50">
                  <c:v>-15.45407678307873</c:v>
                </c:pt>
                <c:pt idx="51">
                  <c:v>-11.891471180076692</c:v>
                </c:pt>
                <c:pt idx="52">
                  <c:v>-11.079568752566283</c:v>
                </c:pt>
                <c:pt idx="53">
                  <c:v>-13.114473500392274</c:v>
                </c:pt>
                <c:pt idx="54">
                  <c:v>-9.8626236344214995</c:v>
                </c:pt>
                <c:pt idx="55">
                  <c:v>-9.3641527855089191</c:v>
                </c:pt>
                <c:pt idx="56">
                  <c:v>-5.6862539588207932</c:v>
                </c:pt>
                <c:pt idx="57">
                  <c:v>-6.4689490190965886</c:v>
                </c:pt>
                <c:pt idx="58">
                  <c:v>-6.2142731126648307</c:v>
                </c:pt>
                <c:pt idx="59">
                  <c:v>-6.9990936943302513</c:v>
                </c:pt>
                <c:pt idx="60">
                  <c:v>-8.0621503345170034</c:v>
                </c:pt>
                <c:pt idx="61">
                  <c:v>-7.3128651023438493</c:v>
                </c:pt>
                <c:pt idx="62">
                  <c:v>-8.9484794248753055</c:v>
                </c:pt>
                <c:pt idx="63">
                  <c:v>-6.4263898448643957</c:v>
                </c:pt>
                <c:pt idx="64">
                  <c:v>-5.2935842777213038</c:v>
                </c:pt>
                <c:pt idx="65">
                  <c:v>-5.1016679711196851</c:v>
                </c:pt>
                <c:pt idx="66">
                  <c:v>-2.6064035951495343</c:v>
                </c:pt>
                <c:pt idx="67">
                  <c:v>-3.1453948667679485</c:v>
                </c:pt>
                <c:pt idx="68">
                  <c:v>0.466246115063296</c:v>
                </c:pt>
                <c:pt idx="69">
                  <c:v>-1.1133292778982407</c:v>
                </c:pt>
                <c:pt idx="70">
                  <c:v>-1.684104223610148</c:v>
                </c:pt>
                <c:pt idx="71">
                  <c:v>2.4721024833557879</c:v>
                </c:pt>
                <c:pt idx="72">
                  <c:v>3.1077041226917079</c:v>
                </c:pt>
                <c:pt idx="73">
                  <c:v>1.1784735982272578</c:v>
                </c:pt>
                <c:pt idx="74">
                  <c:v>1.7385188317743765E-2</c:v>
                </c:pt>
                <c:pt idx="75">
                  <c:v>4.2886067384850159</c:v>
                </c:pt>
                <c:pt idx="76">
                  <c:v>7.5962567295082897</c:v>
                </c:pt>
                <c:pt idx="77">
                  <c:v>10.738620526070186</c:v>
                </c:pt>
                <c:pt idx="78">
                  <c:v>9.7985767626154363</c:v>
                </c:pt>
                <c:pt idx="79">
                  <c:v>10.03039665453254</c:v>
                </c:pt>
                <c:pt idx="80">
                  <c:v>11.91112391688792</c:v>
                </c:pt>
                <c:pt idx="81">
                  <c:v>11.109343377482253</c:v>
                </c:pt>
                <c:pt idx="82">
                  <c:v>17.7107726112758</c:v>
                </c:pt>
                <c:pt idx="83">
                  <c:v>18.116610125189933</c:v>
                </c:pt>
                <c:pt idx="84">
                  <c:v>15.924347275779848</c:v>
                </c:pt>
                <c:pt idx="85">
                  <c:v>11.967447975028778</c:v>
                </c:pt>
                <c:pt idx="86">
                  <c:v>10.866072019739272</c:v>
                </c:pt>
                <c:pt idx="87">
                  <c:v>11.050562526293056</c:v>
                </c:pt>
                <c:pt idx="88">
                  <c:v>9.1590034957068198</c:v>
                </c:pt>
                <c:pt idx="89">
                  <c:v>7.6419885759593704</c:v>
                </c:pt>
                <c:pt idx="90">
                  <c:v>10.462524995782555</c:v>
                </c:pt>
                <c:pt idx="91">
                  <c:v>9.3313158326632273</c:v>
                </c:pt>
                <c:pt idx="92">
                  <c:v>10.968502783574261</c:v>
                </c:pt>
                <c:pt idx="93">
                  <c:v>7.1233778437077664</c:v>
                </c:pt>
                <c:pt idx="94">
                  <c:v>6.02243032534337</c:v>
                </c:pt>
                <c:pt idx="95">
                  <c:v>9.9471603891392224</c:v>
                </c:pt>
                <c:pt idx="96">
                  <c:v>10.487334392897029</c:v>
                </c:pt>
                <c:pt idx="97">
                  <c:v>7.4452173701296402</c:v>
                </c:pt>
                <c:pt idx="98">
                  <c:v>5.3492769507728752</c:v>
                </c:pt>
                <c:pt idx="99">
                  <c:v>4.6544201586293221</c:v>
                </c:pt>
                <c:pt idx="100">
                  <c:v>6.6021341673469376</c:v>
                </c:pt>
                <c:pt idx="101">
                  <c:v>8.1795366576344808</c:v>
                </c:pt>
                <c:pt idx="102">
                  <c:v>3.257639164819885</c:v>
                </c:pt>
                <c:pt idx="103">
                  <c:v>2.7680881100466008</c:v>
                </c:pt>
                <c:pt idx="104">
                  <c:v>4.4283901429962107</c:v>
                </c:pt>
                <c:pt idx="105">
                  <c:v>3.7646777287963249</c:v>
                </c:pt>
                <c:pt idx="106">
                  <c:v>6.900600839574067</c:v>
                </c:pt>
                <c:pt idx="107">
                  <c:v>5.6747949738859518</c:v>
                </c:pt>
                <c:pt idx="108">
                  <c:v>4.8847213828492748</c:v>
                </c:pt>
                <c:pt idx="109">
                  <c:v>6.4310236375345706</c:v>
                </c:pt>
                <c:pt idx="110">
                  <c:v>3.7660447408915756</c:v>
                </c:pt>
                <c:pt idx="111">
                  <c:v>6.3204913858600706E-2</c:v>
                </c:pt>
                <c:pt idx="112">
                  <c:v>-0.4324396973452293</c:v>
                </c:pt>
                <c:pt idx="113">
                  <c:v>-0.4370050640454719</c:v>
                </c:pt>
                <c:pt idx="114">
                  <c:v>2.5600248807329908</c:v>
                </c:pt>
                <c:pt idx="115">
                  <c:v>1.5427178802161969</c:v>
                </c:pt>
                <c:pt idx="116">
                  <c:v>-1.2686455106269565</c:v>
                </c:pt>
                <c:pt idx="117">
                  <c:v>-0.69611823634625014</c:v>
                </c:pt>
                <c:pt idx="118">
                  <c:v>-0.9319366121240571</c:v>
                </c:pt>
                <c:pt idx="119">
                  <c:v>1.1037718473131901</c:v>
                </c:pt>
                <c:pt idx="120">
                  <c:v>1.0938315300457082</c:v>
                </c:pt>
                <c:pt idx="121">
                  <c:v>1.4013111163041756</c:v>
                </c:pt>
                <c:pt idx="122">
                  <c:v>-0.52792924949312459</c:v>
                </c:pt>
                <c:pt idx="123">
                  <c:v>3.5878998808535103</c:v>
                </c:pt>
                <c:pt idx="124">
                  <c:v>3.3059282288710605</c:v>
                </c:pt>
                <c:pt idx="125">
                  <c:v>-2.0456984770273544E-2</c:v>
                </c:pt>
                <c:pt idx="126">
                  <c:v>2.7122667050999771</c:v>
                </c:pt>
                <c:pt idx="127">
                  <c:v>0.43848877000353642</c:v>
                </c:pt>
                <c:pt idx="128">
                  <c:v>2.235683585719979</c:v>
                </c:pt>
                <c:pt idx="129">
                  <c:v>7.86923035672939</c:v>
                </c:pt>
                <c:pt idx="130">
                  <c:v>4.0994250872613369</c:v>
                </c:pt>
                <c:pt idx="131">
                  <c:v>7.0857255709247671</c:v>
                </c:pt>
                <c:pt idx="132">
                  <c:v>5.4717441702447811</c:v>
                </c:pt>
                <c:pt idx="133">
                  <c:v>3.7265086835631873</c:v>
                </c:pt>
                <c:pt idx="134">
                  <c:v>-2.7838162624082106</c:v>
                </c:pt>
                <c:pt idx="135">
                  <c:v>-5.5829077833007972</c:v>
                </c:pt>
                <c:pt idx="136">
                  <c:v>-0.50390209876526015</c:v>
                </c:pt>
                <c:pt idx="137">
                  <c:v>-2.5787152710365784</c:v>
                </c:pt>
                <c:pt idx="138">
                  <c:v>-2.7231418502777984</c:v>
                </c:pt>
                <c:pt idx="139">
                  <c:v>-4.8012419262651633</c:v>
                </c:pt>
                <c:pt idx="140">
                  <c:v>-8.2153034322924707</c:v>
                </c:pt>
                <c:pt idx="141">
                  <c:v>-11.905579368774246</c:v>
                </c:pt>
                <c:pt idx="142">
                  <c:v>-11.731107774113887</c:v>
                </c:pt>
                <c:pt idx="143">
                  <c:v>-11.685094649173912</c:v>
                </c:pt>
                <c:pt idx="144">
                  <c:v>-8.6558096096616737</c:v>
                </c:pt>
                <c:pt idx="145">
                  <c:v>-7.1809322423044097</c:v>
                </c:pt>
                <c:pt idx="146">
                  <c:v>-8.7644571525418744</c:v>
                </c:pt>
                <c:pt idx="147">
                  <c:v>-12.121942897993049</c:v>
                </c:pt>
                <c:pt idx="148">
                  <c:v>-11.536640538598613</c:v>
                </c:pt>
                <c:pt idx="149">
                  <c:v>-11.896547324313831</c:v>
                </c:pt>
                <c:pt idx="150">
                  <c:v>-11.716893421434769</c:v>
                </c:pt>
                <c:pt idx="151">
                  <c:v>-8.1729999624813754</c:v>
                </c:pt>
                <c:pt idx="152">
                  <c:v>-4.3344659714121949</c:v>
                </c:pt>
                <c:pt idx="153">
                  <c:v>-7.4848341291128619</c:v>
                </c:pt>
                <c:pt idx="154">
                  <c:v>-10.51981964843152</c:v>
                </c:pt>
                <c:pt idx="155">
                  <c:v>-13.855953514506247</c:v>
                </c:pt>
                <c:pt idx="156">
                  <c:v>-13.07290788846962</c:v>
                </c:pt>
                <c:pt idx="157">
                  <c:v>-14.109686892984916</c:v>
                </c:pt>
                <c:pt idx="158">
                  <c:v>-14.060988300897129</c:v>
                </c:pt>
                <c:pt idx="159">
                  <c:v>-17.190226704627236</c:v>
                </c:pt>
                <c:pt idx="160">
                  <c:v>-20.688174067108491</c:v>
                </c:pt>
                <c:pt idx="161">
                  <c:v>-21.854567258251098</c:v>
                </c:pt>
                <c:pt idx="162">
                  <c:v>-22.352908778747217</c:v>
                </c:pt>
                <c:pt idx="163">
                  <c:v>-23.899235106856331</c:v>
                </c:pt>
                <c:pt idx="164">
                  <c:v>-23.292756313364269</c:v>
                </c:pt>
                <c:pt idx="165">
                  <c:v>-20.694781832103001</c:v>
                </c:pt>
                <c:pt idx="166">
                  <c:v>-20.108152226366787</c:v>
                </c:pt>
                <c:pt idx="167">
                  <c:v>-18.544906099593359</c:v>
                </c:pt>
                <c:pt idx="168">
                  <c:v>-14.296916968140602</c:v>
                </c:pt>
                <c:pt idx="169">
                  <c:v>-16.472790737979494</c:v>
                </c:pt>
                <c:pt idx="170">
                  <c:v>-14.105018184968513</c:v>
                </c:pt>
                <c:pt idx="171">
                  <c:v>-13.132846365485356</c:v>
                </c:pt>
                <c:pt idx="172">
                  <c:v>-12.556256457718984</c:v>
                </c:pt>
                <c:pt idx="173">
                  <c:v>-14.846548322643576</c:v>
                </c:pt>
                <c:pt idx="174">
                  <c:v>-14.559379387121609</c:v>
                </c:pt>
                <c:pt idx="175">
                  <c:v>-15.902013618306654</c:v>
                </c:pt>
                <c:pt idx="176">
                  <c:v>-18.597976879533405</c:v>
                </c:pt>
                <c:pt idx="177">
                  <c:v>-20.190828488123373</c:v>
                </c:pt>
                <c:pt idx="178">
                  <c:v>-21.800690831549016</c:v>
                </c:pt>
                <c:pt idx="179">
                  <c:v>-21.619663075009189</c:v>
                </c:pt>
                <c:pt idx="180">
                  <c:v>-19.503941094981869</c:v>
                </c:pt>
                <c:pt idx="181">
                  <c:v>-19.407750262295821</c:v>
                </c:pt>
                <c:pt idx="182">
                  <c:v>-21.306545776114763</c:v>
                </c:pt>
                <c:pt idx="183">
                  <c:v>-22.426050711654007</c:v>
                </c:pt>
                <c:pt idx="184">
                  <c:v>-20.684468964020748</c:v>
                </c:pt>
                <c:pt idx="185">
                  <c:v>-20.205307896766215</c:v>
                </c:pt>
                <c:pt idx="186">
                  <c:v>-19.362641815779043</c:v>
                </c:pt>
                <c:pt idx="187">
                  <c:v>-16.152611753606845</c:v>
                </c:pt>
                <c:pt idx="188">
                  <c:v>-14.013745172585375</c:v>
                </c:pt>
                <c:pt idx="189">
                  <c:v>-17.648396979642545</c:v>
                </c:pt>
                <c:pt idx="190">
                  <c:v>-19.18482473751811</c:v>
                </c:pt>
                <c:pt idx="191">
                  <c:v>-19.975042395035985</c:v>
                </c:pt>
                <c:pt idx="192">
                  <c:v>-16.251245580573308</c:v>
                </c:pt>
                <c:pt idx="193">
                  <c:v>-12.618817758856615</c:v>
                </c:pt>
                <c:pt idx="194">
                  <c:v>-12.189794967151638</c:v>
                </c:pt>
                <c:pt idx="195">
                  <c:v>-11.188584874803922</c:v>
                </c:pt>
                <c:pt idx="196">
                  <c:v>-11.993344971664712</c:v>
                </c:pt>
                <c:pt idx="197">
                  <c:v>-6.3911765233419739</c:v>
                </c:pt>
                <c:pt idx="198">
                  <c:v>-4.548310438352444</c:v>
                </c:pt>
                <c:pt idx="199">
                  <c:v>-5.6108490522673558</c:v>
                </c:pt>
                <c:pt idx="200">
                  <c:v>-6.4698138992482184</c:v>
                </c:pt>
                <c:pt idx="201">
                  <c:v>-4.4019338412494502</c:v>
                </c:pt>
                <c:pt idx="202">
                  <c:v>-4.0837966382518918</c:v>
                </c:pt>
                <c:pt idx="203">
                  <c:v>-6.1472130098054478</c:v>
                </c:pt>
                <c:pt idx="204">
                  <c:v>-7.4592965606521648</c:v>
                </c:pt>
                <c:pt idx="205">
                  <c:v>-9.4405267459865492</c:v>
                </c:pt>
                <c:pt idx="206">
                  <c:v>-9.3891471452328101</c:v>
                </c:pt>
                <c:pt idx="207">
                  <c:v>-10.457288267850714</c:v>
                </c:pt>
                <c:pt idx="208">
                  <c:v>-10.376027374594019</c:v>
                </c:pt>
                <c:pt idx="209">
                  <c:v>-11.645356829161765</c:v>
                </c:pt>
                <c:pt idx="210">
                  <c:v>-12.716342917403981</c:v>
                </c:pt>
                <c:pt idx="211">
                  <c:v>-12.495266471413441</c:v>
                </c:pt>
                <c:pt idx="212">
                  <c:v>-9.9200282246502862</c:v>
                </c:pt>
                <c:pt idx="213">
                  <c:v>-9.5134963019199859</c:v>
                </c:pt>
                <c:pt idx="214">
                  <c:v>-7.79045200411006</c:v>
                </c:pt>
                <c:pt idx="215">
                  <c:v>-8.7605758452763141</c:v>
                </c:pt>
                <c:pt idx="216">
                  <c:v>-11.215568691477914</c:v>
                </c:pt>
                <c:pt idx="217">
                  <c:v>-10.156527821910498</c:v>
                </c:pt>
                <c:pt idx="218">
                  <c:v>-10.185583426048495</c:v>
                </c:pt>
                <c:pt idx="219">
                  <c:v>-7.4539827181025311</c:v>
                </c:pt>
                <c:pt idx="220">
                  <c:v>-9.6020760006751225</c:v>
                </c:pt>
                <c:pt idx="221">
                  <c:v>-10.785205772412359</c:v>
                </c:pt>
                <c:pt idx="222">
                  <c:v>-10.864516308611387</c:v>
                </c:pt>
                <c:pt idx="223">
                  <c:v>-10.243550347492679</c:v>
                </c:pt>
                <c:pt idx="224">
                  <c:v>-9.1864404624125662</c:v>
                </c:pt>
                <c:pt idx="225">
                  <c:v>-9.4487853398463209</c:v>
                </c:pt>
                <c:pt idx="226">
                  <c:v>-9.3972884894396564</c:v>
                </c:pt>
                <c:pt idx="227">
                  <c:v>-11.672501895601897</c:v>
                </c:pt>
                <c:pt idx="228">
                  <c:v>-12.511515833170558</c:v>
                </c:pt>
                <c:pt idx="229">
                  <c:v>-14.103487568252071</c:v>
                </c:pt>
                <c:pt idx="230">
                  <c:v>-16.387084344062053</c:v>
                </c:pt>
                <c:pt idx="231">
                  <c:v>-17.998078481151445</c:v>
                </c:pt>
                <c:pt idx="232">
                  <c:v>-19.606829124398114</c:v>
                </c:pt>
                <c:pt idx="233">
                  <c:v>-21.609488376855907</c:v>
                </c:pt>
                <c:pt idx="234">
                  <c:v>-23.40140986186395</c:v>
                </c:pt>
                <c:pt idx="235">
                  <c:v>-23.233365126374032</c:v>
                </c:pt>
                <c:pt idx="236">
                  <c:v>-24.92951474502053</c:v>
                </c:pt>
                <c:pt idx="237">
                  <c:v>-24.679477916374875</c:v>
                </c:pt>
                <c:pt idx="238">
                  <c:v>-24.883432825905267</c:v>
                </c:pt>
                <c:pt idx="239">
                  <c:v>-25.023769205742251</c:v>
                </c:pt>
                <c:pt idx="240">
                  <c:v>-23.841248169499664</c:v>
                </c:pt>
                <c:pt idx="241">
                  <c:v>-23.868142434981284</c:v>
                </c:pt>
                <c:pt idx="242">
                  <c:v>-23.792192802795796</c:v>
                </c:pt>
                <c:pt idx="243">
                  <c:v>-21.852817025181839</c:v>
                </c:pt>
                <c:pt idx="244">
                  <c:v>-21.603649422969358</c:v>
                </c:pt>
                <c:pt idx="245">
                  <c:v>-22.124661623736127</c:v>
                </c:pt>
                <c:pt idx="246">
                  <c:v>-22.2225025427723</c:v>
                </c:pt>
                <c:pt idx="247">
                  <c:v>-22.77210271979407</c:v>
                </c:pt>
                <c:pt idx="248">
                  <c:v>-24.020761098946817</c:v>
                </c:pt>
                <c:pt idx="249">
                  <c:v>-24.107004255430308</c:v>
                </c:pt>
                <c:pt idx="250">
                  <c:v>-24.944424030434721</c:v>
                </c:pt>
                <c:pt idx="251">
                  <c:v>-26.16070316053618</c:v>
                </c:pt>
                <c:pt idx="252">
                  <c:v>-27.26867237679043</c:v>
                </c:pt>
                <c:pt idx="253">
                  <c:v>-27.272313647752611</c:v>
                </c:pt>
                <c:pt idx="254">
                  <c:v>-27.740863015790701</c:v>
                </c:pt>
                <c:pt idx="255">
                  <c:v>-27.942068936453435</c:v>
                </c:pt>
                <c:pt idx="256">
                  <c:v>-27.666366844835981</c:v>
                </c:pt>
                <c:pt idx="257">
                  <c:v>-27.373335403098366</c:v>
                </c:pt>
                <c:pt idx="258">
                  <c:v>-27.904928364054332</c:v>
                </c:pt>
                <c:pt idx="259">
                  <c:v>-28.775447394642107</c:v>
                </c:pt>
                <c:pt idx="260">
                  <c:v>-28.796890921140424</c:v>
                </c:pt>
                <c:pt idx="261">
                  <c:v>-28.897639457119034</c:v>
                </c:pt>
                <c:pt idx="262">
                  <c:v>-28.920974289361556</c:v>
                </c:pt>
                <c:pt idx="263">
                  <c:v>-27.725520043955491</c:v>
                </c:pt>
                <c:pt idx="264">
                  <c:v>-27.429242779534029</c:v>
                </c:pt>
                <c:pt idx="265">
                  <c:v>-27.303502139616665</c:v>
                </c:pt>
                <c:pt idx="266">
                  <c:v>-27.673321390643146</c:v>
                </c:pt>
                <c:pt idx="267">
                  <c:v>-27.233859296210394</c:v>
                </c:pt>
                <c:pt idx="268">
                  <c:v>-24.168881364223445</c:v>
                </c:pt>
                <c:pt idx="269">
                  <c:v>-22.297903092225877</c:v>
                </c:pt>
                <c:pt idx="270">
                  <c:v>-23.843244059118604</c:v>
                </c:pt>
                <c:pt idx="271">
                  <c:v>-22.153936582660638</c:v>
                </c:pt>
                <c:pt idx="272">
                  <c:v>-20.325389622647791</c:v>
                </c:pt>
                <c:pt idx="273">
                  <c:v>-16.908316246151202</c:v>
                </c:pt>
                <c:pt idx="274">
                  <c:v>-14.08240686923333</c:v>
                </c:pt>
                <c:pt idx="275">
                  <c:v>-16.286066345890809</c:v>
                </c:pt>
                <c:pt idx="276">
                  <c:v>-14.59373832776658</c:v>
                </c:pt>
                <c:pt idx="277">
                  <c:v>-12.749803288757636</c:v>
                </c:pt>
                <c:pt idx="278">
                  <c:v>-8.8305820048909371</c:v>
                </c:pt>
                <c:pt idx="279">
                  <c:v>-6.738730503527095</c:v>
                </c:pt>
                <c:pt idx="280">
                  <c:v>-6.8828483054705307</c:v>
                </c:pt>
                <c:pt idx="281">
                  <c:v>-4.2207066929572621</c:v>
                </c:pt>
                <c:pt idx="282">
                  <c:v>-7.7866940082273643</c:v>
                </c:pt>
                <c:pt idx="283">
                  <c:v>-9.2914344804125673</c:v>
                </c:pt>
                <c:pt idx="284">
                  <c:v>-5.7029677044185565</c:v>
                </c:pt>
                <c:pt idx="285">
                  <c:v>-6.2328047856766728</c:v>
                </c:pt>
                <c:pt idx="286">
                  <c:v>-2.968526892442668</c:v>
                </c:pt>
                <c:pt idx="287">
                  <c:v>-3.8755992939317632</c:v>
                </c:pt>
                <c:pt idx="288">
                  <c:v>-0.75211985114875368</c:v>
                </c:pt>
                <c:pt idx="289">
                  <c:v>-2.9687552329579305</c:v>
                </c:pt>
                <c:pt idx="290">
                  <c:v>-3.7745572119508859</c:v>
                </c:pt>
                <c:pt idx="291">
                  <c:v>0.66172046482130809</c:v>
                </c:pt>
                <c:pt idx="292">
                  <c:v>-1.4148645336774412</c:v>
                </c:pt>
                <c:pt idx="293">
                  <c:v>3.3675428737345787</c:v>
                </c:pt>
                <c:pt idx="294">
                  <c:v>0.95103680548182223</c:v>
                </c:pt>
                <c:pt idx="295">
                  <c:v>-1.2348439580148312</c:v>
                </c:pt>
                <c:pt idx="296">
                  <c:v>2.2323673935653323</c:v>
                </c:pt>
                <c:pt idx="297">
                  <c:v>2.4110242165640647</c:v>
                </c:pt>
                <c:pt idx="298">
                  <c:v>2.9840055315868743</c:v>
                </c:pt>
                <c:pt idx="299">
                  <c:v>1.9765106649764608</c:v>
                </c:pt>
                <c:pt idx="300">
                  <c:v>3.595978480774662</c:v>
                </c:pt>
                <c:pt idx="301">
                  <c:v>0.83112308766260945</c:v>
                </c:pt>
                <c:pt idx="302">
                  <c:v>2.8222769409677428</c:v>
                </c:pt>
                <c:pt idx="303">
                  <c:v>-1.0197703473410329</c:v>
                </c:pt>
                <c:pt idx="304">
                  <c:v>-0.30982702097791076</c:v>
                </c:pt>
                <c:pt idx="305">
                  <c:v>-2.3815082681857302</c:v>
                </c:pt>
                <c:pt idx="306">
                  <c:v>-1.705208143909672</c:v>
                </c:pt>
                <c:pt idx="307">
                  <c:v>-1.5998947931893024</c:v>
                </c:pt>
                <c:pt idx="308">
                  <c:v>-4.9980332521167625</c:v>
                </c:pt>
                <c:pt idx="309">
                  <c:v>-3.5866262631265085</c:v>
                </c:pt>
                <c:pt idx="310">
                  <c:v>-6.081583079552578</c:v>
                </c:pt>
                <c:pt idx="311">
                  <c:v>-8.0154991868226855</c:v>
                </c:pt>
                <c:pt idx="312">
                  <c:v>-6.1924974107854167</c:v>
                </c:pt>
                <c:pt idx="313">
                  <c:v>-2.1484906984649061</c:v>
                </c:pt>
                <c:pt idx="314">
                  <c:v>3.0397990350934441</c:v>
                </c:pt>
                <c:pt idx="315">
                  <c:v>3.3922125185053833</c:v>
                </c:pt>
                <c:pt idx="316">
                  <c:v>3.52241128907988</c:v>
                </c:pt>
                <c:pt idx="317">
                  <c:v>1.935772631204584</c:v>
                </c:pt>
                <c:pt idx="318">
                  <c:v>3.7504193066646123</c:v>
                </c:pt>
                <c:pt idx="319">
                  <c:v>8.6094784837656952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DD-2D40-BB2E-D7AA7BE01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'240816B016'!$A$2:$A$321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'240816B016'!$J$2:$J$321</c:f>
              <c:numCache>
                <c:formatCode>0.0</c:formatCode>
                <c:ptCount val="320"/>
                <c:pt idx="0">
                  <c:v>610.30940075956994</c:v>
                </c:pt>
                <c:pt idx="1">
                  <c:v>599.65776671269998</c:v>
                </c:pt>
                <c:pt idx="2">
                  <c:v>574.73930505804003</c:v>
                </c:pt>
                <c:pt idx="3">
                  <c:v>628.62507403698999</c:v>
                </c:pt>
                <c:pt idx="4">
                  <c:v>614.62968387681008</c:v>
                </c:pt>
                <c:pt idx="5">
                  <c:v>608.12557250583006</c:v>
                </c:pt>
                <c:pt idx="6">
                  <c:v>619.62822483457001</c:v>
                </c:pt>
                <c:pt idx="7">
                  <c:v>619.60980562729992</c:v>
                </c:pt>
                <c:pt idx="8">
                  <c:v>620.02223410472993</c:v>
                </c:pt>
                <c:pt idx="9">
                  <c:v>635.09127487358001</c:v>
                </c:pt>
                <c:pt idx="10">
                  <c:v>644.44402313045998</c:v>
                </c:pt>
                <c:pt idx="11">
                  <c:v>647.28989937001006</c:v>
                </c:pt>
                <c:pt idx="12">
                  <c:v>635.75025083046</c:v>
                </c:pt>
                <c:pt idx="13">
                  <c:v>629.81206441351003</c:v>
                </c:pt>
                <c:pt idx="14">
                  <c:v>618.68929743856006</c:v>
                </c:pt>
                <c:pt idx="15">
                  <c:v>654.59322185658993</c:v>
                </c:pt>
                <c:pt idx="16">
                  <c:v>639.41227827887997</c:v>
                </c:pt>
                <c:pt idx="17">
                  <c:v>640.87804529368998</c:v>
                </c:pt>
                <c:pt idx="18">
                  <c:v>659.79790761328991</c:v>
                </c:pt>
                <c:pt idx="19">
                  <c:v>655.97292345894994</c:v>
                </c:pt>
                <c:pt idx="20">
                  <c:v>679.80474627997</c:v>
                </c:pt>
                <c:pt idx="21">
                  <c:v>670.56253080705994</c:v>
                </c:pt>
                <c:pt idx="22">
                  <c:v>677.99399076938994</c:v>
                </c:pt>
                <c:pt idx="23">
                  <c:v>641.90722209674004</c:v>
                </c:pt>
                <c:pt idx="24">
                  <c:v>624.39715305791003</c:v>
                </c:pt>
                <c:pt idx="25">
                  <c:v>654.32469960951994</c:v>
                </c:pt>
                <c:pt idx="26">
                  <c:v>631.34733983731007</c:v>
                </c:pt>
                <c:pt idx="27">
                  <c:v>625.33161554109006</c:v>
                </c:pt>
                <c:pt idx="28">
                  <c:v>661.79823917827991</c:v>
                </c:pt>
                <c:pt idx="29">
                  <c:v>685.57502267036</c:v>
                </c:pt>
                <c:pt idx="30">
                  <c:v>675.32344115552996</c:v>
                </c:pt>
                <c:pt idx="31">
                  <c:v>618.64759703657001</c:v>
                </c:pt>
                <c:pt idx="32">
                  <c:v>622.65589691182004</c:v>
                </c:pt>
                <c:pt idx="33">
                  <c:v>614.31490670305004</c:v>
                </c:pt>
                <c:pt idx="34">
                  <c:v>635.17120708962</c:v>
                </c:pt>
                <c:pt idx="35">
                  <c:v>629.63733267879002</c:v>
                </c:pt>
                <c:pt idx="36">
                  <c:v>643.69903420816001</c:v>
                </c:pt>
                <c:pt idx="37">
                  <c:v>637.32079327078009</c:v>
                </c:pt>
                <c:pt idx="38">
                  <c:v>644.92519511055002</c:v>
                </c:pt>
                <c:pt idx="39">
                  <c:v>633.95353225534006</c:v>
                </c:pt>
                <c:pt idx="40">
                  <c:v>626.78356566397008</c:v>
                </c:pt>
                <c:pt idx="41">
                  <c:v>606.74761555393002</c:v>
                </c:pt>
                <c:pt idx="42">
                  <c:v>629.10153597865997</c:v>
                </c:pt>
                <c:pt idx="43">
                  <c:v>633.75513168994007</c:v>
                </c:pt>
                <c:pt idx="44">
                  <c:v>604.87214704110988</c:v>
                </c:pt>
                <c:pt idx="45">
                  <c:v>672.93294632386005</c:v>
                </c:pt>
                <c:pt idx="46">
                  <c:v>697.68451944240996</c:v>
                </c:pt>
                <c:pt idx="47">
                  <c:v>676.53484959648006</c:v>
                </c:pt>
                <c:pt idx="48">
                  <c:v>666.32721936902999</c:v>
                </c:pt>
                <c:pt idx="49">
                  <c:v>636.34883466758004</c:v>
                </c:pt>
                <c:pt idx="50">
                  <c:v>638.19112414701999</c:v>
                </c:pt>
                <c:pt idx="51">
                  <c:v>652.83269606148997</c:v>
                </c:pt>
                <c:pt idx="52">
                  <c:v>632.84745085341001</c:v>
                </c:pt>
                <c:pt idx="53">
                  <c:v>601.68056652244002</c:v>
                </c:pt>
                <c:pt idx="54">
                  <c:v>671.67784450612999</c:v>
                </c:pt>
                <c:pt idx="55">
                  <c:v>628.43610916316004</c:v>
                </c:pt>
                <c:pt idx="56">
                  <c:v>618.40289032860994</c:v>
                </c:pt>
                <c:pt idx="57">
                  <c:v>626.67955306380009</c:v>
                </c:pt>
                <c:pt idx="58">
                  <c:v>623.4271794389</c:v>
                </c:pt>
                <c:pt idx="59">
                  <c:v>620.93475702890998</c:v>
                </c:pt>
                <c:pt idx="60">
                  <c:v>622.05503265072002</c:v>
                </c:pt>
                <c:pt idx="61">
                  <c:v>627.68324174126997</c:v>
                </c:pt>
                <c:pt idx="62">
                  <c:v>639.36382634980998</c:v>
                </c:pt>
                <c:pt idx="63">
                  <c:v>686.49135734318997</c:v>
                </c:pt>
                <c:pt idx="64">
                  <c:v>670.02745596732996</c:v>
                </c:pt>
                <c:pt idx="65">
                  <c:v>668.05665043882993</c:v>
                </c:pt>
                <c:pt idx="66">
                  <c:v>666.29141912074988</c:v>
                </c:pt>
                <c:pt idx="67">
                  <c:v>645.56654771008994</c:v>
                </c:pt>
                <c:pt idx="68">
                  <c:v>638.86288999633996</c:v>
                </c:pt>
                <c:pt idx="69">
                  <c:v>628.03952972029003</c:v>
                </c:pt>
                <c:pt idx="70">
                  <c:v>629.73665052438002</c:v>
                </c:pt>
                <c:pt idx="71">
                  <c:v>650.99345118451993</c:v>
                </c:pt>
                <c:pt idx="72">
                  <c:v>647.39347810043</c:v>
                </c:pt>
                <c:pt idx="73">
                  <c:v>658.53947822709006</c:v>
                </c:pt>
                <c:pt idx="74">
                  <c:v>616.73137271423991</c:v>
                </c:pt>
                <c:pt idx="75">
                  <c:v>606.91107980087997</c:v>
                </c:pt>
                <c:pt idx="76">
                  <c:v>621.49598370667002</c:v>
                </c:pt>
                <c:pt idx="77">
                  <c:v>620.93707220233</c:v>
                </c:pt>
                <c:pt idx="78">
                  <c:v>619.10018287946002</c:v>
                </c:pt>
                <c:pt idx="79">
                  <c:v>615.03110452519002</c:v>
                </c:pt>
                <c:pt idx="80">
                  <c:v>625.49515763301997</c:v>
                </c:pt>
                <c:pt idx="81">
                  <c:v>632.46223666281992</c:v>
                </c:pt>
                <c:pt idx="82">
                  <c:v>661.70438368570001</c:v>
                </c:pt>
                <c:pt idx="83">
                  <c:v>693.27226107426998</c:v>
                </c:pt>
                <c:pt idx="84">
                  <c:v>658.50114795183003</c:v>
                </c:pt>
                <c:pt idx="85">
                  <c:v>613.38723103699999</c:v>
                </c:pt>
                <c:pt idx="86">
                  <c:v>594.01284228123006</c:v>
                </c:pt>
                <c:pt idx="87">
                  <c:v>612.88454792945004</c:v>
                </c:pt>
                <c:pt idx="88">
                  <c:v>600.19067452478998</c:v>
                </c:pt>
                <c:pt idx="89">
                  <c:v>622.85768572341999</c:v>
                </c:pt>
                <c:pt idx="90">
                  <c:v>628.06721867030001</c:v>
                </c:pt>
                <c:pt idx="91">
                  <c:v>620.78149739719004</c:v>
                </c:pt>
                <c:pt idx="92">
                  <c:v>599.23558000783999</c:v>
                </c:pt>
                <c:pt idx="93">
                  <c:v>593.35804659242001</c:v>
                </c:pt>
                <c:pt idx="94">
                  <c:v>574.92836627917995</c:v>
                </c:pt>
                <c:pt idx="95">
                  <c:v>592.90907634795997</c:v>
                </c:pt>
                <c:pt idx="96">
                  <c:v>599.86067847535003</c:v>
                </c:pt>
                <c:pt idx="97">
                  <c:v>598.35819069656009</c:v>
                </c:pt>
                <c:pt idx="98">
                  <c:v>597.63161846713001</c:v>
                </c:pt>
                <c:pt idx="99">
                  <c:v>596.73926186310996</c:v>
                </c:pt>
                <c:pt idx="100">
                  <c:v>587.38968562182993</c:v>
                </c:pt>
                <c:pt idx="101">
                  <c:v>575.12291182031004</c:v>
                </c:pt>
                <c:pt idx="102">
                  <c:v>590.68896805380007</c:v>
                </c:pt>
                <c:pt idx="103">
                  <c:v>579.56107408839989</c:v>
                </c:pt>
                <c:pt idx="104">
                  <c:v>571.19524550309006</c:v>
                </c:pt>
                <c:pt idx="105">
                  <c:v>567.99848181034997</c:v>
                </c:pt>
                <c:pt idx="106">
                  <c:v>573.51024336521004</c:v>
                </c:pt>
                <c:pt idx="107">
                  <c:v>529.64700779645</c:v>
                </c:pt>
                <c:pt idx="108">
                  <c:v>538.82423141984009</c:v>
                </c:pt>
                <c:pt idx="109">
                  <c:v>547.46161232401994</c:v>
                </c:pt>
                <c:pt idx="110">
                  <c:v>526.15469095599997</c:v>
                </c:pt>
                <c:pt idx="111">
                  <c:v>519.57420640562998</c:v>
                </c:pt>
                <c:pt idx="112">
                  <c:v>517.57791317107001</c:v>
                </c:pt>
                <c:pt idx="113">
                  <c:v>517.05899466423</c:v>
                </c:pt>
                <c:pt idx="114">
                  <c:v>552.63049216781997</c:v>
                </c:pt>
                <c:pt idx="115">
                  <c:v>553.11298606015998</c:v>
                </c:pt>
                <c:pt idx="116">
                  <c:v>549.57300073368003</c:v>
                </c:pt>
                <c:pt idx="117">
                  <c:v>514.94497432134995</c:v>
                </c:pt>
                <c:pt idx="118">
                  <c:v>521.61683866331009</c:v>
                </c:pt>
                <c:pt idx="119">
                  <c:v>559.76226597302002</c:v>
                </c:pt>
                <c:pt idx="120">
                  <c:v>560.68233937741991</c:v>
                </c:pt>
                <c:pt idx="121">
                  <c:v>545.01546147664999</c:v>
                </c:pt>
                <c:pt idx="122">
                  <c:v>591.85247062216001</c:v>
                </c:pt>
                <c:pt idx="123">
                  <c:v>571.64603389056003</c:v>
                </c:pt>
                <c:pt idx="124">
                  <c:v>582.17735129060998</c:v>
                </c:pt>
                <c:pt idx="125">
                  <c:v>580.27583836725</c:v>
                </c:pt>
                <c:pt idx="126">
                  <c:v>569.84621036561998</c:v>
                </c:pt>
                <c:pt idx="127">
                  <c:v>587.78839436084002</c:v>
                </c:pt>
                <c:pt idx="128">
                  <c:v>577.05746111892995</c:v>
                </c:pt>
                <c:pt idx="129">
                  <c:v>584.25414871025998</c:v>
                </c:pt>
                <c:pt idx="130">
                  <c:v>593.01371177517001</c:v>
                </c:pt>
                <c:pt idx="131">
                  <c:v>582.60205622838998</c:v>
                </c:pt>
                <c:pt idx="132">
                  <c:v>586.87160029518998</c:v>
                </c:pt>
                <c:pt idx="133">
                  <c:v>595.54386132882996</c:v>
                </c:pt>
                <c:pt idx="134">
                  <c:v>590.66976470739996</c:v>
                </c:pt>
                <c:pt idx="135">
                  <c:v>575.55168487229002</c:v>
                </c:pt>
                <c:pt idx="136">
                  <c:v>595.44996105709993</c:v>
                </c:pt>
                <c:pt idx="137">
                  <c:v>583.05732298728992</c:v>
                </c:pt>
                <c:pt idx="138">
                  <c:v>582.47874555500005</c:v>
                </c:pt>
                <c:pt idx="139">
                  <c:v>580.94062845430005</c:v>
                </c:pt>
                <c:pt idx="140">
                  <c:v>568.00707581062989</c:v>
                </c:pt>
                <c:pt idx="141">
                  <c:v>585.07137085232</c:v>
                </c:pt>
                <c:pt idx="142">
                  <c:v>559.56072716374001</c:v>
                </c:pt>
                <c:pt idx="143">
                  <c:v>581.11711049285998</c:v>
                </c:pt>
                <c:pt idx="144">
                  <c:v>583.93439990338993</c:v>
                </c:pt>
                <c:pt idx="145">
                  <c:v>573.59754713489997</c:v>
                </c:pt>
                <c:pt idx="146">
                  <c:v>583.76056245603002</c:v>
                </c:pt>
                <c:pt idx="147">
                  <c:v>586.69767783854002</c:v>
                </c:pt>
                <c:pt idx="148">
                  <c:v>584.21270960341997</c:v>
                </c:pt>
                <c:pt idx="149">
                  <c:v>591.55025678649997</c:v>
                </c:pt>
                <c:pt idx="150">
                  <c:v>586.26265590609</c:v>
                </c:pt>
                <c:pt idx="151">
                  <c:v>559.58083199471992</c:v>
                </c:pt>
                <c:pt idx="152">
                  <c:v>579.61009229662</c:v>
                </c:pt>
                <c:pt idx="153">
                  <c:v>582.01345072143999</c:v>
                </c:pt>
                <c:pt idx="154">
                  <c:v>581.05243021963997</c:v>
                </c:pt>
                <c:pt idx="155">
                  <c:v>581.33773160021997</c:v>
                </c:pt>
                <c:pt idx="156">
                  <c:v>584.08628859642999</c:v>
                </c:pt>
                <c:pt idx="157">
                  <c:v>576.57343456401009</c:v>
                </c:pt>
                <c:pt idx="158">
                  <c:v>610.13439870172999</c:v>
                </c:pt>
                <c:pt idx="159">
                  <c:v>606.96166288329005</c:v>
                </c:pt>
                <c:pt idx="160">
                  <c:v>586.62481085343995</c:v>
                </c:pt>
                <c:pt idx="161">
                  <c:v>599.12711360819003</c:v>
                </c:pt>
                <c:pt idx="162">
                  <c:v>612.30094366618005</c:v>
                </c:pt>
                <c:pt idx="163">
                  <c:v>604.14035425750001</c:v>
                </c:pt>
                <c:pt idx="164">
                  <c:v>594.88606397200999</c:v>
                </c:pt>
                <c:pt idx="165">
                  <c:v>606.28980190755999</c:v>
                </c:pt>
                <c:pt idx="166">
                  <c:v>602.60281787414999</c:v>
                </c:pt>
                <c:pt idx="167">
                  <c:v>597.32461546570994</c:v>
                </c:pt>
                <c:pt idx="168">
                  <c:v>602.24341317768005</c:v>
                </c:pt>
                <c:pt idx="169">
                  <c:v>616.44300414674001</c:v>
                </c:pt>
                <c:pt idx="170">
                  <c:v>612.66545032370004</c:v>
                </c:pt>
                <c:pt idx="171">
                  <c:v>610.98516057372001</c:v>
                </c:pt>
                <c:pt idx="172">
                  <c:v>620.90067151258995</c:v>
                </c:pt>
                <c:pt idx="173">
                  <c:v>617.9555154914699</c:v>
                </c:pt>
                <c:pt idx="174">
                  <c:v>598.45076158322001</c:v>
                </c:pt>
                <c:pt idx="175">
                  <c:v>597.54040327012001</c:v>
                </c:pt>
                <c:pt idx="176">
                  <c:v>582.11738383334</c:v>
                </c:pt>
                <c:pt idx="177">
                  <c:v>595.13472866794996</c:v>
                </c:pt>
                <c:pt idx="178">
                  <c:v>597.92926098155999</c:v>
                </c:pt>
                <c:pt idx="179">
                  <c:v>604.92087410363001</c:v>
                </c:pt>
                <c:pt idx="180">
                  <c:v>578.75542920029</c:v>
                </c:pt>
                <c:pt idx="181">
                  <c:v>562.89128004833992</c:v>
                </c:pt>
                <c:pt idx="182">
                  <c:v>596.98357790085004</c:v>
                </c:pt>
                <c:pt idx="183">
                  <c:v>600.46813770545009</c:v>
                </c:pt>
                <c:pt idx="184">
                  <c:v>589.3935111051801</c:v>
                </c:pt>
                <c:pt idx="185">
                  <c:v>585.89213559194002</c:v>
                </c:pt>
                <c:pt idx="186">
                  <c:v>577.12303119068997</c:v>
                </c:pt>
                <c:pt idx="187">
                  <c:v>582.98417751162992</c:v>
                </c:pt>
                <c:pt idx="188">
                  <c:v>577.42291504793002</c:v>
                </c:pt>
                <c:pt idx="189">
                  <c:v>572.69275267473995</c:v>
                </c:pt>
                <c:pt idx="190">
                  <c:v>587.22229779010001</c:v>
                </c:pt>
                <c:pt idx="191">
                  <c:v>599.23168547094997</c:v>
                </c:pt>
                <c:pt idx="192">
                  <c:v>581.18596457765989</c:v>
                </c:pt>
                <c:pt idx="193">
                  <c:v>614.98295793054001</c:v>
                </c:pt>
                <c:pt idx="194">
                  <c:v>571.67964570093</c:v>
                </c:pt>
                <c:pt idx="195">
                  <c:v>578.11991689681008</c:v>
                </c:pt>
                <c:pt idx="196">
                  <c:v>584.43384904689003</c:v>
                </c:pt>
                <c:pt idx="197">
                  <c:v>607.24623910983996</c:v>
                </c:pt>
                <c:pt idx="198">
                  <c:v>587.99554042379998</c:v>
                </c:pt>
                <c:pt idx="199">
                  <c:v>590.53568420686997</c:v>
                </c:pt>
                <c:pt idx="200">
                  <c:v>588.04666220961997</c:v>
                </c:pt>
                <c:pt idx="201">
                  <c:v>576.04688307206004</c:v>
                </c:pt>
                <c:pt idx="202">
                  <c:v>575.24200161008991</c:v>
                </c:pt>
                <c:pt idx="203">
                  <c:v>572.17387033132991</c:v>
                </c:pt>
                <c:pt idx="204">
                  <c:v>569.1783497000099</c:v>
                </c:pt>
                <c:pt idx="205">
                  <c:v>553.42437922762997</c:v>
                </c:pt>
                <c:pt idx="206">
                  <c:v>573.07643463857005</c:v>
                </c:pt>
                <c:pt idx="207">
                  <c:v>548.36081933965011</c:v>
                </c:pt>
                <c:pt idx="208">
                  <c:v>540.97100035980998</c:v>
                </c:pt>
                <c:pt idx="209">
                  <c:v>595.10256754059992</c:v>
                </c:pt>
                <c:pt idx="210">
                  <c:v>561.18623919540005</c:v>
                </c:pt>
                <c:pt idx="211">
                  <c:v>565.9975647527599</c:v>
                </c:pt>
                <c:pt idx="212">
                  <c:v>555.97637746011003</c:v>
                </c:pt>
                <c:pt idx="213">
                  <c:v>550.86933727479004</c:v>
                </c:pt>
                <c:pt idx="214">
                  <c:v>559.72707263389998</c:v>
                </c:pt>
                <c:pt idx="215">
                  <c:v>535.08510638298003</c:v>
                </c:pt>
                <c:pt idx="216">
                  <c:v>551.48524427736004</c:v>
                </c:pt>
                <c:pt idx="217">
                  <c:v>538.19712103709003</c:v>
                </c:pt>
                <c:pt idx="218">
                  <c:v>560.84761728530998</c:v>
                </c:pt>
                <c:pt idx="219">
                  <c:v>591.16136736130011</c:v>
                </c:pt>
                <c:pt idx="220">
                  <c:v>599.86231298777011</c:v>
                </c:pt>
                <c:pt idx="221">
                  <c:v>599.36053232845995</c:v>
                </c:pt>
                <c:pt idx="222">
                  <c:v>597.73581796292001</c:v>
                </c:pt>
                <c:pt idx="223">
                  <c:v>584.69258827220006</c:v>
                </c:pt>
                <c:pt idx="224">
                  <c:v>547.36029815377003</c:v>
                </c:pt>
                <c:pt idx="225">
                  <c:v>594.41795168127999</c:v>
                </c:pt>
                <c:pt idx="226">
                  <c:v>590.06139826904996</c:v>
                </c:pt>
                <c:pt idx="227">
                  <c:v>567.57658238552995</c:v>
                </c:pt>
                <c:pt idx="228">
                  <c:v>570.84927488921994</c:v>
                </c:pt>
                <c:pt idx="229">
                  <c:v>544.61736177598004</c:v>
                </c:pt>
                <c:pt idx="230">
                  <c:v>564.28017093244</c:v>
                </c:pt>
                <c:pt idx="231">
                  <c:v>538.50271245802992</c:v>
                </c:pt>
                <c:pt idx="232">
                  <c:v>543.89686126032007</c:v>
                </c:pt>
                <c:pt idx="233">
                  <c:v>538.46612399654998</c:v>
                </c:pt>
                <c:pt idx="234">
                  <c:v>564.43000251699004</c:v>
                </c:pt>
                <c:pt idx="235">
                  <c:v>561.98417723891998</c:v>
                </c:pt>
                <c:pt idx="236">
                  <c:v>578.00141808270007</c:v>
                </c:pt>
                <c:pt idx="237">
                  <c:v>562.66330925235002</c:v>
                </c:pt>
                <c:pt idx="238">
                  <c:v>554.37191842811001</c:v>
                </c:pt>
                <c:pt idx="239">
                  <c:v>604.37751643472006</c:v>
                </c:pt>
                <c:pt idx="240">
                  <c:v>601.98273780528007</c:v>
                </c:pt>
                <c:pt idx="241">
                  <c:v>578.10641055238</c:v>
                </c:pt>
                <c:pt idx="242">
                  <c:v>661.10807624362997</c:v>
                </c:pt>
                <c:pt idx="243">
                  <c:v>597.82272620995991</c:v>
                </c:pt>
                <c:pt idx="244">
                  <c:v>593.39787427114993</c:v>
                </c:pt>
                <c:pt idx="245">
                  <c:v>576.63863706988991</c:v>
                </c:pt>
                <c:pt idx="246">
                  <c:v>599.59099173817003</c:v>
                </c:pt>
                <c:pt idx="247">
                  <c:v>583.89888899762002</c:v>
                </c:pt>
                <c:pt idx="248">
                  <c:v>660.0649701627699</c:v>
                </c:pt>
                <c:pt idx="249">
                  <c:v>653.09388032574998</c:v>
                </c:pt>
                <c:pt idx="250">
                  <c:v>606.37445597328997</c:v>
                </c:pt>
                <c:pt idx="251">
                  <c:v>591.64253003970998</c:v>
                </c:pt>
                <c:pt idx="252">
                  <c:v>575.48134527891</c:v>
                </c:pt>
                <c:pt idx="253">
                  <c:v>571.96414026254001</c:v>
                </c:pt>
                <c:pt idx="254">
                  <c:v>533.76799965348005</c:v>
                </c:pt>
                <c:pt idx="255">
                  <c:v>617.66218398866999</c:v>
                </c:pt>
                <c:pt idx="256">
                  <c:v>610.60952595948993</c:v>
                </c:pt>
                <c:pt idx="257">
                  <c:v>588.00584091867995</c:v>
                </c:pt>
                <c:pt idx="258">
                  <c:v>620.43156622192998</c:v>
                </c:pt>
                <c:pt idx="259">
                  <c:v>626.17554908084992</c:v>
                </c:pt>
                <c:pt idx="260">
                  <c:v>627.56463347842998</c:v>
                </c:pt>
                <c:pt idx="261">
                  <c:v>610.73975435651005</c:v>
                </c:pt>
                <c:pt idx="262">
                  <c:v>647.32313536667004</c:v>
                </c:pt>
                <c:pt idx="263">
                  <c:v>644.13332305505003</c:v>
                </c:pt>
                <c:pt idx="264">
                  <c:v>670.43052101678995</c:v>
                </c:pt>
                <c:pt idx="265">
                  <c:v>646.73300786173002</c:v>
                </c:pt>
                <c:pt idx="266">
                  <c:v>583.18035941427001</c:v>
                </c:pt>
                <c:pt idx="267">
                  <c:v>589.78324603749991</c:v>
                </c:pt>
                <c:pt idx="268">
                  <c:v>567.55530243501994</c:v>
                </c:pt>
                <c:pt idx="269">
                  <c:v>588.75296250981</c:v>
                </c:pt>
                <c:pt idx="270">
                  <c:v>583.87613179638993</c:v>
                </c:pt>
                <c:pt idx="271">
                  <c:v>588.02674707866993</c:v>
                </c:pt>
                <c:pt idx="272">
                  <c:v>566.96981608909994</c:v>
                </c:pt>
                <c:pt idx="273">
                  <c:v>571.95272525027997</c:v>
                </c:pt>
                <c:pt idx="274">
                  <c:v>549.99650428263999</c:v>
                </c:pt>
                <c:pt idx="275">
                  <c:v>585.56342964930002</c:v>
                </c:pt>
                <c:pt idx="276">
                  <c:v>572.32110199063004</c:v>
                </c:pt>
                <c:pt idx="277">
                  <c:v>570.56268075725995</c:v>
                </c:pt>
                <c:pt idx="278">
                  <c:v>591.56041570627997</c:v>
                </c:pt>
                <c:pt idx="279">
                  <c:v>592.47824943676005</c:v>
                </c:pt>
                <c:pt idx="280">
                  <c:v>584.98182475321994</c:v>
                </c:pt>
                <c:pt idx="281">
                  <c:v>585.63724783608995</c:v>
                </c:pt>
                <c:pt idx="282">
                  <c:v>564.83444950298008</c:v>
                </c:pt>
                <c:pt idx="283">
                  <c:v>587.46932459818004</c:v>
                </c:pt>
                <c:pt idx="284">
                  <c:v>605.08928709286999</c:v>
                </c:pt>
                <c:pt idx="285">
                  <c:v>598.32989169780001</c:v>
                </c:pt>
                <c:pt idx="286">
                  <c:v>545.23770013447995</c:v>
                </c:pt>
                <c:pt idx="287">
                  <c:v>561.90961007688998</c:v>
                </c:pt>
                <c:pt idx="288">
                  <c:v>573.57359358664996</c:v>
                </c:pt>
                <c:pt idx="289">
                  <c:v>576.98185883992005</c:v>
                </c:pt>
                <c:pt idx="290">
                  <c:v>576.89404175241998</c:v>
                </c:pt>
                <c:pt idx="291">
                  <c:v>584.91266800932999</c:v>
                </c:pt>
                <c:pt idx="292">
                  <c:v>549.44156558424993</c:v>
                </c:pt>
                <c:pt idx="293">
                  <c:v>521.63300000108006</c:v>
                </c:pt>
                <c:pt idx="294">
                  <c:v>469.33046219415002</c:v>
                </c:pt>
                <c:pt idx="295">
                  <c:v>494.81921249984998</c:v>
                </c:pt>
                <c:pt idx="296">
                  <c:v>463.46837706837994</c:v>
                </c:pt>
                <c:pt idx="297">
                  <c:v>518.48015083510006</c:v>
                </c:pt>
                <c:pt idx="298">
                  <c:v>534.69496843910997</c:v>
                </c:pt>
                <c:pt idx="299">
                  <c:v>559.48543002209999</c:v>
                </c:pt>
                <c:pt idx="300">
                  <c:v>546.07290909179005</c:v>
                </c:pt>
                <c:pt idx="301">
                  <c:v>544.49656329427</c:v>
                </c:pt>
                <c:pt idx="302">
                  <c:v>524.55733643441999</c:v>
                </c:pt>
                <c:pt idx="303">
                  <c:v>534.16675516416001</c:v>
                </c:pt>
                <c:pt idx="304">
                  <c:v>546.56351308297997</c:v>
                </c:pt>
                <c:pt idx="305">
                  <c:v>530.01060460592998</c:v>
                </c:pt>
                <c:pt idx="306">
                  <c:v>569.34243148384996</c:v>
                </c:pt>
                <c:pt idx="307">
                  <c:v>535.82152976477005</c:v>
                </c:pt>
                <c:pt idx="308">
                  <c:v>568.00511807042005</c:v>
                </c:pt>
                <c:pt idx="309">
                  <c:v>565.98916396625998</c:v>
                </c:pt>
                <c:pt idx="310">
                  <c:v>540.04974677921996</c:v>
                </c:pt>
                <c:pt idx="311">
                  <c:v>571.14231485413995</c:v>
                </c:pt>
                <c:pt idx="312">
                  <c:v>569.16431167145993</c:v>
                </c:pt>
                <c:pt idx="313">
                  <c:v>545.67086211730998</c:v>
                </c:pt>
                <c:pt idx="314">
                  <c:v>562.41055462556994</c:v>
                </c:pt>
                <c:pt idx="315">
                  <c:v>574.7287763623001</c:v>
                </c:pt>
                <c:pt idx="316">
                  <c:v>572.38772978690997</c:v>
                </c:pt>
                <c:pt idx="317">
                  <c:v>581.42703600413995</c:v>
                </c:pt>
                <c:pt idx="318">
                  <c:v>575.83415579208997</c:v>
                </c:pt>
                <c:pt idx="319">
                  <c:v>585.58078698877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C5-A149-8DCD-C9CC91FAA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7A-D146-9372-905ECCFEEFFB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'240816B016'!$A$2:$A$321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'240816B016'!$P$2:$P$321</c:f>
              <c:numCache>
                <c:formatCode>General</c:formatCode>
                <c:ptCount val="320"/>
                <c:pt idx="0">
                  <c:v>-6.1783147267638023</c:v>
                </c:pt>
                <c:pt idx="1">
                  <c:v>-8.5238196107872319</c:v>
                </c:pt>
                <c:pt idx="2">
                  <c:v>-8.7473738656358382</c:v>
                </c:pt>
                <c:pt idx="3">
                  <c:v>-9.7781101663801131</c:v>
                </c:pt>
                <c:pt idx="4">
                  <c:v>-10.471567346683441</c:v>
                </c:pt>
                <c:pt idx="5">
                  <c:v>-10.689431524072692</c:v>
                </c:pt>
                <c:pt idx="6">
                  <c:v>-8.9183755986894795</c:v>
                </c:pt>
                <c:pt idx="7">
                  <c:v>-10.038964767132558</c:v>
                </c:pt>
                <c:pt idx="8">
                  <c:v>-9.8699241214231943</c:v>
                </c:pt>
                <c:pt idx="9">
                  <c:v>-9.2951279271146188</c:v>
                </c:pt>
                <c:pt idx="10">
                  <c:v>-10.012051138292566</c:v>
                </c:pt>
                <c:pt idx="11">
                  <c:v>-10.602190776710989</c:v>
                </c:pt>
                <c:pt idx="12">
                  <c:v>-8.9352869097018193</c:v>
                </c:pt>
                <c:pt idx="13">
                  <c:v>-9.5278549852198022</c:v>
                </c:pt>
                <c:pt idx="14">
                  <c:v>-10.019612137590491</c:v>
                </c:pt>
                <c:pt idx="15">
                  <c:v>-10.413531199792033</c:v>
                </c:pt>
                <c:pt idx="16">
                  <c:v>-10.991075180327528</c:v>
                </c:pt>
                <c:pt idx="17">
                  <c:v>-10.950025958098195</c:v>
                </c:pt>
                <c:pt idx="18">
                  <c:v>-10.460384856338013</c:v>
                </c:pt>
                <c:pt idx="19">
                  <c:v>-12.300144487376969</c:v>
                </c:pt>
                <c:pt idx="20">
                  <c:v>-13.012202298747678</c:v>
                </c:pt>
                <c:pt idx="21">
                  <c:v>-13.757791383945841</c:v>
                </c:pt>
                <c:pt idx="22">
                  <c:v>-12.923870012566516</c:v>
                </c:pt>
                <c:pt idx="23">
                  <c:v>-14.54407504116875</c:v>
                </c:pt>
                <c:pt idx="24">
                  <c:v>-13.348277967218719</c:v>
                </c:pt>
                <c:pt idx="25">
                  <c:v>-11.489056137048181</c:v>
                </c:pt>
                <c:pt idx="26">
                  <c:v>-10.71220178613785</c:v>
                </c:pt>
                <c:pt idx="27">
                  <c:v>-9.4094701972810295</c:v>
                </c:pt>
                <c:pt idx="28">
                  <c:v>-10.969298364685839</c:v>
                </c:pt>
                <c:pt idx="29">
                  <c:v>-10.607888185003075</c:v>
                </c:pt>
                <c:pt idx="30">
                  <c:v>-11.12481790321554</c:v>
                </c:pt>
                <c:pt idx="31">
                  <c:v>-12.235342451166181</c:v>
                </c:pt>
                <c:pt idx="32">
                  <c:v>-9.0426077629111248</c:v>
                </c:pt>
                <c:pt idx="33">
                  <c:v>-7.5455404046781931</c:v>
                </c:pt>
                <c:pt idx="34">
                  <c:v>-6.6650012616697545</c:v>
                </c:pt>
                <c:pt idx="35">
                  <c:v>-6.8616476109699107</c:v>
                </c:pt>
                <c:pt idx="36">
                  <c:v>-7.8579576515239795</c:v>
                </c:pt>
                <c:pt idx="37">
                  <c:v>-8.6350874563533768</c:v>
                </c:pt>
                <c:pt idx="38">
                  <c:v>-6.5443273090690122</c:v>
                </c:pt>
                <c:pt idx="39">
                  <c:v>-7.3207055550033386</c:v>
                </c:pt>
                <c:pt idx="40">
                  <c:v>-7.7187540027591828</c:v>
                </c:pt>
                <c:pt idx="41">
                  <c:v>-7.760784665098214</c:v>
                </c:pt>
                <c:pt idx="42">
                  <c:v>-6.6103823563777215</c:v>
                </c:pt>
                <c:pt idx="43">
                  <c:v>-5.7432475859156078</c:v>
                </c:pt>
                <c:pt idx="44">
                  <c:v>-4.9760341421065366</c:v>
                </c:pt>
                <c:pt idx="45">
                  <c:v>-5.4672920443719786</c:v>
                </c:pt>
                <c:pt idx="46">
                  <c:v>-6.8800520479914171</c:v>
                </c:pt>
                <c:pt idx="47">
                  <c:v>-8.0569788137973131</c:v>
                </c:pt>
                <c:pt idx="48">
                  <c:v>-9.5258624841267157</c:v>
                </c:pt>
                <c:pt idx="49">
                  <c:v>-6.2905330800453587</c:v>
                </c:pt>
                <c:pt idx="50">
                  <c:v>-2.1029742963954194</c:v>
                </c:pt>
                <c:pt idx="51">
                  <c:v>-3.8499685358150786</c:v>
                </c:pt>
                <c:pt idx="52">
                  <c:v>-3.4209181658265955</c:v>
                </c:pt>
                <c:pt idx="53">
                  <c:v>-3.2197175052696418</c:v>
                </c:pt>
                <c:pt idx="54">
                  <c:v>-4.9013889252070477</c:v>
                </c:pt>
                <c:pt idx="55">
                  <c:v>-5.0252028178685757</c:v>
                </c:pt>
                <c:pt idx="56">
                  <c:v>-3.2565808809791945</c:v>
                </c:pt>
                <c:pt idx="57">
                  <c:v>-3.0782450227422631</c:v>
                </c:pt>
                <c:pt idx="58">
                  <c:v>0.92102046557481676</c:v>
                </c:pt>
                <c:pt idx="59">
                  <c:v>1.7113240668812046</c:v>
                </c:pt>
                <c:pt idx="60">
                  <c:v>1.5132001464467759</c:v>
                </c:pt>
                <c:pt idx="61">
                  <c:v>0.15588580903614374</c:v>
                </c:pt>
                <c:pt idx="62">
                  <c:v>-0.71233434078374713</c:v>
                </c:pt>
                <c:pt idx="63">
                  <c:v>-3.8421067720226603</c:v>
                </c:pt>
                <c:pt idx="64">
                  <c:v>-5.3560495783557993</c:v>
                </c:pt>
                <c:pt idx="65">
                  <c:v>-6.3143906213735193</c:v>
                </c:pt>
                <c:pt idx="66">
                  <c:v>-6.8498601890054145</c:v>
                </c:pt>
                <c:pt idx="67">
                  <c:v>-5.2024128770222893</c:v>
                </c:pt>
                <c:pt idx="68">
                  <c:v>-1.0208599372727611</c:v>
                </c:pt>
                <c:pt idx="69">
                  <c:v>0.4633006827098437</c:v>
                </c:pt>
                <c:pt idx="70">
                  <c:v>1.712740033144921</c:v>
                </c:pt>
                <c:pt idx="71">
                  <c:v>0.70342741229587247</c:v>
                </c:pt>
                <c:pt idx="72">
                  <c:v>-1.0613752302783548</c:v>
                </c:pt>
                <c:pt idx="73">
                  <c:v>-2.4462329011128179</c:v>
                </c:pt>
                <c:pt idx="74">
                  <c:v>-3.3882399255836977</c:v>
                </c:pt>
                <c:pt idx="75">
                  <c:v>6.6504200477167927</c:v>
                </c:pt>
                <c:pt idx="76">
                  <c:v>5.0698928213965422</c:v>
                </c:pt>
                <c:pt idx="77">
                  <c:v>8.4372338510955913</c:v>
                </c:pt>
                <c:pt idx="78">
                  <c:v>5.0308734913608477</c:v>
                </c:pt>
                <c:pt idx="79">
                  <c:v>6.4568880776078128</c:v>
                </c:pt>
                <c:pt idx="80">
                  <c:v>5.5560914433165669</c:v>
                </c:pt>
                <c:pt idx="81">
                  <c:v>3.6606781897760667</c:v>
                </c:pt>
                <c:pt idx="82">
                  <c:v>2.1454884537595929</c:v>
                </c:pt>
                <c:pt idx="83">
                  <c:v>10.615531181008384</c:v>
                </c:pt>
                <c:pt idx="84">
                  <c:v>10.930021942180321</c:v>
                </c:pt>
                <c:pt idx="85">
                  <c:v>19.043006501564882</c:v>
                </c:pt>
                <c:pt idx="86">
                  <c:v>23.661199808387906</c:v>
                </c:pt>
                <c:pt idx="87">
                  <c:v>22.969193934653873</c:v>
                </c:pt>
                <c:pt idx="88">
                  <c:v>21.785955061715516</c:v>
                </c:pt>
                <c:pt idx="89">
                  <c:v>26.359608108280113</c:v>
                </c:pt>
                <c:pt idx="90">
                  <c:v>30.646064254279271</c:v>
                </c:pt>
                <c:pt idx="91">
                  <c:v>27.144887690434917</c:v>
                </c:pt>
                <c:pt idx="92">
                  <c:v>30.724223901899457</c:v>
                </c:pt>
                <c:pt idx="93">
                  <c:v>32.074346944641768</c:v>
                </c:pt>
                <c:pt idx="94">
                  <c:v>29.169266431824088</c:v>
                </c:pt>
                <c:pt idx="95">
                  <c:v>25.909272183480063</c:v>
                </c:pt>
                <c:pt idx="96">
                  <c:v>25.73820079824295</c:v>
                </c:pt>
                <c:pt idx="97">
                  <c:v>26.885709018808896</c:v>
                </c:pt>
                <c:pt idx="98">
                  <c:v>25.857286122205032</c:v>
                </c:pt>
                <c:pt idx="99">
                  <c:v>26.818002504315796</c:v>
                </c:pt>
                <c:pt idx="100">
                  <c:v>22.017042171261782</c:v>
                </c:pt>
                <c:pt idx="101">
                  <c:v>16.745243514793788</c:v>
                </c:pt>
                <c:pt idx="102">
                  <c:v>19.61680954571333</c:v>
                </c:pt>
                <c:pt idx="103">
                  <c:v>14.544789806461331</c:v>
                </c:pt>
                <c:pt idx="104">
                  <c:v>17.894573325474735</c:v>
                </c:pt>
                <c:pt idx="105">
                  <c:v>16.033640713527497</c:v>
                </c:pt>
                <c:pt idx="106">
                  <c:v>17.838237352547541</c:v>
                </c:pt>
                <c:pt idx="107">
                  <c:v>13.514689181380193</c:v>
                </c:pt>
                <c:pt idx="108">
                  <c:v>16.004226360566616</c:v>
                </c:pt>
                <c:pt idx="109">
                  <c:v>20.562903905901738</c:v>
                </c:pt>
                <c:pt idx="110">
                  <c:v>20.505170665492034</c:v>
                </c:pt>
                <c:pt idx="111">
                  <c:v>20.88782679335441</c:v>
                </c:pt>
                <c:pt idx="112">
                  <c:v>18.65335992503077</c:v>
                </c:pt>
                <c:pt idx="113">
                  <c:v>22.019601080582966</c:v>
                </c:pt>
                <c:pt idx="114">
                  <c:v>19.966472443197773</c:v>
                </c:pt>
                <c:pt idx="115">
                  <c:v>27.075378908787606</c:v>
                </c:pt>
                <c:pt idx="116">
                  <c:v>23.201200002834913</c:v>
                </c:pt>
                <c:pt idx="117">
                  <c:v>25.453881720973531</c:v>
                </c:pt>
                <c:pt idx="118">
                  <c:v>24.46070457366638</c:v>
                </c:pt>
                <c:pt idx="119">
                  <c:v>21.177871061785851</c:v>
                </c:pt>
                <c:pt idx="120">
                  <c:v>28.93774253870583</c:v>
                </c:pt>
                <c:pt idx="121">
                  <c:v>27.56562805707642</c:v>
                </c:pt>
                <c:pt idx="122">
                  <c:v>38.229673869435814</c:v>
                </c:pt>
                <c:pt idx="123">
                  <c:v>29.106030981904901</c:v>
                </c:pt>
                <c:pt idx="124">
                  <c:v>37.245806884198103</c:v>
                </c:pt>
                <c:pt idx="125">
                  <c:v>43.762096945487386</c:v>
                </c:pt>
                <c:pt idx="126">
                  <c:v>46.866816306338904</c:v>
                </c:pt>
                <c:pt idx="127">
                  <c:v>48.45784759988036</c:v>
                </c:pt>
                <c:pt idx="128">
                  <c:v>42.698376744238438</c:v>
                </c:pt>
                <c:pt idx="129">
                  <c:v>43.855677658614525</c:v>
                </c:pt>
                <c:pt idx="130">
                  <c:v>42.607810515921074</c:v>
                </c:pt>
                <c:pt idx="131">
                  <c:v>37.301353510995753</c:v>
                </c:pt>
                <c:pt idx="132">
                  <c:v>33.41136757144875</c:v>
                </c:pt>
                <c:pt idx="133">
                  <c:v>43.627595586840954</c:v>
                </c:pt>
                <c:pt idx="134">
                  <c:v>35.314547274177322</c:v>
                </c:pt>
                <c:pt idx="135">
                  <c:v>36.720832004026001</c:v>
                </c:pt>
                <c:pt idx="136">
                  <c:v>40.120127232433575</c:v>
                </c:pt>
                <c:pt idx="137">
                  <c:v>31.55111851059333</c:v>
                </c:pt>
                <c:pt idx="138">
                  <c:v>34.637783570014044</c:v>
                </c:pt>
                <c:pt idx="139">
                  <c:v>34.757180749322124</c:v>
                </c:pt>
                <c:pt idx="140">
                  <c:v>34.48638199581584</c:v>
                </c:pt>
                <c:pt idx="141">
                  <c:v>36.875435584660416</c:v>
                </c:pt>
                <c:pt idx="142">
                  <c:v>29.731738646717133</c:v>
                </c:pt>
                <c:pt idx="143">
                  <c:v>22.268186917412699</c:v>
                </c:pt>
                <c:pt idx="144">
                  <c:v>21.803984763971926</c:v>
                </c:pt>
                <c:pt idx="145">
                  <c:v>19.67512057096226</c:v>
                </c:pt>
                <c:pt idx="146">
                  <c:v>34.485453304350322</c:v>
                </c:pt>
                <c:pt idx="147">
                  <c:v>36.305223223940168</c:v>
                </c:pt>
                <c:pt idx="148">
                  <c:v>33.600898917976473</c:v>
                </c:pt>
                <c:pt idx="149">
                  <c:v>27.27227130320583</c:v>
                </c:pt>
                <c:pt idx="150">
                  <c:v>21.749721094448287</c:v>
                </c:pt>
                <c:pt idx="151">
                  <c:v>20.530212714099672</c:v>
                </c:pt>
                <c:pt idx="152">
                  <c:v>31.10353654101073</c:v>
                </c:pt>
                <c:pt idx="153">
                  <c:v>28.765159822120161</c:v>
                </c:pt>
                <c:pt idx="154">
                  <c:v>22.674230553512707</c:v>
                </c:pt>
                <c:pt idx="155">
                  <c:v>32.800798605433826</c:v>
                </c:pt>
                <c:pt idx="156">
                  <c:v>28.69603756921062</c:v>
                </c:pt>
                <c:pt idx="157">
                  <c:v>30.680230958666176</c:v>
                </c:pt>
                <c:pt idx="158">
                  <c:v>36.72174888938617</c:v>
                </c:pt>
                <c:pt idx="159">
                  <c:v>38.039644689384147</c:v>
                </c:pt>
                <c:pt idx="160">
                  <c:v>41.978013986768552</c:v>
                </c:pt>
                <c:pt idx="161">
                  <c:v>32.341501741738384</c:v>
                </c:pt>
                <c:pt idx="162">
                  <c:v>26.057936744428865</c:v>
                </c:pt>
                <c:pt idx="163">
                  <c:v>17.823599267973869</c:v>
                </c:pt>
                <c:pt idx="164">
                  <c:v>22.699660501585985</c:v>
                </c:pt>
                <c:pt idx="165">
                  <c:v>19.087655844470834</c:v>
                </c:pt>
                <c:pt idx="166">
                  <c:v>28.206503266163413</c:v>
                </c:pt>
                <c:pt idx="167">
                  <c:v>28.668192769862564</c:v>
                </c:pt>
                <c:pt idx="168">
                  <c:v>30.374475695589958</c:v>
                </c:pt>
                <c:pt idx="169">
                  <c:v>38.51825611141318</c:v>
                </c:pt>
                <c:pt idx="170">
                  <c:v>42.846955288275936</c:v>
                </c:pt>
                <c:pt idx="171">
                  <c:v>39.187677901643525</c:v>
                </c:pt>
                <c:pt idx="172">
                  <c:v>39.679034691673863</c:v>
                </c:pt>
                <c:pt idx="173">
                  <c:v>43.398344565261048</c:v>
                </c:pt>
                <c:pt idx="174">
                  <c:v>36.979029844913839</c:v>
                </c:pt>
                <c:pt idx="175">
                  <c:v>39.266580653487949</c:v>
                </c:pt>
                <c:pt idx="176">
                  <c:v>38.805747034418516</c:v>
                </c:pt>
                <c:pt idx="177">
                  <c:v>37.69742653501882</c:v>
                </c:pt>
                <c:pt idx="178">
                  <c:v>42.098021086903245</c:v>
                </c:pt>
                <c:pt idx="179">
                  <c:v>41.867665882157752</c:v>
                </c:pt>
                <c:pt idx="180">
                  <c:v>40.338730524673579</c:v>
                </c:pt>
                <c:pt idx="181">
                  <c:v>37.244037758894578</c:v>
                </c:pt>
                <c:pt idx="182">
                  <c:v>34.695998379345234</c:v>
                </c:pt>
                <c:pt idx="183">
                  <c:v>30.197729944501067</c:v>
                </c:pt>
                <c:pt idx="184">
                  <c:v>36.414668914330584</c:v>
                </c:pt>
                <c:pt idx="185">
                  <c:v>35.896945282557375</c:v>
                </c:pt>
                <c:pt idx="186">
                  <c:v>30.457551497006524</c:v>
                </c:pt>
                <c:pt idx="187">
                  <c:v>29.543932839964913</c:v>
                </c:pt>
                <c:pt idx="188">
                  <c:v>28.328608104092833</c:v>
                </c:pt>
                <c:pt idx="189">
                  <c:v>27.538322629200056</c:v>
                </c:pt>
                <c:pt idx="190">
                  <c:v>22.791029451327475</c:v>
                </c:pt>
                <c:pt idx="191">
                  <c:v>21.422954581614146</c:v>
                </c:pt>
                <c:pt idx="192">
                  <c:v>19.028529492418507</c:v>
                </c:pt>
                <c:pt idx="193">
                  <c:v>21.583856554725457</c:v>
                </c:pt>
                <c:pt idx="194">
                  <c:v>21.010561017441788</c:v>
                </c:pt>
                <c:pt idx="195">
                  <c:v>30.379999768811096</c:v>
                </c:pt>
                <c:pt idx="196">
                  <c:v>32.133005659737094</c:v>
                </c:pt>
                <c:pt idx="197">
                  <c:v>27.457869855820398</c:v>
                </c:pt>
                <c:pt idx="198">
                  <c:v>28.594646507518025</c:v>
                </c:pt>
                <c:pt idx="199">
                  <c:v>35.719984388159901</c:v>
                </c:pt>
                <c:pt idx="200">
                  <c:v>37.699929967868634</c:v>
                </c:pt>
                <c:pt idx="201">
                  <c:v>36.278977000217267</c:v>
                </c:pt>
                <c:pt idx="202">
                  <c:v>32.700408708596008</c:v>
                </c:pt>
                <c:pt idx="203">
                  <c:v>29.285510394734366</c:v>
                </c:pt>
                <c:pt idx="204">
                  <c:v>31.08611688599547</c:v>
                </c:pt>
                <c:pt idx="205">
                  <c:v>23.548372001275382</c:v>
                </c:pt>
                <c:pt idx="206">
                  <c:v>22.667682186154643</c:v>
                </c:pt>
                <c:pt idx="207">
                  <c:v>24.719168277648805</c:v>
                </c:pt>
                <c:pt idx="208">
                  <c:v>35.499544587094114</c:v>
                </c:pt>
                <c:pt idx="209">
                  <c:v>36.916486337395824</c:v>
                </c:pt>
                <c:pt idx="210">
                  <c:v>41.28211779879598</c:v>
                </c:pt>
                <c:pt idx="211">
                  <c:v>40.172938794885205</c:v>
                </c:pt>
                <c:pt idx="212">
                  <c:v>39.938181758376146</c:v>
                </c:pt>
                <c:pt idx="213">
                  <c:v>33.636913144435567</c:v>
                </c:pt>
                <c:pt idx="214">
                  <c:v>31.827712923019313</c:v>
                </c:pt>
                <c:pt idx="215">
                  <c:v>27.734696171611095</c:v>
                </c:pt>
                <c:pt idx="216">
                  <c:v>21.524583923885245</c:v>
                </c:pt>
                <c:pt idx="217">
                  <c:v>16.084875985423398</c:v>
                </c:pt>
                <c:pt idx="218">
                  <c:v>15.928086026360846</c:v>
                </c:pt>
                <c:pt idx="219">
                  <c:v>11.840849135389751</c:v>
                </c:pt>
                <c:pt idx="220">
                  <c:v>5.920335009047351</c:v>
                </c:pt>
                <c:pt idx="221">
                  <c:v>1.0943536775226741</c:v>
                </c:pt>
                <c:pt idx="222">
                  <c:v>6.4454506763767574</c:v>
                </c:pt>
                <c:pt idx="223">
                  <c:v>15.579364900966851</c:v>
                </c:pt>
                <c:pt idx="224">
                  <c:v>16.577014887825424</c:v>
                </c:pt>
                <c:pt idx="225">
                  <c:v>17.030064930399611</c:v>
                </c:pt>
                <c:pt idx="226">
                  <c:v>10.282937997863547</c:v>
                </c:pt>
                <c:pt idx="227">
                  <c:v>6.8763519613141293</c:v>
                </c:pt>
                <c:pt idx="228">
                  <c:v>1.3565611553585022</c:v>
                </c:pt>
                <c:pt idx="229">
                  <c:v>2.0011445218950321</c:v>
                </c:pt>
                <c:pt idx="230">
                  <c:v>8.7854860381252902</c:v>
                </c:pt>
                <c:pt idx="231">
                  <c:v>20.079178906031483</c:v>
                </c:pt>
                <c:pt idx="232">
                  <c:v>23.846057250661371</c:v>
                </c:pt>
                <c:pt idx="233">
                  <c:v>21.431380449164298</c:v>
                </c:pt>
                <c:pt idx="234">
                  <c:v>25.630207591248201</c:v>
                </c:pt>
                <c:pt idx="235">
                  <c:v>24.801360537052439</c:v>
                </c:pt>
                <c:pt idx="236">
                  <c:v>21.871486224767274</c:v>
                </c:pt>
                <c:pt idx="237">
                  <c:v>16.209397864249659</c:v>
                </c:pt>
                <c:pt idx="238">
                  <c:v>20.65981375890706</c:v>
                </c:pt>
                <c:pt idx="239">
                  <c:v>16.475059789281005</c:v>
                </c:pt>
                <c:pt idx="240">
                  <c:v>12.156390632888224</c:v>
                </c:pt>
                <c:pt idx="241">
                  <c:v>6.5398795523876325</c:v>
                </c:pt>
                <c:pt idx="242">
                  <c:v>5.1707106401551481</c:v>
                </c:pt>
                <c:pt idx="243">
                  <c:v>1.2805834393799822</c:v>
                </c:pt>
                <c:pt idx="244">
                  <c:v>10.502555633940332</c:v>
                </c:pt>
                <c:pt idx="245">
                  <c:v>16.174652371161891</c:v>
                </c:pt>
                <c:pt idx="246">
                  <c:v>12.993781624104875</c:v>
                </c:pt>
                <c:pt idx="247">
                  <c:v>9.1654981415814074</c:v>
                </c:pt>
                <c:pt idx="248">
                  <c:v>7.0389631287770564</c:v>
                </c:pt>
                <c:pt idx="249">
                  <c:v>2.9369925585723387</c:v>
                </c:pt>
                <c:pt idx="250">
                  <c:v>7.7084258934956491</c:v>
                </c:pt>
                <c:pt idx="251">
                  <c:v>13.328445535017035</c:v>
                </c:pt>
                <c:pt idx="252">
                  <c:v>7.9409934991382656</c:v>
                </c:pt>
                <c:pt idx="253">
                  <c:v>9.3539538216302685</c:v>
                </c:pt>
                <c:pt idx="254">
                  <c:v>5.7774407928667584</c:v>
                </c:pt>
                <c:pt idx="255">
                  <c:v>3.5932764372147159</c:v>
                </c:pt>
                <c:pt idx="256">
                  <c:v>-0.30556075925054627</c:v>
                </c:pt>
                <c:pt idx="257">
                  <c:v>-3.7531084141030346</c:v>
                </c:pt>
                <c:pt idx="258">
                  <c:v>-0.90608046487726779</c:v>
                </c:pt>
                <c:pt idx="259">
                  <c:v>4.2614192143668124</c:v>
                </c:pt>
                <c:pt idx="260">
                  <c:v>0.89425744339525348</c:v>
                </c:pt>
                <c:pt idx="261">
                  <c:v>-3.8020011997138474</c:v>
                </c:pt>
                <c:pt idx="262">
                  <c:v>-4.5451576853456803</c:v>
                </c:pt>
                <c:pt idx="263">
                  <c:v>-7.7071216587543363</c:v>
                </c:pt>
                <c:pt idx="264">
                  <c:v>-9.5040778634760557</c:v>
                </c:pt>
                <c:pt idx="265">
                  <c:v>-10.504581961945693</c:v>
                </c:pt>
                <c:pt idx="266">
                  <c:v>-7.2388171421912118</c:v>
                </c:pt>
                <c:pt idx="267">
                  <c:v>-3.5588249623754264</c:v>
                </c:pt>
                <c:pt idx="268">
                  <c:v>-4.9764093927743485</c:v>
                </c:pt>
                <c:pt idx="269">
                  <c:v>-5.909247412935577</c:v>
                </c:pt>
                <c:pt idx="270">
                  <c:v>-7.2119738293666691</c:v>
                </c:pt>
                <c:pt idx="271">
                  <c:v>-6.9784344490479242</c:v>
                </c:pt>
                <c:pt idx="272">
                  <c:v>-4.5792843799051068</c:v>
                </c:pt>
                <c:pt idx="273">
                  <c:v>-6.6054591576259893</c:v>
                </c:pt>
                <c:pt idx="274">
                  <c:v>-6.4954289865431125</c:v>
                </c:pt>
                <c:pt idx="275">
                  <c:v>-7.026362793665232</c:v>
                </c:pt>
                <c:pt idx="276">
                  <c:v>-5.9387518294465949</c:v>
                </c:pt>
                <c:pt idx="277">
                  <c:v>-4.3166761655529893</c:v>
                </c:pt>
                <c:pt idx="278">
                  <c:v>-5.9482214163517195</c:v>
                </c:pt>
                <c:pt idx="279">
                  <c:v>-4.092228344517058</c:v>
                </c:pt>
                <c:pt idx="280">
                  <c:v>-3.4690843733115999</c:v>
                </c:pt>
                <c:pt idx="281">
                  <c:v>-6.1938876928746849</c:v>
                </c:pt>
                <c:pt idx="282">
                  <c:v>-7.4471948188081534</c:v>
                </c:pt>
                <c:pt idx="283">
                  <c:v>-7.7118900300317765</c:v>
                </c:pt>
                <c:pt idx="284">
                  <c:v>-8.2662992325609235</c:v>
                </c:pt>
                <c:pt idx="285">
                  <c:v>-10.982151565064825</c:v>
                </c:pt>
                <c:pt idx="286">
                  <c:v>-8.1287853218465305</c:v>
                </c:pt>
                <c:pt idx="287">
                  <c:v>-10.461529631972578</c:v>
                </c:pt>
                <c:pt idx="288">
                  <c:v>-5.6935567798439619</c:v>
                </c:pt>
                <c:pt idx="289">
                  <c:v>-6.8114054425488497</c:v>
                </c:pt>
                <c:pt idx="290">
                  <c:v>-9.4402291401157381</c:v>
                </c:pt>
                <c:pt idx="291">
                  <c:v>-9.2969086921061272</c:v>
                </c:pt>
                <c:pt idx="292">
                  <c:v>-11.251874149363799</c:v>
                </c:pt>
                <c:pt idx="293">
                  <c:v>-10.500900575375756</c:v>
                </c:pt>
                <c:pt idx="294">
                  <c:v>-8.8919461761010083</c:v>
                </c:pt>
                <c:pt idx="295">
                  <c:v>-8.9926134381965959</c:v>
                </c:pt>
                <c:pt idx="296">
                  <c:v>-7.7322555428688418</c:v>
                </c:pt>
                <c:pt idx="297">
                  <c:v>-8.1625283105928794</c:v>
                </c:pt>
                <c:pt idx="298">
                  <c:v>-11.483360474487405</c:v>
                </c:pt>
                <c:pt idx="299">
                  <c:v>-12.124021924090995</c:v>
                </c:pt>
                <c:pt idx="300">
                  <c:v>-12.894331016170657</c:v>
                </c:pt>
                <c:pt idx="301">
                  <c:v>-12.232137664898673</c:v>
                </c:pt>
                <c:pt idx="302">
                  <c:v>-13.444863086736436</c:v>
                </c:pt>
                <c:pt idx="303">
                  <c:v>-5.1439637395218636</c:v>
                </c:pt>
                <c:pt idx="304">
                  <c:v>-4.0528636654428647</c:v>
                </c:pt>
                <c:pt idx="305">
                  <c:v>-4.4583645917430701</c:v>
                </c:pt>
                <c:pt idx="306">
                  <c:v>-7.1717498928296557</c:v>
                </c:pt>
                <c:pt idx="307">
                  <c:v>-9.1661246869387547</c:v>
                </c:pt>
                <c:pt idx="308">
                  <c:v>-10.91985857131214</c:v>
                </c:pt>
                <c:pt idx="309">
                  <c:v>0.72869527953370128</c:v>
                </c:pt>
                <c:pt idx="310">
                  <c:v>1.4591918069535688</c:v>
                </c:pt>
                <c:pt idx="311">
                  <c:v>-0.21740700658093928</c:v>
                </c:pt>
                <c:pt idx="312">
                  <c:v>5.5723699661241186</c:v>
                </c:pt>
                <c:pt idx="313">
                  <c:v>7.9828634289294902</c:v>
                </c:pt>
                <c:pt idx="314">
                  <c:v>6.9678308153142687</c:v>
                </c:pt>
                <c:pt idx="315">
                  <c:v>2.9673839502166999</c:v>
                </c:pt>
                <c:pt idx="316">
                  <c:v>11.77414300472447</c:v>
                </c:pt>
                <c:pt idx="317">
                  <c:v>13.539115257270776</c:v>
                </c:pt>
                <c:pt idx="318">
                  <c:v>14.618317667039726</c:v>
                </c:pt>
                <c:pt idx="319">
                  <c:v>11.945447615188144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7A-D146-9372-905ECCFEE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889694343762601"/>
          <c:y val="0.20035596321915899"/>
          <c:w val="0.65156849851686605"/>
          <c:h val="0.60479122848313205"/>
        </c:manualLayout>
      </c:layout>
      <c:scatterChart>
        <c:scatterStyle val="lineMarker"/>
        <c:varyColors val="0"/>
        <c:ser>
          <c:idx val="0"/>
          <c:order val="0"/>
          <c:tx>
            <c:v>mScarlet</c:v>
          </c:tx>
          <c:marker>
            <c:symbol val="none"/>
          </c:marker>
          <c:xVal>
            <c:numRef>
              <c:f>'240816B017'!$A$2:$A$321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'240816B017'!$J$2:$J$321</c:f>
              <c:numCache>
                <c:formatCode>0.0</c:formatCode>
                <c:ptCount val="320"/>
                <c:pt idx="0">
                  <c:v>1846.1965143892901</c:v>
                </c:pt>
                <c:pt idx="1">
                  <c:v>1728.1355206558701</c:v>
                </c:pt>
                <c:pt idx="2">
                  <c:v>1809.2068258962699</c:v>
                </c:pt>
                <c:pt idx="3">
                  <c:v>2283.1038540280401</c:v>
                </c:pt>
                <c:pt idx="4">
                  <c:v>2562.8656417396801</c:v>
                </c:pt>
                <c:pt idx="5">
                  <c:v>2637.60408732934</c:v>
                </c:pt>
                <c:pt idx="6">
                  <c:v>2551.17391088369</c:v>
                </c:pt>
                <c:pt idx="7">
                  <c:v>2067.6203759405998</c:v>
                </c:pt>
                <c:pt idx="8">
                  <c:v>2061.6675603603003</c:v>
                </c:pt>
                <c:pt idx="9">
                  <c:v>1864.4046157346299</c:v>
                </c:pt>
                <c:pt idx="10">
                  <c:v>1902.17494686487</c:v>
                </c:pt>
                <c:pt idx="11">
                  <c:v>2006.0371917296102</c:v>
                </c:pt>
                <c:pt idx="12">
                  <c:v>1768.31387302557</c:v>
                </c:pt>
                <c:pt idx="13">
                  <c:v>1780.3661152377299</c:v>
                </c:pt>
                <c:pt idx="14">
                  <c:v>1711.56166694744</c:v>
                </c:pt>
                <c:pt idx="15">
                  <c:v>1795.3910205556899</c:v>
                </c:pt>
                <c:pt idx="16">
                  <c:v>1820.8402424994799</c:v>
                </c:pt>
                <c:pt idx="17">
                  <c:v>1870.3152643316898</c:v>
                </c:pt>
                <c:pt idx="18">
                  <c:v>1802.5999794162301</c:v>
                </c:pt>
                <c:pt idx="19">
                  <c:v>1863.3601806741501</c:v>
                </c:pt>
                <c:pt idx="20">
                  <c:v>1893.2330408432299</c:v>
                </c:pt>
                <c:pt idx="21">
                  <c:v>1804.08165285222</c:v>
                </c:pt>
                <c:pt idx="22">
                  <c:v>1721.8273451463301</c:v>
                </c:pt>
                <c:pt idx="23">
                  <c:v>1676.84191831559</c:v>
                </c:pt>
                <c:pt idx="24">
                  <c:v>1656.3508037448601</c:v>
                </c:pt>
                <c:pt idx="25">
                  <c:v>1731.4998595258</c:v>
                </c:pt>
                <c:pt idx="26">
                  <c:v>1724.7736881896899</c:v>
                </c:pt>
                <c:pt idx="27">
                  <c:v>1979.6554577075001</c:v>
                </c:pt>
                <c:pt idx="28">
                  <c:v>2086.4914155638298</c:v>
                </c:pt>
                <c:pt idx="29">
                  <c:v>2090.4557450745701</c:v>
                </c:pt>
                <c:pt idx="30">
                  <c:v>2010.0664826975899</c:v>
                </c:pt>
                <c:pt idx="31">
                  <c:v>2001.8744670630099</c:v>
                </c:pt>
                <c:pt idx="32">
                  <c:v>1945.8406663604701</c:v>
                </c:pt>
                <c:pt idx="33">
                  <c:v>1950.9126527272699</c:v>
                </c:pt>
                <c:pt idx="34">
                  <c:v>1970.3209001120099</c:v>
                </c:pt>
                <c:pt idx="35">
                  <c:v>1962.8520927943598</c:v>
                </c:pt>
                <c:pt idx="36">
                  <c:v>1971.7959196279801</c:v>
                </c:pt>
                <c:pt idx="37">
                  <c:v>1873.0698961409098</c:v>
                </c:pt>
                <c:pt idx="38">
                  <c:v>1887.8395441741</c:v>
                </c:pt>
                <c:pt idx="39">
                  <c:v>1883.68741200827</c:v>
                </c:pt>
                <c:pt idx="40">
                  <c:v>1867.5204904408699</c:v>
                </c:pt>
                <c:pt idx="41">
                  <c:v>1826.0208855292399</c:v>
                </c:pt>
                <c:pt idx="42">
                  <c:v>1830.93394054334</c:v>
                </c:pt>
                <c:pt idx="43">
                  <c:v>1831.9911578542001</c:v>
                </c:pt>
                <c:pt idx="44">
                  <c:v>1911.8128541320098</c:v>
                </c:pt>
                <c:pt idx="45">
                  <c:v>1898.67865827988</c:v>
                </c:pt>
                <c:pt idx="46">
                  <c:v>1817.39541023118</c:v>
                </c:pt>
                <c:pt idx="47">
                  <c:v>1803.88680854423</c:v>
                </c:pt>
                <c:pt idx="48">
                  <c:v>1813.8015879828001</c:v>
                </c:pt>
                <c:pt idx="49">
                  <c:v>1838.3039670278799</c:v>
                </c:pt>
                <c:pt idx="50">
                  <c:v>1853.59112338613</c:v>
                </c:pt>
                <c:pt idx="51">
                  <c:v>1829.7606885028299</c:v>
                </c:pt>
                <c:pt idx="52">
                  <c:v>1845.9369278882</c:v>
                </c:pt>
                <c:pt idx="53">
                  <c:v>1843.85199104101</c:v>
                </c:pt>
                <c:pt idx="54">
                  <c:v>1851.3318115619099</c:v>
                </c:pt>
                <c:pt idx="55">
                  <c:v>1882.28974608372</c:v>
                </c:pt>
                <c:pt idx="56">
                  <c:v>1787.08027390283</c:v>
                </c:pt>
                <c:pt idx="57">
                  <c:v>1793.9899158265998</c:v>
                </c:pt>
                <c:pt idx="58">
                  <c:v>1794.9257202766801</c:v>
                </c:pt>
                <c:pt idx="59">
                  <c:v>1689.8783372365301</c:v>
                </c:pt>
                <c:pt idx="60">
                  <c:v>1730.9031643157</c:v>
                </c:pt>
                <c:pt idx="61">
                  <c:v>1735.5918019170902</c:v>
                </c:pt>
                <c:pt idx="62">
                  <c:v>1716.77094295541</c:v>
                </c:pt>
                <c:pt idx="63">
                  <c:v>1822.7568330886202</c:v>
                </c:pt>
                <c:pt idx="64">
                  <c:v>1851.8821821379101</c:v>
                </c:pt>
                <c:pt idx="65">
                  <c:v>1808.2737421337101</c:v>
                </c:pt>
                <c:pt idx="66">
                  <c:v>1813.6405281125701</c:v>
                </c:pt>
                <c:pt idx="67">
                  <c:v>1821.85038168144</c:v>
                </c:pt>
                <c:pt idx="68">
                  <c:v>1865.2054641643199</c:v>
                </c:pt>
                <c:pt idx="69">
                  <c:v>1869.9743202867901</c:v>
                </c:pt>
                <c:pt idx="70">
                  <c:v>1810.46899397831</c:v>
                </c:pt>
                <c:pt idx="71">
                  <c:v>1793.1193823083699</c:v>
                </c:pt>
                <c:pt idx="72">
                  <c:v>1778.1639371399299</c:v>
                </c:pt>
                <c:pt idx="73">
                  <c:v>1841.6161041625601</c:v>
                </c:pt>
                <c:pt idx="74">
                  <c:v>1812.2964225334199</c:v>
                </c:pt>
                <c:pt idx="75">
                  <c:v>1801.7333982811899</c:v>
                </c:pt>
                <c:pt idx="76">
                  <c:v>1773.4140735031801</c:v>
                </c:pt>
                <c:pt idx="77">
                  <c:v>1826.11021951096</c:v>
                </c:pt>
                <c:pt idx="78">
                  <c:v>1947.13269027769</c:v>
                </c:pt>
                <c:pt idx="79">
                  <c:v>1808.42267502504</c:v>
                </c:pt>
                <c:pt idx="80">
                  <c:v>1787.04663188772</c:v>
                </c:pt>
                <c:pt idx="81">
                  <c:v>1886.90283688618</c:v>
                </c:pt>
                <c:pt idx="82">
                  <c:v>1886.38305392959</c:v>
                </c:pt>
                <c:pt idx="83">
                  <c:v>2070.2493335999297</c:v>
                </c:pt>
                <c:pt idx="84">
                  <c:v>1861.08436309951</c:v>
                </c:pt>
                <c:pt idx="85">
                  <c:v>1918.5146692461999</c:v>
                </c:pt>
                <c:pt idx="86">
                  <c:v>1853.08725588021</c:v>
                </c:pt>
                <c:pt idx="87">
                  <c:v>1806.2852659267501</c:v>
                </c:pt>
                <c:pt idx="88">
                  <c:v>1920.55744665167</c:v>
                </c:pt>
                <c:pt idx="89">
                  <c:v>1866.2932313588001</c:v>
                </c:pt>
                <c:pt idx="90">
                  <c:v>2068.8660667671097</c:v>
                </c:pt>
                <c:pt idx="91">
                  <c:v>2074.2399173344002</c:v>
                </c:pt>
                <c:pt idx="92">
                  <c:v>2138.5925607753002</c:v>
                </c:pt>
                <c:pt idx="93">
                  <c:v>2082.09181833095</c:v>
                </c:pt>
                <c:pt idx="94">
                  <c:v>2060.7164604999398</c:v>
                </c:pt>
                <c:pt idx="95">
                  <c:v>2345.7790446485096</c:v>
                </c:pt>
                <c:pt idx="96">
                  <c:v>2332.2357208486501</c:v>
                </c:pt>
                <c:pt idx="97">
                  <c:v>2271.2947650310002</c:v>
                </c:pt>
                <c:pt idx="98">
                  <c:v>2352.2537282608801</c:v>
                </c:pt>
                <c:pt idx="99">
                  <c:v>2263.2907163594</c:v>
                </c:pt>
                <c:pt idx="100">
                  <c:v>2269.4336111426296</c:v>
                </c:pt>
                <c:pt idx="101">
                  <c:v>2015.3232121801802</c:v>
                </c:pt>
                <c:pt idx="102">
                  <c:v>1937.0714758040301</c:v>
                </c:pt>
                <c:pt idx="103">
                  <c:v>1806.0299512315601</c:v>
                </c:pt>
                <c:pt idx="104">
                  <c:v>1959.7891353129503</c:v>
                </c:pt>
                <c:pt idx="105">
                  <c:v>2077.0894753744897</c:v>
                </c:pt>
                <c:pt idx="106">
                  <c:v>2056.31008361668</c:v>
                </c:pt>
                <c:pt idx="107">
                  <c:v>2162.2122314221197</c:v>
                </c:pt>
                <c:pt idx="108">
                  <c:v>2098.7748219023001</c:v>
                </c:pt>
                <c:pt idx="109">
                  <c:v>2146.00458841913</c:v>
                </c:pt>
                <c:pt idx="110">
                  <c:v>2208.9198001324698</c:v>
                </c:pt>
                <c:pt idx="111">
                  <c:v>2059.0555067844703</c:v>
                </c:pt>
                <c:pt idx="112">
                  <c:v>2052.5658327722099</c:v>
                </c:pt>
                <c:pt idx="113">
                  <c:v>2098.5127122109302</c:v>
                </c:pt>
                <c:pt idx="114">
                  <c:v>1935.5724891150803</c:v>
                </c:pt>
                <c:pt idx="115">
                  <c:v>1895.11822186315</c:v>
                </c:pt>
                <c:pt idx="116">
                  <c:v>1901.7882188964102</c:v>
                </c:pt>
                <c:pt idx="117">
                  <c:v>1962.6857318535799</c:v>
                </c:pt>
                <c:pt idx="118">
                  <c:v>1954.5934375644699</c:v>
                </c:pt>
                <c:pt idx="119">
                  <c:v>1896.1538196123499</c:v>
                </c:pt>
                <c:pt idx="120">
                  <c:v>2009.5440210392198</c:v>
                </c:pt>
                <c:pt idx="121">
                  <c:v>1890.9143908562</c:v>
                </c:pt>
                <c:pt idx="122">
                  <c:v>2089.4001491547701</c:v>
                </c:pt>
                <c:pt idx="123">
                  <c:v>1977.2675946033901</c:v>
                </c:pt>
                <c:pt idx="124">
                  <c:v>1860.7451123050701</c:v>
                </c:pt>
                <c:pt idx="125">
                  <c:v>1962.3946690821099</c:v>
                </c:pt>
                <c:pt idx="126">
                  <c:v>2102.0096496300898</c:v>
                </c:pt>
                <c:pt idx="127">
                  <c:v>1897.5743876567199</c:v>
                </c:pt>
                <c:pt idx="128">
                  <c:v>1937.06950268631</c:v>
                </c:pt>
                <c:pt idx="129">
                  <c:v>1848.86897093269</c:v>
                </c:pt>
                <c:pt idx="130">
                  <c:v>1933.3669003994901</c:v>
                </c:pt>
                <c:pt idx="131">
                  <c:v>1848.61668498784</c:v>
                </c:pt>
                <c:pt idx="132">
                  <c:v>1748.5139224776299</c:v>
                </c:pt>
                <c:pt idx="133">
                  <c:v>1758.08946852745</c:v>
                </c:pt>
                <c:pt idx="134">
                  <c:v>1731.9429861874401</c:v>
                </c:pt>
                <c:pt idx="135">
                  <c:v>1818.22979735224</c:v>
                </c:pt>
                <c:pt idx="136">
                  <c:v>1869.7721430961399</c:v>
                </c:pt>
                <c:pt idx="137">
                  <c:v>1835.09484299573</c:v>
                </c:pt>
                <c:pt idx="138">
                  <c:v>1723.5652607178499</c:v>
                </c:pt>
                <c:pt idx="139">
                  <c:v>1769.85032730375</c:v>
                </c:pt>
                <c:pt idx="140">
                  <c:v>1755.4087771013099</c:v>
                </c:pt>
                <c:pt idx="141">
                  <c:v>1725.3892832675699</c:v>
                </c:pt>
                <c:pt idx="142">
                  <c:v>1692.22563382782</c:v>
                </c:pt>
                <c:pt idx="143">
                  <c:v>1667.94494385045</c:v>
                </c:pt>
                <c:pt idx="144">
                  <c:v>1769.70397947693</c:v>
                </c:pt>
                <c:pt idx="145">
                  <c:v>1908.3028166301999</c:v>
                </c:pt>
                <c:pt idx="146">
                  <c:v>1950.0403713106202</c:v>
                </c:pt>
                <c:pt idx="147">
                  <c:v>1721.9785478189001</c:v>
                </c:pt>
                <c:pt idx="148">
                  <c:v>1680.2019630763202</c:v>
                </c:pt>
                <c:pt idx="149">
                  <c:v>1978.89350172072</c:v>
                </c:pt>
                <c:pt idx="150">
                  <c:v>1923.0559518312202</c:v>
                </c:pt>
                <c:pt idx="151">
                  <c:v>2013.3651114336001</c:v>
                </c:pt>
                <c:pt idx="152">
                  <c:v>1941.1151416600301</c:v>
                </c:pt>
                <c:pt idx="153">
                  <c:v>1943.0730139880602</c:v>
                </c:pt>
                <c:pt idx="154">
                  <c:v>1975.9361668087199</c:v>
                </c:pt>
                <c:pt idx="155">
                  <c:v>2162.2810304449999</c:v>
                </c:pt>
                <c:pt idx="156">
                  <c:v>1940.9945276580299</c:v>
                </c:pt>
                <c:pt idx="157">
                  <c:v>1894.7906705302</c:v>
                </c:pt>
                <c:pt idx="158">
                  <c:v>1896.2976306683199</c:v>
                </c:pt>
                <c:pt idx="159">
                  <c:v>1992.8819459229801</c:v>
                </c:pt>
                <c:pt idx="160">
                  <c:v>2058.4354962329799</c:v>
                </c:pt>
                <c:pt idx="161">
                  <c:v>1960.4418141713702</c:v>
                </c:pt>
                <c:pt idx="162">
                  <c:v>2072.1277939654697</c:v>
                </c:pt>
                <c:pt idx="163">
                  <c:v>2153.08253484744</c:v>
                </c:pt>
                <c:pt idx="164">
                  <c:v>2255.9078208609099</c:v>
                </c:pt>
                <c:pt idx="165">
                  <c:v>2104.5344254162997</c:v>
                </c:pt>
                <c:pt idx="166">
                  <c:v>1985.14863875878</c:v>
                </c:pt>
                <c:pt idx="167">
                  <c:v>2071.5605217203197</c:v>
                </c:pt>
                <c:pt idx="168">
                  <c:v>2071.3688869786802</c:v>
                </c:pt>
                <c:pt idx="169">
                  <c:v>2071.3984939962997</c:v>
                </c:pt>
                <c:pt idx="170">
                  <c:v>2044.62243843996</c:v>
                </c:pt>
                <c:pt idx="171">
                  <c:v>2107.9885009002301</c:v>
                </c:pt>
                <c:pt idx="172">
                  <c:v>2168.3573384684601</c:v>
                </c:pt>
                <c:pt idx="173">
                  <c:v>2063.0390525374901</c:v>
                </c:pt>
                <c:pt idx="174">
                  <c:v>2107.6541301729098</c:v>
                </c:pt>
                <c:pt idx="175">
                  <c:v>1937.3795339007102</c:v>
                </c:pt>
                <c:pt idx="176">
                  <c:v>1874.21028731361</c:v>
                </c:pt>
                <c:pt idx="177">
                  <c:v>1810.05593476897</c:v>
                </c:pt>
                <c:pt idx="178">
                  <c:v>1744.7149663944099</c:v>
                </c:pt>
                <c:pt idx="179">
                  <c:v>1780.9467641514498</c:v>
                </c:pt>
                <c:pt idx="180">
                  <c:v>1810.50384132061</c:v>
                </c:pt>
                <c:pt idx="181">
                  <c:v>1810.0375278460201</c:v>
                </c:pt>
                <c:pt idx="182">
                  <c:v>1894.2591223342099</c:v>
                </c:pt>
                <c:pt idx="183">
                  <c:v>1967.3491856659598</c:v>
                </c:pt>
                <c:pt idx="184">
                  <c:v>1974.4317811323999</c:v>
                </c:pt>
                <c:pt idx="185">
                  <c:v>1904.9252972807401</c:v>
                </c:pt>
                <c:pt idx="186">
                  <c:v>1918.3832245849503</c:v>
                </c:pt>
                <c:pt idx="187">
                  <c:v>1927.0532112654203</c:v>
                </c:pt>
                <c:pt idx="188">
                  <c:v>2013.84372347625</c:v>
                </c:pt>
                <c:pt idx="189">
                  <c:v>1996.3753697141801</c:v>
                </c:pt>
                <c:pt idx="190">
                  <c:v>1995.8185563470799</c:v>
                </c:pt>
                <c:pt idx="191">
                  <c:v>1973.9894783879502</c:v>
                </c:pt>
                <c:pt idx="192">
                  <c:v>1966.3244932310599</c:v>
                </c:pt>
                <c:pt idx="193">
                  <c:v>1890.7636155626701</c:v>
                </c:pt>
                <c:pt idx="194">
                  <c:v>1873.9098922634801</c:v>
                </c:pt>
                <c:pt idx="195">
                  <c:v>1807.62985648227</c:v>
                </c:pt>
                <c:pt idx="196">
                  <c:v>1850.90816969918</c:v>
                </c:pt>
                <c:pt idx="197">
                  <c:v>1859.7807356577498</c:v>
                </c:pt>
                <c:pt idx="198">
                  <c:v>1837.3193132004301</c:v>
                </c:pt>
                <c:pt idx="199">
                  <c:v>1791.5486734634401</c:v>
                </c:pt>
                <c:pt idx="200">
                  <c:v>1744.79263246746</c:v>
                </c:pt>
                <c:pt idx="201">
                  <c:v>1756.4193380691402</c:v>
                </c:pt>
                <c:pt idx="202">
                  <c:v>1709.0935876086999</c:v>
                </c:pt>
                <c:pt idx="203">
                  <c:v>1730.8245296254001</c:v>
                </c:pt>
                <c:pt idx="204">
                  <c:v>1771.3137493787801</c:v>
                </c:pt>
                <c:pt idx="205">
                  <c:v>1721.0311189876802</c:v>
                </c:pt>
                <c:pt idx="206">
                  <c:v>1707.58504424386</c:v>
                </c:pt>
                <c:pt idx="207">
                  <c:v>1620.1707041684899</c:v>
                </c:pt>
                <c:pt idx="208">
                  <c:v>1635.20230842515</c:v>
                </c:pt>
                <c:pt idx="209">
                  <c:v>1723.6178064195801</c:v>
                </c:pt>
                <c:pt idx="210">
                  <c:v>1736.07470739723</c:v>
                </c:pt>
                <c:pt idx="211">
                  <c:v>1806.74255214863</c:v>
                </c:pt>
                <c:pt idx="212">
                  <c:v>1827.35893333697</c:v>
                </c:pt>
                <c:pt idx="213">
                  <c:v>2031.7205081422499</c:v>
                </c:pt>
                <c:pt idx="214">
                  <c:v>2039.08380704927</c:v>
                </c:pt>
                <c:pt idx="215">
                  <c:v>1992.5790257993799</c:v>
                </c:pt>
                <c:pt idx="216">
                  <c:v>1946.9117223846699</c:v>
                </c:pt>
                <c:pt idx="217">
                  <c:v>1927.3297189421698</c:v>
                </c:pt>
                <c:pt idx="218">
                  <c:v>1880.6989710410701</c:v>
                </c:pt>
                <c:pt idx="219">
                  <c:v>1860.2769437801401</c:v>
                </c:pt>
                <c:pt idx="220">
                  <c:v>1856.83060636755</c:v>
                </c:pt>
                <c:pt idx="221">
                  <c:v>1825.3786919787301</c:v>
                </c:pt>
                <c:pt idx="222">
                  <c:v>1877.29192106552</c:v>
                </c:pt>
                <c:pt idx="223">
                  <c:v>1880.03272540117</c:v>
                </c:pt>
                <c:pt idx="224">
                  <c:v>1887.8498533232701</c:v>
                </c:pt>
                <c:pt idx="225">
                  <c:v>1886.7986091610701</c:v>
                </c:pt>
                <c:pt idx="226">
                  <c:v>1974.94293102649</c:v>
                </c:pt>
                <c:pt idx="227">
                  <c:v>1881.7040354029</c:v>
                </c:pt>
                <c:pt idx="228">
                  <c:v>1926.0670445941701</c:v>
                </c:pt>
                <c:pt idx="229">
                  <c:v>1957.88736095271</c:v>
                </c:pt>
                <c:pt idx="230">
                  <c:v>1913.5222489279599</c:v>
                </c:pt>
                <c:pt idx="231">
                  <c:v>1934.9397591969598</c:v>
                </c:pt>
                <c:pt idx="232">
                  <c:v>1968.6072465394998</c:v>
                </c:pt>
                <c:pt idx="233">
                  <c:v>1934.83453189652</c:v>
                </c:pt>
                <c:pt idx="234">
                  <c:v>1955.18019852255</c:v>
                </c:pt>
                <c:pt idx="235">
                  <c:v>1880.54135305759</c:v>
                </c:pt>
                <c:pt idx="236">
                  <c:v>1876.54490584157</c:v>
                </c:pt>
                <c:pt idx="237">
                  <c:v>1898.9975473130899</c:v>
                </c:pt>
                <c:pt idx="238">
                  <c:v>1947.3493327093302</c:v>
                </c:pt>
                <c:pt idx="239">
                  <c:v>1933.5297447047801</c:v>
                </c:pt>
                <c:pt idx="240">
                  <c:v>1935.4870608558499</c:v>
                </c:pt>
                <c:pt idx="241">
                  <c:v>1917.7231241135999</c:v>
                </c:pt>
                <c:pt idx="242">
                  <c:v>1932.49811398065</c:v>
                </c:pt>
                <c:pt idx="243">
                  <c:v>1884.2966023158399</c:v>
                </c:pt>
                <c:pt idx="244">
                  <c:v>1922.0086675477201</c:v>
                </c:pt>
                <c:pt idx="245">
                  <c:v>1928.6152310305702</c:v>
                </c:pt>
                <c:pt idx="246">
                  <c:v>1943.5064653827001</c:v>
                </c:pt>
                <c:pt idx="247">
                  <c:v>1910.69039349174</c:v>
                </c:pt>
                <c:pt idx="248">
                  <c:v>1973.2413091308001</c:v>
                </c:pt>
                <c:pt idx="249">
                  <c:v>1886.1000808666299</c:v>
                </c:pt>
                <c:pt idx="250">
                  <c:v>1996.48045631219</c:v>
                </c:pt>
                <c:pt idx="251">
                  <c:v>1831.2767701139398</c:v>
                </c:pt>
                <c:pt idx="252">
                  <c:v>1850.9545780655899</c:v>
                </c:pt>
                <c:pt idx="253">
                  <c:v>1885.2283464433099</c:v>
                </c:pt>
                <c:pt idx="254">
                  <c:v>1778.7396932316401</c:v>
                </c:pt>
                <c:pt idx="255">
                  <c:v>1807.5216419631099</c:v>
                </c:pt>
                <c:pt idx="256">
                  <c:v>1797.7574400799699</c:v>
                </c:pt>
                <c:pt idx="257">
                  <c:v>1772.0875652722202</c:v>
                </c:pt>
                <c:pt idx="258">
                  <c:v>1776.7956633720398</c:v>
                </c:pt>
                <c:pt idx="259">
                  <c:v>1743.0621179437101</c:v>
                </c:pt>
                <c:pt idx="260">
                  <c:v>1844.31668638624</c:v>
                </c:pt>
                <c:pt idx="261">
                  <c:v>1864.4123665878499</c:v>
                </c:pt>
                <c:pt idx="262">
                  <c:v>1864.8491978311699</c:v>
                </c:pt>
                <c:pt idx="263">
                  <c:v>1861.30304531057</c:v>
                </c:pt>
                <c:pt idx="264">
                  <c:v>1883.4277478216202</c:v>
                </c:pt>
                <c:pt idx="265">
                  <c:v>1821.92532128519</c:v>
                </c:pt>
                <c:pt idx="266">
                  <c:v>1823.12796960789</c:v>
                </c:pt>
                <c:pt idx="267">
                  <c:v>1963.5898717028999</c:v>
                </c:pt>
                <c:pt idx="268">
                  <c:v>1845.3103870260099</c:v>
                </c:pt>
                <c:pt idx="269">
                  <c:v>1768.38188599041</c:v>
                </c:pt>
                <c:pt idx="270">
                  <c:v>1834.88072130046</c:v>
                </c:pt>
                <c:pt idx="271">
                  <c:v>1826.3391082857001</c:v>
                </c:pt>
                <c:pt idx="272">
                  <c:v>1829.90192936111</c:v>
                </c:pt>
                <c:pt idx="273">
                  <c:v>1917.3591593595202</c:v>
                </c:pt>
                <c:pt idx="274">
                  <c:v>1858.2017932030201</c:v>
                </c:pt>
                <c:pt idx="275">
                  <c:v>1817.5704890800801</c:v>
                </c:pt>
                <c:pt idx="276">
                  <c:v>1887.84049888351</c:v>
                </c:pt>
                <c:pt idx="277">
                  <c:v>1957.30647568218</c:v>
                </c:pt>
                <c:pt idx="278">
                  <c:v>1921.2261518980201</c:v>
                </c:pt>
                <c:pt idx="279">
                  <c:v>1950.7447162652202</c:v>
                </c:pt>
                <c:pt idx="280">
                  <c:v>1937.02468900234</c:v>
                </c:pt>
                <c:pt idx="281">
                  <c:v>1976.8460956096699</c:v>
                </c:pt>
                <c:pt idx="282">
                  <c:v>1957.0270357273598</c:v>
                </c:pt>
                <c:pt idx="283">
                  <c:v>1975.8303988402699</c:v>
                </c:pt>
                <c:pt idx="284">
                  <c:v>1899.67723024672</c:v>
                </c:pt>
                <c:pt idx="285">
                  <c:v>1905.8684644043201</c:v>
                </c:pt>
                <c:pt idx="286">
                  <c:v>1801.3987941760699</c:v>
                </c:pt>
                <c:pt idx="287">
                  <c:v>1766.4578994618498</c:v>
                </c:pt>
                <c:pt idx="288">
                  <c:v>1788.8597965797301</c:v>
                </c:pt>
                <c:pt idx="289">
                  <c:v>1711.6354528620202</c:v>
                </c:pt>
                <c:pt idx="290">
                  <c:v>1685.3861982462001</c:v>
                </c:pt>
                <c:pt idx="291">
                  <c:v>1714.6698104055999</c:v>
                </c:pt>
                <c:pt idx="292">
                  <c:v>1699.2044862668201</c:v>
                </c:pt>
                <c:pt idx="293">
                  <c:v>1777.0824898412002</c:v>
                </c:pt>
                <c:pt idx="294">
                  <c:v>1765.97583227981</c:v>
                </c:pt>
                <c:pt idx="295">
                  <c:v>1749.6471841688799</c:v>
                </c:pt>
                <c:pt idx="296">
                  <c:v>1746.9685049705602</c:v>
                </c:pt>
                <c:pt idx="297">
                  <c:v>1764.9936429642598</c:v>
                </c:pt>
                <c:pt idx="298">
                  <c:v>1751.14931227682</c:v>
                </c:pt>
                <c:pt idx="299">
                  <c:v>1756.1408975980301</c:v>
                </c:pt>
                <c:pt idx="300">
                  <c:v>1791.9938892457999</c:v>
                </c:pt>
                <c:pt idx="301">
                  <c:v>1792.7400751625601</c:v>
                </c:pt>
                <c:pt idx="302">
                  <c:v>1776.74944008073</c:v>
                </c:pt>
                <c:pt idx="303">
                  <c:v>1788.1522697284199</c:v>
                </c:pt>
                <c:pt idx="304">
                  <c:v>1798.1717852743</c:v>
                </c:pt>
                <c:pt idx="305">
                  <c:v>1939.6521652611102</c:v>
                </c:pt>
                <c:pt idx="306">
                  <c:v>1828.25244479811</c:v>
                </c:pt>
                <c:pt idx="307">
                  <c:v>1808.0276505192901</c:v>
                </c:pt>
                <c:pt idx="308">
                  <c:v>1836.7173228281702</c:v>
                </c:pt>
                <c:pt idx="309">
                  <c:v>1768.46912267533</c:v>
                </c:pt>
                <c:pt idx="310">
                  <c:v>1846.3190353831399</c:v>
                </c:pt>
                <c:pt idx="311">
                  <c:v>1813.33682365603</c:v>
                </c:pt>
                <c:pt idx="312">
                  <c:v>1785.4719700978101</c:v>
                </c:pt>
                <c:pt idx="313">
                  <c:v>1781.9171325215402</c:v>
                </c:pt>
                <c:pt idx="314">
                  <c:v>1827.14193466139</c:v>
                </c:pt>
                <c:pt idx="315">
                  <c:v>1827.2574694934299</c:v>
                </c:pt>
                <c:pt idx="316">
                  <c:v>1885.51985855675</c:v>
                </c:pt>
                <c:pt idx="317">
                  <c:v>1845.2996975702199</c:v>
                </c:pt>
                <c:pt idx="318">
                  <c:v>1807.2010066436499</c:v>
                </c:pt>
                <c:pt idx="319">
                  <c:v>1835.7563514684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75-DE49-81E3-F71201B1B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302160"/>
        <c:axId val="674749232"/>
      </c:scatterChart>
      <c:valAx>
        <c:axId val="674302160"/>
        <c:scaling>
          <c:orientation val="minMax"/>
          <c:max val="16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49587444918009099"/>
              <c:y val="0.904319983257905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749232"/>
        <c:crossesAt val="0"/>
        <c:crossBetween val="midCat"/>
        <c:majorUnit val="10"/>
      </c:valAx>
      <c:valAx>
        <c:axId val="674749232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mScarlet</a:t>
                </a:r>
              </a:p>
            </c:rich>
          </c:tx>
          <c:layout>
            <c:manualLayout>
              <c:xMode val="edge"/>
              <c:yMode val="edge"/>
              <c:x val="0.11342194610994701"/>
              <c:y val="0.3655863656577810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302160"/>
        <c:crossesAt val="0"/>
        <c:crossBetween val="midCat"/>
      </c:valAx>
      <c:spPr>
        <a:noFill/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corrected data</a:t>
            </a:r>
          </a:p>
        </c:rich>
      </c:tx>
      <c:layout>
        <c:manualLayout>
          <c:xMode val="edge"/>
          <c:yMode val="edge"/>
          <c:x val="0.46015862147666298"/>
          <c:y val="8.1002683653307303E-2"/>
        </c:manualLayout>
      </c:layout>
      <c:overlay val="1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889694343762601"/>
          <c:y val="0.19264140198482901"/>
          <c:w val="0.65156849851686605"/>
          <c:h val="0.61250578971746195"/>
        </c:manualLayout>
      </c:layout>
      <c:scatterChart>
        <c:scatterStyle val="lineMarker"/>
        <c:varyColors val="0"/>
        <c:ser>
          <c:idx val="1"/>
          <c:order val="0"/>
          <c:tx>
            <c:v>O2 Pulse Line</c:v>
          </c:tx>
          <c:marker>
            <c:symbol val="none"/>
          </c:marker>
          <c:xVal>
            <c:numRef>
              <c:f>'[1]Cond. B Template'!$A$82:$A$161</c:f>
              <c:numCache>
                <c:formatCode>General</c:formatCode>
                <c:ptCount val="80"/>
                <c:pt idx="0">
                  <c:v>40.5</c:v>
                </c:pt>
                <c:pt idx="1">
                  <c:v>41</c:v>
                </c:pt>
                <c:pt idx="2">
                  <c:v>41.5</c:v>
                </c:pt>
                <c:pt idx="3">
                  <c:v>42</c:v>
                </c:pt>
                <c:pt idx="4">
                  <c:v>42.5</c:v>
                </c:pt>
                <c:pt idx="5">
                  <c:v>43</c:v>
                </c:pt>
                <c:pt idx="6">
                  <c:v>43.5</c:v>
                </c:pt>
                <c:pt idx="7">
                  <c:v>44</c:v>
                </c:pt>
                <c:pt idx="8">
                  <c:v>44.5</c:v>
                </c:pt>
                <c:pt idx="9">
                  <c:v>45</c:v>
                </c:pt>
                <c:pt idx="10">
                  <c:v>45.5</c:v>
                </c:pt>
                <c:pt idx="11">
                  <c:v>46</c:v>
                </c:pt>
                <c:pt idx="12">
                  <c:v>46.5</c:v>
                </c:pt>
                <c:pt idx="13">
                  <c:v>47</c:v>
                </c:pt>
                <c:pt idx="14">
                  <c:v>47.5</c:v>
                </c:pt>
                <c:pt idx="15">
                  <c:v>48</c:v>
                </c:pt>
                <c:pt idx="16">
                  <c:v>48.5</c:v>
                </c:pt>
                <c:pt idx="17">
                  <c:v>49</c:v>
                </c:pt>
                <c:pt idx="18">
                  <c:v>49.5</c:v>
                </c:pt>
                <c:pt idx="19">
                  <c:v>50</c:v>
                </c:pt>
                <c:pt idx="20">
                  <c:v>50.5</c:v>
                </c:pt>
                <c:pt idx="21">
                  <c:v>51</c:v>
                </c:pt>
                <c:pt idx="22">
                  <c:v>51.5</c:v>
                </c:pt>
                <c:pt idx="23">
                  <c:v>52</c:v>
                </c:pt>
                <c:pt idx="24">
                  <c:v>52.5</c:v>
                </c:pt>
                <c:pt idx="25">
                  <c:v>53</c:v>
                </c:pt>
                <c:pt idx="26">
                  <c:v>53.5</c:v>
                </c:pt>
                <c:pt idx="27">
                  <c:v>54</c:v>
                </c:pt>
                <c:pt idx="28">
                  <c:v>54.5</c:v>
                </c:pt>
                <c:pt idx="29">
                  <c:v>55</c:v>
                </c:pt>
                <c:pt idx="30">
                  <c:v>55.5</c:v>
                </c:pt>
                <c:pt idx="31">
                  <c:v>56</c:v>
                </c:pt>
                <c:pt idx="32">
                  <c:v>56.5</c:v>
                </c:pt>
                <c:pt idx="33">
                  <c:v>57</c:v>
                </c:pt>
                <c:pt idx="34">
                  <c:v>57.5</c:v>
                </c:pt>
                <c:pt idx="35">
                  <c:v>58</c:v>
                </c:pt>
                <c:pt idx="36">
                  <c:v>58.5</c:v>
                </c:pt>
                <c:pt idx="37">
                  <c:v>59</c:v>
                </c:pt>
                <c:pt idx="38">
                  <c:v>59.5</c:v>
                </c:pt>
                <c:pt idx="39">
                  <c:v>60</c:v>
                </c:pt>
                <c:pt idx="40">
                  <c:v>60.5</c:v>
                </c:pt>
                <c:pt idx="41">
                  <c:v>61</c:v>
                </c:pt>
                <c:pt idx="42">
                  <c:v>61.5</c:v>
                </c:pt>
                <c:pt idx="43">
                  <c:v>62</c:v>
                </c:pt>
                <c:pt idx="44">
                  <c:v>62.5</c:v>
                </c:pt>
                <c:pt idx="45">
                  <c:v>63</c:v>
                </c:pt>
                <c:pt idx="46">
                  <c:v>63.5</c:v>
                </c:pt>
                <c:pt idx="47">
                  <c:v>64</c:v>
                </c:pt>
                <c:pt idx="48">
                  <c:v>64.5</c:v>
                </c:pt>
                <c:pt idx="49">
                  <c:v>65</c:v>
                </c:pt>
                <c:pt idx="50">
                  <c:v>65.5</c:v>
                </c:pt>
                <c:pt idx="51">
                  <c:v>66</c:v>
                </c:pt>
                <c:pt idx="52">
                  <c:v>66.5</c:v>
                </c:pt>
                <c:pt idx="53">
                  <c:v>67</c:v>
                </c:pt>
                <c:pt idx="54">
                  <c:v>67.5</c:v>
                </c:pt>
                <c:pt idx="55">
                  <c:v>68</c:v>
                </c:pt>
                <c:pt idx="56">
                  <c:v>68.5</c:v>
                </c:pt>
                <c:pt idx="57">
                  <c:v>69</c:v>
                </c:pt>
                <c:pt idx="58">
                  <c:v>69.5</c:v>
                </c:pt>
                <c:pt idx="59">
                  <c:v>70</c:v>
                </c:pt>
                <c:pt idx="60">
                  <c:v>70.5</c:v>
                </c:pt>
                <c:pt idx="61">
                  <c:v>71</c:v>
                </c:pt>
                <c:pt idx="62">
                  <c:v>71.5</c:v>
                </c:pt>
                <c:pt idx="63">
                  <c:v>72</c:v>
                </c:pt>
                <c:pt idx="64">
                  <c:v>72.5</c:v>
                </c:pt>
                <c:pt idx="65">
                  <c:v>73</c:v>
                </c:pt>
                <c:pt idx="66">
                  <c:v>73.5</c:v>
                </c:pt>
                <c:pt idx="67">
                  <c:v>74</c:v>
                </c:pt>
                <c:pt idx="68">
                  <c:v>74.5</c:v>
                </c:pt>
                <c:pt idx="69">
                  <c:v>75</c:v>
                </c:pt>
                <c:pt idx="70">
                  <c:v>75.5</c:v>
                </c:pt>
                <c:pt idx="71">
                  <c:v>76</c:v>
                </c:pt>
                <c:pt idx="72">
                  <c:v>76.5</c:v>
                </c:pt>
                <c:pt idx="73">
                  <c:v>77</c:v>
                </c:pt>
                <c:pt idx="74">
                  <c:v>77.5</c:v>
                </c:pt>
                <c:pt idx="75">
                  <c:v>78</c:v>
                </c:pt>
                <c:pt idx="76">
                  <c:v>78.5</c:v>
                </c:pt>
                <c:pt idx="77">
                  <c:v>79</c:v>
                </c:pt>
                <c:pt idx="78">
                  <c:v>79.5</c:v>
                </c:pt>
                <c:pt idx="79">
                  <c:v>80</c:v>
                </c:pt>
              </c:numCache>
            </c:numRef>
          </c:xVal>
          <c:yVal>
            <c:numRef>
              <c:f>'[1]Cond. B Template'!$X$64:$X$143</c:f>
              <c:numCache>
                <c:formatCode>General</c:formatCode>
                <c:ptCount val="80"/>
                <c:pt idx="0">
                  <c:v>-13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-13</c:v>
                </c:pt>
                <c:pt idx="23">
                  <c:v>-13</c:v>
                </c:pt>
                <c:pt idx="24">
                  <c:v>-13</c:v>
                </c:pt>
                <c:pt idx="25">
                  <c:v>-13</c:v>
                </c:pt>
                <c:pt idx="26">
                  <c:v>-13</c:v>
                </c:pt>
                <c:pt idx="27">
                  <c:v>-13</c:v>
                </c:pt>
                <c:pt idx="28">
                  <c:v>-13</c:v>
                </c:pt>
                <c:pt idx="29">
                  <c:v>-13</c:v>
                </c:pt>
                <c:pt idx="30">
                  <c:v>-13</c:v>
                </c:pt>
                <c:pt idx="31">
                  <c:v>-13</c:v>
                </c:pt>
                <c:pt idx="32">
                  <c:v>-13</c:v>
                </c:pt>
                <c:pt idx="33">
                  <c:v>-13</c:v>
                </c:pt>
                <c:pt idx="34">
                  <c:v>-13</c:v>
                </c:pt>
                <c:pt idx="35">
                  <c:v>-13</c:v>
                </c:pt>
                <c:pt idx="36">
                  <c:v>-13</c:v>
                </c:pt>
                <c:pt idx="37">
                  <c:v>-13</c:v>
                </c:pt>
                <c:pt idx="38">
                  <c:v>-13</c:v>
                </c:pt>
                <c:pt idx="39">
                  <c:v>-13</c:v>
                </c:pt>
                <c:pt idx="40">
                  <c:v>-13</c:v>
                </c:pt>
                <c:pt idx="41">
                  <c:v>-13</c:v>
                </c:pt>
                <c:pt idx="42">
                  <c:v>-13</c:v>
                </c:pt>
                <c:pt idx="43">
                  <c:v>-13</c:v>
                </c:pt>
                <c:pt idx="44">
                  <c:v>-13</c:v>
                </c:pt>
                <c:pt idx="45">
                  <c:v>-13</c:v>
                </c:pt>
                <c:pt idx="46">
                  <c:v>-13</c:v>
                </c:pt>
                <c:pt idx="47">
                  <c:v>-13</c:v>
                </c:pt>
                <c:pt idx="48">
                  <c:v>-13</c:v>
                </c:pt>
                <c:pt idx="49">
                  <c:v>-13</c:v>
                </c:pt>
                <c:pt idx="50">
                  <c:v>-13</c:v>
                </c:pt>
                <c:pt idx="51">
                  <c:v>-13</c:v>
                </c:pt>
                <c:pt idx="52">
                  <c:v>-13</c:v>
                </c:pt>
                <c:pt idx="53">
                  <c:v>-13</c:v>
                </c:pt>
                <c:pt idx="54">
                  <c:v>-13</c:v>
                </c:pt>
                <c:pt idx="55">
                  <c:v>-13</c:v>
                </c:pt>
                <c:pt idx="56">
                  <c:v>-13</c:v>
                </c:pt>
                <c:pt idx="57">
                  <c:v>-13</c:v>
                </c:pt>
                <c:pt idx="58">
                  <c:v>-13</c:v>
                </c:pt>
                <c:pt idx="59">
                  <c:v>-13</c:v>
                </c:pt>
                <c:pt idx="60">
                  <c:v>-13</c:v>
                </c:pt>
                <c:pt idx="61">
                  <c:v>-13</c:v>
                </c:pt>
                <c:pt idx="62">
                  <c:v>-13</c:v>
                </c:pt>
                <c:pt idx="63">
                  <c:v>-13</c:v>
                </c:pt>
                <c:pt idx="64">
                  <c:v>-13</c:v>
                </c:pt>
                <c:pt idx="65">
                  <c:v>-13</c:v>
                </c:pt>
                <c:pt idx="66">
                  <c:v>-13</c:v>
                </c:pt>
                <c:pt idx="67">
                  <c:v>-13</c:v>
                </c:pt>
                <c:pt idx="68">
                  <c:v>-13</c:v>
                </c:pt>
                <c:pt idx="69">
                  <c:v>-13</c:v>
                </c:pt>
                <c:pt idx="70">
                  <c:v>-13</c:v>
                </c:pt>
                <c:pt idx="71">
                  <c:v>-13</c:v>
                </c:pt>
                <c:pt idx="72">
                  <c:v>-13</c:v>
                </c:pt>
                <c:pt idx="73">
                  <c:v>-13</c:v>
                </c:pt>
                <c:pt idx="74">
                  <c:v>-13</c:v>
                </c:pt>
                <c:pt idx="75">
                  <c:v>-13</c:v>
                </c:pt>
                <c:pt idx="76">
                  <c:v>-13</c:v>
                </c:pt>
                <c:pt idx="77">
                  <c:v>-13</c:v>
                </c:pt>
                <c:pt idx="78">
                  <c:v>-13</c:v>
                </c:pt>
                <c:pt idx="79">
                  <c:v>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0D-CE43-9168-2B005B2CFA98}"/>
            </c:ext>
          </c:extLst>
        </c:ser>
        <c:ser>
          <c:idx val="0"/>
          <c:order val="1"/>
          <c:tx>
            <c:v>Corrected Data</c:v>
          </c:tx>
          <c:spPr>
            <a:ln w="38100">
              <a:solidFill>
                <a:schemeClr val="tx1"/>
              </a:solidFill>
              <a:prstDash val="solid"/>
            </a:ln>
          </c:spPr>
          <c:marker>
            <c:symbol val="none"/>
          </c:marker>
          <c:xVal>
            <c:numRef>
              <c:f>'240816B017'!$A$2:$A$321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</c:numCache>
            </c:numRef>
          </c:xVal>
          <c:yVal>
            <c:numRef>
              <c:f>'240816B017'!$P$2:$P$321</c:f>
              <c:numCache>
                <c:formatCode>General</c:formatCode>
                <c:ptCount val="320"/>
                <c:pt idx="0">
                  <c:v>-21.913758070616048</c:v>
                </c:pt>
                <c:pt idx="1">
                  <c:v>-25.163199036529392</c:v>
                </c:pt>
                <c:pt idx="2">
                  <c:v>-26.692213206338195</c:v>
                </c:pt>
                <c:pt idx="3">
                  <c:v>-24.931647054249066</c:v>
                </c:pt>
                <c:pt idx="4">
                  <c:v>-20.215568437481775</c:v>
                </c:pt>
                <c:pt idx="5">
                  <c:v>-19.054550219741948</c:v>
                </c:pt>
                <c:pt idx="6">
                  <c:v>-19.039471041302225</c:v>
                </c:pt>
                <c:pt idx="7">
                  <c:v>-14.509272941814075</c:v>
                </c:pt>
                <c:pt idx="8">
                  <c:v>-14.121655567499472</c:v>
                </c:pt>
                <c:pt idx="9">
                  <c:v>-13.84684053932286</c:v>
                </c:pt>
                <c:pt idx="10">
                  <c:v>-18.143011759861956</c:v>
                </c:pt>
                <c:pt idx="11">
                  <c:v>-17.608292496298702</c:v>
                </c:pt>
                <c:pt idx="12">
                  <c:v>-18.912315206117817</c:v>
                </c:pt>
                <c:pt idx="13">
                  <c:v>-20.08544114910044</c:v>
                </c:pt>
                <c:pt idx="14">
                  <c:v>-19.30245006129681</c:v>
                </c:pt>
                <c:pt idx="15">
                  <c:v>-21.178602303492333</c:v>
                </c:pt>
                <c:pt idx="16">
                  <c:v>-14.93961722243326</c:v>
                </c:pt>
                <c:pt idx="17">
                  <c:v>-16.13956236356459</c:v>
                </c:pt>
                <c:pt idx="18">
                  <c:v>-19.069071814676526</c:v>
                </c:pt>
                <c:pt idx="19">
                  <c:v>-19.100793526484509</c:v>
                </c:pt>
                <c:pt idx="20">
                  <c:v>-19.059970724437246</c:v>
                </c:pt>
                <c:pt idx="21">
                  <c:v>-20.251418107102818</c:v>
                </c:pt>
                <c:pt idx="22">
                  <c:v>-16.757030151448387</c:v>
                </c:pt>
                <c:pt idx="23">
                  <c:v>-15.299005133658955</c:v>
                </c:pt>
                <c:pt idx="24">
                  <c:v>-17.386459665713335</c:v>
                </c:pt>
                <c:pt idx="25">
                  <c:v>-19.335208445872368</c:v>
                </c:pt>
                <c:pt idx="26">
                  <c:v>-21.26339245028651</c:v>
                </c:pt>
                <c:pt idx="27">
                  <c:v>-21.579224667486343</c:v>
                </c:pt>
                <c:pt idx="28">
                  <c:v>-22.599812781029893</c:v>
                </c:pt>
                <c:pt idx="29">
                  <c:v>-17.826491108345454</c:v>
                </c:pt>
                <c:pt idx="30">
                  <c:v>-13.184070114240635</c:v>
                </c:pt>
                <c:pt idx="31">
                  <c:v>-10.022793619007981</c:v>
                </c:pt>
                <c:pt idx="32">
                  <c:v>-8.7982922523296825</c:v>
                </c:pt>
                <c:pt idx="33">
                  <c:v>-8.0148151900578597</c:v>
                </c:pt>
                <c:pt idx="34">
                  <c:v>-10.736835638224411</c:v>
                </c:pt>
                <c:pt idx="35">
                  <c:v>-11.896238823927096</c:v>
                </c:pt>
                <c:pt idx="36">
                  <c:v>-13.210348408748128</c:v>
                </c:pt>
                <c:pt idx="37">
                  <c:v>-14.483592993361894</c:v>
                </c:pt>
                <c:pt idx="38">
                  <c:v>-14.586167881703139</c:v>
                </c:pt>
                <c:pt idx="39">
                  <c:v>-14.515909007205224</c:v>
                </c:pt>
                <c:pt idx="40">
                  <c:v>-16.763274450023296</c:v>
                </c:pt>
                <c:pt idx="41">
                  <c:v>-16.927221241704199</c:v>
                </c:pt>
                <c:pt idx="42">
                  <c:v>-16.961343035852938</c:v>
                </c:pt>
                <c:pt idx="43">
                  <c:v>-17.423493630821053</c:v>
                </c:pt>
                <c:pt idx="44">
                  <c:v>-18.539870886268883</c:v>
                </c:pt>
                <c:pt idx="45">
                  <c:v>-11.747717251642028</c:v>
                </c:pt>
                <c:pt idx="46">
                  <c:v>-12.469685336474976</c:v>
                </c:pt>
                <c:pt idx="47">
                  <c:v>-14.05374090425088</c:v>
                </c:pt>
                <c:pt idx="48">
                  <c:v>-13.5764942584133</c:v>
                </c:pt>
                <c:pt idx="49">
                  <c:v>-12.52799904582996</c:v>
                </c:pt>
                <c:pt idx="50">
                  <c:v>-11.69651188853457</c:v>
                </c:pt>
                <c:pt idx="51">
                  <c:v>-10.7930897725549</c:v>
                </c:pt>
                <c:pt idx="52">
                  <c:v>-10.989975102294949</c:v>
                </c:pt>
                <c:pt idx="53">
                  <c:v>-4.9939060088271416</c:v>
                </c:pt>
                <c:pt idx="54">
                  <c:v>-7.3011903330197718</c:v>
                </c:pt>
                <c:pt idx="55">
                  <c:v>-3.1231851853854549</c:v>
                </c:pt>
                <c:pt idx="56">
                  <c:v>-1.9116946034280564</c:v>
                </c:pt>
                <c:pt idx="57">
                  <c:v>-2.2324688165600151</c:v>
                </c:pt>
                <c:pt idx="58">
                  <c:v>-4.2475292191974621</c:v>
                </c:pt>
                <c:pt idx="59">
                  <c:v>-3.3818535004379604</c:v>
                </c:pt>
                <c:pt idx="60">
                  <c:v>-0.86620681364589014</c:v>
                </c:pt>
                <c:pt idx="61">
                  <c:v>-2.6445513032561005</c:v>
                </c:pt>
                <c:pt idx="62">
                  <c:v>-2.8061710998282443</c:v>
                </c:pt>
                <c:pt idx="63">
                  <c:v>-2.4468039440508593</c:v>
                </c:pt>
                <c:pt idx="64">
                  <c:v>-7.94354178637189</c:v>
                </c:pt>
                <c:pt idx="65">
                  <c:v>-3.3525201458870106</c:v>
                </c:pt>
                <c:pt idx="66">
                  <c:v>-0.40012800819354144</c:v>
                </c:pt>
                <c:pt idx="67">
                  <c:v>0.90119322819511349</c:v>
                </c:pt>
                <c:pt idx="68">
                  <c:v>-0.59789272546481798</c:v>
                </c:pt>
                <c:pt idx="69">
                  <c:v>-1.2810175157928179</c:v>
                </c:pt>
                <c:pt idx="70">
                  <c:v>-0.19192133584154955</c:v>
                </c:pt>
                <c:pt idx="71">
                  <c:v>3.48603745278132</c:v>
                </c:pt>
                <c:pt idx="72">
                  <c:v>-0.28878951118825852</c:v>
                </c:pt>
                <c:pt idx="73">
                  <c:v>3.1676663181812073</c:v>
                </c:pt>
                <c:pt idx="74">
                  <c:v>3.3753216563046271</c:v>
                </c:pt>
                <c:pt idx="75">
                  <c:v>5.8037720633930583</c:v>
                </c:pt>
                <c:pt idx="76">
                  <c:v>2.6417421988904231</c:v>
                </c:pt>
                <c:pt idx="77">
                  <c:v>4.3713904943488178</c:v>
                </c:pt>
                <c:pt idx="78">
                  <c:v>-3.2593464813729636</c:v>
                </c:pt>
                <c:pt idx="79">
                  <c:v>2.331767258799343</c:v>
                </c:pt>
                <c:pt idx="80">
                  <c:v>4.2390209494937467</c:v>
                </c:pt>
                <c:pt idx="81">
                  <c:v>4.6044251280498454</c:v>
                </c:pt>
                <c:pt idx="82">
                  <c:v>5.8549463838242266</c:v>
                </c:pt>
                <c:pt idx="83">
                  <c:v>14.31680676304393</c:v>
                </c:pt>
                <c:pt idx="84">
                  <c:v>14.550140429232576</c:v>
                </c:pt>
                <c:pt idx="85">
                  <c:v>9.7772327841750695</c:v>
                </c:pt>
                <c:pt idx="86">
                  <c:v>0.77474265048874846</c:v>
                </c:pt>
                <c:pt idx="87">
                  <c:v>-2.5909952352516061</c:v>
                </c:pt>
                <c:pt idx="88">
                  <c:v>-0.92222861526364142</c:v>
                </c:pt>
                <c:pt idx="89">
                  <c:v>2.1115044956561824</c:v>
                </c:pt>
                <c:pt idx="90">
                  <c:v>4.3054745280255817</c:v>
                </c:pt>
                <c:pt idx="91">
                  <c:v>6.4592481259274814</c:v>
                </c:pt>
                <c:pt idx="92">
                  <c:v>4.9231338868564931</c:v>
                </c:pt>
                <c:pt idx="93">
                  <c:v>6.5863027711557516</c:v>
                </c:pt>
                <c:pt idx="94">
                  <c:v>4.8180455918566274</c:v>
                </c:pt>
                <c:pt idx="95">
                  <c:v>1.5433465701417726</c:v>
                </c:pt>
                <c:pt idx="96">
                  <c:v>1.6728184354471094</c:v>
                </c:pt>
                <c:pt idx="97">
                  <c:v>-1.0906173427262063</c:v>
                </c:pt>
                <c:pt idx="98">
                  <c:v>-1.7173090294976652</c:v>
                </c:pt>
                <c:pt idx="99">
                  <c:v>0.38057040197727937</c:v>
                </c:pt>
                <c:pt idx="100">
                  <c:v>-1.7563152224564986</c:v>
                </c:pt>
                <c:pt idx="101">
                  <c:v>-3.0443769815010802</c:v>
                </c:pt>
                <c:pt idx="102">
                  <c:v>-3.4330077072778984</c:v>
                </c:pt>
                <c:pt idx="103">
                  <c:v>-0.45849438455352454</c:v>
                </c:pt>
                <c:pt idx="104">
                  <c:v>-2.0507422348080047</c:v>
                </c:pt>
                <c:pt idx="105">
                  <c:v>-5.0143208190554871</c:v>
                </c:pt>
                <c:pt idx="106">
                  <c:v>-4.3017070486590807</c:v>
                </c:pt>
                <c:pt idx="107">
                  <c:v>-1.1891157961495418</c:v>
                </c:pt>
                <c:pt idx="108">
                  <c:v>0.82058020076065386</c:v>
                </c:pt>
                <c:pt idx="109">
                  <c:v>-1.0580234824444508</c:v>
                </c:pt>
                <c:pt idx="110">
                  <c:v>-6.2005528507694834</c:v>
                </c:pt>
                <c:pt idx="111">
                  <c:v>-1.7463286778180183</c:v>
                </c:pt>
                <c:pt idx="112">
                  <c:v>-3.2497762984143099</c:v>
                </c:pt>
                <c:pt idx="113">
                  <c:v>-4.2714799962918981</c:v>
                </c:pt>
                <c:pt idx="114">
                  <c:v>-1.5387384147115275</c:v>
                </c:pt>
                <c:pt idx="115">
                  <c:v>-3.9551634333662031</c:v>
                </c:pt>
                <c:pt idx="116">
                  <c:v>-5.8121602623782866</c:v>
                </c:pt>
                <c:pt idx="117">
                  <c:v>-8.5617626740542416</c:v>
                </c:pt>
                <c:pt idx="118">
                  <c:v>-11.35875448134721</c:v>
                </c:pt>
                <c:pt idx="119">
                  <c:v>-9.0614972521849602</c:v>
                </c:pt>
                <c:pt idx="120">
                  <c:v>-10.358536468072902</c:v>
                </c:pt>
                <c:pt idx="121">
                  <c:v>-10.811391938695357</c:v>
                </c:pt>
                <c:pt idx="122">
                  <c:v>-18.147621959086667</c:v>
                </c:pt>
                <c:pt idx="123">
                  <c:v>-14.712042505330331</c:v>
                </c:pt>
                <c:pt idx="124">
                  <c:v>-12.256757368086276</c:v>
                </c:pt>
                <c:pt idx="125">
                  <c:v>-9.729413535108252</c:v>
                </c:pt>
                <c:pt idx="126">
                  <c:v>-14.780803240089121</c:v>
                </c:pt>
                <c:pt idx="127">
                  <c:v>-8.9657177631679694</c:v>
                </c:pt>
                <c:pt idx="128">
                  <c:v>-13.856862075295442</c:v>
                </c:pt>
                <c:pt idx="129">
                  <c:v>-11.799638043076522</c:v>
                </c:pt>
                <c:pt idx="130">
                  <c:v>-14.003590368284835</c:v>
                </c:pt>
                <c:pt idx="131">
                  <c:v>-12.672718562885644</c:v>
                </c:pt>
                <c:pt idx="132">
                  <c:v>-12.650172032638165</c:v>
                </c:pt>
                <c:pt idx="133">
                  <c:v>-13.927431374157667</c:v>
                </c:pt>
                <c:pt idx="134">
                  <c:v>-13.964395068559574</c:v>
                </c:pt>
                <c:pt idx="135">
                  <c:v>-18.555563660085596</c:v>
                </c:pt>
                <c:pt idx="136">
                  <c:v>-20.779166454159238</c:v>
                </c:pt>
                <c:pt idx="137">
                  <c:v>-18.891819905651641</c:v>
                </c:pt>
                <c:pt idx="138">
                  <c:v>-15.132379323915618</c:v>
                </c:pt>
                <c:pt idx="139">
                  <c:v>-15.246692596010696</c:v>
                </c:pt>
                <c:pt idx="140">
                  <c:v>-15.56772412807331</c:v>
                </c:pt>
                <c:pt idx="141">
                  <c:v>-15.976885458529514</c:v>
                </c:pt>
                <c:pt idx="142">
                  <c:v>-16.455907408298305</c:v>
                </c:pt>
                <c:pt idx="143">
                  <c:v>-16.892022684900677</c:v>
                </c:pt>
                <c:pt idx="144">
                  <c:v>-16.950836609679257</c:v>
                </c:pt>
                <c:pt idx="145">
                  <c:v>-18.803734430843317</c:v>
                </c:pt>
                <c:pt idx="146">
                  <c:v>-20.99272672940204</c:v>
                </c:pt>
                <c:pt idx="147">
                  <c:v>-18.607027470502977</c:v>
                </c:pt>
                <c:pt idx="148">
                  <c:v>-16.216715190960873</c:v>
                </c:pt>
                <c:pt idx="149">
                  <c:v>-20.423073168091207</c:v>
                </c:pt>
                <c:pt idx="150">
                  <c:v>-18.346319767630781</c:v>
                </c:pt>
                <c:pt idx="151">
                  <c:v>-17.183382856646332</c:v>
                </c:pt>
                <c:pt idx="152">
                  <c:v>-16.863982046628241</c:v>
                </c:pt>
                <c:pt idx="153">
                  <c:v>-16.566750129993384</c:v>
                </c:pt>
                <c:pt idx="154">
                  <c:v>-17.37911847923424</c:v>
                </c:pt>
                <c:pt idx="155">
                  <c:v>-17.887894789200423</c:v>
                </c:pt>
                <c:pt idx="156">
                  <c:v>-17.306088564746389</c:v>
                </c:pt>
                <c:pt idx="157">
                  <c:v>-16.778298582371892</c:v>
                </c:pt>
                <c:pt idx="158">
                  <c:v>-17.723221707659917</c:v>
                </c:pt>
                <c:pt idx="159">
                  <c:v>-17.447504401745867</c:v>
                </c:pt>
                <c:pt idx="160">
                  <c:v>-16.959055357273723</c:v>
                </c:pt>
                <c:pt idx="161">
                  <c:v>-18.356673588325723</c:v>
                </c:pt>
                <c:pt idx="162">
                  <c:v>-20.927350167948156</c:v>
                </c:pt>
                <c:pt idx="163">
                  <c:v>-19.34970831167918</c:v>
                </c:pt>
                <c:pt idx="164">
                  <c:v>-21.707788464013738</c:v>
                </c:pt>
                <c:pt idx="165">
                  <c:v>-18.466359286090075</c:v>
                </c:pt>
                <c:pt idx="166">
                  <c:v>-15.974018862480024</c:v>
                </c:pt>
                <c:pt idx="167">
                  <c:v>-17.347949150833884</c:v>
                </c:pt>
                <c:pt idx="168">
                  <c:v>-17.17459134897965</c:v>
                </c:pt>
                <c:pt idx="169">
                  <c:v>-16.883768473071001</c:v>
                </c:pt>
                <c:pt idx="170">
                  <c:v>-15.738807055721093</c:v>
                </c:pt>
                <c:pt idx="171">
                  <c:v>-17.291166277668673</c:v>
                </c:pt>
                <c:pt idx="172">
                  <c:v>-18.031617542475114</c:v>
                </c:pt>
                <c:pt idx="173">
                  <c:v>-18.126379313824533</c:v>
                </c:pt>
                <c:pt idx="174">
                  <c:v>-18.443811404415776</c:v>
                </c:pt>
                <c:pt idx="175">
                  <c:v>-17.633990337667935</c:v>
                </c:pt>
                <c:pt idx="176">
                  <c:v>-17.069441359152606</c:v>
                </c:pt>
                <c:pt idx="177">
                  <c:v>-15.918106229124037</c:v>
                </c:pt>
                <c:pt idx="178">
                  <c:v>-15.324735080090191</c:v>
                </c:pt>
                <c:pt idx="179">
                  <c:v>-16.260192149644951</c:v>
                </c:pt>
                <c:pt idx="180">
                  <c:v>-16.260233488553606</c:v>
                </c:pt>
                <c:pt idx="181">
                  <c:v>-17.062434910877105</c:v>
                </c:pt>
                <c:pt idx="182">
                  <c:v>-16.607818598437195</c:v>
                </c:pt>
                <c:pt idx="183">
                  <c:v>-17.780988385388007</c:v>
                </c:pt>
                <c:pt idx="184">
                  <c:v>-16.604504900624846</c:v>
                </c:pt>
                <c:pt idx="185">
                  <c:v>-14.591847516649981</c:v>
                </c:pt>
                <c:pt idx="186">
                  <c:v>-12.887605667510293</c:v>
                </c:pt>
                <c:pt idx="187">
                  <c:v>-14.652135751301461</c:v>
                </c:pt>
                <c:pt idx="188">
                  <c:v>-15.282872776393186</c:v>
                </c:pt>
                <c:pt idx="189">
                  <c:v>-15.047423212276573</c:v>
                </c:pt>
                <c:pt idx="190">
                  <c:v>-15.410104290014514</c:v>
                </c:pt>
                <c:pt idx="191">
                  <c:v>-15.285099167351943</c:v>
                </c:pt>
                <c:pt idx="192">
                  <c:v>-14.393781956031246</c:v>
                </c:pt>
                <c:pt idx="193">
                  <c:v>-14.508595408173964</c:v>
                </c:pt>
                <c:pt idx="194">
                  <c:v>-14.133888536578887</c:v>
                </c:pt>
                <c:pt idx="195">
                  <c:v>-14.345543223103906</c:v>
                </c:pt>
                <c:pt idx="196">
                  <c:v>-14.295900111270587</c:v>
                </c:pt>
                <c:pt idx="197">
                  <c:v>-14.153707438569963</c:v>
                </c:pt>
                <c:pt idx="198">
                  <c:v>-13.466053365786735</c:v>
                </c:pt>
                <c:pt idx="199">
                  <c:v>-14.165612257645716</c:v>
                </c:pt>
                <c:pt idx="200">
                  <c:v>-12.586236844385699</c:v>
                </c:pt>
                <c:pt idx="201">
                  <c:v>-15.088201835284787</c:v>
                </c:pt>
                <c:pt idx="202">
                  <c:v>-15.278479948601426</c:v>
                </c:pt>
                <c:pt idx="203">
                  <c:v>-14.169457830309026</c:v>
                </c:pt>
                <c:pt idx="204">
                  <c:v>-14.747035994345959</c:v>
                </c:pt>
                <c:pt idx="205">
                  <c:v>-13.222915945274409</c:v>
                </c:pt>
                <c:pt idx="206">
                  <c:v>-12.38137981923972</c:v>
                </c:pt>
                <c:pt idx="207">
                  <c:v>-11.915299737064327</c:v>
                </c:pt>
                <c:pt idx="208">
                  <c:v>-12.249134192402247</c:v>
                </c:pt>
                <c:pt idx="209">
                  <c:v>-14.182008362554487</c:v>
                </c:pt>
                <c:pt idx="210">
                  <c:v>-13.790900790963995</c:v>
                </c:pt>
                <c:pt idx="211">
                  <c:v>-13.974942400866277</c:v>
                </c:pt>
                <c:pt idx="212">
                  <c:v>-14.123379600190711</c:v>
                </c:pt>
                <c:pt idx="213">
                  <c:v>-17.304162609838439</c:v>
                </c:pt>
                <c:pt idx="214">
                  <c:v>-14.188838465146775</c:v>
                </c:pt>
                <c:pt idx="215">
                  <c:v>-12.723812655006943</c:v>
                </c:pt>
                <c:pt idx="216">
                  <c:v>-12.916614434376555</c:v>
                </c:pt>
                <c:pt idx="217">
                  <c:v>-11.907301438691622</c:v>
                </c:pt>
                <c:pt idx="218">
                  <c:v>-12.729075305269365</c:v>
                </c:pt>
                <c:pt idx="219">
                  <c:v>-12.590616610005338</c:v>
                </c:pt>
                <c:pt idx="220">
                  <c:v>-13.214171977843</c:v>
                </c:pt>
                <c:pt idx="221">
                  <c:v>-12.104053262651576</c:v>
                </c:pt>
                <c:pt idx="222">
                  <c:v>-12.475849586681973</c:v>
                </c:pt>
                <c:pt idx="223">
                  <c:v>-10.945609140136261</c:v>
                </c:pt>
                <c:pt idx="224">
                  <c:v>-12.373754071891101</c:v>
                </c:pt>
                <c:pt idx="225">
                  <c:v>-12.592787800539062</c:v>
                </c:pt>
                <c:pt idx="226">
                  <c:v>-14.711521100476531</c:v>
                </c:pt>
                <c:pt idx="227">
                  <c:v>-12.281228239079761</c:v>
                </c:pt>
                <c:pt idx="228">
                  <c:v>-13.561948323326224</c:v>
                </c:pt>
                <c:pt idx="229">
                  <c:v>-12.145627474346703</c:v>
                </c:pt>
                <c:pt idx="230">
                  <c:v>-11.374026678807624</c:v>
                </c:pt>
                <c:pt idx="231">
                  <c:v>-11.397972304810935</c:v>
                </c:pt>
                <c:pt idx="232">
                  <c:v>-12.357289821396984</c:v>
                </c:pt>
                <c:pt idx="233">
                  <c:v>-11.786105780225753</c:v>
                </c:pt>
                <c:pt idx="234">
                  <c:v>-13.608197385059498</c:v>
                </c:pt>
                <c:pt idx="235">
                  <c:v>-13.903071758885954</c:v>
                </c:pt>
                <c:pt idx="236">
                  <c:v>-12.636728767581564</c:v>
                </c:pt>
                <c:pt idx="237">
                  <c:v>-13.383809706772531</c:v>
                </c:pt>
                <c:pt idx="238">
                  <c:v>-11.840251919048992</c:v>
                </c:pt>
                <c:pt idx="239">
                  <c:v>-11.364383544338072</c:v>
                </c:pt>
                <c:pt idx="240">
                  <c:v>-11.078346207071229</c:v>
                </c:pt>
                <c:pt idx="241">
                  <c:v>-10.914500842640782</c:v>
                </c:pt>
                <c:pt idx="242">
                  <c:v>-11.404989175392037</c:v>
                </c:pt>
                <c:pt idx="243">
                  <c:v>-11.330487417264852</c:v>
                </c:pt>
                <c:pt idx="244">
                  <c:v>-11.014668884045401</c:v>
                </c:pt>
                <c:pt idx="245">
                  <c:v>-12.549051142015145</c:v>
                </c:pt>
                <c:pt idx="246">
                  <c:v>-11.757136441297099</c:v>
                </c:pt>
                <c:pt idx="247">
                  <c:v>-10.694531667471834</c:v>
                </c:pt>
                <c:pt idx="248">
                  <c:v>-11.133658561211526</c:v>
                </c:pt>
                <c:pt idx="249">
                  <c:v>-11.325721111105409</c:v>
                </c:pt>
                <c:pt idx="250">
                  <c:v>-14.777777680547032</c:v>
                </c:pt>
                <c:pt idx="251">
                  <c:v>-10.71508140112504</c:v>
                </c:pt>
                <c:pt idx="252">
                  <c:v>-9.9513960710218416</c:v>
                </c:pt>
                <c:pt idx="253">
                  <c:v>-11.551397684221392</c:v>
                </c:pt>
                <c:pt idx="254">
                  <c:v>-9.7888501649574842</c:v>
                </c:pt>
                <c:pt idx="255">
                  <c:v>-11.365493992573063</c:v>
                </c:pt>
                <c:pt idx="256">
                  <c:v>-10.299511746788239</c:v>
                </c:pt>
                <c:pt idx="257">
                  <c:v>-8.8220997446123874</c:v>
                </c:pt>
                <c:pt idx="258">
                  <c:v>-9.231630736645565</c:v>
                </c:pt>
                <c:pt idx="259">
                  <c:v>-9.1850720425585646</c:v>
                </c:pt>
                <c:pt idx="260">
                  <c:v>-10.479663070612556</c:v>
                </c:pt>
                <c:pt idx="261">
                  <c:v>-9.1945968622604077</c:v>
                </c:pt>
                <c:pt idx="262">
                  <c:v>-8.8785670759539563</c:v>
                </c:pt>
                <c:pt idx="263">
                  <c:v>-9.3893873962749197</c:v>
                </c:pt>
                <c:pt idx="264">
                  <c:v>-8.7233190768065203</c:v>
                </c:pt>
                <c:pt idx="265">
                  <c:v>-9.9673554496913699</c:v>
                </c:pt>
                <c:pt idx="266">
                  <c:v>-10.149791153935809</c:v>
                </c:pt>
                <c:pt idx="267">
                  <c:v>-15.795634854142987</c:v>
                </c:pt>
                <c:pt idx="268">
                  <c:v>-11.654691112540482</c:v>
                </c:pt>
                <c:pt idx="269">
                  <c:v>-9.5950050693822284</c:v>
                </c:pt>
                <c:pt idx="270">
                  <c:v>-10.165747041335136</c:v>
                </c:pt>
                <c:pt idx="271">
                  <c:v>-9.1507566947626877</c:v>
                </c:pt>
                <c:pt idx="272">
                  <c:v>-11.037008378732866</c:v>
                </c:pt>
                <c:pt idx="273">
                  <c:v>-13.57499962315859</c:v>
                </c:pt>
                <c:pt idx="274">
                  <c:v>-11.574707003987564</c:v>
                </c:pt>
                <c:pt idx="275">
                  <c:v>-9.2658430847430377</c:v>
                </c:pt>
                <c:pt idx="276">
                  <c:v>-10.195600319952765</c:v>
                </c:pt>
                <c:pt idx="277">
                  <c:v>-11.285597742396476</c:v>
                </c:pt>
                <c:pt idx="278">
                  <c:v>-9.2103936967868858</c:v>
                </c:pt>
                <c:pt idx="279">
                  <c:v>-12.08012811768279</c:v>
                </c:pt>
                <c:pt idx="280">
                  <c:v>-10.842603083543009</c:v>
                </c:pt>
                <c:pt idx="281">
                  <c:v>-10.733775708045869</c:v>
                </c:pt>
                <c:pt idx="282">
                  <c:v>-10.16359505186526</c:v>
                </c:pt>
                <c:pt idx="283">
                  <c:v>-9.2996316476166179</c:v>
                </c:pt>
                <c:pt idx="284">
                  <c:v>-8.2800720810542092</c:v>
                </c:pt>
                <c:pt idx="285">
                  <c:v>-9.5450215226202264</c:v>
                </c:pt>
                <c:pt idx="286">
                  <c:v>-8.2003023057455309</c:v>
                </c:pt>
                <c:pt idx="287">
                  <c:v>-7.960299080337589</c:v>
                </c:pt>
                <c:pt idx="288">
                  <c:v>-8.1533009018557401</c:v>
                </c:pt>
                <c:pt idx="289">
                  <c:v>-7.987938641180377</c:v>
                </c:pt>
                <c:pt idx="290">
                  <c:v>-8.8548515553346459</c:v>
                </c:pt>
                <c:pt idx="291">
                  <c:v>-9.2846747892633328</c:v>
                </c:pt>
                <c:pt idx="292">
                  <c:v>-8.9085236873749523</c:v>
                </c:pt>
                <c:pt idx="293">
                  <c:v>-10.999918008372962</c:v>
                </c:pt>
                <c:pt idx="294">
                  <c:v>-7.8509259449759243</c:v>
                </c:pt>
                <c:pt idx="295">
                  <c:v>-7.4250701097091403</c:v>
                </c:pt>
                <c:pt idx="296">
                  <c:v>-6.6010023934903641</c:v>
                </c:pt>
                <c:pt idx="297">
                  <c:v>-6.8835487408549989</c:v>
                </c:pt>
                <c:pt idx="298">
                  <c:v>-6.2813065846244349</c:v>
                </c:pt>
                <c:pt idx="299">
                  <c:v>-5.4448043874334946</c:v>
                </c:pt>
                <c:pt idx="300">
                  <c:v>-4.2924757798976971</c:v>
                </c:pt>
                <c:pt idx="301">
                  <c:v>-4.0428115408320329</c:v>
                </c:pt>
                <c:pt idx="302">
                  <c:v>-3.4256226486779764</c:v>
                </c:pt>
                <c:pt idx="303">
                  <c:v>-2.0472037322380707</c:v>
                </c:pt>
                <c:pt idx="304">
                  <c:v>-3.3390556322717155</c:v>
                </c:pt>
                <c:pt idx="305">
                  <c:v>-8.3362517320031166</c:v>
                </c:pt>
                <c:pt idx="306">
                  <c:v>-3.0049571857145527</c:v>
                </c:pt>
                <c:pt idx="307">
                  <c:v>-3.9614763269699873</c:v>
                </c:pt>
                <c:pt idx="308">
                  <c:v>-4.2982814462746974</c:v>
                </c:pt>
                <c:pt idx="309">
                  <c:v>0.955707767350778</c:v>
                </c:pt>
                <c:pt idx="310">
                  <c:v>-0.1586510943080881</c:v>
                </c:pt>
                <c:pt idx="311">
                  <c:v>2.112185067169277</c:v>
                </c:pt>
                <c:pt idx="312">
                  <c:v>4.5463268166354665</c:v>
                </c:pt>
                <c:pt idx="313">
                  <c:v>7.1055646605341636</c:v>
                </c:pt>
                <c:pt idx="314">
                  <c:v>4.5921743498938818</c:v>
                </c:pt>
                <c:pt idx="315">
                  <c:v>2.2591124074100537</c:v>
                </c:pt>
                <c:pt idx="316">
                  <c:v>0.21206526712121568</c:v>
                </c:pt>
                <c:pt idx="317">
                  <c:v>-1.3530473719180869</c:v>
                </c:pt>
                <c:pt idx="318">
                  <c:v>2.8071875672208146</c:v>
                </c:pt>
                <c:pt idx="319">
                  <c:v>8.6663703582390692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0D-CE43-9168-2B005B2CF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4576608"/>
        <c:axId val="674579728"/>
      </c:scatterChart>
      <c:valAx>
        <c:axId val="674576608"/>
        <c:scaling>
          <c:orientation val="minMax"/>
          <c:max val="16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time (s)</a:t>
                </a:r>
              </a:p>
            </c:rich>
          </c:tx>
          <c:layout>
            <c:manualLayout>
              <c:xMode val="edge"/>
              <c:yMode val="edge"/>
              <c:x val="0.50460104986876597"/>
              <c:y val="0.88412609323488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9728"/>
        <c:crossesAt val="0"/>
        <c:crossBetween val="midCat"/>
        <c:majorUnit val="10"/>
      </c:valAx>
      <c:valAx>
        <c:axId val="674579728"/>
        <c:scaling>
          <c:orientation val="minMax"/>
          <c:max val="100"/>
          <c:min val="-60"/>
        </c:scaling>
        <c:delete val="0"/>
        <c:axPos val="l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Symbol"/>
                  </a:rPr>
                  <a:t>% D</a:t>
                </a:r>
                <a:r>
                  <a:rPr lang="en-US" sz="1400" b="0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R/R</a:t>
                </a:r>
                <a:r>
                  <a:rPr lang="en-US" sz="1400" b="0" i="0" u="none" strike="noStrike" baseline="-25000">
                    <a:solidFill>
                      <a:srgbClr val="000000"/>
                    </a:solidFill>
                    <a:latin typeface="Arial"/>
                    <a:cs typeface="Arial"/>
                  </a:rPr>
                  <a:t>0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10871861805317801"/>
              <c:y val="0.4041593677194850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0"/>
        <c:majorTickMark val="out"/>
        <c:minorTickMark val="none"/>
        <c:tickLblPos val="nextTo"/>
        <c:spPr>
          <a:ln w="3175">
            <a:solidFill>
              <a:srgbClr val="B3B3B3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4576608"/>
        <c:crossesAt val="0"/>
        <c:crossBetween val="midCat"/>
      </c:valAx>
      <c:spPr>
        <a:solidFill>
          <a:sysClr val="window" lastClr="FFFFFF"/>
        </a:solidFill>
        <a:ln w="25400">
          <a:noFill/>
        </a:ln>
      </c:spPr>
    </c:plotArea>
    <c:plotVisOnly val="1"/>
    <c:dispBlanksAs val="span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1180555555555596" footer="0.51180555555555596"/>
    <c:pageSetup firstPageNumber="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BE757681-EAF2-41C2-BBE0-91F376B16A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40A90A-8F50-41E9-8976-09F3B90535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AB145243-A18A-AF4E-9987-990127070D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3C495C-6502-D740-9D0B-9FC5D7E89C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84C3B49-6214-CE49-8D2A-2612E1A53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1748BB-20A2-B54C-8D40-FE8FFA555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476250</xdr:colOff>
      <xdr:row>1</xdr:row>
      <xdr:rowOff>79375</xdr:rowOff>
    </xdr:from>
    <xdr:to>
      <xdr:col>24</xdr:col>
      <xdr:colOff>400050</xdr:colOff>
      <xdr:row>26</xdr:row>
      <xdr:rowOff>85725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9F89D85A-0622-274D-869A-837BC21D1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644525</xdr:colOff>
      <xdr:row>28</xdr:row>
      <xdr:rowOff>3175</xdr:rowOff>
    </xdr:from>
    <xdr:to>
      <xdr:col>24</xdr:col>
      <xdr:colOff>644525</xdr:colOff>
      <xdr:row>50</xdr:row>
      <xdr:rowOff>41275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B0C3E0-5CC9-7A4F-935B-F3D89E199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reannawalsh/Documents/UCLA%20::%202019-2027/Hallem%20Lab/Data/Calcium%20Imaging%20Data/Analysis%20Worksheets/2024-0705_Walsh_CI_DataWorksh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. A Template"/>
      <sheetName val="Cond. B Template"/>
    </sheetNames>
    <sheetDataSet>
      <sheetData sheetId="0"/>
      <sheetData sheetId="1">
        <row r="64">
          <cell r="X64">
            <v>-13</v>
          </cell>
        </row>
        <row r="65">
          <cell r="X65">
            <v>-13</v>
          </cell>
        </row>
        <row r="66">
          <cell r="X66">
            <v>-13</v>
          </cell>
        </row>
        <row r="67">
          <cell r="X67">
            <v>-13</v>
          </cell>
        </row>
        <row r="68">
          <cell r="X68">
            <v>-13</v>
          </cell>
        </row>
        <row r="69">
          <cell r="X69">
            <v>-13</v>
          </cell>
        </row>
        <row r="70">
          <cell r="X70">
            <v>-13</v>
          </cell>
        </row>
        <row r="71">
          <cell r="X71">
            <v>-13</v>
          </cell>
        </row>
        <row r="72">
          <cell r="X72">
            <v>-13</v>
          </cell>
        </row>
        <row r="73">
          <cell r="X73">
            <v>-13</v>
          </cell>
        </row>
        <row r="74">
          <cell r="X74">
            <v>-13</v>
          </cell>
        </row>
        <row r="75">
          <cell r="X75">
            <v>-13</v>
          </cell>
        </row>
        <row r="76">
          <cell r="X76">
            <v>-13</v>
          </cell>
        </row>
        <row r="77">
          <cell r="X77">
            <v>-13</v>
          </cell>
        </row>
        <row r="78">
          <cell r="X78">
            <v>-13</v>
          </cell>
        </row>
        <row r="79">
          <cell r="X79">
            <v>-13</v>
          </cell>
        </row>
        <row r="80">
          <cell r="X80">
            <v>-13</v>
          </cell>
        </row>
        <row r="81">
          <cell r="X81">
            <v>-13</v>
          </cell>
        </row>
        <row r="82">
          <cell r="A82">
            <v>40.5</v>
          </cell>
          <cell r="X82">
            <v>-13</v>
          </cell>
        </row>
        <row r="83">
          <cell r="A83">
            <v>41</v>
          </cell>
          <cell r="X83">
            <v>-13</v>
          </cell>
        </row>
        <row r="84">
          <cell r="A84">
            <v>41.5</v>
          </cell>
          <cell r="X84">
            <v>-13</v>
          </cell>
        </row>
        <row r="85">
          <cell r="A85">
            <v>42</v>
          </cell>
          <cell r="X85">
            <v>-13</v>
          </cell>
        </row>
        <row r="86">
          <cell r="A86">
            <v>42.5</v>
          </cell>
          <cell r="X86">
            <v>-13</v>
          </cell>
        </row>
        <row r="87">
          <cell r="A87">
            <v>43</v>
          </cell>
          <cell r="X87">
            <v>-13</v>
          </cell>
        </row>
        <row r="88">
          <cell r="A88">
            <v>43.5</v>
          </cell>
          <cell r="X88">
            <v>-13</v>
          </cell>
        </row>
        <row r="89">
          <cell r="A89">
            <v>44</v>
          </cell>
          <cell r="X89">
            <v>-13</v>
          </cell>
        </row>
        <row r="90">
          <cell r="A90">
            <v>44.5</v>
          </cell>
          <cell r="X90">
            <v>-13</v>
          </cell>
        </row>
        <row r="91">
          <cell r="A91">
            <v>45</v>
          </cell>
          <cell r="X91">
            <v>-13</v>
          </cell>
        </row>
        <row r="92">
          <cell r="A92">
            <v>45.5</v>
          </cell>
          <cell r="X92">
            <v>-13</v>
          </cell>
        </row>
        <row r="93">
          <cell r="A93">
            <v>46</v>
          </cell>
          <cell r="X93">
            <v>-13</v>
          </cell>
        </row>
        <row r="94">
          <cell r="A94">
            <v>46.5</v>
          </cell>
          <cell r="X94">
            <v>-13</v>
          </cell>
        </row>
        <row r="95">
          <cell r="A95">
            <v>47</v>
          </cell>
          <cell r="X95">
            <v>-13</v>
          </cell>
        </row>
        <row r="96">
          <cell r="A96">
            <v>47.5</v>
          </cell>
          <cell r="X96">
            <v>-13</v>
          </cell>
        </row>
        <row r="97">
          <cell r="A97">
            <v>48</v>
          </cell>
          <cell r="X97">
            <v>-13</v>
          </cell>
        </row>
        <row r="98">
          <cell r="A98">
            <v>48.5</v>
          </cell>
          <cell r="X98">
            <v>-13</v>
          </cell>
        </row>
        <row r="99">
          <cell r="A99">
            <v>49</v>
          </cell>
          <cell r="X99">
            <v>-13</v>
          </cell>
        </row>
        <row r="100">
          <cell r="A100">
            <v>49.5</v>
          </cell>
          <cell r="X100">
            <v>-13</v>
          </cell>
        </row>
        <row r="101">
          <cell r="A101">
            <v>50</v>
          </cell>
          <cell r="X101">
            <v>-13</v>
          </cell>
        </row>
        <row r="102">
          <cell r="A102">
            <v>50.5</v>
          </cell>
          <cell r="X102">
            <v>-13</v>
          </cell>
        </row>
        <row r="103">
          <cell r="A103">
            <v>51</v>
          </cell>
          <cell r="X103">
            <v>-13</v>
          </cell>
        </row>
        <row r="104">
          <cell r="A104">
            <v>51.5</v>
          </cell>
          <cell r="X104">
            <v>-13</v>
          </cell>
        </row>
        <row r="105">
          <cell r="A105">
            <v>52</v>
          </cell>
          <cell r="X105">
            <v>-13</v>
          </cell>
        </row>
        <row r="106">
          <cell r="A106">
            <v>52.5</v>
          </cell>
          <cell r="X106">
            <v>-13</v>
          </cell>
        </row>
        <row r="107">
          <cell r="A107">
            <v>53</v>
          </cell>
          <cell r="X107">
            <v>-13</v>
          </cell>
        </row>
        <row r="108">
          <cell r="A108">
            <v>53.5</v>
          </cell>
          <cell r="X108">
            <v>-13</v>
          </cell>
        </row>
        <row r="109">
          <cell r="A109">
            <v>54</v>
          </cell>
          <cell r="X109">
            <v>-13</v>
          </cell>
        </row>
        <row r="110">
          <cell r="A110">
            <v>54.5</v>
          </cell>
          <cell r="X110">
            <v>-13</v>
          </cell>
        </row>
        <row r="111">
          <cell r="A111">
            <v>55</v>
          </cell>
          <cell r="X111">
            <v>-13</v>
          </cell>
        </row>
        <row r="112">
          <cell r="A112">
            <v>55.5</v>
          </cell>
          <cell r="X112">
            <v>-13</v>
          </cell>
        </row>
        <row r="113">
          <cell r="A113">
            <v>56</v>
          </cell>
          <cell r="X113">
            <v>-13</v>
          </cell>
        </row>
        <row r="114">
          <cell r="A114">
            <v>56.5</v>
          </cell>
          <cell r="X114">
            <v>-13</v>
          </cell>
        </row>
        <row r="115">
          <cell r="A115">
            <v>57</v>
          </cell>
          <cell r="X115">
            <v>-13</v>
          </cell>
        </row>
        <row r="116">
          <cell r="A116">
            <v>57.5</v>
          </cell>
          <cell r="X116">
            <v>-13</v>
          </cell>
        </row>
        <row r="117">
          <cell r="A117">
            <v>58</v>
          </cell>
          <cell r="X117">
            <v>-13</v>
          </cell>
        </row>
        <row r="118">
          <cell r="A118">
            <v>58.5</v>
          </cell>
          <cell r="X118">
            <v>-13</v>
          </cell>
        </row>
        <row r="119">
          <cell r="A119">
            <v>59</v>
          </cell>
          <cell r="X119">
            <v>-13</v>
          </cell>
        </row>
        <row r="120">
          <cell r="A120">
            <v>59.5</v>
          </cell>
          <cell r="X120">
            <v>-13</v>
          </cell>
        </row>
        <row r="121">
          <cell r="A121">
            <v>60</v>
          </cell>
          <cell r="X121">
            <v>-13</v>
          </cell>
        </row>
        <row r="122">
          <cell r="A122">
            <v>60.5</v>
          </cell>
          <cell r="X122">
            <v>-13</v>
          </cell>
        </row>
        <row r="123">
          <cell r="A123">
            <v>61</v>
          </cell>
          <cell r="X123">
            <v>-13</v>
          </cell>
        </row>
        <row r="124">
          <cell r="A124">
            <v>61.5</v>
          </cell>
          <cell r="X124">
            <v>-13</v>
          </cell>
        </row>
        <row r="125">
          <cell r="A125">
            <v>62</v>
          </cell>
          <cell r="X125">
            <v>-13</v>
          </cell>
        </row>
        <row r="126">
          <cell r="A126">
            <v>62.5</v>
          </cell>
          <cell r="X126">
            <v>-13</v>
          </cell>
        </row>
        <row r="127">
          <cell r="A127">
            <v>63</v>
          </cell>
          <cell r="X127">
            <v>-13</v>
          </cell>
        </row>
        <row r="128">
          <cell r="A128">
            <v>63.5</v>
          </cell>
          <cell r="X128">
            <v>-13</v>
          </cell>
        </row>
        <row r="129">
          <cell r="A129">
            <v>64</v>
          </cell>
          <cell r="X129">
            <v>-13</v>
          </cell>
        </row>
        <row r="130">
          <cell r="A130">
            <v>64.5</v>
          </cell>
          <cell r="X130">
            <v>-13</v>
          </cell>
        </row>
        <row r="131">
          <cell r="A131">
            <v>65</v>
          </cell>
          <cell r="X131">
            <v>-13</v>
          </cell>
        </row>
        <row r="132">
          <cell r="A132">
            <v>65.5</v>
          </cell>
          <cell r="X132">
            <v>-13</v>
          </cell>
        </row>
        <row r="133">
          <cell r="A133">
            <v>66</v>
          </cell>
          <cell r="X133">
            <v>-13</v>
          </cell>
        </row>
        <row r="134">
          <cell r="A134">
            <v>66.5</v>
          </cell>
          <cell r="X134">
            <v>-13</v>
          </cell>
        </row>
        <row r="135">
          <cell r="A135">
            <v>67</v>
          </cell>
          <cell r="X135">
            <v>-13</v>
          </cell>
        </row>
        <row r="136">
          <cell r="A136">
            <v>67.5</v>
          </cell>
          <cell r="X136">
            <v>-13</v>
          </cell>
        </row>
        <row r="137">
          <cell r="A137">
            <v>68</v>
          </cell>
          <cell r="X137">
            <v>-13</v>
          </cell>
        </row>
        <row r="138">
          <cell r="A138">
            <v>68.5</v>
          </cell>
          <cell r="X138">
            <v>-13</v>
          </cell>
        </row>
        <row r="139">
          <cell r="A139">
            <v>69</v>
          </cell>
          <cell r="X139">
            <v>-13</v>
          </cell>
        </row>
        <row r="140">
          <cell r="A140">
            <v>69.5</v>
          </cell>
          <cell r="X140">
            <v>-13</v>
          </cell>
        </row>
        <row r="141">
          <cell r="A141">
            <v>70</v>
          </cell>
          <cell r="X141">
            <v>-13</v>
          </cell>
        </row>
        <row r="142">
          <cell r="A142">
            <v>70.5</v>
          </cell>
          <cell r="X142">
            <v>-13</v>
          </cell>
        </row>
        <row r="143">
          <cell r="A143">
            <v>71</v>
          </cell>
          <cell r="X143">
            <v>-13</v>
          </cell>
        </row>
        <row r="144">
          <cell r="A144">
            <v>71.5</v>
          </cell>
        </row>
        <row r="145">
          <cell r="A145">
            <v>72</v>
          </cell>
        </row>
        <row r="146">
          <cell r="A146">
            <v>72.5</v>
          </cell>
        </row>
        <row r="147">
          <cell r="A147">
            <v>73</v>
          </cell>
        </row>
        <row r="148">
          <cell r="A148">
            <v>73.5</v>
          </cell>
        </row>
        <row r="149">
          <cell r="A149">
            <v>74</v>
          </cell>
        </row>
        <row r="150">
          <cell r="A150">
            <v>74.5</v>
          </cell>
        </row>
        <row r="151">
          <cell r="A151">
            <v>75</v>
          </cell>
        </row>
        <row r="152">
          <cell r="A152">
            <v>75.5</v>
          </cell>
        </row>
        <row r="153">
          <cell r="A153">
            <v>76</v>
          </cell>
        </row>
        <row r="154">
          <cell r="A154">
            <v>76.5</v>
          </cell>
        </row>
        <row r="155">
          <cell r="A155">
            <v>77</v>
          </cell>
        </row>
        <row r="156">
          <cell r="A156">
            <v>77.5</v>
          </cell>
        </row>
        <row r="157">
          <cell r="A157">
            <v>78</v>
          </cell>
        </row>
        <row r="158">
          <cell r="A158">
            <v>78.5</v>
          </cell>
        </row>
        <row r="159">
          <cell r="A159">
            <v>79</v>
          </cell>
        </row>
        <row r="160">
          <cell r="A160">
            <v>79.5</v>
          </cell>
        </row>
        <row r="161">
          <cell r="A161">
            <v>80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29B9-751D-423C-B44D-F20CD410FAF0}">
  <dimension ref="A1:Y798"/>
  <sheetViews>
    <sheetView zoomScale="44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458.20870870870999</v>
      </c>
      <c r="E2">
        <v>234.79579579579999</v>
      </c>
      <c r="F2">
        <v>165.72171945701001</v>
      </c>
      <c r="G2">
        <v>131.35218702866001</v>
      </c>
      <c r="H2" s="4"/>
      <c r="I2" s="5">
        <f>E2-G2</f>
        <v>103.44360876713998</v>
      </c>
      <c r="J2" s="5">
        <f>D2-F2</f>
        <v>292.48698925169998</v>
      </c>
      <c r="K2" s="9">
        <f>I2*1</f>
        <v>103.44360876713998</v>
      </c>
      <c r="L2" s="6">
        <f t="shared" ref="L2:L65" si="0">K2/J2</f>
        <v>0.35366909492894222</v>
      </c>
      <c r="M2" s="6">
        <f>L2+ABS($N$2)*A2</f>
        <v>0.35366909492894222</v>
      </c>
      <c r="N2" s="4">
        <f>LINEST(V64:V103,U64:U103)</f>
        <v>-3.5500668515674226E-4</v>
      </c>
      <c r="O2" s="7">
        <f>AVERAGE(M62:M81)</f>
        <v>0.39393942997986364</v>
      </c>
      <c r="P2" s="4">
        <f>(M2-$O$2)/$O$2*100</f>
        <v>-10.222468731545826</v>
      </c>
    </row>
    <row r="3" spans="1:16" x14ac:dyDescent="0.2">
      <c r="A3" s="8">
        <v>0.5</v>
      </c>
      <c r="B3" s="8">
        <v>1</v>
      </c>
      <c r="D3">
        <v>455.25075075075</v>
      </c>
      <c r="E3">
        <v>232.74474474474999</v>
      </c>
      <c r="F3">
        <v>165.91704374056999</v>
      </c>
      <c r="G3">
        <v>131.04600301658999</v>
      </c>
      <c r="I3" s="9">
        <f t="shared" ref="I3:I66" si="1">E3-G3</f>
        <v>101.69874172816</v>
      </c>
      <c r="J3" s="9">
        <f t="shared" ref="J3:J66" si="2">D3-F3</f>
        <v>289.33370701017998</v>
      </c>
      <c r="K3" s="9">
        <f t="shared" ref="K3:K66" si="3">I3*1</f>
        <v>101.69874172816</v>
      </c>
      <c r="L3" s="10">
        <f t="shared" si="0"/>
        <v>0.35149289303019854</v>
      </c>
      <c r="M3" s="10">
        <f t="shared" ref="M3:M66" si="4">L3+ABS($N$2)*A3</f>
        <v>0.35167039637277692</v>
      </c>
      <c r="P3" s="8">
        <f t="shared" ref="P3:P66" si="5">(M3-$O$2)/$O$2*100</f>
        <v>-10.729830626309056</v>
      </c>
    </row>
    <row r="4" spans="1:16" ht="16" x14ac:dyDescent="0.2">
      <c r="A4" s="8">
        <v>1</v>
      </c>
      <c r="B4" s="8">
        <v>2</v>
      </c>
      <c r="D4">
        <v>452.97447447447001</v>
      </c>
      <c r="E4">
        <v>231.03603603604</v>
      </c>
      <c r="F4">
        <v>165.45701357466001</v>
      </c>
      <c r="G4">
        <v>131.01131221719999</v>
      </c>
      <c r="I4" s="9">
        <f t="shared" si="1"/>
        <v>100.02472381884002</v>
      </c>
      <c r="J4" s="9">
        <f t="shared" si="2"/>
        <v>287.51746089980998</v>
      </c>
      <c r="K4" s="9">
        <f t="shared" si="3"/>
        <v>100.02472381884002</v>
      </c>
      <c r="L4" s="10">
        <f t="shared" si="0"/>
        <v>0.34789095419041427</v>
      </c>
      <c r="M4" s="10">
        <f t="shared" si="4"/>
        <v>0.34824596087557103</v>
      </c>
      <c r="N4" s="1" t="s">
        <v>7</v>
      </c>
      <c r="P4" s="8">
        <f t="shared" si="5"/>
        <v>-11.59911032684092</v>
      </c>
    </row>
    <row r="5" spans="1:16" x14ac:dyDescent="0.2">
      <c r="A5" s="8">
        <v>1.5</v>
      </c>
      <c r="B5" s="8">
        <v>3</v>
      </c>
      <c r="D5">
        <v>456.60859728507</v>
      </c>
      <c r="E5">
        <v>232.73152337857999</v>
      </c>
      <c r="F5">
        <v>165.86500754148</v>
      </c>
      <c r="G5">
        <v>130.79864253394001</v>
      </c>
      <c r="I5" s="9">
        <f t="shared" si="1"/>
        <v>101.93288084463998</v>
      </c>
      <c r="J5" s="9">
        <f t="shared" si="2"/>
        <v>290.74358974359001</v>
      </c>
      <c r="K5" s="9">
        <f t="shared" si="3"/>
        <v>101.93288084463998</v>
      </c>
      <c r="L5" s="10">
        <f t="shared" si="0"/>
        <v>0.35059373427471169</v>
      </c>
      <c r="M5" s="10">
        <f t="shared" si="4"/>
        <v>0.35112624430244682</v>
      </c>
      <c r="N5" s="8">
        <f>RSQ(V64:V83,U64:U83)</f>
        <v>0.63123212837300235</v>
      </c>
      <c r="P5" s="8">
        <f t="shared" si="5"/>
        <v>-10.867961523832543</v>
      </c>
    </row>
    <row r="6" spans="1:16" x14ac:dyDescent="0.2">
      <c r="A6" s="8">
        <v>2</v>
      </c>
      <c r="B6" s="8">
        <v>4</v>
      </c>
      <c r="D6">
        <v>456.11960635882002</v>
      </c>
      <c r="E6">
        <v>233.61014383042999</v>
      </c>
      <c r="F6">
        <v>165.85897435896999</v>
      </c>
      <c r="G6">
        <v>131.31749622926</v>
      </c>
      <c r="I6" s="9">
        <f t="shared" si="1"/>
        <v>102.29264760116999</v>
      </c>
      <c r="J6" s="9">
        <f t="shared" si="2"/>
        <v>290.26063199985003</v>
      </c>
      <c r="K6" s="9">
        <f t="shared" si="3"/>
        <v>102.29264760116999</v>
      </c>
      <c r="L6" s="10">
        <f t="shared" si="0"/>
        <v>0.35241653990894239</v>
      </c>
      <c r="M6" s="10">
        <f t="shared" si="4"/>
        <v>0.35312655327925591</v>
      </c>
      <c r="P6" s="8">
        <f t="shared" si="5"/>
        <v>-10.360190830020215</v>
      </c>
    </row>
    <row r="7" spans="1:16" x14ac:dyDescent="0.2">
      <c r="A7" s="8">
        <v>2.5</v>
      </c>
      <c r="B7" s="8">
        <v>5</v>
      </c>
      <c r="D7">
        <v>447.42694928085001</v>
      </c>
      <c r="E7">
        <v>230.71915215746</v>
      </c>
      <c r="F7">
        <v>165.49547511311999</v>
      </c>
      <c r="G7">
        <v>131.53695324284001</v>
      </c>
      <c r="I7" s="9">
        <f t="shared" si="1"/>
        <v>99.182198914619988</v>
      </c>
      <c r="J7" s="9">
        <f t="shared" si="2"/>
        <v>281.93147416773002</v>
      </c>
      <c r="K7" s="9">
        <f t="shared" si="3"/>
        <v>99.182198914619988</v>
      </c>
      <c r="L7" s="10">
        <f t="shared" si="0"/>
        <v>0.35179541130485253</v>
      </c>
      <c r="M7" s="10">
        <f t="shared" si="4"/>
        <v>0.35268292801774437</v>
      </c>
      <c r="P7" s="8">
        <f t="shared" si="5"/>
        <v>-10.472803386101289</v>
      </c>
    </row>
    <row r="8" spans="1:16" x14ac:dyDescent="0.2">
      <c r="A8" s="8">
        <v>3</v>
      </c>
      <c r="B8" s="8">
        <v>6</v>
      </c>
      <c r="D8">
        <v>434.23618470855001</v>
      </c>
      <c r="E8">
        <v>226.441332324</v>
      </c>
      <c r="F8">
        <v>166.43815987933999</v>
      </c>
      <c r="G8">
        <v>131.59276018099999</v>
      </c>
      <c r="I8" s="9">
        <f t="shared" si="1"/>
        <v>94.848572143000013</v>
      </c>
      <c r="J8" s="9">
        <f t="shared" si="2"/>
        <v>267.79802482921002</v>
      </c>
      <c r="K8" s="9">
        <f t="shared" si="3"/>
        <v>94.848572143000013</v>
      </c>
      <c r="L8" s="10">
        <f t="shared" si="0"/>
        <v>0.35417950600453579</v>
      </c>
      <c r="M8" s="10">
        <f t="shared" si="4"/>
        <v>0.35524452606000601</v>
      </c>
      <c r="P8" s="8">
        <f t="shared" si="5"/>
        <v>-9.8225516348631423</v>
      </c>
    </row>
    <row r="9" spans="1:16" x14ac:dyDescent="0.2">
      <c r="A9" s="8">
        <v>3.5</v>
      </c>
      <c r="B9" s="8">
        <v>7</v>
      </c>
      <c r="D9">
        <v>420.04163512490999</v>
      </c>
      <c r="E9">
        <v>223.09084027252001</v>
      </c>
      <c r="F9">
        <v>166.60558069382</v>
      </c>
      <c r="G9">
        <v>131.24208144796</v>
      </c>
      <c r="I9" s="9">
        <f t="shared" si="1"/>
        <v>91.848758824560008</v>
      </c>
      <c r="J9" s="9">
        <f t="shared" si="2"/>
        <v>253.43605443108999</v>
      </c>
      <c r="K9" s="9">
        <f t="shared" si="3"/>
        <v>91.848758824560008</v>
      </c>
      <c r="L9" s="10">
        <f t="shared" si="0"/>
        <v>0.36241393921137594</v>
      </c>
      <c r="M9" s="10">
        <f t="shared" si="4"/>
        <v>0.36365646260942452</v>
      </c>
      <c r="P9" s="8">
        <f t="shared" si="5"/>
        <v>-7.6872140907517288</v>
      </c>
    </row>
    <row r="10" spans="1:16" x14ac:dyDescent="0.2">
      <c r="A10" s="8">
        <v>4</v>
      </c>
      <c r="B10" s="8">
        <v>8</v>
      </c>
      <c r="D10">
        <v>477.65102195307003</v>
      </c>
      <c r="E10">
        <v>238.50416351249001</v>
      </c>
      <c r="F10">
        <v>165.73001508295999</v>
      </c>
      <c r="G10">
        <v>131.31598793364</v>
      </c>
      <c r="I10" s="9">
        <f t="shared" si="1"/>
        <v>107.18817557885001</v>
      </c>
      <c r="J10" s="9">
        <f t="shared" si="2"/>
        <v>311.92100687011003</v>
      </c>
      <c r="K10" s="9">
        <f t="shared" si="3"/>
        <v>107.18817557885001</v>
      </c>
      <c r="L10" s="10">
        <f t="shared" si="0"/>
        <v>0.34363884835587633</v>
      </c>
      <c r="M10" s="10">
        <f t="shared" si="4"/>
        <v>0.34505887509650329</v>
      </c>
      <c r="P10" s="8">
        <f t="shared" si="5"/>
        <v>-12.408139719819083</v>
      </c>
    </row>
    <row r="11" spans="1:16" x14ac:dyDescent="0.2">
      <c r="A11" s="8">
        <v>4.5</v>
      </c>
      <c r="B11" s="8">
        <v>9</v>
      </c>
      <c r="D11">
        <v>469.13171839516002</v>
      </c>
      <c r="E11">
        <v>238.02195306586</v>
      </c>
      <c r="F11">
        <v>166.72096530920001</v>
      </c>
      <c r="G11">
        <v>131.2322775264</v>
      </c>
      <c r="I11" s="9">
        <f t="shared" si="1"/>
        <v>106.78967553946001</v>
      </c>
      <c r="J11" s="9">
        <f t="shared" si="2"/>
        <v>302.41075308595998</v>
      </c>
      <c r="K11" s="9">
        <f t="shared" si="3"/>
        <v>106.78967553946001</v>
      </c>
      <c r="L11" s="10">
        <f t="shared" si="0"/>
        <v>0.35312790451305526</v>
      </c>
      <c r="M11" s="10">
        <f t="shared" si="4"/>
        <v>0.3547254345962606</v>
      </c>
      <c r="P11" s="8">
        <f t="shared" si="5"/>
        <v>-9.9543209943740543</v>
      </c>
    </row>
    <row r="12" spans="1:16" x14ac:dyDescent="0.2">
      <c r="A12" s="8">
        <v>5</v>
      </c>
      <c r="B12" s="8">
        <v>10</v>
      </c>
      <c r="D12">
        <v>474.75</v>
      </c>
      <c r="E12">
        <v>237.68674698794999</v>
      </c>
      <c r="F12">
        <v>165.91628959275999</v>
      </c>
      <c r="G12">
        <v>131.52564102564</v>
      </c>
      <c r="I12" s="9">
        <f t="shared" si="1"/>
        <v>106.16110596230999</v>
      </c>
      <c r="J12" s="9">
        <f t="shared" si="2"/>
        <v>308.83371040724001</v>
      </c>
      <c r="K12" s="9">
        <f t="shared" si="3"/>
        <v>106.16110596230999</v>
      </c>
      <c r="L12" s="10">
        <f t="shared" si="0"/>
        <v>0.3437484393213483</v>
      </c>
      <c r="M12" s="10">
        <f t="shared" si="4"/>
        <v>0.34552347274713202</v>
      </c>
      <c r="P12" s="8">
        <f t="shared" si="5"/>
        <v>-12.290203403910702</v>
      </c>
    </row>
    <row r="13" spans="1:16" x14ac:dyDescent="0.2">
      <c r="A13" s="8">
        <v>5.5</v>
      </c>
      <c r="B13" s="8">
        <v>11</v>
      </c>
      <c r="D13">
        <v>475.19051204818999</v>
      </c>
      <c r="E13">
        <v>237.72891566265</v>
      </c>
      <c r="F13">
        <v>166.19834087480999</v>
      </c>
      <c r="G13">
        <v>131.58371040724001</v>
      </c>
      <c r="I13" s="9">
        <f t="shared" si="1"/>
        <v>106.14520525540999</v>
      </c>
      <c r="J13" s="9">
        <f t="shared" si="2"/>
        <v>308.99217117338003</v>
      </c>
      <c r="K13" s="9">
        <f t="shared" si="3"/>
        <v>106.14520525540999</v>
      </c>
      <c r="L13" s="10">
        <f t="shared" si="0"/>
        <v>0.34352069456106177</v>
      </c>
      <c r="M13" s="10">
        <f t="shared" si="4"/>
        <v>0.34547323132942387</v>
      </c>
      <c r="P13" s="8">
        <f t="shared" si="5"/>
        <v>-12.302956993392904</v>
      </c>
    </row>
    <row r="14" spans="1:16" x14ac:dyDescent="0.2">
      <c r="A14" s="8">
        <v>6</v>
      </c>
      <c r="B14" s="8">
        <v>12</v>
      </c>
      <c r="D14">
        <v>483.69879518072003</v>
      </c>
      <c r="E14">
        <v>239.42394578312999</v>
      </c>
      <c r="F14">
        <v>166.65761689291</v>
      </c>
      <c r="G14">
        <v>131.37858220211001</v>
      </c>
      <c r="I14" s="9">
        <f t="shared" si="1"/>
        <v>108.04536358101998</v>
      </c>
      <c r="J14" s="9">
        <f t="shared" si="2"/>
        <v>317.04117828781</v>
      </c>
      <c r="K14" s="9">
        <f t="shared" si="3"/>
        <v>108.04536358101998</v>
      </c>
      <c r="L14" s="10">
        <f t="shared" si="0"/>
        <v>0.34079284011156558</v>
      </c>
      <c r="M14" s="10">
        <f t="shared" si="4"/>
        <v>0.34292288022250605</v>
      </c>
      <c r="P14" s="8">
        <f t="shared" si="5"/>
        <v>-12.950353753612658</v>
      </c>
    </row>
    <row r="15" spans="1:16" x14ac:dyDescent="0.2">
      <c r="A15" s="8">
        <v>6.5</v>
      </c>
      <c r="B15" s="8">
        <v>13</v>
      </c>
      <c r="D15">
        <v>482.81647940074998</v>
      </c>
      <c r="E15">
        <v>238.79475655431</v>
      </c>
      <c r="F15">
        <v>166.40874811462999</v>
      </c>
      <c r="G15">
        <v>131.69683257918999</v>
      </c>
      <c r="I15" s="9">
        <f t="shared" si="1"/>
        <v>107.09792397512001</v>
      </c>
      <c r="J15" s="9">
        <f t="shared" si="2"/>
        <v>316.40773128612</v>
      </c>
      <c r="K15" s="9">
        <f t="shared" si="3"/>
        <v>107.09792397512001</v>
      </c>
      <c r="L15" s="10">
        <f t="shared" si="0"/>
        <v>0.3384807429951005</v>
      </c>
      <c r="M15" s="10">
        <f t="shared" si="4"/>
        <v>0.3407882864486193</v>
      </c>
      <c r="P15" s="8">
        <f t="shared" si="5"/>
        <v>-13.492212123564574</v>
      </c>
    </row>
    <row r="16" spans="1:16" x14ac:dyDescent="0.2">
      <c r="A16" s="8">
        <v>7</v>
      </c>
      <c r="B16" s="8">
        <v>14</v>
      </c>
      <c r="D16">
        <v>473.03330809992002</v>
      </c>
      <c r="E16">
        <v>236.50870552612</v>
      </c>
      <c r="F16">
        <v>166.27677224735999</v>
      </c>
      <c r="G16">
        <v>131.60558069382</v>
      </c>
      <c r="I16" s="9">
        <f t="shared" si="1"/>
        <v>104.90312483229999</v>
      </c>
      <c r="J16" s="9">
        <f t="shared" si="2"/>
        <v>306.75653585256003</v>
      </c>
      <c r="K16" s="9">
        <f t="shared" si="3"/>
        <v>104.90312483229999</v>
      </c>
      <c r="L16" s="10">
        <f t="shared" si="0"/>
        <v>0.34197519065321824</v>
      </c>
      <c r="M16" s="10">
        <f t="shared" si="4"/>
        <v>0.34446023744931542</v>
      </c>
      <c r="P16" s="8">
        <f t="shared" si="5"/>
        <v>-12.560101570202651</v>
      </c>
    </row>
    <row r="17" spans="1:16" x14ac:dyDescent="0.2">
      <c r="A17" s="8">
        <v>7.5</v>
      </c>
      <c r="B17" s="8">
        <v>15</v>
      </c>
      <c r="D17">
        <v>476.02119606359003</v>
      </c>
      <c r="E17">
        <v>235.12944738834</v>
      </c>
      <c r="F17">
        <v>166.93589743589999</v>
      </c>
      <c r="G17">
        <v>131.51659125188999</v>
      </c>
      <c r="I17" s="9">
        <f t="shared" si="1"/>
        <v>103.61285613645001</v>
      </c>
      <c r="J17" s="9">
        <f t="shared" si="2"/>
        <v>309.08529862769001</v>
      </c>
      <c r="K17" s="9">
        <f t="shared" si="3"/>
        <v>103.61285613645001</v>
      </c>
      <c r="L17" s="10">
        <f t="shared" si="0"/>
        <v>0.33522414879155188</v>
      </c>
      <c r="M17" s="10">
        <f t="shared" si="4"/>
        <v>0.33788669893022744</v>
      </c>
      <c r="P17" s="8">
        <f t="shared" si="5"/>
        <v>-14.228768887770732</v>
      </c>
    </row>
    <row r="18" spans="1:16" x14ac:dyDescent="0.2">
      <c r="A18" s="8">
        <v>8</v>
      </c>
      <c r="B18" s="8">
        <v>16</v>
      </c>
      <c r="D18">
        <v>466.41879699248</v>
      </c>
      <c r="E18">
        <v>233.78721804511</v>
      </c>
      <c r="F18">
        <v>166.90497737557001</v>
      </c>
      <c r="G18">
        <v>131.5060331825</v>
      </c>
      <c r="I18" s="9">
        <f t="shared" si="1"/>
        <v>102.28118486260999</v>
      </c>
      <c r="J18" s="9">
        <f t="shared" si="2"/>
        <v>299.51381961690998</v>
      </c>
      <c r="K18" s="9">
        <f t="shared" si="3"/>
        <v>102.28118486260999</v>
      </c>
      <c r="L18" s="10">
        <f t="shared" si="0"/>
        <v>0.34149070314495561</v>
      </c>
      <c r="M18" s="10">
        <f t="shared" si="4"/>
        <v>0.34433075662620954</v>
      </c>
      <c r="P18" s="8">
        <f t="shared" si="5"/>
        <v>-12.592969776137885</v>
      </c>
    </row>
    <row r="19" spans="1:16" x14ac:dyDescent="0.2">
      <c r="A19" s="8">
        <v>8.5</v>
      </c>
      <c r="B19" s="8">
        <v>17</v>
      </c>
      <c r="D19">
        <v>471.53788447111998</v>
      </c>
      <c r="E19">
        <v>235.87321830458001</v>
      </c>
      <c r="F19">
        <v>166.46229260934999</v>
      </c>
      <c r="G19">
        <v>131.74811463047001</v>
      </c>
      <c r="I19" s="9">
        <f t="shared" si="1"/>
        <v>104.12510367410999</v>
      </c>
      <c r="J19" s="9">
        <f t="shared" si="2"/>
        <v>305.07559186177002</v>
      </c>
      <c r="K19" s="9">
        <f t="shared" si="3"/>
        <v>104.12510367410999</v>
      </c>
      <c r="L19" s="10">
        <f t="shared" si="0"/>
        <v>0.3413091917274364</v>
      </c>
      <c r="M19" s="10">
        <f t="shared" si="4"/>
        <v>0.34432674855126871</v>
      </c>
      <c r="P19" s="8">
        <f t="shared" si="5"/>
        <v>-12.593987210452863</v>
      </c>
    </row>
    <row r="20" spans="1:16" x14ac:dyDescent="0.2">
      <c r="A20" s="8">
        <v>9</v>
      </c>
      <c r="B20" s="8">
        <v>18</v>
      </c>
      <c r="D20">
        <v>467.04651162790998</v>
      </c>
      <c r="E20">
        <v>236.90322580645</v>
      </c>
      <c r="F20">
        <v>167.95852187029001</v>
      </c>
      <c r="G20">
        <v>132.36500754148</v>
      </c>
      <c r="I20" s="9">
        <f t="shared" si="1"/>
        <v>104.53821826497</v>
      </c>
      <c r="J20" s="9">
        <f t="shared" si="2"/>
        <v>299.08798975761999</v>
      </c>
      <c r="K20" s="9">
        <f t="shared" si="3"/>
        <v>104.53821826497</v>
      </c>
      <c r="L20" s="10">
        <f t="shared" si="0"/>
        <v>0.34952329028553591</v>
      </c>
      <c r="M20" s="10">
        <f t="shared" si="4"/>
        <v>0.35271835045194661</v>
      </c>
      <c r="P20" s="8">
        <f t="shared" si="5"/>
        <v>-10.463811538241822</v>
      </c>
    </row>
    <row r="21" spans="1:16" x14ac:dyDescent="0.2">
      <c r="A21" s="8">
        <v>9.5</v>
      </c>
      <c r="B21" s="8">
        <v>19</v>
      </c>
      <c r="D21">
        <v>466.78646616540999</v>
      </c>
      <c r="E21">
        <v>237.69548872180999</v>
      </c>
      <c r="F21">
        <v>167.06485671191999</v>
      </c>
      <c r="G21">
        <v>131.90573152338001</v>
      </c>
      <c r="I21" s="9">
        <f t="shared" si="1"/>
        <v>105.78975719842998</v>
      </c>
      <c r="J21" s="9">
        <f t="shared" si="2"/>
        <v>299.72160945349003</v>
      </c>
      <c r="K21" s="9">
        <f t="shared" si="3"/>
        <v>105.78975719842998</v>
      </c>
      <c r="L21" s="10">
        <f t="shared" si="0"/>
        <v>0.35296005980792033</v>
      </c>
      <c r="M21" s="10">
        <f t="shared" si="4"/>
        <v>0.3563326233169094</v>
      </c>
      <c r="P21" s="8">
        <f t="shared" si="5"/>
        <v>-9.546342356457318</v>
      </c>
    </row>
    <row r="22" spans="1:16" x14ac:dyDescent="0.2">
      <c r="A22" s="8">
        <v>10</v>
      </c>
      <c r="B22" s="8">
        <v>20</v>
      </c>
      <c r="D22">
        <v>467.69699248120003</v>
      </c>
      <c r="E22">
        <v>237.47969924812</v>
      </c>
      <c r="F22">
        <v>167.38009049774001</v>
      </c>
      <c r="G22">
        <v>131.72247360482999</v>
      </c>
      <c r="I22" s="9">
        <f t="shared" si="1"/>
        <v>105.75722564329001</v>
      </c>
      <c r="J22" s="9">
        <f t="shared" si="2"/>
        <v>300.31690198346001</v>
      </c>
      <c r="K22" s="9">
        <f t="shared" si="3"/>
        <v>105.75722564329001</v>
      </c>
      <c r="L22" s="10">
        <f t="shared" si="0"/>
        <v>0.35215209315496537</v>
      </c>
      <c r="M22" s="10">
        <f t="shared" si="4"/>
        <v>0.35570216000653282</v>
      </c>
      <c r="P22" s="8">
        <f t="shared" si="5"/>
        <v>-9.7063830282958321</v>
      </c>
    </row>
    <row r="23" spans="1:16" x14ac:dyDescent="0.2">
      <c r="A23" s="8">
        <v>10.5</v>
      </c>
      <c r="B23" s="8">
        <v>21</v>
      </c>
      <c r="D23">
        <v>466.08045112782003</v>
      </c>
      <c r="E23">
        <v>235.92706766916999</v>
      </c>
      <c r="F23">
        <v>167.77149321267001</v>
      </c>
      <c r="G23">
        <v>132.13122171946</v>
      </c>
      <c r="I23" s="9">
        <f t="shared" si="1"/>
        <v>103.79584594970999</v>
      </c>
      <c r="J23" s="9">
        <f t="shared" si="2"/>
        <v>298.30895791515002</v>
      </c>
      <c r="K23" s="9">
        <f t="shared" si="3"/>
        <v>103.79584594970999</v>
      </c>
      <c r="L23" s="10">
        <f t="shared" si="0"/>
        <v>0.34794746585931663</v>
      </c>
      <c r="M23" s="10">
        <f t="shared" si="4"/>
        <v>0.3516750360534624</v>
      </c>
      <c r="P23" s="8">
        <f t="shared" si="5"/>
        <v>-10.728652861319722</v>
      </c>
    </row>
    <row r="24" spans="1:16" x14ac:dyDescent="0.2">
      <c r="A24" s="8">
        <v>11</v>
      </c>
      <c r="B24" s="8">
        <v>22</v>
      </c>
      <c r="D24">
        <v>473.03247734139001</v>
      </c>
      <c r="E24">
        <v>236.27265861027001</v>
      </c>
      <c r="F24">
        <v>167.85294117647001</v>
      </c>
      <c r="G24">
        <v>131.66365007542001</v>
      </c>
      <c r="I24" s="9">
        <f t="shared" si="1"/>
        <v>104.60900853485001</v>
      </c>
      <c r="J24" s="9">
        <f t="shared" si="2"/>
        <v>305.17953616492002</v>
      </c>
      <c r="K24" s="9">
        <f t="shared" si="3"/>
        <v>104.60900853485001</v>
      </c>
      <c r="L24" s="10">
        <f t="shared" si="0"/>
        <v>0.34277858158326496</v>
      </c>
      <c r="M24" s="10">
        <f t="shared" si="4"/>
        <v>0.34668365511998911</v>
      </c>
      <c r="P24" s="8">
        <f t="shared" si="5"/>
        <v>-11.995695597744565</v>
      </c>
    </row>
    <row r="25" spans="1:16" x14ac:dyDescent="0.2">
      <c r="A25" s="8">
        <v>11.5</v>
      </c>
      <c r="B25" s="8">
        <v>23</v>
      </c>
      <c r="D25">
        <v>477.41238670694997</v>
      </c>
      <c r="E25">
        <v>237.09138972810001</v>
      </c>
      <c r="F25">
        <v>167.36048265459999</v>
      </c>
      <c r="G25">
        <v>132.00226244344</v>
      </c>
      <c r="I25" s="9">
        <f t="shared" si="1"/>
        <v>105.08912728466001</v>
      </c>
      <c r="J25" s="9">
        <f t="shared" si="2"/>
        <v>310.05190405234998</v>
      </c>
      <c r="K25" s="9">
        <f t="shared" si="3"/>
        <v>105.08912728466001</v>
      </c>
      <c r="L25" s="10">
        <f t="shared" si="0"/>
        <v>0.33894043516957884</v>
      </c>
      <c r="M25" s="10">
        <f t="shared" si="4"/>
        <v>0.34302301204888136</v>
      </c>
      <c r="P25" s="8">
        <f t="shared" si="5"/>
        <v>-12.924935676935132</v>
      </c>
    </row>
    <row r="26" spans="1:16" x14ac:dyDescent="0.2">
      <c r="A26" s="8">
        <v>12</v>
      </c>
      <c r="B26" s="8">
        <v>24</v>
      </c>
      <c r="D26">
        <v>476.65634441088002</v>
      </c>
      <c r="E26">
        <v>236.48867069485999</v>
      </c>
      <c r="F26">
        <v>167.06561085972999</v>
      </c>
      <c r="G26">
        <v>131.91553544495</v>
      </c>
      <c r="I26" s="9">
        <f t="shared" si="1"/>
        <v>104.57313524991</v>
      </c>
      <c r="J26" s="9">
        <f t="shared" si="2"/>
        <v>309.59073355115004</v>
      </c>
      <c r="K26" s="9">
        <f t="shared" si="3"/>
        <v>104.57313524991</v>
      </c>
      <c r="L26" s="10">
        <f t="shared" si="0"/>
        <v>0.33777863455539314</v>
      </c>
      <c r="M26" s="10">
        <f t="shared" si="4"/>
        <v>0.34203871477727404</v>
      </c>
      <c r="P26" s="8">
        <f t="shared" si="5"/>
        <v>-13.174795730714878</v>
      </c>
    </row>
    <row r="27" spans="1:16" x14ac:dyDescent="0.2">
      <c r="A27" s="8">
        <v>12.5</v>
      </c>
      <c r="B27" s="8">
        <v>25</v>
      </c>
      <c r="D27">
        <v>475.32175226586003</v>
      </c>
      <c r="E27">
        <v>236.20619335347001</v>
      </c>
      <c r="F27">
        <v>168.02111613875999</v>
      </c>
      <c r="G27">
        <v>132.27526395173999</v>
      </c>
      <c r="I27" s="9">
        <f t="shared" si="1"/>
        <v>103.93092940173003</v>
      </c>
      <c r="J27" s="9">
        <f t="shared" si="2"/>
        <v>307.30063612710001</v>
      </c>
      <c r="K27" s="9">
        <f t="shared" si="3"/>
        <v>103.93092940173003</v>
      </c>
      <c r="L27" s="10">
        <f t="shared" si="0"/>
        <v>0.33820603403744348</v>
      </c>
      <c r="M27" s="10">
        <f t="shared" si="4"/>
        <v>0.34264361760190276</v>
      </c>
      <c r="P27" s="8">
        <f t="shared" si="5"/>
        <v>-13.021243489280291</v>
      </c>
    </row>
    <row r="28" spans="1:16" x14ac:dyDescent="0.2">
      <c r="A28" s="8">
        <v>13</v>
      </c>
      <c r="B28" s="8">
        <v>26</v>
      </c>
      <c r="D28">
        <v>470.72583081571003</v>
      </c>
      <c r="E28">
        <v>235.77265861027001</v>
      </c>
      <c r="F28">
        <v>167.54751131222</v>
      </c>
      <c r="G28">
        <v>131.76847662142001</v>
      </c>
      <c r="I28" s="9">
        <f t="shared" si="1"/>
        <v>104.00418198885001</v>
      </c>
      <c r="J28" s="9">
        <f t="shared" si="2"/>
        <v>303.17831950349</v>
      </c>
      <c r="K28" s="9">
        <f t="shared" si="3"/>
        <v>104.00418198885001</v>
      </c>
      <c r="L28" s="10">
        <f t="shared" si="0"/>
        <v>0.34304623813198748</v>
      </c>
      <c r="M28" s="10">
        <f t="shared" si="4"/>
        <v>0.34766132503902514</v>
      </c>
      <c r="P28" s="8">
        <f t="shared" si="5"/>
        <v>-11.74751787177131</v>
      </c>
    </row>
    <row r="29" spans="1:16" x14ac:dyDescent="0.2">
      <c r="A29" s="8">
        <v>13.5</v>
      </c>
      <c r="B29" s="8">
        <v>27</v>
      </c>
      <c r="D29">
        <v>474.11027190331998</v>
      </c>
      <c r="E29">
        <v>235.28398791540999</v>
      </c>
      <c r="F29">
        <v>167.87707390649001</v>
      </c>
      <c r="G29">
        <v>132.30241327300001</v>
      </c>
      <c r="I29" s="9">
        <f t="shared" si="1"/>
        <v>102.98157464240998</v>
      </c>
      <c r="J29" s="9">
        <f t="shared" si="2"/>
        <v>306.23319799682997</v>
      </c>
      <c r="K29" s="9">
        <f t="shared" si="3"/>
        <v>102.98157464240998</v>
      </c>
      <c r="L29" s="10">
        <f t="shared" si="0"/>
        <v>0.33628481600311672</v>
      </c>
      <c r="M29" s="10">
        <f t="shared" si="4"/>
        <v>0.34107740625273275</v>
      </c>
      <c r="P29" s="8">
        <f t="shared" si="5"/>
        <v>-13.418820180004056</v>
      </c>
    </row>
    <row r="30" spans="1:16" x14ac:dyDescent="0.2">
      <c r="A30" s="8">
        <v>14</v>
      </c>
      <c r="B30" s="8">
        <v>28</v>
      </c>
      <c r="D30">
        <v>473.01057401813</v>
      </c>
      <c r="E30">
        <v>234.86027190332001</v>
      </c>
      <c r="F30">
        <v>167.80920060331999</v>
      </c>
      <c r="G30">
        <v>132.63499245852</v>
      </c>
      <c r="I30" s="9">
        <f t="shared" si="1"/>
        <v>102.22527944480001</v>
      </c>
      <c r="J30" s="9">
        <f t="shared" si="2"/>
        <v>305.20137341481001</v>
      </c>
      <c r="K30" s="9">
        <f t="shared" si="3"/>
        <v>102.22527944480001</v>
      </c>
      <c r="L30" s="10">
        <f t="shared" si="0"/>
        <v>0.33494370716956773</v>
      </c>
      <c r="M30" s="10">
        <f t="shared" si="4"/>
        <v>0.33991380076176214</v>
      </c>
      <c r="P30" s="8">
        <f t="shared" si="5"/>
        <v>-13.714196931457975</v>
      </c>
    </row>
    <row r="31" spans="1:16" x14ac:dyDescent="0.2">
      <c r="A31" s="8">
        <v>14.5</v>
      </c>
      <c r="B31" s="8">
        <v>29</v>
      </c>
      <c r="D31">
        <v>471.02945619334997</v>
      </c>
      <c r="E31">
        <v>235.82326283987999</v>
      </c>
      <c r="F31">
        <v>168.07315233785999</v>
      </c>
      <c r="G31">
        <v>132.00678733032001</v>
      </c>
      <c r="I31" s="9">
        <f t="shared" si="1"/>
        <v>103.81647550955998</v>
      </c>
      <c r="J31" s="9">
        <f t="shared" si="2"/>
        <v>302.95630385548998</v>
      </c>
      <c r="K31" s="9">
        <f t="shared" si="3"/>
        <v>103.81647550955998</v>
      </c>
      <c r="L31" s="10">
        <f t="shared" si="0"/>
        <v>0.34267805022826126</v>
      </c>
      <c r="M31" s="10">
        <f t="shared" si="4"/>
        <v>0.34782564716303399</v>
      </c>
      <c r="P31" s="8">
        <f t="shared" si="5"/>
        <v>-11.705805336416001</v>
      </c>
    </row>
    <row r="32" spans="1:16" x14ac:dyDescent="0.2">
      <c r="A32" s="8">
        <v>15</v>
      </c>
      <c r="B32" s="8">
        <v>30</v>
      </c>
      <c r="D32">
        <v>474.49320241691998</v>
      </c>
      <c r="E32">
        <v>236.98716012085001</v>
      </c>
      <c r="F32">
        <v>168.10030165913</v>
      </c>
      <c r="G32">
        <v>132.09200603318001</v>
      </c>
      <c r="I32" s="9">
        <f t="shared" si="1"/>
        <v>104.89515408766999</v>
      </c>
      <c r="J32" s="9">
        <f t="shared" si="2"/>
        <v>306.39290075779002</v>
      </c>
      <c r="K32" s="9">
        <f t="shared" si="3"/>
        <v>104.89515408766999</v>
      </c>
      <c r="L32" s="10">
        <f t="shared" si="0"/>
        <v>0.34235504095635622</v>
      </c>
      <c r="M32" s="10">
        <f t="shared" si="4"/>
        <v>0.34768014123370733</v>
      </c>
      <c r="P32" s="8">
        <f t="shared" si="5"/>
        <v>-11.742741453558196</v>
      </c>
    </row>
    <row r="33" spans="1:16" x14ac:dyDescent="0.2">
      <c r="A33" s="8">
        <v>15.5</v>
      </c>
      <c r="B33" s="8">
        <v>31</v>
      </c>
      <c r="D33">
        <v>477.85951661630997</v>
      </c>
      <c r="E33">
        <v>235.66918429002999</v>
      </c>
      <c r="F33">
        <v>168.48793363498999</v>
      </c>
      <c r="G33">
        <v>131.98567119155001</v>
      </c>
      <c r="I33" s="9">
        <f t="shared" si="1"/>
        <v>103.68351309847998</v>
      </c>
      <c r="J33" s="9">
        <f t="shared" si="2"/>
        <v>309.37158298131999</v>
      </c>
      <c r="K33" s="9">
        <f t="shared" si="3"/>
        <v>103.68351309847998</v>
      </c>
      <c r="L33" s="10">
        <f t="shared" si="0"/>
        <v>0.33514232981359648</v>
      </c>
      <c r="M33" s="10">
        <f t="shared" si="4"/>
        <v>0.34064493343352598</v>
      </c>
      <c r="P33" s="8">
        <f t="shared" si="5"/>
        <v>-13.528601731759077</v>
      </c>
    </row>
    <row r="34" spans="1:16" x14ac:dyDescent="0.2">
      <c r="A34" s="8">
        <v>16</v>
      </c>
      <c r="B34" s="8">
        <v>32</v>
      </c>
      <c r="D34">
        <v>471.69410876133003</v>
      </c>
      <c r="E34">
        <v>235.15181268882</v>
      </c>
      <c r="F34">
        <v>168.52714932127</v>
      </c>
      <c r="G34">
        <v>132.07692307692</v>
      </c>
      <c r="I34" s="9">
        <f t="shared" si="1"/>
        <v>103.07488961190001</v>
      </c>
      <c r="J34" s="9">
        <f t="shared" si="2"/>
        <v>303.16695944006005</v>
      </c>
      <c r="K34" s="9">
        <f t="shared" si="3"/>
        <v>103.07488961190001</v>
      </c>
      <c r="L34" s="10">
        <f t="shared" si="0"/>
        <v>0.33999381001899454</v>
      </c>
      <c r="M34" s="10">
        <f t="shared" si="4"/>
        <v>0.3456739169815024</v>
      </c>
      <c r="P34" s="8">
        <f t="shared" si="5"/>
        <v>-12.252013717141324</v>
      </c>
    </row>
    <row r="35" spans="1:16" x14ac:dyDescent="0.2">
      <c r="A35" s="8">
        <v>16.5</v>
      </c>
      <c r="B35" s="8">
        <v>33</v>
      </c>
      <c r="D35">
        <v>461.73791540785999</v>
      </c>
      <c r="E35">
        <v>234.20996978852</v>
      </c>
      <c r="F35">
        <v>168.93891402714999</v>
      </c>
      <c r="G35">
        <v>132.23981900453001</v>
      </c>
      <c r="I35" s="9">
        <f t="shared" si="1"/>
        <v>101.97015078398999</v>
      </c>
      <c r="J35" s="9">
        <f t="shared" si="2"/>
        <v>292.79900138071002</v>
      </c>
      <c r="K35" s="9">
        <f t="shared" si="3"/>
        <v>101.97015078398999</v>
      </c>
      <c r="L35" s="10">
        <f t="shared" si="0"/>
        <v>0.34825989946394648</v>
      </c>
      <c r="M35" s="10">
        <f t="shared" si="4"/>
        <v>0.35411750976903272</v>
      </c>
      <c r="P35" s="8">
        <f t="shared" si="5"/>
        <v>-10.108640359475169</v>
      </c>
    </row>
    <row r="36" spans="1:16" x14ac:dyDescent="0.2">
      <c r="A36" s="8">
        <v>17</v>
      </c>
      <c r="B36" s="8">
        <v>34</v>
      </c>
      <c r="D36">
        <v>474.96369137670001</v>
      </c>
      <c r="E36">
        <v>238.66414523449001</v>
      </c>
      <c r="F36">
        <v>168.07315233785999</v>
      </c>
      <c r="G36">
        <v>132.12217194569999</v>
      </c>
      <c r="I36" s="9">
        <f t="shared" si="1"/>
        <v>106.54197328879002</v>
      </c>
      <c r="J36" s="9">
        <f t="shared" si="2"/>
        <v>306.89053903884002</v>
      </c>
      <c r="K36" s="9">
        <f t="shared" si="3"/>
        <v>106.54197328879002</v>
      </c>
      <c r="L36" s="10">
        <f t="shared" si="0"/>
        <v>0.3471660404470992</v>
      </c>
      <c r="M36" s="10">
        <f t="shared" si="4"/>
        <v>0.35320115409476383</v>
      </c>
      <c r="P36" s="8">
        <f t="shared" si="5"/>
        <v>-10.34125370166225</v>
      </c>
    </row>
    <row r="37" spans="1:16" x14ac:dyDescent="0.2">
      <c r="A37" s="8">
        <v>17.5</v>
      </c>
      <c r="B37" s="8">
        <v>35</v>
      </c>
      <c r="D37">
        <v>481.41305998480999</v>
      </c>
      <c r="E37">
        <v>239.97418375095</v>
      </c>
      <c r="F37">
        <v>168.33559577676999</v>
      </c>
      <c r="G37">
        <v>132.44268476620999</v>
      </c>
      <c r="I37" s="9">
        <f t="shared" si="1"/>
        <v>107.53149898474001</v>
      </c>
      <c r="J37" s="9">
        <f t="shared" si="2"/>
        <v>313.07746420804</v>
      </c>
      <c r="K37" s="9">
        <f t="shared" si="3"/>
        <v>107.53149898474001</v>
      </c>
      <c r="L37" s="10">
        <f t="shared" si="0"/>
        <v>0.34346611071720362</v>
      </c>
      <c r="M37" s="10">
        <f t="shared" si="4"/>
        <v>0.34967872770744662</v>
      </c>
      <c r="P37" s="8">
        <f t="shared" si="5"/>
        <v>-11.23540801048512</v>
      </c>
    </row>
    <row r="38" spans="1:16" x14ac:dyDescent="0.2">
      <c r="A38" s="8">
        <v>18</v>
      </c>
      <c r="B38" s="8">
        <v>36</v>
      </c>
      <c r="D38">
        <v>478.68051359517</v>
      </c>
      <c r="E38">
        <v>238.15256797583001</v>
      </c>
      <c r="F38">
        <v>168.53242835596001</v>
      </c>
      <c r="G38">
        <v>131.9185520362</v>
      </c>
      <c r="I38" s="9">
        <f t="shared" si="1"/>
        <v>106.23401593963001</v>
      </c>
      <c r="J38" s="9">
        <f t="shared" si="2"/>
        <v>310.14808523920999</v>
      </c>
      <c r="K38" s="9">
        <f t="shared" si="3"/>
        <v>106.23401593963001</v>
      </c>
      <c r="L38" s="10">
        <f t="shared" si="0"/>
        <v>0.34252675091543511</v>
      </c>
      <c r="M38" s="10">
        <f t="shared" si="4"/>
        <v>0.34891687124825649</v>
      </c>
      <c r="P38" s="8">
        <f t="shared" si="5"/>
        <v>-11.428802324740252</v>
      </c>
    </row>
    <row r="39" spans="1:16" x14ac:dyDescent="0.2">
      <c r="A39" s="8">
        <v>18.5</v>
      </c>
      <c r="B39" s="8">
        <v>37</v>
      </c>
      <c r="D39">
        <v>478.60800604230002</v>
      </c>
      <c r="E39">
        <v>236.19033232627999</v>
      </c>
      <c r="F39">
        <v>168.99472096530999</v>
      </c>
      <c r="G39">
        <v>132.45625942685001</v>
      </c>
      <c r="I39" s="9">
        <f t="shared" si="1"/>
        <v>103.73407289942998</v>
      </c>
      <c r="J39" s="9">
        <f t="shared" si="2"/>
        <v>309.61328507699</v>
      </c>
      <c r="K39" s="9">
        <f t="shared" si="3"/>
        <v>103.73407289942998</v>
      </c>
      <c r="L39" s="10">
        <f t="shared" si="0"/>
        <v>0.33504399810762298</v>
      </c>
      <c r="M39" s="10">
        <f t="shared" si="4"/>
        <v>0.34161162178302273</v>
      </c>
      <c r="P39" s="8">
        <f t="shared" si="5"/>
        <v>-13.283211634721525</v>
      </c>
    </row>
    <row r="40" spans="1:16" x14ac:dyDescent="0.2">
      <c r="A40" s="8">
        <v>19</v>
      </c>
      <c r="B40" s="8">
        <v>38</v>
      </c>
      <c r="D40">
        <v>473.3829305136</v>
      </c>
      <c r="E40">
        <v>237.78700906344</v>
      </c>
      <c r="F40">
        <v>168.21342383107</v>
      </c>
      <c r="G40">
        <v>131.97888386124001</v>
      </c>
      <c r="I40" s="9">
        <f t="shared" si="1"/>
        <v>105.80812520219999</v>
      </c>
      <c r="J40" s="9">
        <f t="shared" si="2"/>
        <v>305.16950668253003</v>
      </c>
      <c r="K40" s="9">
        <f t="shared" si="3"/>
        <v>105.80812520219999</v>
      </c>
      <c r="L40" s="10">
        <f t="shared" si="0"/>
        <v>0.34671919338347562</v>
      </c>
      <c r="M40" s="10">
        <f t="shared" si="4"/>
        <v>0.3534643204014537</v>
      </c>
      <c r="P40" s="8">
        <f t="shared" si="5"/>
        <v>-10.274449952998825</v>
      </c>
    </row>
    <row r="41" spans="1:16" x14ac:dyDescent="0.2">
      <c r="A41" s="8">
        <v>19.5</v>
      </c>
      <c r="B41" s="8">
        <v>39</v>
      </c>
      <c r="D41">
        <v>475.26897069872001</v>
      </c>
      <c r="E41">
        <v>236.76634109692</v>
      </c>
      <c r="F41">
        <v>168.53242835596001</v>
      </c>
      <c r="G41">
        <v>131.55580693816</v>
      </c>
      <c r="I41" s="9">
        <f t="shared" si="1"/>
        <v>105.21053415876</v>
      </c>
      <c r="J41" s="9">
        <f t="shared" si="2"/>
        <v>306.73654234276</v>
      </c>
      <c r="K41" s="9">
        <f t="shared" si="3"/>
        <v>105.21053415876</v>
      </c>
      <c r="L41" s="10">
        <f t="shared" si="0"/>
        <v>0.34299967442807461</v>
      </c>
      <c r="M41" s="10">
        <f t="shared" si="4"/>
        <v>0.34992230478863107</v>
      </c>
      <c r="P41" s="8">
        <f t="shared" si="5"/>
        <v>-11.17357691091814</v>
      </c>
    </row>
    <row r="42" spans="1:16" x14ac:dyDescent="0.2">
      <c r="A42" s="8">
        <v>20</v>
      </c>
      <c r="B42" s="8">
        <v>40</v>
      </c>
      <c r="D42">
        <v>462.26821938391998</v>
      </c>
      <c r="E42">
        <v>236.77160030053</v>
      </c>
      <c r="F42">
        <v>168.66742081448001</v>
      </c>
      <c r="G42">
        <v>132.62518853694999</v>
      </c>
      <c r="I42" s="9">
        <f t="shared" si="1"/>
        <v>104.14641176358001</v>
      </c>
      <c r="J42" s="9">
        <f t="shared" si="2"/>
        <v>293.60079856943997</v>
      </c>
      <c r="K42" s="9">
        <f t="shared" si="3"/>
        <v>104.14641176358001</v>
      </c>
      <c r="L42" s="10">
        <f t="shared" si="0"/>
        <v>0.35472114609711519</v>
      </c>
      <c r="M42" s="10">
        <f t="shared" si="4"/>
        <v>0.36182127980025003</v>
      </c>
      <c r="P42" s="8">
        <f t="shared" si="5"/>
        <v>-8.1530681458455039</v>
      </c>
    </row>
    <row r="43" spans="1:16" x14ac:dyDescent="0.2">
      <c r="A43" s="8">
        <v>20.5</v>
      </c>
      <c r="B43" s="8">
        <v>41</v>
      </c>
      <c r="D43">
        <v>471.46731780616</v>
      </c>
      <c r="E43">
        <v>239.65589782119</v>
      </c>
      <c r="F43">
        <v>167.93061840121001</v>
      </c>
      <c r="G43">
        <v>132.03092006033</v>
      </c>
      <c r="I43" s="9">
        <f t="shared" si="1"/>
        <v>107.62497776085999</v>
      </c>
      <c r="J43" s="9">
        <f t="shared" si="2"/>
        <v>303.53669940495001</v>
      </c>
      <c r="K43" s="9">
        <f t="shared" si="3"/>
        <v>107.62497776085999</v>
      </c>
      <c r="L43" s="10">
        <f t="shared" si="0"/>
        <v>0.35456990199816629</v>
      </c>
      <c r="M43" s="10">
        <f t="shared" si="4"/>
        <v>0.36184753904387951</v>
      </c>
      <c r="P43" s="8">
        <f t="shared" si="5"/>
        <v>-8.1464023384570883</v>
      </c>
    </row>
    <row r="44" spans="1:16" x14ac:dyDescent="0.2">
      <c r="A44" s="8">
        <v>21</v>
      </c>
      <c r="B44" s="8">
        <v>42</v>
      </c>
      <c r="D44">
        <v>475.51349325336997</v>
      </c>
      <c r="E44">
        <v>239.40254872564</v>
      </c>
      <c r="F44">
        <v>168.4185520362</v>
      </c>
      <c r="G44">
        <v>132.47511312217</v>
      </c>
      <c r="I44" s="9">
        <f t="shared" si="1"/>
        <v>106.92743560347</v>
      </c>
      <c r="J44" s="9">
        <f t="shared" si="2"/>
        <v>307.09494121717</v>
      </c>
      <c r="K44" s="9">
        <f t="shared" si="3"/>
        <v>106.92743560347</v>
      </c>
      <c r="L44" s="10">
        <f t="shared" si="0"/>
        <v>0.34819015637204376</v>
      </c>
      <c r="M44" s="10">
        <f t="shared" si="4"/>
        <v>0.35564529676033535</v>
      </c>
      <c r="P44" s="8">
        <f t="shared" si="5"/>
        <v>-9.7208175433176898</v>
      </c>
    </row>
    <row r="45" spans="1:16" x14ac:dyDescent="0.2">
      <c r="A45" s="8">
        <v>21.5</v>
      </c>
      <c r="B45" s="8">
        <v>43</v>
      </c>
      <c r="D45">
        <v>464.07046476762002</v>
      </c>
      <c r="E45">
        <v>236.33808095952</v>
      </c>
      <c r="F45">
        <v>168.75791855204</v>
      </c>
      <c r="G45">
        <v>132.54072398189999</v>
      </c>
      <c r="I45" s="9">
        <f t="shared" si="1"/>
        <v>103.79735697762001</v>
      </c>
      <c r="J45" s="9">
        <f t="shared" si="2"/>
        <v>295.31254621558003</v>
      </c>
      <c r="K45" s="9">
        <f t="shared" si="3"/>
        <v>103.79735697762001</v>
      </c>
      <c r="L45" s="10">
        <f t="shared" si="0"/>
        <v>0.35148305856889428</v>
      </c>
      <c r="M45" s="10">
        <f t="shared" si="4"/>
        <v>0.35911570229976425</v>
      </c>
      <c r="P45" s="8">
        <f t="shared" si="5"/>
        <v>-8.8398685254429648</v>
      </c>
    </row>
    <row r="46" spans="1:16" x14ac:dyDescent="0.2">
      <c r="A46" s="8">
        <v>22</v>
      </c>
      <c r="B46" s="8">
        <v>44</v>
      </c>
      <c r="D46">
        <v>472.68835098336001</v>
      </c>
      <c r="E46">
        <v>238.64523449319</v>
      </c>
      <c r="F46">
        <v>168.76847662142001</v>
      </c>
      <c r="G46">
        <v>132.58295625943001</v>
      </c>
      <c r="I46" s="9">
        <f t="shared" si="1"/>
        <v>106.06227823376</v>
      </c>
      <c r="J46" s="9">
        <f t="shared" si="2"/>
        <v>303.91987436194</v>
      </c>
      <c r="K46" s="9">
        <f t="shared" si="3"/>
        <v>106.06227823376</v>
      </c>
      <c r="L46" s="10">
        <f t="shared" si="0"/>
        <v>0.34898105448493899</v>
      </c>
      <c r="M46" s="10">
        <f t="shared" si="4"/>
        <v>0.35679120155838734</v>
      </c>
      <c r="P46" s="8">
        <f t="shared" si="5"/>
        <v>-9.4299340442704978</v>
      </c>
    </row>
    <row r="47" spans="1:16" x14ac:dyDescent="0.2">
      <c r="A47" s="8">
        <v>22.5</v>
      </c>
      <c r="B47" s="8">
        <v>45</v>
      </c>
      <c r="D47">
        <v>482.11422087746001</v>
      </c>
      <c r="E47">
        <v>239.67170953101001</v>
      </c>
      <c r="F47">
        <v>169.44494720965</v>
      </c>
      <c r="G47">
        <v>132.84992458522001</v>
      </c>
      <c r="I47" s="9">
        <f t="shared" si="1"/>
        <v>106.82178494579</v>
      </c>
      <c r="J47" s="9">
        <f t="shared" si="2"/>
        <v>312.66927366780999</v>
      </c>
      <c r="K47" s="9">
        <f t="shared" si="3"/>
        <v>106.82178494579</v>
      </c>
      <c r="L47" s="10">
        <f t="shared" si="0"/>
        <v>0.3416446512082954</v>
      </c>
      <c r="M47" s="10">
        <f t="shared" si="4"/>
        <v>0.34963230162432213</v>
      </c>
      <c r="P47" s="8">
        <f t="shared" si="5"/>
        <v>-11.24719309204623</v>
      </c>
    </row>
    <row r="48" spans="1:16" x14ac:dyDescent="0.2">
      <c r="A48" s="8">
        <v>23</v>
      </c>
      <c r="B48" s="8">
        <v>46</v>
      </c>
      <c r="D48">
        <v>481.10590015128997</v>
      </c>
      <c r="E48">
        <v>237.36384266262999</v>
      </c>
      <c r="F48">
        <v>168.31447963801</v>
      </c>
      <c r="G48">
        <v>132.37858220211001</v>
      </c>
      <c r="I48" s="9">
        <f t="shared" si="1"/>
        <v>104.98526046051998</v>
      </c>
      <c r="J48" s="9">
        <f t="shared" si="2"/>
        <v>312.79142051327995</v>
      </c>
      <c r="K48" s="9">
        <f t="shared" si="3"/>
        <v>104.98526046051998</v>
      </c>
      <c r="L48" s="10">
        <f t="shared" si="0"/>
        <v>0.33563983400901082</v>
      </c>
      <c r="M48" s="10">
        <f t="shared" si="4"/>
        <v>0.34380498776761587</v>
      </c>
      <c r="P48" s="8">
        <f t="shared" si="5"/>
        <v>-12.72643416649367</v>
      </c>
    </row>
    <row r="49" spans="1:25" x14ac:dyDescent="0.2">
      <c r="A49" s="8">
        <v>23.5</v>
      </c>
      <c r="B49" s="8">
        <v>47</v>
      </c>
      <c r="D49">
        <v>479.18759455371003</v>
      </c>
      <c r="E49">
        <v>235.99697428139001</v>
      </c>
      <c r="F49">
        <v>169.35520361990999</v>
      </c>
      <c r="G49">
        <v>132.61915535444999</v>
      </c>
      <c r="I49" s="9">
        <f t="shared" si="1"/>
        <v>103.37781892694002</v>
      </c>
      <c r="J49" s="9">
        <f t="shared" si="2"/>
        <v>309.83239093380007</v>
      </c>
      <c r="K49" s="9">
        <f t="shared" si="3"/>
        <v>103.37781892694002</v>
      </c>
      <c r="L49" s="10">
        <f t="shared" si="0"/>
        <v>0.33365723517599588</v>
      </c>
      <c r="M49" s="10">
        <f t="shared" si="4"/>
        <v>0.34199989227717931</v>
      </c>
      <c r="P49" s="8">
        <f t="shared" si="5"/>
        <v>-13.184650672145015</v>
      </c>
    </row>
    <row r="50" spans="1:25" x14ac:dyDescent="0.2">
      <c r="A50" s="8">
        <v>24</v>
      </c>
      <c r="B50" s="8">
        <v>48</v>
      </c>
      <c r="D50">
        <v>481.58623298033001</v>
      </c>
      <c r="E50">
        <v>240.00680786686999</v>
      </c>
      <c r="F50">
        <v>168.98793363498999</v>
      </c>
      <c r="G50">
        <v>132.41402714931999</v>
      </c>
      <c r="I50" s="9">
        <f t="shared" si="1"/>
        <v>107.59278071755</v>
      </c>
      <c r="J50" s="9">
        <f t="shared" si="2"/>
        <v>312.59829934534002</v>
      </c>
      <c r="K50" s="9">
        <f t="shared" si="3"/>
        <v>107.59278071755</v>
      </c>
      <c r="L50" s="10">
        <f t="shared" si="0"/>
        <v>0.3441886310414245</v>
      </c>
      <c r="M50" s="10">
        <f t="shared" si="4"/>
        <v>0.3527087914851863</v>
      </c>
      <c r="P50" s="8">
        <f t="shared" si="5"/>
        <v>-10.466238044966675</v>
      </c>
    </row>
    <row r="51" spans="1:25" x14ac:dyDescent="0.2">
      <c r="A51" s="8">
        <v>24.5</v>
      </c>
      <c r="B51" s="8">
        <v>49</v>
      </c>
      <c r="D51">
        <v>481.77987897126002</v>
      </c>
      <c r="E51">
        <v>238.53177004539</v>
      </c>
      <c r="F51">
        <v>169.03996983408999</v>
      </c>
      <c r="G51">
        <v>132.54374057314999</v>
      </c>
      <c r="I51" s="9">
        <f t="shared" si="1"/>
        <v>105.98802947224002</v>
      </c>
      <c r="J51" s="9">
        <f t="shared" si="2"/>
        <v>312.73990913717</v>
      </c>
      <c r="K51" s="9">
        <f t="shared" si="3"/>
        <v>105.98802947224002</v>
      </c>
      <c r="L51" s="10">
        <f t="shared" si="0"/>
        <v>0.33890151648586969</v>
      </c>
      <c r="M51" s="10">
        <f t="shared" si="4"/>
        <v>0.34759918027220987</v>
      </c>
      <c r="P51" s="8">
        <f t="shared" si="5"/>
        <v>-11.763293080365798</v>
      </c>
    </row>
    <row r="52" spans="1:25" x14ac:dyDescent="0.2">
      <c r="A52" s="8">
        <v>25</v>
      </c>
      <c r="B52" s="8">
        <v>50</v>
      </c>
      <c r="D52">
        <v>479.21515151515001</v>
      </c>
      <c r="E52">
        <v>238.43181818182001</v>
      </c>
      <c r="F52">
        <v>169.64781297133999</v>
      </c>
      <c r="G52">
        <v>133.10633484163</v>
      </c>
      <c r="I52" s="9">
        <f t="shared" si="1"/>
        <v>105.32548334019</v>
      </c>
      <c r="J52" s="9">
        <f t="shared" si="2"/>
        <v>309.56733854381002</v>
      </c>
      <c r="K52" s="9">
        <f t="shared" si="3"/>
        <v>105.32548334019</v>
      </c>
      <c r="L52" s="10">
        <f t="shared" si="0"/>
        <v>0.34023448286126062</v>
      </c>
      <c r="M52" s="10">
        <f t="shared" si="4"/>
        <v>0.34910964999017918</v>
      </c>
      <c r="P52" s="8">
        <f t="shared" si="5"/>
        <v>-11.379866187036914</v>
      </c>
    </row>
    <row r="53" spans="1:25" x14ac:dyDescent="0.2">
      <c r="A53" s="8">
        <v>25.5</v>
      </c>
      <c r="B53" s="8">
        <v>51</v>
      </c>
      <c r="D53">
        <v>478.75880149813003</v>
      </c>
      <c r="E53">
        <v>237.56104868913999</v>
      </c>
      <c r="F53">
        <v>169.18401206637</v>
      </c>
      <c r="G53">
        <v>132.72549019607999</v>
      </c>
      <c r="I53" s="9">
        <f t="shared" si="1"/>
        <v>104.83555849306001</v>
      </c>
      <c r="J53" s="9">
        <f t="shared" si="2"/>
        <v>309.57478943176</v>
      </c>
      <c r="K53" s="9">
        <f t="shared" si="3"/>
        <v>104.83555849306001</v>
      </c>
      <c r="L53" s="10">
        <f t="shared" si="0"/>
        <v>0.338643720586844</v>
      </c>
      <c r="M53" s="10">
        <f t="shared" si="4"/>
        <v>0.34769639105834094</v>
      </c>
      <c r="P53" s="8">
        <f t="shared" si="5"/>
        <v>-11.738616498451663</v>
      </c>
      <c r="S53" s="11"/>
      <c r="U53" s="12"/>
    </row>
    <row r="54" spans="1:25" x14ac:dyDescent="0.2">
      <c r="A54" s="8">
        <v>26</v>
      </c>
      <c r="B54" s="8">
        <v>52</v>
      </c>
      <c r="D54">
        <v>471.74157303370998</v>
      </c>
      <c r="E54">
        <v>236.82322097378</v>
      </c>
      <c r="F54">
        <v>169.78959276018</v>
      </c>
      <c r="G54">
        <v>132.65912518854</v>
      </c>
      <c r="I54" s="9">
        <f t="shared" si="1"/>
        <v>104.16409578523999</v>
      </c>
      <c r="J54" s="9">
        <f t="shared" si="2"/>
        <v>301.95198027353001</v>
      </c>
      <c r="K54" s="9">
        <f t="shared" si="3"/>
        <v>104.16409578523999</v>
      </c>
      <c r="L54" s="10">
        <f t="shared" si="0"/>
        <v>0.3449690765097172</v>
      </c>
      <c r="M54" s="10">
        <f t="shared" si="4"/>
        <v>0.35419925032379251</v>
      </c>
      <c r="P54" s="8">
        <f t="shared" si="5"/>
        <v>-10.087890835934465</v>
      </c>
      <c r="S54" s="11"/>
    </row>
    <row r="55" spans="1:25" x14ac:dyDescent="0.2">
      <c r="A55" s="8">
        <v>26.5</v>
      </c>
      <c r="B55" s="8">
        <v>53</v>
      </c>
      <c r="D55">
        <v>477.82771535581003</v>
      </c>
      <c r="E55">
        <v>235.28314606742001</v>
      </c>
      <c r="F55">
        <v>169.09049773756001</v>
      </c>
      <c r="G55">
        <v>133.10708898944</v>
      </c>
      <c r="I55" s="9">
        <f t="shared" si="1"/>
        <v>102.17605707798</v>
      </c>
      <c r="J55" s="9">
        <f t="shared" si="2"/>
        <v>308.73721761825004</v>
      </c>
      <c r="K55" s="9">
        <f t="shared" si="3"/>
        <v>102.17605707798</v>
      </c>
      <c r="L55" s="10">
        <f t="shared" si="0"/>
        <v>0.3309482992242273</v>
      </c>
      <c r="M55" s="10">
        <f t="shared" si="4"/>
        <v>0.340355976380881</v>
      </c>
      <c r="P55" s="8">
        <f t="shared" si="5"/>
        <v>-13.60195236148907</v>
      </c>
      <c r="S55" s="11"/>
    </row>
    <row r="56" spans="1:25" x14ac:dyDescent="0.2">
      <c r="A56" s="8">
        <v>27</v>
      </c>
      <c r="B56" s="8">
        <v>54</v>
      </c>
      <c r="D56">
        <v>474.32883895130999</v>
      </c>
      <c r="E56">
        <v>236.98801498127</v>
      </c>
      <c r="F56">
        <v>169.81447963801</v>
      </c>
      <c r="G56">
        <v>132.52111613875999</v>
      </c>
      <c r="I56" s="9">
        <f t="shared" si="1"/>
        <v>104.46689884251001</v>
      </c>
      <c r="J56" s="9">
        <f t="shared" si="2"/>
        <v>304.51435931330002</v>
      </c>
      <c r="K56" s="9">
        <f t="shared" si="3"/>
        <v>104.46689884251001</v>
      </c>
      <c r="L56" s="10">
        <f t="shared" si="0"/>
        <v>0.34306066576988276</v>
      </c>
      <c r="M56" s="10">
        <f t="shared" si="4"/>
        <v>0.35264584626911477</v>
      </c>
      <c r="P56" s="8">
        <f t="shared" si="5"/>
        <v>-10.482216444507626</v>
      </c>
      <c r="S56" s="11"/>
    </row>
    <row r="57" spans="1:25" x14ac:dyDescent="0.2">
      <c r="A57" s="8">
        <v>27.5</v>
      </c>
      <c r="B57" s="8">
        <v>55</v>
      </c>
      <c r="D57">
        <v>474.90711610487</v>
      </c>
      <c r="E57">
        <v>237.37902621723001</v>
      </c>
      <c r="F57">
        <v>170.38386123679999</v>
      </c>
      <c r="G57">
        <v>132.52187028658</v>
      </c>
      <c r="I57" s="9">
        <f t="shared" si="1"/>
        <v>104.85715593065001</v>
      </c>
      <c r="J57" s="9">
        <f t="shared" si="2"/>
        <v>304.52325486807001</v>
      </c>
      <c r="K57" s="9">
        <f t="shared" si="3"/>
        <v>104.85715593065001</v>
      </c>
      <c r="L57" s="10">
        <f t="shared" si="0"/>
        <v>0.34433217908457514</v>
      </c>
      <c r="M57" s="10">
        <f t="shared" si="4"/>
        <v>0.35409486292638553</v>
      </c>
      <c r="P57" s="8">
        <f t="shared" si="5"/>
        <v>-10.114389172851974</v>
      </c>
      <c r="S57" s="11"/>
    </row>
    <row r="58" spans="1:25" x14ac:dyDescent="0.2">
      <c r="A58" s="8">
        <v>28</v>
      </c>
      <c r="B58" s="8">
        <v>56</v>
      </c>
      <c r="D58">
        <v>466.52209737828002</v>
      </c>
      <c r="E58">
        <v>237.12434456929</v>
      </c>
      <c r="F58">
        <v>169.34012066365</v>
      </c>
      <c r="G58">
        <v>132.67420814479999</v>
      </c>
      <c r="I58" s="9">
        <f t="shared" si="1"/>
        <v>104.45013642449001</v>
      </c>
      <c r="J58" s="9">
        <f t="shared" si="2"/>
        <v>297.18197671463003</v>
      </c>
      <c r="K58" s="9">
        <f t="shared" si="3"/>
        <v>104.45013642449001</v>
      </c>
      <c r="L58" s="10">
        <f t="shared" si="0"/>
        <v>0.35146861050994554</v>
      </c>
      <c r="M58" s="10">
        <f t="shared" si="4"/>
        <v>0.36140879769433432</v>
      </c>
      <c r="P58" s="8">
        <f t="shared" si="5"/>
        <v>-8.2577751323832054</v>
      </c>
      <c r="S58" s="11"/>
    </row>
    <row r="59" spans="1:25" x14ac:dyDescent="0.2">
      <c r="A59" s="8">
        <v>28.5</v>
      </c>
      <c r="B59" s="8">
        <v>57</v>
      </c>
      <c r="D59">
        <v>470.57712565839</v>
      </c>
      <c r="E59">
        <v>239.30022573362999</v>
      </c>
      <c r="F59">
        <v>170.07767722474</v>
      </c>
      <c r="G59">
        <v>133.48039215686001</v>
      </c>
      <c r="I59" s="9">
        <f t="shared" si="1"/>
        <v>105.81983357676998</v>
      </c>
      <c r="J59" s="9">
        <f t="shared" si="2"/>
        <v>300.49944843365</v>
      </c>
      <c r="K59" s="9">
        <f t="shared" si="3"/>
        <v>105.81983357676998</v>
      </c>
      <c r="L59" s="10">
        <f t="shared" si="0"/>
        <v>0.35214651517117479</v>
      </c>
      <c r="M59" s="10">
        <f t="shared" si="4"/>
        <v>0.36226420569814194</v>
      </c>
      <c r="P59" s="8">
        <f t="shared" si="5"/>
        <v>-8.0406331205131707</v>
      </c>
      <c r="R59" s="1"/>
      <c r="S59" s="11"/>
    </row>
    <row r="60" spans="1:25" x14ac:dyDescent="0.2">
      <c r="A60" s="8">
        <v>29</v>
      </c>
      <c r="B60" s="8">
        <v>58</v>
      </c>
      <c r="D60">
        <v>471.83370955606</v>
      </c>
      <c r="E60">
        <v>237.92701279157001</v>
      </c>
      <c r="F60">
        <v>169.52111613875999</v>
      </c>
      <c r="G60">
        <v>132.71644042232001</v>
      </c>
      <c r="I60" s="9">
        <f t="shared" si="1"/>
        <v>105.21057236925</v>
      </c>
      <c r="J60" s="9">
        <f t="shared" si="2"/>
        <v>302.31259341730004</v>
      </c>
      <c r="K60" s="9">
        <f t="shared" si="3"/>
        <v>105.21057236925</v>
      </c>
      <c r="L60" s="10">
        <f t="shared" si="0"/>
        <v>0.34801915189825255</v>
      </c>
      <c r="M60" s="10">
        <f t="shared" si="4"/>
        <v>0.35831434576779808</v>
      </c>
      <c r="P60" s="8">
        <f t="shared" si="5"/>
        <v>-9.0432897803315981</v>
      </c>
      <c r="S60" s="11"/>
    </row>
    <row r="61" spans="1:25" x14ac:dyDescent="0.2">
      <c r="A61" s="8">
        <v>29.5</v>
      </c>
      <c r="B61" s="8">
        <v>59</v>
      </c>
      <c r="C61" s="2"/>
      <c r="D61">
        <v>462.63972809668002</v>
      </c>
      <c r="E61">
        <v>241.40785498489001</v>
      </c>
      <c r="F61">
        <v>170.00678733032001</v>
      </c>
      <c r="G61">
        <v>133.12594268477</v>
      </c>
      <c r="I61" s="9">
        <f t="shared" si="1"/>
        <v>108.28191230012001</v>
      </c>
      <c r="J61" s="9">
        <f t="shared" si="2"/>
        <v>292.63294076635998</v>
      </c>
      <c r="K61" s="9">
        <f t="shared" si="3"/>
        <v>108.28191230012001</v>
      </c>
      <c r="L61" s="10">
        <f t="shared" si="0"/>
        <v>0.37002639558125816</v>
      </c>
      <c r="M61" s="10">
        <f t="shared" si="4"/>
        <v>0.38049909279338207</v>
      </c>
      <c r="P61" s="8">
        <f t="shared" si="5"/>
        <v>-3.4117775890493078</v>
      </c>
      <c r="S61" s="11"/>
    </row>
    <row r="62" spans="1:25" x14ac:dyDescent="0.2">
      <c r="A62" s="8">
        <v>30</v>
      </c>
      <c r="B62" s="8">
        <v>60</v>
      </c>
      <c r="D62">
        <v>463.34138972810001</v>
      </c>
      <c r="E62">
        <v>241.32628398791999</v>
      </c>
      <c r="F62">
        <v>169.88687782804999</v>
      </c>
      <c r="G62">
        <v>132.92383107089</v>
      </c>
      <c r="I62" s="9">
        <f t="shared" si="1"/>
        <v>108.40245291702999</v>
      </c>
      <c r="J62" s="9">
        <f t="shared" si="2"/>
        <v>293.45451190005002</v>
      </c>
      <c r="K62" s="9">
        <f t="shared" si="3"/>
        <v>108.40245291702999</v>
      </c>
      <c r="L62" s="10">
        <f t="shared" si="0"/>
        <v>0.36940121388882113</v>
      </c>
      <c r="M62" s="10">
        <f t="shared" si="4"/>
        <v>0.38005141444352342</v>
      </c>
      <c r="P62" s="8">
        <f t="shared" si="5"/>
        <v>-3.5254190059243671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466.39652567975997</v>
      </c>
      <c r="E63">
        <v>241.29531722054</v>
      </c>
      <c r="F63">
        <v>169.66591251885001</v>
      </c>
      <c r="G63">
        <v>132.59803921568999</v>
      </c>
      <c r="I63" s="9">
        <f t="shared" si="1"/>
        <v>108.69727800485001</v>
      </c>
      <c r="J63" s="9">
        <f t="shared" si="2"/>
        <v>296.73061316090997</v>
      </c>
      <c r="K63" s="9">
        <f t="shared" si="3"/>
        <v>108.69727800485001</v>
      </c>
      <c r="L63" s="10">
        <f t="shared" si="0"/>
        <v>0.3663163596332612</v>
      </c>
      <c r="M63" s="10">
        <f t="shared" si="4"/>
        <v>0.37714406353054186</v>
      </c>
      <c r="P63" s="8">
        <f t="shared" si="5"/>
        <v>-4.2634387855463673</v>
      </c>
    </row>
    <row r="64" spans="1:25" x14ac:dyDescent="0.2">
      <c r="A64" s="8">
        <v>31</v>
      </c>
      <c r="B64" s="8">
        <v>62</v>
      </c>
      <c r="D64">
        <v>468.70022710068002</v>
      </c>
      <c r="E64">
        <v>241.53595760786999</v>
      </c>
      <c r="F64">
        <v>169.77526395173999</v>
      </c>
      <c r="G64">
        <v>133.60030165913</v>
      </c>
      <c r="I64" s="9">
        <f t="shared" si="1"/>
        <v>107.93565594873999</v>
      </c>
      <c r="J64" s="9">
        <f t="shared" si="2"/>
        <v>298.92496314894004</v>
      </c>
      <c r="K64" s="9">
        <f t="shared" si="3"/>
        <v>107.93565594873999</v>
      </c>
      <c r="L64" s="10">
        <f t="shared" si="0"/>
        <v>0.36107943214819704</v>
      </c>
      <c r="M64" s="10">
        <f t="shared" si="4"/>
        <v>0.37208463938805603</v>
      </c>
      <c r="P64" s="8">
        <f t="shared" si="5"/>
        <v>-5.5477540272941788</v>
      </c>
      <c r="U64" s="8">
        <v>30.5</v>
      </c>
      <c r="V64" s="10">
        <f>L62</f>
        <v>0.36940121388882113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469.47332832456999</v>
      </c>
      <c r="E65">
        <v>241.65214124718</v>
      </c>
      <c r="F65">
        <v>169.91704374056999</v>
      </c>
      <c r="G65">
        <v>132.85897435896999</v>
      </c>
      <c r="I65" s="9">
        <f t="shared" si="1"/>
        <v>108.79316688821001</v>
      </c>
      <c r="J65" s="9">
        <f t="shared" si="2"/>
        <v>299.55628458399997</v>
      </c>
      <c r="K65" s="9">
        <f t="shared" si="3"/>
        <v>108.79316688821001</v>
      </c>
      <c r="L65" s="10">
        <f t="shared" si="0"/>
        <v>0.3631810530675173</v>
      </c>
      <c r="M65" s="10">
        <f t="shared" si="4"/>
        <v>0.37436376364995466</v>
      </c>
      <c r="P65" s="8">
        <f t="shared" si="5"/>
        <v>-4.9692071522034738</v>
      </c>
      <c r="U65" s="8">
        <v>31</v>
      </c>
      <c r="V65" s="10">
        <f t="shared" ref="V65:V83" si="6">L63</f>
        <v>0.3663163596332612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467.43253373313001</v>
      </c>
      <c r="E66">
        <v>242.57421289355</v>
      </c>
      <c r="F66">
        <v>170.20814479638</v>
      </c>
      <c r="G66">
        <v>133.20889894419</v>
      </c>
      <c r="I66" s="9">
        <f t="shared" si="1"/>
        <v>109.36531394936</v>
      </c>
      <c r="J66" s="9">
        <f t="shared" si="2"/>
        <v>297.22438893675002</v>
      </c>
      <c r="K66" s="9">
        <f t="shared" si="3"/>
        <v>109.36531394936</v>
      </c>
      <c r="L66" s="10">
        <f t="shared" ref="L66:L129" si="7">K66/J66</f>
        <v>0.36795538327318478</v>
      </c>
      <c r="M66" s="10">
        <f t="shared" si="4"/>
        <v>0.37931559719820052</v>
      </c>
      <c r="P66" s="8">
        <f t="shared" si="5"/>
        <v>-3.7122033664948511</v>
      </c>
      <c r="U66" s="8">
        <v>31.5</v>
      </c>
      <c r="V66" s="10">
        <f t="shared" si="6"/>
        <v>0.36107943214819704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474.79610194903</v>
      </c>
      <c r="E67">
        <v>245.40929535231999</v>
      </c>
      <c r="F67">
        <v>170.44117647058999</v>
      </c>
      <c r="G67">
        <v>132.95475113122001</v>
      </c>
      <c r="I67" s="9">
        <f t="shared" ref="I67:I130" si="8">E67-G67</f>
        <v>112.45454422109998</v>
      </c>
      <c r="J67" s="9">
        <f t="shared" ref="J67:J130" si="9">D67-F67</f>
        <v>304.35492547844001</v>
      </c>
      <c r="K67" s="9">
        <f t="shared" ref="K67:K130" si="10">I67*1</f>
        <v>112.45454422109998</v>
      </c>
      <c r="L67" s="10">
        <f t="shared" si="7"/>
        <v>0.36948488362500992</v>
      </c>
      <c r="M67" s="10">
        <f t="shared" ref="M67:M130" si="11">L67+ABS($N$2)*A67</f>
        <v>0.38102260089260404</v>
      </c>
      <c r="P67" s="8">
        <f t="shared" ref="P67:P130" si="12">(M67-$O$2)/$O$2*100</f>
        <v>-3.2788870837122994</v>
      </c>
      <c r="U67" s="8">
        <v>32</v>
      </c>
      <c r="V67" s="10">
        <f t="shared" si="6"/>
        <v>0.3631810530675173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467.02095808383001</v>
      </c>
      <c r="E68">
        <v>244.78667664670999</v>
      </c>
      <c r="F68">
        <v>170.20889894419</v>
      </c>
      <c r="G68">
        <v>133.4766214178</v>
      </c>
      <c r="I68" s="9">
        <f t="shared" si="8"/>
        <v>111.31005522890999</v>
      </c>
      <c r="J68" s="9">
        <f t="shared" si="9"/>
        <v>296.81205913964004</v>
      </c>
      <c r="K68" s="9">
        <f t="shared" si="10"/>
        <v>111.31005522890999</v>
      </c>
      <c r="L68" s="10">
        <f t="shared" si="7"/>
        <v>0.37501864159953952</v>
      </c>
      <c r="M68" s="10">
        <f t="shared" si="11"/>
        <v>0.38673386220971201</v>
      </c>
      <c r="P68" s="8">
        <f t="shared" si="12"/>
        <v>-1.8291054973907914</v>
      </c>
      <c r="U68" s="8">
        <v>32.5</v>
      </c>
      <c r="V68" s="10">
        <f t="shared" si="6"/>
        <v>0.36795538327318478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468.33083832335001</v>
      </c>
      <c r="E69">
        <v>241.48502994012</v>
      </c>
      <c r="F69">
        <v>170.00904977376001</v>
      </c>
      <c r="G69">
        <v>132.49472096530999</v>
      </c>
      <c r="I69" s="9">
        <f t="shared" si="8"/>
        <v>108.99030897481001</v>
      </c>
      <c r="J69" s="9">
        <f t="shared" si="9"/>
        <v>298.32178854959</v>
      </c>
      <c r="K69" s="9">
        <f t="shared" si="10"/>
        <v>108.99030897481001</v>
      </c>
      <c r="L69" s="10">
        <f t="shared" si="7"/>
        <v>0.36534478257424552</v>
      </c>
      <c r="M69" s="10">
        <f t="shared" si="11"/>
        <v>0.37723750652699639</v>
      </c>
      <c r="P69" s="8">
        <f t="shared" si="12"/>
        <v>-4.2397186424626181</v>
      </c>
      <c r="U69" s="8">
        <v>33</v>
      </c>
      <c r="V69" s="10">
        <f t="shared" si="6"/>
        <v>0.36948488362500992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473.68787878787998</v>
      </c>
      <c r="E70">
        <v>243.94242424242</v>
      </c>
      <c r="F70">
        <v>170.23906485671</v>
      </c>
      <c r="G70">
        <v>133.27526395173999</v>
      </c>
      <c r="I70" s="9">
        <f t="shared" si="8"/>
        <v>110.66716029068002</v>
      </c>
      <c r="J70" s="9">
        <f t="shared" si="9"/>
        <v>303.44881393116998</v>
      </c>
      <c r="K70" s="9">
        <f t="shared" si="10"/>
        <v>110.66716029068002</v>
      </c>
      <c r="L70" s="10">
        <f t="shared" si="7"/>
        <v>0.3646979497365318</v>
      </c>
      <c r="M70" s="10">
        <f t="shared" si="11"/>
        <v>0.37676817703186105</v>
      </c>
      <c r="P70" s="8">
        <f t="shared" si="12"/>
        <v>-4.3588561187897099</v>
      </c>
      <c r="U70" s="8">
        <v>33.5</v>
      </c>
      <c r="V70" s="10">
        <f t="shared" si="6"/>
        <v>0.37501864159953952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472.11960635882002</v>
      </c>
      <c r="E71">
        <v>247.40802422407</v>
      </c>
      <c r="F71">
        <v>169.99924585219</v>
      </c>
      <c r="G71">
        <v>133.57692307692</v>
      </c>
      <c r="I71" s="9">
        <f t="shared" si="8"/>
        <v>113.83110114715001</v>
      </c>
      <c r="J71" s="9">
        <f t="shared" si="9"/>
        <v>302.12036050663005</v>
      </c>
      <c r="K71" s="9">
        <f t="shared" si="10"/>
        <v>113.83110114715001</v>
      </c>
      <c r="L71" s="10">
        <f t="shared" si="7"/>
        <v>0.37677401468826849</v>
      </c>
      <c r="M71" s="10">
        <f t="shared" si="11"/>
        <v>0.38902174532617612</v>
      </c>
      <c r="P71" s="8">
        <f t="shared" si="12"/>
        <v>-1.2483352209599572</v>
      </c>
      <c r="U71" s="8">
        <v>34</v>
      </c>
      <c r="V71" s="10">
        <f t="shared" si="6"/>
        <v>0.36534478257424552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467.87963663890997</v>
      </c>
      <c r="E72">
        <v>249.79409538229001</v>
      </c>
      <c r="F72">
        <v>170.84992458522001</v>
      </c>
      <c r="G72">
        <v>132.93815987933999</v>
      </c>
      <c r="I72" s="9">
        <f t="shared" si="8"/>
        <v>116.85593550295002</v>
      </c>
      <c r="J72" s="9">
        <f t="shared" si="9"/>
        <v>297.02971205368999</v>
      </c>
      <c r="K72" s="9">
        <f t="shared" si="10"/>
        <v>116.85593550295002</v>
      </c>
      <c r="L72" s="10">
        <f t="shared" si="7"/>
        <v>0.3934149708290044</v>
      </c>
      <c r="M72" s="10">
        <f t="shared" si="11"/>
        <v>0.4058402048094904</v>
      </c>
      <c r="P72" s="8">
        <f t="shared" si="12"/>
        <v>3.0209656419097399</v>
      </c>
      <c r="U72" s="8">
        <v>34.5</v>
      </c>
      <c r="V72" s="10">
        <f t="shared" si="6"/>
        <v>0.3646979497365318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473.73700075357999</v>
      </c>
      <c r="E73">
        <v>251.38507912585001</v>
      </c>
      <c r="F73">
        <v>171.10708898944</v>
      </c>
      <c r="G73">
        <v>132.87330316742</v>
      </c>
      <c r="I73" s="9">
        <f t="shared" si="8"/>
        <v>118.51177595843001</v>
      </c>
      <c r="J73" s="9">
        <f t="shared" si="9"/>
        <v>302.62991176413999</v>
      </c>
      <c r="K73" s="9">
        <f t="shared" si="10"/>
        <v>118.51177595843001</v>
      </c>
      <c r="L73" s="10">
        <f t="shared" si="7"/>
        <v>0.39160628659467828</v>
      </c>
      <c r="M73" s="10">
        <f t="shared" si="11"/>
        <v>0.4042090239177426</v>
      </c>
      <c r="P73" s="8">
        <f t="shared" si="12"/>
        <v>2.6068966841942927</v>
      </c>
      <c r="U73" s="8">
        <v>35</v>
      </c>
      <c r="V73" s="10">
        <f t="shared" si="6"/>
        <v>0.37677401468826849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480.74227581010001</v>
      </c>
      <c r="E74">
        <v>254.81688018086001</v>
      </c>
      <c r="F74">
        <v>169.64705882352999</v>
      </c>
      <c r="G74">
        <v>133.27903469079999</v>
      </c>
      <c r="I74" s="9">
        <f t="shared" si="8"/>
        <v>121.53784549006002</v>
      </c>
      <c r="J74" s="9">
        <f t="shared" si="9"/>
        <v>311.09521698656999</v>
      </c>
      <c r="K74" s="9">
        <f t="shared" si="10"/>
        <v>121.53784549006002</v>
      </c>
      <c r="L74" s="10">
        <f t="shared" si="7"/>
        <v>0.39067731952724566</v>
      </c>
      <c r="M74" s="10">
        <f t="shared" si="11"/>
        <v>0.40345756019288836</v>
      </c>
      <c r="P74" s="8">
        <f t="shared" si="12"/>
        <v>2.4161405253369144</v>
      </c>
      <c r="U74" s="8">
        <v>35.5</v>
      </c>
      <c r="V74" s="10">
        <f t="shared" si="6"/>
        <v>0.3934149708290044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479.67897513188001</v>
      </c>
      <c r="E75">
        <v>252.00226073850999</v>
      </c>
      <c r="F75">
        <v>170.74057315234</v>
      </c>
      <c r="G75">
        <v>132.90422322775001</v>
      </c>
      <c r="I75" s="9">
        <f t="shared" si="8"/>
        <v>119.09803751075998</v>
      </c>
      <c r="J75" s="9">
        <f t="shared" si="9"/>
        <v>308.93840197954</v>
      </c>
      <c r="K75" s="9">
        <f t="shared" si="10"/>
        <v>119.09803751075998</v>
      </c>
      <c r="L75" s="10">
        <f t="shared" si="7"/>
        <v>0.38550739159532343</v>
      </c>
      <c r="M75" s="10">
        <f t="shared" si="11"/>
        <v>0.39846513560354452</v>
      </c>
      <c r="P75" s="8">
        <f t="shared" si="12"/>
        <v>1.1488328609076295</v>
      </c>
      <c r="U75" s="8">
        <v>36</v>
      </c>
      <c r="V75" s="10">
        <f t="shared" si="6"/>
        <v>0.39160628659467828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472.13468773514001</v>
      </c>
      <c r="E76">
        <v>250.18434913469</v>
      </c>
      <c r="F76">
        <v>170.73906485671</v>
      </c>
      <c r="G76">
        <v>133.29562594269001</v>
      </c>
      <c r="I76" s="9">
        <f t="shared" si="8"/>
        <v>116.88872319199999</v>
      </c>
      <c r="J76" s="9">
        <f t="shared" si="9"/>
        <v>301.39562287843</v>
      </c>
      <c r="K76" s="9">
        <f t="shared" si="10"/>
        <v>116.88872319199999</v>
      </c>
      <c r="L76" s="10">
        <f t="shared" si="7"/>
        <v>0.38782488635924173</v>
      </c>
      <c r="M76" s="10">
        <f t="shared" si="11"/>
        <v>0.40096013371004119</v>
      </c>
      <c r="P76" s="8">
        <f t="shared" si="12"/>
        <v>1.7821784761521364</v>
      </c>
      <c r="U76" s="8">
        <v>36.5</v>
      </c>
      <c r="V76" s="10">
        <f t="shared" si="6"/>
        <v>0.39067731952724566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479.15951843491001</v>
      </c>
      <c r="E77">
        <v>248.72911963883001</v>
      </c>
      <c r="F77">
        <v>170.2322775264</v>
      </c>
      <c r="G77">
        <v>132.93212669683001</v>
      </c>
      <c r="I77" s="9">
        <f t="shared" si="8"/>
        <v>115.796992942</v>
      </c>
      <c r="J77" s="9">
        <f t="shared" si="9"/>
        <v>308.92724090851004</v>
      </c>
      <c r="K77" s="9">
        <f t="shared" si="10"/>
        <v>115.796992942</v>
      </c>
      <c r="L77" s="10">
        <f t="shared" si="7"/>
        <v>0.37483581118148696</v>
      </c>
      <c r="M77" s="10">
        <f t="shared" si="11"/>
        <v>0.38814856187486479</v>
      </c>
      <c r="P77" s="8">
        <f t="shared" si="12"/>
        <v>-1.469989461398888</v>
      </c>
      <c r="U77" s="8">
        <v>37</v>
      </c>
      <c r="V77" s="10">
        <f t="shared" si="6"/>
        <v>0.38550739159532343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473.53880934439002</v>
      </c>
      <c r="E78">
        <v>248.63677467973</v>
      </c>
      <c r="F78">
        <v>170.26244343891</v>
      </c>
      <c r="G78">
        <v>132.88159879336001</v>
      </c>
      <c r="I78" s="9">
        <f t="shared" si="8"/>
        <v>115.75517588636998</v>
      </c>
      <c r="J78" s="9">
        <f t="shared" si="9"/>
        <v>303.27636590548002</v>
      </c>
      <c r="K78" s="9">
        <f t="shared" si="10"/>
        <v>115.75517588636998</v>
      </c>
      <c r="L78" s="10">
        <f t="shared" si="7"/>
        <v>0.38168215165980512</v>
      </c>
      <c r="M78" s="10">
        <f t="shared" si="11"/>
        <v>0.39517240569576134</v>
      </c>
      <c r="P78" s="8">
        <f t="shared" si="12"/>
        <v>0.3129861146320701</v>
      </c>
      <c r="U78" s="8">
        <v>37.5</v>
      </c>
      <c r="V78" s="10">
        <f t="shared" si="6"/>
        <v>0.38782488635924173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476.86199095022999</v>
      </c>
      <c r="E79">
        <v>253.40045248869001</v>
      </c>
      <c r="F79">
        <v>171.07692307692</v>
      </c>
      <c r="G79">
        <v>133.22096530920001</v>
      </c>
      <c r="I79" s="9">
        <f t="shared" si="8"/>
        <v>120.17948717949</v>
      </c>
      <c r="J79" s="9">
        <f t="shared" si="9"/>
        <v>305.78506787331003</v>
      </c>
      <c r="K79" s="9">
        <f t="shared" si="10"/>
        <v>120.17948717949</v>
      </c>
      <c r="L79" s="10">
        <f t="shared" si="7"/>
        <v>0.39301947611543159</v>
      </c>
      <c r="M79" s="10">
        <f t="shared" si="11"/>
        <v>0.40668723349396618</v>
      </c>
      <c r="P79" s="8">
        <f t="shared" si="12"/>
        <v>3.2359805959901373</v>
      </c>
      <c r="U79" s="8">
        <v>38</v>
      </c>
      <c r="V79" s="10">
        <f t="shared" si="6"/>
        <v>0.37483581118148696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473.97880393640997</v>
      </c>
      <c r="E80">
        <v>260.26495079484999</v>
      </c>
      <c r="F80">
        <v>170.85671191553999</v>
      </c>
      <c r="G80">
        <v>133.01734539969999</v>
      </c>
      <c r="I80" s="9">
        <f t="shared" si="8"/>
        <v>127.24760539515</v>
      </c>
      <c r="J80" s="9">
        <f t="shared" si="9"/>
        <v>303.12209202087001</v>
      </c>
      <c r="K80" s="9">
        <f t="shared" si="10"/>
        <v>127.24760539515</v>
      </c>
      <c r="L80" s="10">
        <f t="shared" si="7"/>
        <v>0.41978994189044122</v>
      </c>
      <c r="M80" s="10">
        <f t="shared" si="11"/>
        <v>0.43363520261155419</v>
      </c>
      <c r="P80" s="8">
        <f t="shared" si="12"/>
        <v>10.076618284622999</v>
      </c>
      <c r="U80" s="8">
        <v>38.5</v>
      </c>
      <c r="V80" s="10">
        <f t="shared" si="6"/>
        <v>0.38168215165980512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476.09689629068998</v>
      </c>
      <c r="E81">
        <v>265.80923542771001</v>
      </c>
      <c r="F81">
        <v>170.21568627451001</v>
      </c>
      <c r="G81">
        <v>132.92006033183</v>
      </c>
      <c r="I81" s="9">
        <f t="shared" si="8"/>
        <v>132.88917509588001</v>
      </c>
      <c r="J81" s="9">
        <f t="shared" si="9"/>
        <v>305.88121001617998</v>
      </c>
      <c r="K81" s="9">
        <f t="shared" si="10"/>
        <v>132.88917509588001</v>
      </c>
      <c r="L81" s="10">
        <f t="shared" si="7"/>
        <v>0.43444700342610343</v>
      </c>
      <c r="M81" s="10">
        <f t="shared" si="11"/>
        <v>0.44846976748979472</v>
      </c>
      <c r="P81" s="8">
        <f t="shared" si="12"/>
        <v>13.84231517843198</v>
      </c>
      <c r="U81" s="8">
        <v>39</v>
      </c>
      <c r="V81" s="10">
        <f t="shared" si="6"/>
        <v>0.39301947611543159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490.08925869894</v>
      </c>
      <c r="E82">
        <v>273.88426626324002</v>
      </c>
      <c r="F82">
        <v>170.72322775264001</v>
      </c>
      <c r="G82">
        <v>132.85520361990999</v>
      </c>
      <c r="H82" s="13"/>
      <c r="I82" s="14">
        <f t="shared" si="8"/>
        <v>141.02906264333004</v>
      </c>
      <c r="J82" s="14">
        <f t="shared" si="9"/>
        <v>319.36603094629999</v>
      </c>
      <c r="K82" s="9">
        <f t="shared" si="10"/>
        <v>141.02906264333004</v>
      </c>
      <c r="L82" s="15">
        <f t="shared" si="7"/>
        <v>0.44159067958935011</v>
      </c>
      <c r="M82" s="15">
        <f t="shared" si="11"/>
        <v>0.45579094699561978</v>
      </c>
      <c r="N82" s="13"/>
      <c r="O82" s="13"/>
      <c r="P82" s="13">
        <f t="shared" si="12"/>
        <v>15.700768267578013</v>
      </c>
      <c r="U82" s="8">
        <v>39.5</v>
      </c>
      <c r="V82" s="10">
        <f t="shared" si="6"/>
        <v>0.41978994189044122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483.90847201209999</v>
      </c>
      <c r="E83">
        <v>278.53706505295003</v>
      </c>
      <c r="F83">
        <v>171.60708898944</v>
      </c>
      <c r="G83">
        <v>133.32579185520001</v>
      </c>
      <c r="I83" s="9">
        <f t="shared" si="8"/>
        <v>145.21127319775002</v>
      </c>
      <c r="J83" s="9">
        <f t="shared" si="9"/>
        <v>312.30138302265999</v>
      </c>
      <c r="K83" s="9">
        <f t="shared" si="10"/>
        <v>145.21127319775002</v>
      </c>
      <c r="L83" s="10">
        <f t="shared" si="7"/>
        <v>0.4649715982436548</v>
      </c>
      <c r="M83" s="10">
        <f t="shared" si="11"/>
        <v>0.47934936899250286</v>
      </c>
      <c r="P83" s="8">
        <f t="shared" si="12"/>
        <v>21.680982535057478</v>
      </c>
      <c r="U83" s="8">
        <v>40</v>
      </c>
      <c r="V83" s="10">
        <f t="shared" si="6"/>
        <v>0.43444700342610343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485.17019667171002</v>
      </c>
      <c r="E84">
        <v>284.18986384265997</v>
      </c>
      <c r="F84">
        <v>171.65007541477999</v>
      </c>
      <c r="G84">
        <v>133.06410256410001</v>
      </c>
      <c r="I84" s="9">
        <f t="shared" si="8"/>
        <v>151.12576127855996</v>
      </c>
      <c r="J84" s="9">
        <f t="shared" si="9"/>
        <v>313.52012125693</v>
      </c>
      <c r="K84" s="9">
        <f t="shared" si="10"/>
        <v>151.12576127855996</v>
      </c>
      <c r="L84" s="10">
        <f t="shared" si="7"/>
        <v>0.48202890670201126</v>
      </c>
      <c r="M84" s="10">
        <f t="shared" si="11"/>
        <v>0.49658418079343769</v>
      </c>
      <c r="P84" s="8">
        <f t="shared" si="12"/>
        <v>26.055972822730837</v>
      </c>
      <c r="U84" s="8">
        <v>150.5</v>
      </c>
      <c r="V84" s="10">
        <f>L302</f>
        <v>0.3246378871656655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487.27912254159997</v>
      </c>
      <c r="E85">
        <v>290.62405446294002</v>
      </c>
      <c r="F85">
        <v>171.54675716439999</v>
      </c>
      <c r="G85">
        <v>133.31297134238</v>
      </c>
      <c r="I85" s="9">
        <f t="shared" si="8"/>
        <v>157.31108312056003</v>
      </c>
      <c r="J85" s="9">
        <f t="shared" si="9"/>
        <v>315.73236537719998</v>
      </c>
      <c r="K85" s="9">
        <f t="shared" si="10"/>
        <v>157.31108312056003</v>
      </c>
      <c r="L85" s="10">
        <f t="shared" si="7"/>
        <v>0.49824186675516524</v>
      </c>
      <c r="M85" s="10">
        <f t="shared" si="11"/>
        <v>0.51297464418917005</v>
      </c>
      <c r="P85" s="8">
        <f t="shared" si="12"/>
        <v>30.216628534846318</v>
      </c>
      <c r="U85" s="8">
        <v>151</v>
      </c>
      <c r="V85" s="10">
        <f t="shared" ref="V85:V103" si="13">L303</f>
        <v>0.33595461202493587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483.28593040846999</v>
      </c>
      <c r="E86">
        <v>291.83888048412001</v>
      </c>
      <c r="F86">
        <v>170.59803921568999</v>
      </c>
      <c r="G86">
        <v>132.84690799397001</v>
      </c>
      <c r="I86" s="9">
        <f t="shared" si="8"/>
        <v>158.99197249015</v>
      </c>
      <c r="J86" s="9">
        <f t="shared" si="9"/>
        <v>312.68789119278</v>
      </c>
      <c r="K86" s="9">
        <f t="shared" si="10"/>
        <v>158.99197249015</v>
      </c>
      <c r="L86" s="10">
        <f t="shared" si="7"/>
        <v>0.50846859430232116</v>
      </c>
      <c r="M86" s="10">
        <f t="shared" si="11"/>
        <v>0.52337887507890435</v>
      </c>
      <c r="P86" s="8">
        <f t="shared" si="12"/>
        <v>32.857702288307891</v>
      </c>
      <c r="U86" s="8">
        <v>151.5</v>
      </c>
      <c r="V86" s="10">
        <f t="shared" si="13"/>
        <v>0.32898971664733745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479.80105900151</v>
      </c>
      <c r="E87">
        <v>287.51512859304</v>
      </c>
      <c r="F87">
        <v>170.47812971342</v>
      </c>
      <c r="G87">
        <v>133.50527903469001</v>
      </c>
      <c r="I87" s="9">
        <f t="shared" si="8"/>
        <v>154.00984955835</v>
      </c>
      <c r="J87" s="9">
        <f t="shared" si="9"/>
        <v>309.32292928808999</v>
      </c>
      <c r="K87" s="9">
        <f t="shared" si="10"/>
        <v>154.00984955835</v>
      </c>
      <c r="L87" s="10">
        <f t="shared" si="7"/>
        <v>0.49789341486195449</v>
      </c>
      <c r="M87" s="10">
        <f t="shared" si="11"/>
        <v>0.51298119898111605</v>
      </c>
      <c r="P87" s="8">
        <f t="shared" si="12"/>
        <v>30.218292443418843</v>
      </c>
      <c r="U87" s="8">
        <v>152</v>
      </c>
      <c r="V87" s="10">
        <f t="shared" si="13"/>
        <v>0.33831618560044935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481.79727685325003</v>
      </c>
      <c r="E88">
        <v>281.84493192132999</v>
      </c>
      <c r="F88">
        <v>170.72699849169999</v>
      </c>
      <c r="G88">
        <v>132.91101055806999</v>
      </c>
      <c r="I88" s="9">
        <f t="shared" si="8"/>
        <v>148.93392136326</v>
      </c>
      <c r="J88" s="9">
        <f t="shared" si="9"/>
        <v>311.07027836155004</v>
      </c>
      <c r="K88" s="9">
        <f t="shared" si="10"/>
        <v>148.93392136326</v>
      </c>
      <c r="L88" s="10">
        <f t="shared" si="7"/>
        <v>0.47877901465776629</v>
      </c>
      <c r="M88" s="10">
        <f t="shared" si="11"/>
        <v>0.49404430211950623</v>
      </c>
      <c r="P88" s="8">
        <f t="shared" si="12"/>
        <v>25.411234449102871</v>
      </c>
      <c r="U88" s="8">
        <v>152.5</v>
      </c>
      <c r="V88" s="10">
        <f t="shared" si="13"/>
        <v>0.33226480735444341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478.52723146747002</v>
      </c>
      <c r="E89">
        <v>276.91376701966999</v>
      </c>
      <c r="F89">
        <v>170.68099547511</v>
      </c>
      <c r="G89">
        <v>133.13876319759001</v>
      </c>
      <c r="I89" s="9">
        <f t="shared" si="8"/>
        <v>143.77500382207998</v>
      </c>
      <c r="J89" s="9">
        <f t="shared" si="9"/>
        <v>307.84623599235999</v>
      </c>
      <c r="K89" s="9">
        <f t="shared" si="10"/>
        <v>143.77500382207998</v>
      </c>
      <c r="L89" s="10">
        <f t="shared" si="7"/>
        <v>0.4670351201748919</v>
      </c>
      <c r="M89" s="10">
        <f t="shared" si="11"/>
        <v>0.48247791097921017</v>
      </c>
      <c r="P89" s="8">
        <f t="shared" si="12"/>
        <v>22.475150812872986</v>
      </c>
      <c r="U89" s="8">
        <v>153</v>
      </c>
      <c r="V89" s="10">
        <f t="shared" si="13"/>
        <v>0.32563978464591348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476.37291981845999</v>
      </c>
      <c r="E90">
        <v>271.69062027232002</v>
      </c>
      <c r="F90">
        <v>170.53921568627999</v>
      </c>
      <c r="G90">
        <v>132.52790346908</v>
      </c>
      <c r="I90" s="9">
        <f t="shared" si="8"/>
        <v>139.16271680324002</v>
      </c>
      <c r="J90" s="9">
        <f t="shared" si="9"/>
        <v>305.83370413218</v>
      </c>
      <c r="K90" s="9">
        <f t="shared" si="10"/>
        <v>139.16271680324002</v>
      </c>
      <c r="L90" s="10">
        <f t="shared" si="7"/>
        <v>0.45502740516491436</v>
      </c>
      <c r="M90" s="10">
        <f t="shared" si="11"/>
        <v>0.470647699311811</v>
      </c>
      <c r="P90" s="8">
        <f t="shared" si="12"/>
        <v>19.472097356659201</v>
      </c>
      <c r="U90" s="8">
        <v>153.5</v>
      </c>
      <c r="V90" s="10">
        <f t="shared" si="13"/>
        <v>0.32713499394310364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478.63388804840997</v>
      </c>
      <c r="E91">
        <v>268.37518910740999</v>
      </c>
      <c r="F91">
        <v>170.34992458522001</v>
      </c>
      <c r="G91">
        <v>132.49095022623999</v>
      </c>
      <c r="I91" s="9">
        <f t="shared" si="8"/>
        <v>135.88423888117001</v>
      </c>
      <c r="J91" s="9">
        <f t="shared" si="9"/>
        <v>308.28396346318993</v>
      </c>
      <c r="K91" s="9">
        <f t="shared" si="10"/>
        <v>135.88423888117001</v>
      </c>
      <c r="L91" s="10">
        <f t="shared" si="7"/>
        <v>0.44077621604016715</v>
      </c>
      <c r="M91" s="10">
        <f t="shared" si="11"/>
        <v>0.45657401352964216</v>
      </c>
      <c r="P91" s="8">
        <f t="shared" si="12"/>
        <v>15.899546677259524</v>
      </c>
      <c r="U91" s="8">
        <v>154</v>
      </c>
      <c r="V91" s="10">
        <f t="shared" si="13"/>
        <v>0.32421569725409755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476.82299546142002</v>
      </c>
      <c r="E92">
        <v>264.06127080182</v>
      </c>
      <c r="F92">
        <v>170.21644042232001</v>
      </c>
      <c r="G92">
        <v>132.96606334841999</v>
      </c>
      <c r="I92" s="9">
        <f t="shared" si="8"/>
        <v>131.09520745340001</v>
      </c>
      <c r="J92" s="9">
        <f t="shared" si="9"/>
        <v>306.60655503910004</v>
      </c>
      <c r="K92" s="9">
        <f t="shared" si="10"/>
        <v>131.09520745340001</v>
      </c>
      <c r="L92" s="10">
        <f t="shared" si="7"/>
        <v>0.42756818241111011</v>
      </c>
      <c r="M92" s="10">
        <f t="shared" si="11"/>
        <v>0.44354348324316351</v>
      </c>
      <c r="P92" s="8">
        <f t="shared" si="12"/>
        <v>12.591796984078337</v>
      </c>
      <c r="U92" s="8">
        <v>154.5</v>
      </c>
      <c r="V92" s="10">
        <f t="shared" si="13"/>
        <v>0.33568606658524125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473.55824508321001</v>
      </c>
      <c r="E93">
        <v>261.52193645991002</v>
      </c>
      <c r="F93">
        <v>170.23981900453001</v>
      </c>
      <c r="G93">
        <v>132.90874811462999</v>
      </c>
      <c r="I93" s="9">
        <f t="shared" si="8"/>
        <v>128.61318834528004</v>
      </c>
      <c r="J93" s="9">
        <f t="shared" si="9"/>
        <v>303.31842607867998</v>
      </c>
      <c r="K93" s="9">
        <f t="shared" si="10"/>
        <v>128.61318834528004</v>
      </c>
      <c r="L93" s="10">
        <f t="shared" si="7"/>
        <v>0.42402036041133262</v>
      </c>
      <c r="M93" s="10">
        <f t="shared" si="11"/>
        <v>0.44017316458596439</v>
      </c>
      <c r="P93" s="8">
        <f t="shared" si="12"/>
        <v>11.736254633983709</v>
      </c>
      <c r="U93" s="8">
        <v>155</v>
      </c>
      <c r="V93" s="10">
        <f t="shared" si="13"/>
        <v>0.34314525625060427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478.04387291981999</v>
      </c>
      <c r="E94">
        <v>257.35022692889999</v>
      </c>
      <c r="F94">
        <v>170.41101055806999</v>
      </c>
      <c r="G94">
        <v>132.72699849169999</v>
      </c>
      <c r="I94" s="9">
        <f t="shared" si="8"/>
        <v>124.6232284372</v>
      </c>
      <c r="J94" s="9">
        <f t="shared" si="9"/>
        <v>307.63286236174997</v>
      </c>
      <c r="K94" s="9">
        <f t="shared" si="10"/>
        <v>124.6232284372</v>
      </c>
      <c r="L94" s="10">
        <f t="shared" si="7"/>
        <v>0.40510375738289534</v>
      </c>
      <c r="M94" s="10">
        <f t="shared" si="11"/>
        <v>0.42143406490010549</v>
      </c>
      <c r="P94" s="8">
        <f t="shared" si="12"/>
        <v>6.9794066873801492</v>
      </c>
      <c r="U94" s="8">
        <v>155.5</v>
      </c>
      <c r="V94" s="10">
        <f t="shared" si="13"/>
        <v>0.34939953346078684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477.52344931920999</v>
      </c>
      <c r="E95">
        <v>254.54538577912001</v>
      </c>
      <c r="F95">
        <v>169.93966817495999</v>
      </c>
      <c r="G95">
        <v>133.06259426848001</v>
      </c>
      <c r="I95" s="9">
        <f t="shared" si="8"/>
        <v>121.48279151064</v>
      </c>
      <c r="J95" s="9">
        <f t="shared" si="9"/>
        <v>307.58378114425</v>
      </c>
      <c r="K95" s="9">
        <f t="shared" si="10"/>
        <v>121.48279151064</v>
      </c>
      <c r="L95" s="10">
        <f t="shared" si="7"/>
        <v>0.39495837868534184</v>
      </c>
      <c r="M95" s="10">
        <f t="shared" si="11"/>
        <v>0.41146618954513037</v>
      </c>
      <c r="P95" s="8">
        <f t="shared" si="12"/>
        <v>4.4491000979928845</v>
      </c>
      <c r="U95" s="8">
        <v>156</v>
      </c>
      <c r="V95" s="10">
        <f t="shared" si="13"/>
        <v>0.35174002821604516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473.96671709531</v>
      </c>
      <c r="E96">
        <v>253.00529500755999</v>
      </c>
      <c r="F96">
        <v>169.09803921568999</v>
      </c>
      <c r="G96">
        <v>132.57993966818</v>
      </c>
      <c r="I96" s="9">
        <f t="shared" si="8"/>
        <v>120.42535533937999</v>
      </c>
      <c r="J96" s="9">
        <f t="shared" si="9"/>
        <v>304.86867787962001</v>
      </c>
      <c r="K96" s="9">
        <f t="shared" si="10"/>
        <v>120.42535533937999</v>
      </c>
      <c r="L96" s="10">
        <f t="shared" si="7"/>
        <v>0.39500730667691275</v>
      </c>
      <c r="M96" s="10">
        <f t="shared" si="11"/>
        <v>0.41169262087927966</v>
      </c>
      <c r="P96" s="8">
        <f t="shared" si="12"/>
        <v>4.5065788160183606</v>
      </c>
      <c r="U96" s="8">
        <v>156.5</v>
      </c>
      <c r="V96" s="10">
        <f t="shared" si="13"/>
        <v>0.35686940921811711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477.78214826021002</v>
      </c>
      <c r="E97">
        <v>249.74508320726</v>
      </c>
      <c r="F97">
        <v>170.07616892911</v>
      </c>
      <c r="G97">
        <v>132.50377073907001</v>
      </c>
      <c r="I97" s="9">
        <f t="shared" si="8"/>
        <v>117.24131246818999</v>
      </c>
      <c r="J97" s="9">
        <f t="shared" si="9"/>
        <v>307.70597933110002</v>
      </c>
      <c r="K97" s="9">
        <f t="shared" si="10"/>
        <v>117.24131246818999</v>
      </c>
      <c r="L97" s="10">
        <f t="shared" si="7"/>
        <v>0.38101733584460229</v>
      </c>
      <c r="M97" s="10">
        <f t="shared" si="11"/>
        <v>0.39788015338954752</v>
      </c>
      <c r="P97" s="8">
        <f t="shared" si="12"/>
        <v>1.0003373894015404</v>
      </c>
      <c r="U97" s="8">
        <v>157</v>
      </c>
      <c r="V97" s="10">
        <f t="shared" si="13"/>
        <v>0.34653460625649068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476.86308623297998</v>
      </c>
      <c r="E98">
        <v>246.69288956126999</v>
      </c>
      <c r="F98">
        <v>169.55354449472</v>
      </c>
      <c r="G98">
        <v>132.36576168929</v>
      </c>
      <c r="I98" s="9">
        <f t="shared" si="8"/>
        <v>114.32712787198</v>
      </c>
      <c r="J98" s="9">
        <f t="shared" si="9"/>
        <v>307.30954173826001</v>
      </c>
      <c r="K98" s="9">
        <f t="shared" si="10"/>
        <v>114.32712787198</v>
      </c>
      <c r="L98" s="10">
        <f t="shared" si="7"/>
        <v>0.37202596191872905</v>
      </c>
      <c r="M98" s="10">
        <f t="shared" si="11"/>
        <v>0.38906628280625266</v>
      </c>
      <c r="P98" s="8">
        <f t="shared" si="12"/>
        <v>-1.2370295539748519</v>
      </c>
      <c r="U98" s="8">
        <v>157.5</v>
      </c>
      <c r="V98" s="10">
        <f t="shared" si="13"/>
        <v>0.34247029455199113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476.94099848714001</v>
      </c>
      <c r="E99">
        <v>245.54614220878</v>
      </c>
      <c r="F99">
        <v>170.43815987933999</v>
      </c>
      <c r="G99">
        <v>132.80920060331999</v>
      </c>
      <c r="I99" s="9">
        <f t="shared" si="8"/>
        <v>112.73694160546</v>
      </c>
      <c r="J99" s="9">
        <f t="shared" si="9"/>
        <v>306.50283860780002</v>
      </c>
      <c r="K99" s="9">
        <f t="shared" si="10"/>
        <v>112.73694160546</v>
      </c>
      <c r="L99" s="10">
        <f t="shared" si="7"/>
        <v>0.36781695764233302</v>
      </c>
      <c r="M99" s="10">
        <f t="shared" si="11"/>
        <v>0.38503478187243501</v>
      </c>
      <c r="P99" s="8">
        <f t="shared" si="12"/>
        <v>-2.2604104666252378</v>
      </c>
      <c r="U99" s="8">
        <v>158</v>
      </c>
      <c r="V99" s="10">
        <f t="shared" si="13"/>
        <v>0.34535452566643776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472.20347957640001</v>
      </c>
      <c r="E100">
        <v>245.58018154312001</v>
      </c>
      <c r="F100">
        <v>169.57315233785999</v>
      </c>
      <c r="G100">
        <v>132.3197586727</v>
      </c>
      <c r="I100" s="9">
        <f t="shared" si="8"/>
        <v>113.26042287042</v>
      </c>
      <c r="J100" s="9">
        <f t="shared" si="9"/>
        <v>302.63032723854002</v>
      </c>
      <c r="K100" s="9">
        <f t="shared" si="10"/>
        <v>113.26042287042</v>
      </c>
      <c r="L100" s="10">
        <f t="shared" si="7"/>
        <v>0.37425338003598557</v>
      </c>
      <c r="M100" s="10">
        <f t="shared" si="11"/>
        <v>0.39164870760866594</v>
      </c>
      <c r="P100" s="8">
        <f t="shared" si="12"/>
        <v>-0.58149101025881</v>
      </c>
      <c r="U100" s="8">
        <v>158.5</v>
      </c>
      <c r="V100" s="10">
        <f t="shared" si="13"/>
        <v>0.34202108566089362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472.68078668684001</v>
      </c>
      <c r="E101">
        <v>244.30559757943001</v>
      </c>
      <c r="F101">
        <v>169.83634992459</v>
      </c>
      <c r="G101">
        <v>132.61161387632001</v>
      </c>
      <c r="I101" s="9">
        <f t="shared" si="8"/>
        <v>111.69398370311001</v>
      </c>
      <c r="J101" s="9">
        <f t="shared" si="9"/>
        <v>302.84443676224998</v>
      </c>
      <c r="K101" s="9">
        <f t="shared" si="10"/>
        <v>111.69398370311001</v>
      </c>
      <c r="L101" s="10">
        <f t="shared" si="7"/>
        <v>0.36881636293948533</v>
      </c>
      <c r="M101" s="10">
        <f t="shared" si="11"/>
        <v>0.38638919385474407</v>
      </c>
      <c r="P101" s="8">
        <f t="shared" si="12"/>
        <v>-1.9165982256474052</v>
      </c>
      <c r="U101" s="8">
        <v>159</v>
      </c>
      <c r="V101" s="10">
        <f t="shared" si="13"/>
        <v>0.33750953032329445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471.07866868381001</v>
      </c>
      <c r="E102">
        <v>242.04311649017001</v>
      </c>
      <c r="F102">
        <v>169.5060331825</v>
      </c>
      <c r="G102">
        <v>131.88914027148999</v>
      </c>
      <c r="I102" s="9">
        <f t="shared" si="8"/>
        <v>110.15397621868001</v>
      </c>
      <c r="J102" s="9">
        <f t="shared" si="9"/>
        <v>301.57263550131</v>
      </c>
      <c r="K102" s="9">
        <f t="shared" si="10"/>
        <v>110.15397621868001</v>
      </c>
      <c r="L102" s="10">
        <f t="shared" si="7"/>
        <v>0.36526515754842592</v>
      </c>
      <c r="M102" s="10">
        <f t="shared" si="11"/>
        <v>0.38301549180626304</v>
      </c>
      <c r="P102" s="8">
        <f t="shared" si="12"/>
        <v>-2.7729994365273316</v>
      </c>
      <c r="U102" s="8">
        <v>159.5</v>
      </c>
      <c r="V102" s="10">
        <f t="shared" si="13"/>
        <v>0.33472490475589711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471.41301059002001</v>
      </c>
      <c r="E103">
        <v>241.71104387291999</v>
      </c>
      <c r="F103">
        <v>170.05354449472</v>
      </c>
      <c r="G103">
        <v>132.39441930618</v>
      </c>
      <c r="I103" s="9">
        <f t="shared" si="8"/>
        <v>109.31662456673999</v>
      </c>
      <c r="J103" s="9">
        <f t="shared" si="9"/>
        <v>301.35946609530004</v>
      </c>
      <c r="K103" s="9">
        <f t="shared" si="10"/>
        <v>109.31662456673999</v>
      </c>
      <c r="L103" s="10">
        <f t="shared" si="7"/>
        <v>0.36274495035165205</v>
      </c>
      <c r="M103" s="10">
        <f t="shared" si="11"/>
        <v>0.38067278795206755</v>
      </c>
      <c r="P103" s="8">
        <f t="shared" si="12"/>
        <v>-3.3676857451091462</v>
      </c>
      <c r="U103" s="8">
        <v>160</v>
      </c>
      <c r="V103" s="10">
        <f t="shared" si="13"/>
        <v>0.33696288470770108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476.70347957640001</v>
      </c>
      <c r="E104">
        <v>240.54992435704</v>
      </c>
      <c r="F104">
        <v>170.01357466063001</v>
      </c>
      <c r="G104">
        <v>132.10180995475</v>
      </c>
      <c r="I104" s="9">
        <f t="shared" si="8"/>
        <v>108.44811440229</v>
      </c>
      <c r="J104" s="9">
        <f t="shared" si="9"/>
        <v>306.68990491577</v>
      </c>
      <c r="K104" s="9">
        <f t="shared" si="10"/>
        <v>108.44811440229</v>
      </c>
      <c r="L104" s="10">
        <f t="shared" si="7"/>
        <v>0.35360836031454779</v>
      </c>
      <c r="M104" s="10">
        <f t="shared" si="11"/>
        <v>0.37171370125754166</v>
      </c>
      <c r="P104" s="8">
        <f t="shared" si="12"/>
        <v>-5.6419152364255734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475.65431164901997</v>
      </c>
      <c r="E105">
        <v>237.80181543117001</v>
      </c>
      <c r="F105">
        <v>169.74736048266001</v>
      </c>
      <c r="G105">
        <v>132.19758672699999</v>
      </c>
      <c r="I105" s="9">
        <f t="shared" si="8"/>
        <v>105.60422870417003</v>
      </c>
      <c r="J105" s="9">
        <f t="shared" si="9"/>
        <v>305.90695116635993</v>
      </c>
      <c r="K105" s="9">
        <f t="shared" si="10"/>
        <v>105.60422870417003</v>
      </c>
      <c r="L105" s="10">
        <f t="shared" si="7"/>
        <v>0.34521683244373147</v>
      </c>
      <c r="M105" s="10">
        <f t="shared" si="11"/>
        <v>0.36349967672930372</v>
      </c>
      <c r="P105" s="8">
        <f t="shared" si="12"/>
        <v>-7.7270135797566297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474.29878971255999</v>
      </c>
      <c r="E106">
        <v>236.05975794251</v>
      </c>
      <c r="F106">
        <v>169.74434389140001</v>
      </c>
      <c r="G106">
        <v>132.24434389140001</v>
      </c>
      <c r="I106" s="9">
        <f t="shared" si="8"/>
        <v>103.81541405111</v>
      </c>
      <c r="J106" s="9">
        <f t="shared" si="9"/>
        <v>304.55444582116002</v>
      </c>
      <c r="K106" s="9">
        <f t="shared" si="10"/>
        <v>103.81541405111</v>
      </c>
      <c r="L106" s="10">
        <f t="shared" si="7"/>
        <v>0.34087637030284013</v>
      </c>
      <c r="M106" s="10">
        <f t="shared" si="11"/>
        <v>0.3593367179309907</v>
      </c>
      <c r="P106" s="8">
        <f t="shared" si="12"/>
        <v>-8.7837645626490524</v>
      </c>
      <c r="X106" s="8">
        <v>-13</v>
      </c>
    </row>
    <row r="107" spans="1:25" x14ac:dyDescent="0.2">
      <c r="A107" s="8">
        <v>52.5</v>
      </c>
      <c r="B107" s="8">
        <v>105</v>
      </c>
      <c r="D107">
        <v>470.69213313161998</v>
      </c>
      <c r="E107">
        <v>236.03025718608001</v>
      </c>
      <c r="F107">
        <v>169.67345399697999</v>
      </c>
      <c r="G107">
        <v>132.32503770739001</v>
      </c>
      <c r="I107" s="9">
        <f t="shared" si="8"/>
        <v>103.70521947869</v>
      </c>
      <c r="J107" s="9">
        <f t="shared" si="9"/>
        <v>301.01867913464002</v>
      </c>
      <c r="K107" s="9">
        <f t="shared" si="10"/>
        <v>103.70521947869</v>
      </c>
      <c r="L107" s="10">
        <f t="shared" si="7"/>
        <v>0.34451423339182413</v>
      </c>
      <c r="M107" s="10">
        <f t="shared" si="11"/>
        <v>0.36315208436255308</v>
      </c>
      <c r="P107" s="8">
        <f t="shared" si="12"/>
        <v>-7.8152485570901762</v>
      </c>
      <c r="X107" s="8">
        <v>-13</v>
      </c>
    </row>
    <row r="108" spans="1:25" x14ac:dyDescent="0.2">
      <c r="A108" s="8">
        <v>53</v>
      </c>
      <c r="B108" s="8">
        <v>106</v>
      </c>
      <c r="D108">
        <v>469.17851739788</v>
      </c>
      <c r="E108">
        <v>235.33736762481001</v>
      </c>
      <c r="F108">
        <v>168.37556561086001</v>
      </c>
      <c r="G108">
        <v>132.07918552036</v>
      </c>
      <c r="I108" s="9">
        <f t="shared" si="8"/>
        <v>103.25818210445001</v>
      </c>
      <c r="J108" s="9">
        <f t="shared" si="9"/>
        <v>300.80295178701999</v>
      </c>
      <c r="K108" s="9">
        <f t="shared" si="10"/>
        <v>103.25818210445001</v>
      </c>
      <c r="L108" s="10">
        <f t="shared" si="7"/>
        <v>0.34327516233138816</v>
      </c>
      <c r="M108" s="10">
        <f t="shared" si="11"/>
        <v>0.36209051664469549</v>
      </c>
      <c r="P108" s="8">
        <f t="shared" si="12"/>
        <v>-8.0847234146620242</v>
      </c>
      <c r="X108" s="8">
        <v>-13</v>
      </c>
    </row>
    <row r="109" spans="1:25" x14ac:dyDescent="0.2">
      <c r="A109" s="8">
        <v>53.5</v>
      </c>
      <c r="B109" s="8">
        <v>107</v>
      </c>
      <c r="D109">
        <v>468.71180030257</v>
      </c>
      <c r="E109">
        <v>236.03025718608001</v>
      </c>
      <c r="F109">
        <v>169.47586726999</v>
      </c>
      <c r="G109">
        <v>132.12895927602</v>
      </c>
      <c r="I109" s="9">
        <f t="shared" si="8"/>
        <v>103.90129791006001</v>
      </c>
      <c r="J109" s="9">
        <f t="shared" si="9"/>
        <v>299.23593303257996</v>
      </c>
      <c r="K109" s="9">
        <f t="shared" si="10"/>
        <v>103.90129791006001</v>
      </c>
      <c r="L109" s="10">
        <f t="shared" si="7"/>
        <v>0.34722199589160813</v>
      </c>
      <c r="M109" s="10">
        <f t="shared" si="11"/>
        <v>0.36621485354749383</v>
      </c>
      <c r="P109" s="8">
        <f t="shared" si="12"/>
        <v>-7.0377764505033067</v>
      </c>
      <c r="X109" s="8">
        <v>-13</v>
      </c>
    </row>
    <row r="110" spans="1:25" x14ac:dyDescent="0.2">
      <c r="A110" s="8">
        <v>54</v>
      </c>
      <c r="B110" s="8">
        <v>108</v>
      </c>
      <c r="D110">
        <v>469.06883509834</v>
      </c>
      <c r="E110">
        <v>234.65582450831999</v>
      </c>
      <c r="F110">
        <v>169.40422322775001</v>
      </c>
      <c r="G110">
        <v>132.23604826546</v>
      </c>
      <c r="I110" s="9">
        <f t="shared" si="8"/>
        <v>102.41977624286</v>
      </c>
      <c r="J110" s="9">
        <f t="shared" si="9"/>
        <v>299.66461187058997</v>
      </c>
      <c r="K110" s="9">
        <f t="shared" si="10"/>
        <v>102.41977624286</v>
      </c>
      <c r="L110" s="10">
        <f t="shared" si="7"/>
        <v>0.3417813521707726</v>
      </c>
      <c r="M110" s="10">
        <f t="shared" si="11"/>
        <v>0.36095171316923669</v>
      </c>
      <c r="P110" s="8">
        <f t="shared" si="12"/>
        <v>-8.3738042704466356</v>
      </c>
      <c r="X110" s="8">
        <v>-13</v>
      </c>
    </row>
    <row r="111" spans="1:25" x14ac:dyDescent="0.2">
      <c r="A111" s="8">
        <v>54.5</v>
      </c>
      <c r="B111" s="8">
        <v>109</v>
      </c>
      <c r="D111">
        <v>468.49016641451999</v>
      </c>
      <c r="E111">
        <v>234.78366111951999</v>
      </c>
      <c r="F111">
        <v>169.69909502262001</v>
      </c>
      <c r="G111">
        <v>131.69457013575001</v>
      </c>
      <c r="I111" s="9">
        <f t="shared" si="8"/>
        <v>103.08909098376998</v>
      </c>
      <c r="J111" s="9">
        <f t="shared" si="9"/>
        <v>298.7910713919</v>
      </c>
      <c r="K111" s="9">
        <f t="shared" si="10"/>
        <v>103.08909098376998</v>
      </c>
      <c r="L111" s="10">
        <f t="shared" si="7"/>
        <v>0.34502065441090901</v>
      </c>
      <c r="M111" s="10">
        <f t="shared" si="11"/>
        <v>0.36436851875195148</v>
      </c>
      <c r="P111" s="8">
        <f t="shared" si="12"/>
        <v>-7.506461394185318</v>
      </c>
      <c r="X111" s="8">
        <v>-13</v>
      </c>
    </row>
    <row r="112" spans="1:25" x14ac:dyDescent="0.2">
      <c r="A112" s="8">
        <v>55</v>
      </c>
      <c r="B112" s="8">
        <v>110</v>
      </c>
      <c r="D112">
        <v>466.39712556732002</v>
      </c>
      <c r="E112">
        <v>233.17776096822999</v>
      </c>
      <c r="F112">
        <v>169.56485671191999</v>
      </c>
      <c r="G112">
        <v>131.83484162895999</v>
      </c>
      <c r="I112" s="9">
        <f t="shared" si="8"/>
        <v>101.34291933927</v>
      </c>
      <c r="J112" s="9">
        <f t="shared" si="9"/>
        <v>296.8322688554</v>
      </c>
      <c r="K112" s="9">
        <f t="shared" si="10"/>
        <v>101.34291933927</v>
      </c>
      <c r="L112" s="10">
        <f t="shared" si="7"/>
        <v>0.34141476507946167</v>
      </c>
      <c r="M112" s="10">
        <f t="shared" si="11"/>
        <v>0.36094013276308251</v>
      </c>
      <c r="P112" s="8">
        <f t="shared" si="12"/>
        <v>-8.3767439117399096</v>
      </c>
      <c r="X112" s="8">
        <v>-13</v>
      </c>
    </row>
    <row r="113" spans="1:24" x14ac:dyDescent="0.2">
      <c r="A113" s="8">
        <v>55.5</v>
      </c>
      <c r="B113" s="8">
        <v>111</v>
      </c>
      <c r="D113">
        <v>467.62556732223999</v>
      </c>
      <c r="E113">
        <v>233.2791225416</v>
      </c>
      <c r="F113">
        <v>169.15535444947</v>
      </c>
      <c r="G113">
        <v>131.97812971342</v>
      </c>
      <c r="I113" s="9">
        <f t="shared" si="8"/>
        <v>101.30099282818</v>
      </c>
      <c r="J113" s="9">
        <f t="shared" si="9"/>
        <v>298.47021287276999</v>
      </c>
      <c r="K113" s="9">
        <f t="shared" si="10"/>
        <v>101.30099282818</v>
      </c>
      <c r="L113" s="10">
        <f t="shared" si="7"/>
        <v>0.33940067872488822</v>
      </c>
      <c r="M113" s="10">
        <f t="shared" si="11"/>
        <v>0.35910354975108744</v>
      </c>
      <c r="P113" s="8">
        <f t="shared" si="12"/>
        <v>-8.8429534029017756</v>
      </c>
      <c r="X113" s="8">
        <v>-13</v>
      </c>
    </row>
    <row r="114" spans="1:24" x14ac:dyDescent="0.2">
      <c r="A114" s="8">
        <v>56</v>
      </c>
      <c r="B114" s="8">
        <v>112</v>
      </c>
      <c r="D114">
        <v>465.68683812404998</v>
      </c>
      <c r="E114">
        <v>232.86459909228</v>
      </c>
      <c r="F114">
        <v>169.57164404222999</v>
      </c>
      <c r="G114">
        <v>132.13725490196001</v>
      </c>
      <c r="I114" s="9">
        <f t="shared" si="8"/>
        <v>100.72734419032</v>
      </c>
      <c r="J114" s="9">
        <f t="shared" si="9"/>
        <v>296.11519408181999</v>
      </c>
      <c r="K114" s="9">
        <f t="shared" si="10"/>
        <v>100.72734419032</v>
      </c>
      <c r="L114" s="10">
        <f t="shared" si="7"/>
        <v>0.34016270087946882</v>
      </c>
      <c r="M114" s="10">
        <f t="shared" si="11"/>
        <v>0.36004307524824636</v>
      </c>
      <c r="P114" s="8">
        <f t="shared" si="12"/>
        <v>-8.604458490826854</v>
      </c>
      <c r="X114" s="8">
        <v>-13</v>
      </c>
    </row>
    <row r="115" spans="1:24" x14ac:dyDescent="0.2">
      <c r="A115" s="8">
        <v>56.5</v>
      </c>
      <c r="B115" s="8">
        <v>113</v>
      </c>
      <c r="D115">
        <v>463.98184568835001</v>
      </c>
      <c r="E115">
        <v>231.5189107413</v>
      </c>
      <c r="F115">
        <v>169.72549019607999</v>
      </c>
      <c r="G115">
        <v>131.74811463047001</v>
      </c>
      <c r="I115" s="9">
        <f t="shared" si="8"/>
        <v>99.770796110829991</v>
      </c>
      <c r="J115" s="9">
        <f t="shared" si="9"/>
        <v>294.25635549227002</v>
      </c>
      <c r="K115" s="9">
        <f t="shared" si="10"/>
        <v>99.770796110829991</v>
      </c>
      <c r="L115" s="10">
        <f t="shared" si="7"/>
        <v>0.33906080276132194</v>
      </c>
      <c r="M115" s="10">
        <f t="shared" si="11"/>
        <v>0.35911868047267786</v>
      </c>
      <c r="P115" s="8">
        <f t="shared" si="12"/>
        <v>-8.8391125277725191</v>
      </c>
      <c r="X115" s="8">
        <v>-13</v>
      </c>
    </row>
    <row r="116" spans="1:24" x14ac:dyDescent="0.2">
      <c r="A116" s="8">
        <v>57</v>
      </c>
      <c r="B116" s="8">
        <v>114</v>
      </c>
      <c r="D116">
        <v>464.53555219365001</v>
      </c>
      <c r="E116">
        <v>231.54084720121</v>
      </c>
      <c r="F116">
        <v>168.84464555053</v>
      </c>
      <c r="G116">
        <v>131.57616892911</v>
      </c>
      <c r="I116" s="9">
        <f t="shared" si="8"/>
        <v>99.964678272100002</v>
      </c>
      <c r="J116" s="9">
        <f t="shared" si="9"/>
        <v>295.69090664312</v>
      </c>
      <c r="K116" s="9">
        <f t="shared" si="10"/>
        <v>99.964678272100002</v>
      </c>
      <c r="L116" s="10">
        <f t="shared" si="7"/>
        <v>0.3380715335718828</v>
      </c>
      <c r="M116" s="10">
        <f t="shared" si="11"/>
        <v>0.3583069146258171</v>
      </c>
      <c r="P116" s="8">
        <f t="shared" si="12"/>
        <v>-9.0451761469695775</v>
      </c>
      <c r="X116" s="8">
        <v>-13</v>
      </c>
    </row>
    <row r="117" spans="1:24" x14ac:dyDescent="0.2">
      <c r="A117" s="8">
        <v>57.5</v>
      </c>
      <c r="B117" s="8">
        <v>115</v>
      </c>
      <c r="D117">
        <v>465.88502269289</v>
      </c>
      <c r="E117">
        <v>231.33888048412001</v>
      </c>
      <c r="F117">
        <v>168.93061840121001</v>
      </c>
      <c r="G117">
        <v>132.03092006033</v>
      </c>
      <c r="I117" s="9">
        <f t="shared" si="8"/>
        <v>99.307960423790007</v>
      </c>
      <c r="J117" s="9">
        <f t="shared" si="9"/>
        <v>296.95440429168002</v>
      </c>
      <c r="K117" s="9">
        <f t="shared" si="10"/>
        <v>99.307960423790007</v>
      </c>
      <c r="L117" s="10">
        <f t="shared" si="7"/>
        <v>0.3344215778198929</v>
      </c>
      <c r="M117" s="10">
        <f t="shared" si="11"/>
        <v>0.35483446221640558</v>
      </c>
      <c r="P117" s="8">
        <f t="shared" si="12"/>
        <v>-9.9266447548692778</v>
      </c>
      <c r="X117" s="8">
        <v>-13</v>
      </c>
    </row>
    <row r="118" spans="1:24" x14ac:dyDescent="0.2">
      <c r="A118" s="8">
        <v>58</v>
      </c>
      <c r="B118" s="8">
        <v>116</v>
      </c>
      <c r="D118">
        <v>465.42738275340002</v>
      </c>
      <c r="E118">
        <v>231.06580937973001</v>
      </c>
      <c r="F118">
        <v>169.02639517345</v>
      </c>
      <c r="G118">
        <v>131.91779788839</v>
      </c>
      <c r="I118" s="9">
        <f t="shared" si="8"/>
        <v>99.148011491340014</v>
      </c>
      <c r="J118" s="9">
        <f t="shared" si="9"/>
        <v>296.40098757995003</v>
      </c>
      <c r="K118" s="9">
        <f t="shared" si="10"/>
        <v>99.148011491340014</v>
      </c>
      <c r="L118" s="10">
        <f t="shared" si="7"/>
        <v>0.33450634662476025</v>
      </c>
      <c r="M118" s="10">
        <f t="shared" si="11"/>
        <v>0.35509673436385131</v>
      </c>
      <c r="P118" s="8">
        <f t="shared" si="12"/>
        <v>-9.86006798507014</v>
      </c>
      <c r="X118" s="8">
        <v>-13</v>
      </c>
    </row>
    <row r="119" spans="1:24" x14ac:dyDescent="0.2">
      <c r="A119" s="8">
        <v>58.5</v>
      </c>
      <c r="B119" s="8">
        <v>117</v>
      </c>
      <c r="D119">
        <v>469.61119515885002</v>
      </c>
      <c r="E119">
        <v>232.74281391830999</v>
      </c>
      <c r="F119">
        <v>168.61764705882001</v>
      </c>
      <c r="G119">
        <v>131.60105580694</v>
      </c>
      <c r="I119" s="9">
        <f t="shared" si="8"/>
        <v>101.14175811137</v>
      </c>
      <c r="J119" s="9">
        <f t="shared" si="9"/>
        <v>300.99354810003001</v>
      </c>
      <c r="K119" s="9">
        <f t="shared" si="10"/>
        <v>101.14175811137</v>
      </c>
      <c r="L119" s="10">
        <f t="shared" si="7"/>
        <v>0.33602633262343973</v>
      </c>
      <c r="M119" s="10">
        <f t="shared" si="11"/>
        <v>0.35679422370510916</v>
      </c>
      <c r="P119" s="8">
        <f t="shared" si="12"/>
        <v>-9.4291668840189917</v>
      </c>
      <c r="X119" s="8">
        <v>-13</v>
      </c>
    </row>
    <row r="120" spans="1:24" x14ac:dyDescent="0.2">
      <c r="A120" s="8">
        <v>59</v>
      </c>
      <c r="B120" s="8">
        <v>118</v>
      </c>
      <c r="D120">
        <v>473.69288956127002</v>
      </c>
      <c r="E120">
        <v>230.09228441754999</v>
      </c>
      <c r="F120">
        <v>168.53092006033</v>
      </c>
      <c r="G120">
        <v>131.55505279035</v>
      </c>
      <c r="I120" s="9">
        <f t="shared" si="8"/>
        <v>98.537231627199986</v>
      </c>
      <c r="J120" s="9">
        <f t="shared" si="9"/>
        <v>305.16196950094002</v>
      </c>
      <c r="K120" s="9">
        <f t="shared" si="10"/>
        <v>98.537231627199986</v>
      </c>
      <c r="L120" s="10">
        <f t="shared" si="7"/>
        <v>0.3229014145777967</v>
      </c>
      <c r="M120" s="10">
        <f t="shared" si="11"/>
        <v>0.34384680900204451</v>
      </c>
      <c r="P120" s="8">
        <f t="shared" si="12"/>
        <v>-12.715818007956106</v>
      </c>
      <c r="X120" s="8">
        <v>-13</v>
      </c>
    </row>
    <row r="121" spans="1:24" x14ac:dyDescent="0.2">
      <c r="A121" s="8">
        <v>59.5</v>
      </c>
      <c r="B121" s="8">
        <v>119</v>
      </c>
      <c r="D121">
        <v>474.08396369138001</v>
      </c>
      <c r="E121">
        <v>230.84417549168001</v>
      </c>
      <c r="F121">
        <v>169.48491704374001</v>
      </c>
      <c r="G121">
        <v>131.54147812970999</v>
      </c>
      <c r="I121" s="9">
        <f t="shared" si="8"/>
        <v>99.302697361970019</v>
      </c>
      <c r="J121" s="9">
        <f t="shared" si="9"/>
        <v>304.59904664763997</v>
      </c>
      <c r="K121" s="9">
        <f t="shared" si="10"/>
        <v>99.302697361970019</v>
      </c>
      <c r="L121" s="10">
        <f t="shared" si="7"/>
        <v>0.32601118898721748</v>
      </c>
      <c r="M121" s="10">
        <f t="shared" si="11"/>
        <v>0.34713408675404367</v>
      </c>
      <c r="P121" s="8">
        <f t="shared" si="12"/>
        <v>-11.881355270329868</v>
      </c>
      <c r="X121" s="8">
        <v>-13</v>
      </c>
    </row>
    <row r="122" spans="1:24" x14ac:dyDescent="0.2">
      <c r="A122" s="8">
        <v>60</v>
      </c>
      <c r="B122" s="8">
        <v>120</v>
      </c>
      <c r="D122">
        <v>471.93116490166</v>
      </c>
      <c r="E122">
        <v>231.78971255673</v>
      </c>
      <c r="F122">
        <v>169.09728506786999</v>
      </c>
      <c r="G122">
        <v>131.61463046757001</v>
      </c>
      <c r="I122" s="9">
        <f t="shared" si="8"/>
        <v>100.17508208915999</v>
      </c>
      <c r="J122" s="9">
        <f t="shared" si="9"/>
        <v>302.83387983378998</v>
      </c>
      <c r="K122" s="9">
        <f t="shared" si="10"/>
        <v>100.17508208915999</v>
      </c>
      <c r="L122" s="10">
        <f t="shared" si="7"/>
        <v>0.33079218924956799</v>
      </c>
      <c r="M122" s="10">
        <f t="shared" si="11"/>
        <v>0.35209259035897256</v>
      </c>
      <c r="P122" s="8">
        <f t="shared" si="12"/>
        <v>-10.622658316541226</v>
      </c>
      <c r="X122" s="8">
        <v>-13</v>
      </c>
    </row>
    <row r="123" spans="1:24" x14ac:dyDescent="0.2">
      <c r="A123" s="8">
        <v>60.5</v>
      </c>
      <c r="B123" s="8">
        <v>121</v>
      </c>
      <c r="D123">
        <v>472.16338880484</v>
      </c>
      <c r="E123">
        <v>232.02118003026001</v>
      </c>
      <c r="F123">
        <v>168.62820512821</v>
      </c>
      <c r="G123">
        <v>131.36877828054</v>
      </c>
      <c r="I123" s="9">
        <f t="shared" si="8"/>
        <v>100.65240174972001</v>
      </c>
      <c r="J123" s="9">
        <f t="shared" si="9"/>
        <v>303.53518367663003</v>
      </c>
      <c r="K123" s="9">
        <f t="shared" si="10"/>
        <v>100.65240174972001</v>
      </c>
      <c r="L123" s="10">
        <f t="shared" si="7"/>
        <v>0.33160044424026192</v>
      </c>
      <c r="M123" s="10">
        <f t="shared" si="11"/>
        <v>0.3530783486922448</v>
      </c>
      <c r="P123" s="8">
        <f t="shared" si="12"/>
        <v>-10.372427377911237</v>
      </c>
      <c r="X123" s="8">
        <v>-13</v>
      </c>
    </row>
    <row r="124" spans="1:24" x14ac:dyDescent="0.2">
      <c r="A124" s="8">
        <v>61</v>
      </c>
      <c r="B124" s="8">
        <v>122</v>
      </c>
      <c r="D124">
        <v>470.11951588502001</v>
      </c>
      <c r="E124">
        <v>230.80332829047001</v>
      </c>
      <c r="F124">
        <v>168.97285067873</v>
      </c>
      <c r="G124">
        <v>131.16817496229001</v>
      </c>
      <c r="I124" s="9">
        <f t="shared" si="8"/>
        <v>99.635153328179996</v>
      </c>
      <c r="J124" s="9">
        <f t="shared" si="9"/>
        <v>301.14666520628998</v>
      </c>
      <c r="K124" s="9">
        <f t="shared" si="10"/>
        <v>99.635153328179996</v>
      </c>
      <c r="L124" s="10">
        <f t="shared" si="7"/>
        <v>0.33085258725986033</v>
      </c>
      <c r="M124" s="10">
        <f t="shared" si="11"/>
        <v>0.3525079950544216</v>
      </c>
      <c r="P124" s="8">
        <f t="shared" si="12"/>
        <v>-10.517209441959093</v>
      </c>
      <c r="X124" s="8">
        <v>-13</v>
      </c>
    </row>
    <row r="125" spans="1:24" x14ac:dyDescent="0.2">
      <c r="A125" s="8">
        <v>61.5</v>
      </c>
      <c r="B125" s="8">
        <v>123</v>
      </c>
      <c r="D125">
        <v>469.16792738275001</v>
      </c>
      <c r="E125">
        <v>232.07564296519999</v>
      </c>
      <c r="F125">
        <v>168.24132730015</v>
      </c>
      <c r="G125">
        <v>131.24585218703001</v>
      </c>
      <c r="I125" s="9">
        <f t="shared" si="8"/>
        <v>100.82979077816998</v>
      </c>
      <c r="J125" s="9">
        <f t="shared" si="9"/>
        <v>300.92660008259998</v>
      </c>
      <c r="K125" s="9">
        <f t="shared" si="10"/>
        <v>100.82979077816998</v>
      </c>
      <c r="L125" s="10">
        <f t="shared" si="7"/>
        <v>0.33506440025738393</v>
      </c>
      <c r="M125" s="10">
        <f t="shared" si="11"/>
        <v>0.35689731139452358</v>
      </c>
      <c r="P125" s="8">
        <f t="shared" si="12"/>
        <v>-9.402998472946333</v>
      </c>
      <c r="X125" s="8">
        <v>-13</v>
      </c>
    </row>
    <row r="126" spans="1:24" x14ac:dyDescent="0.2">
      <c r="A126" s="8">
        <v>62</v>
      </c>
      <c r="B126" s="8">
        <v>124</v>
      </c>
      <c r="D126">
        <v>471.01512859304</v>
      </c>
      <c r="E126">
        <v>231.91452344932</v>
      </c>
      <c r="F126">
        <v>168.47134238311</v>
      </c>
      <c r="G126">
        <v>131.64102564103001</v>
      </c>
      <c r="I126" s="9">
        <f t="shared" si="8"/>
        <v>100.27349780828999</v>
      </c>
      <c r="J126" s="9">
        <f t="shared" si="9"/>
        <v>302.54378620992998</v>
      </c>
      <c r="K126" s="9">
        <f t="shared" si="10"/>
        <v>100.27349780828999</v>
      </c>
      <c r="L126" s="10">
        <f t="shared" si="7"/>
        <v>0.33143466294400081</v>
      </c>
      <c r="M126" s="10">
        <f t="shared" si="11"/>
        <v>0.35344507742371883</v>
      </c>
      <c r="P126" s="8">
        <f t="shared" si="12"/>
        <v>-10.279334708438476</v>
      </c>
      <c r="X126" s="8">
        <v>-13</v>
      </c>
    </row>
    <row r="127" spans="1:24" x14ac:dyDescent="0.2">
      <c r="A127" s="8">
        <v>62.5</v>
      </c>
      <c r="B127" s="8">
        <v>125</v>
      </c>
      <c r="D127">
        <v>468.00302571860999</v>
      </c>
      <c r="E127">
        <v>231.95763993949001</v>
      </c>
      <c r="F127">
        <v>168.87179487180001</v>
      </c>
      <c r="G127">
        <v>130.72021116139001</v>
      </c>
      <c r="I127" s="9">
        <f t="shared" si="8"/>
        <v>101.2374287781</v>
      </c>
      <c r="J127" s="9">
        <f t="shared" si="9"/>
        <v>299.13123084681001</v>
      </c>
      <c r="K127" s="9">
        <f t="shared" si="10"/>
        <v>101.2374287781</v>
      </c>
      <c r="L127" s="10">
        <f t="shared" si="7"/>
        <v>0.33843817809162607</v>
      </c>
      <c r="M127" s="10">
        <f t="shared" si="11"/>
        <v>0.36062609591392247</v>
      </c>
      <c r="P127" s="8">
        <f t="shared" si="12"/>
        <v>-8.4564609507720494</v>
      </c>
      <c r="X127" s="8">
        <v>-13</v>
      </c>
    </row>
    <row r="128" spans="1:24" x14ac:dyDescent="0.2">
      <c r="A128" s="8">
        <v>63</v>
      </c>
      <c r="B128" s="8">
        <v>126</v>
      </c>
      <c r="D128">
        <v>465.65204236006002</v>
      </c>
      <c r="E128">
        <v>233.00756429652</v>
      </c>
      <c r="F128">
        <v>168.70739064857</v>
      </c>
      <c r="G128">
        <v>131.12895927602</v>
      </c>
      <c r="I128" s="9">
        <f t="shared" si="8"/>
        <v>101.8786050205</v>
      </c>
      <c r="J128" s="9">
        <f t="shared" si="9"/>
        <v>296.94465171149</v>
      </c>
      <c r="K128" s="9">
        <f t="shared" si="10"/>
        <v>101.8786050205</v>
      </c>
      <c r="L128" s="10">
        <f t="shared" si="7"/>
        <v>0.34308954356748195</v>
      </c>
      <c r="M128" s="10">
        <f t="shared" si="11"/>
        <v>0.36545496473235672</v>
      </c>
      <c r="P128" s="8">
        <f t="shared" si="12"/>
        <v>-7.2306712859291373</v>
      </c>
      <c r="X128" s="8">
        <v>-13</v>
      </c>
    </row>
    <row r="129" spans="1:24" x14ac:dyDescent="0.2">
      <c r="A129" s="8">
        <v>63.5</v>
      </c>
      <c r="B129" s="8">
        <v>127</v>
      </c>
      <c r="D129">
        <v>465.04538577912001</v>
      </c>
      <c r="E129">
        <v>231.86006051436999</v>
      </c>
      <c r="F129">
        <v>167.99472096530999</v>
      </c>
      <c r="G129">
        <v>130.90874811462999</v>
      </c>
      <c r="I129" s="9">
        <f t="shared" si="8"/>
        <v>100.95131239974</v>
      </c>
      <c r="J129" s="9">
        <f t="shared" si="9"/>
        <v>297.05066481381004</v>
      </c>
      <c r="K129" s="9">
        <f t="shared" si="10"/>
        <v>100.95131239974</v>
      </c>
      <c r="L129" s="10">
        <f t="shared" si="7"/>
        <v>0.33984543499680708</v>
      </c>
      <c r="M129" s="10">
        <f t="shared" si="11"/>
        <v>0.36238835950426024</v>
      </c>
      <c r="P129" s="8">
        <f t="shared" si="12"/>
        <v>-8.0091171572279904</v>
      </c>
      <c r="X129" s="8">
        <v>-13</v>
      </c>
    </row>
    <row r="130" spans="1:24" x14ac:dyDescent="0.2">
      <c r="A130" s="8">
        <v>64</v>
      </c>
      <c r="B130" s="8">
        <v>128</v>
      </c>
      <c r="D130">
        <v>476.02647503781998</v>
      </c>
      <c r="E130">
        <v>232.95915279879</v>
      </c>
      <c r="F130">
        <v>168.28657616893</v>
      </c>
      <c r="G130">
        <v>130.8665158371</v>
      </c>
      <c r="I130" s="9">
        <f t="shared" si="8"/>
        <v>102.09263696169</v>
      </c>
      <c r="J130" s="9">
        <f t="shared" si="9"/>
        <v>307.73989886889001</v>
      </c>
      <c r="K130" s="9">
        <f t="shared" si="10"/>
        <v>102.09263696169</v>
      </c>
      <c r="L130" s="10">
        <f t="shared" ref="L130:L193" si="14">K130/J130</f>
        <v>0.33174975795122918</v>
      </c>
      <c r="M130" s="10">
        <f t="shared" si="11"/>
        <v>0.35447018580126066</v>
      </c>
      <c r="P130" s="8">
        <f t="shared" si="12"/>
        <v>-10.01911491333083</v>
      </c>
      <c r="X130" s="8">
        <v>-13</v>
      </c>
    </row>
    <row r="131" spans="1:24" x14ac:dyDescent="0.2">
      <c r="A131" s="8">
        <v>64.5</v>
      </c>
      <c r="B131" s="8">
        <v>129</v>
      </c>
      <c r="D131">
        <v>467.67169811321003</v>
      </c>
      <c r="E131">
        <v>232.32830188679</v>
      </c>
      <c r="F131">
        <v>168.66892911011001</v>
      </c>
      <c r="G131">
        <v>130.97888386124001</v>
      </c>
      <c r="I131" s="9">
        <f t="shared" ref="I131:I194" si="15">E131-G131</f>
        <v>101.34941802554999</v>
      </c>
      <c r="J131" s="9">
        <f t="shared" ref="J131:J194" si="16">D131-F131</f>
        <v>299.00276900310001</v>
      </c>
      <c r="K131" s="9">
        <f t="shared" ref="K131:K194" si="17">I131*1</f>
        <v>101.34941802554999</v>
      </c>
      <c r="L131" s="10">
        <f t="shared" si="14"/>
        <v>0.33895812524899799</v>
      </c>
      <c r="M131" s="10">
        <f t="shared" ref="M131:M181" si="18">L131+ABS($N$2)*A131</f>
        <v>0.36185605644160784</v>
      </c>
      <c r="P131" s="8">
        <f t="shared" ref="P131:P194" si="19">(M131-$O$2)/$O$2*100</f>
        <v>-8.1442402300007775</v>
      </c>
      <c r="X131" s="8">
        <v>-13</v>
      </c>
    </row>
    <row r="132" spans="1:24" x14ac:dyDescent="0.2">
      <c r="A132" s="8">
        <v>65</v>
      </c>
      <c r="B132" s="8">
        <v>130</v>
      </c>
      <c r="D132">
        <v>468.06566037736002</v>
      </c>
      <c r="E132">
        <v>231.88075471697999</v>
      </c>
      <c r="F132">
        <v>168.01659125188999</v>
      </c>
      <c r="G132">
        <v>130.79336349925001</v>
      </c>
      <c r="I132" s="9">
        <f t="shared" si="15"/>
        <v>101.08739121772999</v>
      </c>
      <c r="J132" s="9">
        <f t="shared" si="16"/>
        <v>300.04906912547006</v>
      </c>
      <c r="K132" s="9">
        <f t="shared" si="17"/>
        <v>101.08739121772999</v>
      </c>
      <c r="L132" s="10">
        <f t="shared" si="14"/>
        <v>0.33690286562915067</v>
      </c>
      <c r="M132" s="10">
        <f t="shared" si="18"/>
        <v>0.3599783001643389</v>
      </c>
      <c r="P132" s="8">
        <f t="shared" si="19"/>
        <v>-8.6209013952375049</v>
      </c>
      <c r="X132" s="8">
        <v>-13</v>
      </c>
    </row>
    <row r="133" spans="1:24" x14ac:dyDescent="0.2">
      <c r="A133" s="8">
        <v>65.5</v>
      </c>
      <c r="B133" s="8">
        <v>131</v>
      </c>
      <c r="D133">
        <v>453.47819548872002</v>
      </c>
      <c r="E133">
        <v>230.21353383459001</v>
      </c>
      <c r="F133">
        <v>167.95022624434</v>
      </c>
      <c r="G133">
        <v>131.0754147813</v>
      </c>
      <c r="I133" s="9">
        <f t="shared" si="15"/>
        <v>99.138119053290012</v>
      </c>
      <c r="J133" s="9">
        <f t="shared" si="16"/>
        <v>285.52796924438002</v>
      </c>
      <c r="K133" s="9">
        <f t="shared" si="17"/>
        <v>99.138119053290012</v>
      </c>
      <c r="L133" s="10">
        <f t="shared" si="14"/>
        <v>0.34720983487414103</v>
      </c>
      <c r="M133" s="10">
        <f t="shared" si="18"/>
        <v>0.37046277275190764</v>
      </c>
      <c r="P133" s="8">
        <f t="shared" si="19"/>
        <v>-5.959458597266087</v>
      </c>
      <c r="X133" s="8">
        <v>-13</v>
      </c>
    </row>
    <row r="134" spans="1:24" x14ac:dyDescent="0.2">
      <c r="A134" s="8">
        <v>66</v>
      </c>
      <c r="B134" s="8">
        <v>132</v>
      </c>
      <c r="D134">
        <v>453.63308270676998</v>
      </c>
      <c r="E134">
        <v>229.08045112782</v>
      </c>
      <c r="F134">
        <v>167.93363499245999</v>
      </c>
      <c r="G134">
        <v>130.59653092005999</v>
      </c>
      <c r="I134" s="9">
        <f t="shared" si="15"/>
        <v>98.483920207760008</v>
      </c>
      <c r="J134" s="9">
        <f t="shared" si="16"/>
        <v>285.69944771431</v>
      </c>
      <c r="K134" s="9">
        <f t="shared" si="17"/>
        <v>98.483920207760008</v>
      </c>
      <c r="L134" s="10">
        <f t="shared" si="14"/>
        <v>0.34471162263582905</v>
      </c>
      <c r="M134" s="10">
        <f t="shared" si="18"/>
        <v>0.36814206385617404</v>
      </c>
      <c r="P134" s="8">
        <f t="shared" si="19"/>
        <v>-6.5485615707491496</v>
      </c>
      <c r="X134" s="8">
        <v>-13</v>
      </c>
    </row>
    <row r="135" spans="1:24" x14ac:dyDescent="0.2">
      <c r="A135" s="8">
        <v>66.5</v>
      </c>
      <c r="B135" s="8">
        <v>133</v>
      </c>
      <c r="D135">
        <v>459.70827067669001</v>
      </c>
      <c r="E135">
        <v>228.71654135337999</v>
      </c>
      <c r="F135">
        <v>167.57692307692</v>
      </c>
      <c r="G135">
        <v>131.20512820512999</v>
      </c>
      <c r="I135" s="9">
        <f t="shared" si="15"/>
        <v>97.51141314825</v>
      </c>
      <c r="J135" s="9">
        <f t="shared" si="16"/>
        <v>292.13134759977004</v>
      </c>
      <c r="K135" s="9">
        <f t="shared" si="17"/>
        <v>97.51141314825</v>
      </c>
      <c r="L135" s="10">
        <f t="shared" si="14"/>
        <v>0.33379304874136267</v>
      </c>
      <c r="M135" s="10">
        <f t="shared" si="18"/>
        <v>0.35740099330428604</v>
      </c>
      <c r="P135" s="8">
        <f t="shared" si="19"/>
        <v>-9.2751407690886083</v>
      </c>
      <c r="X135" s="8">
        <v>-13</v>
      </c>
    </row>
    <row r="136" spans="1:24" x14ac:dyDescent="0.2">
      <c r="A136" s="8">
        <v>67</v>
      </c>
      <c r="B136" s="8">
        <v>134</v>
      </c>
      <c r="D136">
        <v>471.48865355522003</v>
      </c>
      <c r="E136">
        <v>230.01739788200001</v>
      </c>
      <c r="F136">
        <v>167.71191553545</v>
      </c>
      <c r="G136">
        <v>130.62971342383</v>
      </c>
      <c r="I136" s="9">
        <f t="shared" si="15"/>
        <v>99.387684458170014</v>
      </c>
      <c r="J136" s="9">
        <f t="shared" si="16"/>
        <v>303.77673801977005</v>
      </c>
      <c r="K136" s="9">
        <f t="shared" si="17"/>
        <v>99.387684458170014</v>
      </c>
      <c r="L136" s="10">
        <f t="shared" si="14"/>
        <v>0.3271734534581176</v>
      </c>
      <c r="M136" s="10">
        <f t="shared" si="18"/>
        <v>0.35095890136361935</v>
      </c>
      <c r="P136" s="8">
        <f t="shared" si="19"/>
        <v>-10.910440881340886</v>
      </c>
      <c r="X136" s="8">
        <v>-13</v>
      </c>
    </row>
    <row r="137" spans="1:24" x14ac:dyDescent="0.2">
      <c r="A137" s="8">
        <v>67.5</v>
      </c>
      <c r="B137" s="8">
        <v>135</v>
      </c>
      <c r="D137">
        <v>455.84417549168001</v>
      </c>
      <c r="E137">
        <v>228.88880484115001</v>
      </c>
      <c r="F137">
        <v>168.09125188537001</v>
      </c>
      <c r="G137">
        <v>131.03770739065001</v>
      </c>
      <c r="I137" s="9">
        <f t="shared" si="15"/>
        <v>97.851097450499992</v>
      </c>
      <c r="J137" s="9">
        <f t="shared" si="16"/>
        <v>287.75292360630999</v>
      </c>
      <c r="K137" s="9">
        <f t="shared" si="17"/>
        <v>97.851097450499992</v>
      </c>
      <c r="L137" s="10">
        <f t="shared" si="14"/>
        <v>0.34005248747489791</v>
      </c>
      <c r="M137" s="10">
        <f t="shared" si="18"/>
        <v>0.36401543872297804</v>
      </c>
      <c r="P137" s="8">
        <f t="shared" si="19"/>
        <v>-7.5960893933402867</v>
      </c>
      <c r="X137" s="8">
        <v>-13</v>
      </c>
    </row>
    <row r="138" spans="1:24" x14ac:dyDescent="0.2">
      <c r="A138" s="8">
        <v>68</v>
      </c>
      <c r="B138" s="8">
        <v>136</v>
      </c>
      <c r="D138">
        <v>458.37330316741998</v>
      </c>
      <c r="E138">
        <v>227.92006033183</v>
      </c>
      <c r="F138">
        <v>167.60105580694</v>
      </c>
      <c r="G138">
        <v>130.53921568627999</v>
      </c>
      <c r="I138" s="9">
        <f t="shared" si="15"/>
        <v>97.380844645550013</v>
      </c>
      <c r="J138" s="9">
        <f t="shared" si="16"/>
        <v>290.77224736047998</v>
      </c>
      <c r="K138" s="9">
        <f t="shared" si="17"/>
        <v>97.380844645550013</v>
      </c>
      <c r="L138" s="10">
        <f t="shared" si="14"/>
        <v>0.33490419230011231</v>
      </c>
      <c r="M138" s="10">
        <f t="shared" si="18"/>
        <v>0.35904464689077076</v>
      </c>
      <c r="P138" s="8">
        <f t="shared" si="19"/>
        <v>-8.8579056660757569</v>
      </c>
      <c r="X138" s="8">
        <v>-13</v>
      </c>
    </row>
    <row r="139" spans="1:24" x14ac:dyDescent="0.2">
      <c r="A139" s="8">
        <v>68.5</v>
      </c>
      <c r="B139" s="8">
        <v>137</v>
      </c>
      <c r="D139">
        <v>459.61915535445002</v>
      </c>
      <c r="E139">
        <v>227.78355957767999</v>
      </c>
      <c r="F139">
        <v>167.12594268477</v>
      </c>
      <c r="G139">
        <v>131.11236802413001</v>
      </c>
      <c r="I139" s="9">
        <f t="shared" si="15"/>
        <v>96.671191553549988</v>
      </c>
      <c r="J139" s="9">
        <f t="shared" si="16"/>
        <v>292.49321266968002</v>
      </c>
      <c r="K139" s="9">
        <f t="shared" si="17"/>
        <v>96.671191553549988</v>
      </c>
      <c r="L139" s="10">
        <f t="shared" si="14"/>
        <v>0.33050746945955017</v>
      </c>
      <c r="M139" s="10">
        <f t="shared" si="18"/>
        <v>0.354825427392787</v>
      </c>
      <c r="P139" s="8">
        <f t="shared" si="19"/>
        <v>-9.9289382098857111</v>
      </c>
      <c r="X139" s="8">
        <v>-13</v>
      </c>
    </row>
    <row r="140" spans="1:24" x14ac:dyDescent="0.2">
      <c r="A140" s="8">
        <v>69</v>
      </c>
      <c r="B140" s="8">
        <v>138</v>
      </c>
      <c r="D140">
        <v>461.87254901961001</v>
      </c>
      <c r="E140">
        <v>226.75188536952999</v>
      </c>
      <c r="F140">
        <v>167.14781297133999</v>
      </c>
      <c r="G140">
        <v>131.33785822020999</v>
      </c>
      <c r="I140" s="9">
        <f t="shared" si="15"/>
        <v>95.414027149319992</v>
      </c>
      <c r="J140" s="9">
        <f t="shared" si="16"/>
        <v>294.72473604827002</v>
      </c>
      <c r="K140" s="9">
        <f t="shared" si="17"/>
        <v>95.414027149319992</v>
      </c>
      <c r="L140" s="10">
        <f t="shared" si="14"/>
        <v>0.32373946085642802</v>
      </c>
      <c r="M140" s="10">
        <f t="shared" si="18"/>
        <v>0.34823492213224322</v>
      </c>
      <c r="P140" s="8">
        <f t="shared" si="19"/>
        <v>-11.601912469121617</v>
      </c>
      <c r="X140" s="8">
        <v>-13</v>
      </c>
    </row>
    <row r="141" spans="1:24" x14ac:dyDescent="0.2">
      <c r="A141" s="8">
        <v>69.5</v>
      </c>
      <c r="B141" s="8">
        <v>139</v>
      </c>
      <c r="D141">
        <v>461.71794871794998</v>
      </c>
      <c r="E141">
        <v>227.29110105581</v>
      </c>
      <c r="F141">
        <v>167.48793363498999</v>
      </c>
      <c r="G141">
        <v>130.7322775264</v>
      </c>
      <c r="I141" s="9">
        <f t="shared" si="15"/>
        <v>96.558823529410006</v>
      </c>
      <c r="J141" s="9">
        <f t="shared" si="16"/>
        <v>294.23001508295999</v>
      </c>
      <c r="K141" s="9">
        <f t="shared" si="17"/>
        <v>96.558823529410006</v>
      </c>
      <c r="L141" s="10">
        <f t="shared" si="14"/>
        <v>0.32817462046550433</v>
      </c>
      <c r="M141" s="10">
        <f t="shared" si="18"/>
        <v>0.35284758508389791</v>
      </c>
      <c r="P141" s="8">
        <f t="shared" si="19"/>
        <v>-10.43100582697857</v>
      </c>
      <c r="X141" s="8">
        <v>-13</v>
      </c>
    </row>
    <row r="142" spans="1:24" x14ac:dyDescent="0.2">
      <c r="A142" s="8">
        <v>70</v>
      </c>
      <c r="B142" s="8">
        <v>140</v>
      </c>
      <c r="D142">
        <v>457.90422322774998</v>
      </c>
      <c r="E142">
        <v>228.05580693816</v>
      </c>
      <c r="F142">
        <v>167.59653092005999</v>
      </c>
      <c r="G142">
        <v>130.18325791855</v>
      </c>
      <c r="I142" s="9">
        <f t="shared" si="15"/>
        <v>97.872549019610005</v>
      </c>
      <c r="J142" s="9">
        <f t="shared" si="16"/>
        <v>290.30769230768999</v>
      </c>
      <c r="K142" s="9">
        <f t="shared" si="17"/>
        <v>97.872549019610005</v>
      </c>
      <c r="L142" s="10">
        <f t="shared" si="14"/>
        <v>0.33713384664942775</v>
      </c>
      <c r="M142" s="10">
        <f t="shared" si="18"/>
        <v>0.3619843146103997</v>
      </c>
      <c r="P142" s="8">
        <f t="shared" si="19"/>
        <v>-8.111682390132243</v>
      </c>
      <c r="X142" s="8">
        <v>-13</v>
      </c>
    </row>
    <row r="143" spans="1:24" x14ac:dyDescent="0.2">
      <c r="A143" s="8">
        <v>70.5</v>
      </c>
      <c r="B143" s="8">
        <v>141</v>
      </c>
      <c r="D143">
        <v>465.24283559577998</v>
      </c>
      <c r="E143">
        <v>228.6334841629</v>
      </c>
      <c r="F143">
        <v>167.23076923076999</v>
      </c>
      <c r="G143">
        <v>130.37028657617</v>
      </c>
      <c r="I143" s="9">
        <f t="shared" si="15"/>
        <v>98.263197586730001</v>
      </c>
      <c r="J143" s="9">
        <f t="shared" si="16"/>
        <v>298.01206636501001</v>
      </c>
      <c r="K143" s="9">
        <f t="shared" si="17"/>
        <v>98.263197586730001</v>
      </c>
      <c r="L143" s="10">
        <f t="shared" si="14"/>
        <v>0.3297289226751498</v>
      </c>
      <c r="M143" s="10">
        <f t="shared" si="18"/>
        <v>0.35475689397870014</v>
      </c>
      <c r="P143" s="8">
        <f t="shared" si="19"/>
        <v>-9.9463351518700041</v>
      </c>
      <c r="X143" s="8">
        <v>-13</v>
      </c>
    </row>
    <row r="144" spans="1:24" x14ac:dyDescent="0.2">
      <c r="A144" s="8">
        <v>71</v>
      </c>
      <c r="B144" s="8">
        <v>142</v>
      </c>
      <c r="D144">
        <v>460.70889894419003</v>
      </c>
      <c r="E144">
        <v>225.28129713423999</v>
      </c>
      <c r="F144">
        <v>167.44268476620999</v>
      </c>
      <c r="G144">
        <v>130.07239819005</v>
      </c>
      <c r="I144" s="9">
        <f t="shared" si="15"/>
        <v>95.208898944189997</v>
      </c>
      <c r="J144" s="9">
        <f t="shared" si="16"/>
        <v>293.26621417798003</v>
      </c>
      <c r="K144" s="9">
        <f t="shared" si="17"/>
        <v>95.208898944189997</v>
      </c>
      <c r="L144" s="10">
        <f t="shared" si="14"/>
        <v>0.3246500767606621</v>
      </c>
      <c r="M144" s="10">
        <f t="shared" si="18"/>
        <v>0.34985555140679081</v>
      </c>
      <c r="P144" s="8">
        <f t="shared" si="19"/>
        <v>-11.19052199860425</v>
      </c>
    </row>
    <row r="145" spans="1:16" x14ac:dyDescent="0.2">
      <c r="A145" s="8">
        <v>71.5</v>
      </c>
      <c r="B145" s="8">
        <v>143</v>
      </c>
      <c r="D145">
        <v>458.68929110106001</v>
      </c>
      <c r="E145">
        <v>225.5754147813</v>
      </c>
      <c r="F145">
        <v>167.71417797888</v>
      </c>
      <c r="G145">
        <v>130.88914027148999</v>
      </c>
      <c r="I145" s="9">
        <f t="shared" si="15"/>
        <v>94.686274509810005</v>
      </c>
      <c r="J145" s="9">
        <f t="shared" si="16"/>
        <v>290.97511312218001</v>
      </c>
      <c r="K145" s="9">
        <f t="shared" si="17"/>
        <v>94.686274509810005</v>
      </c>
      <c r="L145" s="10">
        <f t="shared" si="14"/>
        <v>0.32541021633713185</v>
      </c>
      <c r="M145" s="10">
        <f t="shared" si="18"/>
        <v>0.35079319432583894</v>
      </c>
      <c r="P145" s="8">
        <f t="shared" si="19"/>
        <v>-10.952504971698348</v>
      </c>
    </row>
    <row r="146" spans="1:16" x14ac:dyDescent="0.2">
      <c r="A146" s="8">
        <v>72</v>
      </c>
      <c r="B146" s="8">
        <v>144</v>
      </c>
      <c r="D146">
        <v>455.81297134238002</v>
      </c>
      <c r="E146">
        <v>224.29034690799</v>
      </c>
      <c r="F146">
        <v>167.33333333332999</v>
      </c>
      <c r="G146">
        <v>129.99472096530999</v>
      </c>
      <c r="I146" s="9">
        <f t="shared" si="15"/>
        <v>94.295625942680005</v>
      </c>
      <c r="J146" s="9">
        <f t="shared" si="16"/>
        <v>288.47963800905006</v>
      </c>
      <c r="K146" s="9">
        <f t="shared" si="17"/>
        <v>94.295625942680005</v>
      </c>
      <c r="L146" s="10">
        <f t="shared" si="14"/>
        <v>0.32687099371541017</v>
      </c>
      <c r="M146" s="10">
        <f t="shared" si="18"/>
        <v>0.35243147504669564</v>
      </c>
      <c r="P146" s="8">
        <f t="shared" si="19"/>
        <v>-10.536633749835525</v>
      </c>
    </row>
    <row r="147" spans="1:16" x14ac:dyDescent="0.2">
      <c r="A147" s="8">
        <v>72.5</v>
      </c>
      <c r="B147" s="8">
        <v>145</v>
      </c>
      <c r="D147">
        <v>441.04298642534002</v>
      </c>
      <c r="E147">
        <v>218.12895927602</v>
      </c>
      <c r="F147">
        <v>167.70512820512999</v>
      </c>
      <c r="G147">
        <v>130.32277526395001</v>
      </c>
      <c r="I147" s="9">
        <f t="shared" si="15"/>
        <v>87.806184012069991</v>
      </c>
      <c r="J147" s="9">
        <f t="shared" si="16"/>
        <v>273.33785822021002</v>
      </c>
      <c r="K147" s="9">
        <f t="shared" si="17"/>
        <v>87.806184012069991</v>
      </c>
      <c r="L147" s="10">
        <f t="shared" si="14"/>
        <v>0.32123681872611448</v>
      </c>
      <c r="M147" s="10">
        <f t="shared" si="18"/>
        <v>0.34697480339997827</v>
      </c>
      <c r="P147" s="8">
        <f t="shared" si="19"/>
        <v>-11.921788733431935</v>
      </c>
    </row>
    <row r="148" spans="1:16" x14ac:dyDescent="0.2">
      <c r="A148" s="8">
        <v>73</v>
      </c>
      <c r="B148" s="8">
        <v>146</v>
      </c>
      <c r="D148">
        <v>458.6</v>
      </c>
      <c r="E148">
        <v>223.75378787879001</v>
      </c>
      <c r="F148">
        <v>167.31146304676</v>
      </c>
      <c r="G148">
        <v>130.39291101056</v>
      </c>
      <c r="I148" s="9">
        <f t="shared" si="15"/>
        <v>93.360876868230008</v>
      </c>
      <c r="J148" s="9">
        <f t="shared" si="16"/>
        <v>291.28853695324005</v>
      </c>
      <c r="K148" s="9">
        <f t="shared" si="17"/>
        <v>93.360876868230008</v>
      </c>
      <c r="L148" s="10">
        <f t="shared" si="14"/>
        <v>0.3205099584238601</v>
      </c>
      <c r="M148" s="10">
        <f t="shared" si="18"/>
        <v>0.34642544644030226</v>
      </c>
      <c r="P148" s="8">
        <f t="shared" si="19"/>
        <v>-12.061240871976201</v>
      </c>
    </row>
    <row r="149" spans="1:16" x14ac:dyDescent="0.2">
      <c r="A149" s="8">
        <v>73.5</v>
      </c>
      <c r="B149" s="8">
        <v>147</v>
      </c>
      <c r="D149">
        <v>444.80742987111</v>
      </c>
      <c r="E149">
        <v>222.06671721001001</v>
      </c>
      <c r="F149">
        <v>167.11538461539001</v>
      </c>
      <c r="G149">
        <v>129.90950226243999</v>
      </c>
      <c r="I149" s="9">
        <f t="shared" si="15"/>
        <v>92.157214947570026</v>
      </c>
      <c r="J149" s="9">
        <f t="shared" si="16"/>
        <v>277.69204525572002</v>
      </c>
      <c r="K149" s="9">
        <f t="shared" si="17"/>
        <v>92.157214947570026</v>
      </c>
      <c r="L149" s="10">
        <f t="shared" si="14"/>
        <v>0.33186840070519352</v>
      </c>
      <c r="M149" s="10">
        <f t="shared" si="18"/>
        <v>0.35796139206421407</v>
      </c>
      <c r="P149" s="8">
        <f t="shared" si="19"/>
        <v>-9.1328857122752609</v>
      </c>
    </row>
    <row r="150" spans="1:16" x14ac:dyDescent="0.2">
      <c r="A150" s="8">
        <v>74</v>
      </c>
      <c r="B150" s="8">
        <v>148</v>
      </c>
      <c r="D150">
        <v>445.51933282789997</v>
      </c>
      <c r="E150">
        <v>222.41470811221001</v>
      </c>
      <c r="F150">
        <v>167.04524886877999</v>
      </c>
      <c r="G150">
        <v>130.18325791855</v>
      </c>
      <c r="I150" s="9">
        <f t="shared" si="15"/>
        <v>92.23145019366001</v>
      </c>
      <c r="J150" s="9">
        <f t="shared" si="16"/>
        <v>278.47408395911998</v>
      </c>
      <c r="K150" s="9">
        <f t="shared" si="17"/>
        <v>92.23145019366001</v>
      </c>
      <c r="L150" s="10">
        <f t="shared" si="14"/>
        <v>0.3312029934074569</v>
      </c>
      <c r="M150" s="10">
        <f t="shared" si="18"/>
        <v>0.35747348810905583</v>
      </c>
      <c r="P150" s="8">
        <f t="shared" si="19"/>
        <v>-9.2567382434075682</v>
      </c>
    </row>
    <row r="151" spans="1:16" x14ac:dyDescent="0.2">
      <c r="A151" s="8">
        <v>74.5</v>
      </c>
      <c r="B151" s="8">
        <v>149</v>
      </c>
      <c r="D151">
        <v>446.82562547383998</v>
      </c>
      <c r="E151">
        <v>221.34040940105999</v>
      </c>
      <c r="F151">
        <v>166.56334841629001</v>
      </c>
      <c r="G151">
        <v>129.85595776772001</v>
      </c>
      <c r="I151" s="9">
        <f t="shared" si="15"/>
        <v>91.484451633339972</v>
      </c>
      <c r="J151" s="9">
        <f t="shared" si="16"/>
        <v>280.26227705754997</v>
      </c>
      <c r="K151" s="9">
        <f t="shared" si="17"/>
        <v>91.484451633339972</v>
      </c>
      <c r="L151" s="10">
        <f t="shared" si="14"/>
        <v>0.32642442141635158</v>
      </c>
      <c r="M151" s="10">
        <f t="shared" si="18"/>
        <v>0.35287241946052889</v>
      </c>
      <c r="P151" s="8">
        <f t="shared" si="19"/>
        <v>-10.424701716564375</v>
      </c>
    </row>
    <row r="152" spans="1:16" x14ac:dyDescent="0.2">
      <c r="A152" s="8">
        <v>75</v>
      </c>
      <c r="B152" s="8">
        <v>150</v>
      </c>
      <c r="D152">
        <v>443.30553449582999</v>
      </c>
      <c r="E152">
        <v>222.31084154663</v>
      </c>
      <c r="F152">
        <v>167.37254901961001</v>
      </c>
      <c r="G152">
        <v>129.91176470587999</v>
      </c>
      <c r="I152" s="9">
        <f t="shared" si="15"/>
        <v>92.399076840750013</v>
      </c>
      <c r="J152" s="9">
        <f t="shared" si="16"/>
        <v>275.93298547621998</v>
      </c>
      <c r="K152" s="9">
        <f t="shared" si="17"/>
        <v>92.399076840750013</v>
      </c>
      <c r="L152" s="10">
        <f t="shared" si="14"/>
        <v>0.33486057015359261</v>
      </c>
      <c r="M152" s="10">
        <f t="shared" si="18"/>
        <v>0.36148607154034829</v>
      </c>
      <c r="P152" s="8">
        <f t="shared" si="19"/>
        <v>-8.2381594655742436</v>
      </c>
    </row>
    <row r="153" spans="1:16" x14ac:dyDescent="0.2">
      <c r="A153" s="8">
        <v>75.5</v>
      </c>
      <c r="B153" s="8">
        <v>151</v>
      </c>
      <c r="D153">
        <v>447.78771796816</v>
      </c>
      <c r="E153">
        <v>221.84533737679999</v>
      </c>
      <c r="F153">
        <v>167.53770739065001</v>
      </c>
      <c r="G153">
        <v>130.20135746605999</v>
      </c>
      <c r="I153" s="9">
        <f t="shared" si="15"/>
        <v>91.643979910740001</v>
      </c>
      <c r="J153" s="9">
        <f t="shared" si="16"/>
        <v>280.25001057751001</v>
      </c>
      <c r="K153" s="9">
        <f t="shared" si="17"/>
        <v>91.643979910740001</v>
      </c>
      <c r="L153" s="10">
        <f t="shared" si="14"/>
        <v>0.32700794452028614</v>
      </c>
      <c r="M153" s="10">
        <f t="shared" si="18"/>
        <v>0.3538109492496202</v>
      </c>
      <c r="P153" s="8">
        <f t="shared" si="19"/>
        <v>-10.186459561129645</v>
      </c>
    </row>
    <row r="154" spans="1:16" x14ac:dyDescent="0.2">
      <c r="A154" s="8">
        <v>76</v>
      </c>
      <c r="B154" s="8">
        <v>152</v>
      </c>
      <c r="D154">
        <v>447.78241091735998</v>
      </c>
      <c r="E154">
        <v>222.42380591356999</v>
      </c>
      <c r="F154">
        <v>166.93363499245999</v>
      </c>
      <c r="G154">
        <v>129.85671191553999</v>
      </c>
      <c r="I154" s="9">
        <f t="shared" si="15"/>
        <v>92.567093998030003</v>
      </c>
      <c r="J154" s="9">
        <f t="shared" si="16"/>
        <v>280.8487759249</v>
      </c>
      <c r="K154" s="9">
        <f t="shared" si="17"/>
        <v>92.567093998030003</v>
      </c>
      <c r="L154" s="10">
        <f t="shared" si="14"/>
        <v>0.32959764091256993</v>
      </c>
      <c r="M154" s="10">
        <f t="shared" si="18"/>
        <v>0.35657814898448237</v>
      </c>
      <c r="P154" s="8">
        <f t="shared" si="19"/>
        <v>-9.4840166157754275</v>
      </c>
    </row>
    <row r="155" spans="1:16" x14ac:dyDescent="0.2">
      <c r="A155" s="8">
        <v>76.5</v>
      </c>
      <c r="B155" s="8">
        <v>153</v>
      </c>
      <c r="D155">
        <v>459.26969696970002</v>
      </c>
      <c r="E155">
        <v>224.85</v>
      </c>
      <c r="F155">
        <v>167.13650075415001</v>
      </c>
      <c r="G155">
        <v>130.18250377074</v>
      </c>
      <c r="I155" s="9">
        <f t="shared" si="15"/>
        <v>94.667496229259996</v>
      </c>
      <c r="J155" s="9">
        <f t="shared" si="16"/>
        <v>292.13319621555002</v>
      </c>
      <c r="K155" s="9">
        <f t="shared" si="17"/>
        <v>94.667496229259996</v>
      </c>
      <c r="L155" s="10">
        <f t="shared" si="14"/>
        <v>0.32405593563358592</v>
      </c>
      <c r="M155" s="10">
        <f t="shared" si="18"/>
        <v>0.35121394704807674</v>
      </c>
      <c r="P155" s="8">
        <f t="shared" si="19"/>
        <v>-10.845698521209425</v>
      </c>
    </row>
    <row r="156" spans="1:16" x14ac:dyDescent="0.2">
      <c r="A156" s="8">
        <v>77</v>
      </c>
      <c r="B156" s="8">
        <v>154</v>
      </c>
      <c r="D156">
        <v>455.14696969697002</v>
      </c>
      <c r="E156">
        <v>223.85075757576001</v>
      </c>
      <c r="F156">
        <v>166.36425339367</v>
      </c>
      <c r="G156">
        <v>129.90648567119001</v>
      </c>
      <c r="I156" s="9">
        <f t="shared" si="15"/>
        <v>93.944271904570002</v>
      </c>
      <c r="J156" s="9">
        <f t="shared" si="16"/>
        <v>288.78271630330005</v>
      </c>
      <c r="K156" s="9">
        <f t="shared" si="17"/>
        <v>93.944271904570002</v>
      </c>
      <c r="L156" s="10">
        <f t="shared" si="14"/>
        <v>0.3253112689954169</v>
      </c>
      <c r="M156" s="10">
        <f t="shared" si="18"/>
        <v>0.35264678375248604</v>
      </c>
      <c r="P156" s="8">
        <f t="shared" si="19"/>
        <v>-10.481978467981307</v>
      </c>
    </row>
    <row r="157" spans="1:16" x14ac:dyDescent="0.2">
      <c r="A157" s="8">
        <v>77.5</v>
      </c>
      <c r="B157" s="8">
        <v>155</v>
      </c>
      <c r="D157">
        <v>436.39242424242002</v>
      </c>
      <c r="E157">
        <v>223.02045454546001</v>
      </c>
      <c r="F157">
        <v>166.54298642533999</v>
      </c>
      <c r="G157">
        <v>130.00980392157001</v>
      </c>
      <c r="I157" s="9">
        <f t="shared" si="15"/>
        <v>93.010650623890001</v>
      </c>
      <c r="J157" s="9">
        <f t="shared" si="16"/>
        <v>269.84943781708</v>
      </c>
      <c r="K157" s="9">
        <f t="shared" si="17"/>
        <v>93.010650623890001</v>
      </c>
      <c r="L157" s="10">
        <f t="shared" si="14"/>
        <v>0.34467609558978646</v>
      </c>
      <c r="M157" s="10">
        <f t="shared" si="18"/>
        <v>0.37218911368943397</v>
      </c>
      <c r="P157" s="8">
        <f t="shared" si="19"/>
        <v>-5.5212336301399043</v>
      </c>
    </row>
    <row r="158" spans="1:16" x14ac:dyDescent="0.2">
      <c r="A158" s="8">
        <v>78</v>
      </c>
      <c r="B158" s="8">
        <v>156</v>
      </c>
      <c r="D158">
        <v>444.45509433962002</v>
      </c>
      <c r="E158">
        <v>222.62188679245</v>
      </c>
      <c r="F158">
        <v>166.30241327300001</v>
      </c>
      <c r="G158">
        <v>130.3665158371</v>
      </c>
      <c r="I158" s="9">
        <f t="shared" si="15"/>
        <v>92.255370955350003</v>
      </c>
      <c r="J158" s="9">
        <f t="shared" si="16"/>
        <v>278.15268106662</v>
      </c>
      <c r="K158" s="9">
        <f t="shared" si="17"/>
        <v>92.255370955350003</v>
      </c>
      <c r="L158" s="10">
        <f t="shared" si="14"/>
        <v>0.33167169412706121</v>
      </c>
      <c r="M158" s="10">
        <f t="shared" si="18"/>
        <v>0.3593622155692871</v>
      </c>
      <c r="P158" s="8">
        <f t="shared" si="19"/>
        <v>-8.7772920858275008</v>
      </c>
    </row>
    <row r="159" spans="1:16" x14ac:dyDescent="0.2">
      <c r="A159" s="8">
        <v>78.5</v>
      </c>
      <c r="B159" s="8">
        <v>157</v>
      </c>
      <c r="D159">
        <v>450.14716981132</v>
      </c>
      <c r="E159">
        <v>222.60150943395999</v>
      </c>
      <c r="F159">
        <v>166.74057315234</v>
      </c>
      <c r="G159">
        <v>129.8371040724</v>
      </c>
      <c r="I159" s="9">
        <f t="shared" si="15"/>
        <v>92.764405361559994</v>
      </c>
      <c r="J159" s="9">
        <f t="shared" si="16"/>
        <v>283.40659665897999</v>
      </c>
      <c r="K159" s="9">
        <f t="shared" si="17"/>
        <v>92.764405361559994</v>
      </c>
      <c r="L159" s="10">
        <f t="shared" si="14"/>
        <v>0.32731914660822936</v>
      </c>
      <c r="M159" s="10">
        <f t="shared" si="18"/>
        <v>0.35518717139303363</v>
      </c>
      <c r="P159" s="8">
        <f t="shared" si="19"/>
        <v>-9.8371108951472177</v>
      </c>
    </row>
    <row r="160" spans="1:16" x14ac:dyDescent="0.2">
      <c r="A160" s="8">
        <v>79</v>
      </c>
      <c r="B160" s="8">
        <v>158</v>
      </c>
      <c r="D160">
        <v>452.73062452971999</v>
      </c>
      <c r="E160">
        <v>223.71407072987</v>
      </c>
      <c r="F160">
        <v>166.39215686275</v>
      </c>
      <c r="G160">
        <v>129.88536953242999</v>
      </c>
      <c r="I160" s="9">
        <f t="shared" si="15"/>
        <v>93.828701197440012</v>
      </c>
      <c r="J160" s="9">
        <f t="shared" si="16"/>
        <v>286.33846766697002</v>
      </c>
      <c r="K160" s="9">
        <f t="shared" si="17"/>
        <v>93.828701197440012</v>
      </c>
      <c r="L160" s="10">
        <f t="shared" si="14"/>
        <v>0.3276845823823043</v>
      </c>
      <c r="M160" s="10">
        <f t="shared" si="18"/>
        <v>0.35573011050968695</v>
      </c>
      <c r="P160" s="8">
        <f t="shared" si="19"/>
        <v>-9.6992879012212061</v>
      </c>
    </row>
    <row r="161" spans="1:16" x14ac:dyDescent="0.2">
      <c r="A161" s="8">
        <v>79.5</v>
      </c>
      <c r="B161" s="8">
        <v>159</v>
      </c>
      <c r="D161">
        <v>455.30699774265997</v>
      </c>
      <c r="E161">
        <v>223.99774266366001</v>
      </c>
      <c r="F161">
        <v>166.96380090497999</v>
      </c>
      <c r="G161">
        <v>129.64705882352999</v>
      </c>
      <c r="I161" s="9">
        <f t="shared" si="15"/>
        <v>94.350683840130017</v>
      </c>
      <c r="J161" s="9">
        <f t="shared" si="16"/>
        <v>288.34319683768001</v>
      </c>
      <c r="K161" s="9">
        <f t="shared" si="17"/>
        <v>94.350683840130017</v>
      </c>
      <c r="L161" s="10">
        <f t="shared" si="14"/>
        <v>0.32721661157569748</v>
      </c>
      <c r="M161" s="10">
        <f t="shared" si="18"/>
        <v>0.3554396430456585</v>
      </c>
      <c r="P161" s="8">
        <f t="shared" si="19"/>
        <v>-9.7730219430365395</v>
      </c>
    </row>
    <row r="162" spans="1:16" x14ac:dyDescent="0.2">
      <c r="A162" s="8">
        <v>80</v>
      </c>
      <c r="B162" s="4">
        <v>160</v>
      </c>
      <c r="C162" s="4" t="s">
        <v>6</v>
      </c>
      <c r="D162">
        <v>450.36459909228</v>
      </c>
      <c r="E162">
        <v>224.25189107412999</v>
      </c>
      <c r="F162">
        <v>166.36123680240999</v>
      </c>
      <c r="G162">
        <v>129.52865761689</v>
      </c>
      <c r="H162" s="4"/>
      <c r="I162" s="5">
        <f t="shared" si="15"/>
        <v>94.723233457239985</v>
      </c>
      <c r="J162" s="5">
        <f t="shared" si="16"/>
        <v>284.00336228986998</v>
      </c>
      <c r="K162" s="9">
        <f t="shared" si="17"/>
        <v>94.723233457239985</v>
      </c>
      <c r="L162" s="6">
        <f t="shared" si="14"/>
        <v>0.33352856351242793</v>
      </c>
      <c r="M162" s="6">
        <f t="shared" si="18"/>
        <v>0.36192909832496734</v>
      </c>
      <c r="N162" s="4"/>
      <c r="O162" s="4"/>
      <c r="P162" s="4">
        <f t="shared" si="19"/>
        <v>-8.125698830536594</v>
      </c>
    </row>
    <row r="163" spans="1:16" x14ac:dyDescent="0.2">
      <c r="A163" s="8">
        <v>80.5</v>
      </c>
      <c r="B163" s="8">
        <v>161</v>
      </c>
      <c r="D163">
        <v>446.38124054462997</v>
      </c>
      <c r="E163">
        <v>224.34644478064001</v>
      </c>
      <c r="F163">
        <v>166.85822021115999</v>
      </c>
      <c r="G163">
        <v>129.89291101056</v>
      </c>
      <c r="I163" s="9">
        <f t="shared" si="15"/>
        <v>94.453533770080014</v>
      </c>
      <c r="J163" s="9">
        <f t="shared" si="16"/>
        <v>279.52302033346996</v>
      </c>
      <c r="K163" s="9">
        <f t="shared" si="17"/>
        <v>94.453533770080014</v>
      </c>
      <c r="L163" s="10">
        <f t="shared" si="14"/>
        <v>0.33790967791274323</v>
      </c>
      <c r="M163" s="10">
        <f t="shared" si="18"/>
        <v>0.36648771606786101</v>
      </c>
      <c r="P163" s="8">
        <f t="shared" si="19"/>
        <v>-6.9685113555162106</v>
      </c>
    </row>
    <row r="164" spans="1:16" x14ac:dyDescent="0.2">
      <c r="A164" s="8">
        <v>81</v>
      </c>
      <c r="B164" s="8">
        <v>162</v>
      </c>
      <c r="D164">
        <v>448.65658093796998</v>
      </c>
      <c r="E164">
        <v>222.99773071103999</v>
      </c>
      <c r="F164">
        <v>166.09200603318001</v>
      </c>
      <c r="G164">
        <v>129.99472096530999</v>
      </c>
      <c r="I164" s="9">
        <f t="shared" si="15"/>
        <v>93.003009745729997</v>
      </c>
      <c r="J164" s="9">
        <f t="shared" si="16"/>
        <v>282.56457490478999</v>
      </c>
      <c r="K164" s="9">
        <f t="shared" si="17"/>
        <v>93.003009745729997</v>
      </c>
      <c r="L164" s="10">
        <f t="shared" si="14"/>
        <v>0.32913895797825088</v>
      </c>
      <c r="M164" s="10">
        <f t="shared" si="18"/>
        <v>0.35789449947594698</v>
      </c>
      <c r="P164" s="8">
        <f t="shared" si="19"/>
        <v>-9.1498661369741807</v>
      </c>
    </row>
    <row r="165" spans="1:16" x14ac:dyDescent="0.2">
      <c r="A165" s="8">
        <v>81.5</v>
      </c>
      <c r="B165" s="8">
        <v>163</v>
      </c>
      <c r="D165">
        <v>462.74007490637001</v>
      </c>
      <c r="E165">
        <v>229.65992509362999</v>
      </c>
      <c r="F165">
        <v>165.90874811462999</v>
      </c>
      <c r="G165">
        <v>129.24585218703001</v>
      </c>
      <c r="I165" s="9">
        <f t="shared" si="15"/>
        <v>100.41407290659998</v>
      </c>
      <c r="J165" s="9">
        <f t="shared" si="16"/>
        <v>296.83132679174003</v>
      </c>
      <c r="K165" s="9">
        <f t="shared" si="17"/>
        <v>100.41407290659998</v>
      </c>
      <c r="L165" s="10">
        <f t="shared" si="14"/>
        <v>0.33828664242386908</v>
      </c>
      <c r="M165" s="10">
        <f t="shared" si="18"/>
        <v>0.36721968726414356</v>
      </c>
      <c r="P165" s="8">
        <f t="shared" si="19"/>
        <v>-6.7827032996128054</v>
      </c>
    </row>
    <row r="166" spans="1:16" x14ac:dyDescent="0.2">
      <c r="A166" s="8">
        <v>82</v>
      </c>
      <c r="B166" s="8">
        <v>164</v>
      </c>
      <c r="D166">
        <v>466.96452830189003</v>
      </c>
      <c r="E166">
        <v>234.0958490566</v>
      </c>
      <c r="F166">
        <v>166.53242835596001</v>
      </c>
      <c r="G166">
        <v>129.34012066365</v>
      </c>
      <c r="I166" s="9">
        <f t="shared" si="15"/>
        <v>104.75572839295</v>
      </c>
      <c r="J166" s="9">
        <f t="shared" si="16"/>
        <v>300.43209994593002</v>
      </c>
      <c r="K166" s="9">
        <f t="shared" si="17"/>
        <v>104.75572839295</v>
      </c>
      <c r="L166" s="10">
        <f t="shared" si="14"/>
        <v>0.3486835408460125</v>
      </c>
      <c r="M166" s="10">
        <f t="shared" si="18"/>
        <v>0.37779408902886535</v>
      </c>
      <c r="P166" s="8">
        <f t="shared" si="19"/>
        <v>-4.0984323279910226</v>
      </c>
    </row>
    <row r="167" spans="1:16" x14ac:dyDescent="0.2">
      <c r="A167" s="8">
        <v>82.5</v>
      </c>
      <c r="B167" s="8">
        <v>165</v>
      </c>
      <c r="D167">
        <v>444.05231235784998</v>
      </c>
      <c r="E167">
        <v>230.55117513267999</v>
      </c>
      <c r="F167">
        <v>166.25339366515999</v>
      </c>
      <c r="G167">
        <v>129.68476621418</v>
      </c>
      <c r="I167" s="9">
        <f t="shared" si="15"/>
        <v>100.86640891849999</v>
      </c>
      <c r="J167" s="9">
        <f t="shared" si="16"/>
        <v>277.79891869268999</v>
      </c>
      <c r="K167" s="9">
        <f t="shared" si="17"/>
        <v>100.86640891849999</v>
      </c>
      <c r="L167" s="10">
        <f t="shared" si="14"/>
        <v>0.36309143819987871</v>
      </c>
      <c r="M167" s="10">
        <f t="shared" si="18"/>
        <v>0.39237948972530995</v>
      </c>
      <c r="P167" s="8">
        <f t="shared" si="19"/>
        <v>-0.39598479762064698</v>
      </c>
    </row>
    <row r="168" spans="1:16" x14ac:dyDescent="0.2">
      <c r="A168" s="8">
        <v>83</v>
      </c>
      <c r="B168" s="8">
        <v>166</v>
      </c>
      <c r="D168">
        <v>437.97507552870002</v>
      </c>
      <c r="E168">
        <v>229.50226586103</v>
      </c>
      <c r="F168">
        <v>166.02488687783</v>
      </c>
      <c r="G168">
        <v>129.99924585219</v>
      </c>
      <c r="I168" s="9">
        <f t="shared" si="15"/>
        <v>99.503020008839997</v>
      </c>
      <c r="J168" s="9">
        <f t="shared" si="16"/>
        <v>271.95018865087002</v>
      </c>
      <c r="K168" s="9">
        <f t="shared" si="17"/>
        <v>99.503020008839997</v>
      </c>
      <c r="L168" s="10">
        <f t="shared" si="14"/>
        <v>0.36588693136220651</v>
      </c>
      <c r="M168" s="10">
        <f t="shared" si="18"/>
        <v>0.39535248623021613</v>
      </c>
      <c r="P168" s="8">
        <f t="shared" si="19"/>
        <v>0.35869886150383917</v>
      </c>
    </row>
    <row r="169" spans="1:16" x14ac:dyDescent="0.2">
      <c r="A169" s="8">
        <v>83.5</v>
      </c>
      <c r="B169" s="8">
        <v>167</v>
      </c>
      <c r="D169">
        <v>443.65558912387002</v>
      </c>
      <c r="E169">
        <v>230.31570996978999</v>
      </c>
      <c r="F169">
        <v>166.93514328808001</v>
      </c>
      <c r="G169">
        <v>129.65460030166</v>
      </c>
      <c r="I169" s="9">
        <f t="shared" si="15"/>
        <v>100.66110966813</v>
      </c>
      <c r="J169" s="9">
        <f t="shared" si="16"/>
        <v>276.72044583578997</v>
      </c>
      <c r="K169" s="9">
        <f t="shared" si="17"/>
        <v>100.66110966813</v>
      </c>
      <c r="L169" s="10">
        <f t="shared" si="14"/>
        <v>0.3637646266581393</v>
      </c>
      <c r="M169" s="10">
        <f t="shared" si="18"/>
        <v>0.39340768486872729</v>
      </c>
      <c r="P169" s="8">
        <f t="shared" si="19"/>
        <v>-0.13498143893936451</v>
      </c>
    </row>
    <row r="170" spans="1:16" x14ac:dyDescent="0.2">
      <c r="A170" s="8">
        <v>84</v>
      </c>
      <c r="B170" s="8">
        <v>168</v>
      </c>
      <c r="D170">
        <v>451.59339834959002</v>
      </c>
      <c r="E170">
        <v>230.24906226556999</v>
      </c>
      <c r="F170">
        <v>166.83785822020999</v>
      </c>
      <c r="G170">
        <v>129.96229260934999</v>
      </c>
      <c r="I170" s="9">
        <f t="shared" si="15"/>
        <v>100.28676965622</v>
      </c>
      <c r="J170" s="9">
        <f t="shared" si="16"/>
        <v>284.75554012938005</v>
      </c>
      <c r="K170" s="9">
        <f t="shared" si="17"/>
        <v>100.28676965622</v>
      </c>
      <c r="L170" s="10">
        <f t="shared" si="14"/>
        <v>0.35218549079204647</v>
      </c>
      <c r="M170" s="10">
        <f t="shared" si="18"/>
        <v>0.38200605234521284</v>
      </c>
      <c r="P170" s="8">
        <f t="shared" si="19"/>
        <v>-3.0292417378125309</v>
      </c>
    </row>
    <row r="171" spans="1:16" x14ac:dyDescent="0.2">
      <c r="A171" s="8">
        <v>84.5</v>
      </c>
      <c r="B171" s="8">
        <v>169</v>
      </c>
      <c r="D171">
        <v>449.70892723180998</v>
      </c>
      <c r="E171">
        <v>229.56489122280999</v>
      </c>
      <c r="F171">
        <v>166.67119155354999</v>
      </c>
      <c r="G171">
        <v>129.62669683258</v>
      </c>
      <c r="I171" s="9">
        <f t="shared" si="15"/>
        <v>99.938194390229995</v>
      </c>
      <c r="J171" s="9">
        <f t="shared" si="16"/>
        <v>283.03773567825999</v>
      </c>
      <c r="K171" s="9">
        <f t="shared" si="17"/>
        <v>99.938194390229995</v>
      </c>
      <c r="L171" s="10">
        <f t="shared" si="14"/>
        <v>0.35309141429761021</v>
      </c>
      <c r="M171" s="10">
        <f t="shared" si="18"/>
        <v>0.38308947919335495</v>
      </c>
      <c r="P171" s="8">
        <f t="shared" si="19"/>
        <v>-2.7542180245991847</v>
      </c>
    </row>
    <row r="172" spans="1:16" x14ac:dyDescent="0.2">
      <c r="A172" s="8">
        <v>85</v>
      </c>
      <c r="B172" s="8">
        <v>170</v>
      </c>
      <c r="D172">
        <v>445.03288490284001</v>
      </c>
      <c r="E172">
        <v>231.56950672645999</v>
      </c>
      <c r="F172">
        <v>166.95022624434</v>
      </c>
      <c r="G172">
        <v>129.21342383107</v>
      </c>
      <c r="I172" s="9">
        <f t="shared" si="15"/>
        <v>102.35608289538999</v>
      </c>
      <c r="J172" s="9">
        <f t="shared" si="16"/>
        <v>278.08265865850001</v>
      </c>
      <c r="K172" s="9">
        <f t="shared" si="17"/>
        <v>102.35608289538999</v>
      </c>
      <c r="L172" s="10">
        <f t="shared" si="14"/>
        <v>0.3680779067244484</v>
      </c>
      <c r="M172" s="10">
        <f t="shared" si="18"/>
        <v>0.39825347496277147</v>
      </c>
      <c r="P172" s="8">
        <f t="shared" si="19"/>
        <v>1.0951036262423239</v>
      </c>
    </row>
    <row r="173" spans="1:16" x14ac:dyDescent="0.2">
      <c r="A173" s="8">
        <v>85.5</v>
      </c>
      <c r="B173" s="8">
        <v>171</v>
      </c>
      <c r="D173">
        <v>447.63751868460002</v>
      </c>
      <c r="E173">
        <v>232.61883408072001</v>
      </c>
      <c r="F173">
        <v>167.19230769231001</v>
      </c>
      <c r="G173">
        <v>129.81070889893999</v>
      </c>
      <c r="I173" s="9">
        <f t="shared" si="15"/>
        <v>102.80812518178001</v>
      </c>
      <c r="J173" s="9">
        <f t="shared" si="16"/>
        <v>280.44521099229001</v>
      </c>
      <c r="K173" s="9">
        <f t="shared" si="17"/>
        <v>102.80812518178001</v>
      </c>
      <c r="L173" s="10">
        <f t="shared" si="14"/>
        <v>0.36658898477181129</v>
      </c>
      <c r="M173" s="10">
        <f t="shared" si="18"/>
        <v>0.39694205635271274</v>
      </c>
      <c r="P173" s="8">
        <f t="shared" si="19"/>
        <v>0.76220508645264917</v>
      </c>
    </row>
    <row r="174" spans="1:16" x14ac:dyDescent="0.2">
      <c r="A174" s="8">
        <v>86</v>
      </c>
      <c r="B174" s="8">
        <v>172</v>
      </c>
      <c r="D174">
        <v>452.51687921980999</v>
      </c>
      <c r="E174">
        <v>233.18829707427</v>
      </c>
      <c r="F174">
        <v>166.59728506786999</v>
      </c>
      <c r="G174">
        <v>129.59502262442999</v>
      </c>
      <c r="I174" s="9">
        <f t="shared" si="15"/>
        <v>103.59327444984001</v>
      </c>
      <c r="J174" s="9">
        <f t="shared" si="16"/>
        <v>285.91959415194003</v>
      </c>
      <c r="K174" s="9">
        <f t="shared" si="17"/>
        <v>103.59327444984001</v>
      </c>
      <c r="L174" s="10">
        <f t="shared" si="14"/>
        <v>0.36231610763545535</v>
      </c>
      <c r="M174" s="10">
        <f t="shared" si="18"/>
        <v>0.39284668255893518</v>
      </c>
      <c r="P174" s="8">
        <f t="shared" si="19"/>
        <v>-0.27738970455034673</v>
      </c>
    </row>
    <row r="175" spans="1:16" x14ac:dyDescent="0.2">
      <c r="A175" s="8">
        <v>86.5</v>
      </c>
      <c r="B175" s="8">
        <v>173</v>
      </c>
      <c r="D175">
        <v>466.12018140589998</v>
      </c>
      <c r="E175">
        <v>234.42101284957999</v>
      </c>
      <c r="F175">
        <v>166.71719457014001</v>
      </c>
      <c r="G175">
        <v>129.53619909502001</v>
      </c>
      <c r="I175" s="9">
        <f t="shared" si="15"/>
        <v>104.88481375455999</v>
      </c>
      <c r="J175" s="9">
        <f t="shared" si="16"/>
        <v>299.40298683575998</v>
      </c>
      <c r="K175" s="9">
        <f t="shared" si="17"/>
        <v>104.88481375455999</v>
      </c>
      <c r="L175" s="10">
        <f t="shared" si="14"/>
        <v>0.35031318445762677</v>
      </c>
      <c r="M175" s="10">
        <f t="shared" si="18"/>
        <v>0.38102126272368497</v>
      </c>
      <c r="P175" s="8">
        <f t="shared" si="19"/>
        <v>-3.2792267727145226</v>
      </c>
    </row>
    <row r="176" spans="1:16" x14ac:dyDescent="0.2">
      <c r="A176" s="8">
        <v>87</v>
      </c>
      <c r="B176" s="8">
        <v>174</v>
      </c>
      <c r="D176">
        <v>466.97969924812003</v>
      </c>
      <c r="E176">
        <v>234.22481203007999</v>
      </c>
      <c r="F176">
        <v>167.44494720965</v>
      </c>
      <c r="G176">
        <v>129.85369532428001</v>
      </c>
      <c r="I176" s="9">
        <f t="shared" si="15"/>
        <v>104.37111670579998</v>
      </c>
      <c r="J176" s="9">
        <f t="shared" si="16"/>
        <v>299.53475203847006</v>
      </c>
      <c r="K176" s="9">
        <f t="shared" si="17"/>
        <v>104.37111670579998</v>
      </c>
      <c r="L176" s="10">
        <f t="shared" si="14"/>
        <v>0.34844409870810356</v>
      </c>
      <c r="M176" s="10">
        <f t="shared" si="18"/>
        <v>0.37932968031674014</v>
      </c>
      <c r="P176" s="8">
        <f t="shared" si="19"/>
        <v>-3.7086284213464715</v>
      </c>
    </row>
    <row r="177" spans="1:16" x14ac:dyDescent="0.2">
      <c r="A177" s="8">
        <v>87.5</v>
      </c>
      <c r="B177" s="8">
        <v>175</v>
      </c>
      <c r="D177">
        <v>464.92706766917001</v>
      </c>
      <c r="E177">
        <v>233.69323308271001</v>
      </c>
      <c r="F177">
        <v>166.95248868778</v>
      </c>
      <c r="G177">
        <v>129.75263951734999</v>
      </c>
      <c r="I177" s="9">
        <f t="shared" si="15"/>
        <v>103.94059356536002</v>
      </c>
      <c r="J177" s="9">
        <f t="shared" si="16"/>
        <v>297.97457898138998</v>
      </c>
      <c r="K177" s="9">
        <f t="shared" si="17"/>
        <v>103.94059356536002</v>
      </c>
      <c r="L177" s="10">
        <f t="shared" si="14"/>
        <v>0.34882369469461227</v>
      </c>
      <c r="M177" s="10">
        <f t="shared" si="18"/>
        <v>0.37988677964582723</v>
      </c>
      <c r="P177" s="8">
        <f t="shared" si="19"/>
        <v>-3.5672109122853519</v>
      </c>
    </row>
    <row r="178" spans="1:16" x14ac:dyDescent="0.2">
      <c r="A178" s="8">
        <v>88</v>
      </c>
      <c r="B178" s="8">
        <v>176</v>
      </c>
      <c r="D178">
        <v>456.74360902256001</v>
      </c>
      <c r="E178">
        <v>235.55939849623999</v>
      </c>
      <c r="F178">
        <v>166.36802413273</v>
      </c>
      <c r="G178">
        <v>129.75791855204</v>
      </c>
      <c r="I178" s="9">
        <f t="shared" si="15"/>
        <v>105.8014799442</v>
      </c>
      <c r="J178" s="9">
        <f t="shared" si="16"/>
        <v>290.37558488983001</v>
      </c>
      <c r="K178" s="9">
        <f t="shared" si="17"/>
        <v>105.8014799442</v>
      </c>
      <c r="L178" s="10">
        <f t="shared" si="14"/>
        <v>0.36436079839268037</v>
      </c>
      <c r="M178" s="10">
        <f t="shared" si="18"/>
        <v>0.39560138668647371</v>
      </c>
      <c r="P178" s="8">
        <f t="shared" si="19"/>
        <v>0.42188127923498792</v>
      </c>
    </row>
    <row r="179" spans="1:16" x14ac:dyDescent="0.2">
      <c r="A179" s="8">
        <v>88.5</v>
      </c>
      <c r="B179" s="8">
        <v>177</v>
      </c>
      <c r="D179">
        <v>466.60364464692998</v>
      </c>
      <c r="E179">
        <v>236.35687167806</v>
      </c>
      <c r="F179">
        <v>167.22021116139001</v>
      </c>
      <c r="G179">
        <v>129.69909502262001</v>
      </c>
      <c r="I179" s="9">
        <f t="shared" si="15"/>
        <v>106.65777665543999</v>
      </c>
      <c r="J179" s="9">
        <f t="shared" si="16"/>
        <v>299.38343348553997</v>
      </c>
      <c r="K179" s="9">
        <f t="shared" si="17"/>
        <v>106.65777665543999</v>
      </c>
      <c r="L179" s="10">
        <f t="shared" si="14"/>
        <v>0.35625811159184095</v>
      </c>
      <c r="M179" s="10">
        <f t="shared" si="18"/>
        <v>0.38767620322821267</v>
      </c>
      <c r="P179" s="8">
        <f t="shared" si="19"/>
        <v>-1.5898958761175852</v>
      </c>
    </row>
    <row r="180" spans="1:16" x14ac:dyDescent="0.2">
      <c r="A180" s="8">
        <v>89</v>
      </c>
      <c r="B180" s="8">
        <v>178</v>
      </c>
      <c r="D180">
        <v>450.06302201974</v>
      </c>
      <c r="E180">
        <v>235.24525436598</v>
      </c>
      <c r="F180">
        <v>166.82956259426999</v>
      </c>
      <c r="G180">
        <v>129.91553544495</v>
      </c>
      <c r="I180" s="9">
        <f t="shared" si="15"/>
        <v>105.32971892103001</v>
      </c>
      <c r="J180" s="9">
        <f t="shared" si="16"/>
        <v>283.23345942547002</v>
      </c>
      <c r="K180" s="9">
        <f t="shared" si="17"/>
        <v>105.32971892103001</v>
      </c>
      <c r="L180" s="10">
        <f t="shared" si="14"/>
        <v>0.37188303646994236</v>
      </c>
      <c r="M180" s="10">
        <f t="shared" si="18"/>
        <v>0.4034786314488924</v>
      </c>
      <c r="P180" s="8">
        <f t="shared" si="19"/>
        <v>2.4214893821408934</v>
      </c>
    </row>
    <row r="181" spans="1:16" x14ac:dyDescent="0.2">
      <c r="A181" s="8">
        <v>89.5</v>
      </c>
      <c r="B181" s="8">
        <v>179</v>
      </c>
      <c r="D181">
        <v>472.12908124525001</v>
      </c>
      <c r="E181">
        <v>238.40015186029001</v>
      </c>
      <c r="F181">
        <v>166.91704374056999</v>
      </c>
      <c r="G181">
        <v>129.72624434388999</v>
      </c>
      <c r="I181" s="9">
        <f t="shared" si="15"/>
        <v>108.67390751640002</v>
      </c>
      <c r="J181" s="9">
        <f t="shared" si="16"/>
        <v>305.21203750467998</v>
      </c>
      <c r="K181" s="9">
        <f t="shared" si="17"/>
        <v>108.67390751640002</v>
      </c>
      <c r="L181" s="10">
        <f t="shared" si="14"/>
        <v>0.35606035857852975</v>
      </c>
      <c r="M181" s="10">
        <f t="shared" si="18"/>
        <v>0.38783345690005816</v>
      </c>
      <c r="P181" s="8">
        <f t="shared" si="19"/>
        <v>-1.5499776399934355</v>
      </c>
    </row>
    <row r="182" spans="1:16" x14ac:dyDescent="0.2">
      <c r="A182" s="8">
        <v>90</v>
      </c>
      <c r="B182" s="8">
        <v>180</v>
      </c>
      <c r="D182">
        <v>476.86408504176001</v>
      </c>
      <c r="E182">
        <v>236.20652999241</v>
      </c>
      <c r="F182">
        <v>167.06033182504001</v>
      </c>
      <c r="G182">
        <v>129.74057315234</v>
      </c>
      <c r="I182" s="9">
        <f t="shared" si="15"/>
        <v>106.46595684006999</v>
      </c>
      <c r="J182" s="9">
        <f t="shared" si="16"/>
        <v>309.80375321672</v>
      </c>
      <c r="K182" s="9">
        <f t="shared" si="17"/>
        <v>106.46595684006999</v>
      </c>
      <c r="L182" s="10">
        <f t="shared" si="14"/>
        <v>0.34365612338334983</v>
      </c>
      <c r="M182" s="10">
        <f>L182+ABS($N$2)*A182</f>
        <v>0.37560672504745662</v>
      </c>
      <c r="P182" s="8">
        <f t="shared" si="19"/>
        <v>-4.6536862109345334</v>
      </c>
    </row>
    <row r="183" spans="1:16" x14ac:dyDescent="0.2">
      <c r="A183" s="8">
        <v>90.5</v>
      </c>
      <c r="B183" s="8">
        <v>181</v>
      </c>
      <c r="D183">
        <v>475.30982745685998</v>
      </c>
      <c r="E183">
        <v>235.24456114028999</v>
      </c>
      <c r="F183">
        <v>166.57088989441999</v>
      </c>
      <c r="G183">
        <v>130.14630467571999</v>
      </c>
      <c r="I183" s="9">
        <f t="shared" si="15"/>
        <v>105.09825646457</v>
      </c>
      <c r="J183" s="9">
        <f t="shared" si="16"/>
        <v>308.73893756244001</v>
      </c>
      <c r="K183" s="9">
        <f t="shared" si="17"/>
        <v>105.09825646457</v>
      </c>
      <c r="L183" s="10">
        <f t="shared" si="14"/>
        <v>0.34041140807940595</v>
      </c>
      <c r="M183" s="10">
        <f t="shared" ref="M183:M241" si="20">L183+ABS($N$2)*A183</f>
        <v>0.37253951308609112</v>
      </c>
      <c r="P183" s="8">
        <f t="shared" si="19"/>
        <v>-5.4322860991260473</v>
      </c>
    </row>
    <row r="184" spans="1:16" x14ac:dyDescent="0.2">
      <c r="A184" s="8">
        <v>91</v>
      </c>
      <c r="B184" s="8">
        <v>182</v>
      </c>
      <c r="D184">
        <v>473.86796699175</v>
      </c>
      <c r="E184">
        <v>235.03225806451999</v>
      </c>
      <c r="F184">
        <v>166.88838612367999</v>
      </c>
      <c r="G184">
        <v>129.51583710406999</v>
      </c>
      <c r="I184" s="9">
        <f t="shared" si="15"/>
        <v>105.51642096045001</v>
      </c>
      <c r="J184" s="9">
        <f t="shared" si="16"/>
        <v>306.97958086807</v>
      </c>
      <c r="K184" s="9">
        <f t="shared" si="17"/>
        <v>105.51642096045001</v>
      </c>
      <c r="L184" s="10">
        <f t="shared" si="14"/>
        <v>0.34372455868912527</v>
      </c>
      <c r="M184" s="10">
        <f t="shared" si="20"/>
        <v>0.37603016703838882</v>
      </c>
      <c r="P184" s="8">
        <f t="shared" si="19"/>
        <v>-4.5461970999933321</v>
      </c>
    </row>
    <row r="185" spans="1:16" x14ac:dyDescent="0.2">
      <c r="A185" s="8">
        <v>91.5</v>
      </c>
      <c r="B185" s="8">
        <v>183</v>
      </c>
      <c r="D185">
        <v>475.18754688671999</v>
      </c>
      <c r="E185">
        <v>236.68567141784999</v>
      </c>
      <c r="F185">
        <v>166.83484162895999</v>
      </c>
      <c r="G185">
        <v>130.17119155354999</v>
      </c>
      <c r="I185" s="9">
        <f t="shared" si="15"/>
        <v>106.5144798643</v>
      </c>
      <c r="J185" s="9">
        <f t="shared" si="16"/>
        <v>308.35270525776002</v>
      </c>
      <c r="K185" s="9">
        <f t="shared" si="17"/>
        <v>106.5144798643</v>
      </c>
      <c r="L185" s="10">
        <f t="shared" si="14"/>
        <v>0.34543066445699505</v>
      </c>
      <c r="M185" s="10">
        <f t="shared" si="20"/>
        <v>0.37791377614883698</v>
      </c>
      <c r="P185" s="8">
        <f t="shared" si="19"/>
        <v>-4.0680502157008807</v>
      </c>
    </row>
    <row r="186" spans="1:16" x14ac:dyDescent="0.2">
      <c r="A186" s="8">
        <v>92</v>
      </c>
      <c r="B186" s="8">
        <v>184</v>
      </c>
      <c r="D186">
        <v>469.44111027756998</v>
      </c>
      <c r="E186">
        <v>237.31207801951001</v>
      </c>
      <c r="F186">
        <v>166.48868778280999</v>
      </c>
      <c r="G186">
        <v>129.82880844645999</v>
      </c>
      <c r="I186" s="9">
        <f t="shared" si="15"/>
        <v>107.48326957305002</v>
      </c>
      <c r="J186" s="9">
        <f t="shared" si="16"/>
        <v>302.95242249475996</v>
      </c>
      <c r="K186" s="9">
        <f t="shared" si="17"/>
        <v>107.48326957305002</v>
      </c>
      <c r="L186" s="10">
        <f t="shared" si="14"/>
        <v>0.35478597163192882</v>
      </c>
      <c r="M186" s="10">
        <f t="shared" si="20"/>
        <v>0.38744658666634912</v>
      </c>
      <c r="P186" s="8">
        <f t="shared" si="19"/>
        <v>-1.6481831518734751</v>
      </c>
    </row>
    <row r="187" spans="1:16" x14ac:dyDescent="0.2">
      <c r="A187" s="8">
        <v>92.5</v>
      </c>
      <c r="B187" s="8">
        <v>185</v>
      </c>
      <c r="D187">
        <v>466.38709677419001</v>
      </c>
      <c r="E187">
        <v>235.96099024756001</v>
      </c>
      <c r="F187">
        <v>166.79939668175001</v>
      </c>
      <c r="G187">
        <v>129.78733031674</v>
      </c>
      <c r="I187" s="9">
        <f t="shared" si="15"/>
        <v>106.17365993082001</v>
      </c>
      <c r="J187" s="9">
        <f t="shared" si="16"/>
        <v>299.58770009244</v>
      </c>
      <c r="K187" s="9">
        <f t="shared" si="17"/>
        <v>106.17365993082001</v>
      </c>
      <c r="L187" s="10">
        <f t="shared" si="14"/>
        <v>0.35439926237979508</v>
      </c>
      <c r="M187" s="10">
        <f t="shared" si="20"/>
        <v>0.38723738075679376</v>
      </c>
      <c r="P187" s="8">
        <f t="shared" si="19"/>
        <v>-1.7012892625174538</v>
      </c>
    </row>
    <row r="188" spans="1:16" x14ac:dyDescent="0.2">
      <c r="A188" s="8">
        <v>93</v>
      </c>
      <c r="B188" s="8">
        <v>186</v>
      </c>
      <c r="D188">
        <v>472.71717929482003</v>
      </c>
      <c r="E188">
        <v>234.22505626406999</v>
      </c>
      <c r="F188">
        <v>166.79110105581</v>
      </c>
      <c r="G188">
        <v>129.68250377074</v>
      </c>
      <c r="I188" s="9">
        <f t="shared" si="15"/>
        <v>104.54255249332999</v>
      </c>
      <c r="J188" s="9">
        <f t="shared" si="16"/>
        <v>305.92607823901005</v>
      </c>
      <c r="K188" s="9">
        <f t="shared" si="17"/>
        <v>104.54255249332999</v>
      </c>
      <c r="L188" s="10">
        <f t="shared" si="14"/>
        <v>0.34172488038647791</v>
      </c>
      <c r="M188" s="10">
        <f t="shared" si="20"/>
        <v>0.37474050210605492</v>
      </c>
      <c r="P188" s="8">
        <f t="shared" si="19"/>
        <v>-4.87357355286575</v>
      </c>
    </row>
    <row r="189" spans="1:16" x14ac:dyDescent="0.2">
      <c r="A189" s="8">
        <v>93.5</v>
      </c>
      <c r="B189" s="8">
        <v>187</v>
      </c>
      <c r="D189">
        <v>473.10202550638002</v>
      </c>
      <c r="E189">
        <v>233.45836459115</v>
      </c>
      <c r="F189">
        <v>165.76470588235</v>
      </c>
      <c r="G189">
        <v>129.78582202112</v>
      </c>
      <c r="I189" s="9">
        <f t="shared" si="15"/>
        <v>103.67254257003</v>
      </c>
      <c r="J189" s="9">
        <f t="shared" si="16"/>
        <v>307.33731962402999</v>
      </c>
      <c r="K189" s="9">
        <f t="shared" si="17"/>
        <v>103.67254257003</v>
      </c>
      <c r="L189" s="10">
        <f t="shared" si="14"/>
        <v>0.33732493892005716</v>
      </c>
      <c r="M189" s="10">
        <f t="shared" si="20"/>
        <v>0.37051806398221254</v>
      </c>
      <c r="P189" s="8">
        <f t="shared" si="19"/>
        <v>-5.9454231323958338</v>
      </c>
    </row>
    <row r="190" spans="1:16" x14ac:dyDescent="0.2">
      <c r="A190" s="8">
        <v>94</v>
      </c>
      <c r="B190" s="8">
        <v>188</v>
      </c>
      <c r="D190">
        <v>470.75</v>
      </c>
      <c r="E190">
        <v>233.5436746988</v>
      </c>
      <c r="F190">
        <v>166.80769230768999</v>
      </c>
      <c r="G190">
        <v>129.53544494721001</v>
      </c>
      <c r="I190" s="9">
        <f t="shared" si="15"/>
        <v>104.00822975158999</v>
      </c>
      <c r="J190" s="9">
        <f t="shared" si="16"/>
        <v>303.94230769231001</v>
      </c>
      <c r="K190" s="9">
        <f t="shared" si="17"/>
        <v>104.00822975158999</v>
      </c>
      <c r="L190" s="10">
        <f t="shared" si="14"/>
        <v>0.34219727599383981</v>
      </c>
      <c r="M190" s="10">
        <f t="shared" si="20"/>
        <v>0.37556790439857357</v>
      </c>
      <c r="P190" s="8">
        <f t="shared" si="19"/>
        <v>-4.6635406824417496</v>
      </c>
    </row>
    <row r="191" spans="1:16" x14ac:dyDescent="0.2">
      <c r="A191" s="8">
        <v>94.5</v>
      </c>
      <c r="B191" s="8">
        <v>189</v>
      </c>
      <c r="D191">
        <v>465.20557228915999</v>
      </c>
      <c r="E191">
        <v>233.24021084336999</v>
      </c>
      <c r="F191">
        <v>166.39743589744</v>
      </c>
      <c r="G191">
        <v>129.70512820512999</v>
      </c>
      <c r="I191" s="9">
        <f t="shared" si="15"/>
        <v>103.53508263824</v>
      </c>
      <c r="J191" s="9">
        <f t="shared" si="16"/>
        <v>298.80813639171998</v>
      </c>
      <c r="K191" s="9">
        <f t="shared" si="17"/>
        <v>103.53508263824</v>
      </c>
      <c r="L191" s="10">
        <f t="shared" si="14"/>
        <v>0.34649351884619223</v>
      </c>
      <c r="M191" s="10">
        <f t="shared" si="20"/>
        <v>0.38004165059350437</v>
      </c>
      <c r="P191" s="8">
        <f t="shared" si="19"/>
        <v>-3.5278975214716812</v>
      </c>
    </row>
    <row r="192" spans="1:16" x14ac:dyDescent="0.2">
      <c r="A192" s="8">
        <v>95</v>
      </c>
      <c r="B192" s="8">
        <v>190</v>
      </c>
      <c r="D192">
        <v>455.48870481927997</v>
      </c>
      <c r="E192">
        <v>234.80798192770999</v>
      </c>
      <c r="F192">
        <v>166.25037707390999</v>
      </c>
      <c r="G192">
        <v>129.70211161387999</v>
      </c>
      <c r="I192" s="9">
        <f t="shared" si="15"/>
        <v>105.10587031383</v>
      </c>
      <c r="J192" s="9">
        <f t="shared" si="16"/>
        <v>289.23832774536999</v>
      </c>
      <c r="K192" s="9">
        <f t="shared" si="17"/>
        <v>105.10587031383</v>
      </c>
      <c r="L192" s="10">
        <f t="shared" si="14"/>
        <v>0.36338845938273989</v>
      </c>
      <c r="M192" s="10">
        <f t="shared" si="20"/>
        <v>0.39711409447263041</v>
      </c>
      <c r="P192" s="8">
        <f t="shared" si="19"/>
        <v>0.80587629751331047</v>
      </c>
    </row>
    <row r="193" spans="1:16" x14ac:dyDescent="0.2">
      <c r="A193" s="8">
        <v>95.5</v>
      </c>
      <c r="B193" s="8">
        <v>191</v>
      </c>
      <c r="D193">
        <v>463.75602409638998</v>
      </c>
      <c r="E193">
        <v>238.94954819277001</v>
      </c>
      <c r="F193">
        <v>167.48114630468001</v>
      </c>
      <c r="G193">
        <v>129.93212669683001</v>
      </c>
      <c r="I193" s="9">
        <f t="shared" si="15"/>
        <v>109.01742149594</v>
      </c>
      <c r="J193" s="9">
        <f t="shared" si="16"/>
        <v>296.27487779170997</v>
      </c>
      <c r="K193" s="9">
        <f t="shared" si="17"/>
        <v>109.01742149594</v>
      </c>
      <c r="L193" s="10">
        <f t="shared" si="14"/>
        <v>0.3679603964686553</v>
      </c>
      <c r="M193" s="10">
        <f t="shared" si="20"/>
        <v>0.4018635349011242</v>
      </c>
      <c r="P193" s="8">
        <f t="shared" si="19"/>
        <v>2.0115033729082663</v>
      </c>
    </row>
    <row r="194" spans="1:16" x14ac:dyDescent="0.2">
      <c r="A194" s="8">
        <v>96</v>
      </c>
      <c r="B194" s="8">
        <v>192</v>
      </c>
      <c r="D194">
        <v>472.02560240963999</v>
      </c>
      <c r="E194">
        <v>243.45858433735</v>
      </c>
      <c r="F194">
        <v>166.57918552036</v>
      </c>
      <c r="G194">
        <v>130.28733031674</v>
      </c>
      <c r="I194" s="9">
        <f t="shared" si="15"/>
        <v>113.17125402061001</v>
      </c>
      <c r="J194" s="9">
        <f t="shared" si="16"/>
        <v>305.44641688927999</v>
      </c>
      <c r="K194" s="9">
        <f t="shared" si="17"/>
        <v>113.17125402061001</v>
      </c>
      <c r="L194" s="10">
        <f t="shared" ref="L194:L257" si="21">K194/J194</f>
        <v>0.37051098904078156</v>
      </c>
      <c r="M194" s="10">
        <f t="shared" si="20"/>
        <v>0.40459163081582883</v>
      </c>
      <c r="P194" s="8">
        <f t="shared" si="19"/>
        <v>2.7040199648229368</v>
      </c>
    </row>
    <row r="195" spans="1:16" x14ac:dyDescent="0.2">
      <c r="A195" s="8">
        <v>96.5</v>
      </c>
      <c r="B195" s="8">
        <v>193</v>
      </c>
      <c r="D195">
        <v>474.76355421686998</v>
      </c>
      <c r="E195">
        <v>248.50753012048</v>
      </c>
      <c r="F195">
        <v>166.57088989441999</v>
      </c>
      <c r="G195">
        <v>129.63122171946</v>
      </c>
      <c r="I195" s="9">
        <f t="shared" ref="I195:I241" si="22">E195-G195</f>
        <v>118.87630840102</v>
      </c>
      <c r="J195" s="9">
        <f t="shared" ref="J195:J241" si="23">D195-F195</f>
        <v>308.19266432245001</v>
      </c>
      <c r="K195" s="9">
        <f t="shared" ref="K195:K258" si="24">I195*1</f>
        <v>118.87630840102</v>
      </c>
      <c r="L195" s="10">
        <f t="shared" si="21"/>
        <v>0.38572075900107838</v>
      </c>
      <c r="M195" s="10">
        <f t="shared" si="20"/>
        <v>0.41997890411870403</v>
      </c>
      <c r="P195" s="8">
        <f t="shared" ref="P195:P241" si="25">(M195-$O$2)/$O$2*100</f>
        <v>6.6100197535878564</v>
      </c>
    </row>
    <row r="196" spans="1:16" x14ac:dyDescent="0.2">
      <c r="A196" s="8">
        <v>97</v>
      </c>
      <c r="B196" s="8">
        <v>194</v>
      </c>
      <c r="D196">
        <v>474.73132075472</v>
      </c>
      <c r="E196">
        <v>247.09283018868001</v>
      </c>
      <c r="F196">
        <v>166.29185520362</v>
      </c>
      <c r="G196">
        <v>129.73529411765</v>
      </c>
      <c r="I196" s="9">
        <f t="shared" si="22"/>
        <v>117.35753607103001</v>
      </c>
      <c r="J196" s="9">
        <f t="shared" si="23"/>
        <v>308.4394655511</v>
      </c>
      <c r="K196" s="9">
        <f t="shared" si="24"/>
        <v>117.35753607103001</v>
      </c>
      <c r="L196" s="10">
        <f t="shared" si="21"/>
        <v>0.38048806711989025</v>
      </c>
      <c r="M196" s="10">
        <f t="shared" si="20"/>
        <v>0.41492371558009422</v>
      </c>
      <c r="P196" s="8">
        <f t="shared" si="25"/>
        <v>5.3267797034948234</v>
      </c>
    </row>
    <row r="197" spans="1:16" x14ac:dyDescent="0.2">
      <c r="A197" s="8">
        <v>97.5</v>
      </c>
      <c r="B197" s="8">
        <v>195</v>
      </c>
      <c r="D197">
        <v>472.02792452829999</v>
      </c>
      <c r="E197">
        <v>241.35471698113</v>
      </c>
      <c r="F197">
        <v>166.97058823528999</v>
      </c>
      <c r="G197">
        <v>129.90723981900999</v>
      </c>
      <c r="I197" s="9">
        <f t="shared" si="22"/>
        <v>111.44747716212001</v>
      </c>
      <c r="J197" s="9">
        <f t="shared" si="23"/>
        <v>305.05733629301</v>
      </c>
      <c r="K197" s="9">
        <f t="shared" si="24"/>
        <v>111.44747716212001</v>
      </c>
      <c r="L197" s="10">
        <f t="shared" si="21"/>
        <v>0.36533288632361827</v>
      </c>
      <c r="M197" s="10">
        <f t="shared" si="20"/>
        <v>0.39994603812640062</v>
      </c>
      <c r="P197" s="8">
        <f t="shared" si="25"/>
        <v>1.524754236163667</v>
      </c>
    </row>
    <row r="198" spans="1:16" x14ac:dyDescent="0.2">
      <c r="A198" s="8">
        <v>98</v>
      </c>
      <c r="B198" s="8">
        <v>196</v>
      </c>
      <c r="D198">
        <v>479.02867924527999</v>
      </c>
      <c r="E198">
        <v>244.26641509434</v>
      </c>
      <c r="F198">
        <v>166.5233785822</v>
      </c>
      <c r="G198">
        <v>129.49472096530999</v>
      </c>
      <c r="I198" s="9">
        <f t="shared" si="22"/>
        <v>114.77169412903001</v>
      </c>
      <c r="J198" s="9">
        <f t="shared" si="23"/>
        <v>312.50530066307999</v>
      </c>
      <c r="K198" s="9">
        <f t="shared" si="24"/>
        <v>114.77169412903001</v>
      </c>
      <c r="L198" s="10">
        <f t="shared" si="21"/>
        <v>0.36726319164988608</v>
      </c>
      <c r="M198" s="10">
        <f t="shared" si="20"/>
        <v>0.40205384679524681</v>
      </c>
      <c r="P198" s="8">
        <f t="shared" si="25"/>
        <v>2.0598133108427188</v>
      </c>
    </row>
    <row r="199" spans="1:16" x14ac:dyDescent="0.2">
      <c r="A199" s="8">
        <v>98.5</v>
      </c>
      <c r="B199" s="8">
        <v>197</v>
      </c>
      <c r="D199">
        <v>482.58339622642001</v>
      </c>
      <c r="E199">
        <v>249.00905660377001</v>
      </c>
      <c r="F199">
        <v>166.27903469079999</v>
      </c>
      <c r="G199">
        <v>130.17571644041999</v>
      </c>
      <c r="I199" s="9">
        <f t="shared" si="22"/>
        <v>118.83334016335002</v>
      </c>
      <c r="J199" s="9">
        <f t="shared" si="23"/>
        <v>316.30436153562005</v>
      </c>
      <c r="K199" s="9">
        <f t="shared" si="24"/>
        <v>118.83334016335002</v>
      </c>
      <c r="L199" s="10">
        <f t="shared" si="21"/>
        <v>0.37569301790980147</v>
      </c>
      <c r="M199" s="10">
        <f t="shared" si="20"/>
        <v>0.41066117639774058</v>
      </c>
      <c r="P199" s="8">
        <f t="shared" si="25"/>
        <v>4.2447506254277911</v>
      </c>
    </row>
    <row r="200" spans="1:16" x14ac:dyDescent="0.2">
      <c r="A200" s="8">
        <v>99</v>
      </c>
      <c r="B200" s="8">
        <v>198</v>
      </c>
      <c r="D200">
        <v>459.50339622642002</v>
      </c>
      <c r="E200">
        <v>253.85886792452999</v>
      </c>
      <c r="F200">
        <v>166.87556561086001</v>
      </c>
      <c r="G200">
        <v>129.50075414781</v>
      </c>
      <c r="I200" s="9">
        <f t="shared" si="22"/>
        <v>124.35811377671999</v>
      </c>
      <c r="J200" s="9">
        <f t="shared" si="23"/>
        <v>292.62783061556001</v>
      </c>
      <c r="K200" s="9">
        <f t="shared" si="24"/>
        <v>124.35811377671999</v>
      </c>
      <c r="L200" s="10">
        <f t="shared" si="21"/>
        <v>0.42497022075831037</v>
      </c>
      <c r="M200" s="10">
        <f t="shared" si="20"/>
        <v>0.46011588258882785</v>
      </c>
      <c r="P200" s="8">
        <f t="shared" si="25"/>
        <v>16.79863643310517</v>
      </c>
    </row>
    <row r="201" spans="1:16" x14ac:dyDescent="0.2">
      <c r="A201" s="8">
        <v>99.5</v>
      </c>
      <c r="B201" s="8">
        <v>199</v>
      </c>
      <c r="D201">
        <v>442.27183734940002</v>
      </c>
      <c r="E201">
        <v>252.06852409639001</v>
      </c>
      <c r="F201">
        <v>166.51206636501001</v>
      </c>
      <c r="G201">
        <v>129.66440422323001</v>
      </c>
      <c r="I201" s="9">
        <f t="shared" si="22"/>
        <v>122.40411987316</v>
      </c>
      <c r="J201" s="9">
        <f t="shared" si="23"/>
        <v>275.75977098439</v>
      </c>
      <c r="K201" s="9">
        <f t="shared" si="24"/>
        <v>122.40411987316</v>
      </c>
      <c r="L201" s="10">
        <f t="shared" si="21"/>
        <v>0.44387953847005829</v>
      </c>
      <c r="M201" s="10">
        <f t="shared" si="20"/>
        <v>0.47920270364315415</v>
      </c>
      <c r="P201" s="8">
        <f t="shared" si="25"/>
        <v>21.64375210362892</v>
      </c>
    </row>
    <row r="202" spans="1:16" x14ac:dyDescent="0.2">
      <c r="A202" s="8">
        <v>100</v>
      </c>
      <c r="B202" s="8">
        <v>200</v>
      </c>
      <c r="D202">
        <v>451.38780120481999</v>
      </c>
      <c r="E202">
        <v>251.10165662650999</v>
      </c>
      <c r="F202">
        <v>166.15158371040999</v>
      </c>
      <c r="G202">
        <v>129.40648567119001</v>
      </c>
      <c r="I202" s="9">
        <f t="shared" si="22"/>
        <v>121.69517095531998</v>
      </c>
      <c r="J202" s="9">
        <f t="shared" si="23"/>
        <v>285.23621749440997</v>
      </c>
      <c r="K202" s="9">
        <f t="shared" si="24"/>
        <v>121.69517095531998</v>
      </c>
      <c r="L202" s="10">
        <f t="shared" si="21"/>
        <v>0.42664698061249867</v>
      </c>
      <c r="M202" s="10">
        <f t="shared" si="20"/>
        <v>0.46214764912817291</v>
      </c>
      <c r="P202" s="8">
        <f t="shared" si="25"/>
        <v>17.314392507446069</v>
      </c>
    </row>
    <row r="203" spans="1:16" x14ac:dyDescent="0.2">
      <c r="A203" s="8">
        <v>100.5</v>
      </c>
      <c r="B203" s="8">
        <v>201</v>
      </c>
      <c r="D203">
        <v>448.10391566265002</v>
      </c>
      <c r="E203">
        <v>253.04292168674999</v>
      </c>
      <c r="F203">
        <v>165.97360482655</v>
      </c>
      <c r="G203">
        <v>129.05957767723001</v>
      </c>
      <c r="I203" s="9">
        <f t="shared" si="22"/>
        <v>123.98334400951998</v>
      </c>
      <c r="J203" s="9">
        <f t="shared" si="23"/>
        <v>282.13031083610002</v>
      </c>
      <c r="K203" s="9">
        <f t="shared" si="24"/>
        <v>123.98334400951998</v>
      </c>
      <c r="L203" s="10">
        <f t="shared" si="21"/>
        <v>0.43945417861020442</v>
      </c>
      <c r="M203" s="10">
        <f t="shared" si="20"/>
        <v>0.47513235046845703</v>
      </c>
      <c r="P203" s="8">
        <f t="shared" si="25"/>
        <v>20.610508699965273</v>
      </c>
    </row>
    <row r="204" spans="1:16" x14ac:dyDescent="0.2">
      <c r="A204" s="8">
        <v>101</v>
      </c>
      <c r="B204" s="8">
        <v>202</v>
      </c>
      <c r="D204">
        <v>454.55195783133001</v>
      </c>
      <c r="E204">
        <v>254.68373493976</v>
      </c>
      <c r="F204">
        <v>166.02036199094999</v>
      </c>
      <c r="G204">
        <v>129.00452488688001</v>
      </c>
      <c r="I204" s="9">
        <f t="shared" si="22"/>
        <v>125.67921005287999</v>
      </c>
      <c r="J204" s="9">
        <f t="shared" si="23"/>
        <v>288.53159584038002</v>
      </c>
      <c r="K204" s="9">
        <f t="shared" si="24"/>
        <v>125.67921005287999</v>
      </c>
      <c r="L204" s="10">
        <f t="shared" si="21"/>
        <v>0.4355821402741889</v>
      </c>
      <c r="M204" s="10">
        <f t="shared" si="20"/>
        <v>0.47143781547501984</v>
      </c>
      <c r="P204" s="8">
        <f t="shared" si="25"/>
        <v>19.672665287432018</v>
      </c>
    </row>
    <row r="205" spans="1:16" x14ac:dyDescent="0.2">
      <c r="A205" s="8">
        <v>101.5</v>
      </c>
      <c r="B205" s="8">
        <v>203</v>
      </c>
      <c r="D205">
        <v>448.21477015825002</v>
      </c>
      <c r="E205">
        <v>262.29766390354001</v>
      </c>
      <c r="F205">
        <v>166.45022624434</v>
      </c>
      <c r="G205">
        <v>129.47209653092</v>
      </c>
      <c r="I205" s="9">
        <f t="shared" si="22"/>
        <v>132.82556737262001</v>
      </c>
      <c r="J205" s="9">
        <f t="shared" si="23"/>
        <v>281.76454391391002</v>
      </c>
      <c r="K205" s="9">
        <f t="shared" si="24"/>
        <v>132.82556737262001</v>
      </c>
      <c r="L205" s="10">
        <f t="shared" si="21"/>
        <v>0.47140625121805024</v>
      </c>
      <c r="M205" s="10">
        <f t="shared" si="20"/>
        <v>0.50743942976145961</v>
      </c>
      <c r="P205" s="8">
        <f t="shared" si="25"/>
        <v>28.811535770206493</v>
      </c>
    </row>
    <row r="206" spans="1:16" x14ac:dyDescent="0.2">
      <c r="A206" s="8">
        <v>102</v>
      </c>
      <c r="B206" s="8">
        <v>204</v>
      </c>
      <c r="D206">
        <v>456.33383571966999</v>
      </c>
      <c r="E206">
        <v>262.01808590806002</v>
      </c>
      <c r="F206">
        <v>166.65082956258999</v>
      </c>
      <c r="G206">
        <v>129.50226244344</v>
      </c>
      <c r="I206" s="9">
        <f t="shared" si="22"/>
        <v>132.51582346462001</v>
      </c>
      <c r="J206" s="9">
        <f t="shared" si="23"/>
        <v>289.68300615708</v>
      </c>
      <c r="K206" s="9">
        <f t="shared" si="24"/>
        <v>132.51582346462001</v>
      </c>
      <c r="L206" s="10">
        <f t="shared" si="21"/>
        <v>0.45745114710927703</v>
      </c>
      <c r="M206" s="10">
        <f t="shared" si="20"/>
        <v>0.49366182899526473</v>
      </c>
      <c r="P206" s="8">
        <f t="shared" si="25"/>
        <v>25.314145126447084</v>
      </c>
    </row>
    <row r="207" spans="1:16" x14ac:dyDescent="0.2">
      <c r="A207" s="8">
        <v>102.5</v>
      </c>
      <c r="B207" s="8">
        <v>205</v>
      </c>
      <c r="D207">
        <v>458.71040723981997</v>
      </c>
      <c r="E207">
        <v>267.58295625942998</v>
      </c>
      <c r="F207">
        <v>166.59653092005999</v>
      </c>
      <c r="G207">
        <v>129.31070889893999</v>
      </c>
      <c r="I207" s="9">
        <f t="shared" si="22"/>
        <v>138.27224736048998</v>
      </c>
      <c r="J207" s="9">
        <f t="shared" si="23"/>
        <v>292.11387631975998</v>
      </c>
      <c r="K207" s="9">
        <f t="shared" si="24"/>
        <v>138.27224736048998</v>
      </c>
      <c r="L207" s="10">
        <f t="shared" si="21"/>
        <v>0.47335049297395049</v>
      </c>
      <c r="M207" s="10">
        <f t="shared" si="20"/>
        <v>0.50973867820251662</v>
      </c>
      <c r="P207" s="8">
        <f t="shared" si="25"/>
        <v>29.395191090308504</v>
      </c>
    </row>
    <row r="208" spans="1:16" x14ac:dyDescent="0.2">
      <c r="A208" s="8">
        <v>103</v>
      </c>
      <c r="B208" s="8">
        <v>206</v>
      </c>
      <c r="D208">
        <v>463.08220211161</v>
      </c>
      <c r="E208">
        <v>262.79185520362</v>
      </c>
      <c r="F208">
        <v>166.08748114631001</v>
      </c>
      <c r="G208">
        <v>129.70211161387999</v>
      </c>
      <c r="I208" s="9">
        <f t="shared" si="22"/>
        <v>133.08974358974001</v>
      </c>
      <c r="J208" s="9">
        <f t="shared" si="23"/>
        <v>296.99472096529996</v>
      </c>
      <c r="K208" s="9">
        <f t="shared" si="24"/>
        <v>133.08974358974001</v>
      </c>
      <c r="L208" s="10">
        <f t="shared" si="21"/>
        <v>0.44812157992966428</v>
      </c>
      <c r="M208" s="10">
        <f t="shared" si="20"/>
        <v>0.48468726850080873</v>
      </c>
      <c r="P208" s="8">
        <f t="shared" si="25"/>
        <v>23.035987670892375</v>
      </c>
    </row>
    <row r="209" spans="1:16" x14ac:dyDescent="0.2">
      <c r="A209" s="8">
        <v>103.5</v>
      </c>
      <c r="B209" s="8">
        <v>207</v>
      </c>
      <c r="D209">
        <v>470.07309721176</v>
      </c>
      <c r="E209">
        <v>263.23210248680999</v>
      </c>
      <c r="F209">
        <v>166.0233785822</v>
      </c>
      <c r="G209">
        <v>130.23076923076999</v>
      </c>
      <c r="I209" s="9">
        <f t="shared" si="22"/>
        <v>133.00133325604</v>
      </c>
      <c r="J209" s="9">
        <f t="shared" si="23"/>
        <v>304.04971862956</v>
      </c>
      <c r="K209" s="9">
        <f t="shared" si="24"/>
        <v>133.00133325604</v>
      </c>
      <c r="L209" s="10">
        <f t="shared" si="21"/>
        <v>0.43743284438977764</v>
      </c>
      <c r="M209" s="10">
        <f t="shared" si="20"/>
        <v>0.47417603630350047</v>
      </c>
      <c r="P209" s="8">
        <f t="shared" si="25"/>
        <v>20.367752049531614</v>
      </c>
    </row>
    <row r="210" spans="1:16" x14ac:dyDescent="0.2">
      <c r="A210" s="8">
        <v>104</v>
      </c>
      <c r="B210" s="8">
        <v>208</v>
      </c>
      <c r="D210">
        <v>456.51018867925001</v>
      </c>
      <c r="E210">
        <v>267.54867924528003</v>
      </c>
      <c r="F210">
        <v>166.20211161387999</v>
      </c>
      <c r="G210">
        <v>129.26621417798</v>
      </c>
      <c r="I210" s="9">
        <f t="shared" si="22"/>
        <v>138.28246506730002</v>
      </c>
      <c r="J210" s="9">
        <f t="shared" si="23"/>
        <v>290.30807706537001</v>
      </c>
      <c r="K210" s="9">
        <f t="shared" si="24"/>
        <v>138.28246506730002</v>
      </c>
      <c r="L210" s="10">
        <f t="shared" si="21"/>
        <v>0.47633006447892362</v>
      </c>
      <c r="M210" s="10">
        <f t="shared" si="20"/>
        <v>0.51325075973522483</v>
      </c>
      <c r="P210" s="8">
        <f t="shared" si="25"/>
        <v>30.286719397817023</v>
      </c>
    </row>
    <row r="211" spans="1:16" x14ac:dyDescent="0.2">
      <c r="A211" s="8">
        <v>104.5</v>
      </c>
      <c r="B211" s="8">
        <v>209</v>
      </c>
      <c r="D211">
        <v>469.44168547779998</v>
      </c>
      <c r="E211">
        <v>274.93002257336002</v>
      </c>
      <c r="F211">
        <v>166.63122171946</v>
      </c>
      <c r="G211">
        <v>129.45701357466001</v>
      </c>
      <c r="I211" s="9">
        <f t="shared" si="22"/>
        <v>145.47300899870001</v>
      </c>
      <c r="J211" s="9">
        <f t="shared" si="23"/>
        <v>302.81046375834001</v>
      </c>
      <c r="K211" s="9">
        <f t="shared" si="24"/>
        <v>145.47300899870001</v>
      </c>
      <c r="L211" s="10">
        <f t="shared" si="21"/>
        <v>0.48040945214758418</v>
      </c>
      <c r="M211" s="10">
        <f t="shared" si="20"/>
        <v>0.51750765074646377</v>
      </c>
      <c r="P211" s="8">
        <f t="shared" si="25"/>
        <v>31.3673147095015</v>
      </c>
    </row>
    <row r="212" spans="1:16" x14ac:dyDescent="0.2">
      <c r="A212" s="8">
        <v>105</v>
      </c>
      <c r="B212" s="8">
        <v>210</v>
      </c>
      <c r="D212">
        <v>474.30173062453002</v>
      </c>
      <c r="E212">
        <v>270.70052671181003</v>
      </c>
      <c r="F212">
        <v>166.57918552036</v>
      </c>
      <c r="G212">
        <v>129.54675716439999</v>
      </c>
      <c r="I212" s="9">
        <f t="shared" si="22"/>
        <v>141.15376954741004</v>
      </c>
      <c r="J212" s="9">
        <f t="shared" si="23"/>
        <v>307.72254510417002</v>
      </c>
      <c r="K212" s="9">
        <f t="shared" si="24"/>
        <v>141.15376954741004</v>
      </c>
      <c r="L212" s="10">
        <f t="shared" si="21"/>
        <v>0.45870467339215187</v>
      </c>
      <c r="M212" s="10">
        <f t="shared" si="20"/>
        <v>0.49598037533360984</v>
      </c>
      <c r="P212" s="8">
        <f t="shared" si="25"/>
        <v>25.902699143104829</v>
      </c>
    </row>
    <row r="213" spans="1:16" x14ac:dyDescent="0.2">
      <c r="A213" s="8">
        <v>105.5</v>
      </c>
      <c r="B213" s="8">
        <v>211</v>
      </c>
      <c r="D213">
        <v>471.85854025583001</v>
      </c>
      <c r="E213">
        <v>263.16704288939002</v>
      </c>
      <c r="F213">
        <v>166.06184012066001</v>
      </c>
      <c r="G213">
        <v>129.81523378582</v>
      </c>
      <c r="I213" s="9">
        <f t="shared" si="22"/>
        <v>133.35180910357002</v>
      </c>
      <c r="J213" s="9">
        <f t="shared" si="23"/>
        <v>305.79670013517</v>
      </c>
      <c r="K213" s="9">
        <f t="shared" si="24"/>
        <v>133.35180910357002</v>
      </c>
      <c r="L213" s="10">
        <f t="shared" si="21"/>
        <v>0.43607994803287642</v>
      </c>
      <c r="M213" s="10">
        <f t="shared" si="20"/>
        <v>0.4735331533169127</v>
      </c>
      <c r="P213" s="8">
        <f t="shared" si="25"/>
        <v>20.204558690943305</v>
      </c>
    </row>
    <row r="214" spans="1:16" x14ac:dyDescent="0.2">
      <c r="A214" s="8">
        <v>106</v>
      </c>
      <c r="B214" s="8">
        <v>212</v>
      </c>
      <c r="D214">
        <v>470.78421052632001</v>
      </c>
      <c r="E214">
        <v>258.57218045113001</v>
      </c>
      <c r="F214">
        <v>166.14932126696999</v>
      </c>
      <c r="G214">
        <v>129.24132730015</v>
      </c>
      <c r="I214" s="9">
        <f t="shared" si="22"/>
        <v>129.33085315098</v>
      </c>
      <c r="J214" s="9">
        <f t="shared" si="23"/>
        <v>304.63488925935002</v>
      </c>
      <c r="K214" s="9">
        <f t="shared" si="24"/>
        <v>129.33085315098</v>
      </c>
      <c r="L214" s="10">
        <f t="shared" si="21"/>
        <v>0.4245437988584248</v>
      </c>
      <c r="M214" s="10">
        <f t="shared" si="20"/>
        <v>0.46217450748503947</v>
      </c>
      <c r="P214" s="8">
        <f t="shared" si="25"/>
        <v>17.321210397411519</v>
      </c>
    </row>
    <row r="215" spans="1:16" x14ac:dyDescent="0.2">
      <c r="A215" s="8">
        <v>106.5</v>
      </c>
      <c r="B215" s="8">
        <v>213</v>
      </c>
      <c r="D215">
        <v>462.73007518796999</v>
      </c>
      <c r="E215">
        <v>259.10375939850002</v>
      </c>
      <c r="F215">
        <v>165.46380090497999</v>
      </c>
      <c r="G215">
        <v>129.91704374056999</v>
      </c>
      <c r="I215" s="9">
        <f t="shared" si="22"/>
        <v>129.18671565793002</v>
      </c>
      <c r="J215" s="9">
        <f t="shared" si="23"/>
        <v>297.26627428299003</v>
      </c>
      <c r="K215" s="9">
        <f t="shared" si="24"/>
        <v>129.18671565793002</v>
      </c>
      <c r="L215" s="10">
        <f t="shared" si="21"/>
        <v>0.43458248322831106</v>
      </c>
      <c r="M215" s="10">
        <f t="shared" si="20"/>
        <v>0.4723906951975041</v>
      </c>
      <c r="P215" s="8">
        <f t="shared" si="25"/>
        <v>19.914550117933235</v>
      </c>
    </row>
    <row r="216" spans="1:16" x14ac:dyDescent="0.2">
      <c r="A216" s="8">
        <v>107</v>
      </c>
      <c r="B216" s="8">
        <v>214</v>
      </c>
      <c r="D216">
        <v>469.64812030075001</v>
      </c>
      <c r="E216">
        <v>257.81578947368001</v>
      </c>
      <c r="F216">
        <v>166.20663650074999</v>
      </c>
      <c r="G216">
        <v>129.56485671191999</v>
      </c>
      <c r="I216" s="9">
        <f t="shared" si="22"/>
        <v>128.25093276176003</v>
      </c>
      <c r="J216" s="9">
        <f t="shared" si="23"/>
        <v>303.44148380000001</v>
      </c>
      <c r="K216" s="9">
        <f t="shared" si="24"/>
        <v>128.25093276176003</v>
      </c>
      <c r="L216" s="10">
        <f t="shared" si="21"/>
        <v>0.42265457957716468</v>
      </c>
      <c r="M216" s="10">
        <f t="shared" si="20"/>
        <v>0.4606402948889361</v>
      </c>
      <c r="P216" s="8">
        <f t="shared" si="25"/>
        <v>16.931756466338467</v>
      </c>
    </row>
    <row r="217" spans="1:16" x14ac:dyDescent="0.2">
      <c r="A217" s="8">
        <v>107.5</v>
      </c>
      <c r="B217" s="8">
        <v>215</v>
      </c>
      <c r="D217">
        <v>472.78270676692</v>
      </c>
      <c r="E217">
        <v>264.77443609022998</v>
      </c>
      <c r="F217">
        <v>166.71266968326</v>
      </c>
      <c r="G217">
        <v>129.44796380091</v>
      </c>
      <c r="I217" s="9">
        <f t="shared" si="22"/>
        <v>135.32647228931998</v>
      </c>
      <c r="J217" s="9">
        <f t="shared" si="23"/>
        <v>306.07003708366</v>
      </c>
      <c r="K217" s="9">
        <f t="shared" si="24"/>
        <v>135.32647228931998</v>
      </c>
      <c r="L217" s="10">
        <f t="shared" si="21"/>
        <v>0.44214217627689695</v>
      </c>
      <c r="M217" s="10">
        <f t="shared" si="20"/>
        <v>0.48030539493124674</v>
      </c>
      <c r="P217" s="8">
        <f t="shared" si="25"/>
        <v>21.923666020382303</v>
      </c>
    </row>
    <row r="218" spans="1:16" x14ac:dyDescent="0.2">
      <c r="A218" s="8">
        <v>108</v>
      </c>
      <c r="B218" s="8">
        <v>216</v>
      </c>
      <c r="D218">
        <v>469.59849624060001</v>
      </c>
      <c r="E218">
        <v>264.89999999999998</v>
      </c>
      <c r="F218">
        <v>165.88914027148999</v>
      </c>
      <c r="G218">
        <v>129.48340874812001</v>
      </c>
      <c r="I218" s="9">
        <f t="shared" si="22"/>
        <v>135.41659125187996</v>
      </c>
      <c r="J218" s="9">
        <f t="shared" si="23"/>
        <v>303.70935596910999</v>
      </c>
      <c r="K218" s="9">
        <f t="shared" si="24"/>
        <v>135.41659125187996</v>
      </c>
      <c r="L218" s="10">
        <f t="shared" si="21"/>
        <v>0.44587559978117058</v>
      </c>
      <c r="M218" s="10">
        <f t="shared" si="20"/>
        <v>0.48421632177809876</v>
      </c>
      <c r="P218" s="8">
        <f t="shared" si="25"/>
        <v>22.916439667603125</v>
      </c>
    </row>
    <row r="219" spans="1:16" x14ac:dyDescent="0.2">
      <c r="A219" s="8">
        <v>108.5</v>
      </c>
      <c r="B219" s="8">
        <v>217</v>
      </c>
      <c r="D219">
        <v>468.85413533834998</v>
      </c>
      <c r="E219">
        <v>267.37443609023001</v>
      </c>
      <c r="F219">
        <v>166.38838612367999</v>
      </c>
      <c r="G219">
        <v>128.82730015083001</v>
      </c>
      <c r="I219" s="9">
        <f t="shared" si="22"/>
        <v>138.54713593939999</v>
      </c>
      <c r="J219" s="9">
        <f t="shared" si="23"/>
        <v>302.46574921466998</v>
      </c>
      <c r="K219" s="9">
        <f t="shared" si="24"/>
        <v>138.54713593939999</v>
      </c>
      <c r="L219" s="10">
        <f t="shared" si="21"/>
        <v>0.45805892501589823</v>
      </c>
      <c r="M219" s="10">
        <f t="shared" si="20"/>
        <v>0.49657715035540478</v>
      </c>
      <c r="P219" s="8">
        <f t="shared" si="25"/>
        <v>26.054188173239602</v>
      </c>
    </row>
    <row r="220" spans="1:16" x14ac:dyDescent="0.2">
      <c r="A220" s="8">
        <v>109</v>
      </c>
      <c r="B220" s="8">
        <v>218</v>
      </c>
      <c r="D220">
        <v>460.31159969674002</v>
      </c>
      <c r="E220">
        <v>283.58225928733998</v>
      </c>
      <c r="F220">
        <v>166.1802413273</v>
      </c>
      <c r="G220">
        <v>129.36953242836</v>
      </c>
      <c r="I220" s="9">
        <f t="shared" si="22"/>
        <v>154.21272685897998</v>
      </c>
      <c r="J220" s="9">
        <f t="shared" si="23"/>
        <v>294.13135836944002</v>
      </c>
      <c r="K220" s="9">
        <f t="shared" si="24"/>
        <v>154.21272685897998</v>
      </c>
      <c r="L220" s="10">
        <f t="shared" si="21"/>
        <v>0.52429882931857608</v>
      </c>
      <c r="M220" s="10">
        <f t="shared" si="20"/>
        <v>0.56299455800066101</v>
      </c>
      <c r="P220" s="8">
        <f t="shared" si="25"/>
        <v>42.913990109961489</v>
      </c>
    </row>
    <row r="221" spans="1:16" x14ac:dyDescent="0.2">
      <c r="A221" s="8">
        <v>109.5</v>
      </c>
      <c r="B221" s="8">
        <v>219</v>
      </c>
      <c r="D221">
        <v>465.59287338893</v>
      </c>
      <c r="E221">
        <v>293.92873388931002</v>
      </c>
      <c r="F221">
        <v>166.19532428356001</v>
      </c>
      <c r="G221">
        <v>129.63499245852</v>
      </c>
      <c r="I221" s="9">
        <f t="shared" si="22"/>
        <v>164.29374143079002</v>
      </c>
      <c r="J221" s="9">
        <f t="shared" si="23"/>
        <v>299.39754910536999</v>
      </c>
      <c r="K221" s="9">
        <f t="shared" si="24"/>
        <v>164.29374143079002</v>
      </c>
      <c r="L221" s="10">
        <f t="shared" si="21"/>
        <v>0.54874778341277763</v>
      </c>
      <c r="M221" s="10">
        <f t="shared" si="20"/>
        <v>0.58762101543744094</v>
      </c>
      <c r="P221" s="8">
        <f t="shared" si="25"/>
        <v>49.16532104122642</v>
      </c>
    </row>
    <row r="222" spans="1:16" x14ac:dyDescent="0.2">
      <c r="A222" s="8">
        <v>110</v>
      </c>
      <c r="B222" s="8">
        <v>220</v>
      </c>
      <c r="D222">
        <v>463.49886277483</v>
      </c>
      <c r="E222">
        <v>298.78847611827001</v>
      </c>
      <c r="F222">
        <v>166.20135746605999</v>
      </c>
      <c r="G222">
        <v>129.11764705882001</v>
      </c>
      <c r="I222" s="9">
        <f t="shared" si="22"/>
        <v>169.67082905945</v>
      </c>
      <c r="J222" s="9">
        <f t="shared" si="23"/>
        <v>297.29750530877004</v>
      </c>
      <c r="K222" s="9">
        <f t="shared" si="24"/>
        <v>169.67082905945</v>
      </c>
      <c r="L222" s="10">
        <f t="shared" si="21"/>
        <v>0.57071057116080293</v>
      </c>
      <c r="M222" s="10">
        <f t="shared" si="20"/>
        <v>0.60976130652804461</v>
      </c>
      <c r="P222" s="8">
        <f t="shared" si="25"/>
        <v>54.785548265430748</v>
      </c>
    </row>
    <row r="223" spans="1:16" x14ac:dyDescent="0.2">
      <c r="A223" s="8">
        <v>110.5</v>
      </c>
      <c r="B223" s="8">
        <v>221</v>
      </c>
      <c r="D223">
        <v>467.5792637115</v>
      </c>
      <c r="E223">
        <v>299.86927122463999</v>
      </c>
      <c r="F223">
        <v>165.43288084464999</v>
      </c>
      <c r="G223">
        <v>129.42684766214001</v>
      </c>
      <c r="I223" s="9">
        <f t="shared" si="22"/>
        <v>170.44242356249998</v>
      </c>
      <c r="J223" s="9">
        <f t="shared" si="23"/>
        <v>302.14638286684999</v>
      </c>
      <c r="K223" s="9">
        <f t="shared" si="24"/>
        <v>170.44242356249998</v>
      </c>
      <c r="L223" s="10">
        <f t="shared" si="21"/>
        <v>0.56410545757752995</v>
      </c>
      <c r="M223" s="10">
        <f t="shared" si="20"/>
        <v>0.60333369628735001</v>
      </c>
      <c r="P223" s="8">
        <f t="shared" si="25"/>
        <v>53.153924276681217</v>
      </c>
    </row>
    <row r="224" spans="1:16" x14ac:dyDescent="0.2">
      <c r="A224" s="8">
        <v>111</v>
      </c>
      <c r="B224" s="8">
        <v>222</v>
      </c>
      <c r="D224">
        <v>465.88129226145998</v>
      </c>
      <c r="E224">
        <v>296.48760330579</v>
      </c>
      <c r="F224">
        <v>165.45625942685001</v>
      </c>
      <c r="G224">
        <v>129.10256410256</v>
      </c>
      <c r="I224" s="9">
        <f t="shared" si="22"/>
        <v>167.38503920323001</v>
      </c>
      <c r="J224" s="9">
        <f t="shared" si="23"/>
        <v>300.42503283460996</v>
      </c>
      <c r="K224" s="9">
        <f t="shared" si="24"/>
        <v>167.38503920323001</v>
      </c>
      <c r="L224" s="10">
        <f t="shared" si="21"/>
        <v>0.55716075862219794</v>
      </c>
      <c r="M224" s="10">
        <f t="shared" si="20"/>
        <v>0.59656650067459638</v>
      </c>
      <c r="P224" s="8">
        <f t="shared" si="25"/>
        <v>51.436097855218534</v>
      </c>
    </row>
    <row r="225" spans="1:16" x14ac:dyDescent="0.2">
      <c r="A225" s="8">
        <v>111.5</v>
      </c>
      <c r="B225" s="8">
        <v>223</v>
      </c>
      <c r="D225">
        <v>473.02103681442998</v>
      </c>
      <c r="E225">
        <v>292.07888805409999</v>
      </c>
      <c r="F225">
        <v>165.79487179487001</v>
      </c>
      <c r="G225">
        <v>129.14253393665001</v>
      </c>
      <c r="I225" s="9">
        <f t="shared" si="22"/>
        <v>162.93635411744998</v>
      </c>
      <c r="J225" s="9">
        <f t="shared" si="23"/>
        <v>307.22616501955997</v>
      </c>
      <c r="K225" s="9">
        <f t="shared" si="24"/>
        <v>162.93635411744998</v>
      </c>
      <c r="L225" s="10">
        <f t="shared" si="21"/>
        <v>0.53034660673213307</v>
      </c>
      <c r="M225" s="10">
        <f t="shared" si="20"/>
        <v>0.56992985212710989</v>
      </c>
      <c r="P225" s="8">
        <f t="shared" si="25"/>
        <v>44.674487688689112</v>
      </c>
    </row>
    <row r="226" spans="1:16" x14ac:dyDescent="0.2">
      <c r="A226" s="8">
        <v>112</v>
      </c>
      <c r="B226" s="8">
        <v>224</v>
      </c>
      <c r="D226">
        <v>480.27815570672999</v>
      </c>
      <c r="E226">
        <v>287.97883597883998</v>
      </c>
      <c r="F226">
        <v>165.97888386124001</v>
      </c>
      <c r="G226">
        <v>129.05806938160001</v>
      </c>
      <c r="I226" s="9">
        <f t="shared" si="22"/>
        <v>158.92076659723998</v>
      </c>
      <c r="J226" s="9">
        <f t="shared" si="23"/>
        <v>314.29927184549001</v>
      </c>
      <c r="K226" s="9">
        <f t="shared" si="24"/>
        <v>158.92076659723998</v>
      </c>
      <c r="L226" s="10">
        <f t="shared" si="21"/>
        <v>0.50563517269415015</v>
      </c>
      <c r="M226" s="10">
        <f t="shared" si="20"/>
        <v>0.54539592143170523</v>
      </c>
      <c r="P226" s="8">
        <f t="shared" si="25"/>
        <v>38.446644312701409</v>
      </c>
    </row>
    <row r="227" spans="1:16" x14ac:dyDescent="0.2">
      <c r="A227" s="8">
        <v>112.5</v>
      </c>
      <c r="B227" s="8">
        <v>225</v>
      </c>
      <c r="D227">
        <v>477.78609221466002</v>
      </c>
      <c r="E227">
        <v>280.15873015873001</v>
      </c>
      <c r="F227">
        <v>165.26546003017</v>
      </c>
      <c r="G227">
        <v>128.91176470587999</v>
      </c>
      <c r="I227" s="9">
        <f t="shared" si="22"/>
        <v>151.24696545285002</v>
      </c>
      <c r="J227" s="9">
        <f t="shared" si="23"/>
        <v>312.52063218449001</v>
      </c>
      <c r="K227" s="9">
        <f t="shared" si="24"/>
        <v>151.24696545285002</v>
      </c>
      <c r="L227" s="10">
        <f t="shared" si="21"/>
        <v>0.48395833707249297</v>
      </c>
      <c r="M227" s="10">
        <f t="shared" si="20"/>
        <v>0.52389658915262649</v>
      </c>
      <c r="P227" s="8">
        <f t="shared" si="25"/>
        <v>32.989122002691033</v>
      </c>
    </row>
    <row r="228" spans="1:16" x14ac:dyDescent="0.2">
      <c r="A228" s="8">
        <v>113</v>
      </c>
      <c r="B228" s="8">
        <v>226</v>
      </c>
      <c r="D228">
        <v>476.96674225245999</v>
      </c>
      <c r="E228">
        <v>272.20937263794002</v>
      </c>
      <c r="F228">
        <v>165.73981900453001</v>
      </c>
      <c r="G228">
        <v>129.25641025640999</v>
      </c>
      <c r="I228" s="9">
        <f t="shared" si="22"/>
        <v>142.95296238153003</v>
      </c>
      <c r="J228" s="9">
        <f t="shared" si="23"/>
        <v>311.22692324793002</v>
      </c>
      <c r="K228" s="9">
        <f t="shared" si="24"/>
        <v>142.95296238153003</v>
      </c>
      <c r="L228" s="10">
        <f t="shared" si="21"/>
        <v>0.45932068115987074</v>
      </c>
      <c r="M228" s="10">
        <f t="shared" si="20"/>
        <v>0.49943643658258263</v>
      </c>
      <c r="P228" s="8">
        <f t="shared" si="25"/>
        <v>26.78000691835075</v>
      </c>
    </row>
    <row r="229" spans="1:16" x14ac:dyDescent="0.2">
      <c r="A229" s="8">
        <v>113.5</v>
      </c>
      <c r="B229" s="8">
        <v>227</v>
      </c>
      <c r="D229">
        <v>474.62131519273998</v>
      </c>
      <c r="E229">
        <v>264.24867724868</v>
      </c>
      <c r="F229">
        <v>165.44268476620999</v>
      </c>
      <c r="G229">
        <v>128.96153846153999</v>
      </c>
      <c r="I229" s="9">
        <f t="shared" si="22"/>
        <v>135.28713878714001</v>
      </c>
      <c r="J229" s="9">
        <f t="shared" si="23"/>
        <v>309.17863042652999</v>
      </c>
      <c r="K229" s="9">
        <f t="shared" si="24"/>
        <v>135.28713878714001</v>
      </c>
      <c r="L229" s="10">
        <f t="shared" si="21"/>
        <v>0.43756950019638646</v>
      </c>
      <c r="M229" s="10">
        <f t="shared" si="20"/>
        <v>0.47786275896167674</v>
      </c>
      <c r="P229" s="8">
        <f t="shared" si="25"/>
        <v>21.303612330987754</v>
      </c>
    </row>
    <row r="230" spans="1:16" x14ac:dyDescent="0.2">
      <c r="A230" s="8">
        <v>114</v>
      </c>
      <c r="B230" s="8">
        <v>228</v>
      </c>
      <c r="D230">
        <v>475.25581395349002</v>
      </c>
      <c r="E230">
        <v>259.10577644411001</v>
      </c>
      <c r="F230">
        <v>165.87556561086001</v>
      </c>
      <c r="G230">
        <v>129.81221719457</v>
      </c>
      <c r="I230" s="9">
        <f t="shared" si="22"/>
        <v>129.29355924954001</v>
      </c>
      <c r="J230" s="9">
        <f t="shared" si="23"/>
        <v>309.38024834263001</v>
      </c>
      <c r="K230" s="9">
        <f t="shared" si="24"/>
        <v>129.29355924954001</v>
      </c>
      <c r="L230" s="10">
        <f t="shared" si="21"/>
        <v>0.41791148575959186</v>
      </c>
      <c r="M230" s="10">
        <f t="shared" si="20"/>
        <v>0.45838224786746046</v>
      </c>
      <c r="P230" s="8">
        <f t="shared" si="25"/>
        <v>16.358559967173338</v>
      </c>
    </row>
    <row r="231" spans="1:16" x14ac:dyDescent="0.2">
      <c r="A231" s="8">
        <v>114.5</v>
      </c>
      <c r="B231" s="8">
        <v>229</v>
      </c>
      <c r="D231">
        <v>473.49737434359002</v>
      </c>
      <c r="E231">
        <v>256.22955738935002</v>
      </c>
      <c r="F231">
        <v>166.06184012066001</v>
      </c>
      <c r="G231">
        <v>128.9185520362</v>
      </c>
      <c r="I231" s="9">
        <f t="shared" si="22"/>
        <v>127.31100535315002</v>
      </c>
      <c r="J231" s="9">
        <f t="shared" si="23"/>
        <v>307.43553422293002</v>
      </c>
      <c r="K231" s="9">
        <f t="shared" si="24"/>
        <v>127.31100535315002</v>
      </c>
      <c r="L231" s="10">
        <f t="shared" si="21"/>
        <v>0.41410634484702502</v>
      </c>
      <c r="M231" s="10">
        <f t="shared" si="20"/>
        <v>0.454754610297472</v>
      </c>
      <c r="P231" s="8">
        <f t="shared" si="25"/>
        <v>15.437698206731158</v>
      </c>
    </row>
    <row r="232" spans="1:16" x14ac:dyDescent="0.2">
      <c r="A232" s="8">
        <v>115</v>
      </c>
      <c r="B232" s="8">
        <v>230</v>
      </c>
      <c r="D232">
        <v>464.10577644411001</v>
      </c>
      <c r="E232">
        <v>252.84171042761</v>
      </c>
      <c r="F232">
        <v>165.18325791855</v>
      </c>
      <c r="G232">
        <v>128.97134238311</v>
      </c>
      <c r="I232" s="9">
        <f t="shared" si="22"/>
        <v>123.8703680445</v>
      </c>
      <c r="J232" s="9">
        <f t="shared" si="23"/>
        <v>298.92251852556001</v>
      </c>
      <c r="K232" s="9">
        <f t="shared" si="24"/>
        <v>123.8703680445</v>
      </c>
      <c r="L232" s="10">
        <f t="shared" si="21"/>
        <v>0.41438955036071728</v>
      </c>
      <c r="M232" s="10">
        <f t="shared" si="20"/>
        <v>0.45521531915374264</v>
      </c>
      <c r="P232" s="8">
        <f t="shared" si="25"/>
        <v>15.554647367238953</v>
      </c>
    </row>
    <row r="233" spans="1:16" x14ac:dyDescent="0.2">
      <c r="A233" s="8">
        <v>115.5</v>
      </c>
      <c r="B233" s="8">
        <v>231</v>
      </c>
      <c r="D233">
        <v>460.49287321831002</v>
      </c>
      <c r="E233">
        <v>258.32333083270998</v>
      </c>
      <c r="F233">
        <v>166.08898944193001</v>
      </c>
      <c r="G233">
        <v>129.17420814479999</v>
      </c>
      <c r="I233" s="9">
        <f t="shared" si="22"/>
        <v>129.14912268790999</v>
      </c>
      <c r="J233" s="9">
        <f t="shared" si="23"/>
        <v>294.40388377637998</v>
      </c>
      <c r="K233" s="9">
        <f t="shared" si="24"/>
        <v>129.14912268790999</v>
      </c>
      <c r="L233" s="10">
        <f t="shared" si="21"/>
        <v>0.4386800915507203</v>
      </c>
      <c r="M233" s="10">
        <f t="shared" si="20"/>
        <v>0.47968336368632403</v>
      </c>
      <c r="P233" s="8">
        <f t="shared" si="25"/>
        <v>21.76576579573241</v>
      </c>
    </row>
    <row r="234" spans="1:16" x14ac:dyDescent="0.2">
      <c r="A234" s="8">
        <v>116</v>
      </c>
      <c r="B234" s="8">
        <v>232</v>
      </c>
      <c r="D234">
        <v>461.31807951987997</v>
      </c>
      <c r="E234">
        <v>257.96999249813001</v>
      </c>
      <c r="F234">
        <v>165.94720965309</v>
      </c>
      <c r="G234">
        <v>129.04298642533999</v>
      </c>
      <c r="I234" s="9">
        <f t="shared" si="22"/>
        <v>128.92700607279002</v>
      </c>
      <c r="J234" s="9">
        <f t="shared" si="23"/>
        <v>295.37086986678997</v>
      </c>
      <c r="K234" s="9">
        <f t="shared" si="24"/>
        <v>128.92700607279002</v>
      </c>
      <c r="L234" s="10">
        <f t="shared" si="21"/>
        <v>0.43649194699170951</v>
      </c>
      <c r="M234" s="10">
        <f t="shared" si="20"/>
        <v>0.47767272246989162</v>
      </c>
      <c r="P234" s="8">
        <f t="shared" si="25"/>
        <v>21.255372302871038</v>
      </c>
    </row>
    <row r="235" spans="1:16" x14ac:dyDescent="0.2">
      <c r="A235" s="8">
        <v>116.5</v>
      </c>
      <c r="B235" s="8">
        <v>233</v>
      </c>
      <c r="D235">
        <v>459.46586646662001</v>
      </c>
      <c r="E235">
        <v>258.34508627156998</v>
      </c>
      <c r="F235">
        <v>165.74736048266001</v>
      </c>
      <c r="G235">
        <v>129.19306184012001</v>
      </c>
      <c r="I235" s="9">
        <f t="shared" si="22"/>
        <v>129.15202443144997</v>
      </c>
      <c r="J235" s="9">
        <f t="shared" si="23"/>
        <v>293.71850598395997</v>
      </c>
      <c r="K235" s="9">
        <f t="shared" si="24"/>
        <v>129.15202443144997</v>
      </c>
      <c r="L235" s="10">
        <f t="shared" si="21"/>
        <v>0.43971360946015092</v>
      </c>
      <c r="M235" s="10">
        <f t="shared" si="20"/>
        <v>0.48107188828091141</v>
      </c>
      <c r="P235" s="8">
        <f t="shared" si="25"/>
        <v>22.118237391342515</v>
      </c>
    </row>
    <row r="236" spans="1:16" x14ac:dyDescent="0.2">
      <c r="A236" s="8">
        <v>117</v>
      </c>
      <c r="B236" s="8">
        <v>234</v>
      </c>
      <c r="D236">
        <v>462.30757689422001</v>
      </c>
      <c r="E236">
        <v>260.83420855214001</v>
      </c>
      <c r="F236">
        <v>165.35746606334999</v>
      </c>
      <c r="G236">
        <v>129.41402714931999</v>
      </c>
      <c r="I236" s="9">
        <f t="shared" si="22"/>
        <v>131.42018140282002</v>
      </c>
      <c r="J236" s="9">
        <f t="shared" si="23"/>
        <v>296.95011083087002</v>
      </c>
      <c r="K236" s="9">
        <f t="shared" si="24"/>
        <v>131.42018140282002</v>
      </c>
      <c r="L236" s="10">
        <f t="shared" si="21"/>
        <v>0.44256653427440978</v>
      </c>
      <c r="M236" s="10">
        <f t="shared" si="20"/>
        <v>0.48410231643774865</v>
      </c>
      <c r="P236" s="8">
        <f t="shared" si="25"/>
        <v>22.887499853084954</v>
      </c>
    </row>
    <row r="237" spans="1:16" x14ac:dyDescent="0.2">
      <c r="A237" s="8">
        <v>117.5</v>
      </c>
      <c r="B237" s="8">
        <v>235</v>
      </c>
      <c r="D237">
        <v>472.31320754717001</v>
      </c>
      <c r="E237">
        <v>260.19698113208</v>
      </c>
      <c r="F237">
        <v>165.79939668175001</v>
      </c>
      <c r="G237">
        <v>129.08371040724001</v>
      </c>
      <c r="I237" s="9">
        <f t="shared" si="22"/>
        <v>131.11327072483999</v>
      </c>
      <c r="J237" s="9">
        <f t="shared" si="23"/>
        <v>306.51381086542</v>
      </c>
      <c r="K237" s="9">
        <f t="shared" si="24"/>
        <v>131.11327072483999</v>
      </c>
      <c r="L237" s="10">
        <f t="shared" si="21"/>
        <v>0.4277564862563647</v>
      </c>
      <c r="M237" s="10">
        <f t="shared" si="20"/>
        <v>0.46946977176228188</v>
      </c>
      <c r="P237" s="8">
        <f t="shared" si="25"/>
        <v>19.173085006057658</v>
      </c>
    </row>
    <row r="238" spans="1:16" x14ac:dyDescent="0.2">
      <c r="A238" s="8">
        <v>118</v>
      </c>
      <c r="B238" s="8">
        <v>236</v>
      </c>
      <c r="D238">
        <v>466.97056603774001</v>
      </c>
      <c r="E238">
        <v>251.13132075472001</v>
      </c>
      <c r="F238">
        <v>165.92609351433001</v>
      </c>
      <c r="G238">
        <v>129.26093514329</v>
      </c>
      <c r="I238" s="9">
        <f t="shared" si="22"/>
        <v>121.87038561143001</v>
      </c>
      <c r="J238" s="9">
        <f t="shared" si="23"/>
        <v>301.04447252341004</v>
      </c>
      <c r="K238" s="9">
        <f t="shared" si="24"/>
        <v>121.87038561143001</v>
      </c>
      <c r="L238" s="10">
        <f t="shared" si="21"/>
        <v>0.40482518941434154</v>
      </c>
      <c r="M238" s="10">
        <f t="shared" si="20"/>
        <v>0.4467159782628371</v>
      </c>
      <c r="P238" s="8">
        <f t="shared" si="25"/>
        <v>13.397122569241457</v>
      </c>
    </row>
    <row r="239" spans="1:16" x14ac:dyDescent="0.2">
      <c r="A239" s="8">
        <v>118.5</v>
      </c>
      <c r="B239" s="8">
        <v>237</v>
      </c>
      <c r="D239">
        <v>468.07105064247997</v>
      </c>
      <c r="E239">
        <v>251.1179138322</v>
      </c>
      <c r="F239">
        <v>165.38235294117999</v>
      </c>
      <c r="G239">
        <v>129.18552036199</v>
      </c>
      <c r="I239" s="9">
        <f t="shared" si="22"/>
        <v>121.93239347021</v>
      </c>
      <c r="J239" s="9">
        <f t="shared" si="23"/>
        <v>302.68869770129999</v>
      </c>
      <c r="K239" s="9">
        <f t="shared" si="24"/>
        <v>121.93239347021</v>
      </c>
      <c r="L239" s="10">
        <f t="shared" si="21"/>
        <v>0.40283100887544743</v>
      </c>
      <c r="M239" s="10">
        <f t="shared" si="20"/>
        <v>0.44489930106652137</v>
      </c>
      <c r="P239" s="8">
        <f t="shared" si="25"/>
        <v>12.935966092366677</v>
      </c>
    </row>
    <row r="240" spans="1:16" x14ac:dyDescent="0.2">
      <c r="A240" s="8">
        <v>119</v>
      </c>
      <c r="B240" s="8">
        <v>238</v>
      </c>
      <c r="D240">
        <v>458.90022675736998</v>
      </c>
      <c r="E240">
        <v>252.24036281178999</v>
      </c>
      <c r="F240">
        <v>165.53242835596001</v>
      </c>
      <c r="G240">
        <v>128.60331825038</v>
      </c>
      <c r="I240" s="9">
        <f t="shared" si="22"/>
        <v>123.63704456140999</v>
      </c>
      <c r="J240" s="9">
        <f t="shared" si="23"/>
        <v>293.36779840140997</v>
      </c>
      <c r="K240" s="9">
        <f t="shared" si="24"/>
        <v>123.63704456140999</v>
      </c>
      <c r="L240" s="10">
        <f t="shared" si="21"/>
        <v>0.42144040769000696</v>
      </c>
      <c r="M240" s="10">
        <f t="shared" si="20"/>
        <v>0.46368620322365928</v>
      </c>
      <c r="P240" s="8">
        <f t="shared" si="25"/>
        <v>17.7049485113386</v>
      </c>
    </row>
    <row r="241" spans="1:16" x14ac:dyDescent="0.2">
      <c r="A241" s="8">
        <v>119.5</v>
      </c>
      <c r="B241" s="8">
        <v>239</v>
      </c>
      <c r="D241">
        <v>459.01202103680998</v>
      </c>
      <c r="E241">
        <v>252.35537190082999</v>
      </c>
      <c r="F241">
        <v>165.30769230768999</v>
      </c>
      <c r="G241">
        <v>128.97360482655</v>
      </c>
      <c r="I241" s="9">
        <f t="shared" si="22"/>
        <v>123.38176707427999</v>
      </c>
      <c r="J241" s="9">
        <f t="shared" si="23"/>
        <v>293.70432872911999</v>
      </c>
      <c r="K241" s="9">
        <f t="shared" si="24"/>
        <v>123.38176707427999</v>
      </c>
      <c r="L241" s="10">
        <f t="shared" si="21"/>
        <v>0.42008835078516504</v>
      </c>
      <c r="M241" s="10">
        <f t="shared" si="20"/>
        <v>0.46251164966139574</v>
      </c>
      <c r="P241" s="8">
        <f t="shared" si="25"/>
        <v>17.406792634349191</v>
      </c>
    </row>
    <row r="242" spans="1:16" x14ac:dyDescent="0.2">
      <c r="A242" s="8">
        <v>120</v>
      </c>
      <c r="B242" s="8">
        <v>240</v>
      </c>
      <c r="D242">
        <v>439.86152694611002</v>
      </c>
      <c r="E242">
        <v>251.49476047904</v>
      </c>
      <c r="F242">
        <v>165.00226244344</v>
      </c>
      <c r="G242">
        <v>129.25037707390999</v>
      </c>
      <c r="I242" s="9">
        <f>E242-G242</f>
        <v>122.24438340513001</v>
      </c>
      <c r="J242" s="9">
        <f>D242-F242</f>
        <v>274.85926450267004</v>
      </c>
      <c r="K242" s="9">
        <f t="shared" si="24"/>
        <v>122.24438340513001</v>
      </c>
      <c r="L242" s="10">
        <f t="shared" si="21"/>
        <v>0.44475263959655431</v>
      </c>
      <c r="M242" s="10">
        <f>L242+ABS($N$2)*A242</f>
        <v>0.48735344181536339</v>
      </c>
      <c r="O242" s="11"/>
      <c r="P242" s="8">
        <f>(M242-$O$2)/$O$2*100</f>
        <v>23.712785450360894</v>
      </c>
    </row>
    <row r="243" spans="1:16" x14ac:dyDescent="0.2">
      <c r="A243" s="8">
        <v>120.5</v>
      </c>
      <c r="B243" s="8">
        <v>241</v>
      </c>
      <c r="D243">
        <v>440.83607784431001</v>
      </c>
      <c r="E243">
        <v>253.52170658682999</v>
      </c>
      <c r="F243">
        <v>165.69079939668001</v>
      </c>
      <c r="G243">
        <v>128.90573152338001</v>
      </c>
      <c r="I243" s="9">
        <f t="shared" ref="I243:I274" si="26">E243-G243</f>
        <v>124.61597506344998</v>
      </c>
      <c r="J243" s="9">
        <f t="shared" ref="J243:J274" si="27">D243-F243</f>
        <v>275.14527844763001</v>
      </c>
      <c r="K243" s="9">
        <f t="shared" si="24"/>
        <v>124.61597506344998</v>
      </c>
      <c r="L243" s="10">
        <f t="shared" si="21"/>
        <v>0.45290973469191792</v>
      </c>
      <c r="M243" s="10">
        <f t="shared" ref="M243:M274" si="28">L243+ABS($N$2)*A243</f>
        <v>0.49568804025330537</v>
      </c>
      <c r="P243" s="8">
        <f t="shared" ref="P243:P274" si="29">(M243-$O$2)/$O$2*100</f>
        <v>25.828491014124339</v>
      </c>
    </row>
    <row r="244" spans="1:16" x14ac:dyDescent="0.2">
      <c r="A244" s="8">
        <v>121</v>
      </c>
      <c r="B244" s="8">
        <v>242</v>
      </c>
      <c r="D244">
        <v>439.15943113773</v>
      </c>
      <c r="E244">
        <v>251.59955089819999</v>
      </c>
      <c r="F244">
        <v>165.73755656109</v>
      </c>
      <c r="G244">
        <v>129.27224736048001</v>
      </c>
      <c r="I244" s="9">
        <f t="shared" si="26"/>
        <v>122.32730353771998</v>
      </c>
      <c r="J244" s="9">
        <f t="shared" si="27"/>
        <v>273.42187457663999</v>
      </c>
      <c r="K244" s="9">
        <f t="shared" si="24"/>
        <v>122.32730353771998</v>
      </c>
      <c r="L244" s="10">
        <f t="shared" si="21"/>
        <v>0.44739399043009526</v>
      </c>
      <c r="M244" s="10">
        <f t="shared" si="28"/>
        <v>0.49034979933406109</v>
      </c>
      <c r="N244" s="1"/>
      <c r="P244" s="8">
        <f t="shared" si="29"/>
        <v>24.473399212443773</v>
      </c>
    </row>
    <row r="245" spans="1:16" x14ac:dyDescent="0.2">
      <c r="A245" s="8">
        <v>121.5</v>
      </c>
      <c r="B245" s="8">
        <v>243</v>
      </c>
      <c r="D245">
        <v>444.21407185628999</v>
      </c>
      <c r="E245">
        <v>254.44311377246001</v>
      </c>
      <c r="F245">
        <v>165.53846153846001</v>
      </c>
      <c r="G245">
        <v>128.79110105581</v>
      </c>
      <c r="I245" s="9">
        <f t="shared" si="26"/>
        <v>125.65201271665001</v>
      </c>
      <c r="J245" s="9">
        <f t="shared" si="27"/>
        <v>278.67561031782998</v>
      </c>
      <c r="K245" s="9">
        <f t="shared" si="24"/>
        <v>125.65201271665001</v>
      </c>
      <c r="L245" s="10">
        <f t="shared" si="21"/>
        <v>0.45088988079489156</v>
      </c>
      <c r="M245" s="10">
        <f t="shared" si="28"/>
        <v>0.49402319304143577</v>
      </c>
      <c r="P245" s="8">
        <f t="shared" si="29"/>
        <v>25.405875991313675</v>
      </c>
    </row>
    <row r="246" spans="1:16" x14ac:dyDescent="0.2">
      <c r="A246" s="8">
        <v>122</v>
      </c>
      <c r="B246" s="8">
        <v>244</v>
      </c>
      <c r="D246">
        <v>445.45958083831999</v>
      </c>
      <c r="E246">
        <v>250.91467065868</v>
      </c>
      <c r="F246">
        <v>164.86953242836</v>
      </c>
      <c r="G246">
        <v>128.92006033183</v>
      </c>
      <c r="I246" s="9">
        <f t="shared" si="26"/>
        <v>121.99461032684999</v>
      </c>
      <c r="J246" s="9">
        <f t="shared" si="27"/>
        <v>280.59004840995999</v>
      </c>
      <c r="K246" s="9">
        <f t="shared" si="24"/>
        <v>121.99461032684999</v>
      </c>
      <c r="L246" s="10">
        <f t="shared" si="21"/>
        <v>0.43477882062519935</v>
      </c>
      <c r="M246" s="10">
        <f t="shared" si="28"/>
        <v>0.47808963621432188</v>
      </c>
      <c r="P246" s="8">
        <f t="shared" si="29"/>
        <v>21.361204243697973</v>
      </c>
    </row>
    <row r="247" spans="1:16" x14ac:dyDescent="0.2">
      <c r="A247" s="8">
        <v>122.5</v>
      </c>
      <c r="B247" s="8">
        <v>245</v>
      </c>
      <c r="D247">
        <v>451.09036144577999</v>
      </c>
      <c r="E247">
        <v>248.75075301205001</v>
      </c>
      <c r="F247">
        <v>165.35671191553999</v>
      </c>
      <c r="G247">
        <v>129.37858220211001</v>
      </c>
      <c r="I247" s="9">
        <f t="shared" si="26"/>
        <v>119.37217080994</v>
      </c>
      <c r="J247" s="9">
        <f t="shared" si="27"/>
        <v>285.73364953023997</v>
      </c>
      <c r="K247" s="9">
        <f t="shared" si="24"/>
        <v>119.37217080994</v>
      </c>
      <c r="L247" s="10">
        <f t="shared" si="21"/>
        <v>0.41777428386958854</v>
      </c>
      <c r="M247" s="10">
        <f t="shared" si="28"/>
        <v>0.46126260280128945</v>
      </c>
      <c r="P247" s="8">
        <f t="shared" si="29"/>
        <v>17.089726921945093</v>
      </c>
    </row>
    <row r="248" spans="1:16" x14ac:dyDescent="0.2">
      <c r="A248" s="8">
        <v>123</v>
      </c>
      <c r="B248" s="8">
        <v>246</v>
      </c>
      <c r="D248">
        <v>448.30647590361002</v>
      </c>
      <c r="E248">
        <v>244.22213855422001</v>
      </c>
      <c r="F248">
        <v>165.02790346908</v>
      </c>
      <c r="G248">
        <v>128.73001508295999</v>
      </c>
      <c r="I248" s="9">
        <f t="shared" si="26"/>
        <v>115.49212347126002</v>
      </c>
      <c r="J248" s="9">
        <f t="shared" si="27"/>
        <v>283.27857243453002</v>
      </c>
      <c r="K248" s="9">
        <f t="shared" si="24"/>
        <v>115.49212347126002</v>
      </c>
      <c r="L248" s="10">
        <f t="shared" si="21"/>
        <v>0.40769805664687891</v>
      </c>
      <c r="M248" s="10">
        <f t="shared" si="28"/>
        <v>0.4513638789211582</v>
      </c>
      <c r="P248" s="8">
        <f t="shared" si="29"/>
        <v>14.576974166873782</v>
      </c>
    </row>
    <row r="249" spans="1:16" x14ac:dyDescent="0.2">
      <c r="A249" s="8">
        <v>123.5</v>
      </c>
      <c r="B249" s="8">
        <v>247</v>
      </c>
      <c r="D249">
        <v>455.75</v>
      </c>
      <c r="E249">
        <v>241.28840361446001</v>
      </c>
      <c r="F249">
        <v>165.46455505278999</v>
      </c>
      <c r="G249">
        <v>129.3137254902</v>
      </c>
      <c r="I249" s="9">
        <f t="shared" si="26"/>
        <v>111.97467812426001</v>
      </c>
      <c r="J249" s="9">
        <f t="shared" si="27"/>
        <v>290.28544494721001</v>
      </c>
      <c r="K249" s="9">
        <f t="shared" si="24"/>
        <v>111.97467812426001</v>
      </c>
      <c r="L249" s="10">
        <f t="shared" si="21"/>
        <v>0.38573989868704306</v>
      </c>
      <c r="M249" s="10">
        <f t="shared" si="28"/>
        <v>0.42958322430390072</v>
      </c>
      <c r="P249" s="8">
        <f t="shared" si="29"/>
        <v>9.0480392698590819</v>
      </c>
    </row>
    <row r="250" spans="1:16" x14ac:dyDescent="0.2">
      <c r="A250" s="8">
        <v>124</v>
      </c>
      <c r="B250" s="8">
        <v>248</v>
      </c>
      <c r="D250">
        <v>454.64533132529999</v>
      </c>
      <c r="E250">
        <v>236.71686746987999</v>
      </c>
      <c r="F250">
        <v>165.22775263951999</v>
      </c>
      <c r="G250">
        <v>129.14404223227999</v>
      </c>
      <c r="I250" s="9">
        <f t="shared" si="26"/>
        <v>107.5728252376</v>
      </c>
      <c r="J250" s="9">
        <f t="shared" si="27"/>
        <v>289.41757868577997</v>
      </c>
      <c r="K250" s="9">
        <f t="shared" si="24"/>
        <v>107.5728252376</v>
      </c>
      <c r="L250" s="10">
        <f t="shared" si="21"/>
        <v>0.37168725454092605</v>
      </c>
      <c r="M250" s="10">
        <f t="shared" si="28"/>
        <v>0.41570808350036209</v>
      </c>
      <c r="P250" s="8">
        <f t="shared" si="29"/>
        <v>5.5258884650391966</v>
      </c>
    </row>
    <row r="251" spans="1:16" x14ac:dyDescent="0.2">
      <c r="A251" s="8">
        <v>124.5</v>
      </c>
      <c r="B251" s="8">
        <v>249</v>
      </c>
      <c r="D251">
        <v>445.71686746988001</v>
      </c>
      <c r="E251">
        <v>235.01807228915999</v>
      </c>
      <c r="F251">
        <v>165.33257918551999</v>
      </c>
      <c r="G251">
        <v>129.01960784313999</v>
      </c>
      <c r="I251" s="9">
        <f t="shared" si="26"/>
        <v>105.99846444601999</v>
      </c>
      <c r="J251" s="9">
        <f t="shared" si="27"/>
        <v>280.38428828436003</v>
      </c>
      <c r="K251" s="9">
        <f t="shared" si="24"/>
        <v>105.99846444601999</v>
      </c>
      <c r="L251" s="10">
        <f t="shared" si="21"/>
        <v>0.37804709063625747</v>
      </c>
      <c r="M251" s="10">
        <f t="shared" si="28"/>
        <v>0.42224542293827189</v>
      </c>
      <c r="P251" s="8">
        <f t="shared" si="29"/>
        <v>7.1853667859181085</v>
      </c>
    </row>
    <row r="252" spans="1:16" x14ac:dyDescent="0.2">
      <c r="A252" s="8">
        <v>125</v>
      </c>
      <c r="B252" s="8">
        <v>250</v>
      </c>
      <c r="D252">
        <v>446.03087349397998</v>
      </c>
      <c r="E252">
        <v>235.48343373494001</v>
      </c>
      <c r="F252">
        <v>165.60935143288</v>
      </c>
      <c r="G252">
        <v>129.04675716439999</v>
      </c>
      <c r="I252" s="9">
        <f t="shared" si="26"/>
        <v>106.43667657054002</v>
      </c>
      <c r="J252" s="9">
        <f t="shared" si="27"/>
        <v>280.42152206109995</v>
      </c>
      <c r="K252" s="9">
        <f t="shared" si="24"/>
        <v>106.43667657054002</v>
      </c>
      <c r="L252" s="10">
        <f t="shared" si="21"/>
        <v>0.37955958511397331</v>
      </c>
      <c r="M252" s="10">
        <f t="shared" si="28"/>
        <v>0.42393542075856611</v>
      </c>
      <c r="P252" s="8">
        <f t="shared" si="29"/>
        <v>7.6143661933601612</v>
      </c>
    </row>
    <row r="253" spans="1:16" x14ac:dyDescent="0.2">
      <c r="A253" s="8">
        <v>125.5</v>
      </c>
      <c r="B253" s="8">
        <v>251</v>
      </c>
      <c r="D253">
        <v>449</v>
      </c>
      <c r="E253">
        <v>236.51581325301001</v>
      </c>
      <c r="F253">
        <v>165.49472096530999</v>
      </c>
      <c r="G253">
        <v>129.55429864253</v>
      </c>
      <c r="I253" s="9">
        <f t="shared" si="26"/>
        <v>106.96151461048001</v>
      </c>
      <c r="J253" s="9">
        <f t="shared" si="27"/>
        <v>283.50527903469003</v>
      </c>
      <c r="K253" s="9">
        <f t="shared" si="24"/>
        <v>106.96151461048001</v>
      </c>
      <c r="L253" s="10">
        <f t="shared" si="21"/>
        <v>0.37728226781058305</v>
      </c>
      <c r="M253" s="10">
        <f t="shared" si="28"/>
        <v>0.42183560679775423</v>
      </c>
      <c r="P253" s="8">
        <f t="shared" si="29"/>
        <v>7.0813365443810756</v>
      </c>
    </row>
    <row r="254" spans="1:16" x14ac:dyDescent="0.2">
      <c r="A254" s="8">
        <v>126</v>
      </c>
      <c r="B254" s="8">
        <v>252</v>
      </c>
      <c r="D254">
        <v>454.67846385541998</v>
      </c>
      <c r="E254">
        <v>235.22590361446001</v>
      </c>
      <c r="F254">
        <v>165.08748114631001</v>
      </c>
      <c r="G254">
        <v>128.59049773756001</v>
      </c>
      <c r="I254" s="9">
        <f t="shared" si="26"/>
        <v>106.63540587689999</v>
      </c>
      <c r="J254" s="9">
        <f t="shared" si="27"/>
        <v>289.59098270910999</v>
      </c>
      <c r="K254" s="9">
        <f t="shared" si="24"/>
        <v>106.63540587689999</v>
      </c>
      <c r="L254" s="10">
        <f t="shared" si="21"/>
        <v>0.36822764603832203</v>
      </c>
      <c r="M254" s="10">
        <f t="shared" si="28"/>
        <v>0.41295848836807159</v>
      </c>
      <c r="P254" s="8">
        <f t="shared" si="29"/>
        <v>4.8279143799289423</v>
      </c>
    </row>
    <row r="255" spans="1:16" x14ac:dyDescent="0.2">
      <c r="A255" s="8">
        <v>126.5</v>
      </c>
      <c r="B255" s="8">
        <v>253</v>
      </c>
      <c r="D255">
        <v>457.57261098570001</v>
      </c>
      <c r="E255">
        <v>235.62753950339001</v>
      </c>
      <c r="F255">
        <v>165.21040723982</v>
      </c>
      <c r="G255">
        <v>128.61463046757001</v>
      </c>
      <c r="I255" s="9">
        <f t="shared" si="26"/>
        <v>107.01290903582</v>
      </c>
      <c r="J255" s="9">
        <f t="shared" si="27"/>
        <v>292.36220374588004</v>
      </c>
      <c r="K255" s="9">
        <f t="shared" si="24"/>
        <v>107.01290903582</v>
      </c>
      <c r="L255" s="10">
        <f t="shared" si="21"/>
        <v>0.36602853468991897</v>
      </c>
      <c r="M255" s="10">
        <f t="shared" si="28"/>
        <v>0.41093688036224685</v>
      </c>
      <c r="P255" s="8">
        <f t="shared" si="29"/>
        <v>4.3147370100149756</v>
      </c>
    </row>
    <row r="256" spans="1:16" x14ac:dyDescent="0.2">
      <c r="A256" s="8">
        <v>127</v>
      </c>
      <c r="B256" s="8">
        <v>254</v>
      </c>
      <c r="D256">
        <v>452.86982693754999</v>
      </c>
      <c r="E256">
        <v>235.04514672686</v>
      </c>
      <c r="F256">
        <v>164.8665158371</v>
      </c>
      <c r="G256">
        <v>128.44720965309</v>
      </c>
      <c r="I256" s="9">
        <f t="shared" si="26"/>
        <v>106.59793707377</v>
      </c>
      <c r="J256" s="9">
        <f t="shared" si="27"/>
        <v>288.00331110044999</v>
      </c>
      <c r="K256" s="9">
        <f t="shared" si="24"/>
        <v>106.59793707377</v>
      </c>
      <c r="L256" s="10">
        <f t="shared" si="21"/>
        <v>0.37012747064074791</v>
      </c>
      <c r="M256" s="10">
        <f t="shared" si="28"/>
        <v>0.41521331965565417</v>
      </c>
      <c r="P256" s="8">
        <f t="shared" si="29"/>
        <v>5.4002945774882054</v>
      </c>
    </row>
    <row r="257" spans="1:16" x14ac:dyDescent="0.2">
      <c r="A257" s="8">
        <v>127.5</v>
      </c>
      <c r="B257" s="8">
        <v>255</v>
      </c>
      <c r="D257">
        <v>435.96021021020999</v>
      </c>
      <c r="E257">
        <v>234.47147147147001</v>
      </c>
      <c r="F257">
        <v>164.94494720965</v>
      </c>
      <c r="G257">
        <v>128.98340874812001</v>
      </c>
      <c r="I257" s="9">
        <f t="shared" si="26"/>
        <v>105.48806272335</v>
      </c>
      <c r="J257" s="9">
        <f t="shared" si="27"/>
        <v>271.01526300056003</v>
      </c>
      <c r="K257" s="9">
        <f t="shared" si="24"/>
        <v>105.48806272335</v>
      </c>
      <c r="L257" s="10">
        <f t="shared" si="21"/>
        <v>0.3892329219964708</v>
      </c>
      <c r="M257" s="10">
        <f t="shared" si="28"/>
        <v>0.43449627435395544</v>
      </c>
      <c r="P257" s="8">
        <f t="shared" si="29"/>
        <v>10.29519801461988</v>
      </c>
    </row>
    <row r="258" spans="1:16" x14ac:dyDescent="0.2">
      <c r="A258" s="8">
        <v>128</v>
      </c>
      <c r="B258" s="8">
        <v>256</v>
      </c>
      <c r="D258">
        <v>438.34609609609998</v>
      </c>
      <c r="E258">
        <v>235.31906906907</v>
      </c>
      <c r="F258">
        <v>164.68250377074</v>
      </c>
      <c r="G258">
        <v>128.53092006033</v>
      </c>
      <c r="I258" s="9">
        <f t="shared" si="26"/>
        <v>106.78814900873999</v>
      </c>
      <c r="J258" s="9">
        <f t="shared" si="27"/>
        <v>273.66359232536001</v>
      </c>
      <c r="K258" s="9">
        <f t="shared" si="24"/>
        <v>106.78814900873999</v>
      </c>
      <c r="L258" s="10">
        <f t="shared" ref="L258:L321" si="30">K258/J258</f>
        <v>0.39021686480596596</v>
      </c>
      <c r="M258" s="10">
        <f t="shared" si="28"/>
        <v>0.43565772050602897</v>
      </c>
      <c r="P258" s="8">
        <f t="shared" si="29"/>
        <v>10.590026626250074</v>
      </c>
    </row>
    <row r="259" spans="1:16" x14ac:dyDescent="0.2">
      <c r="A259" s="8">
        <v>128.5</v>
      </c>
      <c r="B259" s="8">
        <v>257</v>
      </c>
      <c r="D259">
        <v>443.67192192191999</v>
      </c>
      <c r="E259">
        <v>234.07132132132</v>
      </c>
      <c r="F259">
        <v>164.61764705882001</v>
      </c>
      <c r="G259">
        <v>129.13499245852</v>
      </c>
      <c r="I259" s="9">
        <f t="shared" si="26"/>
        <v>104.9363288628</v>
      </c>
      <c r="J259" s="9">
        <f t="shared" si="27"/>
        <v>279.05427486309998</v>
      </c>
      <c r="K259" s="9">
        <f t="shared" ref="K259:K321" si="31">I259*1</f>
        <v>104.9363288628</v>
      </c>
      <c r="L259" s="10">
        <f t="shared" si="30"/>
        <v>0.37604272113115006</v>
      </c>
      <c r="M259" s="10">
        <f t="shared" si="28"/>
        <v>0.42166108017379145</v>
      </c>
      <c r="P259" s="8">
        <f t="shared" si="29"/>
        <v>7.0370336361975259</v>
      </c>
    </row>
    <row r="260" spans="1:16" x14ac:dyDescent="0.2">
      <c r="A260" s="8">
        <v>129</v>
      </c>
      <c r="B260" s="8">
        <v>258</v>
      </c>
      <c r="D260">
        <v>446.71385767790002</v>
      </c>
      <c r="E260">
        <v>234.77602996255001</v>
      </c>
      <c r="F260">
        <v>164.79638009050001</v>
      </c>
      <c r="G260">
        <v>128.63800904977001</v>
      </c>
      <c r="I260" s="9">
        <f t="shared" si="26"/>
        <v>106.13802091278001</v>
      </c>
      <c r="J260" s="9">
        <f t="shared" si="27"/>
        <v>281.91747758740001</v>
      </c>
      <c r="K260" s="9">
        <f t="shared" si="31"/>
        <v>106.13802091278001</v>
      </c>
      <c r="L260" s="10">
        <f t="shared" si="30"/>
        <v>0.37648613282542981</v>
      </c>
      <c r="M260" s="10">
        <f t="shared" si="28"/>
        <v>0.42228199521064957</v>
      </c>
      <c r="P260" s="8">
        <f t="shared" si="29"/>
        <v>7.1946505157492542</v>
      </c>
    </row>
    <row r="261" spans="1:16" x14ac:dyDescent="0.2">
      <c r="A261" s="8">
        <v>129.5</v>
      </c>
      <c r="B261" s="8">
        <v>259</v>
      </c>
      <c r="D261">
        <v>449.69513108614001</v>
      </c>
      <c r="E261">
        <v>234.56179775281001</v>
      </c>
      <c r="F261">
        <v>164.40573152338001</v>
      </c>
      <c r="G261">
        <v>128.65761689291</v>
      </c>
      <c r="I261" s="9">
        <f t="shared" si="26"/>
        <v>105.90418085990001</v>
      </c>
      <c r="J261" s="9">
        <f t="shared" si="27"/>
        <v>285.28939956275997</v>
      </c>
      <c r="K261" s="9">
        <f t="shared" si="31"/>
        <v>105.90418085990001</v>
      </c>
      <c r="L261" s="10">
        <f t="shared" si="30"/>
        <v>0.37121666988752755</v>
      </c>
      <c r="M261" s="10">
        <f t="shared" si="28"/>
        <v>0.41719003561532569</v>
      </c>
      <c r="P261" s="8">
        <f t="shared" si="29"/>
        <v>5.9020762751904563</v>
      </c>
    </row>
    <row r="262" spans="1:16" x14ac:dyDescent="0.2">
      <c r="A262" s="8">
        <v>130</v>
      </c>
      <c r="B262" s="8">
        <v>260</v>
      </c>
      <c r="D262">
        <v>458.98260211799999</v>
      </c>
      <c r="E262">
        <v>235.06051437215999</v>
      </c>
      <c r="F262">
        <v>164.57918552036</v>
      </c>
      <c r="G262">
        <v>128.73378582202</v>
      </c>
      <c r="I262" s="9">
        <f t="shared" si="26"/>
        <v>106.32672855013999</v>
      </c>
      <c r="J262" s="9">
        <f t="shared" si="27"/>
        <v>294.40341659763999</v>
      </c>
      <c r="K262" s="9">
        <f t="shared" si="31"/>
        <v>106.32672855013999</v>
      </c>
      <c r="L262" s="10">
        <f t="shared" si="30"/>
        <v>0.36115996811088752</v>
      </c>
      <c r="M262" s="10">
        <f t="shared" si="28"/>
        <v>0.40731083718126404</v>
      </c>
      <c r="P262" s="8">
        <f t="shared" si="29"/>
        <v>3.3942799790525875</v>
      </c>
    </row>
    <row r="263" spans="1:16" x14ac:dyDescent="0.2">
      <c r="A263" s="8">
        <v>130.5</v>
      </c>
      <c r="B263" s="8">
        <v>261</v>
      </c>
      <c r="D263">
        <v>440.50151285930002</v>
      </c>
      <c r="E263">
        <v>228.26399394856</v>
      </c>
      <c r="F263">
        <v>164.57616892911</v>
      </c>
      <c r="G263">
        <v>129.34464555053</v>
      </c>
      <c r="I263" s="9">
        <f t="shared" si="26"/>
        <v>98.919348398029996</v>
      </c>
      <c r="J263" s="9">
        <f t="shared" si="27"/>
        <v>275.92534393019002</v>
      </c>
      <c r="K263" s="9">
        <f t="shared" si="31"/>
        <v>98.919348398029996</v>
      </c>
      <c r="L263" s="10">
        <f t="shared" si="30"/>
        <v>0.35850040807797962</v>
      </c>
      <c r="M263" s="10">
        <f t="shared" si="28"/>
        <v>0.40482878049093446</v>
      </c>
      <c r="P263" s="8">
        <f t="shared" si="29"/>
        <v>2.764219492226871</v>
      </c>
    </row>
    <row r="264" spans="1:16" x14ac:dyDescent="0.2">
      <c r="A264" s="8">
        <v>131</v>
      </c>
      <c r="B264" s="8">
        <v>262</v>
      </c>
      <c r="D264">
        <v>454.37368421052997</v>
      </c>
      <c r="E264">
        <v>229.30375939850001</v>
      </c>
      <c r="F264">
        <v>164.41779788839</v>
      </c>
      <c r="G264">
        <v>128.71719457014001</v>
      </c>
      <c r="I264" s="9">
        <f t="shared" si="26"/>
        <v>100.58656482836</v>
      </c>
      <c r="J264" s="9">
        <f t="shared" si="27"/>
        <v>289.95588632213997</v>
      </c>
      <c r="K264" s="9">
        <f t="shared" si="31"/>
        <v>100.58656482836</v>
      </c>
      <c r="L264" s="10">
        <f t="shared" si="30"/>
        <v>0.34690299308705419</v>
      </c>
      <c r="M264" s="10">
        <f t="shared" si="28"/>
        <v>0.39340886884258741</v>
      </c>
      <c r="P264" s="8">
        <f t="shared" si="29"/>
        <v>-0.13468089175621509</v>
      </c>
    </row>
    <row r="265" spans="1:16" x14ac:dyDescent="0.2">
      <c r="A265" s="8">
        <v>131.5</v>
      </c>
      <c r="B265" s="8">
        <v>263</v>
      </c>
      <c r="D265">
        <v>451.83233082707</v>
      </c>
      <c r="E265">
        <v>227.86917293233</v>
      </c>
      <c r="F265">
        <v>164.47737556561</v>
      </c>
      <c r="G265">
        <v>129.45701357466001</v>
      </c>
      <c r="I265" s="9">
        <f t="shared" si="26"/>
        <v>98.412159357669992</v>
      </c>
      <c r="J265" s="9">
        <f t="shared" si="27"/>
        <v>287.35495526145996</v>
      </c>
      <c r="K265" s="9">
        <f t="shared" si="31"/>
        <v>98.412159357669992</v>
      </c>
      <c r="L265" s="10">
        <f t="shared" si="30"/>
        <v>0.3424759432741511</v>
      </c>
      <c r="M265" s="10">
        <f t="shared" si="28"/>
        <v>0.38915932237226269</v>
      </c>
      <c r="P265" s="8">
        <f t="shared" si="29"/>
        <v>-1.2134118201484132</v>
      </c>
    </row>
    <row r="266" spans="1:16" x14ac:dyDescent="0.2">
      <c r="A266" s="8">
        <v>132</v>
      </c>
      <c r="B266" s="8">
        <v>264</v>
      </c>
      <c r="D266">
        <v>452.62330827068001</v>
      </c>
      <c r="E266">
        <v>229.35563909774001</v>
      </c>
      <c r="F266">
        <v>164.83936651584</v>
      </c>
      <c r="G266">
        <v>128.40422322775001</v>
      </c>
      <c r="I266" s="9">
        <f t="shared" si="26"/>
        <v>100.95141586999</v>
      </c>
      <c r="J266" s="9">
        <f t="shared" si="27"/>
        <v>287.78394175484004</v>
      </c>
      <c r="K266" s="9">
        <f t="shared" si="31"/>
        <v>100.95141586999</v>
      </c>
      <c r="L266" s="10">
        <f t="shared" si="30"/>
        <v>0.35078891217630687</v>
      </c>
      <c r="M266" s="10">
        <f t="shared" si="28"/>
        <v>0.39764979461699684</v>
      </c>
      <c r="P266" s="8">
        <f t="shared" si="29"/>
        <v>0.94186170633461541</v>
      </c>
    </row>
    <row r="267" spans="1:16" x14ac:dyDescent="0.2">
      <c r="A267" s="8">
        <v>132.5</v>
      </c>
      <c r="B267" s="8">
        <v>265</v>
      </c>
      <c r="D267">
        <v>454.08947368421002</v>
      </c>
      <c r="E267">
        <v>230.12631578947</v>
      </c>
      <c r="F267">
        <v>164.66365007542001</v>
      </c>
      <c r="G267">
        <v>128.89291101056</v>
      </c>
      <c r="I267" s="9">
        <f t="shared" si="26"/>
        <v>101.23340477891</v>
      </c>
      <c r="J267" s="9">
        <f t="shared" si="27"/>
        <v>289.42582360878998</v>
      </c>
      <c r="K267" s="9">
        <f t="shared" si="31"/>
        <v>101.23340477891</v>
      </c>
      <c r="L267" s="10">
        <f t="shared" si="30"/>
        <v>0.3497732286519975</v>
      </c>
      <c r="M267" s="10">
        <f t="shared" si="28"/>
        <v>0.39681161443526586</v>
      </c>
      <c r="P267" s="8">
        <f t="shared" si="29"/>
        <v>0.72909291043778701</v>
      </c>
    </row>
    <row r="268" spans="1:16" x14ac:dyDescent="0.2">
      <c r="A268" s="8">
        <v>133</v>
      </c>
      <c r="B268" s="8">
        <v>266</v>
      </c>
      <c r="D268">
        <v>456.70451127820002</v>
      </c>
      <c r="E268">
        <v>232.38270676691999</v>
      </c>
      <c r="F268">
        <v>165.08220211161</v>
      </c>
      <c r="G268">
        <v>128.40196078431001</v>
      </c>
      <c r="I268" s="9">
        <f t="shared" si="26"/>
        <v>103.98074598260999</v>
      </c>
      <c r="J268" s="9">
        <f t="shared" si="27"/>
        <v>291.62230916659001</v>
      </c>
      <c r="K268" s="9">
        <f t="shared" si="31"/>
        <v>103.98074598260999</v>
      </c>
      <c r="L268" s="10">
        <f t="shared" si="30"/>
        <v>0.35655964140662061</v>
      </c>
      <c r="M268" s="10">
        <f t="shared" si="28"/>
        <v>0.40377553053246734</v>
      </c>
      <c r="P268" s="8">
        <f t="shared" si="29"/>
        <v>2.4968560656917425</v>
      </c>
    </row>
    <row r="269" spans="1:16" x14ac:dyDescent="0.2">
      <c r="A269" s="8">
        <v>133.5</v>
      </c>
      <c r="B269" s="8">
        <v>267</v>
      </c>
      <c r="D269">
        <v>447.80361173814998</v>
      </c>
      <c r="E269">
        <v>233.18209179835</v>
      </c>
      <c r="F269">
        <v>164.98717948717999</v>
      </c>
      <c r="G269">
        <v>128.45324283560001</v>
      </c>
      <c r="I269" s="9">
        <f t="shared" si="26"/>
        <v>104.72884896274999</v>
      </c>
      <c r="J269" s="9">
        <f t="shared" si="27"/>
        <v>282.81643225097002</v>
      </c>
      <c r="K269" s="9">
        <f t="shared" si="31"/>
        <v>104.72884896274999</v>
      </c>
      <c r="L269" s="10">
        <f t="shared" si="30"/>
        <v>0.37030680335368238</v>
      </c>
      <c r="M269" s="10">
        <f t="shared" si="28"/>
        <v>0.41770019582210749</v>
      </c>
      <c r="P269" s="8">
        <f t="shared" si="29"/>
        <v>6.0315784696795616</v>
      </c>
    </row>
    <row r="270" spans="1:16" x14ac:dyDescent="0.2">
      <c r="A270" s="8">
        <v>134</v>
      </c>
      <c r="B270" s="8">
        <v>268</v>
      </c>
      <c r="D270">
        <v>457.93754702784003</v>
      </c>
      <c r="E270">
        <v>240.06696764485</v>
      </c>
      <c r="F270">
        <v>164.68476621418</v>
      </c>
      <c r="G270">
        <v>128.07466063347999</v>
      </c>
      <c r="I270" s="9">
        <f t="shared" si="26"/>
        <v>111.99230701137</v>
      </c>
      <c r="J270" s="9">
        <f t="shared" si="27"/>
        <v>293.25278081366002</v>
      </c>
      <c r="K270" s="9">
        <f t="shared" si="31"/>
        <v>111.99230701137</v>
      </c>
      <c r="L270" s="10">
        <f t="shared" si="30"/>
        <v>0.38189682873811398</v>
      </c>
      <c r="M270" s="10">
        <f t="shared" si="28"/>
        <v>0.42946772454911741</v>
      </c>
      <c r="P270" s="8">
        <f t="shared" si="29"/>
        <v>9.0187201040194971</v>
      </c>
    </row>
    <row r="271" spans="1:16" x14ac:dyDescent="0.2">
      <c r="A271" s="8">
        <v>134.5</v>
      </c>
      <c r="B271" s="8">
        <v>269</v>
      </c>
      <c r="D271">
        <v>441.49285176824998</v>
      </c>
      <c r="E271">
        <v>238.47855530474001</v>
      </c>
      <c r="F271">
        <v>165.67647058823999</v>
      </c>
      <c r="G271">
        <v>128.69683257918999</v>
      </c>
      <c r="I271" s="9">
        <f t="shared" si="26"/>
        <v>109.78172272555003</v>
      </c>
      <c r="J271" s="9">
        <f t="shared" si="27"/>
        <v>275.81638118001001</v>
      </c>
      <c r="K271" s="9">
        <f t="shared" si="31"/>
        <v>109.78172272555003</v>
      </c>
      <c r="L271" s="10">
        <f t="shared" si="30"/>
        <v>0.39802466501763578</v>
      </c>
      <c r="M271" s="10">
        <f t="shared" si="28"/>
        <v>0.44577306417121759</v>
      </c>
      <c r="P271" s="8">
        <f t="shared" si="29"/>
        <v>13.157767475574467</v>
      </c>
    </row>
    <row r="272" spans="1:16" x14ac:dyDescent="0.2">
      <c r="A272" s="8">
        <v>135</v>
      </c>
      <c r="B272" s="8">
        <v>270</v>
      </c>
      <c r="D272">
        <v>456.55447032307001</v>
      </c>
      <c r="E272">
        <v>240.67242674681</v>
      </c>
      <c r="F272">
        <v>165.02941176471001</v>
      </c>
      <c r="G272">
        <v>128.05731523379001</v>
      </c>
      <c r="I272" s="9">
        <f t="shared" si="26"/>
        <v>112.61511151302</v>
      </c>
      <c r="J272" s="9">
        <f t="shared" si="27"/>
        <v>291.52505855836</v>
      </c>
      <c r="K272" s="9">
        <f t="shared" si="31"/>
        <v>112.61511151302</v>
      </c>
      <c r="L272" s="10">
        <f t="shared" si="30"/>
        <v>0.38629650593304221</v>
      </c>
      <c r="M272" s="10">
        <f t="shared" si="28"/>
        <v>0.4342224084292024</v>
      </c>
      <c r="P272" s="8">
        <f t="shared" si="29"/>
        <v>10.225678209311983</v>
      </c>
    </row>
    <row r="273" spans="1:16" x14ac:dyDescent="0.2">
      <c r="A273" s="8">
        <v>135.5</v>
      </c>
      <c r="B273" s="8">
        <v>271</v>
      </c>
      <c r="D273">
        <v>456.61457550713999</v>
      </c>
      <c r="E273">
        <v>240.58602554469999</v>
      </c>
      <c r="F273">
        <v>164.71266968326</v>
      </c>
      <c r="G273">
        <v>128.75263951734999</v>
      </c>
      <c r="I273" s="9">
        <f t="shared" si="26"/>
        <v>111.83338602735</v>
      </c>
      <c r="J273" s="9">
        <f t="shared" si="27"/>
        <v>291.90190582387999</v>
      </c>
      <c r="K273" s="9">
        <f t="shared" si="31"/>
        <v>111.83338602735</v>
      </c>
      <c r="L273" s="10">
        <f t="shared" si="30"/>
        <v>0.38311975288994876</v>
      </c>
      <c r="M273" s="10">
        <f t="shared" si="28"/>
        <v>0.43122315872868733</v>
      </c>
      <c r="P273" s="8">
        <f t="shared" si="29"/>
        <v>9.4643302780657059</v>
      </c>
    </row>
    <row r="274" spans="1:16" x14ac:dyDescent="0.2">
      <c r="A274" s="8">
        <v>136</v>
      </c>
      <c r="B274" s="8">
        <v>272</v>
      </c>
      <c r="D274">
        <v>460.42599549211002</v>
      </c>
      <c r="E274">
        <v>242.69421487603</v>
      </c>
      <c r="F274">
        <v>164.55806938160001</v>
      </c>
      <c r="G274">
        <v>128.44796380091</v>
      </c>
      <c r="I274" s="9">
        <f t="shared" si="26"/>
        <v>114.24625107512</v>
      </c>
      <c r="J274" s="9">
        <f t="shared" si="27"/>
        <v>295.86792611050998</v>
      </c>
      <c r="K274" s="9">
        <f t="shared" si="31"/>
        <v>114.24625107512</v>
      </c>
      <c r="L274" s="10">
        <f t="shared" si="30"/>
        <v>0.38613935811497102</v>
      </c>
      <c r="M274" s="10">
        <f t="shared" si="28"/>
        <v>0.43442026729628797</v>
      </c>
      <c r="P274" s="8">
        <f t="shared" si="29"/>
        <v>10.275903917130995</v>
      </c>
    </row>
    <row r="275" spans="1:16" x14ac:dyDescent="0.2">
      <c r="A275" s="8">
        <v>136.5</v>
      </c>
      <c r="B275" s="8">
        <v>273</v>
      </c>
      <c r="D275">
        <v>454.92486851990998</v>
      </c>
      <c r="E275">
        <v>240.93012772352</v>
      </c>
      <c r="F275">
        <v>164.26093514329</v>
      </c>
      <c r="G275">
        <v>128.89291101056</v>
      </c>
      <c r="I275" s="9">
        <f>E275-G275</f>
        <v>112.03721671296</v>
      </c>
      <c r="J275" s="9">
        <f>D275-F275</f>
        <v>290.66393337661998</v>
      </c>
      <c r="K275" s="9">
        <f t="shared" si="31"/>
        <v>112.03721671296</v>
      </c>
      <c r="L275" s="10">
        <f t="shared" si="30"/>
        <v>0.38545276468061412</v>
      </c>
      <c r="M275" s="10">
        <f>L275+ABS($N$2)*A275</f>
        <v>0.43391117720450945</v>
      </c>
      <c r="O275" s="11"/>
      <c r="P275" s="8">
        <f>(M275-$O$2)/$O$2*100</f>
        <v>10.146673367194794</v>
      </c>
    </row>
    <row r="276" spans="1:16" x14ac:dyDescent="0.2">
      <c r="A276" s="8">
        <v>137</v>
      </c>
      <c r="B276" s="8">
        <v>274</v>
      </c>
      <c r="D276">
        <v>454.31029301276999</v>
      </c>
      <c r="E276">
        <v>237.78061607814001</v>
      </c>
      <c r="F276">
        <v>164.37631975867001</v>
      </c>
      <c r="G276">
        <v>128.65309200602999</v>
      </c>
      <c r="I276" s="9">
        <f t="shared" ref="I276:I291" si="32">E276-G276</f>
        <v>109.12752407211002</v>
      </c>
      <c r="J276" s="9">
        <f t="shared" ref="J276:J291" si="33">D276-F276</f>
        <v>289.93397325410001</v>
      </c>
      <c r="K276" s="9">
        <f t="shared" si="31"/>
        <v>109.12752407211002</v>
      </c>
      <c r="L276" s="10">
        <f t="shared" si="30"/>
        <v>0.37638750246239666</v>
      </c>
      <c r="M276" s="10">
        <f t="shared" ref="M276:M291" si="34">L276+ABS($N$2)*A276</f>
        <v>0.42502341832887036</v>
      </c>
      <c r="P276" s="8">
        <f t="shared" ref="P276:P291" si="35">(M276-$O$2)/$O$2*100</f>
        <v>7.8905501667085183</v>
      </c>
    </row>
    <row r="277" spans="1:16" x14ac:dyDescent="0.2">
      <c r="A277" s="8">
        <v>137.5</v>
      </c>
      <c r="B277" s="8">
        <v>275</v>
      </c>
      <c r="D277">
        <v>461.36438767843998</v>
      </c>
      <c r="E277">
        <v>236.15101427498001</v>
      </c>
      <c r="F277">
        <v>164.51357466063001</v>
      </c>
      <c r="G277">
        <v>128.43137254902001</v>
      </c>
      <c r="I277" s="9">
        <f t="shared" si="32"/>
        <v>107.71964172596</v>
      </c>
      <c r="J277" s="9">
        <f t="shared" si="33"/>
        <v>296.85081301780997</v>
      </c>
      <c r="K277" s="9">
        <f t="shared" si="31"/>
        <v>107.71964172596</v>
      </c>
      <c r="L277" s="10">
        <f t="shared" si="30"/>
        <v>0.36287467307525012</v>
      </c>
      <c r="M277" s="10">
        <f t="shared" si="34"/>
        <v>0.4116880922843022</v>
      </c>
      <c r="N277" s="1"/>
      <c r="P277" s="8">
        <f t="shared" si="35"/>
        <v>4.5054292497061752</v>
      </c>
    </row>
    <row r="278" spans="1:16" x14ac:dyDescent="0.2">
      <c r="A278" s="8">
        <v>138</v>
      </c>
      <c r="B278" s="8">
        <v>276</v>
      </c>
      <c r="D278">
        <v>464.30503380917003</v>
      </c>
      <c r="E278">
        <v>236.93463561231999</v>
      </c>
      <c r="F278">
        <v>164.79110105581</v>
      </c>
      <c r="G278">
        <v>128.34615384615</v>
      </c>
      <c r="I278" s="9">
        <f t="shared" si="32"/>
        <v>108.58848176616999</v>
      </c>
      <c r="J278" s="9">
        <f t="shared" si="33"/>
        <v>299.51393275336</v>
      </c>
      <c r="K278" s="9">
        <f t="shared" si="31"/>
        <v>108.58848176616999</v>
      </c>
      <c r="L278" s="10">
        <f t="shared" si="30"/>
        <v>0.36254901656140681</v>
      </c>
      <c r="M278" s="10">
        <f t="shared" si="34"/>
        <v>0.41153993911303727</v>
      </c>
      <c r="P278" s="8">
        <f t="shared" si="35"/>
        <v>4.4678211404411288</v>
      </c>
    </row>
    <row r="279" spans="1:16" x14ac:dyDescent="0.2">
      <c r="A279" s="8">
        <v>138.5</v>
      </c>
      <c r="B279" s="8">
        <v>277</v>
      </c>
      <c r="D279">
        <v>463.03981968444998</v>
      </c>
      <c r="E279">
        <v>235.99173553719001</v>
      </c>
      <c r="F279">
        <v>164.25490196077999</v>
      </c>
      <c r="G279">
        <v>128.46530920059999</v>
      </c>
      <c r="I279" s="9">
        <f t="shared" si="32"/>
        <v>107.52642633659002</v>
      </c>
      <c r="J279" s="9">
        <f t="shared" si="33"/>
        <v>298.78491772366999</v>
      </c>
      <c r="K279" s="9">
        <f t="shared" si="31"/>
        <v>107.52642633659002</v>
      </c>
      <c r="L279" s="10">
        <f t="shared" si="30"/>
        <v>0.35987902989144649</v>
      </c>
      <c r="M279" s="10">
        <f t="shared" si="34"/>
        <v>0.40904745578565527</v>
      </c>
      <c r="P279" s="8">
        <f t="shared" si="35"/>
        <v>3.8351138921442511</v>
      </c>
    </row>
    <row r="280" spans="1:16" x14ac:dyDescent="0.2">
      <c r="A280" s="8">
        <v>139</v>
      </c>
      <c r="B280" s="8">
        <v>278</v>
      </c>
      <c r="D280">
        <v>456.59053343351002</v>
      </c>
      <c r="E280">
        <v>231.29376408715001</v>
      </c>
      <c r="F280">
        <v>164.33182503770999</v>
      </c>
      <c r="G280">
        <v>128.27828054298999</v>
      </c>
      <c r="I280" s="9">
        <f t="shared" si="32"/>
        <v>103.01548354416002</v>
      </c>
      <c r="J280" s="9">
        <f t="shared" si="33"/>
        <v>292.2587083958</v>
      </c>
      <c r="K280" s="9">
        <f t="shared" si="31"/>
        <v>103.01548354416002</v>
      </c>
      <c r="L280" s="10">
        <f t="shared" si="30"/>
        <v>0.35248045852802529</v>
      </c>
      <c r="M280" s="10">
        <f t="shared" si="34"/>
        <v>0.40182638776481244</v>
      </c>
      <c r="P280" s="8">
        <f t="shared" si="35"/>
        <v>2.0020737160918225</v>
      </c>
    </row>
    <row r="281" spans="1:16" x14ac:dyDescent="0.2">
      <c r="A281" s="8">
        <v>139.5</v>
      </c>
      <c r="B281" s="8">
        <v>279</v>
      </c>
      <c r="D281">
        <v>450.01352366641999</v>
      </c>
      <c r="E281">
        <v>231.64537941397001</v>
      </c>
      <c r="F281">
        <v>164.07239819005</v>
      </c>
      <c r="G281">
        <v>128.21719457014001</v>
      </c>
      <c r="I281" s="9">
        <f t="shared" si="32"/>
        <v>103.42818484383</v>
      </c>
      <c r="J281" s="9">
        <f t="shared" si="33"/>
        <v>285.94112547636996</v>
      </c>
      <c r="K281" s="9">
        <f t="shared" si="31"/>
        <v>103.42818484383</v>
      </c>
      <c r="L281" s="10">
        <f t="shared" si="30"/>
        <v>0.36171147005007243</v>
      </c>
      <c r="M281" s="10">
        <f t="shared" si="34"/>
        <v>0.41123490262943796</v>
      </c>
      <c r="P281" s="8">
        <f t="shared" si="35"/>
        <v>4.3903888093807675</v>
      </c>
    </row>
    <row r="282" spans="1:16" x14ac:dyDescent="0.2">
      <c r="A282" s="8">
        <v>140</v>
      </c>
      <c r="B282" s="8">
        <v>280</v>
      </c>
      <c r="D282">
        <v>449.76634109691997</v>
      </c>
      <c r="E282">
        <v>233.74154770849</v>
      </c>
      <c r="F282">
        <v>164.12518853694999</v>
      </c>
      <c r="G282">
        <v>128.3371040724</v>
      </c>
      <c r="I282" s="9">
        <f t="shared" si="32"/>
        <v>105.40444363609001</v>
      </c>
      <c r="J282" s="9">
        <f t="shared" si="33"/>
        <v>285.64115255997001</v>
      </c>
      <c r="K282" s="9">
        <f t="shared" si="31"/>
        <v>105.40444363609001</v>
      </c>
      <c r="L282" s="10">
        <f t="shared" si="30"/>
        <v>0.36901000675650358</v>
      </c>
      <c r="M282" s="10">
        <f t="shared" si="34"/>
        <v>0.4187109426784475</v>
      </c>
      <c r="P282" s="8">
        <f t="shared" si="35"/>
        <v>6.2881526482002723</v>
      </c>
    </row>
    <row r="283" spans="1:16" x14ac:dyDescent="0.2">
      <c r="A283" s="8">
        <v>140.5</v>
      </c>
      <c r="B283" s="8">
        <v>281</v>
      </c>
      <c r="D283">
        <v>451.75356874530002</v>
      </c>
      <c r="E283">
        <v>232.92036063110001</v>
      </c>
      <c r="F283">
        <v>164.14630467571999</v>
      </c>
      <c r="G283">
        <v>128.32503770739001</v>
      </c>
      <c r="I283" s="9">
        <f t="shared" si="32"/>
        <v>104.59532292371</v>
      </c>
      <c r="J283" s="9">
        <f t="shared" si="33"/>
        <v>287.60726406958003</v>
      </c>
      <c r="K283" s="9">
        <f t="shared" si="31"/>
        <v>104.59532292371</v>
      </c>
      <c r="L283" s="10">
        <f t="shared" si="30"/>
        <v>0.36367413480351296</v>
      </c>
      <c r="M283" s="10">
        <f t="shared" si="34"/>
        <v>0.41355257406803525</v>
      </c>
      <c r="P283" s="8">
        <f t="shared" si="35"/>
        <v>4.9787207361228454</v>
      </c>
    </row>
    <row r="284" spans="1:16" x14ac:dyDescent="0.2">
      <c r="A284" s="8">
        <v>141</v>
      </c>
      <c r="B284" s="8">
        <v>282</v>
      </c>
      <c r="D284">
        <v>450.45304282493998</v>
      </c>
      <c r="E284">
        <v>235.21111945905</v>
      </c>
      <c r="F284">
        <v>164.18853695324</v>
      </c>
      <c r="G284">
        <v>128.19984917043999</v>
      </c>
      <c r="I284" s="9">
        <f t="shared" si="32"/>
        <v>107.01127028861001</v>
      </c>
      <c r="J284" s="9">
        <f t="shared" si="33"/>
        <v>286.26450587169995</v>
      </c>
      <c r="K284" s="9">
        <f t="shared" si="31"/>
        <v>107.01127028861001</v>
      </c>
      <c r="L284" s="10">
        <f t="shared" si="30"/>
        <v>0.3738195553191323</v>
      </c>
      <c r="M284" s="10">
        <f t="shared" si="34"/>
        <v>0.42387549792623297</v>
      </c>
      <c r="P284" s="8">
        <f t="shared" si="35"/>
        <v>7.599155014236457</v>
      </c>
    </row>
    <row r="285" spans="1:16" x14ac:dyDescent="0.2">
      <c r="A285" s="8">
        <v>141.5</v>
      </c>
      <c r="B285" s="8">
        <v>283</v>
      </c>
      <c r="D285">
        <v>458.83471074379997</v>
      </c>
      <c r="E285">
        <v>234.01427498122001</v>
      </c>
      <c r="F285">
        <v>164.84690799397001</v>
      </c>
      <c r="G285">
        <v>128.36425339367</v>
      </c>
      <c r="I285" s="9">
        <f t="shared" si="32"/>
        <v>105.65002158755001</v>
      </c>
      <c r="J285" s="9">
        <f t="shared" si="33"/>
        <v>293.98780274982994</v>
      </c>
      <c r="K285" s="9">
        <f t="shared" si="31"/>
        <v>105.65002158755001</v>
      </c>
      <c r="L285" s="10">
        <f t="shared" si="30"/>
        <v>0.35936872414211452</v>
      </c>
      <c r="M285" s="10">
        <f t="shared" si="34"/>
        <v>0.40960217009179356</v>
      </c>
      <c r="P285" s="8">
        <f t="shared" si="35"/>
        <v>3.9759259723583713</v>
      </c>
    </row>
    <row r="286" spans="1:16" x14ac:dyDescent="0.2">
      <c r="A286" s="8">
        <v>142</v>
      </c>
      <c r="B286" s="8">
        <v>284</v>
      </c>
      <c r="D286">
        <v>458.11795642374</v>
      </c>
      <c r="E286">
        <v>232.60330578512</v>
      </c>
      <c r="F286">
        <v>164.15912518854</v>
      </c>
      <c r="G286">
        <v>128.13499245852</v>
      </c>
      <c r="I286" s="9">
        <f t="shared" si="32"/>
        <v>104.4683133266</v>
      </c>
      <c r="J286" s="9">
        <f t="shared" si="33"/>
        <v>293.95883123520002</v>
      </c>
      <c r="K286" s="9">
        <f t="shared" si="31"/>
        <v>104.4683133266</v>
      </c>
      <c r="L286" s="10">
        <f t="shared" si="30"/>
        <v>0.35538416344775037</v>
      </c>
      <c r="M286" s="10">
        <f t="shared" si="34"/>
        <v>0.40579511274000779</v>
      </c>
      <c r="P286" s="8">
        <f t="shared" si="35"/>
        <v>3.0095191945498212</v>
      </c>
    </row>
    <row r="287" spans="1:16" x14ac:dyDescent="0.2">
      <c r="A287" s="8">
        <v>142.5</v>
      </c>
      <c r="B287" s="8">
        <v>285</v>
      </c>
      <c r="D287">
        <v>453.17355371900999</v>
      </c>
      <c r="E287">
        <v>229.92937640872</v>
      </c>
      <c r="F287">
        <v>164.24358974359001</v>
      </c>
      <c r="G287">
        <v>127.94796380091</v>
      </c>
      <c r="I287" s="9">
        <f t="shared" si="32"/>
        <v>101.98141260781</v>
      </c>
      <c r="J287" s="9">
        <f t="shared" si="33"/>
        <v>288.92996397541998</v>
      </c>
      <c r="K287" s="9">
        <f t="shared" si="31"/>
        <v>101.98141260781</v>
      </c>
      <c r="L287" s="10">
        <f t="shared" si="30"/>
        <v>0.35296239685436648</v>
      </c>
      <c r="M287" s="10">
        <f t="shared" si="34"/>
        <v>0.40355084948920228</v>
      </c>
      <c r="P287" s="8">
        <f t="shared" si="35"/>
        <v>2.4398216522346918</v>
      </c>
    </row>
    <row r="288" spans="1:16" x14ac:dyDescent="0.2">
      <c r="A288" s="8">
        <v>143</v>
      </c>
      <c r="B288" s="8">
        <v>286</v>
      </c>
      <c r="D288">
        <v>448.62058602554998</v>
      </c>
      <c r="E288">
        <v>229.62960180316</v>
      </c>
      <c r="F288">
        <v>163.58672699849001</v>
      </c>
      <c r="G288">
        <v>128.09125188537001</v>
      </c>
      <c r="I288" s="9">
        <f t="shared" si="32"/>
        <v>101.53834991778999</v>
      </c>
      <c r="J288" s="9">
        <f t="shared" si="33"/>
        <v>285.03385902705998</v>
      </c>
      <c r="K288" s="9">
        <f t="shared" si="31"/>
        <v>101.53834991778999</v>
      </c>
      <c r="L288" s="10">
        <f t="shared" si="30"/>
        <v>0.35623259027675847</v>
      </c>
      <c r="M288" s="10">
        <f t="shared" si="34"/>
        <v>0.40699854625417259</v>
      </c>
      <c r="P288" s="8">
        <f t="shared" si="35"/>
        <v>3.3150061355819265</v>
      </c>
    </row>
    <row r="289" spans="1:16" x14ac:dyDescent="0.2">
      <c r="A289" s="8">
        <v>143.5</v>
      </c>
      <c r="B289" s="8">
        <v>287</v>
      </c>
      <c r="D289">
        <v>453.30954169797002</v>
      </c>
      <c r="E289">
        <v>229.30578512397</v>
      </c>
      <c r="F289">
        <v>163.76772247361001</v>
      </c>
      <c r="G289">
        <v>127.91251885370001</v>
      </c>
      <c r="I289" s="9">
        <f t="shared" si="32"/>
        <v>101.39326627026999</v>
      </c>
      <c r="J289" s="9">
        <f t="shared" si="33"/>
        <v>289.54181922435998</v>
      </c>
      <c r="K289" s="9">
        <f t="shared" si="31"/>
        <v>101.39326627026999</v>
      </c>
      <c r="L289" s="10">
        <f t="shared" si="30"/>
        <v>0.35018522209291791</v>
      </c>
      <c r="M289" s="10">
        <f t="shared" si="34"/>
        <v>0.40112868141291042</v>
      </c>
      <c r="P289" s="8">
        <f t="shared" si="35"/>
        <v>1.8249636583507911</v>
      </c>
    </row>
    <row r="290" spans="1:16" x14ac:dyDescent="0.2">
      <c r="A290" s="8">
        <v>144</v>
      </c>
      <c r="B290" s="8">
        <v>288</v>
      </c>
      <c r="D290">
        <v>461.4162283997</v>
      </c>
      <c r="E290">
        <v>229.30052592036</v>
      </c>
      <c r="F290">
        <v>164.21794871795001</v>
      </c>
      <c r="G290">
        <v>128.23076923076999</v>
      </c>
      <c r="I290" s="9">
        <f t="shared" si="32"/>
        <v>101.06975668959001</v>
      </c>
      <c r="J290" s="9">
        <f t="shared" si="33"/>
        <v>297.19827968175002</v>
      </c>
      <c r="K290" s="9">
        <f t="shared" si="31"/>
        <v>101.06975668959001</v>
      </c>
      <c r="L290" s="10">
        <f t="shared" si="30"/>
        <v>0.34007517404817728</v>
      </c>
      <c r="M290" s="10">
        <f t="shared" si="34"/>
        <v>0.39119613671074815</v>
      </c>
      <c r="P290" s="8">
        <f t="shared" si="35"/>
        <v>-0.69637438152756426</v>
      </c>
    </row>
    <row r="291" spans="1:16" x14ac:dyDescent="0.2">
      <c r="A291" s="8">
        <v>144.5</v>
      </c>
      <c r="B291" s="8">
        <v>289</v>
      </c>
      <c r="D291">
        <v>450.78587528174</v>
      </c>
      <c r="E291">
        <v>227.55897821187</v>
      </c>
      <c r="F291">
        <v>163.39592760181</v>
      </c>
      <c r="G291">
        <v>128.28506787329999</v>
      </c>
      <c r="I291" s="9">
        <f t="shared" si="32"/>
        <v>99.273910338570005</v>
      </c>
      <c r="J291" s="9">
        <f t="shared" si="33"/>
        <v>287.38994767993</v>
      </c>
      <c r="K291" s="9">
        <f t="shared" si="31"/>
        <v>99.273910338570005</v>
      </c>
      <c r="L291" s="10">
        <f t="shared" si="30"/>
        <v>0.34543278614996192</v>
      </c>
      <c r="M291" s="10">
        <f t="shared" si="34"/>
        <v>0.39673125215511118</v>
      </c>
      <c r="P291" s="8">
        <f t="shared" si="35"/>
        <v>0.70869325657252513</v>
      </c>
    </row>
    <row r="292" spans="1:16" x14ac:dyDescent="0.2">
      <c r="A292" s="8">
        <v>145</v>
      </c>
      <c r="B292" s="8">
        <v>290</v>
      </c>
      <c r="D292">
        <v>448.40345604807999</v>
      </c>
      <c r="E292">
        <v>225.77911344853999</v>
      </c>
      <c r="F292">
        <v>163.92533936652001</v>
      </c>
      <c r="G292">
        <v>128.06184012066001</v>
      </c>
      <c r="I292" s="9">
        <f>E292-G292</f>
        <v>97.71727332787998</v>
      </c>
      <c r="J292" s="9">
        <f>D292-F292</f>
        <v>284.47811668155998</v>
      </c>
      <c r="K292" s="9">
        <f t="shared" si="31"/>
        <v>97.71727332787998</v>
      </c>
      <c r="L292" s="10">
        <f t="shared" si="30"/>
        <v>0.34349662627042438</v>
      </c>
      <c r="M292" s="10">
        <f>L292+ABS($N$2)*A292</f>
        <v>0.39497259561815201</v>
      </c>
      <c r="O292" s="11"/>
      <c r="P292" s="8">
        <f>(M292-$O$2)/$O$2*100</f>
        <v>0.26226509957157113</v>
      </c>
    </row>
    <row r="293" spans="1:16" x14ac:dyDescent="0.2">
      <c r="A293" s="8">
        <v>145.5</v>
      </c>
      <c r="B293" s="8">
        <v>291</v>
      </c>
      <c r="D293">
        <v>449.82870022538998</v>
      </c>
      <c r="E293">
        <v>224.92637114951</v>
      </c>
      <c r="F293">
        <v>163.78808446456</v>
      </c>
      <c r="G293">
        <v>128.41704374056999</v>
      </c>
      <c r="I293" s="9">
        <f t="shared" ref="I293:I301" si="36">E293-G293</f>
        <v>96.50932740894001</v>
      </c>
      <c r="J293" s="9">
        <f t="shared" ref="J293:J301" si="37">D293-F293</f>
        <v>286.04061576082995</v>
      </c>
      <c r="K293" s="9">
        <f t="shared" si="31"/>
        <v>96.50932740894001</v>
      </c>
      <c r="L293" s="10">
        <f t="shared" si="30"/>
        <v>0.33739728587927292</v>
      </c>
      <c r="M293" s="10">
        <f t="shared" ref="M293:M301" si="38">L293+ABS($N$2)*A293</f>
        <v>0.38905075856957894</v>
      </c>
      <c r="P293" s="8">
        <f t="shared" ref="P293:P301" si="39">(M293-$O$2)/$O$2*100</f>
        <v>-1.240970321385344</v>
      </c>
    </row>
    <row r="294" spans="1:16" x14ac:dyDescent="0.2">
      <c r="A294" s="8">
        <v>146</v>
      </c>
      <c r="B294" s="8">
        <v>292</v>
      </c>
      <c r="D294">
        <v>448.53268219384</v>
      </c>
      <c r="E294">
        <v>224.37640871524999</v>
      </c>
      <c r="F294">
        <v>163.36425339367</v>
      </c>
      <c r="G294">
        <v>127.92006033183</v>
      </c>
      <c r="I294" s="9">
        <f t="shared" si="36"/>
        <v>96.456348383419993</v>
      </c>
      <c r="J294" s="9">
        <f t="shared" si="37"/>
        <v>285.16842880016998</v>
      </c>
      <c r="K294" s="9">
        <f t="shared" si="31"/>
        <v>96.456348383419993</v>
      </c>
      <c r="L294" s="10">
        <f t="shared" si="30"/>
        <v>0.3382434331502075</v>
      </c>
      <c r="M294" s="10">
        <f t="shared" si="38"/>
        <v>0.39007440918309189</v>
      </c>
      <c r="N294" s="1"/>
      <c r="P294" s="8">
        <f t="shared" si="39"/>
        <v>-0.98112057403578978</v>
      </c>
    </row>
    <row r="295" spans="1:16" x14ac:dyDescent="0.2">
      <c r="A295" s="8">
        <v>146.5</v>
      </c>
      <c r="B295" s="8">
        <v>293</v>
      </c>
      <c r="D295">
        <v>444.36589030803998</v>
      </c>
      <c r="E295">
        <v>223.54620586025999</v>
      </c>
      <c r="F295">
        <v>163.66214177979001</v>
      </c>
      <c r="G295">
        <v>128.37104072398</v>
      </c>
      <c r="I295" s="9">
        <f t="shared" si="36"/>
        <v>95.175165136279986</v>
      </c>
      <c r="J295" s="9">
        <f t="shared" si="37"/>
        <v>280.70374852825</v>
      </c>
      <c r="K295" s="9">
        <f t="shared" si="31"/>
        <v>95.175165136279986</v>
      </c>
      <c r="L295" s="10">
        <f t="shared" si="30"/>
        <v>0.33905911707731101</v>
      </c>
      <c r="M295" s="10">
        <f t="shared" si="38"/>
        <v>0.39106759645277378</v>
      </c>
      <c r="P295" s="8">
        <f t="shared" si="39"/>
        <v>-0.72900382864357016</v>
      </c>
    </row>
    <row r="296" spans="1:16" x14ac:dyDescent="0.2">
      <c r="A296" s="8">
        <v>147</v>
      </c>
      <c r="B296" s="8">
        <v>294</v>
      </c>
      <c r="D296">
        <v>441.45304282493998</v>
      </c>
      <c r="E296">
        <v>221.52592036063001</v>
      </c>
      <c r="F296">
        <v>162.99019607842999</v>
      </c>
      <c r="G296">
        <v>128.18099547511</v>
      </c>
      <c r="I296" s="9">
        <f t="shared" si="36"/>
        <v>93.344924885520015</v>
      </c>
      <c r="J296" s="9">
        <f t="shared" si="37"/>
        <v>278.46284674650997</v>
      </c>
      <c r="K296" s="9">
        <f t="shared" si="31"/>
        <v>93.344924885520015</v>
      </c>
      <c r="L296" s="10">
        <f t="shared" si="30"/>
        <v>0.33521500615302435</v>
      </c>
      <c r="M296" s="10">
        <f t="shared" si="38"/>
        <v>0.38740098887106544</v>
      </c>
      <c r="P296" s="8">
        <f t="shared" si="39"/>
        <v>-1.6597579757711516</v>
      </c>
    </row>
    <row r="297" spans="1:16" x14ac:dyDescent="0.2">
      <c r="A297" s="8">
        <v>147.5</v>
      </c>
      <c r="B297" s="8">
        <v>295</v>
      </c>
      <c r="D297">
        <v>437.10067618331999</v>
      </c>
      <c r="E297">
        <v>221.50262960180001</v>
      </c>
      <c r="F297">
        <v>163.35143288085001</v>
      </c>
      <c r="G297">
        <v>127.80920060331999</v>
      </c>
      <c r="I297" s="9">
        <f t="shared" si="36"/>
        <v>93.693428998480016</v>
      </c>
      <c r="J297" s="9">
        <f t="shared" si="37"/>
        <v>273.74924330246995</v>
      </c>
      <c r="K297" s="9">
        <f t="shared" si="31"/>
        <v>93.693428998480016</v>
      </c>
      <c r="L297" s="10">
        <f t="shared" si="30"/>
        <v>0.34226004743675814</v>
      </c>
      <c r="M297" s="10">
        <f t="shared" si="38"/>
        <v>0.39462353349737761</v>
      </c>
      <c r="P297" s="8">
        <f t="shared" si="39"/>
        <v>0.17365703086612472</v>
      </c>
    </row>
    <row r="298" spans="1:16" x14ac:dyDescent="0.2">
      <c r="A298" s="8">
        <v>148</v>
      </c>
      <c r="B298" s="8">
        <v>296</v>
      </c>
      <c r="D298">
        <v>425.42674680690999</v>
      </c>
      <c r="E298">
        <v>217.75131480089999</v>
      </c>
      <c r="F298">
        <v>164.15158371040999</v>
      </c>
      <c r="G298">
        <v>127.57315233785999</v>
      </c>
      <c r="I298" s="9">
        <f t="shared" si="36"/>
        <v>90.178162463039996</v>
      </c>
      <c r="J298" s="9">
        <f t="shared" si="37"/>
        <v>261.27516309650002</v>
      </c>
      <c r="K298" s="9">
        <f t="shared" si="31"/>
        <v>90.178162463039996</v>
      </c>
      <c r="L298" s="10">
        <f t="shared" si="30"/>
        <v>0.34514632540764456</v>
      </c>
      <c r="M298" s="10">
        <f t="shared" si="38"/>
        <v>0.39768731481084241</v>
      </c>
      <c r="P298" s="8">
        <f t="shared" si="39"/>
        <v>0.95138606236251588</v>
      </c>
    </row>
    <row r="299" spans="1:16" x14ac:dyDescent="0.2">
      <c r="A299" s="8">
        <v>148.5</v>
      </c>
      <c r="B299" s="8">
        <v>297</v>
      </c>
      <c r="D299">
        <v>432.53493613824003</v>
      </c>
      <c r="E299">
        <v>219.80390683696999</v>
      </c>
      <c r="F299">
        <v>163.71644042232001</v>
      </c>
      <c r="G299">
        <v>128.26470588235</v>
      </c>
      <c r="I299" s="9">
        <f t="shared" si="36"/>
        <v>91.539200954619986</v>
      </c>
      <c r="J299" s="9">
        <f t="shared" si="37"/>
        <v>268.81849571591999</v>
      </c>
      <c r="K299" s="9">
        <f t="shared" si="31"/>
        <v>91.539200954619986</v>
      </c>
      <c r="L299" s="10">
        <f t="shared" si="30"/>
        <v>0.34052419165144088</v>
      </c>
      <c r="M299" s="10">
        <f t="shared" si="38"/>
        <v>0.3932426843972171</v>
      </c>
      <c r="P299" s="8">
        <f t="shared" si="39"/>
        <v>-0.17686617018310535</v>
      </c>
    </row>
    <row r="300" spans="1:16" x14ac:dyDescent="0.2">
      <c r="A300" s="8">
        <v>149</v>
      </c>
      <c r="B300" s="8">
        <v>298</v>
      </c>
      <c r="D300">
        <v>437.83846731781</v>
      </c>
      <c r="E300">
        <v>220.35386927123</v>
      </c>
      <c r="F300">
        <v>163.34238310709</v>
      </c>
      <c r="G300">
        <v>127.51055806938</v>
      </c>
      <c r="I300" s="9">
        <f t="shared" si="36"/>
        <v>92.84331120185</v>
      </c>
      <c r="J300" s="9">
        <f t="shared" si="37"/>
        <v>274.49608421072003</v>
      </c>
      <c r="K300" s="9">
        <f t="shared" si="31"/>
        <v>92.84331120185</v>
      </c>
      <c r="L300" s="10">
        <f t="shared" si="30"/>
        <v>0.33823182384845163</v>
      </c>
      <c r="M300" s="10">
        <f t="shared" si="38"/>
        <v>0.39112781993680623</v>
      </c>
      <c r="P300" s="8">
        <f t="shared" si="39"/>
        <v>-0.71371633024932979</v>
      </c>
    </row>
    <row r="301" spans="1:16" x14ac:dyDescent="0.2">
      <c r="A301" s="8">
        <v>149.5</v>
      </c>
      <c r="B301" s="8">
        <v>299</v>
      </c>
      <c r="D301">
        <v>466.04132231404998</v>
      </c>
      <c r="E301">
        <v>225.02329075883</v>
      </c>
      <c r="F301">
        <v>163.59125188537001</v>
      </c>
      <c r="G301">
        <v>128.19909502262001</v>
      </c>
      <c r="I301" s="9">
        <f t="shared" si="36"/>
        <v>96.824195736209987</v>
      </c>
      <c r="J301" s="9">
        <f t="shared" si="37"/>
        <v>302.45007042867996</v>
      </c>
      <c r="K301" s="9">
        <f t="shared" si="31"/>
        <v>96.824195736209987</v>
      </c>
      <c r="L301" s="10">
        <f t="shared" si="30"/>
        <v>0.3201328258875108</v>
      </c>
      <c r="M301" s="10">
        <f t="shared" si="38"/>
        <v>0.37320632531844378</v>
      </c>
      <c r="P301" s="8">
        <f t="shared" si="39"/>
        <v>-5.2630183940916107</v>
      </c>
    </row>
    <row r="302" spans="1:16" x14ac:dyDescent="0.2">
      <c r="A302" s="8">
        <v>150</v>
      </c>
      <c r="B302" s="8">
        <v>300</v>
      </c>
      <c r="D302">
        <v>452.40270473328002</v>
      </c>
      <c r="E302">
        <v>221.7468069121</v>
      </c>
      <c r="F302">
        <v>163.01131221719999</v>
      </c>
      <c r="G302">
        <v>127.79939668175</v>
      </c>
      <c r="I302" s="9">
        <f>E302-G302</f>
        <v>93.947410230350002</v>
      </c>
      <c r="J302" s="9">
        <f>D302-F302</f>
        <v>289.39139251608003</v>
      </c>
      <c r="K302" s="9">
        <f t="shared" si="31"/>
        <v>93.947410230350002</v>
      </c>
      <c r="L302" s="10">
        <f t="shared" si="30"/>
        <v>0.3246378871656655</v>
      </c>
      <c r="M302" s="10">
        <f>L302+ABS($N$2)*A302</f>
        <v>0.37788888993917685</v>
      </c>
      <c r="O302" s="11"/>
      <c r="P302" s="8">
        <f>(M302-$O$2)/$O$2*100</f>
        <v>-4.0743674837289623</v>
      </c>
    </row>
    <row r="303" spans="1:16" x14ac:dyDescent="0.2">
      <c r="A303" s="8">
        <v>150.5</v>
      </c>
      <c r="B303" s="8">
        <v>301</v>
      </c>
      <c r="D303">
        <v>438.30277986476</v>
      </c>
      <c r="E303">
        <v>220.22238918107001</v>
      </c>
      <c r="F303">
        <v>163.62594268477</v>
      </c>
      <c r="G303">
        <v>127.94343891403</v>
      </c>
      <c r="I303" s="9">
        <f t="shared" ref="I303:I309" si="40">E303-G303</f>
        <v>92.278950267040017</v>
      </c>
      <c r="J303" s="9">
        <f t="shared" ref="J303:J309" si="41">D303-F303</f>
        <v>274.67683717999</v>
      </c>
      <c r="K303" s="9">
        <f t="shared" si="31"/>
        <v>92.278950267040017</v>
      </c>
      <c r="L303" s="10">
        <f t="shared" si="30"/>
        <v>0.33595461202493587</v>
      </c>
      <c r="M303" s="10">
        <f t="shared" ref="M303:M309" si="42">L303+ABS($N$2)*A303</f>
        <v>0.38938311814102555</v>
      </c>
      <c r="P303" s="8">
        <f t="shared" ref="P303:P309" si="43">(M303-$O$2)/$O$2*100</f>
        <v>-1.1566021301982863</v>
      </c>
    </row>
    <row r="304" spans="1:16" x14ac:dyDescent="0.2">
      <c r="A304" s="8">
        <v>151</v>
      </c>
      <c r="B304" s="8">
        <v>302</v>
      </c>
      <c r="D304">
        <v>450.54333082139999</v>
      </c>
      <c r="E304">
        <v>222.20723436322999</v>
      </c>
      <c r="F304">
        <v>163.54147812970999</v>
      </c>
      <c r="G304">
        <v>127.78657616893</v>
      </c>
      <c r="I304" s="9">
        <f t="shared" si="40"/>
        <v>94.420658194299989</v>
      </c>
      <c r="J304" s="9">
        <f t="shared" si="41"/>
        <v>287.00185269169003</v>
      </c>
      <c r="K304" s="9">
        <f t="shared" si="31"/>
        <v>94.420658194299989</v>
      </c>
      <c r="L304" s="10">
        <f t="shared" si="30"/>
        <v>0.32898971664733745</v>
      </c>
      <c r="M304" s="10">
        <f t="shared" si="42"/>
        <v>0.38259572610600551</v>
      </c>
      <c r="N304" s="1"/>
      <c r="P304" s="8">
        <f t="shared" si="43"/>
        <v>-2.8795553353057279</v>
      </c>
    </row>
    <row r="305" spans="1:16" x14ac:dyDescent="0.2">
      <c r="A305" s="8">
        <v>151.5</v>
      </c>
      <c r="B305" s="8">
        <v>303</v>
      </c>
      <c r="D305">
        <v>442.91183119818999</v>
      </c>
      <c r="E305">
        <v>222.34589299171</v>
      </c>
      <c r="F305">
        <v>163.02413273002</v>
      </c>
      <c r="G305">
        <v>127.65535444947</v>
      </c>
      <c r="I305" s="9">
        <f t="shared" si="40"/>
        <v>94.690538542240006</v>
      </c>
      <c r="J305" s="9">
        <f t="shared" si="41"/>
        <v>279.88769846817002</v>
      </c>
      <c r="K305" s="9">
        <f t="shared" si="31"/>
        <v>94.690538542240006</v>
      </c>
      <c r="L305" s="10">
        <f t="shared" si="30"/>
        <v>0.33831618560044935</v>
      </c>
      <c r="M305" s="10">
        <f t="shared" si="42"/>
        <v>0.39209969840169578</v>
      </c>
      <c r="P305" s="8">
        <f t="shared" si="43"/>
        <v>-0.46700874250183499</v>
      </c>
    </row>
    <row r="306" spans="1:16" x14ac:dyDescent="0.2">
      <c r="A306" s="8">
        <v>152</v>
      </c>
      <c r="B306" s="8">
        <v>304</v>
      </c>
      <c r="D306">
        <v>442.34966088921999</v>
      </c>
      <c r="E306">
        <v>221.26902788244001</v>
      </c>
      <c r="F306">
        <v>162.51659125188999</v>
      </c>
      <c r="G306">
        <v>128.29034690799</v>
      </c>
      <c r="I306" s="9">
        <f t="shared" si="40"/>
        <v>92.978680974450015</v>
      </c>
      <c r="J306" s="9">
        <f t="shared" si="41"/>
        <v>279.83306963733003</v>
      </c>
      <c r="K306" s="9">
        <f t="shared" si="31"/>
        <v>92.978680974450015</v>
      </c>
      <c r="L306" s="10">
        <f t="shared" si="30"/>
        <v>0.33226480735444341</v>
      </c>
      <c r="M306" s="10">
        <f t="shared" si="42"/>
        <v>0.38622582349826823</v>
      </c>
      <c r="P306" s="8">
        <f t="shared" si="43"/>
        <v>-1.9580691584972083</v>
      </c>
    </row>
    <row r="307" spans="1:16" x14ac:dyDescent="0.2">
      <c r="A307" s="8">
        <v>152.5</v>
      </c>
      <c r="B307" s="8">
        <v>305</v>
      </c>
      <c r="D307">
        <v>463.09344385832998</v>
      </c>
      <c r="E307">
        <v>225.41371514695001</v>
      </c>
      <c r="F307">
        <v>163.16968325792001</v>
      </c>
      <c r="G307">
        <v>127.74660633484</v>
      </c>
      <c r="I307" s="9">
        <f t="shared" si="40"/>
        <v>97.667108812110015</v>
      </c>
      <c r="J307" s="9">
        <f t="shared" si="41"/>
        <v>299.92376060040999</v>
      </c>
      <c r="K307" s="9">
        <f t="shared" si="31"/>
        <v>97.667108812110015</v>
      </c>
      <c r="L307" s="10">
        <f t="shared" si="30"/>
        <v>0.32563978464591348</v>
      </c>
      <c r="M307" s="10">
        <f t="shared" si="42"/>
        <v>0.37977830413231667</v>
      </c>
      <c r="P307" s="8">
        <f t="shared" si="43"/>
        <v>-3.5947470016572911</v>
      </c>
    </row>
    <row r="308" spans="1:16" x14ac:dyDescent="0.2">
      <c r="A308" s="8">
        <v>153</v>
      </c>
      <c r="B308" s="8">
        <v>306</v>
      </c>
      <c r="D308">
        <v>464.67897513188001</v>
      </c>
      <c r="E308">
        <v>226.21627731725999</v>
      </c>
      <c r="F308">
        <v>163.26470588235</v>
      </c>
      <c r="G308">
        <v>127.61312217195</v>
      </c>
      <c r="I308" s="9">
        <f t="shared" si="40"/>
        <v>98.603155145309998</v>
      </c>
      <c r="J308" s="9">
        <f t="shared" si="41"/>
        <v>301.41426924952998</v>
      </c>
      <c r="K308" s="9">
        <f t="shared" si="31"/>
        <v>98.603155145309998</v>
      </c>
      <c r="L308" s="10">
        <f t="shared" si="30"/>
        <v>0.32713499394310364</v>
      </c>
      <c r="M308" s="10">
        <f t="shared" si="42"/>
        <v>0.38145101677208521</v>
      </c>
      <c r="P308" s="8">
        <f t="shared" si="43"/>
        <v>-3.1701353704087927</v>
      </c>
    </row>
    <row r="309" spans="1:16" x14ac:dyDescent="0.2">
      <c r="A309" s="8">
        <v>153.5</v>
      </c>
      <c r="B309" s="8">
        <v>307</v>
      </c>
      <c r="D309">
        <v>458.25830815709998</v>
      </c>
      <c r="E309">
        <v>223.29682779455999</v>
      </c>
      <c r="F309">
        <v>163.06259426848001</v>
      </c>
      <c r="G309">
        <v>127.58974358974</v>
      </c>
      <c r="I309" s="9">
        <f t="shared" si="40"/>
        <v>95.707084204819992</v>
      </c>
      <c r="J309" s="9">
        <f t="shared" si="41"/>
        <v>295.19571388861993</v>
      </c>
      <c r="K309" s="9">
        <f t="shared" si="31"/>
        <v>95.707084204819992</v>
      </c>
      <c r="L309" s="10">
        <f t="shared" si="30"/>
        <v>0.32421569725409755</v>
      </c>
      <c r="M309" s="10">
        <f t="shared" si="42"/>
        <v>0.37870922342565749</v>
      </c>
      <c r="P309" s="8">
        <f t="shared" si="43"/>
        <v>-3.8661290023658328</v>
      </c>
    </row>
    <row r="310" spans="1:16" x14ac:dyDescent="0.2">
      <c r="A310" s="8">
        <v>154</v>
      </c>
      <c r="B310" s="8">
        <v>308</v>
      </c>
      <c r="D310">
        <v>446.73735849056999</v>
      </c>
      <c r="E310">
        <v>223.08150943396001</v>
      </c>
      <c r="F310">
        <v>163.21794871795001</v>
      </c>
      <c r="G310">
        <v>127.90799396682</v>
      </c>
      <c r="I310" s="9">
        <f>E310-G310</f>
        <v>95.173515467140007</v>
      </c>
      <c r="J310" s="9">
        <f>D310-F310</f>
        <v>283.51940977261995</v>
      </c>
      <c r="K310" s="9">
        <f t="shared" si="31"/>
        <v>95.173515467140007</v>
      </c>
      <c r="L310" s="10">
        <f t="shared" si="30"/>
        <v>0.33568606658524125</v>
      </c>
      <c r="M310" s="10">
        <f>L310+ABS($N$2)*A310</f>
        <v>0.39035709609937957</v>
      </c>
      <c r="O310" s="11"/>
      <c r="P310" s="8">
        <f>(M310-$O$2)/$O$2*100</f>
        <v>-0.9093615941585691</v>
      </c>
    </row>
    <row r="311" spans="1:16" x14ac:dyDescent="0.2">
      <c r="A311" s="8">
        <v>154.5</v>
      </c>
      <c r="B311" s="8">
        <v>309</v>
      </c>
      <c r="D311">
        <v>441.43169811321002</v>
      </c>
      <c r="E311">
        <v>223.11018867925</v>
      </c>
      <c r="F311">
        <v>163.17420814479999</v>
      </c>
      <c r="G311">
        <v>127.62745098038999</v>
      </c>
      <c r="I311" s="9">
        <f t="shared" ref="I311:I319" si="44">E311-G311</f>
        <v>95.482737698860007</v>
      </c>
      <c r="J311" s="9">
        <f t="shared" ref="J311:J319" si="45">D311-F311</f>
        <v>278.25748996841003</v>
      </c>
      <c r="K311" s="9">
        <f t="shared" si="31"/>
        <v>95.482737698860007</v>
      </c>
      <c r="L311" s="10">
        <f t="shared" si="30"/>
        <v>0.34314525625060427</v>
      </c>
      <c r="M311" s="10">
        <f t="shared" ref="M311:M319" si="46">L311+ABS($N$2)*A311</f>
        <v>0.39799378910732097</v>
      </c>
      <c r="P311" s="8">
        <f t="shared" ref="P311:P319" si="47">(M311-$O$2)/$O$2*100</f>
        <v>1.0291833766588356</v>
      </c>
    </row>
    <row r="312" spans="1:16" x14ac:dyDescent="0.2">
      <c r="A312" s="8">
        <v>155</v>
      </c>
      <c r="B312" s="8">
        <v>310</v>
      </c>
      <c r="D312">
        <v>442.67245283019002</v>
      </c>
      <c r="E312">
        <v>225.23320754717</v>
      </c>
      <c r="F312">
        <v>162.78431372548999</v>
      </c>
      <c r="G312">
        <v>127.44042232277999</v>
      </c>
      <c r="I312" s="9">
        <f t="shared" si="44"/>
        <v>97.792785224390002</v>
      </c>
      <c r="J312" s="9">
        <f t="shared" si="45"/>
        <v>279.88813910470003</v>
      </c>
      <c r="K312" s="9">
        <f t="shared" si="31"/>
        <v>97.792785224390002</v>
      </c>
      <c r="L312" s="10">
        <f t="shared" si="30"/>
        <v>0.34939953346078684</v>
      </c>
      <c r="M312" s="10">
        <f t="shared" si="46"/>
        <v>0.40442556966008192</v>
      </c>
      <c r="N312" s="1"/>
      <c r="P312" s="8">
        <f t="shared" si="47"/>
        <v>2.6618659829898923</v>
      </c>
    </row>
    <row r="313" spans="1:16" x14ac:dyDescent="0.2">
      <c r="A313" s="8">
        <v>155.5</v>
      </c>
      <c r="B313" s="8">
        <v>311</v>
      </c>
      <c r="D313">
        <v>439.59622641508997</v>
      </c>
      <c r="E313">
        <v>225.19320754717</v>
      </c>
      <c r="F313">
        <v>163.4766214178</v>
      </c>
      <c r="G313">
        <v>128.07088989441999</v>
      </c>
      <c r="I313" s="9">
        <f t="shared" si="44"/>
        <v>97.122317652750013</v>
      </c>
      <c r="J313" s="9">
        <f t="shared" si="45"/>
        <v>276.11960499728997</v>
      </c>
      <c r="K313" s="9">
        <f t="shared" si="31"/>
        <v>97.122317652750013</v>
      </c>
      <c r="L313" s="10">
        <f t="shared" si="30"/>
        <v>0.35174002821604516</v>
      </c>
      <c r="M313" s="10">
        <f t="shared" si="46"/>
        <v>0.40694356775791857</v>
      </c>
      <c r="P313" s="8">
        <f t="shared" si="47"/>
        <v>3.3010500570404027</v>
      </c>
    </row>
    <row r="314" spans="1:16" x14ac:dyDescent="0.2">
      <c r="A314" s="8">
        <v>156</v>
      </c>
      <c r="B314" s="8">
        <v>312</v>
      </c>
      <c r="D314">
        <v>435.68754716980999</v>
      </c>
      <c r="E314">
        <v>224.77584905660001</v>
      </c>
      <c r="F314">
        <v>163.52488687783</v>
      </c>
      <c r="G314">
        <v>127.64932126697001</v>
      </c>
      <c r="I314" s="9">
        <f t="shared" si="44"/>
        <v>97.126527789630003</v>
      </c>
      <c r="J314" s="9">
        <f t="shared" si="45"/>
        <v>272.16266029197999</v>
      </c>
      <c r="K314" s="9">
        <f t="shared" si="31"/>
        <v>97.126527789630003</v>
      </c>
      <c r="L314" s="10">
        <f t="shared" si="30"/>
        <v>0.35686940921811711</v>
      </c>
      <c r="M314" s="10">
        <f t="shared" si="46"/>
        <v>0.41225045210256889</v>
      </c>
      <c r="P314" s="8">
        <f t="shared" si="47"/>
        <v>4.6481821135907158</v>
      </c>
    </row>
    <row r="315" spans="1:16" x14ac:dyDescent="0.2">
      <c r="A315" s="8">
        <v>156.5</v>
      </c>
      <c r="B315" s="8">
        <v>313</v>
      </c>
      <c r="D315">
        <v>434.1956358164</v>
      </c>
      <c r="E315">
        <v>222.22197140706999</v>
      </c>
      <c r="F315">
        <v>162.85067873303001</v>
      </c>
      <c r="G315">
        <v>128.19155354450001</v>
      </c>
      <c r="I315" s="9">
        <f t="shared" si="44"/>
        <v>94.030417862569976</v>
      </c>
      <c r="J315" s="9">
        <f t="shared" si="45"/>
        <v>271.34495708336999</v>
      </c>
      <c r="K315" s="9">
        <f t="shared" si="31"/>
        <v>94.030417862569976</v>
      </c>
      <c r="L315" s="10">
        <f t="shared" si="30"/>
        <v>0.34653460625649068</v>
      </c>
      <c r="M315" s="10">
        <f t="shared" si="46"/>
        <v>0.40209315248352084</v>
      </c>
      <c r="P315" s="8">
        <f t="shared" si="47"/>
        <v>2.0697909077225356</v>
      </c>
    </row>
    <row r="316" spans="1:16" x14ac:dyDescent="0.2">
      <c r="A316" s="8">
        <v>157</v>
      </c>
      <c r="B316" s="8">
        <v>314</v>
      </c>
      <c r="D316">
        <v>437.43491346876999</v>
      </c>
      <c r="E316">
        <v>221.37848006019999</v>
      </c>
      <c r="F316">
        <v>162.77828054298999</v>
      </c>
      <c r="G316">
        <v>127.31674208145</v>
      </c>
      <c r="I316" s="9">
        <f t="shared" si="44"/>
        <v>94.061737978749989</v>
      </c>
      <c r="J316" s="9">
        <f t="shared" si="45"/>
        <v>274.65663292578</v>
      </c>
      <c r="K316" s="9">
        <f t="shared" si="31"/>
        <v>94.061737978749989</v>
      </c>
      <c r="L316" s="10">
        <f t="shared" si="30"/>
        <v>0.34247029455199113</v>
      </c>
      <c r="M316" s="10">
        <f t="shared" si="46"/>
        <v>0.39820634412159966</v>
      </c>
      <c r="P316" s="8">
        <f t="shared" si="47"/>
        <v>1.0831396445778803</v>
      </c>
    </row>
    <row r="317" spans="1:16" x14ac:dyDescent="0.2">
      <c r="A317" s="8">
        <v>157.5</v>
      </c>
      <c r="B317" s="8">
        <v>315</v>
      </c>
      <c r="D317">
        <v>435.68171557561999</v>
      </c>
      <c r="E317">
        <v>221.82091798344999</v>
      </c>
      <c r="F317">
        <v>163.06410256410001</v>
      </c>
      <c r="G317">
        <v>127.67119155354</v>
      </c>
      <c r="I317" s="9">
        <f t="shared" si="44"/>
        <v>94.14972642990999</v>
      </c>
      <c r="J317" s="9">
        <f t="shared" si="45"/>
        <v>272.61761301152001</v>
      </c>
      <c r="K317" s="9">
        <f t="shared" si="31"/>
        <v>94.14972642990999</v>
      </c>
      <c r="L317" s="10">
        <f t="shared" si="30"/>
        <v>0.34535452566643776</v>
      </c>
      <c r="M317" s="10">
        <f t="shared" si="46"/>
        <v>0.40126807857862468</v>
      </c>
      <c r="P317" s="8">
        <f t="shared" si="47"/>
        <v>1.860349089487092</v>
      </c>
    </row>
    <row r="318" spans="1:16" x14ac:dyDescent="0.2">
      <c r="A318" s="8">
        <v>158</v>
      </c>
      <c r="B318" s="8">
        <v>316</v>
      </c>
      <c r="D318">
        <v>432.37923250564</v>
      </c>
      <c r="E318">
        <v>219.80887885627999</v>
      </c>
      <c r="F318">
        <v>162.33031674207999</v>
      </c>
      <c r="G318">
        <v>127.44645550528</v>
      </c>
      <c r="I318" s="9">
        <f t="shared" si="44"/>
        <v>92.36242335099999</v>
      </c>
      <c r="J318" s="9">
        <f t="shared" si="45"/>
        <v>270.04891576355999</v>
      </c>
      <c r="K318" s="9">
        <f t="shared" si="31"/>
        <v>92.36242335099999</v>
      </c>
      <c r="L318" s="10">
        <f t="shared" si="30"/>
        <v>0.34202108566089362</v>
      </c>
      <c r="M318" s="10">
        <f t="shared" si="46"/>
        <v>0.39811214191565891</v>
      </c>
      <c r="P318" s="8">
        <f t="shared" si="47"/>
        <v>1.0592267791037215</v>
      </c>
    </row>
    <row r="319" spans="1:16" x14ac:dyDescent="0.2">
      <c r="A319" s="8">
        <v>158.5</v>
      </c>
      <c r="B319" s="8">
        <v>317</v>
      </c>
      <c r="D319">
        <v>436.39503386004998</v>
      </c>
      <c r="E319">
        <v>219.94055680963001</v>
      </c>
      <c r="F319">
        <v>163.13046757164</v>
      </c>
      <c r="G319">
        <v>127.71116138763</v>
      </c>
      <c r="I319" s="9">
        <f t="shared" si="44"/>
        <v>92.22939542200001</v>
      </c>
      <c r="J319" s="9">
        <f t="shared" si="45"/>
        <v>273.26456628840998</v>
      </c>
      <c r="K319" s="9">
        <f t="shared" si="31"/>
        <v>92.22939542200001</v>
      </c>
      <c r="L319" s="10">
        <f t="shared" si="30"/>
        <v>0.33750953032329445</v>
      </c>
      <c r="M319" s="10">
        <f t="shared" si="46"/>
        <v>0.39377808992063812</v>
      </c>
      <c r="P319" s="8">
        <f t="shared" si="47"/>
        <v>-4.0955549748795173E-2</v>
      </c>
    </row>
    <row r="320" spans="1:16" x14ac:dyDescent="0.2">
      <c r="A320" s="8">
        <v>159</v>
      </c>
      <c r="B320" s="8">
        <v>318</v>
      </c>
      <c r="D320">
        <v>434.69676448458</v>
      </c>
      <c r="E320">
        <v>218.55229495862</v>
      </c>
      <c r="F320">
        <v>162.62141779788999</v>
      </c>
      <c r="G320">
        <v>127.48190045249</v>
      </c>
      <c r="I320" s="9">
        <f>E320-G320</f>
        <v>91.07039450613</v>
      </c>
      <c r="J320" s="9">
        <f>D320-F320</f>
        <v>272.07534668669001</v>
      </c>
      <c r="K320" s="9">
        <f t="shared" si="31"/>
        <v>91.07039450613</v>
      </c>
      <c r="L320" s="10">
        <f t="shared" si="30"/>
        <v>0.33472490475589711</v>
      </c>
      <c r="M320" s="10">
        <f>L320+ABS($N$2)*A320</f>
        <v>0.39117096769581916</v>
      </c>
      <c r="O320" s="11"/>
      <c r="P320" s="8">
        <f>(M320-$O$2)/$O$2*100</f>
        <v>-0.70276343857886803</v>
      </c>
    </row>
    <row r="321" spans="1:16" x14ac:dyDescent="0.2">
      <c r="A321" s="8">
        <v>159.5</v>
      </c>
      <c r="B321" s="8">
        <v>319</v>
      </c>
      <c r="D321">
        <v>430.85778781037999</v>
      </c>
      <c r="E321">
        <v>218.08803611738</v>
      </c>
      <c r="F321">
        <v>162.28280542985999</v>
      </c>
      <c r="G321">
        <v>127.58823529412</v>
      </c>
      <c r="I321" s="9">
        <f t="shared" ref="I321:I322" si="48">E321-G321</f>
        <v>90.499800823260003</v>
      </c>
      <c r="J321" s="9">
        <f t="shared" ref="J321:J322" si="49">D321-F321</f>
        <v>268.57498238052</v>
      </c>
      <c r="K321" s="9">
        <f t="shared" si="31"/>
        <v>90.499800823260003</v>
      </c>
      <c r="L321" s="10">
        <f t="shared" si="30"/>
        <v>0.33696288470770108</v>
      </c>
      <c r="M321" s="10">
        <f t="shared" ref="M321:M322" si="50">L321+ABS($N$2)*A321</f>
        <v>0.39358645099020145</v>
      </c>
      <c r="P321" s="8">
        <f t="shared" ref="P321:P322" si="51">(M321-$O$2)/$O$2*100</f>
        <v>-8.9602350716766782E-2</v>
      </c>
    </row>
    <row r="322" spans="1:16" x14ac:dyDescent="0.2">
      <c r="A322" s="8">
        <v>160</v>
      </c>
      <c r="B322" s="8">
        <v>320</v>
      </c>
      <c r="D322">
        <v>429.10835214447002</v>
      </c>
      <c r="E322">
        <v>217.85101580135</v>
      </c>
      <c r="F322">
        <v>162.78205128204999</v>
      </c>
      <c r="G322">
        <v>127.28883861237</v>
      </c>
      <c r="I322" s="9">
        <f t="shared" si="48"/>
        <v>90.562177188980002</v>
      </c>
      <c r="J322" s="9">
        <f t="shared" si="49"/>
        <v>266.32630086242</v>
      </c>
      <c r="K322" s="9">
        <f t="shared" ref="K322" si="52">I322*1</f>
        <v>90.562177188980002</v>
      </c>
      <c r="L322" s="10">
        <f t="shared" ref="L322" si="53">K322/J322</f>
        <v>0.34004218470245268</v>
      </c>
      <c r="M322" s="10">
        <f t="shared" si="50"/>
        <v>0.39684325432753143</v>
      </c>
      <c r="P322" s="8">
        <f t="shared" si="51"/>
        <v>0.7371245746627122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6FA94-F5CD-234C-A351-81E254FF4BD0}">
  <dimension ref="A1:Y798"/>
  <sheetViews>
    <sheetView topLeftCell="F1" zoomScale="75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1434.8155012637001</v>
      </c>
      <c r="E2">
        <v>415.76832350463002</v>
      </c>
      <c r="F2">
        <v>139.59243697478999</v>
      </c>
      <c r="G2">
        <v>117.96134453782</v>
      </c>
      <c r="H2" s="4"/>
      <c r="I2" s="5">
        <f>E2-G2</f>
        <v>297.80697896680999</v>
      </c>
      <c r="J2" s="5">
        <f>D2-F2</f>
        <v>1295.2230642889101</v>
      </c>
      <c r="K2" s="9">
        <f>I2*1</f>
        <v>297.80697896680999</v>
      </c>
      <c r="L2" s="6">
        <f t="shared" ref="L2:L65" si="0">K2/J2</f>
        <v>0.22992717407353216</v>
      </c>
      <c r="M2" s="6">
        <f>L2+ABS($N$2)*A2</f>
        <v>0.22992717407353216</v>
      </c>
      <c r="N2" s="4">
        <f>LINEST(V64:V103,U64:U103)</f>
        <v>-2.6536434431187711E-4</v>
      </c>
      <c r="O2" s="7">
        <f>AVERAGE(M62:M81)</f>
        <v>0.3592698679995735</v>
      </c>
      <c r="P2" s="4">
        <f>(M2-$O$2)/$O$2*100</f>
        <v>-36.00154241885793</v>
      </c>
    </row>
    <row r="3" spans="1:16" x14ac:dyDescent="0.2">
      <c r="A3" s="8">
        <v>0.5</v>
      </c>
      <c r="B3" s="8">
        <v>1</v>
      </c>
      <c r="D3">
        <v>1448.8180286436</v>
      </c>
      <c r="E3">
        <v>416.81044650378999</v>
      </c>
      <c r="F3">
        <v>139.74369747898999</v>
      </c>
      <c r="G3">
        <v>117.58655462185</v>
      </c>
      <c r="I3" s="9">
        <f t="shared" ref="I3:I66" si="1">E3-G3</f>
        <v>299.22389188194001</v>
      </c>
      <c r="J3" s="9">
        <f t="shared" ref="J3:J66" si="2">D3-F3</f>
        <v>1309.0743311646099</v>
      </c>
      <c r="K3" s="9">
        <f t="shared" ref="K3:K66" si="3">I3*1</f>
        <v>299.22389188194001</v>
      </c>
      <c r="L3" s="10">
        <f t="shared" si="0"/>
        <v>0.22857670092403179</v>
      </c>
      <c r="M3" s="10">
        <f t="shared" ref="M3:M66" si="4">L3+ABS($N$2)*A3</f>
        <v>0.22870938309618774</v>
      </c>
      <c r="P3" s="8">
        <f t="shared" ref="P3:P66" si="5">(M3-$O$2)/$O$2*100</f>
        <v>-36.340505155734562</v>
      </c>
    </row>
    <row r="4" spans="1:16" ht="16" x14ac:dyDescent="0.2">
      <c r="A4" s="8">
        <v>1</v>
      </c>
      <c r="B4" s="8">
        <v>2</v>
      </c>
      <c r="D4">
        <v>1446.0572872789</v>
      </c>
      <c r="E4">
        <v>415.76074136479002</v>
      </c>
      <c r="F4">
        <v>139.83865546218999</v>
      </c>
      <c r="G4">
        <v>117.7512605042</v>
      </c>
      <c r="I4" s="9">
        <f t="shared" si="1"/>
        <v>298.00948086059003</v>
      </c>
      <c r="J4" s="9">
        <f t="shared" si="2"/>
        <v>1306.2186318167101</v>
      </c>
      <c r="K4" s="9">
        <f t="shared" si="3"/>
        <v>298.00948086059003</v>
      </c>
      <c r="L4" s="10">
        <f t="shared" si="0"/>
        <v>0.22814670806380521</v>
      </c>
      <c r="M4" s="10">
        <f t="shared" si="4"/>
        <v>0.22841207240811709</v>
      </c>
      <c r="N4" s="1" t="s">
        <v>7</v>
      </c>
      <c r="P4" s="8">
        <f t="shared" si="5"/>
        <v>-36.423259295324975</v>
      </c>
    </row>
    <row r="5" spans="1:16" x14ac:dyDescent="0.2">
      <c r="A5" s="8">
        <v>1.5</v>
      </c>
      <c r="B5" s="8">
        <v>3</v>
      </c>
      <c r="D5">
        <v>1451.552653749</v>
      </c>
      <c r="E5">
        <v>417.57287278854</v>
      </c>
      <c r="F5">
        <v>139.97647058824001</v>
      </c>
      <c r="G5">
        <v>117.97899159664</v>
      </c>
      <c r="I5" s="9">
        <f t="shared" si="1"/>
        <v>299.59388119189998</v>
      </c>
      <c r="J5" s="9">
        <f t="shared" si="2"/>
        <v>1311.5761831607599</v>
      </c>
      <c r="K5" s="9">
        <f t="shared" si="3"/>
        <v>299.59388119189998</v>
      </c>
      <c r="L5" s="10">
        <f t="shared" si="0"/>
        <v>0.22842278247986358</v>
      </c>
      <c r="M5" s="10">
        <f t="shared" si="4"/>
        <v>0.22882082899633141</v>
      </c>
      <c r="N5" s="8">
        <f>RSQ(V64:V83,U64:U83)</f>
        <v>0.91349046599075445</v>
      </c>
      <c r="P5" s="8">
        <f t="shared" si="5"/>
        <v>-36.309485047990989</v>
      </c>
    </row>
    <row r="6" spans="1:16" x14ac:dyDescent="0.2">
      <c r="A6" s="8">
        <v>2</v>
      </c>
      <c r="B6" s="8">
        <v>4</v>
      </c>
      <c r="D6">
        <v>1448.7700084246001</v>
      </c>
      <c r="E6">
        <v>418.41196293176</v>
      </c>
      <c r="F6">
        <v>139.79411764706001</v>
      </c>
      <c r="G6">
        <v>117.89663865545999</v>
      </c>
      <c r="I6" s="9">
        <f t="shared" si="1"/>
        <v>300.51532427630002</v>
      </c>
      <c r="J6" s="9">
        <f t="shared" si="2"/>
        <v>1308.9758907775401</v>
      </c>
      <c r="K6" s="9">
        <f t="shared" si="3"/>
        <v>300.51532427630002</v>
      </c>
      <c r="L6" s="10">
        <f t="shared" si="0"/>
        <v>0.22958048837537565</v>
      </c>
      <c r="M6" s="10">
        <f t="shared" si="4"/>
        <v>0.2301112170639994</v>
      </c>
      <c r="P6" s="8">
        <f t="shared" si="5"/>
        <v>-35.950315470299174</v>
      </c>
    </row>
    <row r="7" spans="1:16" x14ac:dyDescent="0.2">
      <c r="A7" s="8">
        <v>2.5</v>
      </c>
      <c r="B7" s="8">
        <v>5</v>
      </c>
      <c r="D7">
        <v>1434.1828138163</v>
      </c>
      <c r="E7">
        <v>415.71103622577999</v>
      </c>
      <c r="F7">
        <v>139.49579831932999</v>
      </c>
      <c r="G7">
        <v>118.36134453782</v>
      </c>
      <c r="I7" s="9">
        <f t="shared" si="1"/>
        <v>297.34969168795999</v>
      </c>
      <c r="J7" s="9">
        <f t="shared" si="2"/>
        <v>1294.6870154969702</v>
      </c>
      <c r="K7" s="9">
        <f t="shared" si="3"/>
        <v>297.34969168795999</v>
      </c>
      <c r="L7" s="10">
        <f t="shared" si="0"/>
        <v>0.22966916955896191</v>
      </c>
      <c r="M7" s="10">
        <f t="shared" si="4"/>
        <v>0.23033258041974161</v>
      </c>
      <c r="P7" s="8">
        <f t="shared" si="5"/>
        <v>-35.888700685576268</v>
      </c>
    </row>
    <row r="8" spans="1:16" x14ac:dyDescent="0.2">
      <c r="A8" s="8">
        <v>3</v>
      </c>
      <c r="B8" s="8">
        <v>6</v>
      </c>
      <c r="D8">
        <v>1398.4818871104001</v>
      </c>
      <c r="E8">
        <v>407.86604886267997</v>
      </c>
      <c r="F8">
        <v>139.95462184874</v>
      </c>
      <c r="G8">
        <v>117.95462184874</v>
      </c>
      <c r="I8" s="9">
        <f t="shared" si="1"/>
        <v>289.91142701393994</v>
      </c>
      <c r="J8" s="9">
        <f t="shared" si="2"/>
        <v>1258.52726526166</v>
      </c>
      <c r="K8" s="9">
        <f t="shared" si="3"/>
        <v>289.91142701393994</v>
      </c>
      <c r="L8" s="10">
        <f t="shared" si="0"/>
        <v>0.23035768474484702</v>
      </c>
      <c r="M8" s="10">
        <f t="shared" si="4"/>
        <v>0.23115377777778265</v>
      </c>
      <c r="P8" s="8">
        <f t="shared" si="5"/>
        <v>-35.660126727338834</v>
      </c>
    </row>
    <row r="9" spans="1:16" x14ac:dyDescent="0.2">
      <c r="A9" s="8">
        <v>3.5</v>
      </c>
      <c r="B9" s="8">
        <v>7</v>
      </c>
      <c r="D9">
        <v>1624.4416456759</v>
      </c>
      <c r="E9">
        <v>447.66582703609998</v>
      </c>
      <c r="F9">
        <v>140.9781512605</v>
      </c>
      <c r="G9">
        <v>118.69915966387001</v>
      </c>
      <c r="I9" s="9">
        <f t="shared" si="1"/>
        <v>328.96666737222995</v>
      </c>
      <c r="J9" s="9">
        <f t="shared" si="2"/>
        <v>1483.4634944154</v>
      </c>
      <c r="K9" s="9">
        <f t="shared" si="3"/>
        <v>328.96666737222995</v>
      </c>
      <c r="L9" s="10">
        <f t="shared" si="0"/>
        <v>0.22175582251309017</v>
      </c>
      <c r="M9" s="10">
        <f t="shared" si="4"/>
        <v>0.22268459771818175</v>
      </c>
      <c r="P9" s="8">
        <f t="shared" si="5"/>
        <v>-38.01745775171824</v>
      </c>
    </row>
    <row r="10" spans="1:16" x14ac:dyDescent="0.2">
      <c r="A10" s="8">
        <v>4</v>
      </c>
      <c r="B10" s="8">
        <v>8</v>
      </c>
      <c r="D10">
        <v>1640.2392947103001</v>
      </c>
      <c r="E10">
        <v>448.50125944583999</v>
      </c>
      <c r="F10">
        <v>140.31764705882</v>
      </c>
      <c r="G10">
        <v>118.49327731092001</v>
      </c>
      <c r="I10" s="9">
        <f t="shared" si="1"/>
        <v>330.00798213491998</v>
      </c>
      <c r="J10" s="9">
        <f t="shared" si="2"/>
        <v>1499.92164765148</v>
      </c>
      <c r="K10" s="9">
        <f t="shared" si="3"/>
        <v>330.00798213491998</v>
      </c>
      <c r="L10" s="10">
        <f t="shared" si="0"/>
        <v>0.22001681397933942</v>
      </c>
      <c r="M10" s="10">
        <f t="shared" si="4"/>
        <v>0.22107827135658692</v>
      </c>
      <c r="P10" s="8">
        <f t="shared" si="5"/>
        <v>-38.464566319586432</v>
      </c>
    </row>
    <row r="11" spans="1:16" x14ac:dyDescent="0.2">
      <c r="A11" s="8">
        <v>4.5</v>
      </c>
      <c r="B11" s="8">
        <v>9</v>
      </c>
      <c r="D11">
        <v>1712.9505862647</v>
      </c>
      <c r="E11">
        <v>463.22696817420001</v>
      </c>
      <c r="F11">
        <v>140.39159663865999</v>
      </c>
      <c r="G11">
        <v>118.36218487395</v>
      </c>
      <c r="I11" s="9">
        <f t="shared" si="1"/>
        <v>344.86478330025</v>
      </c>
      <c r="J11" s="9">
        <f t="shared" si="2"/>
        <v>1572.5589896260399</v>
      </c>
      <c r="K11" s="9">
        <f t="shared" si="3"/>
        <v>344.86478330025</v>
      </c>
      <c r="L11" s="10">
        <f t="shared" si="0"/>
        <v>0.21930165136905932</v>
      </c>
      <c r="M11" s="10">
        <f t="shared" si="4"/>
        <v>0.22049579091846278</v>
      </c>
      <c r="P11" s="8">
        <f t="shared" si="5"/>
        <v>-38.626695262202027</v>
      </c>
    </row>
    <row r="12" spans="1:16" x14ac:dyDescent="0.2">
      <c r="A12" s="8">
        <v>5</v>
      </c>
      <c r="B12" s="8">
        <v>10</v>
      </c>
      <c r="D12">
        <v>1725.364321608</v>
      </c>
      <c r="E12">
        <v>463.73283082077</v>
      </c>
      <c r="F12">
        <v>140.32016806722999</v>
      </c>
      <c r="G12">
        <v>118.61260504201999</v>
      </c>
      <c r="I12" s="9">
        <f t="shared" si="1"/>
        <v>345.12022577875001</v>
      </c>
      <c r="J12" s="9">
        <f t="shared" si="2"/>
        <v>1585.0441535407699</v>
      </c>
      <c r="K12" s="9">
        <f t="shared" si="3"/>
        <v>345.12022577875001</v>
      </c>
      <c r="L12" s="10">
        <f t="shared" si="0"/>
        <v>0.2177354018863128</v>
      </c>
      <c r="M12" s="10">
        <f t="shared" si="4"/>
        <v>0.21906222360787217</v>
      </c>
      <c r="P12" s="8">
        <f t="shared" si="5"/>
        <v>-39.025717679131326</v>
      </c>
    </row>
    <row r="13" spans="1:16" x14ac:dyDescent="0.2">
      <c r="A13" s="8">
        <v>5.5</v>
      </c>
      <c r="B13" s="8">
        <v>11</v>
      </c>
      <c r="D13">
        <v>1726.1599664992</v>
      </c>
      <c r="E13">
        <v>464.98157453936</v>
      </c>
      <c r="F13">
        <v>139.96554621849</v>
      </c>
      <c r="G13">
        <v>118.67899159664</v>
      </c>
      <c r="I13" s="9">
        <f t="shared" si="1"/>
        <v>346.30258294271999</v>
      </c>
      <c r="J13" s="9">
        <f t="shared" si="2"/>
        <v>1586.1944202807099</v>
      </c>
      <c r="K13" s="9">
        <f t="shared" si="3"/>
        <v>346.30258294271999</v>
      </c>
      <c r="L13" s="10">
        <f t="shared" si="0"/>
        <v>0.21832291080776503</v>
      </c>
      <c r="M13" s="10">
        <f t="shared" si="4"/>
        <v>0.21978241470148036</v>
      </c>
      <c r="P13" s="8">
        <f t="shared" si="5"/>
        <v>-38.825258036462643</v>
      </c>
    </row>
    <row r="14" spans="1:16" x14ac:dyDescent="0.2">
      <c r="A14" s="8">
        <v>6</v>
      </c>
      <c r="B14" s="8">
        <v>12</v>
      </c>
      <c r="D14">
        <v>1725.8006700168</v>
      </c>
      <c r="E14">
        <v>466.54271356784</v>
      </c>
      <c r="F14">
        <v>141.05378151260999</v>
      </c>
      <c r="G14">
        <v>118.53781512605001</v>
      </c>
      <c r="I14" s="9">
        <f t="shared" si="1"/>
        <v>348.00489844178998</v>
      </c>
      <c r="J14" s="9">
        <f t="shared" si="2"/>
        <v>1584.7468885041901</v>
      </c>
      <c r="K14" s="9">
        <f t="shared" si="3"/>
        <v>348.00489844178998</v>
      </c>
      <c r="L14" s="10">
        <f t="shared" si="0"/>
        <v>0.21959651788322149</v>
      </c>
      <c r="M14" s="10">
        <f t="shared" si="4"/>
        <v>0.22118870394909276</v>
      </c>
      <c r="P14" s="8">
        <f t="shared" si="5"/>
        <v>-38.433828258217481</v>
      </c>
    </row>
    <row r="15" spans="1:16" x14ac:dyDescent="0.2">
      <c r="A15" s="8">
        <v>6.5</v>
      </c>
      <c r="B15" s="8">
        <v>13</v>
      </c>
      <c r="D15">
        <v>1724.1675041875999</v>
      </c>
      <c r="E15">
        <v>471.27219430486002</v>
      </c>
      <c r="F15">
        <v>140.10840336135001</v>
      </c>
      <c r="G15">
        <v>118.58991596639</v>
      </c>
      <c r="I15" s="9">
        <f t="shared" si="1"/>
        <v>352.68227833847004</v>
      </c>
      <c r="J15" s="9">
        <f t="shared" si="2"/>
        <v>1584.05910082625</v>
      </c>
      <c r="K15" s="9">
        <f t="shared" si="3"/>
        <v>352.68227833847004</v>
      </c>
      <c r="L15" s="10">
        <f t="shared" si="0"/>
        <v>0.22264464637368006</v>
      </c>
      <c r="M15" s="10">
        <f t="shared" si="4"/>
        <v>0.22436951461170726</v>
      </c>
      <c r="P15" s="8">
        <f t="shared" si="5"/>
        <v>-37.548474114736052</v>
      </c>
    </row>
    <row r="16" spans="1:16" x14ac:dyDescent="0.2">
      <c r="A16" s="8">
        <v>7</v>
      </c>
      <c r="B16" s="8">
        <v>14</v>
      </c>
      <c r="D16">
        <v>1756.9815745394001</v>
      </c>
      <c r="E16">
        <v>476.17755443886</v>
      </c>
      <c r="F16">
        <v>140.31344537814999</v>
      </c>
      <c r="G16">
        <v>118.65966386555</v>
      </c>
      <c r="I16" s="9">
        <f t="shared" si="1"/>
        <v>357.51789057331001</v>
      </c>
      <c r="J16" s="9">
        <f t="shared" si="2"/>
        <v>1616.6681291612501</v>
      </c>
      <c r="K16" s="9">
        <f t="shared" si="3"/>
        <v>357.51789057331001</v>
      </c>
      <c r="L16" s="10">
        <f t="shared" si="0"/>
        <v>0.22114488689697573</v>
      </c>
      <c r="M16" s="10">
        <f t="shared" si="4"/>
        <v>0.22300243730715888</v>
      </c>
      <c r="P16" s="8">
        <f t="shared" si="5"/>
        <v>-37.92898955071189</v>
      </c>
    </row>
    <row r="17" spans="1:16" x14ac:dyDescent="0.2">
      <c r="A17" s="8">
        <v>7.5</v>
      </c>
      <c r="B17" s="8">
        <v>15</v>
      </c>
      <c r="D17">
        <v>1769.6314907873</v>
      </c>
      <c r="E17">
        <v>490.75711892797</v>
      </c>
      <c r="F17">
        <v>141.07478991597</v>
      </c>
      <c r="G17">
        <v>118.48655462185</v>
      </c>
      <c r="I17" s="9">
        <f t="shared" si="1"/>
        <v>372.27056430611998</v>
      </c>
      <c r="J17" s="9">
        <f t="shared" si="2"/>
        <v>1628.5567008713299</v>
      </c>
      <c r="K17" s="9">
        <f t="shared" si="3"/>
        <v>372.27056430611998</v>
      </c>
      <c r="L17" s="10">
        <f t="shared" si="0"/>
        <v>0.22858925581586648</v>
      </c>
      <c r="M17" s="10">
        <f t="shared" si="4"/>
        <v>0.23057948839820555</v>
      </c>
      <c r="P17" s="8">
        <f t="shared" si="5"/>
        <v>-35.819975751910462</v>
      </c>
    </row>
    <row r="18" spans="1:16" x14ac:dyDescent="0.2">
      <c r="A18" s="8">
        <v>8</v>
      </c>
      <c r="B18" s="8">
        <v>16</v>
      </c>
      <c r="D18">
        <v>1766.3341708543001</v>
      </c>
      <c r="E18">
        <v>491.44891122278</v>
      </c>
      <c r="F18">
        <v>140.90168067227</v>
      </c>
      <c r="G18">
        <v>118.61848739496</v>
      </c>
      <c r="I18" s="9">
        <f t="shared" si="1"/>
        <v>372.83042382782003</v>
      </c>
      <c r="J18" s="9">
        <f t="shared" si="2"/>
        <v>1625.4324901820301</v>
      </c>
      <c r="K18" s="9">
        <f t="shared" si="3"/>
        <v>372.83042382782003</v>
      </c>
      <c r="L18" s="10">
        <f t="shared" si="0"/>
        <v>0.22937305983471959</v>
      </c>
      <c r="M18" s="10">
        <f t="shared" si="4"/>
        <v>0.23149597458921461</v>
      </c>
      <c r="P18" s="8">
        <f t="shared" si="5"/>
        <v>-35.564878881106324</v>
      </c>
    </row>
    <row r="19" spans="1:16" x14ac:dyDescent="0.2">
      <c r="A19" s="8">
        <v>8.5</v>
      </c>
      <c r="B19" s="8">
        <v>17</v>
      </c>
      <c r="D19">
        <v>1759.1993299833</v>
      </c>
      <c r="E19">
        <v>490.04355108878002</v>
      </c>
      <c r="F19">
        <v>140.72100840336</v>
      </c>
      <c r="G19">
        <v>118.7487394958</v>
      </c>
      <c r="I19" s="9">
        <f t="shared" si="1"/>
        <v>371.29481159298001</v>
      </c>
      <c r="J19" s="9">
        <f t="shared" si="2"/>
        <v>1618.47832157994</v>
      </c>
      <c r="K19" s="9">
        <f t="shared" si="3"/>
        <v>371.29481159298001</v>
      </c>
      <c r="L19" s="10">
        <f t="shared" si="0"/>
        <v>0.22940981454143067</v>
      </c>
      <c r="M19" s="10">
        <f t="shared" si="4"/>
        <v>0.23166541146808162</v>
      </c>
      <c r="P19" s="8">
        <f t="shared" si="5"/>
        <v>-35.517717431188345</v>
      </c>
    </row>
    <row r="20" spans="1:16" x14ac:dyDescent="0.2">
      <c r="A20" s="8">
        <v>9</v>
      </c>
      <c r="B20" s="8">
        <v>18</v>
      </c>
      <c r="D20">
        <v>1746.7847571189</v>
      </c>
      <c r="E20">
        <v>492.09380234506</v>
      </c>
      <c r="F20">
        <v>141.20420168067</v>
      </c>
      <c r="G20">
        <v>118.75798319328</v>
      </c>
      <c r="I20" s="9">
        <f t="shared" si="1"/>
        <v>373.33581915178002</v>
      </c>
      <c r="J20" s="9">
        <f t="shared" si="2"/>
        <v>1605.58055543823</v>
      </c>
      <c r="K20" s="9">
        <f t="shared" si="3"/>
        <v>373.33581915178002</v>
      </c>
      <c r="L20" s="10">
        <f t="shared" si="0"/>
        <v>0.23252387922067297</v>
      </c>
      <c r="M20" s="10">
        <f t="shared" si="4"/>
        <v>0.23491215831947987</v>
      </c>
      <c r="P20" s="8">
        <f t="shared" si="5"/>
        <v>-34.61401045752082</v>
      </c>
    </row>
    <row r="21" spans="1:16" x14ac:dyDescent="0.2">
      <c r="A21" s="8">
        <v>9.5</v>
      </c>
      <c r="B21" s="8">
        <v>19</v>
      </c>
      <c r="D21">
        <v>1768.350921273</v>
      </c>
      <c r="E21">
        <v>497.09296482411997</v>
      </c>
      <c r="F21">
        <v>140.88739495798001</v>
      </c>
      <c r="G21">
        <v>118.75042016806999</v>
      </c>
      <c r="I21" s="9">
        <f t="shared" si="1"/>
        <v>378.34254465604999</v>
      </c>
      <c r="J21" s="9">
        <f t="shared" si="2"/>
        <v>1627.4635263150201</v>
      </c>
      <c r="K21" s="9">
        <f t="shared" si="3"/>
        <v>378.34254465604999</v>
      </c>
      <c r="L21" s="10">
        <f t="shared" si="0"/>
        <v>0.2324737473611535</v>
      </c>
      <c r="M21" s="10">
        <f t="shared" si="4"/>
        <v>0.23499470863211633</v>
      </c>
      <c r="P21" s="8">
        <f t="shared" si="5"/>
        <v>-34.59103321395289</v>
      </c>
    </row>
    <row r="22" spans="1:16" x14ac:dyDescent="0.2">
      <c r="A22" s="8">
        <v>10</v>
      </c>
      <c r="B22" s="8">
        <v>20</v>
      </c>
      <c r="D22">
        <v>1771.9916247906001</v>
      </c>
      <c r="E22">
        <v>503.26549413735</v>
      </c>
      <c r="F22">
        <v>141.05042016806999</v>
      </c>
      <c r="G22">
        <v>118.89159663866</v>
      </c>
      <c r="I22" s="9">
        <f t="shared" si="1"/>
        <v>384.37389749868998</v>
      </c>
      <c r="J22" s="9">
        <f t="shared" si="2"/>
        <v>1630.9412046225302</v>
      </c>
      <c r="K22" s="9">
        <f t="shared" si="3"/>
        <v>384.37389749868998</v>
      </c>
      <c r="L22" s="10">
        <f t="shared" si="0"/>
        <v>0.2356761214992116</v>
      </c>
      <c r="M22" s="10">
        <f t="shared" si="4"/>
        <v>0.23832976494233038</v>
      </c>
      <c r="P22" s="8">
        <f t="shared" si="5"/>
        <v>-33.662745982745953</v>
      </c>
    </row>
    <row r="23" spans="1:16" x14ac:dyDescent="0.2">
      <c r="A23" s="8">
        <v>10.5</v>
      </c>
      <c r="B23" s="8">
        <v>21</v>
      </c>
      <c r="D23">
        <v>1768.1599664992</v>
      </c>
      <c r="E23">
        <v>498.92881072027001</v>
      </c>
      <c r="F23">
        <v>141.16302521008001</v>
      </c>
      <c r="G23">
        <v>118.56806722688999</v>
      </c>
      <c r="I23" s="9">
        <f t="shared" si="1"/>
        <v>380.36074349338003</v>
      </c>
      <c r="J23" s="9">
        <f t="shared" si="2"/>
        <v>1626.9969412891201</v>
      </c>
      <c r="K23" s="9">
        <f t="shared" si="3"/>
        <v>380.36074349338003</v>
      </c>
      <c r="L23" s="10">
        <f t="shared" si="0"/>
        <v>0.23378085959522973</v>
      </c>
      <c r="M23" s="10">
        <f t="shared" si="4"/>
        <v>0.23656718521050443</v>
      </c>
      <c r="P23" s="8">
        <f t="shared" si="5"/>
        <v>-34.153346472466964</v>
      </c>
    </row>
    <row r="24" spans="1:16" x14ac:dyDescent="0.2">
      <c r="A24" s="8">
        <v>11</v>
      </c>
      <c r="B24" s="8">
        <v>22</v>
      </c>
      <c r="D24">
        <v>1756.2654941374001</v>
      </c>
      <c r="E24">
        <v>497.81742043550997</v>
      </c>
      <c r="F24">
        <v>141.03781512604999</v>
      </c>
      <c r="G24">
        <v>118.94705882353</v>
      </c>
      <c r="I24" s="9">
        <f t="shared" si="1"/>
        <v>378.87036161198</v>
      </c>
      <c r="J24" s="9">
        <f t="shared" si="2"/>
        <v>1615.2276790113501</v>
      </c>
      <c r="K24" s="9">
        <f t="shared" si="3"/>
        <v>378.87036161198</v>
      </c>
      <c r="L24" s="10">
        <f t="shared" si="0"/>
        <v>0.23456158319666692</v>
      </c>
      <c r="M24" s="10">
        <f t="shared" si="4"/>
        <v>0.23748059098409757</v>
      </c>
      <c r="P24" s="8">
        <f t="shared" si="5"/>
        <v>-33.899107012119515</v>
      </c>
    </row>
    <row r="25" spans="1:16" x14ac:dyDescent="0.2">
      <c r="A25" s="8">
        <v>11.5</v>
      </c>
      <c r="B25" s="8">
        <v>23</v>
      </c>
      <c r="D25">
        <v>1782.3224455611</v>
      </c>
      <c r="E25">
        <v>510.27051926297997</v>
      </c>
      <c r="F25">
        <v>141.45630252101</v>
      </c>
      <c r="G25">
        <v>118.90504201681</v>
      </c>
      <c r="I25" s="9">
        <f t="shared" si="1"/>
        <v>391.36547724616997</v>
      </c>
      <c r="J25" s="9">
        <f t="shared" si="2"/>
        <v>1640.86614304009</v>
      </c>
      <c r="K25" s="9">
        <f t="shared" si="3"/>
        <v>391.36547724616997</v>
      </c>
      <c r="L25" s="10">
        <f t="shared" si="0"/>
        <v>0.23851151960578179</v>
      </c>
      <c r="M25" s="10">
        <f t="shared" si="4"/>
        <v>0.24156320956536836</v>
      </c>
      <c r="P25" s="8">
        <f t="shared" si="5"/>
        <v>-32.762741581864269</v>
      </c>
    </row>
    <row r="26" spans="1:16" x14ac:dyDescent="0.2">
      <c r="A26" s="8">
        <v>12</v>
      </c>
      <c r="B26" s="8">
        <v>24</v>
      </c>
      <c r="D26">
        <v>1794.5301507537999</v>
      </c>
      <c r="E26">
        <v>513.03517587939996</v>
      </c>
      <c r="F26">
        <v>141.2462184874</v>
      </c>
      <c r="G26">
        <v>118.95294117647001</v>
      </c>
      <c r="I26" s="9">
        <f t="shared" si="1"/>
        <v>394.08223470292995</v>
      </c>
      <c r="J26" s="9">
        <f t="shared" si="2"/>
        <v>1653.2839322663999</v>
      </c>
      <c r="K26" s="9">
        <f t="shared" si="3"/>
        <v>394.08223470292995</v>
      </c>
      <c r="L26" s="10">
        <f t="shared" si="0"/>
        <v>0.23836331256344054</v>
      </c>
      <c r="M26" s="10">
        <f t="shared" si="4"/>
        <v>0.24154768469518306</v>
      </c>
      <c r="P26" s="8">
        <f t="shared" si="5"/>
        <v>-32.767062809879228</v>
      </c>
    </row>
    <row r="27" spans="1:16" x14ac:dyDescent="0.2">
      <c r="A27" s="8">
        <v>12.5</v>
      </c>
      <c r="B27" s="8">
        <v>25</v>
      </c>
      <c r="D27">
        <v>1790.3408710218</v>
      </c>
      <c r="E27">
        <v>511.14907872697</v>
      </c>
      <c r="F27">
        <v>141.62605042017</v>
      </c>
      <c r="G27">
        <v>119.16554621848999</v>
      </c>
      <c r="I27" s="9">
        <f t="shared" si="1"/>
        <v>391.98353250848004</v>
      </c>
      <c r="J27" s="9">
        <f t="shared" si="2"/>
        <v>1648.71482060163</v>
      </c>
      <c r="K27" s="9">
        <f t="shared" si="3"/>
        <v>391.98353250848004</v>
      </c>
      <c r="L27" s="10">
        <f t="shared" si="0"/>
        <v>0.23775096069400403</v>
      </c>
      <c r="M27" s="10">
        <f t="shared" si="4"/>
        <v>0.24106801499790251</v>
      </c>
      <c r="P27" s="8">
        <f t="shared" si="5"/>
        <v>-32.900575174818528</v>
      </c>
    </row>
    <row r="28" spans="1:16" x14ac:dyDescent="0.2">
      <c r="A28" s="8">
        <v>13</v>
      </c>
      <c r="B28" s="8">
        <v>26</v>
      </c>
      <c r="D28">
        <v>1795.1499162478999</v>
      </c>
      <c r="E28">
        <v>510.25963149079001</v>
      </c>
      <c r="F28">
        <v>141.95966386555</v>
      </c>
      <c r="G28">
        <v>119.01344537815</v>
      </c>
      <c r="I28" s="9">
        <f t="shared" si="1"/>
        <v>391.24618611264003</v>
      </c>
      <c r="J28" s="9">
        <f t="shared" si="2"/>
        <v>1653.1902523823499</v>
      </c>
      <c r="K28" s="9">
        <f t="shared" si="3"/>
        <v>391.24618611264003</v>
      </c>
      <c r="L28" s="10">
        <f t="shared" si="0"/>
        <v>0.23666131925761719</v>
      </c>
      <c r="M28" s="10">
        <f t="shared" si="4"/>
        <v>0.24011105573367159</v>
      </c>
      <c r="P28" s="8">
        <f t="shared" si="5"/>
        <v>-33.166937413755882</v>
      </c>
    </row>
    <row r="29" spans="1:16" x14ac:dyDescent="0.2">
      <c r="A29" s="8">
        <v>13.5</v>
      </c>
      <c r="B29" s="8">
        <v>27</v>
      </c>
      <c r="D29">
        <v>1770.4882747069</v>
      </c>
      <c r="E29">
        <v>506.57705192629999</v>
      </c>
      <c r="F29">
        <v>141.3974789916</v>
      </c>
      <c r="G29">
        <v>119.09495798319</v>
      </c>
      <c r="I29" s="9">
        <f t="shared" si="1"/>
        <v>387.48209394310999</v>
      </c>
      <c r="J29" s="9">
        <f t="shared" si="2"/>
        <v>1629.0907957152999</v>
      </c>
      <c r="K29" s="9">
        <f t="shared" si="3"/>
        <v>387.48209394310999</v>
      </c>
      <c r="L29" s="10">
        <f t="shared" si="0"/>
        <v>0.23785174832626479</v>
      </c>
      <c r="M29" s="10">
        <f t="shared" si="4"/>
        <v>0.24143416697447515</v>
      </c>
      <c r="P29" s="8">
        <f t="shared" si="5"/>
        <v>-32.798659592915882</v>
      </c>
    </row>
    <row r="30" spans="1:16" x14ac:dyDescent="0.2">
      <c r="A30" s="8">
        <v>14</v>
      </c>
      <c r="B30" s="8">
        <v>28</v>
      </c>
      <c r="D30">
        <v>1754.1943048575999</v>
      </c>
      <c r="E30">
        <v>503.60720268006997</v>
      </c>
      <c r="F30">
        <v>141.67394957983001</v>
      </c>
      <c r="G30">
        <v>119.28151260504001</v>
      </c>
      <c r="I30" s="9">
        <f t="shared" si="1"/>
        <v>384.32569007502997</v>
      </c>
      <c r="J30" s="9">
        <f t="shared" si="2"/>
        <v>1612.52035527777</v>
      </c>
      <c r="K30" s="9">
        <f t="shared" si="3"/>
        <v>384.32569007502997</v>
      </c>
      <c r="L30" s="10">
        <f t="shared" si="0"/>
        <v>0.2383385045758549</v>
      </c>
      <c r="M30" s="10">
        <f t="shared" si="4"/>
        <v>0.24205360539622117</v>
      </c>
      <c r="P30" s="8">
        <f t="shared" si="5"/>
        <v>-32.626243680277547</v>
      </c>
    </row>
    <row r="31" spans="1:16" x14ac:dyDescent="0.2">
      <c r="A31" s="8">
        <v>14.5</v>
      </c>
      <c r="B31" s="8">
        <v>29</v>
      </c>
      <c r="D31">
        <v>1749.9656616415</v>
      </c>
      <c r="E31">
        <v>504.12311557789002</v>
      </c>
      <c r="F31">
        <v>142.08319327730999</v>
      </c>
      <c r="G31">
        <v>119.44537815126</v>
      </c>
      <c r="I31" s="9">
        <f t="shared" si="1"/>
        <v>384.67773742663002</v>
      </c>
      <c r="J31" s="9">
        <f t="shared" si="2"/>
        <v>1607.8824683641901</v>
      </c>
      <c r="K31" s="9">
        <f t="shared" si="3"/>
        <v>384.67773742663002</v>
      </c>
      <c r="L31" s="10">
        <f t="shared" si="0"/>
        <v>0.23924493549456338</v>
      </c>
      <c r="M31" s="10">
        <f t="shared" si="4"/>
        <v>0.24309271848708561</v>
      </c>
      <c r="P31" s="8">
        <f t="shared" si="5"/>
        <v>-32.337014556596714</v>
      </c>
    </row>
    <row r="32" spans="1:16" x14ac:dyDescent="0.2">
      <c r="A32" s="8">
        <v>15</v>
      </c>
      <c r="B32" s="8">
        <v>30</v>
      </c>
      <c r="D32">
        <v>1723.391959799</v>
      </c>
      <c r="E32">
        <v>504.71943048575997</v>
      </c>
      <c r="F32">
        <v>142.38823529411999</v>
      </c>
      <c r="G32">
        <v>119.27478991597</v>
      </c>
      <c r="I32" s="9">
        <f t="shared" si="1"/>
        <v>385.44464056978995</v>
      </c>
      <c r="J32" s="9">
        <f t="shared" si="2"/>
        <v>1581.00372450488</v>
      </c>
      <c r="K32" s="9">
        <f t="shared" si="3"/>
        <v>385.44464056978995</v>
      </c>
      <c r="L32" s="10">
        <f t="shared" si="0"/>
        <v>0.2437974272897421</v>
      </c>
      <c r="M32" s="10">
        <f t="shared" si="4"/>
        <v>0.24777789245442025</v>
      </c>
      <c r="P32" s="8">
        <f t="shared" si="5"/>
        <v>-31.032932476621056</v>
      </c>
    </row>
    <row r="33" spans="1:16" x14ac:dyDescent="0.2">
      <c r="A33" s="8">
        <v>15.5</v>
      </c>
      <c r="B33" s="8">
        <v>31</v>
      </c>
      <c r="D33">
        <v>1735.4438860972</v>
      </c>
      <c r="E33">
        <v>507.50670016750001</v>
      </c>
      <c r="F33">
        <v>142.2974789916</v>
      </c>
      <c r="G33">
        <v>119.50756302521</v>
      </c>
      <c r="I33" s="9">
        <f t="shared" si="1"/>
        <v>387.99913714229001</v>
      </c>
      <c r="J33" s="9">
        <f t="shared" si="2"/>
        <v>1593.1464071056</v>
      </c>
      <c r="K33" s="9">
        <f t="shared" si="3"/>
        <v>387.99913714229001</v>
      </c>
      <c r="L33" s="10">
        <f t="shared" si="0"/>
        <v>0.24354267467934723</v>
      </c>
      <c r="M33" s="10">
        <f t="shared" si="4"/>
        <v>0.24765582201618133</v>
      </c>
      <c r="P33" s="8">
        <f t="shared" si="5"/>
        <v>-31.0669098426937</v>
      </c>
    </row>
    <row r="34" spans="1:16" x14ac:dyDescent="0.2">
      <c r="A34" s="8">
        <v>16</v>
      </c>
      <c r="B34" s="8">
        <v>32</v>
      </c>
      <c r="D34">
        <v>1743.1825795645</v>
      </c>
      <c r="E34">
        <v>524.33082077051995</v>
      </c>
      <c r="F34">
        <v>142.69327731092</v>
      </c>
      <c r="G34">
        <v>119.17394957982999</v>
      </c>
      <c r="I34" s="9">
        <f t="shared" si="1"/>
        <v>405.15687119068997</v>
      </c>
      <c r="J34" s="9">
        <f t="shared" si="2"/>
        <v>1600.48930225358</v>
      </c>
      <c r="K34" s="9">
        <f t="shared" si="3"/>
        <v>405.15687119068997</v>
      </c>
      <c r="L34" s="10">
        <f t="shared" si="0"/>
        <v>0.25314562903994797</v>
      </c>
      <c r="M34" s="10">
        <f t="shared" si="4"/>
        <v>0.25739145854893802</v>
      </c>
      <c r="P34" s="8">
        <f t="shared" si="5"/>
        <v>-28.357070415589767</v>
      </c>
    </row>
    <row r="35" spans="1:16" x14ac:dyDescent="0.2">
      <c r="A35" s="8">
        <v>16.5</v>
      </c>
      <c r="B35" s="8">
        <v>33</v>
      </c>
      <c r="D35">
        <v>1742.5041876047001</v>
      </c>
      <c r="E35">
        <v>522.23618090451998</v>
      </c>
      <c r="F35">
        <v>142.24453781513</v>
      </c>
      <c r="G35">
        <v>119.46302521008</v>
      </c>
      <c r="I35" s="9">
        <f t="shared" si="1"/>
        <v>402.77315569443999</v>
      </c>
      <c r="J35" s="9">
        <f t="shared" si="2"/>
        <v>1600.2596497895702</v>
      </c>
      <c r="K35" s="9">
        <f t="shared" si="3"/>
        <v>402.77315569443999</v>
      </c>
      <c r="L35" s="10">
        <f t="shared" si="0"/>
        <v>0.25169237738850914</v>
      </c>
      <c r="M35" s="10">
        <f t="shared" si="4"/>
        <v>0.25607088906965508</v>
      </c>
      <c r="P35" s="8">
        <f t="shared" si="5"/>
        <v>-28.724640756691826</v>
      </c>
    </row>
    <row r="36" spans="1:16" x14ac:dyDescent="0.2">
      <c r="A36" s="8">
        <v>17</v>
      </c>
      <c r="B36" s="8">
        <v>34</v>
      </c>
      <c r="D36">
        <v>1747.8207705192999</v>
      </c>
      <c r="E36">
        <v>523.40954773868998</v>
      </c>
      <c r="F36">
        <v>141.89075630252</v>
      </c>
      <c r="G36">
        <v>119.43277310924</v>
      </c>
      <c r="I36" s="9">
        <f t="shared" si="1"/>
        <v>403.97677462945001</v>
      </c>
      <c r="J36" s="9">
        <f t="shared" si="2"/>
        <v>1605.9300142167799</v>
      </c>
      <c r="K36" s="9">
        <f t="shared" si="3"/>
        <v>403.97677462945001</v>
      </c>
      <c r="L36" s="10">
        <f t="shared" si="0"/>
        <v>0.25155316299787289</v>
      </c>
      <c r="M36" s="10">
        <f t="shared" si="4"/>
        <v>0.25606435685117479</v>
      </c>
      <c r="P36" s="8">
        <f t="shared" si="5"/>
        <v>-28.72645894938265</v>
      </c>
    </row>
    <row r="37" spans="1:16" x14ac:dyDescent="0.2">
      <c r="A37" s="8">
        <v>17.5</v>
      </c>
      <c r="B37" s="8">
        <v>35</v>
      </c>
      <c r="D37">
        <v>1747.5770519263001</v>
      </c>
      <c r="E37">
        <v>517.15829145729003</v>
      </c>
      <c r="F37">
        <v>142.24369747898999</v>
      </c>
      <c r="G37">
        <v>119.60588235294</v>
      </c>
      <c r="I37" s="9">
        <f t="shared" si="1"/>
        <v>397.55240910435003</v>
      </c>
      <c r="J37" s="9">
        <f t="shared" si="2"/>
        <v>1605.3333544473101</v>
      </c>
      <c r="K37" s="9">
        <f t="shared" si="3"/>
        <v>397.55240910435003</v>
      </c>
      <c r="L37" s="10">
        <f t="shared" si="0"/>
        <v>0.24764476985605324</v>
      </c>
      <c r="M37" s="10">
        <f t="shared" si="4"/>
        <v>0.25228864588151112</v>
      </c>
      <c r="P37" s="8">
        <f t="shared" si="5"/>
        <v>-29.777399010314269</v>
      </c>
    </row>
    <row r="38" spans="1:16" x14ac:dyDescent="0.2">
      <c r="A38" s="8">
        <v>18</v>
      </c>
      <c r="B38" s="8">
        <v>36</v>
      </c>
      <c r="D38">
        <v>1731.8743718593</v>
      </c>
      <c r="E38">
        <v>515.82412060301999</v>
      </c>
      <c r="F38">
        <v>143.08151260503999</v>
      </c>
      <c r="G38">
        <v>119.22689075629999</v>
      </c>
      <c r="I38" s="9">
        <f t="shared" si="1"/>
        <v>396.59722984671998</v>
      </c>
      <c r="J38" s="9">
        <f t="shared" si="2"/>
        <v>1588.7928592542601</v>
      </c>
      <c r="K38" s="9">
        <f t="shared" si="3"/>
        <v>396.59722984671998</v>
      </c>
      <c r="L38" s="10">
        <f t="shared" si="0"/>
        <v>0.2496217348514978</v>
      </c>
      <c r="M38" s="10">
        <f t="shared" si="4"/>
        <v>0.2543982930491116</v>
      </c>
      <c r="P38" s="8">
        <f t="shared" si="5"/>
        <v>-29.190194973597507</v>
      </c>
    </row>
    <row r="39" spans="1:16" x14ac:dyDescent="0.2">
      <c r="A39" s="8">
        <v>18.5</v>
      </c>
      <c r="B39" s="8">
        <v>37</v>
      </c>
      <c r="D39">
        <v>1740.1591289782</v>
      </c>
      <c r="E39">
        <v>522.10385259632005</v>
      </c>
      <c r="F39">
        <v>142.43697478991999</v>
      </c>
      <c r="G39">
        <v>120.12521008403</v>
      </c>
      <c r="I39" s="9">
        <f t="shared" si="1"/>
        <v>401.97864251229004</v>
      </c>
      <c r="J39" s="9">
        <f t="shared" si="2"/>
        <v>1597.72215418828</v>
      </c>
      <c r="K39" s="9">
        <f t="shared" si="3"/>
        <v>401.97864251229004</v>
      </c>
      <c r="L39" s="10">
        <f t="shared" si="0"/>
        <v>0.25159483547157457</v>
      </c>
      <c r="M39" s="10">
        <f t="shared" si="4"/>
        <v>0.25650407584134433</v>
      </c>
      <c r="P39" s="8">
        <f t="shared" si="5"/>
        <v>-28.604066555993828</v>
      </c>
    </row>
    <row r="40" spans="1:16" x14ac:dyDescent="0.2">
      <c r="A40" s="8">
        <v>19</v>
      </c>
      <c r="B40" s="8">
        <v>38</v>
      </c>
      <c r="D40">
        <v>1755.1423785595</v>
      </c>
      <c r="E40">
        <v>543.01340033501003</v>
      </c>
      <c r="F40">
        <v>142.36638655461999</v>
      </c>
      <c r="G40">
        <v>120.17058823529</v>
      </c>
      <c r="I40" s="9">
        <f t="shared" si="1"/>
        <v>422.84281209972005</v>
      </c>
      <c r="J40" s="9">
        <f t="shared" si="2"/>
        <v>1612.77599200488</v>
      </c>
      <c r="K40" s="9">
        <f t="shared" si="3"/>
        <v>422.84281209972005</v>
      </c>
      <c r="L40" s="10">
        <f t="shared" si="0"/>
        <v>0.26218322581431419</v>
      </c>
      <c r="M40" s="10">
        <f t="shared" si="4"/>
        <v>0.26722514835623984</v>
      </c>
      <c r="P40" s="8">
        <f t="shared" si="5"/>
        <v>-25.619938614902971</v>
      </c>
    </row>
    <row r="41" spans="1:16" x14ac:dyDescent="0.2">
      <c r="A41" s="8">
        <v>19.5</v>
      </c>
      <c r="B41" s="8">
        <v>39</v>
      </c>
      <c r="D41">
        <v>1721.1532663317</v>
      </c>
      <c r="E41">
        <v>531.33752093802002</v>
      </c>
      <c r="F41">
        <v>142.23781512605001</v>
      </c>
      <c r="G41">
        <v>119.62773109244</v>
      </c>
      <c r="I41" s="9">
        <f t="shared" si="1"/>
        <v>411.70978984558002</v>
      </c>
      <c r="J41" s="9">
        <f t="shared" si="2"/>
        <v>1578.91545120565</v>
      </c>
      <c r="K41" s="9">
        <f t="shared" si="3"/>
        <v>411.70978984558002</v>
      </c>
      <c r="L41" s="10">
        <f t="shared" si="0"/>
        <v>0.26075480452813415</v>
      </c>
      <c r="M41" s="10">
        <f t="shared" si="4"/>
        <v>0.26592940924221575</v>
      </c>
      <c r="P41" s="8">
        <f t="shared" si="5"/>
        <v>-25.980597615124395</v>
      </c>
    </row>
    <row r="42" spans="1:16" x14ac:dyDescent="0.2">
      <c r="A42" s="8">
        <v>20</v>
      </c>
      <c r="B42" s="8">
        <v>40</v>
      </c>
      <c r="D42">
        <v>1725.3461538462</v>
      </c>
      <c r="E42">
        <v>541.31856187290998</v>
      </c>
      <c r="F42">
        <v>142.3781512605</v>
      </c>
      <c r="G42">
        <v>119.54117647059</v>
      </c>
      <c r="I42" s="9">
        <f t="shared" si="1"/>
        <v>421.77738540231996</v>
      </c>
      <c r="J42" s="9">
        <f t="shared" si="2"/>
        <v>1582.9680025856999</v>
      </c>
      <c r="K42" s="9">
        <f t="shared" si="3"/>
        <v>421.77738540231996</v>
      </c>
      <c r="L42" s="10">
        <f t="shared" si="0"/>
        <v>0.26644719584563142</v>
      </c>
      <c r="M42" s="10">
        <f t="shared" si="4"/>
        <v>0.27175448273186897</v>
      </c>
      <c r="P42" s="8">
        <f t="shared" si="5"/>
        <v>-24.359233284715216</v>
      </c>
    </row>
    <row r="43" spans="1:16" x14ac:dyDescent="0.2">
      <c r="A43" s="8">
        <v>20.5</v>
      </c>
      <c r="B43" s="8">
        <v>41</v>
      </c>
      <c r="D43">
        <v>1741.8394648829001</v>
      </c>
      <c r="E43">
        <v>554.51923076923003</v>
      </c>
      <c r="F43">
        <v>142.75630252101001</v>
      </c>
      <c r="G43">
        <v>119.74369747899</v>
      </c>
      <c r="I43" s="9">
        <f t="shared" si="1"/>
        <v>434.77553329024005</v>
      </c>
      <c r="J43" s="9">
        <f t="shared" si="2"/>
        <v>1599.0831623618901</v>
      </c>
      <c r="K43" s="9">
        <f t="shared" si="3"/>
        <v>434.77553329024005</v>
      </c>
      <c r="L43" s="10">
        <f t="shared" si="0"/>
        <v>0.27189050796336606</v>
      </c>
      <c r="M43" s="10">
        <f t="shared" si="4"/>
        <v>0.27733047702175956</v>
      </c>
      <c r="P43" s="8">
        <f t="shared" si="5"/>
        <v>-22.807198230693597</v>
      </c>
    </row>
    <row r="44" spans="1:16" x14ac:dyDescent="0.2">
      <c r="A44" s="8">
        <v>21</v>
      </c>
      <c r="B44" s="8">
        <v>42</v>
      </c>
      <c r="D44">
        <v>1758.3720735786001</v>
      </c>
      <c r="E44">
        <v>572.42558528428003</v>
      </c>
      <c r="F44">
        <v>142.89327731092001</v>
      </c>
      <c r="G44">
        <v>120.0974789916</v>
      </c>
      <c r="I44" s="9">
        <f t="shared" si="1"/>
        <v>452.32810629268005</v>
      </c>
      <c r="J44" s="9">
        <f t="shared" si="2"/>
        <v>1615.4787962676801</v>
      </c>
      <c r="K44" s="9">
        <f t="shared" si="3"/>
        <v>452.32810629268005</v>
      </c>
      <c r="L44" s="10">
        <f t="shared" si="0"/>
        <v>0.27999631275737935</v>
      </c>
      <c r="M44" s="10">
        <f t="shared" si="4"/>
        <v>0.28556896398792875</v>
      </c>
      <c r="P44" s="8">
        <f t="shared" si="5"/>
        <v>-20.514078851648158</v>
      </c>
    </row>
    <row r="45" spans="1:16" x14ac:dyDescent="0.2">
      <c r="A45" s="8">
        <v>21.5</v>
      </c>
      <c r="B45" s="8">
        <v>43</v>
      </c>
      <c r="D45">
        <v>1749.9548494983001</v>
      </c>
      <c r="E45">
        <v>572.20568561872994</v>
      </c>
      <c r="F45">
        <v>142.99411764705999</v>
      </c>
      <c r="G45">
        <v>120.20084033613</v>
      </c>
      <c r="I45" s="9">
        <f t="shared" si="1"/>
        <v>452.00484528259994</v>
      </c>
      <c r="J45" s="9">
        <f t="shared" si="2"/>
        <v>1606.9607318512401</v>
      </c>
      <c r="K45" s="9">
        <f t="shared" si="3"/>
        <v>452.00484528259994</v>
      </c>
      <c r="L45" s="10">
        <f t="shared" si="0"/>
        <v>0.28127933453724435</v>
      </c>
      <c r="M45" s="10">
        <f t="shared" si="4"/>
        <v>0.2869846679399497</v>
      </c>
      <c r="P45" s="8">
        <f t="shared" si="5"/>
        <v>-20.120028562960258</v>
      </c>
    </row>
    <row r="46" spans="1:16" x14ac:dyDescent="0.2">
      <c r="A46" s="8">
        <v>22</v>
      </c>
      <c r="B46" s="8">
        <v>44</v>
      </c>
      <c r="D46">
        <v>1731.6780936455</v>
      </c>
      <c r="E46">
        <v>558.55183946488</v>
      </c>
      <c r="F46">
        <v>142.42941176471001</v>
      </c>
      <c r="G46">
        <v>120.11344537815</v>
      </c>
      <c r="I46" s="9">
        <f t="shared" si="1"/>
        <v>438.43839408673</v>
      </c>
      <c r="J46" s="9">
        <f t="shared" si="2"/>
        <v>1589.2486818807899</v>
      </c>
      <c r="K46" s="9">
        <f t="shared" si="3"/>
        <v>438.43839408673</v>
      </c>
      <c r="L46" s="10">
        <f t="shared" si="0"/>
        <v>0.27587777739595909</v>
      </c>
      <c r="M46" s="10">
        <f t="shared" si="4"/>
        <v>0.28171579297082039</v>
      </c>
      <c r="P46" s="8">
        <f t="shared" si="5"/>
        <v>-21.58657932004617</v>
      </c>
    </row>
    <row r="47" spans="1:16" x14ac:dyDescent="0.2">
      <c r="A47" s="8">
        <v>22.5</v>
      </c>
      <c r="B47" s="8">
        <v>45</v>
      </c>
      <c r="D47">
        <v>1748.5459866220999</v>
      </c>
      <c r="E47">
        <v>571.84030100334996</v>
      </c>
      <c r="F47">
        <v>142.27647058823999</v>
      </c>
      <c r="G47">
        <v>120.1</v>
      </c>
      <c r="I47" s="9">
        <f t="shared" si="1"/>
        <v>451.74030100334994</v>
      </c>
      <c r="J47" s="9">
        <f t="shared" si="2"/>
        <v>1606.2695160338599</v>
      </c>
      <c r="K47" s="9">
        <f t="shared" si="3"/>
        <v>451.74030100334994</v>
      </c>
      <c r="L47" s="10">
        <f t="shared" si="0"/>
        <v>0.2812356808705242</v>
      </c>
      <c r="M47" s="10">
        <f t="shared" si="4"/>
        <v>0.28720637861754145</v>
      </c>
      <c r="P47" s="8">
        <f t="shared" si="5"/>
        <v>-20.058317103876245</v>
      </c>
    </row>
    <row r="48" spans="1:16" x14ac:dyDescent="0.2">
      <c r="A48" s="8">
        <v>23</v>
      </c>
      <c r="B48" s="8">
        <v>46</v>
      </c>
      <c r="D48">
        <v>1756.4983277592</v>
      </c>
      <c r="E48">
        <v>579.40217391303997</v>
      </c>
      <c r="F48">
        <v>143.10336134453999</v>
      </c>
      <c r="G48">
        <v>119.77142857142999</v>
      </c>
      <c r="I48" s="9">
        <f t="shared" si="1"/>
        <v>459.63074534161001</v>
      </c>
      <c r="J48" s="9">
        <f t="shared" si="2"/>
        <v>1613.3949664146601</v>
      </c>
      <c r="K48" s="9">
        <f t="shared" si="3"/>
        <v>459.63074534161001</v>
      </c>
      <c r="L48" s="10">
        <f t="shared" si="0"/>
        <v>0.28488420684924831</v>
      </c>
      <c r="M48" s="10">
        <f t="shared" si="4"/>
        <v>0.29098758676842146</v>
      </c>
      <c r="P48" s="8">
        <f t="shared" si="5"/>
        <v>-19.005846944902459</v>
      </c>
    </row>
    <row r="49" spans="1:25" x14ac:dyDescent="0.2">
      <c r="A49" s="8">
        <v>23.5</v>
      </c>
      <c r="B49" s="8">
        <v>47</v>
      </c>
      <c r="D49">
        <v>1748.1822742474999</v>
      </c>
      <c r="E49">
        <v>583.73913043478001</v>
      </c>
      <c r="F49">
        <v>142.93697478991999</v>
      </c>
      <c r="G49">
        <v>119.95210084033999</v>
      </c>
      <c r="I49" s="9">
        <f t="shared" si="1"/>
        <v>463.78702959444001</v>
      </c>
      <c r="J49" s="9">
        <f t="shared" si="2"/>
        <v>1605.2452994575799</v>
      </c>
      <c r="K49" s="9">
        <f t="shared" si="3"/>
        <v>463.78702959444001</v>
      </c>
      <c r="L49" s="10">
        <f t="shared" si="0"/>
        <v>0.28891972445031039</v>
      </c>
      <c r="M49" s="10">
        <f t="shared" si="4"/>
        <v>0.29515578654163949</v>
      </c>
      <c r="P49" s="8">
        <f t="shared" si="5"/>
        <v>-17.84566064917254</v>
      </c>
    </row>
    <row r="50" spans="1:25" x14ac:dyDescent="0.2">
      <c r="A50" s="8">
        <v>24</v>
      </c>
      <c r="B50" s="8">
        <v>48</v>
      </c>
      <c r="D50">
        <v>1742.9481605351</v>
      </c>
      <c r="E50">
        <v>590.87290969900005</v>
      </c>
      <c r="F50">
        <v>142.69411764706001</v>
      </c>
      <c r="G50">
        <v>119.90336134454</v>
      </c>
      <c r="I50" s="9">
        <f t="shared" si="1"/>
        <v>470.96954835446002</v>
      </c>
      <c r="J50" s="9">
        <f t="shared" si="2"/>
        <v>1600.25404288804</v>
      </c>
      <c r="K50" s="9">
        <f t="shared" si="3"/>
        <v>470.96954835446002</v>
      </c>
      <c r="L50" s="10">
        <f t="shared" si="0"/>
        <v>0.29430923824100025</v>
      </c>
      <c r="M50" s="10">
        <f t="shared" si="4"/>
        <v>0.3006779825044853</v>
      </c>
      <c r="P50" s="8">
        <f t="shared" si="5"/>
        <v>-16.308599945030114</v>
      </c>
    </row>
    <row r="51" spans="1:25" x14ac:dyDescent="0.2">
      <c r="A51" s="8">
        <v>24.5</v>
      </c>
      <c r="B51" s="8">
        <v>49</v>
      </c>
      <c r="D51">
        <v>1748.0727424749</v>
      </c>
      <c r="E51">
        <v>597.78595317726001</v>
      </c>
      <c r="F51">
        <v>142.90252100839999</v>
      </c>
      <c r="G51">
        <v>120.25294117647</v>
      </c>
      <c r="I51" s="9">
        <f t="shared" si="1"/>
        <v>477.53301200078999</v>
      </c>
      <c r="J51" s="9">
        <f t="shared" si="2"/>
        <v>1605.1702214664999</v>
      </c>
      <c r="K51" s="9">
        <f t="shared" si="3"/>
        <v>477.53301200078999</v>
      </c>
      <c r="L51" s="10">
        <f t="shared" si="0"/>
        <v>0.29749680477159046</v>
      </c>
      <c r="M51" s="10">
        <f t="shared" si="4"/>
        <v>0.30399823120723146</v>
      </c>
      <c r="P51" s="8">
        <f t="shared" si="5"/>
        <v>-15.38443429728642</v>
      </c>
    </row>
    <row r="52" spans="1:25" x14ac:dyDescent="0.2">
      <c r="A52" s="8">
        <v>25</v>
      </c>
      <c r="B52" s="8">
        <v>50</v>
      </c>
      <c r="D52">
        <v>1746.0342809365</v>
      </c>
      <c r="E52">
        <v>596.50919732442003</v>
      </c>
      <c r="F52">
        <v>143.29915966387</v>
      </c>
      <c r="G52">
        <v>120.31428571428999</v>
      </c>
      <c r="I52" s="9">
        <f t="shared" si="1"/>
        <v>476.19491161013002</v>
      </c>
      <c r="J52" s="9">
        <f t="shared" si="2"/>
        <v>1602.7351212726298</v>
      </c>
      <c r="K52" s="9">
        <f t="shared" si="3"/>
        <v>476.19491161013002</v>
      </c>
      <c r="L52" s="10">
        <f t="shared" si="0"/>
        <v>0.29711391813265686</v>
      </c>
      <c r="M52" s="10">
        <f t="shared" si="4"/>
        <v>0.30374802674045381</v>
      </c>
      <c r="P52" s="8">
        <f t="shared" si="5"/>
        <v>-15.45407678307873</v>
      </c>
    </row>
    <row r="53" spans="1:25" x14ac:dyDescent="0.2">
      <c r="A53" s="8">
        <v>25.5</v>
      </c>
      <c r="B53" s="8">
        <v>51</v>
      </c>
      <c r="D53">
        <v>1785.1705685618999</v>
      </c>
      <c r="E53">
        <v>628.99163879598996</v>
      </c>
      <c r="F53">
        <v>143.56134453781999</v>
      </c>
      <c r="G53">
        <v>120.45294117647001</v>
      </c>
      <c r="I53" s="9">
        <f t="shared" si="1"/>
        <v>508.53869761951995</v>
      </c>
      <c r="J53" s="9">
        <f t="shared" si="2"/>
        <v>1641.60922402408</v>
      </c>
      <c r="K53" s="9">
        <f t="shared" si="3"/>
        <v>508.53869761951995</v>
      </c>
      <c r="L53" s="10">
        <f t="shared" si="0"/>
        <v>0.30978060440775179</v>
      </c>
      <c r="M53" s="10">
        <f t="shared" si="4"/>
        <v>0.31654739518770464</v>
      </c>
      <c r="P53" s="8">
        <f t="shared" si="5"/>
        <v>-11.891471180076692</v>
      </c>
      <c r="S53" s="11"/>
      <c r="U53" s="12"/>
    </row>
    <row r="54" spans="1:25" x14ac:dyDescent="0.2">
      <c r="A54" s="8">
        <v>26</v>
      </c>
      <c r="B54" s="8">
        <v>52</v>
      </c>
      <c r="D54">
        <v>1752.3637123746</v>
      </c>
      <c r="E54">
        <v>623.02257525083996</v>
      </c>
      <c r="F54">
        <v>143.15714285714</v>
      </c>
      <c r="G54">
        <v>120.04117647059</v>
      </c>
      <c r="I54" s="9">
        <f t="shared" si="1"/>
        <v>502.98139878024995</v>
      </c>
      <c r="J54" s="9">
        <f t="shared" si="2"/>
        <v>1609.2065695174601</v>
      </c>
      <c r="K54" s="9">
        <f t="shared" si="3"/>
        <v>502.98139878024995</v>
      </c>
      <c r="L54" s="10">
        <f t="shared" si="0"/>
        <v>0.31256484301519782</v>
      </c>
      <c r="M54" s="10">
        <f t="shared" si="4"/>
        <v>0.31946431596730662</v>
      </c>
      <c r="P54" s="8">
        <f t="shared" si="5"/>
        <v>-11.079568752566283</v>
      </c>
      <c r="S54" s="11"/>
    </row>
    <row r="55" spans="1:25" x14ac:dyDescent="0.2">
      <c r="A55" s="8">
        <v>26.5</v>
      </c>
      <c r="B55" s="8">
        <v>53</v>
      </c>
      <c r="D55">
        <v>1742.7157190636001</v>
      </c>
      <c r="E55">
        <v>607.99581939798998</v>
      </c>
      <c r="F55">
        <v>143.28319327731</v>
      </c>
      <c r="G55">
        <v>119.97478991597001</v>
      </c>
      <c r="I55" s="9">
        <f t="shared" si="1"/>
        <v>488.02102948201997</v>
      </c>
      <c r="J55" s="9">
        <f t="shared" si="2"/>
        <v>1599.4325257862902</v>
      </c>
      <c r="K55" s="9">
        <f t="shared" si="3"/>
        <v>488.02102948201997</v>
      </c>
      <c r="L55" s="10">
        <f t="shared" si="0"/>
        <v>0.30512136124161038</v>
      </c>
      <c r="M55" s="10">
        <f t="shared" si="4"/>
        <v>0.31215351636587513</v>
      </c>
      <c r="P55" s="8">
        <f t="shared" si="5"/>
        <v>-13.114473500392274</v>
      </c>
      <c r="S55" s="11"/>
    </row>
    <row r="56" spans="1:25" x14ac:dyDescent="0.2">
      <c r="A56" s="8">
        <v>27</v>
      </c>
      <c r="B56" s="8">
        <v>54</v>
      </c>
      <c r="D56">
        <v>1761.6747491639001</v>
      </c>
      <c r="E56">
        <v>632.51254180601995</v>
      </c>
      <c r="F56">
        <v>143.76470588235</v>
      </c>
      <c r="G56">
        <v>120.16638655462</v>
      </c>
      <c r="I56" s="9">
        <f t="shared" si="1"/>
        <v>512.34615525139998</v>
      </c>
      <c r="J56" s="9">
        <f t="shared" si="2"/>
        <v>1617.9100432815501</v>
      </c>
      <c r="K56" s="9">
        <f t="shared" si="3"/>
        <v>512.34615525139998</v>
      </c>
      <c r="L56" s="10">
        <f t="shared" si="0"/>
        <v>0.31667159579047194</v>
      </c>
      <c r="M56" s="10">
        <f t="shared" si="4"/>
        <v>0.32383643308689264</v>
      </c>
      <c r="P56" s="8">
        <f t="shared" si="5"/>
        <v>-9.8626236344214995</v>
      </c>
      <c r="S56" s="11"/>
    </row>
    <row r="57" spans="1:25" x14ac:dyDescent="0.2">
      <c r="A57" s="8">
        <v>27.5</v>
      </c>
      <c r="B57" s="8">
        <v>55</v>
      </c>
      <c r="D57">
        <v>1783.7098662207</v>
      </c>
      <c r="E57">
        <v>642.45986622073997</v>
      </c>
      <c r="F57">
        <v>143.50168067227</v>
      </c>
      <c r="G57">
        <v>120.33277310923999</v>
      </c>
      <c r="I57" s="9">
        <f t="shared" si="1"/>
        <v>522.12709311150002</v>
      </c>
      <c r="J57" s="9">
        <f t="shared" si="2"/>
        <v>1640.20818554843</v>
      </c>
      <c r="K57" s="9">
        <f t="shared" si="3"/>
        <v>522.12709311150002</v>
      </c>
      <c r="L57" s="10">
        <f t="shared" si="0"/>
        <v>0.31832976917922062</v>
      </c>
      <c r="M57" s="10">
        <f t="shared" si="4"/>
        <v>0.32562728864779722</v>
      </c>
      <c r="P57" s="8">
        <f t="shared" si="5"/>
        <v>-9.3641527855089191</v>
      </c>
      <c r="S57" s="11"/>
    </row>
    <row r="58" spans="1:25" x14ac:dyDescent="0.2">
      <c r="A58" s="8">
        <v>28</v>
      </c>
      <c r="B58" s="8">
        <v>56</v>
      </c>
      <c r="D58">
        <v>1812.5192307692</v>
      </c>
      <c r="E58">
        <v>673.93561872910004</v>
      </c>
      <c r="F58">
        <v>143.39411764706</v>
      </c>
      <c r="G58">
        <v>120.76974789916</v>
      </c>
      <c r="I58" s="9">
        <f t="shared" si="1"/>
        <v>553.1658708299401</v>
      </c>
      <c r="J58" s="9">
        <f t="shared" si="2"/>
        <v>1669.12511312214</v>
      </c>
      <c r="K58" s="9">
        <f t="shared" si="3"/>
        <v>553.1658708299401</v>
      </c>
      <c r="L58" s="10">
        <f t="shared" si="0"/>
        <v>0.33141066926686497</v>
      </c>
      <c r="M58" s="10">
        <f t="shared" si="4"/>
        <v>0.33884087090759751</v>
      </c>
      <c r="P58" s="8">
        <f t="shared" si="5"/>
        <v>-5.6862539588207932</v>
      </c>
      <c r="S58" s="11"/>
    </row>
    <row r="59" spans="1:25" x14ac:dyDescent="0.2">
      <c r="A59" s="8">
        <v>28.5</v>
      </c>
      <c r="B59" s="8">
        <v>57</v>
      </c>
      <c r="D59">
        <v>1810.1755852843</v>
      </c>
      <c r="E59">
        <v>667.59698996656005</v>
      </c>
      <c r="F59">
        <v>144.36890756303001</v>
      </c>
      <c r="G59">
        <v>120.43613445378</v>
      </c>
      <c r="I59" s="9">
        <f t="shared" si="1"/>
        <v>547.16085551278002</v>
      </c>
      <c r="J59" s="9">
        <f t="shared" si="2"/>
        <v>1665.80667772127</v>
      </c>
      <c r="K59" s="9">
        <f t="shared" si="3"/>
        <v>547.16085551278002</v>
      </c>
      <c r="L59" s="10">
        <f t="shared" si="0"/>
        <v>0.32846599958481698</v>
      </c>
      <c r="M59" s="10">
        <f t="shared" si="4"/>
        <v>0.33602888339770548</v>
      </c>
      <c r="P59" s="8">
        <f t="shared" si="5"/>
        <v>-6.4689490190965886</v>
      </c>
      <c r="R59" s="1"/>
      <c r="S59" s="11"/>
    </row>
    <row r="60" spans="1:25" x14ac:dyDescent="0.2">
      <c r="A60" s="8">
        <v>29</v>
      </c>
      <c r="B60" s="8">
        <v>58</v>
      </c>
      <c r="D60">
        <v>1778.5</v>
      </c>
      <c r="E60">
        <v>658.59030100334996</v>
      </c>
      <c r="F60">
        <v>143.33277310924001</v>
      </c>
      <c r="G60">
        <v>120.21428571429</v>
      </c>
      <c r="I60" s="9">
        <f t="shared" si="1"/>
        <v>538.37601528905998</v>
      </c>
      <c r="J60" s="9">
        <f t="shared" si="2"/>
        <v>1635.16722689076</v>
      </c>
      <c r="K60" s="9">
        <f t="shared" si="3"/>
        <v>538.37601528905998</v>
      </c>
      <c r="L60" s="10">
        <f t="shared" si="0"/>
        <v>0.32924829120552512</v>
      </c>
      <c r="M60" s="10">
        <f t="shared" si="4"/>
        <v>0.33694385719056957</v>
      </c>
      <c r="P60" s="8">
        <f t="shared" si="5"/>
        <v>-6.2142731126648307</v>
      </c>
      <c r="S60" s="11"/>
    </row>
    <row r="61" spans="1:25" x14ac:dyDescent="0.2">
      <c r="A61" s="8">
        <v>29.5</v>
      </c>
      <c r="B61" s="8">
        <v>59</v>
      </c>
      <c r="C61" s="2"/>
      <c r="D61">
        <v>1769.1162207358</v>
      </c>
      <c r="E61">
        <v>650.94648829431003</v>
      </c>
      <c r="F61">
        <v>143.80084033612999</v>
      </c>
      <c r="G61">
        <v>120.61260504201999</v>
      </c>
      <c r="I61" s="9">
        <f t="shared" si="1"/>
        <v>530.33388325228998</v>
      </c>
      <c r="J61" s="9">
        <f t="shared" si="2"/>
        <v>1625.3153803996699</v>
      </c>
      <c r="K61" s="9">
        <f t="shared" si="3"/>
        <v>530.33388325228998</v>
      </c>
      <c r="L61" s="10">
        <f t="shared" si="0"/>
        <v>0.32629598516558633</v>
      </c>
      <c r="M61" s="10">
        <f t="shared" si="4"/>
        <v>0.33412423332278673</v>
      </c>
      <c r="P61" s="8">
        <f t="shared" si="5"/>
        <v>-6.9990936943302513</v>
      </c>
      <c r="S61" s="11"/>
    </row>
    <row r="62" spans="1:25" x14ac:dyDescent="0.2">
      <c r="A62" s="8">
        <v>30</v>
      </c>
      <c r="B62" s="8">
        <v>60</v>
      </c>
      <c r="D62">
        <v>1770.5618729097</v>
      </c>
      <c r="E62">
        <v>645.12876254181003</v>
      </c>
      <c r="F62">
        <v>143.51176470588001</v>
      </c>
      <c r="G62">
        <v>120.65882352941</v>
      </c>
      <c r="I62" s="9">
        <f t="shared" si="1"/>
        <v>524.4699390124</v>
      </c>
      <c r="J62" s="9">
        <f t="shared" si="2"/>
        <v>1627.0501082038199</v>
      </c>
      <c r="K62" s="9">
        <f t="shared" si="3"/>
        <v>524.4699390124</v>
      </c>
      <c r="L62" s="10">
        <f t="shared" si="0"/>
        <v>0.32234406080547079</v>
      </c>
      <c r="M62" s="10">
        <f t="shared" si="4"/>
        <v>0.33030499113482709</v>
      </c>
      <c r="P62" s="8">
        <f t="shared" si="5"/>
        <v>-8.0621503345170034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1761.3035117057</v>
      </c>
      <c r="E63">
        <v>646.33193979933003</v>
      </c>
      <c r="F63">
        <v>143.92521008403</v>
      </c>
      <c r="G63">
        <v>120.84033613445</v>
      </c>
      <c r="I63" s="9">
        <f t="shared" si="1"/>
        <v>525.49160366488002</v>
      </c>
      <c r="J63" s="9">
        <f t="shared" si="2"/>
        <v>1617.3783016216701</v>
      </c>
      <c r="K63" s="9">
        <f t="shared" si="3"/>
        <v>525.49160366488002</v>
      </c>
      <c r="L63" s="10">
        <f t="shared" si="0"/>
        <v>0.32490333469788363</v>
      </c>
      <c r="M63" s="10">
        <f t="shared" si="4"/>
        <v>0.33299694719939588</v>
      </c>
      <c r="P63" s="8">
        <f t="shared" si="5"/>
        <v>-7.3128651023438493</v>
      </c>
    </row>
    <row r="64" spans="1:25" x14ac:dyDescent="0.2">
      <c r="A64" s="8">
        <v>31</v>
      </c>
      <c r="B64" s="8">
        <v>62</v>
      </c>
      <c r="D64">
        <v>1750.3252508360999</v>
      </c>
      <c r="E64">
        <v>632.58779264214002</v>
      </c>
      <c r="F64">
        <v>143.50924369748</v>
      </c>
      <c r="G64">
        <v>120.18319327731</v>
      </c>
      <c r="I64" s="9">
        <f t="shared" si="1"/>
        <v>512.40459936483001</v>
      </c>
      <c r="J64" s="9">
        <f t="shared" si="2"/>
        <v>1606.8160071386199</v>
      </c>
      <c r="K64" s="9">
        <f t="shared" si="3"/>
        <v>512.40459936483001</v>
      </c>
      <c r="L64" s="10">
        <f t="shared" si="0"/>
        <v>0.3188943831081868</v>
      </c>
      <c r="M64" s="10">
        <f t="shared" si="4"/>
        <v>0.327120677781855</v>
      </c>
      <c r="P64" s="8">
        <f t="shared" si="5"/>
        <v>-8.9484794248753055</v>
      </c>
      <c r="U64" s="8">
        <v>30.5</v>
      </c>
      <c r="V64" s="10">
        <f>L62</f>
        <v>0.32234406080547079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1776.9556856187</v>
      </c>
      <c r="E65">
        <v>655.85033444815997</v>
      </c>
      <c r="F65">
        <v>143.78991596639</v>
      </c>
      <c r="G65">
        <v>120.46134453782</v>
      </c>
      <c r="I65" s="9">
        <f t="shared" si="1"/>
        <v>535.38898991034</v>
      </c>
      <c r="J65" s="9">
        <f t="shared" si="2"/>
        <v>1633.16576965231</v>
      </c>
      <c r="K65" s="9">
        <f t="shared" si="3"/>
        <v>535.38898991034</v>
      </c>
      <c r="L65" s="10">
        <f t="shared" si="0"/>
        <v>0.32782280884096704</v>
      </c>
      <c r="M65" s="10">
        <f t="shared" si="4"/>
        <v>0.33618178568679119</v>
      </c>
      <c r="P65" s="8">
        <f t="shared" si="5"/>
        <v>-6.4263898448643957</v>
      </c>
      <c r="U65" s="8">
        <v>31</v>
      </c>
      <c r="V65" s="10">
        <f t="shared" ref="V65:V83" si="6">L63</f>
        <v>0.32490333469788363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1784.1446488294</v>
      </c>
      <c r="E66">
        <v>665.0627090301</v>
      </c>
      <c r="F66">
        <v>143.88655462185</v>
      </c>
      <c r="G66">
        <v>120.89075630252</v>
      </c>
      <c r="I66" s="9">
        <f t="shared" si="1"/>
        <v>544.17195272757999</v>
      </c>
      <c r="J66" s="9">
        <f t="shared" si="2"/>
        <v>1640.2580942075501</v>
      </c>
      <c r="K66" s="9">
        <f t="shared" si="3"/>
        <v>544.17195272757999</v>
      </c>
      <c r="L66" s="10">
        <f t="shared" ref="L66:L129" si="7">K66/J66</f>
        <v>0.33175995573457795</v>
      </c>
      <c r="M66" s="10">
        <f t="shared" si="4"/>
        <v>0.340251614752558</v>
      </c>
      <c r="P66" s="8">
        <f t="shared" si="5"/>
        <v>-5.2935842777213038</v>
      </c>
      <c r="U66" s="8">
        <v>31.5</v>
      </c>
      <c r="V66" s="10">
        <f t="shared" si="6"/>
        <v>0.3188943831081868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1768.5234113711999</v>
      </c>
      <c r="E67">
        <v>660.31856187290998</v>
      </c>
      <c r="F67">
        <v>143.72689075630001</v>
      </c>
      <c r="G67">
        <v>120.37142857143</v>
      </c>
      <c r="I67" s="9">
        <f t="shared" ref="I67:I130" si="8">E67-G67</f>
        <v>539.94713330147999</v>
      </c>
      <c r="J67" s="9">
        <f t="shared" ref="J67:J130" si="9">D67-F67</f>
        <v>1624.7965206148999</v>
      </c>
      <c r="K67" s="9">
        <f t="shared" ref="K67:K130" si="10">I67*1</f>
        <v>539.94713330147999</v>
      </c>
      <c r="L67" s="10">
        <f t="shared" si="7"/>
        <v>0.33231677102381929</v>
      </c>
      <c r="M67" s="10">
        <f t="shared" ref="M67:M130" si="11">L67+ABS($N$2)*A67</f>
        <v>0.34094111221395529</v>
      </c>
      <c r="P67" s="8">
        <f t="shared" ref="P67:P130" si="12">(M67-$O$2)/$O$2*100</f>
        <v>-5.1016679711196851</v>
      </c>
      <c r="U67" s="8">
        <v>32</v>
      </c>
      <c r="V67" s="10">
        <f t="shared" si="6"/>
        <v>0.32782280884096704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1782.9581939799</v>
      </c>
      <c r="E68">
        <v>679.88377926421003</v>
      </c>
      <c r="F68">
        <v>143.50588235294001</v>
      </c>
      <c r="G68">
        <v>120.58655462185</v>
      </c>
      <c r="I68" s="9">
        <f t="shared" si="8"/>
        <v>559.29722464235999</v>
      </c>
      <c r="J68" s="9">
        <f t="shared" si="9"/>
        <v>1639.45231162696</v>
      </c>
      <c r="K68" s="9">
        <f t="shared" si="10"/>
        <v>559.29722464235999</v>
      </c>
      <c r="L68" s="10">
        <f t="shared" si="7"/>
        <v>0.34114882188145168</v>
      </c>
      <c r="M68" s="10">
        <f t="shared" si="11"/>
        <v>0.34990584524374363</v>
      </c>
      <c r="P68" s="8">
        <f t="shared" si="12"/>
        <v>-2.6064035951495343</v>
      </c>
      <c r="U68" s="8">
        <v>32.5</v>
      </c>
      <c r="V68" s="10">
        <f t="shared" si="6"/>
        <v>0.33175995573457795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1675.0175585284001</v>
      </c>
      <c r="E69">
        <v>639.99414715719001</v>
      </c>
      <c r="F69">
        <v>144.82521008403</v>
      </c>
      <c r="G69">
        <v>121.13697478992</v>
      </c>
      <c r="I69" s="9">
        <f t="shared" si="8"/>
        <v>518.85717236726998</v>
      </c>
      <c r="J69" s="9">
        <f t="shared" si="9"/>
        <v>1530.1923484443701</v>
      </c>
      <c r="K69" s="9">
        <f t="shared" si="10"/>
        <v>518.85717236726998</v>
      </c>
      <c r="L69" s="10">
        <f t="shared" si="7"/>
        <v>0.33907970647922303</v>
      </c>
      <c r="M69" s="10">
        <f t="shared" si="11"/>
        <v>0.34796941201367093</v>
      </c>
      <c r="P69" s="8">
        <f t="shared" si="12"/>
        <v>-3.1453948667679485</v>
      </c>
      <c r="U69" s="8">
        <v>33</v>
      </c>
      <c r="V69" s="10">
        <f t="shared" si="6"/>
        <v>0.33231677102381929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1685.6371237458</v>
      </c>
      <c r="E70">
        <v>663.39381270903004</v>
      </c>
      <c r="F70">
        <v>143.98151260504</v>
      </c>
      <c r="G70">
        <v>120.85042016807</v>
      </c>
      <c r="I70" s="9">
        <f t="shared" si="8"/>
        <v>542.54339254095999</v>
      </c>
      <c r="J70" s="9">
        <f t="shared" si="9"/>
        <v>1541.6556111407599</v>
      </c>
      <c r="K70" s="9">
        <f t="shared" si="10"/>
        <v>542.54339254095999</v>
      </c>
      <c r="L70" s="10">
        <f t="shared" si="7"/>
        <v>0.35192256209511075</v>
      </c>
      <c r="M70" s="10">
        <f t="shared" si="11"/>
        <v>0.36094494980171454</v>
      </c>
      <c r="P70" s="8">
        <f t="shared" si="12"/>
        <v>0.466246115063296</v>
      </c>
      <c r="U70" s="8">
        <v>33.5</v>
      </c>
      <c r="V70" s="10">
        <f t="shared" si="6"/>
        <v>0.34114882188145168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1668.6839464883001</v>
      </c>
      <c r="E71">
        <v>648.49498327758999</v>
      </c>
      <c r="F71">
        <v>144.82521008403</v>
      </c>
      <c r="G71">
        <v>121.06470588235</v>
      </c>
      <c r="I71" s="9">
        <f t="shared" si="8"/>
        <v>527.43027739523995</v>
      </c>
      <c r="J71" s="9">
        <f t="shared" si="9"/>
        <v>1523.8587364042701</v>
      </c>
      <c r="K71" s="9">
        <f t="shared" si="10"/>
        <v>527.43027739523995</v>
      </c>
      <c r="L71" s="10">
        <f t="shared" si="7"/>
        <v>0.34611494149370814</v>
      </c>
      <c r="M71" s="10">
        <f t="shared" si="11"/>
        <v>0.35527001137246789</v>
      </c>
      <c r="P71" s="8">
        <f t="shared" si="12"/>
        <v>-1.1133292778982407</v>
      </c>
      <c r="U71" s="8">
        <v>34</v>
      </c>
      <c r="V71" s="10">
        <f t="shared" si="6"/>
        <v>0.33907970647922303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1674.6831103679001</v>
      </c>
      <c r="E72">
        <v>647.57692307692002</v>
      </c>
      <c r="F72">
        <v>143.71260504201999</v>
      </c>
      <c r="G72">
        <v>121.02773109244001</v>
      </c>
      <c r="I72" s="9">
        <f t="shared" si="8"/>
        <v>526.54919198447999</v>
      </c>
      <c r="J72" s="9">
        <f t="shared" si="9"/>
        <v>1530.9705053258801</v>
      </c>
      <c r="K72" s="9">
        <f t="shared" si="10"/>
        <v>526.54919198447999</v>
      </c>
      <c r="L72" s="10">
        <f t="shared" si="7"/>
        <v>0.34393163692751838</v>
      </c>
      <c r="M72" s="10">
        <f t="shared" si="11"/>
        <v>0.35321938897843408</v>
      </c>
      <c r="P72" s="8">
        <f t="shared" si="12"/>
        <v>-1.684104223610148</v>
      </c>
      <c r="U72" s="8">
        <v>34.5</v>
      </c>
      <c r="V72" s="10">
        <f t="shared" si="6"/>
        <v>0.35192256209511075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1684.4222408026999</v>
      </c>
      <c r="E73">
        <v>673.28929765886005</v>
      </c>
      <c r="F73">
        <v>144.62857142857001</v>
      </c>
      <c r="G73">
        <v>120.91764705881999</v>
      </c>
      <c r="I73" s="9">
        <f t="shared" si="8"/>
        <v>552.37165060004008</v>
      </c>
      <c r="J73" s="9">
        <f t="shared" si="9"/>
        <v>1539.7936693741299</v>
      </c>
      <c r="K73" s="9">
        <f t="shared" si="10"/>
        <v>552.37165060004008</v>
      </c>
      <c r="L73" s="10">
        <f t="shared" si="7"/>
        <v>0.35873095310526837</v>
      </c>
      <c r="M73" s="10">
        <f t="shared" si="11"/>
        <v>0.36815138732834002</v>
      </c>
      <c r="P73" s="8">
        <f t="shared" si="12"/>
        <v>2.4721024833557879</v>
      </c>
      <c r="U73" s="8">
        <v>35</v>
      </c>
      <c r="V73" s="10">
        <f t="shared" si="6"/>
        <v>0.34611494149370814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1654.4866220736001</v>
      </c>
      <c r="E74">
        <v>665.98494983277999</v>
      </c>
      <c r="F74">
        <v>144.71344537815</v>
      </c>
      <c r="G74">
        <v>121.13529411765001</v>
      </c>
      <c r="I74" s="9">
        <f t="shared" si="8"/>
        <v>544.84965571512998</v>
      </c>
      <c r="J74" s="9">
        <f t="shared" si="9"/>
        <v>1509.77317669545</v>
      </c>
      <c r="K74" s="9">
        <f t="shared" si="10"/>
        <v>544.84965571512998</v>
      </c>
      <c r="L74" s="10">
        <f t="shared" si="7"/>
        <v>0.3608817961037577</v>
      </c>
      <c r="M74" s="10">
        <f t="shared" si="11"/>
        <v>0.3704349124989853</v>
      </c>
      <c r="P74" s="8">
        <f t="shared" si="12"/>
        <v>3.1077041226917079</v>
      </c>
      <c r="U74" s="8">
        <v>35.5</v>
      </c>
      <c r="V74" s="10">
        <f t="shared" si="6"/>
        <v>0.34393163692751838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1653.5401337793</v>
      </c>
      <c r="E75">
        <v>654.92056856187003</v>
      </c>
      <c r="F75">
        <v>144.61848739496</v>
      </c>
      <c r="G75">
        <v>121.03697478992</v>
      </c>
      <c r="I75" s="9">
        <f t="shared" si="8"/>
        <v>533.88359377195002</v>
      </c>
      <c r="J75" s="9">
        <f t="shared" si="9"/>
        <v>1508.92164638434</v>
      </c>
      <c r="K75" s="9">
        <f t="shared" si="10"/>
        <v>533.88359377195002</v>
      </c>
      <c r="L75" s="10">
        <f t="shared" si="7"/>
        <v>0.3538179699729509</v>
      </c>
      <c r="M75" s="10">
        <f t="shared" si="11"/>
        <v>0.36350376854033439</v>
      </c>
      <c r="P75" s="8">
        <f t="shared" si="12"/>
        <v>1.1784735982272578</v>
      </c>
      <c r="U75" s="8">
        <v>36</v>
      </c>
      <c r="V75" s="10">
        <f t="shared" si="6"/>
        <v>0.35873095310526837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1636.4306020066999</v>
      </c>
      <c r="E76">
        <v>642.47240802676004</v>
      </c>
      <c r="F76">
        <v>144.64621848740001</v>
      </c>
      <c r="G76">
        <v>121.0731092437</v>
      </c>
      <c r="I76" s="9">
        <f t="shared" si="8"/>
        <v>521.39929878305998</v>
      </c>
      <c r="J76" s="9">
        <f t="shared" si="9"/>
        <v>1491.7843835192998</v>
      </c>
      <c r="K76" s="9">
        <f t="shared" si="10"/>
        <v>521.39929878305998</v>
      </c>
      <c r="L76" s="10">
        <f t="shared" si="7"/>
        <v>0.34951384700315469</v>
      </c>
      <c r="M76" s="10">
        <f t="shared" si="11"/>
        <v>0.35933232774269414</v>
      </c>
      <c r="P76" s="8">
        <f t="shared" si="12"/>
        <v>1.7385188317743765E-2</v>
      </c>
      <c r="U76" s="8">
        <v>36.5</v>
      </c>
      <c r="V76" s="10">
        <f t="shared" si="6"/>
        <v>0.3608817961037577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1659.6254180602</v>
      </c>
      <c r="E77">
        <v>673.79347826086996</v>
      </c>
      <c r="F77">
        <v>144.61092436974999</v>
      </c>
      <c r="G77">
        <v>121.22773109244</v>
      </c>
      <c r="I77" s="9">
        <f t="shared" si="8"/>
        <v>552.56574716842999</v>
      </c>
      <c r="J77" s="9">
        <f t="shared" si="9"/>
        <v>1515.0144936904501</v>
      </c>
      <c r="K77" s="9">
        <f t="shared" si="10"/>
        <v>552.56574716842999</v>
      </c>
      <c r="L77" s="10">
        <f t="shared" si="7"/>
        <v>0.36472637685625403</v>
      </c>
      <c r="M77" s="10">
        <f t="shared" si="11"/>
        <v>0.37467753976794943</v>
      </c>
      <c r="P77" s="8">
        <f t="shared" si="12"/>
        <v>4.2886067384850159</v>
      </c>
      <c r="U77" s="8">
        <v>37</v>
      </c>
      <c r="V77" s="10">
        <f t="shared" si="6"/>
        <v>0.3538179699729509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1648.0301003345</v>
      </c>
      <c r="E78">
        <v>687.24581939798998</v>
      </c>
      <c r="F78">
        <v>145.32941176470999</v>
      </c>
      <c r="G78">
        <v>121.51344537815</v>
      </c>
      <c r="I78" s="9">
        <f t="shared" si="8"/>
        <v>565.73237401983999</v>
      </c>
      <c r="J78" s="9">
        <f t="shared" si="9"/>
        <v>1502.7006885697901</v>
      </c>
      <c r="K78" s="9">
        <f t="shared" si="10"/>
        <v>565.73237401983999</v>
      </c>
      <c r="L78" s="10">
        <f t="shared" si="7"/>
        <v>0.3764770844407353</v>
      </c>
      <c r="M78" s="10">
        <f t="shared" si="11"/>
        <v>0.38656092952458665</v>
      </c>
      <c r="P78" s="8">
        <f t="shared" si="12"/>
        <v>7.5962567295082897</v>
      </c>
      <c r="U78" s="8">
        <v>37.5</v>
      </c>
      <c r="V78" s="10">
        <f t="shared" si="6"/>
        <v>0.34951384700315469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1661.6287625417999</v>
      </c>
      <c r="E79">
        <v>709.65050167224001</v>
      </c>
      <c r="F79">
        <v>144.69243697479001</v>
      </c>
      <c r="G79">
        <v>121.63445378151</v>
      </c>
      <c r="I79" s="9">
        <f t="shared" si="8"/>
        <v>588.01604789072996</v>
      </c>
      <c r="J79" s="9">
        <f t="shared" si="9"/>
        <v>1516.9363255670098</v>
      </c>
      <c r="K79" s="9">
        <f t="shared" si="10"/>
        <v>588.01604789072996</v>
      </c>
      <c r="L79" s="10">
        <f t="shared" si="7"/>
        <v>0.38763396853255372</v>
      </c>
      <c r="M79" s="10">
        <f t="shared" si="11"/>
        <v>0.39785049578856096</v>
      </c>
      <c r="P79" s="8">
        <f t="shared" si="12"/>
        <v>10.738620526070186</v>
      </c>
      <c r="U79" s="8">
        <v>38</v>
      </c>
      <c r="V79" s="10">
        <f t="shared" si="6"/>
        <v>0.36472637685625403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1647.3051839464999</v>
      </c>
      <c r="E80">
        <v>698.25585284280999</v>
      </c>
      <c r="F80">
        <v>144.80000000000001</v>
      </c>
      <c r="G80">
        <v>121.10756302521</v>
      </c>
      <c r="I80" s="9">
        <f t="shared" si="8"/>
        <v>577.14828981760002</v>
      </c>
      <c r="J80" s="9">
        <f t="shared" si="9"/>
        <v>1502.5051839465</v>
      </c>
      <c r="K80" s="9">
        <f t="shared" si="10"/>
        <v>577.14828981760002</v>
      </c>
      <c r="L80" s="10">
        <f t="shared" si="7"/>
        <v>0.38412399237229566</v>
      </c>
      <c r="M80" s="10">
        <f t="shared" si="11"/>
        <v>0.39447320180045886</v>
      </c>
      <c r="P80" s="8">
        <f t="shared" si="12"/>
        <v>9.7985767626154363</v>
      </c>
      <c r="U80" s="8">
        <v>38.5</v>
      </c>
      <c r="V80" s="10">
        <f t="shared" si="6"/>
        <v>0.3764770844407353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1656.4874581940001</v>
      </c>
      <c r="E81">
        <v>702.76254180601995</v>
      </c>
      <c r="F81">
        <v>144.93949579832</v>
      </c>
      <c r="G81">
        <v>121.08235294118001</v>
      </c>
      <c r="I81" s="9">
        <f t="shared" si="8"/>
        <v>581.68018886483992</v>
      </c>
      <c r="J81" s="9">
        <f t="shared" si="9"/>
        <v>1511.5479623956801</v>
      </c>
      <c r="K81" s="9">
        <f t="shared" si="10"/>
        <v>581.68018886483992</v>
      </c>
      <c r="L81" s="10">
        <f t="shared" si="7"/>
        <v>0.38482416921982704</v>
      </c>
      <c r="M81" s="10">
        <f t="shared" si="11"/>
        <v>0.39530606082014619</v>
      </c>
      <c r="P81" s="8">
        <f t="shared" si="12"/>
        <v>10.03039665453254</v>
      </c>
      <c r="U81" s="8">
        <v>39</v>
      </c>
      <c r="V81" s="10">
        <f t="shared" si="6"/>
        <v>0.38763396853255372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1645.3578595317999</v>
      </c>
      <c r="E82">
        <v>708.89297658862995</v>
      </c>
      <c r="F82">
        <v>144.31176470587999</v>
      </c>
      <c r="G82">
        <v>121.31092436975</v>
      </c>
      <c r="H82" s="13"/>
      <c r="I82" s="14">
        <f t="shared" si="8"/>
        <v>587.58205221887999</v>
      </c>
      <c r="J82" s="14">
        <f t="shared" si="9"/>
        <v>1501.0460948259199</v>
      </c>
      <c r="K82" s="9">
        <f t="shared" si="10"/>
        <v>587.58205221887999</v>
      </c>
      <c r="L82" s="15">
        <f t="shared" si="7"/>
        <v>0.39144837340056726</v>
      </c>
      <c r="M82" s="15">
        <f t="shared" si="11"/>
        <v>0.40206294717304236</v>
      </c>
      <c r="N82" s="13"/>
      <c r="O82" s="13"/>
      <c r="P82" s="13">
        <f t="shared" si="12"/>
        <v>11.91112391688792</v>
      </c>
      <c r="U82" s="8">
        <v>39.5</v>
      </c>
      <c r="V82" s="10">
        <f t="shared" si="6"/>
        <v>0.38412399237229566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1686.1688963211</v>
      </c>
      <c r="E83">
        <v>720.07023411370994</v>
      </c>
      <c r="F83">
        <v>144.97394957982999</v>
      </c>
      <c r="G83">
        <v>121.41596638656</v>
      </c>
      <c r="I83" s="9">
        <f t="shared" si="8"/>
        <v>598.65426772715</v>
      </c>
      <c r="J83" s="9">
        <f t="shared" si="9"/>
        <v>1541.1949467412701</v>
      </c>
      <c r="K83" s="9">
        <f t="shared" si="10"/>
        <v>598.65426772715</v>
      </c>
      <c r="L83" s="10">
        <f t="shared" si="7"/>
        <v>0.38843513534284235</v>
      </c>
      <c r="M83" s="10">
        <f t="shared" si="11"/>
        <v>0.39918239128747335</v>
      </c>
      <c r="P83" s="8">
        <f t="shared" si="12"/>
        <v>11.109343377482253</v>
      </c>
      <c r="U83" s="8">
        <v>40</v>
      </c>
      <c r="V83" s="10">
        <f t="shared" si="6"/>
        <v>0.38482416921982704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1713.8687290969999</v>
      </c>
      <c r="E84">
        <v>767.74916387960002</v>
      </c>
      <c r="F84">
        <v>144.69747899160001</v>
      </c>
      <c r="G84">
        <v>121.22016806723001</v>
      </c>
      <c r="I84" s="9">
        <f t="shared" si="8"/>
        <v>646.52899581237</v>
      </c>
      <c r="J84" s="9">
        <f t="shared" si="9"/>
        <v>1569.1712501053998</v>
      </c>
      <c r="K84" s="9">
        <f t="shared" si="10"/>
        <v>646.52899581237</v>
      </c>
      <c r="L84" s="10">
        <f t="shared" si="7"/>
        <v>0.41201939926502174</v>
      </c>
      <c r="M84" s="10">
        <f t="shared" si="11"/>
        <v>0.42289933738180868</v>
      </c>
      <c r="P84" s="8">
        <f t="shared" si="12"/>
        <v>17.7107726112758</v>
      </c>
      <c r="U84" s="8">
        <v>150.5</v>
      </c>
      <c r="V84" s="10">
        <f>L302</f>
        <v>0.33238448349396416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1725.6387959865999</v>
      </c>
      <c r="E85">
        <v>774.93561872910004</v>
      </c>
      <c r="F85">
        <v>144.47478991597001</v>
      </c>
      <c r="G85">
        <v>121.36974789916</v>
      </c>
      <c r="I85" s="9">
        <f t="shared" si="8"/>
        <v>653.56587082994008</v>
      </c>
      <c r="J85" s="9">
        <f t="shared" si="9"/>
        <v>1581.16400607063</v>
      </c>
      <c r="K85" s="9">
        <f t="shared" si="10"/>
        <v>653.56587082994008</v>
      </c>
      <c r="L85" s="10">
        <f t="shared" si="7"/>
        <v>0.41334476899339784</v>
      </c>
      <c r="M85" s="10">
        <f t="shared" si="11"/>
        <v>0.42435738928234074</v>
      </c>
      <c r="P85" s="8">
        <f t="shared" si="12"/>
        <v>18.116610125189933</v>
      </c>
      <c r="U85" s="8">
        <v>151</v>
      </c>
      <c r="V85" s="10">
        <f t="shared" ref="V85:V103" si="13">L303</f>
        <v>0.32231850900059544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1698.3269230768999</v>
      </c>
      <c r="E86">
        <v>750.84197324415004</v>
      </c>
      <c r="F86">
        <v>144.99159663866001</v>
      </c>
      <c r="G86">
        <v>121.21932773109</v>
      </c>
      <c r="I86" s="9">
        <f t="shared" si="8"/>
        <v>629.62264551305998</v>
      </c>
      <c r="J86" s="9">
        <f t="shared" si="9"/>
        <v>1553.3353264382399</v>
      </c>
      <c r="K86" s="9">
        <f t="shared" si="10"/>
        <v>629.62264551305998</v>
      </c>
      <c r="L86" s="10">
        <f t="shared" si="7"/>
        <v>0.40533594697596259</v>
      </c>
      <c r="M86" s="10">
        <f t="shared" si="11"/>
        <v>0.41648124943706144</v>
      </c>
      <c r="P86" s="8">
        <f t="shared" si="12"/>
        <v>15.924347275779848</v>
      </c>
      <c r="U86" s="8">
        <v>151.5</v>
      </c>
      <c r="V86" s="10">
        <f t="shared" si="13"/>
        <v>0.32933944264887727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1671.0560200668999</v>
      </c>
      <c r="E87">
        <v>717.77508361204002</v>
      </c>
      <c r="F87">
        <v>144.97899159663999</v>
      </c>
      <c r="G87">
        <v>121.09831932773</v>
      </c>
      <c r="I87" s="9">
        <f t="shared" si="8"/>
        <v>596.67676428431002</v>
      </c>
      <c r="J87" s="9">
        <f t="shared" si="9"/>
        <v>1526.0770284702598</v>
      </c>
      <c r="K87" s="9">
        <f t="shared" si="10"/>
        <v>596.67676428431002</v>
      </c>
      <c r="L87" s="10">
        <f t="shared" si="7"/>
        <v>0.39098731790912222</v>
      </c>
      <c r="M87" s="10">
        <f t="shared" si="11"/>
        <v>0.40226530254237702</v>
      </c>
      <c r="P87" s="8">
        <f t="shared" si="12"/>
        <v>11.967447975028778</v>
      </c>
      <c r="U87" s="8">
        <v>152</v>
      </c>
      <c r="V87" s="10">
        <f t="shared" si="13"/>
        <v>0.31540344225553318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1644.0025083611999</v>
      </c>
      <c r="E88">
        <v>701.54682274248</v>
      </c>
      <c r="F88">
        <v>144.26470588235</v>
      </c>
      <c r="G88">
        <v>121.30168067227</v>
      </c>
      <c r="I88" s="9">
        <f t="shared" si="8"/>
        <v>580.24514207021002</v>
      </c>
      <c r="J88" s="9">
        <f t="shared" si="9"/>
        <v>1499.73780247885</v>
      </c>
      <c r="K88" s="9">
        <f t="shared" si="10"/>
        <v>580.24514207021002</v>
      </c>
      <c r="L88" s="10">
        <f t="shared" si="7"/>
        <v>0.38689772379621867</v>
      </c>
      <c r="M88" s="10">
        <f t="shared" si="11"/>
        <v>0.39830839060162937</v>
      </c>
      <c r="P88" s="8">
        <f t="shared" si="12"/>
        <v>10.866072019739272</v>
      </c>
      <c r="U88" s="8">
        <v>152.5</v>
      </c>
      <c r="V88" s="10">
        <f t="shared" si="13"/>
        <v>0.3178213725348738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1653.3628762542</v>
      </c>
      <c r="E89">
        <v>705.43311036788998</v>
      </c>
      <c r="F89">
        <v>144.93697478991999</v>
      </c>
      <c r="G89">
        <v>121.02689075630001</v>
      </c>
      <c r="I89" s="9">
        <f t="shared" si="8"/>
        <v>584.40621961159002</v>
      </c>
      <c r="J89" s="9">
        <f t="shared" si="9"/>
        <v>1508.4259014642801</v>
      </c>
      <c r="K89" s="9">
        <f t="shared" si="10"/>
        <v>584.40621961159002</v>
      </c>
      <c r="L89" s="10">
        <f t="shared" si="7"/>
        <v>0.38742786042343025</v>
      </c>
      <c r="M89" s="10">
        <f t="shared" si="11"/>
        <v>0.3989712094009969</v>
      </c>
      <c r="P89" s="8">
        <f t="shared" si="12"/>
        <v>11.050562526293056</v>
      </c>
      <c r="U89" s="8">
        <v>153</v>
      </c>
      <c r="V89" s="10">
        <f t="shared" si="13"/>
        <v>0.31024576388050246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1633.0217391304</v>
      </c>
      <c r="E90">
        <v>686.98745819398005</v>
      </c>
      <c r="F90">
        <v>144.63697478992</v>
      </c>
      <c r="G90">
        <v>120.65798319328</v>
      </c>
      <c r="I90" s="9">
        <f t="shared" si="8"/>
        <v>566.32947500070009</v>
      </c>
      <c r="J90" s="9">
        <f t="shared" si="9"/>
        <v>1488.3847643404799</v>
      </c>
      <c r="K90" s="9">
        <f t="shared" si="10"/>
        <v>566.32947500070009</v>
      </c>
      <c r="L90" s="10">
        <f t="shared" si="7"/>
        <v>0.38049937661895311</v>
      </c>
      <c r="M90" s="10">
        <f t="shared" si="11"/>
        <v>0.39217540776867571</v>
      </c>
      <c r="P90" s="8">
        <f t="shared" si="12"/>
        <v>9.1590034957068198</v>
      </c>
      <c r="U90" s="8">
        <v>153.5</v>
      </c>
      <c r="V90" s="10">
        <f t="shared" si="13"/>
        <v>0.31254282427211405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1642.7232441471999</v>
      </c>
      <c r="E91">
        <v>682.40886287625005</v>
      </c>
      <c r="F91">
        <v>144.64957983193</v>
      </c>
      <c r="G91">
        <v>120.75630252101</v>
      </c>
      <c r="I91" s="9">
        <f t="shared" si="8"/>
        <v>561.6525603552401</v>
      </c>
      <c r="J91" s="9">
        <f t="shared" si="9"/>
        <v>1498.07366431527</v>
      </c>
      <c r="K91" s="9">
        <f t="shared" si="10"/>
        <v>561.6525603552401</v>
      </c>
      <c r="L91" s="10">
        <f t="shared" si="7"/>
        <v>0.37491651694708666</v>
      </c>
      <c r="M91" s="10">
        <f t="shared" si="11"/>
        <v>0.38672523026896521</v>
      </c>
      <c r="P91" s="8">
        <f t="shared" si="12"/>
        <v>7.6419885759593704</v>
      </c>
      <c r="U91" s="8">
        <v>154</v>
      </c>
      <c r="V91" s="10">
        <f t="shared" si="13"/>
        <v>0.3127885012360771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1649.8988294313999</v>
      </c>
      <c r="E92">
        <v>700.32943143812997</v>
      </c>
      <c r="F92">
        <v>144.69663865545999</v>
      </c>
      <c r="G92">
        <v>120.95126050419999</v>
      </c>
      <c r="I92" s="9">
        <f t="shared" si="8"/>
        <v>579.37817093392994</v>
      </c>
      <c r="J92" s="9">
        <f t="shared" si="9"/>
        <v>1505.2021907759399</v>
      </c>
      <c r="K92" s="9">
        <f t="shared" si="10"/>
        <v>579.37817093392994</v>
      </c>
      <c r="L92" s="10">
        <f t="shared" si="7"/>
        <v>0.38491717224730942</v>
      </c>
      <c r="M92" s="10">
        <f t="shared" si="11"/>
        <v>0.39685856774134387</v>
      </c>
      <c r="P92" s="8">
        <f t="shared" si="12"/>
        <v>10.462524995782555</v>
      </c>
      <c r="U92" s="8">
        <v>154.5</v>
      </c>
      <c r="V92" s="10">
        <f t="shared" si="13"/>
        <v>0.30044733150808972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1609.4715719064</v>
      </c>
      <c r="E93">
        <v>678.96655518395005</v>
      </c>
      <c r="F93">
        <v>144.10672268907999</v>
      </c>
      <c r="G93">
        <v>121.07226890756</v>
      </c>
      <c r="I93" s="9">
        <f t="shared" si="8"/>
        <v>557.89428627639006</v>
      </c>
      <c r="J93" s="9">
        <f t="shared" si="9"/>
        <v>1465.3648492173199</v>
      </c>
      <c r="K93" s="9">
        <f t="shared" si="10"/>
        <v>557.89428627639006</v>
      </c>
      <c r="L93" s="10">
        <f t="shared" si="7"/>
        <v>0.38072039640801558</v>
      </c>
      <c r="M93" s="10">
        <f t="shared" si="11"/>
        <v>0.39279447407420598</v>
      </c>
      <c r="P93" s="8">
        <f t="shared" si="12"/>
        <v>9.3313158326632273</v>
      </c>
      <c r="U93" s="8">
        <v>155</v>
      </c>
      <c r="V93" s="10">
        <f t="shared" si="13"/>
        <v>0.30538540936221586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1615.8871237458</v>
      </c>
      <c r="E94">
        <v>689.66471571906004</v>
      </c>
      <c r="F94">
        <v>144.72016806722999</v>
      </c>
      <c r="G94">
        <v>121.10336134454001</v>
      </c>
      <c r="I94" s="9">
        <f t="shared" si="8"/>
        <v>568.56135437452008</v>
      </c>
      <c r="J94" s="9">
        <f t="shared" si="9"/>
        <v>1471.16695567857</v>
      </c>
      <c r="K94" s="9">
        <f t="shared" si="10"/>
        <v>568.56135437452008</v>
      </c>
      <c r="L94" s="10">
        <f t="shared" si="7"/>
        <v>0.38646963363330394</v>
      </c>
      <c r="M94" s="10">
        <f t="shared" si="11"/>
        <v>0.39867639347165029</v>
      </c>
      <c r="P94" s="8">
        <f t="shared" si="12"/>
        <v>10.968502783574261</v>
      </c>
      <c r="U94" s="8">
        <v>155.5</v>
      </c>
      <c r="V94" s="10">
        <f t="shared" si="13"/>
        <v>0.29628909912903961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1608.7023411370999</v>
      </c>
      <c r="E95">
        <v>666.44816053512</v>
      </c>
      <c r="F95">
        <v>144.34957983192999</v>
      </c>
      <c r="G95">
        <v>120.94369747899</v>
      </c>
      <c r="I95" s="9">
        <f t="shared" si="8"/>
        <v>545.50446305613002</v>
      </c>
      <c r="J95" s="9">
        <f t="shared" si="9"/>
        <v>1464.3527613051699</v>
      </c>
      <c r="K95" s="9">
        <f t="shared" si="10"/>
        <v>545.50446305613002</v>
      </c>
      <c r="L95" s="10">
        <f t="shared" si="7"/>
        <v>0.37252257616527096</v>
      </c>
      <c r="M95" s="10">
        <f t="shared" si="11"/>
        <v>0.38486201817577326</v>
      </c>
      <c r="P95" s="8">
        <f t="shared" si="12"/>
        <v>7.1233778437077664</v>
      </c>
      <c r="U95" s="8">
        <v>156</v>
      </c>
      <c r="V95" s="10">
        <f t="shared" si="13"/>
        <v>0.28920843911107186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1601.3804347826001</v>
      </c>
      <c r="E96">
        <v>657.58110367893005</v>
      </c>
      <c r="F96">
        <v>144.25798319328001</v>
      </c>
      <c r="G96">
        <v>120.72689075629999</v>
      </c>
      <c r="I96" s="9">
        <f t="shared" si="8"/>
        <v>536.85421292263004</v>
      </c>
      <c r="J96" s="9">
        <f t="shared" si="9"/>
        <v>1457.12245158932</v>
      </c>
      <c r="K96" s="9">
        <f t="shared" si="10"/>
        <v>536.85421292263004</v>
      </c>
      <c r="L96" s="10">
        <f t="shared" si="7"/>
        <v>0.36843452129714266</v>
      </c>
      <c r="M96" s="10">
        <f t="shared" si="11"/>
        <v>0.38090664547980091</v>
      </c>
      <c r="P96" s="8">
        <f t="shared" si="12"/>
        <v>6.02243032534337</v>
      </c>
      <c r="U96" s="8">
        <v>156.5</v>
      </c>
      <c r="V96" s="10">
        <f t="shared" si="13"/>
        <v>0.29562525301331488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1607.9005016722001</v>
      </c>
      <c r="E97">
        <v>680.85284280937003</v>
      </c>
      <c r="F97">
        <v>144.50252100840001</v>
      </c>
      <c r="G97">
        <v>121.2462184874</v>
      </c>
      <c r="I97" s="9">
        <f t="shared" si="8"/>
        <v>559.60662432197</v>
      </c>
      <c r="J97" s="9">
        <f t="shared" si="9"/>
        <v>1463.3979806638001</v>
      </c>
      <c r="K97" s="9">
        <f t="shared" si="10"/>
        <v>559.60662432197</v>
      </c>
      <c r="L97" s="10">
        <f t="shared" si="7"/>
        <v>0.3824022116445257</v>
      </c>
      <c r="M97" s="10">
        <f t="shared" si="11"/>
        <v>0.39500701799933985</v>
      </c>
      <c r="P97" s="8">
        <f t="shared" si="12"/>
        <v>9.9471603891392224</v>
      </c>
      <c r="U97" s="8">
        <v>157</v>
      </c>
      <c r="V97" s="10">
        <f t="shared" si="13"/>
        <v>0.31002146841840678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1660.6321070234001</v>
      </c>
      <c r="E98">
        <v>703.89882943144005</v>
      </c>
      <c r="F98">
        <v>144.18151260504001</v>
      </c>
      <c r="G98">
        <v>121.26302521008</v>
      </c>
      <c r="I98" s="9">
        <f t="shared" si="8"/>
        <v>582.6358042213601</v>
      </c>
      <c r="J98" s="9">
        <f t="shared" si="9"/>
        <v>1516.45059441836</v>
      </c>
      <c r="K98" s="9">
        <f t="shared" si="10"/>
        <v>582.6358042213601</v>
      </c>
      <c r="L98" s="10">
        <f t="shared" si="7"/>
        <v>0.38421021190263843</v>
      </c>
      <c r="M98" s="10">
        <f t="shared" si="11"/>
        <v>0.39694770042960853</v>
      </c>
      <c r="P98" s="8">
        <f t="shared" si="12"/>
        <v>10.487334392897029</v>
      </c>
      <c r="U98" s="8">
        <v>157.5</v>
      </c>
      <c r="V98" s="10">
        <f t="shared" si="13"/>
        <v>0.32852874792344133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1644.5693979933001</v>
      </c>
      <c r="E99">
        <v>680.68645484950002</v>
      </c>
      <c r="F99">
        <v>144.52100840336001</v>
      </c>
      <c r="G99">
        <v>120.9462184874</v>
      </c>
      <c r="I99" s="9">
        <f t="shared" si="8"/>
        <v>559.74023636210006</v>
      </c>
      <c r="J99" s="9">
        <f t="shared" si="9"/>
        <v>1500.0483895899401</v>
      </c>
      <c r="K99" s="9">
        <f t="shared" si="10"/>
        <v>559.74023636210006</v>
      </c>
      <c r="L99" s="10">
        <f t="shared" si="7"/>
        <v>0.37314811991839353</v>
      </c>
      <c r="M99" s="10">
        <f t="shared" si="11"/>
        <v>0.38601829061751958</v>
      </c>
      <c r="P99" s="8">
        <f t="shared" si="12"/>
        <v>7.4452173701296402</v>
      </c>
      <c r="U99" s="8">
        <v>158</v>
      </c>
      <c r="V99" s="10">
        <f t="shared" si="13"/>
        <v>0.32966218120795215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1670.9615384614999</v>
      </c>
      <c r="E100">
        <v>678.29933110367995</v>
      </c>
      <c r="F100">
        <v>143.92521008403</v>
      </c>
      <c r="G100">
        <v>120.18991596639</v>
      </c>
      <c r="I100" s="9">
        <f t="shared" si="8"/>
        <v>558.10941513728994</v>
      </c>
      <c r="J100" s="9">
        <f t="shared" si="9"/>
        <v>1527.03632837747</v>
      </c>
      <c r="K100" s="9">
        <f t="shared" si="10"/>
        <v>558.10941513728994</v>
      </c>
      <c r="L100" s="10">
        <f t="shared" si="7"/>
        <v>0.36548535536826482</v>
      </c>
      <c r="M100" s="10">
        <f t="shared" si="11"/>
        <v>0.37848820823954682</v>
      </c>
      <c r="P100" s="8">
        <f t="shared" si="12"/>
        <v>5.3492769507728752</v>
      </c>
      <c r="U100" s="8">
        <v>158.5</v>
      </c>
      <c r="V100" s="10">
        <f t="shared" si="13"/>
        <v>0.32999726398697626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1664.5777591973001</v>
      </c>
      <c r="E101">
        <v>672.59197324415004</v>
      </c>
      <c r="F101">
        <v>143.72773109244</v>
      </c>
      <c r="G101">
        <v>120.74201680672</v>
      </c>
      <c r="I101" s="9">
        <f t="shared" si="8"/>
        <v>551.84995643743002</v>
      </c>
      <c r="J101" s="9">
        <f t="shared" si="9"/>
        <v>1520.85002810486</v>
      </c>
      <c r="K101" s="9">
        <f t="shared" si="10"/>
        <v>551.84995643743002</v>
      </c>
      <c r="L101" s="10">
        <f t="shared" si="7"/>
        <v>0.36285626211618871</v>
      </c>
      <c r="M101" s="10">
        <f t="shared" si="11"/>
        <v>0.37599179715962661</v>
      </c>
      <c r="P101" s="8">
        <f t="shared" si="12"/>
        <v>4.6544201586293221</v>
      </c>
      <c r="U101" s="8">
        <v>159</v>
      </c>
      <c r="V101" s="10">
        <f t="shared" si="13"/>
        <v>0.32416426720304153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1712.8628762542</v>
      </c>
      <c r="E102">
        <v>700.19648829431003</v>
      </c>
      <c r="F102">
        <v>144.22016806722999</v>
      </c>
      <c r="G102">
        <v>120.23613445378</v>
      </c>
      <c r="I102" s="9">
        <f t="shared" si="8"/>
        <v>579.96035384053005</v>
      </c>
      <c r="J102" s="9">
        <f t="shared" si="9"/>
        <v>1568.6427081869701</v>
      </c>
      <c r="K102" s="9">
        <f t="shared" si="10"/>
        <v>579.96035384053005</v>
      </c>
      <c r="L102" s="10">
        <f t="shared" si="7"/>
        <v>0.36972112949216174</v>
      </c>
      <c r="M102" s="10">
        <f t="shared" si="11"/>
        <v>0.38298934670775558</v>
      </c>
      <c r="P102" s="8">
        <f t="shared" si="12"/>
        <v>6.6021341673469376</v>
      </c>
      <c r="U102" s="8">
        <v>159.5</v>
      </c>
      <c r="V102" s="10">
        <f t="shared" si="13"/>
        <v>0.33055106374646953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1741.5760869564999</v>
      </c>
      <c r="E103">
        <v>719.68394648828996</v>
      </c>
      <c r="F103">
        <v>143.81260504202001</v>
      </c>
      <c r="G103">
        <v>120.11428571429001</v>
      </c>
      <c r="I103" s="9">
        <f t="shared" si="8"/>
        <v>599.569660774</v>
      </c>
      <c r="J103" s="9">
        <f t="shared" si="9"/>
        <v>1597.7634819144798</v>
      </c>
      <c r="K103" s="9">
        <f t="shared" si="10"/>
        <v>599.569660774</v>
      </c>
      <c r="L103" s="10">
        <f t="shared" si="7"/>
        <v>0.37525557916468383</v>
      </c>
      <c r="M103" s="10">
        <f t="shared" si="11"/>
        <v>0.38865647855243363</v>
      </c>
      <c r="P103" s="8">
        <f t="shared" si="12"/>
        <v>8.1795366576344808</v>
      </c>
      <c r="U103" s="8">
        <v>160</v>
      </c>
      <c r="V103" s="10">
        <f t="shared" si="13"/>
        <v>0.3478755170659058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1690.6672240803</v>
      </c>
      <c r="E104">
        <v>672.90384615385005</v>
      </c>
      <c r="F104">
        <v>143.31092436975001</v>
      </c>
      <c r="G104">
        <v>119.81680672269</v>
      </c>
      <c r="I104" s="9">
        <f t="shared" si="8"/>
        <v>553.08703943116006</v>
      </c>
      <c r="J104" s="9">
        <f t="shared" si="9"/>
        <v>1547.35629971055</v>
      </c>
      <c r="K104" s="9">
        <f t="shared" si="10"/>
        <v>553.08703943116006</v>
      </c>
      <c r="L104" s="10">
        <f t="shared" si="7"/>
        <v>0.35744000236701856</v>
      </c>
      <c r="M104" s="10">
        <f t="shared" si="11"/>
        <v>0.37097358392692431</v>
      </c>
      <c r="P104" s="8">
        <f t="shared" si="12"/>
        <v>3.257639164819885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1659.2591973244</v>
      </c>
      <c r="E105">
        <v>659.00919732442003</v>
      </c>
      <c r="F105">
        <v>144.07647058824</v>
      </c>
      <c r="G105">
        <v>120.28823529412</v>
      </c>
      <c r="I105" s="9">
        <f t="shared" si="8"/>
        <v>538.72096203030003</v>
      </c>
      <c r="J105" s="9">
        <f t="shared" si="9"/>
        <v>1515.18272673616</v>
      </c>
      <c r="K105" s="9">
        <f t="shared" si="10"/>
        <v>538.72096203030003</v>
      </c>
      <c r="L105" s="10">
        <f t="shared" si="7"/>
        <v>0.35554851076658817</v>
      </c>
      <c r="M105" s="10">
        <f t="shared" si="11"/>
        <v>0.36921477449864981</v>
      </c>
      <c r="P105" s="8">
        <f t="shared" si="12"/>
        <v>2.7680881100466008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1689.3302675585001</v>
      </c>
      <c r="E106">
        <v>678.33026755852995</v>
      </c>
      <c r="F106">
        <v>143.92016806723001</v>
      </c>
      <c r="G106">
        <v>119.8487394958</v>
      </c>
      <c r="I106" s="9">
        <f t="shared" si="8"/>
        <v>558.48152806272992</v>
      </c>
      <c r="J106" s="9">
        <f t="shared" si="9"/>
        <v>1545.4100994912701</v>
      </c>
      <c r="K106" s="9">
        <f t="shared" si="10"/>
        <v>558.48152806272992</v>
      </c>
      <c r="L106" s="10">
        <f t="shared" si="7"/>
        <v>0.36138079351660451</v>
      </c>
      <c r="M106" s="10">
        <f t="shared" si="11"/>
        <v>0.37517973942082211</v>
      </c>
      <c r="P106" s="8">
        <f t="shared" si="12"/>
        <v>4.4283901429962107</v>
      </c>
      <c r="X106" s="8">
        <v>-13</v>
      </c>
    </row>
    <row r="107" spans="1:25" x14ac:dyDescent="0.2">
      <c r="A107" s="8">
        <v>52.5</v>
      </c>
      <c r="B107" s="8">
        <v>105</v>
      </c>
      <c r="D107">
        <v>1694.8160535116999</v>
      </c>
      <c r="E107">
        <v>676.45903010032998</v>
      </c>
      <c r="F107">
        <v>144.07058823528999</v>
      </c>
      <c r="G107">
        <v>119.95294117647001</v>
      </c>
      <c r="I107" s="9">
        <f t="shared" si="8"/>
        <v>556.50608892386003</v>
      </c>
      <c r="J107" s="9">
        <f t="shared" si="9"/>
        <v>1550.74546527641</v>
      </c>
      <c r="K107" s="9">
        <f t="shared" si="10"/>
        <v>556.50608892386003</v>
      </c>
      <c r="L107" s="10">
        <f t="shared" si="7"/>
        <v>0.35886359263005585</v>
      </c>
      <c r="M107" s="10">
        <f t="shared" si="11"/>
        <v>0.3727952207064294</v>
      </c>
      <c r="P107" s="8">
        <f t="shared" si="12"/>
        <v>3.7646777287963249</v>
      </c>
      <c r="X107" s="8">
        <v>-13</v>
      </c>
    </row>
    <row r="108" spans="1:25" x14ac:dyDescent="0.2">
      <c r="A108" s="8">
        <v>53</v>
      </c>
      <c r="B108" s="8">
        <v>106</v>
      </c>
      <c r="D108">
        <v>1699.1956521739</v>
      </c>
      <c r="E108">
        <v>695.66555183947003</v>
      </c>
      <c r="F108">
        <v>143.64957983193</v>
      </c>
      <c r="G108">
        <v>120.11764705882</v>
      </c>
      <c r="I108" s="9">
        <f t="shared" si="8"/>
        <v>575.54790478065001</v>
      </c>
      <c r="J108" s="9">
        <f t="shared" si="9"/>
        <v>1555.5460723419701</v>
      </c>
      <c r="K108" s="9">
        <f t="shared" si="10"/>
        <v>575.54790478065001</v>
      </c>
      <c r="L108" s="10">
        <f t="shared" si="7"/>
        <v>0.36999733727855921</v>
      </c>
      <c r="M108" s="10">
        <f t="shared" si="11"/>
        <v>0.38406164752708871</v>
      </c>
      <c r="P108" s="8">
        <f t="shared" si="12"/>
        <v>6.900600839574067</v>
      </c>
      <c r="X108" s="8">
        <v>-13</v>
      </c>
    </row>
    <row r="109" spans="1:25" x14ac:dyDescent="0.2">
      <c r="A109" s="8">
        <v>53.5</v>
      </c>
      <c r="B109" s="8">
        <v>107</v>
      </c>
      <c r="D109">
        <v>1705.364548495</v>
      </c>
      <c r="E109">
        <v>691.17474916388005</v>
      </c>
      <c r="F109">
        <v>143.87983193277</v>
      </c>
      <c r="G109">
        <v>120.51344537815</v>
      </c>
      <c r="I109" s="9">
        <f t="shared" si="8"/>
        <v>570.66130378573007</v>
      </c>
      <c r="J109" s="9">
        <f t="shared" si="9"/>
        <v>1561.48471656223</v>
      </c>
      <c r="K109" s="9">
        <f t="shared" si="10"/>
        <v>570.66130378573007</v>
      </c>
      <c r="L109" s="10">
        <f t="shared" si="7"/>
        <v>0.36546070399081454</v>
      </c>
      <c r="M109" s="10">
        <f t="shared" si="11"/>
        <v>0.37965769641149999</v>
      </c>
      <c r="P109" s="8">
        <f t="shared" si="12"/>
        <v>5.6747949738859518</v>
      </c>
      <c r="X109" s="8">
        <v>-13</v>
      </c>
    </row>
    <row r="110" spans="1:25" x14ac:dyDescent="0.2">
      <c r="A110" s="8">
        <v>54</v>
      </c>
      <c r="B110" s="8">
        <v>108</v>
      </c>
      <c r="D110">
        <v>1711.1613712374999</v>
      </c>
      <c r="E110">
        <v>688.66889632106995</v>
      </c>
      <c r="F110">
        <v>143.74201680671999</v>
      </c>
      <c r="G110">
        <v>120.49579831933001</v>
      </c>
      <c r="I110" s="9">
        <f t="shared" si="8"/>
        <v>568.17309800173996</v>
      </c>
      <c r="J110" s="9">
        <f t="shared" si="9"/>
        <v>1567.41935443078</v>
      </c>
      <c r="K110" s="9">
        <f t="shared" si="10"/>
        <v>568.17309800173996</v>
      </c>
      <c r="L110" s="10">
        <f t="shared" si="7"/>
        <v>0.36248952547104168</v>
      </c>
      <c r="M110" s="10">
        <f t="shared" si="11"/>
        <v>0.37681920006388303</v>
      </c>
      <c r="P110" s="8">
        <f t="shared" si="12"/>
        <v>4.8847213828492748</v>
      </c>
      <c r="X110" s="8">
        <v>-13</v>
      </c>
    </row>
    <row r="111" spans="1:25" x14ac:dyDescent="0.2">
      <c r="A111" s="8">
        <v>54.5</v>
      </c>
      <c r="B111" s="8">
        <v>109</v>
      </c>
      <c r="D111">
        <v>1712.4439799331001</v>
      </c>
      <c r="E111">
        <v>697.38628762541998</v>
      </c>
      <c r="F111">
        <v>143.42100840335999</v>
      </c>
      <c r="G111">
        <v>120.12352941176999</v>
      </c>
      <c r="I111" s="9">
        <f t="shared" si="8"/>
        <v>577.26275821364993</v>
      </c>
      <c r="J111" s="9">
        <f t="shared" si="9"/>
        <v>1569.0229715297401</v>
      </c>
      <c r="K111" s="9">
        <f t="shared" si="10"/>
        <v>577.26275821364993</v>
      </c>
      <c r="L111" s="10">
        <f t="shared" si="7"/>
        <v>0.36791224136816802</v>
      </c>
      <c r="M111" s="10">
        <f t="shared" si="11"/>
        <v>0.38237459813316532</v>
      </c>
      <c r="P111" s="8">
        <f t="shared" si="12"/>
        <v>6.4310236375345706</v>
      </c>
      <c r="X111" s="8">
        <v>-13</v>
      </c>
    </row>
    <row r="112" spans="1:25" x14ac:dyDescent="0.2">
      <c r="A112" s="8">
        <v>55</v>
      </c>
      <c r="B112" s="8">
        <v>110</v>
      </c>
      <c r="D112">
        <v>1694.9849498328001</v>
      </c>
      <c r="E112">
        <v>675.43645484950002</v>
      </c>
      <c r="F112">
        <v>143.92436974789999</v>
      </c>
      <c r="G112">
        <v>119.83865546219</v>
      </c>
      <c r="I112" s="9">
        <f t="shared" si="8"/>
        <v>555.59779938731003</v>
      </c>
      <c r="J112" s="9">
        <f t="shared" si="9"/>
        <v>1551.0605800849</v>
      </c>
      <c r="K112" s="9">
        <f t="shared" si="10"/>
        <v>555.59779938731003</v>
      </c>
      <c r="L112" s="10">
        <f t="shared" si="7"/>
        <v>0.35820509303182629</v>
      </c>
      <c r="M112" s="10">
        <f t="shared" si="11"/>
        <v>0.37280013196897954</v>
      </c>
      <c r="P112" s="8">
        <f t="shared" si="12"/>
        <v>3.7660447408915756</v>
      </c>
      <c r="X112" s="8">
        <v>-13</v>
      </c>
    </row>
    <row r="113" spans="1:24" x14ac:dyDescent="0.2">
      <c r="A113" s="8">
        <v>55.5</v>
      </c>
      <c r="B113" s="8">
        <v>111</v>
      </c>
      <c r="D113">
        <v>1667.2374581940001</v>
      </c>
      <c r="E113">
        <v>645.21739130435003</v>
      </c>
      <c r="F113">
        <v>143.20084033613</v>
      </c>
      <c r="G113">
        <v>119.77647058824</v>
      </c>
      <c r="I113" s="9">
        <f t="shared" si="8"/>
        <v>525.44092071610999</v>
      </c>
      <c r="J113" s="9">
        <f t="shared" si="9"/>
        <v>1524.0366178578702</v>
      </c>
      <c r="K113" s="9">
        <f t="shared" si="10"/>
        <v>525.44092071610999</v>
      </c>
      <c r="L113" s="10">
        <f t="shared" si="7"/>
        <v>0.34476922310085334</v>
      </c>
      <c r="M113" s="10">
        <f t="shared" si="11"/>
        <v>0.35949694421016254</v>
      </c>
      <c r="P113" s="8">
        <f t="shared" si="12"/>
        <v>6.3204913858600706E-2</v>
      </c>
      <c r="X113" s="8">
        <v>-13</v>
      </c>
    </row>
    <row r="114" spans="1:24" x14ac:dyDescent="0.2">
      <c r="A114" s="8">
        <v>56</v>
      </c>
      <c r="B114" s="8">
        <v>112</v>
      </c>
      <c r="D114">
        <v>1677.8862876254</v>
      </c>
      <c r="E114">
        <v>646.09113712374995</v>
      </c>
      <c r="F114">
        <v>143.27394957983</v>
      </c>
      <c r="G114">
        <v>119.94033613445001</v>
      </c>
      <c r="I114" s="9">
        <f t="shared" si="8"/>
        <v>526.15080098929991</v>
      </c>
      <c r="J114" s="9">
        <f t="shared" si="9"/>
        <v>1534.6123380455699</v>
      </c>
      <c r="K114" s="9">
        <f t="shared" si="10"/>
        <v>526.15080098929991</v>
      </c>
      <c r="L114" s="10">
        <f t="shared" si="7"/>
        <v>0.34285583918827844</v>
      </c>
      <c r="M114" s="10">
        <f t="shared" si="11"/>
        <v>0.35771624246974354</v>
      </c>
      <c r="P114" s="8">
        <f t="shared" si="12"/>
        <v>-0.4324396973452293</v>
      </c>
      <c r="X114" s="8">
        <v>-13</v>
      </c>
    </row>
    <row r="115" spans="1:24" x14ac:dyDescent="0.2">
      <c r="A115" s="8">
        <v>56.5</v>
      </c>
      <c r="B115" s="8">
        <v>113</v>
      </c>
      <c r="D115">
        <v>1664.5811036789</v>
      </c>
      <c r="E115">
        <v>641.13210702340996</v>
      </c>
      <c r="F115">
        <v>143.91848739496001</v>
      </c>
      <c r="G115">
        <v>119.99075630252</v>
      </c>
      <c r="I115" s="9">
        <f t="shared" si="8"/>
        <v>521.14135072088993</v>
      </c>
      <c r="J115" s="9">
        <f t="shared" si="9"/>
        <v>1520.66261628394</v>
      </c>
      <c r="K115" s="9">
        <f t="shared" si="10"/>
        <v>521.14135072088993</v>
      </c>
      <c r="L115" s="10">
        <f t="shared" si="7"/>
        <v>0.34270675502920483</v>
      </c>
      <c r="M115" s="10">
        <f t="shared" si="11"/>
        <v>0.35769984048282588</v>
      </c>
      <c r="P115" s="8">
        <f t="shared" si="12"/>
        <v>-0.4370050640454719</v>
      </c>
      <c r="X115" s="8">
        <v>-13</v>
      </c>
    </row>
    <row r="116" spans="1:24" x14ac:dyDescent="0.2">
      <c r="A116" s="8">
        <v>57</v>
      </c>
      <c r="B116" s="8">
        <v>114</v>
      </c>
      <c r="D116">
        <v>1623.258361204</v>
      </c>
      <c r="E116">
        <v>642.63377926421003</v>
      </c>
      <c r="F116">
        <v>144.14033613445</v>
      </c>
      <c r="G116">
        <v>120</v>
      </c>
      <c r="I116" s="9">
        <f t="shared" si="8"/>
        <v>522.63377926421003</v>
      </c>
      <c r="J116" s="9">
        <f t="shared" si="9"/>
        <v>1479.11802506955</v>
      </c>
      <c r="K116" s="9">
        <f t="shared" si="10"/>
        <v>522.63377926421003</v>
      </c>
      <c r="L116" s="10">
        <f t="shared" si="7"/>
        <v>0.35334149838356216</v>
      </c>
      <c r="M116" s="10">
        <f t="shared" si="11"/>
        <v>0.36846726600933916</v>
      </c>
      <c r="P116" s="8">
        <f t="shared" si="12"/>
        <v>2.5600248807329908</v>
      </c>
      <c r="X116" s="8">
        <v>-13</v>
      </c>
    </row>
    <row r="117" spans="1:24" x14ac:dyDescent="0.2">
      <c r="A117" s="8">
        <v>57.5</v>
      </c>
      <c r="B117" s="8">
        <v>115</v>
      </c>
      <c r="D117">
        <v>1684.7759197324001</v>
      </c>
      <c r="E117">
        <v>658.35033444815997</v>
      </c>
      <c r="F117">
        <v>143.60672268907999</v>
      </c>
      <c r="G117">
        <v>119.62857142857</v>
      </c>
      <c r="I117" s="9">
        <f t="shared" si="8"/>
        <v>538.72176301958996</v>
      </c>
      <c r="J117" s="9">
        <f t="shared" si="9"/>
        <v>1541.1691970433201</v>
      </c>
      <c r="K117" s="9">
        <f t="shared" si="10"/>
        <v>538.72176301958996</v>
      </c>
      <c r="L117" s="10">
        <f t="shared" si="7"/>
        <v>0.3495539386934991</v>
      </c>
      <c r="M117" s="10">
        <f t="shared" si="11"/>
        <v>0.36481238849143205</v>
      </c>
      <c r="P117" s="8">
        <f t="shared" si="12"/>
        <v>1.5427178802161969</v>
      </c>
      <c r="X117" s="8">
        <v>-13</v>
      </c>
    </row>
    <row r="118" spans="1:24" x14ac:dyDescent="0.2">
      <c r="A118" s="8">
        <v>58</v>
      </c>
      <c r="B118" s="8">
        <v>116</v>
      </c>
      <c r="D118">
        <v>1655.6714046822999</v>
      </c>
      <c r="E118">
        <v>633.14130434782999</v>
      </c>
      <c r="F118">
        <v>143.1243697479</v>
      </c>
      <c r="G118">
        <v>119.9025210084</v>
      </c>
      <c r="I118" s="9">
        <f t="shared" si="8"/>
        <v>513.23878333943003</v>
      </c>
      <c r="J118" s="9">
        <f t="shared" si="9"/>
        <v>1512.5470349344</v>
      </c>
      <c r="K118" s="9">
        <f t="shared" si="10"/>
        <v>513.23878333943003</v>
      </c>
      <c r="L118" s="10">
        <f t="shared" si="7"/>
        <v>0.33932087497807267</v>
      </c>
      <c r="M118" s="10">
        <f t="shared" si="11"/>
        <v>0.35471200694816152</v>
      </c>
      <c r="P118" s="8">
        <f t="shared" si="12"/>
        <v>-1.2686455106269565</v>
      </c>
      <c r="X118" s="8">
        <v>-13</v>
      </c>
    </row>
    <row r="119" spans="1:24" x14ac:dyDescent="0.2">
      <c r="A119" s="8">
        <v>58.5</v>
      </c>
      <c r="B119" s="8">
        <v>117</v>
      </c>
      <c r="D119">
        <v>1671.0443143813</v>
      </c>
      <c r="E119">
        <v>640.85284280937003</v>
      </c>
      <c r="F119">
        <v>143.48739495798</v>
      </c>
      <c r="G119">
        <v>119.58151260504</v>
      </c>
      <c r="I119" s="9">
        <f t="shared" si="8"/>
        <v>521.27133020433007</v>
      </c>
      <c r="J119" s="9">
        <f t="shared" si="9"/>
        <v>1527.5569194233199</v>
      </c>
      <c r="K119" s="9">
        <f t="shared" si="10"/>
        <v>521.27133020433007</v>
      </c>
      <c r="L119" s="10">
        <f t="shared" si="7"/>
        <v>0.34124511078848657</v>
      </c>
      <c r="M119" s="10">
        <f t="shared" si="11"/>
        <v>0.35676892493073137</v>
      </c>
      <c r="P119" s="8">
        <f t="shared" si="12"/>
        <v>-0.69611823634625014</v>
      </c>
      <c r="X119" s="8">
        <v>-13</v>
      </c>
    </row>
    <row r="120" spans="1:24" x14ac:dyDescent="0.2">
      <c r="A120" s="8">
        <v>59</v>
      </c>
      <c r="B120" s="8">
        <v>118</v>
      </c>
      <c r="D120">
        <v>1664.5317725753</v>
      </c>
      <c r="E120">
        <v>637.39882943144005</v>
      </c>
      <c r="F120">
        <v>143.48487394957999</v>
      </c>
      <c r="G120">
        <v>119.83949579832</v>
      </c>
      <c r="I120" s="9">
        <f t="shared" si="8"/>
        <v>517.5593336331201</v>
      </c>
      <c r="J120" s="9">
        <f t="shared" si="9"/>
        <v>1521.0468986257201</v>
      </c>
      <c r="K120" s="9">
        <f t="shared" si="10"/>
        <v>517.5593336331201</v>
      </c>
      <c r="L120" s="10">
        <f t="shared" si="7"/>
        <v>0.34026520424895496</v>
      </c>
      <c r="M120" s="10">
        <f t="shared" si="11"/>
        <v>0.3559217005633557</v>
      </c>
      <c r="P120" s="8">
        <f t="shared" si="12"/>
        <v>-0.9319366121240571</v>
      </c>
      <c r="X120" s="8">
        <v>-13</v>
      </c>
    </row>
    <row r="121" spans="1:24" x14ac:dyDescent="0.2">
      <c r="A121" s="8">
        <v>59.5</v>
      </c>
      <c r="B121" s="8">
        <v>119</v>
      </c>
      <c r="D121">
        <v>1663.9406354514999</v>
      </c>
      <c r="E121">
        <v>648.06939799330996</v>
      </c>
      <c r="F121">
        <v>143.49831932773</v>
      </c>
      <c r="G121">
        <v>119.7974789916</v>
      </c>
      <c r="I121" s="9">
        <f t="shared" si="8"/>
        <v>528.27191900170999</v>
      </c>
      <c r="J121" s="9">
        <f t="shared" si="9"/>
        <v>1520.4423161237698</v>
      </c>
      <c r="K121" s="9">
        <f t="shared" si="10"/>
        <v>528.27191900170999</v>
      </c>
      <c r="L121" s="10">
        <f t="shared" si="7"/>
        <v>0.34744620917187535</v>
      </c>
      <c r="M121" s="10">
        <f t="shared" si="11"/>
        <v>0.36323538765843205</v>
      </c>
      <c r="P121" s="8">
        <f t="shared" si="12"/>
        <v>1.1037718473131901</v>
      </c>
      <c r="X121" s="8">
        <v>-13</v>
      </c>
    </row>
    <row r="122" spans="1:24" x14ac:dyDescent="0.2">
      <c r="A122" s="8">
        <v>60</v>
      </c>
      <c r="B122" s="8">
        <v>120</v>
      </c>
      <c r="D122">
        <v>1663.2575250836001</v>
      </c>
      <c r="E122">
        <v>647.73076923076997</v>
      </c>
      <c r="F122">
        <v>143.05546218487001</v>
      </c>
      <c r="G122">
        <v>119.79831932773</v>
      </c>
      <c r="I122" s="9">
        <f t="shared" si="8"/>
        <v>527.93244990303992</v>
      </c>
      <c r="J122" s="9">
        <f t="shared" si="9"/>
        <v>1520.20206289873</v>
      </c>
      <c r="K122" s="9">
        <f t="shared" si="10"/>
        <v>527.93244990303992</v>
      </c>
      <c r="L122" s="10">
        <f t="shared" si="7"/>
        <v>0.34727781443499378</v>
      </c>
      <c r="M122" s="10">
        <f t="shared" si="11"/>
        <v>0.36319967509370643</v>
      </c>
      <c r="P122" s="8">
        <f t="shared" si="12"/>
        <v>1.0938315300457082</v>
      </c>
      <c r="X122" s="8">
        <v>-13</v>
      </c>
    </row>
    <row r="123" spans="1:24" x14ac:dyDescent="0.2">
      <c r="A123" s="8">
        <v>60.5</v>
      </c>
      <c r="B123" s="8">
        <v>121</v>
      </c>
      <c r="D123">
        <v>1621.4247491639001</v>
      </c>
      <c r="E123">
        <v>634.28929765886005</v>
      </c>
      <c r="F123">
        <v>143.55378151260999</v>
      </c>
      <c r="G123">
        <v>119.62100840335999</v>
      </c>
      <c r="I123" s="9">
        <f t="shared" si="8"/>
        <v>514.6682892555001</v>
      </c>
      <c r="J123" s="9">
        <f t="shared" si="9"/>
        <v>1477.8709676512901</v>
      </c>
      <c r="K123" s="9">
        <f t="shared" si="10"/>
        <v>514.6682892555001</v>
      </c>
      <c r="L123" s="10">
        <f t="shared" si="7"/>
        <v>0.34824981376651432</v>
      </c>
      <c r="M123" s="10">
        <f t="shared" si="11"/>
        <v>0.36430435659738286</v>
      </c>
      <c r="P123" s="8">
        <f t="shared" si="12"/>
        <v>1.4013111163041756</v>
      </c>
      <c r="X123" s="8">
        <v>-13</v>
      </c>
    </row>
    <row r="124" spans="1:24" x14ac:dyDescent="0.2">
      <c r="A124" s="8">
        <v>61</v>
      </c>
      <c r="B124" s="8">
        <v>122</v>
      </c>
      <c r="D124">
        <v>1654.2683946488</v>
      </c>
      <c r="E124">
        <v>635.57692307692002</v>
      </c>
      <c r="F124">
        <v>142.94453781512999</v>
      </c>
      <c r="G124">
        <v>119.93445378151</v>
      </c>
      <c r="I124" s="9">
        <f t="shared" si="8"/>
        <v>515.64246929541002</v>
      </c>
      <c r="J124" s="9">
        <f t="shared" si="9"/>
        <v>1511.3238568336701</v>
      </c>
      <c r="K124" s="9">
        <f t="shared" si="10"/>
        <v>515.64246929541002</v>
      </c>
      <c r="L124" s="10">
        <f t="shared" si="7"/>
        <v>0.34118595227876392</v>
      </c>
      <c r="M124" s="10">
        <f t="shared" si="11"/>
        <v>0.35737317728178841</v>
      </c>
      <c r="P124" s="8">
        <f t="shared" si="12"/>
        <v>-0.52792924949312459</v>
      </c>
      <c r="X124" s="8">
        <v>-13</v>
      </c>
    </row>
    <row r="125" spans="1:24" x14ac:dyDescent="0.2">
      <c r="A125" s="8">
        <v>61.5</v>
      </c>
      <c r="B125" s="8">
        <v>123</v>
      </c>
      <c r="D125">
        <v>1699.8804347826001</v>
      </c>
      <c r="E125">
        <v>673.8127090301</v>
      </c>
      <c r="F125">
        <v>143.08655462185001</v>
      </c>
      <c r="G125">
        <v>119.84285714286</v>
      </c>
      <c r="I125" s="9">
        <f t="shared" si="8"/>
        <v>553.96985188724</v>
      </c>
      <c r="J125" s="9">
        <f t="shared" si="9"/>
        <v>1556.7938801607502</v>
      </c>
      <c r="K125" s="9">
        <f t="shared" si="10"/>
        <v>553.96985188724</v>
      </c>
      <c r="L125" s="10">
        <f t="shared" si="7"/>
        <v>0.35584020399029231</v>
      </c>
      <c r="M125" s="10">
        <f t="shared" si="11"/>
        <v>0.37216011116547276</v>
      </c>
      <c r="P125" s="8">
        <f t="shared" si="12"/>
        <v>3.5878998808535103</v>
      </c>
      <c r="X125" s="8">
        <v>-13</v>
      </c>
    </row>
    <row r="126" spans="1:24" x14ac:dyDescent="0.2">
      <c r="A126" s="8">
        <v>62</v>
      </c>
      <c r="B126" s="8">
        <v>124</v>
      </c>
      <c r="D126">
        <v>1691.9774247492001</v>
      </c>
      <c r="E126">
        <v>669.26421404682003</v>
      </c>
      <c r="F126">
        <v>143.70588235293999</v>
      </c>
      <c r="G126">
        <v>120.10084033613001</v>
      </c>
      <c r="I126" s="9">
        <f t="shared" si="8"/>
        <v>549.16337371069005</v>
      </c>
      <c r="J126" s="9">
        <f t="shared" si="9"/>
        <v>1548.27154239626</v>
      </c>
      <c r="K126" s="9">
        <f t="shared" si="10"/>
        <v>549.16337371069005</v>
      </c>
      <c r="L126" s="10">
        <f t="shared" si="7"/>
        <v>0.3546944826362628</v>
      </c>
      <c r="M126" s="10">
        <f t="shared" si="11"/>
        <v>0.3711470719835992</v>
      </c>
      <c r="P126" s="8">
        <f t="shared" si="12"/>
        <v>3.3059282288710605</v>
      </c>
      <c r="X126" s="8">
        <v>-13</v>
      </c>
    </row>
    <row r="127" spans="1:24" x14ac:dyDescent="0.2">
      <c r="A127" s="8">
        <v>62.5</v>
      </c>
      <c r="B127" s="8">
        <v>125</v>
      </c>
      <c r="D127">
        <v>1679.0903010033001</v>
      </c>
      <c r="E127">
        <v>645.84364548495</v>
      </c>
      <c r="F127">
        <v>144.04033613445</v>
      </c>
      <c r="G127">
        <v>119.91848739496</v>
      </c>
      <c r="I127" s="9">
        <f t="shared" si="8"/>
        <v>525.92515808998996</v>
      </c>
      <c r="J127" s="9">
        <f t="shared" si="9"/>
        <v>1535.0499648688501</v>
      </c>
      <c r="K127" s="9">
        <f t="shared" si="10"/>
        <v>525.92515808998996</v>
      </c>
      <c r="L127" s="10">
        <f t="shared" si="7"/>
        <v>0.34261110069790035</v>
      </c>
      <c r="M127" s="10">
        <f t="shared" si="11"/>
        <v>0.35919637221739265</v>
      </c>
      <c r="P127" s="8">
        <f t="shared" si="12"/>
        <v>-2.0456984770273544E-2</v>
      </c>
      <c r="X127" s="8">
        <v>-13</v>
      </c>
    </row>
    <row r="128" spans="1:24" x14ac:dyDescent="0.2">
      <c r="A128" s="8">
        <v>63</v>
      </c>
      <c r="B128" s="8">
        <v>126</v>
      </c>
      <c r="D128">
        <v>1639.1638795987001</v>
      </c>
      <c r="E128">
        <v>646.51003344482001</v>
      </c>
      <c r="F128">
        <v>143.26638655462</v>
      </c>
      <c r="G128">
        <v>119.51092436975</v>
      </c>
      <c r="I128" s="9">
        <f t="shared" si="8"/>
        <v>526.99910907507001</v>
      </c>
      <c r="J128" s="9">
        <f t="shared" si="9"/>
        <v>1495.89749304408</v>
      </c>
      <c r="K128" s="9">
        <f t="shared" si="10"/>
        <v>526.99910907507001</v>
      </c>
      <c r="L128" s="10">
        <f t="shared" si="7"/>
        <v>0.35229627131913432</v>
      </c>
      <c r="M128" s="10">
        <f t="shared" si="11"/>
        <v>0.36901422501078257</v>
      </c>
      <c r="P128" s="8">
        <f t="shared" si="12"/>
        <v>2.7122667050999771</v>
      </c>
      <c r="X128" s="8">
        <v>-13</v>
      </c>
    </row>
    <row r="129" spans="1:24" x14ac:dyDescent="0.2">
      <c r="A129" s="8">
        <v>63.5</v>
      </c>
      <c r="B129" s="8">
        <v>127</v>
      </c>
      <c r="D129">
        <v>1621.6321070234001</v>
      </c>
      <c r="E129">
        <v>628.01086956521999</v>
      </c>
      <c r="F129">
        <v>144.00252100840001</v>
      </c>
      <c r="G129">
        <v>119.71428571429</v>
      </c>
      <c r="I129" s="9">
        <f t="shared" si="8"/>
        <v>508.29658385093001</v>
      </c>
      <c r="J129" s="9">
        <f t="shared" si="9"/>
        <v>1477.6295860150001</v>
      </c>
      <c r="K129" s="9">
        <f t="shared" si="10"/>
        <v>508.29658385093001</v>
      </c>
      <c r="L129" s="10">
        <f t="shared" si="7"/>
        <v>0.34399459016095396</v>
      </c>
      <c r="M129" s="10">
        <f t="shared" si="11"/>
        <v>0.36084522602475816</v>
      </c>
      <c r="P129" s="8">
        <f t="shared" si="12"/>
        <v>0.43848877000353642</v>
      </c>
      <c r="X129" s="8">
        <v>-13</v>
      </c>
    </row>
    <row r="130" spans="1:24" x14ac:dyDescent="0.2">
      <c r="A130" s="8">
        <v>64</v>
      </c>
      <c r="B130" s="8">
        <v>128</v>
      </c>
      <c r="D130">
        <v>1609.2366220736001</v>
      </c>
      <c r="E130">
        <v>633.20903010032998</v>
      </c>
      <c r="F130">
        <v>143.42184873950001</v>
      </c>
      <c r="G130">
        <v>119.70672268908</v>
      </c>
      <c r="I130" s="9">
        <f t="shared" si="8"/>
        <v>513.50230741124994</v>
      </c>
      <c r="J130" s="9">
        <f t="shared" si="9"/>
        <v>1465.8147733341</v>
      </c>
      <c r="K130" s="9">
        <f t="shared" si="10"/>
        <v>513.50230741124994</v>
      </c>
      <c r="L130" s="10">
        <f t="shared" ref="L130:L193" si="14">K130/J130</f>
        <v>0.35031868743091765</v>
      </c>
      <c r="M130" s="10">
        <f t="shared" si="11"/>
        <v>0.3673020054668778</v>
      </c>
      <c r="P130" s="8">
        <f t="shared" si="12"/>
        <v>2.235683585719979</v>
      </c>
      <c r="X130" s="8">
        <v>-13</v>
      </c>
    </row>
    <row r="131" spans="1:24" x14ac:dyDescent="0.2">
      <c r="A131" s="8">
        <v>64.5</v>
      </c>
      <c r="B131" s="8">
        <v>129</v>
      </c>
      <c r="D131">
        <v>1587.0192307692</v>
      </c>
      <c r="E131">
        <v>654.63294314381005</v>
      </c>
      <c r="F131">
        <v>143.98655462184999</v>
      </c>
      <c r="G131">
        <v>120.09663865546</v>
      </c>
      <c r="I131" s="9">
        <f t="shared" ref="I131:I194" si="15">E131-G131</f>
        <v>534.53630448835008</v>
      </c>
      <c r="J131" s="9">
        <f t="shared" ref="J131:J194" si="16">D131-F131</f>
        <v>1443.03267614735</v>
      </c>
      <c r="K131" s="9">
        <f t="shared" ref="K131:K194" si="17">I131*1</f>
        <v>534.53630448835008</v>
      </c>
      <c r="L131" s="10">
        <f t="shared" si="14"/>
        <v>0.3704256413066615</v>
      </c>
      <c r="M131" s="10">
        <f t="shared" ref="M131:M181" si="18">L131+ABS($N$2)*A131</f>
        <v>0.38754164151477755</v>
      </c>
      <c r="P131" s="8">
        <f t="shared" ref="P131:P194" si="19">(M131-$O$2)/$O$2*100</f>
        <v>7.86923035672939</v>
      </c>
      <c r="X131" s="8">
        <v>-13</v>
      </c>
    </row>
    <row r="132" spans="1:24" x14ac:dyDescent="0.2">
      <c r="A132" s="8">
        <v>65</v>
      </c>
      <c r="B132" s="8">
        <v>130</v>
      </c>
      <c r="D132">
        <v>1582.9628691983</v>
      </c>
      <c r="E132">
        <v>633.28691983121996</v>
      </c>
      <c r="F132">
        <v>143.62941176471</v>
      </c>
      <c r="G132">
        <v>119.80588235294</v>
      </c>
      <c r="I132" s="9">
        <f t="shared" si="15"/>
        <v>513.48103747827997</v>
      </c>
      <c r="J132" s="9">
        <f t="shared" si="16"/>
        <v>1439.33345743359</v>
      </c>
      <c r="K132" s="9">
        <f t="shared" si="17"/>
        <v>513.48103747827997</v>
      </c>
      <c r="L132" s="10">
        <f t="shared" si="14"/>
        <v>0.35674918471904671</v>
      </c>
      <c r="M132" s="10">
        <f t="shared" si="18"/>
        <v>0.3739978670993187</v>
      </c>
      <c r="P132" s="8">
        <f t="shared" si="19"/>
        <v>4.0994250872613369</v>
      </c>
      <c r="X132" s="8">
        <v>-13</v>
      </c>
    </row>
    <row r="133" spans="1:24" x14ac:dyDescent="0.2">
      <c r="A133" s="8">
        <v>65.5</v>
      </c>
      <c r="B133" s="8">
        <v>131</v>
      </c>
      <c r="D133">
        <v>1591.5713080169</v>
      </c>
      <c r="E133">
        <v>651.46075949367003</v>
      </c>
      <c r="F133">
        <v>144.12689075630001</v>
      </c>
      <c r="G133">
        <v>119.7487394958</v>
      </c>
      <c r="I133" s="9">
        <f t="shared" si="15"/>
        <v>531.71201999787002</v>
      </c>
      <c r="J133" s="9">
        <f t="shared" si="16"/>
        <v>1447.4444172605999</v>
      </c>
      <c r="K133" s="9">
        <f t="shared" si="17"/>
        <v>531.71201999787002</v>
      </c>
      <c r="L133" s="10">
        <f t="shared" si="14"/>
        <v>0.36734538035261899</v>
      </c>
      <c r="M133" s="10">
        <f t="shared" si="18"/>
        <v>0.38472674490504694</v>
      </c>
      <c r="P133" s="8">
        <f t="shared" si="19"/>
        <v>7.0857255709247671</v>
      </c>
      <c r="X133" s="8">
        <v>-13</v>
      </c>
    </row>
    <row r="134" spans="1:24" x14ac:dyDescent="0.2">
      <c r="A134" s="8">
        <v>66</v>
      </c>
      <c r="B134" s="8">
        <v>132</v>
      </c>
      <c r="D134">
        <v>1583.8101265823</v>
      </c>
      <c r="E134">
        <v>641.23122362869003</v>
      </c>
      <c r="F134">
        <v>143.06638655462001</v>
      </c>
      <c r="G134">
        <v>120.52605042016999</v>
      </c>
      <c r="I134" s="9">
        <f t="shared" si="15"/>
        <v>520.70517320852002</v>
      </c>
      <c r="J134" s="9">
        <f t="shared" si="16"/>
        <v>1440.7437400276799</v>
      </c>
      <c r="K134" s="9">
        <f t="shared" si="17"/>
        <v>520.70517320852002</v>
      </c>
      <c r="L134" s="10">
        <f t="shared" si="14"/>
        <v>0.36141414933270238</v>
      </c>
      <c r="M134" s="10">
        <f t="shared" si="18"/>
        <v>0.37892819605728628</v>
      </c>
      <c r="P134" s="8">
        <f t="shared" si="19"/>
        <v>5.4717441702447811</v>
      </c>
      <c r="X134" s="8">
        <v>-13</v>
      </c>
    </row>
    <row r="135" spans="1:24" x14ac:dyDescent="0.2">
      <c r="A135" s="8">
        <v>66.5</v>
      </c>
      <c r="B135" s="8">
        <v>133</v>
      </c>
      <c r="D135">
        <v>1579.9485232068</v>
      </c>
      <c r="E135">
        <v>629.75780590717</v>
      </c>
      <c r="F135">
        <v>143.6025210084</v>
      </c>
      <c r="G135">
        <v>119.83865546219</v>
      </c>
      <c r="I135" s="9">
        <f t="shared" si="15"/>
        <v>509.91915044498</v>
      </c>
      <c r="J135" s="9">
        <f t="shared" si="16"/>
        <v>1436.3460021984001</v>
      </c>
      <c r="K135" s="9">
        <f t="shared" si="17"/>
        <v>509.91915044498</v>
      </c>
      <c r="L135" s="10">
        <f t="shared" si="14"/>
        <v>0.35501136193126376</v>
      </c>
      <c r="M135" s="10">
        <f t="shared" si="18"/>
        <v>0.37265809082800361</v>
      </c>
      <c r="P135" s="8">
        <f t="shared" si="19"/>
        <v>3.7265086835631873</v>
      </c>
      <c r="X135" s="8">
        <v>-13</v>
      </c>
    </row>
    <row r="136" spans="1:24" x14ac:dyDescent="0.2">
      <c r="A136" s="8">
        <v>67</v>
      </c>
      <c r="B136" s="8">
        <v>134</v>
      </c>
      <c r="D136">
        <v>1531.8700421941001</v>
      </c>
      <c r="E136">
        <v>579.77215189873004</v>
      </c>
      <c r="F136">
        <v>143.25966386555001</v>
      </c>
      <c r="G136">
        <v>119.46302521008</v>
      </c>
      <c r="I136" s="9">
        <f t="shared" si="15"/>
        <v>460.30912668865005</v>
      </c>
      <c r="J136" s="9">
        <f t="shared" si="16"/>
        <v>1388.61037832855</v>
      </c>
      <c r="K136" s="9">
        <f t="shared" si="17"/>
        <v>460.30912668865005</v>
      </c>
      <c r="L136" s="10">
        <f t="shared" si="14"/>
        <v>0.33148904391937312</v>
      </c>
      <c r="M136" s="10">
        <f t="shared" si="18"/>
        <v>0.34926845498826886</v>
      </c>
      <c r="P136" s="8">
        <f t="shared" si="19"/>
        <v>-2.7838162624082106</v>
      </c>
      <c r="X136" s="8">
        <v>-13</v>
      </c>
    </row>
    <row r="137" spans="1:24" x14ac:dyDescent="0.2">
      <c r="A137" s="8">
        <v>67.5</v>
      </c>
      <c r="B137" s="8">
        <v>135</v>
      </c>
      <c r="D137">
        <v>1571.6558333333001</v>
      </c>
      <c r="E137">
        <v>578.15166666667005</v>
      </c>
      <c r="F137">
        <v>143.61176470588001</v>
      </c>
      <c r="G137">
        <v>119.32100840336</v>
      </c>
      <c r="I137" s="9">
        <f t="shared" si="15"/>
        <v>458.83065826331006</v>
      </c>
      <c r="J137" s="9">
        <f t="shared" si="16"/>
        <v>1428.0440686274201</v>
      </c>
      <c r="K137" s="9">
        <f t="shared" si="17"/>
        <v>458.83065826331006</v>
      </c>
      <c r="L137" s="10">
        <f t="shared" si="14"/>
        <v>0.32130006933491911</v>
      </c>
      <c r="M137" s="10">
        <f t="shared" si="18"/>
        <v>0.33921216257597081</v>
      </c>
      <c r="P137" s="8">
        <f t="shared" si="19"/>
        <v>-5.5829077833007972</v>
      </c>
      <c r="X137" s="8">
        <v>-13</v>
      </c>
    </row>
    <row r="138" spans="1:24" x14ac:dyDescent="0.2">
      <c r="A138" s="8">
        <v>68</v>
      </c>
      <c r="B138" s="8">
        <v>136</v>
      </c>
      <c r="D138">
        <v>1530.8325</v>
      </c>
      <c r="E138">
        <v>590.87666666666996</v>
      </c>
      <c r="F138">
        <v>142.7974789916</v>
      </c>
      <c r="G138">
        <v>119.75714285714</v>
      </c>
      <c r="I138" s="9">
        <f t="shared" si="15"/>
        <v>471.11952380952994</v>
      </c>
      <c r="J138" s="9">
        <f t="shared" si="16"/>
        <v>1388.0350210084</v>
      </c>
      <c r="K138" s="9">
        <f t="shared" si="17"/>
        <v>471.11952380952994</v>
      </c>
      <c r="L138" s="10">
        <f t="shared" si="14"/>
        <v>0.33941472418128482</v>
      </c>
      <c r="M138" s="10">
        <f t="shared" si="18"/>
        <v>0.35745949959449247</v>
      </c>
      <c r="P138" s="8">
        <f t="shared" si="19"/>
        <v>-0.50390209876526015</v>
      </c>
      <c r="X138" s="8">
        <v>-13</v>
      </c>
    </row>
    <row r="139" spans="1:24" x14ac:dyDescent="0.2">
      <c r="A139" s="8">
        <v>68.5</v>
      </c>
      <c r="B139" s="8">
        <v>137</v>
      </c>
      <c r="D139">
        <v>1543.2070116861</v>
      </c>
      <c r="E139">
        <v>584.16944908180005</v>
      </c>
      <c r="F139">
        <v>143.93781512605</v>
      </c>
      <c r="G139">
        <v>119.85294117647</v>
      </c>
      <c r="I139" s="9">
        <f t="shared" si="15"/>
        <v>464.31650790533007</v>
      </c>
      <c r="J139" s="9">
        <f t="shared" si="16"/>
        <v>1399.26919656005</v>
      </c>
      <c r="K139" s="9">
        <f t="shared" si="17"/>
        <v>464.31650790533007</v>
      </c>
      <c r="L139" s="10">
        <f t="shared" si="14"/>
        <v>0.33182786346387194</v>
      </c>
      <c r="M139" s="10">
        <f t="shared" si="18"/>
        <v>0.35000532104923554</v>
      </c>
      <c r="P139" s="8">
        <f t="shared" si="19"/>
        <v>-2.5787152710365784</v>
      </c>
      <c r="X139" s="8">
        <v>-13</v>
      </c>
    </row>
    <row r="140" spans="1:24" x14ac:dyDescent="0.2">
      <c r="A140" s="8">
        <v>69</v>
      </c>
      <c r="B140" s="8">
        <v>138</v>
      </c>
      <c r="D140">
        <v>1540.7988313855999</v>
      </c>
      <c r="E140">
        <v>582.57762938229996</v>
      </c>
      <c r="F140">
        <v>143.70504201681001</v>
      </c>
      <c r="G140">
        <v>119.89327731092</v>
      </c>
      <c r="I140" s="9">
        <f t="shared" si="15"/>
        <v>462.68435207137998</v>
      </c>
      <c r="J140" s="9">
        <f t="shared" si="16"/>
        <v>1397.0937893687899</v>
      </c>
      <c r="K140" s="9">
        <f t="shared" si="17"/>
        <v>462.68435207137998</v>
      </c>
      <c r="L140" s="10">
        <f t="shared" si="14"/>
        <v>0.33117630011111981</v>
      </c>
      <c r="M140" s="10">
        <f t="shared" si="18"/>
        <v>0.34948643986863931</v>
      </c>
      <c r="P140" s="8">
        <f t="shared" si="19"/>
        <v>-2.7231418502777984</v>
      </c>
      <c r="X140" s="8">
        <v>-13</v>
      </c>
    </row>
    <row r="141" spans="1:24" x14ac:dyDescent="0.2">
      <c r="A141" s="8">
        <v>69.5</v>
      </c>
      <c r="B141" s="8">
        <v>139</v>
      </c>
      <c r="D141">
        <v>1537.4858096828</v>
      </c>
      <c r="E141">
        <v>571.02003338897998</v>
      </c>
      <c r="F141">
        <v>143.12521008402999</v>
      </c>
      <c r="G141">
        <v>119.83613445378001</v>
      </c>
      <c r="I141" s="9">
        <f t="shared" si="15"/>
        <v>451.18389893519998</v>
      </c>
      <c r="J141" s="9">
        <f t="shared" si="16"/>
        <v>1394.36059959877</v>
      </c>
      <c r="K141" s="9">
        <f t="shared" si="17"/>
        <v>451.18389893519998</v>
      </c>
      <c r="L141" s="10">
        <f t="shared" si="14"/>
        <v>0.32357763053906502</v>
      </c>
      <c r="M141" s="10">
        <f t="shared" si="18"/>
        <v>0.34202045246874047</v>
      </c>
      <c r="P141" s="8">
        <f t="shared" si="19"/>
        <v>-4.8012419262651633</v>
      </c>
      <c r="X141" s="8">
        <v>-13</v>
      </c>
    </row>
    <row r="142" spans="1:24" x14ac:dyDescent="0.2">
      <c r="A142" s="8">
        <v>70</v>
      </c>
      <c r="B142" s="8">
        <v>140</v>
      </c>
      <c r="D142">
        <v>1525.8964941569</v>
      </c>
      <c r="E142">
        <v>549.74457429048005</v>
      </c>
      <c r="F142">
        <v>143.24873949580001</v>
      </c>
      <c r="G142">
        <v>119.49327731092001</v>
      </c>
      <c r="I142" s="9">
        <f t="shared" si="15"/>
        <v>430.25129697956004</v>
      </c>
      <c r="J142" s="9">
        <f t="shared" si="16"/>
        <v>1382.6477546611</v>
      </c>
      <c r="K142" s="9">
        <f t="shared" si="17"/>
        <v>430.25129697956004</v>
      </c>
      <c r="L142" s="10">
        <f t="shared" si="14"/>
        <v>0.31117925410078051</v>
      </c>
      <c r="M142" s="10">
        <f t="shared" si="18"/>
        <v>0.32975475820261191</v>
      </c>
      <c r="P142" s="8">
        <f t="shared" si="19"/>
        <v>-8.2153034322924707</v>
      </c>
      <c r="X142" s="8">
        <v>-13</v>
      </c>
    </row>
    <row r="143" spans="1:24" x14ac:dyDescent="0.2">
      <c r="A143" s="8">
        <v>70.5</v>
      </c>
      <c r="B143" s="8">
        <v>141</v>
      </c>
      <c r="D143">
        <v>1528.4165275459</v>
      </c>
      <c r="E143">
        <v>532.41736227044998</v>
      </c>
      <c r="F143">
        <v>142.88739495798001</v>
      </c>
      <c r="G143">
        <v>119.82268907563</v>
      </c>
      <c r="I143" s="9">
        <f t="shared" si="15"/>
        <v>412.59467319481996</v>
      </c>
      <c r="J143" s="9">
        <f t="shared" si="16"/>
        <v>1385.52913258792</v>
      </c>
      <c r="K143" s="9">
        <f t="shared" si="17"/>
        <v>412.59467319481996</v>
      </c>
      <c r="L143" s="10">
        <f t="shared" si="14"/>
        <v>0.29778852244280646</v>
      </c>
      <c r="M143" s="10">
        <f t="shared" si="18"/>
        <v>0.31649670871679381</v>
      </c>
      <c r="P143" s="8">
        <f t="shared" si="19"/>
        <v>-11.905579368774246</v>
      </c>
      <c r="X143" s="8">
        <v>-13</v>
      </c>
    </row>
    <row r="144" spans="1:24" x14ac:dyDescent="0.2">
      <c r="A144" s="8">
        <v>71</v>
      </c>
      <c r="B144" s="8">
        <v>142</v>
      </c>
      <c r="D144">
        <v>1542.0433333333001</v>
      </c>
      <c r="E144">
        <v>536.54416666666998</v>
      </c>
      <c r="F144">
        <v>143.30084033612999</v>
      </c>
      <c r="G144">
        <v>119.32352941177</v>
      </c>
      <c r="I144" s="9">
        <f t="shared" si="15"/>
        <v>417.2206372549</v>
      </c>
      <c r="J144" s="9">
        <f t="shared" si="16"/>
        <v>1398.7424929971701</v>
      </c>
      <c r="K144" s="9">
        <f t="shared" si="17"/>
        <v>417.2206372549</v>
      </c>
      <c r="L144" s="10">
        <f t="shared" si="14"/>
        <v>0.29828266413848353</v>
      </c>
      <c r="M144" s="10">
        <f t="shared" si="18"/>
        <v>0.31712353258462683</v>
      </c>
      <c r="P144" s="8">
        <f t="shared" si="19"/>
        <v>-11.731107774113887</v>
      </c>
    </row>
    <row r="145" spans="1:16" x14ac:dyDescent="0.2">
      <c r="A145" s="8">
        <v>71.5</v>
      </c>
      <c r="B145" s="8">
        <v>143</v>
      </c>
      <c r="D145">
        <v>1532.4516666667</v>
      </c>
      <c r="E145">
        <v>533.79</v>
      </c>
      <c r="F145">
        <v>143.11428571428999</v>
      </c>
      <c r="G145">
        <v>119.32941176471</v>
      </c>
      <c r="I145" s="9">
        <f t="shared" si="15"/>
        <v>414.46058823528995</v>
      </c>
      <c r="J145" s="9">
        <f t="shared" si="16"/>
        <v>1389.3373809524101</v>
      </c>
      <c r="K145" s="9">
        <f t="shared" si="17"/>
        <v>414.46058823528995</v>
      </c>
      <c r="L145" s="10">
        <f t="shared" si="14"/>
        <v>0.29831529325956196</v>
      </c>
      <c r="M145" s="10">
        <f t="shared" si="18"/>
        <v>0.31728884387786116</v>
      </c>
      <c r="P145" s="8">
        <f t="shared" si="19"/>
        <v>-11.685094649173912</v>
      </c>
    </row>
    <row r="146" spans="1:16" x14ac:dyDescent="0.2">
      <c r="A146" s="8">
        <v>72</v>
      </c>
      <c r="B146" s="8">
        <v>144</v>
      </c>
      <c r="D146">
        <v>1542.635</v>
      </c>
      <c r="E146">
        <v>551.78083333332995</v>
      </c>
      <c r="F146">
        <v>143.42521008403</v>
      </c>
      <c r="G146">
        <v>119.33277310923999</v>
      </c>
      <c r="I146" s="9">
        <f t="shared" si="15"/>
        <v>432.44806022408994</v>
      </c>
      <c r="J146" s="9">
        <f t="shared" si="16"/>
        <v>1399.2097899159701</v>
      </c>
      <c r="K146" s="9">
        <f t="shared" si="17"/>
        <v>432.44806022408994</v>
      </c>
      <c r="L146" s="10">
        <f t="shared" si="14"/>
        <v>0.30906591945019246</v>
      </c>
      <c r="M146" s="10">
        <f t="shared" si="18"/>
        <v>0.32817215224064761</v>
      </c>
      <c r="P146" s="8">
        <f t="shared" si="19"/>
        <v>-8.6558096096616737</v>
      </c>
    </row>
    <row r="147" spans="1:16" x14ac:dyDescent="0.2">
      <c r="A147" s="8">
        <v>72.5</v>
      </c>
      <c r="B147" s="8">
        <v>145</v>
      </c>
      <c r="D147">
        <v>1547.8066666667</v>
      </c>
      <c r="E147">
        <v>561.15166666667005</v>
      </c>
      <c r="F147">
        <v>142.95042016807</v>
      </c>
      <c r="G147">
        <v>119.70084033613</v>
      </c>
      <c r="I147" s="9">
        <f t="shared" si="15"/>
        <v>441.45082633054005</v>
      </c>
      <c r="J147" s="9">
        <f t="shared" si="16"/>
        <v>1404.8562464986301</v>
      </c>
      <c r="K147" s="9">
        <f t="shared" si="17"/>
        <v>441.45082633054005</v>
      </c>
      <c r="L147" s="10">
        <f t="shared" si="14"/>
        <v>0.31423202724889654</v>
      </c>
      <c r="M147" s="10">
        <f t="shared" si="18"/>
        <v>0.33347094221150764</v>
      </c>
      <c r="P147" s="8">
        <f t="shared" si="19"/>
        <v>-7.1809322423044097</v>
      </c>
    </row>
    <row r="148" spans="1:16" x14ac:dyDescent="0.2">
      <c r="A148" s="8">
        <v>73</v>
      </c>
      <c r="B148" s="8">
        <v>146</v>
      </c>
      <c r="D148">
        <v>1540.9308333332999</v>
      </c>
      <c r="E148">
        <v>550.91666666667004</v>
      </c>
      <c r="F148">
        <v>142.49915966386999</v>
      </c>
      <c r="G148">
        <v>119.62605042017</v>
      </c>
      <c r="I148" s="9">
        <f t="shared" si="15"/>
        <v>431.29061624650001</v>
      </c>
      <c r="J148" s="9">
        <f t="shared" si="16"/>
        <v>1398.43167366943</v>
      </c>
      <c r="K148" s="9">
        <f t="shared" si="17"/>
        <v>431.29061624650001</v>
      </c>
      <c r="L148" s="10">
        <f t="shared" si="14"/>
        <v>0.30841021722199008</v>
      </c>
      <c r="M148" s="10">
        <f t="shared" si="18"/>
        <v>0.32778181435675713</v>
      </c>
      <c r="P148" s="8">
        <f t="shared" si="19"/>
        <v>-8.7644571525418744</v>
      </c>
    </row>
    <row r="149" spans="1:16" x14ac:dyDescent="0.2">
      <c r="A149" s="8">
        <v>73.5</v>
      </c>
      <c r="B149" s="8">
        <v>147</v>
      </c>
      <c r="D149">
        <v>1536.9649999999999</v>
      </c>
      <c r="E149">
        <v>532.09333333332995</v>
      </c>
      <c r="F149">
        <v>142.84957983192999</v>
      </c>
      <c r="G149">
        <v>119.13529411765001</v>
      </c>
      <c r="I149" s="9">
        <f t="shared" si="15"/>
        <v>412.95803921567995</v>
      </c>
      <c r="J149" s="9">
        <f t="shared" si="16"/>
        <v>1394.1154201680699</v>
      </c>
      <c r="K149" s="9">
        <f t="shared" si="17"/>
        <v>412.95803921567995</v>
      </c>
      <c r="L149" s="10">
        <f t="shared" si="14"/>
        <v>0.29621510044404725</v>
      </c>
      <c r="M149" s="10">
        <f t="shared" si="18"/>
        <v>0.3157193797509702</v>
      </c>
      <c r="P149" s="8">
        <f t="shared" si="19"/>
        <v>-12.121942897993049</v>
      </c>
    </row>
    <row r="150" spans="1:16" x14ac:dyDescent="0.2">
      <c r="A150" s="8">
        <v>74</v>
      </c>
      <c r="B150" s="8">
        <v>148</v>
      </c>
      <c r="D150">
        <v>1533.1033333333</v>
      </c>
      <c r="E150">
        <v>533.90333333333001</v>
      </c>
      <c r="F150">
        <v>143.00252100840001</v>
      </c>
      <c r="G150">
        <v>119.39579831933</v>
      </c>
      <c r="I150" s="9">
        <f t="shared" si="15"/>
        <v>414.50753501400004</v>
      </c>
      <c r="J150" s="9">
        <f t="shared" si="16"/>
        <v>1390.1008123249001</v>
      </c>
      <c r="K150" s="9">
        <f t="shared" si="17"/>
        <v>414.50753501400004</v>
      </c>
      <c r="L150" s="10">
        <f t="shared" si="14"/>
        <v>0.29818523328588609</v>
      </c>
      <c r="M150" s="10">
        <f t="shared" si="18"/>
        <v>0.31782219476496498</v>
      </c>
      <c r="P150" s="8">
        <f t="shared" si="19"/>
        <v>-11.536640538598613</v>
      </c>
    </row>
    <row r="151" spans="1:16" x14ac:dyDescent="0.2">
      <c r="A151" s="8">
        <v>74.5</v>
      </c>
      <c r="B151" s="8">
        <v>149</v>
      </c>
      <c r="D151">
        <v>1532.3591666667</v>
      </c>
      <c r="E151">
        <v>531.42916666666997</v>
      </c>
      <c r="F151">
        <v>143.28571428570999</v>
      </c>
      <c r="G151">
        <v>119.20840336134999</v>
      </c>
      <c r="I151" s="9">
        <f t="shared" si="15"/>
        <v>412.22076330531996</v>
      </c>
      <c r="J151" s="9">
        <f t="shared" si="16"/>
        <v>1389.0734523809901</v>
      </c>
      <c r="K151" s="9">
        <f t="shared" si="17"/>
        <v>412.22076330531996</v>
      </c>
      <c r="L151" s="10">
        <f t="shared" si="14"/>
        <v>0.29675951447976956</v>
      </c>
      <c r="M151" s="10">
        <f t="shared" si="18"/>
        <v>0.31652915813100441</v>
      </c>
      <c r="P151" s="8">
        <f t="shared" si="19"/>
        <v>-11.896547324313831</v>
      </c>
    </row>
    <row r="152" spans="1:16" x14ac:dyDescent="0.2">
      <c r="A152" s="8">
        <v>75</v>
      </c>
      <c r="B152" s="8">
        <v>150</v>
      </c>
      <c r="D152">
        <v>1526.5691666667001</v>
      </c>
      <c r="E152">
        <v>530.83083333333002</v>
      </c>
      <c r="F152">
        <v>142.58571428571</v>
      </c>
      <c r="G152">
        <v>119.41092436975001</v>
      </c>
      <c r="I152" s="9">
        <f t="shared" si="15"/>
        <v>411.41990896358004</v>
      </c>
      <c r="J152" s="9">
        <f t="shared" si="16"/>
        <v>1383.98345238099</v>
      </c>
      <c r="K152" s="9">
        <f t="shared" si="17"/>
        <v>411.41990896358004</v>
      </c>
      <c r="L152" s="10">
        <f t="shared" si="14"/>
        <v>0.29727227464734329</v>
      </c>
      <c r="M152" s="10">
        <f t="shared" si="18"/>
        <v>0.31717460047073409</v>
      </c>
      <c r="P152" s="8">
        <f t="shared" si="19"/>
        <v>-11.716893421434769</v>
      </c>
    </row>
    <row r="153" spans="1:16" x14ac:dyDescent="0.2">
      <c r="A153" s="8">
        <v>75.5</v>
      </c>
      <c r="B153" s="8">
        <v>151</v>
      </c>
      <c r="D153">
        <v>1528.5050000000001</v>
      </c>
      <c r="E153">
        <v>549.19916666666995</v>
      </c>
      <c r="F153">
        <v>142.82184873950001</v>
      </c>
      <c r="G153">
        <v>119.81512605042001</v>
      </c>
      <c r="I153" s="9">
        <f t="shared" si="15"/>
        <v>429.38404061624993</v>
      </c>
      <c r="J153" s="9">
        <f t="shared" si="16"/>
        <v>1385.6831512605002</v>
      </c>
      <c r="K153" s="9">
        <f t="shared" si="17"/>
        <v>429.38404061624993</v>
      </c>
      <c r="L153" s="10">
        <f t="shared" si="14"/>
        <v>0.30987173382721478</v>
      </c>
      <c r="M153" s="10">
        <f t="shared" si="18"/>
        <v>0.32990674182276147</v>
      </c>
      <c r="P153" s="8">
        <f t="shared" si="19"/>
        <v>-8.1729999624813754</v>
      </c>
    </row>
    <row r="154" spans="1:16" x14ac:dyDescent="0.2">
      <c r="A154" s="8">
        <v>76</v>
      </c>
      <c r="B154" s="8">
        <v>152</v>
      </c>
      <c r="D154">
        <v>1537.3933333333</v>
      </c>
      <c r="E154">
        <v>570.88916666667001</v>
      </c>
      <c r="F154">
        <v>143.01008403361001</v>
      </c>
      <c r="G154">
        <v>119.76470588235</v>
      </c>
      <c r="I154" s="9">
        <f t="shared" si="15"/>
        <v>451.12446078432004</v>
      </c>
      <c r="J154" s="9">
        <f t="shared" si="16"/>
        <v>1394.3832492996901</v>
      </c>
      <c r="K154" s="9">
        <f t="shared" si="17"/>
        <v>451.12446078432004</v>
      </c>
      <c r="L154" s="10">
        <f t="shared" si="14"/>
        <v>0.32352974765789183</v>
      </c>
      <c r="M154" s="10">
        <f t="shared" si="18"/>
        <v>0.34369743782559448</v>
      </c>
      <c r="P154" s="8">
        <f t="shared" si="19"/>
        <v>-4.3344659714121949</v>
      </c>
    </row>
    <row r="155" spans="1:16" x14ac:dyDescent="0.2">
      <c r="A155" s="8">
        <v>76.5</v>
      </c>
      <c r="B155" s="8">
        <v>153</v>
      </c>
      <c r="D155">
        <v>1533.1391666667</v>
      </c>
      <c r="E155">
        <v>552.94916666666995</v>
      </c>
      <c r="F155">
        <v>142.63277310923999</v>
      </c>
      <c r="G155">
        <v>119.00168067227</v>
      </c>
      <c r="I155" s="9">
        <f t="shared" si="15"/>
        <v>433.94748599439993</v>
      </c>
      <c r="J155" s="9">
        <f t="shared" si="16"/>
        <v>1390.5063935574601</v>
      </c>
      <c r="K155" s="9">
        <f t="shared" si="17"/>
        <v>433.94748599439993</v>
      </c>
      <c r="L155" s="10">
        <f t="shared" si="14"/>
        <v>0.3120787419640641</v>
      </c>
      <c r="M155" s="10">
        <f t="shared" si="18"/>
        <v>0.3323791143039227</v>
      </c>
      <c r="P155" s="8">
        <f t="shared" si="19"/>
        <v>-7.4848341291128619</v>
      </c>
    </row>
    <row r="156" spans="1:16" x14ac:dyDescent="0.2">
      <c r="A156" s="8">
        <v>77</v>
      </c>
      <c r="B156" s="8">
        <v>154</v>
      </c>
      <c r="D156">
        <v>1529.1866666666999</v>
      </c>
      <c r="E156">
        <v>536.33666666667</v>
      </c>
      <c r="F156">
        <v>143.07899159664001</v>
      </c>
      <c r="G156">
        <v>119.05966386554999</v>
      </c>
      <c r="I156" s="9">
        <f t="shared" si="15"/>
        <v>417.27700280112003</v>
      </c>
      <c r="J156" s="9">
        <f t="shared" si="16"/>
        <v>1386.1076750700599</v>
      </c>
      <c r="K156" s="9">
        <f t="shared" si="17"/>
        <v>417.27700280112003</v>
      </c>
      <c r="L156" s="10">
        <f t="shared" si="14"/>
        <v>0.30104227132284583</v>
      </c>
      <c r="M156" s="10">
        <f t="shared" si="18"/>
        <v>0.32147532583486038</v>
      </c>
      <c r="P156" s="8">
        <f t="shared" si="19"/>
        <v>-10.51981964843152</v>
      </c>
    </row>
    <row r="157" spans="1:16" x14ac:dyDescent="0.2">
      <c r="A157" s="8">
        <v>77.5</v>
      </c>
      <c r="B157" s="8">
        <v>155</v>
      </c>
      <c r="D157">
        <v>1515.4358333333</v>
      </c>
      <c r="E157">
        <v>515.52499999999998</v>
      </c>
      <c r="F157">
        <v>143.08235294118001</v>
      </c>
      <c r="G157">
        <v>119.01932773109</v>
      </c>
      <c r="I157" s="9">
        <f t="shared" si="15"/>
        <v>396.50567226890996</v>
      </c>
      <c r="J157" s="9">
        <f t="shared" si="16"/>
        <v>1372.35348039212</v>
      </c>
      <c r="K157" s="9">
        <f t="shared" si="17"/>
        <v>396.50567226890996</v>
      </c>
      <c r="L157" s="10">
        <f t="shared" si="14"/>
        <v>0.28892386541375414</v>
      </c>
      <c r="M157" s="10">
        <f t="shared" si="18"/>
        <v>0.30948960209792464</v>
      </c>
      <c r="P157" s="8">
        <f t="shared" si="19"/>
        <v>-13.855953514506247</v>
      </c>
    </row>
    <row r="158" spans="1:16" x14ac:dyDescent="0.2">
      <c r="A158" s="8">
        <v>78</v>
      </c>
      <c r="B158" s="8">
        <v>156</v>
      </c>
      <c r="D158">
        <v>1504.0666666667</v>
      </c>
      <c r="E158">
        <v>516.17416666666998</v>
      </c>
      <c r="F158">
        <v>143.07058823528999</v>
      </c>
      <c r="G158">
        <v>119.30168067227</v>
      </c>
      <c r="I158" s="9">
        <f t="shared" si="15"/>
        <v>396.87248599439999</v>
      </c>
      <c r="J158" s="9">
        <f t="shared" si="16"/>
        <v>1360.9960784314101</v>
      </c>
      <c r="K158" s="9">
        <f t="shared" si="17"/>
        <v>396.87248599439999</v>
      </c>
      <c r="L158" s="10">
        <f t="shared" si="14"/>
        <v>0.29160443022863647</v>
      </c>
      <c r="M158" s="10">
        <f t="shared" si="18"/>
        <v>0.31230284908496286</v>
      </c>
      <c r="P158" s="8">
        <f t="shared" si="19"/>
        <v>-13.07290788846962</v>
      </c>
    </row>
    <row r="159" spans="1:16" x14ac:dyDescent="0.2">
      <c r="A159" s="8">
        <v>78.5</v>
      </c>
      <c r="B159" s="8">
        <v>157</v>
      </c>
      <c r="D159">
        <v>1519.7362270450999</v>
      </c>
      <c r="E159">
        <v>515.13021702838</v>
      </c>
      <c r="F159">
        <v>143.53865546219001</v>
      </c>
      <c r="G159">
        <v>119.13361344538001</v>
      </c>
      <c r="I159" s="9">
        <f t="shared" si="15"/>
        <v>395.99660358300002</v>
      </c>
      <c r="J159" s="9">
        <f t="shared" si="16"/>
        <v>1376.1975715829099</v>
      </c>
      <c r="K159" s="9">
        <f t="shared" si="17"/>
        <v>395.99660358300002</v>
      </c>
      <c r="L159" s="10">
        <f t="shared" si="14"/>
        <v>0.28774691349551113</v>
      </c>
      <c r="M159" s="10">
        <f t="shared" si="18"/>
        <v>0.30857801452399347</v>
      </c>
      <c r="P159" s="8">
        <f t="shared" si="19"/>
        <v>-14.109686892984916</v>
      </c>
    </row>
    <row r="160" spans="1:16" x14ac:dyDescent="0.2">
      <c r="A160" s="8">
        <v>79</v>
      </c>
      <c r="B160" s="8">
        <v>158</v>
      </c>
      <c r="D160">
        <v>1509.2821368948</v>
      </c>
      <c r="E160">
        <v>512.72370617696004</v>
      </c>
      <c r="F160">
        <v>142.46638655461999</v>
      </c>
      <c r="G160">
        <v>119.36890756303001</v>
      </c>
      <c r="I160" s="9">
        <f t="shared" si="15"/>
        <v>393.35479861393003</v>
      </c>
      <c r="J160" s="9">
        <f t="shared" si="16"/>
        <v>1366.8157503401801</v>
      </c>
      <c r="K160" s="9">
        <f t="shared" si="17"/>
        <v>393.35479861393003</v>
      </c>
      <c r="L160" s="10">
        <f t="shared" si="14"/>
        <v>0.28778919069086661</v>
      </c>
      <c r="M160" s="10">
        <f t="shared" si="18"/>
        <v>0.30875297389150491</v>
      </c>
      <c r="P160" s="8">
        <f t="shared" si="19"/>
        <v>-14.060988300897129</v>
      </c>
    </row>
    <row r="161" spans="1:16" x14ac:dyDescent="0.2">
      <c r="A161" s="8">
        <v>79.5</v>
      </c>
      <c r="B161" s="8">
        <v>159</v>
      </c>
      <c r="D161">
        <v>1500.8272120199999</v>
      </c>
      <c r="E161">
        <v>494.80634390650999</v>
      </c>
      <c r="F161">
        <v>142.97058823528999</v>
      </c>
      <c r="G161">
        <v>119.4756302521</v>
      </c>
      <c r="I161" s="9">
        <f t="shared" si="15"/>
        <v>375.33071365440998</v>
      </c>
      <c r="J161" s="9">
        <f t="shared" si="16"/>
        <v>1357.8566237847099</v>
      </c>
      <c r="K161" s="9">
        <f t="shared" si="17"/>
        <v>375.33071365440998</v>
      </c>
      <c r="L161" s="10">
        <f t="shared" si="14"/>
        <v>0.27641409783623755</v>
      </c>
      <c r="M161" s="10">
        <f t="shared" si="18"/>
        <v>0.2975105632090318</v>
      </c>
      <c r="P161" s="8">
        <f t="shared" si="19"/>
        <v>-17.190226704627236</v>
      </c>
    </row>
    <row r="162" spans="1:16" x14ac:dyDescent="0.2">
      <c r="A162" s="8">
        <v>80</v>
      </c>
      <c r="B162" s="4">
        <v>160</v>
      </c>
      <c r="C162" s="4" t="s">
        <v>6</v>
      </c>
      <c r="D162">
        <v>1464.3731218697999</v>
      </c>
      <c r="E162">
        <v>467.69949916527997</v>
      </c>
      <c r="F162">
        <v>142.92352941177001</v>
      </c>
      <c r="G162">
        <v>119.21428571429</v>
      </c>
      <c r="H162" s="4"/>
      <c r="I162" s="5">
        <f t="shared" si="15"/>
        <v>348.48521345098999</v>
      </c>
      <c r="J162" s="5">
        <f t="shared" si="16"/>
        <v>1321.4495924580299</v>
      </c>
      <c r="K162" s="9">
        <f t="shared" si="17"/>
        <v>348.48521345098999</v>
      </c>
      <c r="L162" s="6">
        <f t="shared" si="14"/>
        <v>0.26371434479220068</v>
      </c>
      <c r="M162" s="6">
        <f t="shared" si="18"/>
        <v>0.28494349233715083</v>
      </c>
      <c r="N162" s="4"/>
      <c r="O162" s="4"/>
      <c r="P162" s="4">
        <f t="shared" si="19"/>
        <v>-20.688174067108491</v>
      </c>
    </row>
    <row r="163" spans="1:16" x14ac:dyDescent="0.2">
      <c r="A163" s="8">
        <v>80.5</v>
      </c>
      <c r="B163" s="8">
        <v>161</v>
      </c>
      <c r="D163">
        <v>1554.0477386934999</v>
      </c>
      <c r="E163">
        <v>485.12395309882999</v>
      </c>
      <c r="F163">
        <v>142.80672268908</v>
      </c>
      <c r="G163">
        <v>119.06050420168</v>
      </c>
      <c r="I163" s="9">
        <f t="shared" si="15"/>
        <v>366.06344889715001</v>
      </c>
      <c r="J163" s="9">
        <f t="shared" si="16"/>
        <v>1411.2410160044199</v>
      </c>
      <c r="K163" s="9">
        <f t="shared" si="17"/>
        <v>366.06344889715001</v>
      </c>
      <c r="L163" s="10">
        <f t="shared" si="14"/>
        <v>0.25939116334187068</v>
      </c>
      <c r="M163" s="10">
        <f t="shared" si="18"/>
        <v>0.28075299305897677</v>
      </c>
      <c r="P163" s="8">
        <f t="shared" si="19"/>
        <v>-21.854567258251098</v>
      </c>
    </row>
    <row r="164" spans="1:16" x14ac:dyDescent="0.2">
      <c r="A164" s="8">
        <v>81</v>
      </c>
      <c r="B164" s="8">
        <v>162</v>
      </c>
      <c r="D164">
        <v>1554.5871021775999</v>
      </c>
      <c r="E164">
        <v>482.50418760469</v>
      </c>
      <c r="F164">
        <v>143.05546218487001</v>
      </c>
      <c r="G164">
        <v>119.07983193277001</v>
      </c>
      <c r="I164" s="9">
        <f t="shared" si="15"/>
        <v>363.42435567192001</v>
      </c>
      <c r="J164" s="9">
        <f t="shared" si="16"/>
        <v>1411.5316399927299</v>
      </c>
      <c r="K164" s="9">
        <f t="shared" si="17"/>
        <v>363.42435567192001</v>
      </c>
      <c r="L164" s="10">
        <f t="shared" si="14"/>
        <v>0.25746809024684125</v>
      </c>
      <c r="M164" s="10">
        <f t="shared" si="18"/>
        <v>0.2789626021361033</v>
      </c>
      <c r="P164" s="8">
        <f t="shared" si="19"/>
        <v>-22.352908778747217</v>
      </c>
    </row>
    <row r="165" spans="1:16" x14ac:dyDescent="0.2">
      <c r="A165" s="8">
        <v>81.5</v>
      </c>
      <c r="B165" s="8">
        <v>163</v>
      </c>
      <c r="D165">
        <v>1558.3626465662001</v>
      </c>
      <c r="E165">
        <v>475.51842546064</v>
      </c>
      <c r="F165">
        <v>143.28487394958</v>
      </c>
      <c r="G165">
        <v>119.23025210084</v>
      </c>
      <c r="I165" s="9">
        <f t="shared" si="15"/>
        <v>356.2881733598</v>
      </c>
      <c r="J165" s="9">
        <f t="shared" si="16"/>
        <v>1415.07777261662</v>
      </c>
      <c r="K165" s="9">
        <f t="shared" si="17"/>
        <v>356.2881733598</v>
      </c>
      <c r="L165" s="10">
        <f t="shared" si="14"/>
        <v>0.25177992351684503</v>
      </c>
      <c r="M165" s="10">
        <f t="shared" si="18"/>
        <v>0.27340711757826303</v>
      </c>
      <c r="P165" s="8">
        <f t="shared" si="19"/>
        <v>-23.899235106856331</v>
      </c>
    </row>
    <row r="166" spans="1:16" x14ac:dyDescent="0.2">
      <c r="A166" s="8">
        <v>82</v>
      </c>
      <c r="B166" s="8">
        <v>164</v>
      </c>
      <c r="D166">
        <v>1582.0887772194001</v>
      </c>
      <c r="E166">
        <v>484.55527638191001</v>
      </c>
      <c r="F166">
        <v>142.76974789916</v>
      </c>
      <c r="G166">
        <v>119.21848739495999</v>
      </c>
      <c r="I166" s="9">
        <f t="shared" si="15"/>
        <v>365.33678898695001</v>
      </c>
      <c r="J166" s="9">
        <f t="shared" si="16"/>
        <v>1439.3190293202401</v>
      </c>
      <c r="K166" s="9">
        <f t="shared" si="17"/>
        <v>365.33678898695001</v>
      </c>
      <c r="L166" s="10">
        <f t="shared" si="14"/>
        <v>0.25382613690551348</v>
      </c>
      <c r="M166" s="10">
        <f t="shared" si="18"/>
        <v>0.27558601313908737</v>
      </c>
      <c r="P166" s="8">
        <f t="shared" si="19"/>
        <v>-23.292756313364269</v>
      </c>
    </row>
    <row r="167" spans="1:16" x14ac:dyDescent="0.2">
      <c r="A167" s="8">
        <v>82.5</v>
      </c>
      <c r="B167" s="8">
        <v>165</v>
      </c>
      <c r="D167">
        <v>1606.4254606365</v>
      </c>
      <c r="E167">
        <v>504.18257956449003</v>
      </c>
      <c r="F167">
        <v>143.08739495798</v>
      </c>
      <c r="G167">
        <v>119.28487394958</v>
      </c>
      <c r="I167" s="9">
        <f t="shared" si="15"/>
        <v>384.89770561491002</v>
      </c>
      <c r="J167" s="9">
        <f t="shared" si="16"/>
        <v>1463.33806567852</v>
      </c>
      <c r="K167" s="9">
        <f t="shared" si="17"/>
        <v>384.89770561491002</v>
      </c>
      <c r="L167" s="10">
        <f t="shared" si="14"/>
        <v>0.26302719422284748</v>
      </c>
      <c r="M167" s="10">
        <f t="shared" si="18"/>
        <v>0.28491975262857733</v>
      </c>
      <c r="P167" s="8">
        <f t="shared" si="19"/>
        <v>-20.694781832103001</v>
      </c>
    </row>
    <row r="168" spans="1:16" x14ac:dyDescent="0.2">
      <c r="A168" s="8">
        <v>83</v>
      </c>
      <c r="B168" s="8">
        <v>166</v>
      </c>
      <c r="D168">
        <v>1561.8132328308</v>
      </c>
      <c r="E168">
        <v>494.88860971524002</v>
      </c>
      <c r="F168">
        <v>143.14537815125999</v>
      </c>
      <c r="G168">
        <v>118.93865546219</v>
      </c>
      <c r="I168" s="9">
        <f t="shared" si="15"/>
        <v>375.94995425305001</v>
      </c>
      <c r="J168" s="9">
        <f t="shared" si="16"/>
        <v>1418.6678546795399</v>
      </c>
      <c r="K168" s="9">
        <f t="shared" si="17"/>
        <v>375.94995425305001</v>
      </c>
      <c r="L168" s="10">
        <f t="shared" si="14"/>
        <v>0.26500209546086645</v>
      </c>
      <c r="M168" s="10">
        <f t="shared" si="18"/>
        <v>0.28702733603875225</v>
      </c>
      <c r="P168" s="8">
        <f t="shared" si="19"/>
        <v>-20.108152226366787</v>
      </c>
    </row>
    <row r="169" spans="1:16" x14ac:dyDescent="0.2">
      <c r="A169" s="8">
        <v>83.5</v>
      </c>
      <c r="B169" s="8">
        <v>167</v>
      </c>
      <c r="D169">
        <v>1518.0728033472999</v>
      </c>
      <c r="E169">
        <v>491.49121338911999</v>
      </c>
      <c r="F169">
        <v>142.6243697479</v>
      </c>
      <c r="G169">
        <v>119.45210084033999</v>
      </c>
      <c r="I169" s="9">
        <f t="shared" si="15"/>
        <v>372.03911254878</v>
      </c>
      <c r="J169" s="9">
        <f t="shared" si="16"/>
        <v>1375.4484335993998</v>
      </c>
      <c r="K169" s="9">
        <f t="shared" si="17"/>
        <v>372.03911254878</v>
      </c>
      <c r="L169" s="10">
        <f t="shared" si="14"/>
        <v>0.27048568558487784</v>
      </c>
      <c r="M169" s="10">
        <f t="shared" si="18"/>
        <v>0.29264360833491959</v>
      </c>
      <c r="P169" s="8">
        <f t="shared" si="19"/>
        <v>-18.544906099593359</v>
      </c>
    </row>
    <row r="170" spans="1:16" x14ac:dyDescent="0.2">
      <c r="A170" s="8">
        <v>84</v>
      </c>
      <c r="B170" s="8">
        <v>168</v>
      </c>
      <c r="D170">
        <v>1543.9255230126</v>
      </c>
      <c r="E170">
        <v>519.23096234310003</v>
      </c>
      <c r="F170">
        <v>142.69075630251999</v>
      </c>
      <c r="G170">
        <v>119.01764705882</v>
      </c>
      <c r="I170" s="9">
        <f t="shared" si="15"/>
        <v>400.21331528428004</v>
      </c>
      <c r="J170" s="9">
        <f t="shared" si="16"/>
        <v>1401.2347667100801</v>
      </c>
      <c r="K170" s="9">
        <f t="shared" si="17"/>
        <v>400.21331528428004</v>
      </c>
      <c r="L170" s="10">
        <f t="shared" si="14"/>
        <v>0.28561474835792844</v>
      </c>
      <c r="M170" s="10">
        <f t="shared" si="18"/>
        <v>0.30790535328012614</v>
      </c>
      <c r="P170" s="8">
        <f t="shared" si="19"/>
        <v>-14.296916968140602</v>
      </c>
    </row>
    <row r="171" spans="1:16" x14ac:dyDescent="0.2">
      <c r="A171" s="8">
        <v>84.5</v>
      </c>
      <c r="B171" s="8">
        <v>169</v>
      </c>
      <c r="D171">
        <v>1548.6343096234</v>
      </c>
      <c r="E171">
        <v>509.45188284519003</v>
      </c>
      <c r="F171">
        <v>142.82605042016999</v>
      </c>
      <c r="G171">
        <v>119.10840336135</v>
      </c>
      <c r="I171" s="9">
        <f t="shared" si="15"/>
        <v>390.34347948384004</v>
      </c>
      <c r="J171" s="9">
        <f t="shared" si="16"/>
        <v>1405.8082592032299</v>
      </c>
      <c r="K171" s="9">
        <f t="shared" si="17"/>
        <v>390.34347948384004</v>
      </c>
      <c r="L171" s="10">
        <f t="shared" si="14"/>
        <v>0.27766480736503502</v>
      </c>
      <c r="M171" s="10">
        <f t="shared" si="18"/>
        <v>0.30008809445938861</v>
      </c>
      <c r="P171" s="8">
        <f t="shared" si="19"/>
        <v>-16.472790737979494</v>
      </c>
    </row>
    <row r="172" spans="1:16" x14ac:dyDescent="0.2">
      <c r="A172" s="8">
        <v>85</v>
      </c>
      <c r="B172" s="8">
        <v>170</v>
      </c>
      <c r="D172">
        <v>1549.7673640167</v>
      </c>
      <c r="E172">
        <v>521.52635983263997</v>
      </c>
      <c r="F172">
        <v>143.2756302521</v>
      </c>
      <c r="G172">
        <v>119.21512605042</v>
      </c>
      <c r="I172" s="9">
        <f t="shared" si="15"/>
        <v>402.31123378221997</v>
      </c>
      <c r="J172" s="9">
        <f t="shared" si="16"/>
        <v>1406.4917337646</v>
      </c>
      <c r="K172" s="9">
        <f t="shared" si="17"/>
        <v>402.31123378221997</v>
      </c>
      <c r="L172" s="10">
        <f t="shared" si="14"/>
        <v>0.28603881851861174</v>
      </c>
      <c r="M172" s="10">
        <f t="shared" si="18"/>
        <v>0.30859478778512128</v>
      </c>
      <c r="P172" s="8">
        <f t="shared" si="19"/>
        <v>-14.105018184968513</v>
      </c>
    </row>
    <row r="173" spans="1:16" x14ac:dyDescent="0.2">
      <c r="A173" s="8">
        <v>85.5</v>
      </c>
      <c r="B173" s="8">
        <v>171</v>
      </c>
      <c r="D173">
        <v>1560.9757322175999</v>
      </c>
      <c r="E173">
        <v>529.38828451883001</v>
      </c>
      <c r="F173">
        <v>142.96806722689001</v>
      </c>
      <c r="G173">
        <v>119.01848739496</v>
      </c>
      <c r="I173" s="9">
        <f t="shared" si="15"/>
        <v>410.36979712387</v>
      </c>
      <c r="J173" s="9">
        <f t="shared" si="16"/>
        <v>1418.0076649907098</v>
      </c>
      <c r="K173" s="9">
        <f t="shared" si="17"/>
        <v>410.36979712387</v>
      </c>
      <c r="L173" s="10">
        <f t="shared" si="14"/>
        <v>0.28939885675904198</v>
      </c>
      <c r="M173" s="10">
        <f t="shared" si="18"/>
        <v>0.31208750819770747</v>
      </c>
      <c r="P173" s="8">
        <f t="shared" si="19"/>
        <v>-13.132846365485356</v>
      </c>
    </row>
    <row r="174" spans="1:16" x14ac:dyDescent="0.2">
      <c r="A174" s="8">
        <v>86</v>
      </c>
      <c r="B174" s="8">
        <v>172</v>
      </c>
      <c r="D174">
        <v>1554.5531380753</v>
      </c>
      <c r="E174">
        <v>530.38912133890994</v>
      </c>
      <c r="F174">
        <v>143.11512605042</v>
      </c>
      <c r="G174">
        <v>119.18403361345</v>
      </c>
      <c r="I174" s="9">
        <f t="shared" si="15"/>
        <v>411.20508772545998</v>
      </c>
      <c r="J174" s="9">
        <f t="shared" si="16"/>
        <v>1411.43801202488</v>
      </c>
      <c r="K174" s="9">
        <f t="shared" si="17"/>
        <v>411.20508772545998</v>
      </c>
      <c r="L174" s="10">
        <f t="shared" si="14"/>
        <v>0.29133768838741714</v>
      </c>
      <c r="M174" s="10">
        <f t="shared" si="18"/>
        <v>0.31415902199823859</v>
      </c>
      <c r="P174" s="8">
        <f t="shared" si="19"/>
        <v>-12.556256457718984</v>
      </c>
    </row>
    <row r="175" spans="1:16" x14ac:dyDescent="0.2">
      <c r="A175" s="8">
        <v>86.5</v>
      </c>
      <c r="B175" s="8">
        <v>173</v>
      </c>
      <c r="D175">
        <v>1554.8393305438999</v>
      </c>
      <c r="E175">
        <v>519.08033472803004</v>
      </c>
      <c r="F175">
        <v>142.80504201681001</v>
      </c>
      <c r="G175">
        <v>119.50756302521</v>
      </c>
      <c r="I175" s="9">
        <f t="shared" si="15"/>
        <v>399.57277170282003</v>
      </c>
      <c r="J175" s="9">
        <f t="shared" si="16"/>
        <v>1412.03428852709</v>
      </c>
      <c r="K175" s="9">
        <f t="shared" si="17"/>
        <v>399.57277170282003</v>
      </c>
      <c r="L175" s="10">
        <f t="shared" si="14"/>
        <v>0.28297667765534168</v>
      </c>
      <c r="M175" s="10">
        <f t="shared" si="18"/>
        <v>0.30593069343831902</v>
      </c>
      <c r="P175" s="8">
        <f t="shared" si="19"/>
        <v>-14.846548322643576</v>
      </c>
    </row>
    <row r="176" spans="1:16" x14ac:dyDescent="0.2">
      <c r="A176" s="8">
        <v>87</v>
      </c>
      <c r="B176" s="8">
        <v>174</v>
      </c>
      <c r="D176">
        <v>1542.9656903765999</v>
      </c>
      <c r="E176">
        <v>516.45857740585996</v>
      </c>
      <c r="F176">
        <v>143.82184873950001</v>
      </c>
      <c r="G176">
        <v>119.2756302521</v>
      </c>
      <c r="I176" s="9">
        <f t="shared" si="15"/>
        <v>397.18294715375998</v>
      </c>
      <c r="J176" s="9">
        <f t="shared" si="16"/>
        <v>1399.1438416371</v>
      </c>
      <c r="K176" s="9">
        <f t="shared" si="17"/>
        <v>397.18294715375998</v>
      </c>
      <c r="L176" s="10">
        <f t="shared" si="14"/>
        <v>0.28387570693877129</v>
      </c>
      <c r="M176" s="10">
        <f t="shared" si="18"/>
        <v>0.30696240489390458</v>
      </c>
      <c r="P176" s="8">
        <f t="shared" si="19"/>
        <v>-14.559379387121609</v>
      </c>
    </row>
    <row r="177" spans="1:16" x14ac:dyDescent="0.2">
      <c r="A177" s="8">
        <v>87.5</v>
      </c>
      <c r="B177" s="8">
        <v>175</v>
      </c>
      <c r="D177">
        <v>1537.0184100418001</v>
      </c>
      <c r="E177">
        <v>508.13305439330998</v>
      </c>
      <c r="F177">
        <v>142.40924369748001</v>
      </c>
      <c r="G177">
        <v>119.14957983193</v>
      </c>
      <c r="I177" s="9">
        <f t="shared" si="15"/>
        <v>388.98347456137998</v>
      </c>
      <c r="J177" s="9">
        <f t="shared" si="16"/>
        <v>1394.6091663443201</v>
      </c>
      <c r="K177" s="9">
        <f t="shared" si="17"/>
        <v>388.98347456137998</v>
      </c>
      <c r="L177" s="10">
        <f t="shared" si="14"/>
        <v>0.27891934453651973</v>
      </c>
      <c r="M177" s="10">
        <f t="shared" si="18"/>
        <v>0.30213872466380898</v>
      </c>
      <c r="P177" s="8">
        <f t="shared" si="19"/>
        <v>-15.902013618306654</v>
      </c>
    </row>
    <row r="178" spans="1:16" x14ac:dyDescent="0.2">
      <c r="A178" s="8">
        <v>88</v>
      </c>
      <c r="B178" s="8">
        <v>176</v>
      </c>
      <c r="D178">
        <v>1532.6242677824</v>
      </c>
      <c r="E178">
        <v>492.83179916317999</v>
      </c>
      <c r="F178">
        <v>142.83949579832</v>
      </c>
      <c r="G178">
        <v>118.83949579832</v>
      </c>
      <c r="I178" s="9">
        <f t="shared" si="15"/>
        <v>373.99230336485999</v>
      </c>
      <c r="J178" s="9">
        <f t="shared" si="16"/>
        <v>1389.78477198408</v>
      </c>
      <c r="K178" s="9">
        <f t="shared" si="17"/>
        <v>373.99230336485999</v>
      </c>
      <c r="L178" s="10">
        <f t="shared" si="14"/>
        <v>0.26910087871443744</v>
      </c>
      <c r="M178" s="10">
        <f t="shared" si="18"/>
        <v>0.29245294101388264</v>
      </c>
      <c r="P178" s="8">
        <f t="shared" si="19"/>
        <v>-18.597976879533405</v>
      </c>
    </row>
    <row r="179" spans="1:16" x14ac:dyDescent="0.2">
      <c r="A179" s="8">
        <v>88.5</v>
      </c>
      <c r="B179" s="8">
        <v>177</v>
      </c>
      <c r="D179">
        <v>1545.8259414226</v>
      </c>
      <c r="E179">
        <v>488.25020920501998</v>
      </c>
      <c r="F179">
        <v>142.8487394958</v>
      </c>
      <c r="G179">
        <v>118.92268907563</v>
      </c>
      <c r="I179" s="9">
        <f t="shared" si="15"/>
        <v>369.32752012939</v>
      </c>
      <c r="J179" s="9">
        <f t="shared" si="16"/>
        <v>1402.9772019268</v>
      </c>
      <c r="K179" s="9">
        <f t="shared" si="17"/>
        <v>369.32752012939</v>
      </c>
      <c r="L179" s="10">
        <f t="shared" si="14"/>
        <v>0.26324556067067123</v>
      </c>
      <c r="M179" s="10">
        <f t="shared" si="18"/>
        <v>0.28673030514227238</v>
      </c>
      <c r="P179" s="8">
        <f t="shared" si="19"/>
        <v>-20.190828488123373</v>
      </c>
    </row>
    <row r="180" spans="1:16" x14ac:dyDescent="0.2">
      <c r="A180" s="8">
        <v>89</v>
      </c>
      <c r="B180" s="8">
        <v>178</v>
      </c>
      <c r="D180">
        <v>1541.789958159</v>
      </c>
      <c r="E180">
        <v>479.02510460251</v>
      </c>
      <c r="F180">
        <v>142.98991596638999</v>
      </c>
      <c r="G180">
        <v>119.0731092437</v>
      </c>
      <c r="I180" s="9">
        <f t="shared" si="15"/>
        <v>359.95199535881</v>
      </c>
      <c r="J180" s="9">
        <f t="shared" si="16"/>
        <v>1398.8000421926099</v>
      </c>
      <c r="K180" s="9">
        <f t="shared" si="17"/>
        <v>359.95199535881</v>
      </c>
      <c r="L180" s="10">
        <f t="shared" si="14"/>
        <v>0.25732912818231518</v>
      </c>
      <c r="M180" s="10">
        <f t="shared" si="18"/>
        <v>0.28094655482607223</v>
      </c>
      <c r="P180" s="8">
        <f t="shared" si="19"/>
        <v>-21.800690831549016</v>
      </c>
    </row>
    <row r="181" spans="1:16" x14ac:dyDescent="0.2">
      <c r="A181" s="8">
        <v>89.5</v>
      </c>
      <c r="B181" s="8">
        <v>179</v>
      </c>
      <c r="D181">
        <v>1519.4594142259</v>
      </c>
      <c r="E181">
        <v>474.12719665271999</v>
      </c>
      <c r="F181">
        <v>142.44369747899</v>
      </c>
      <c r="G181">
        <v>119.06806722688999</v>
      </c>
      <c r="I181" s="9">
        <f t="shared" si="15"/>
        <v>355.05912942583001</v>
      </c>
      <c r="J181" s="9">
        <f t="shared" si="16"/>
        <v>1377.0157167469099</v>
      </c>
      <c r="K181" s="9">
        <f t="shared" si="17"/>
        <v>355.05912942583001</v>
      </c>
      <c r="L181" s="10">
        <f t="shared" si="14"/>
        <v>0.25784682419212246</v>
      </c>
      <c r="M181" s="10">
        <f t="shared" si="18"/>
        <v>0.28159693300803545</v>
      </c>
      <c r="P181" s="8">
        <f t="shared" si="19"/>
        <v>-21.619663075009189</v>
      </c>
    </row>
    <row r="182" spans="1:16" x14ac:dyDescent="0.2">
      <c r="A182" s="8">
        <v>90</v>
      </c>
      <c r="B182" s="8">
        <v>180</v>
      </c>
      <c r="D182">
        <v>1524.6945606695001</v>
      </c>
      <c r="E182">
        <v>485.66610878660998</v>
      </c>
      <c r="F182">
        <v>142.88319327731</v>
      </c>
      <c r="G182">
        <v>119.05042016807</v>
      </c>
      <c r="I182" s="9">
        <f t="shared" si="15"/>
        <v>366.61568861853999</v>
      </c>
      <c r="J182" s="9">
        <f t="shared" si="16"/>
        <v>1381.81136739219</v>
      </c>
      <c r="K182" s="9">
        <f t="shared" si="17"/>
        <v>366.61568861853999</v>
      </c>
      <c r="L182" s="10">
        <f t="shared" si="14"/>
        <v>0.26531529358484862</v>
      </c>
      <c r="M182" s="10">
        <f>L182+ABS($N$2)*A182</f>
        <v>0.28919808457291757</v>
      </c>
      <c r="P182" s="8">
        <f t="shared" si="19"/>
        <v>-19.503941094981869</v>
      </c>
    </row>
    <row r="183" spans="1:16" x14ac:dyDescent="0.2">
      <c r="A183" s="8">
        <v>90.5</v>
      </c>
      <c r="B183" s="8">
        <v>181</v>
      </c>
      <c r="D183">
        <v>1529.0728033472999</v>
      </c>
      <c r="E183">
        <v>487.48200836820001</v>
      </c>
      <c r="F183">
        <v>142.44201680672001</v>
      </c>
      <c r="G183">
        <v>119.29243697478999</v>
      </c>
      <c r="I183" s="9">
        <f t="shared" si="15"/>
        <v>368.18957139341001</v>
      </c>
      <c r="J183" s="9">
        <f t="shared" si="16"/>
        <v>1386.6307865405799</v>
      </c>
      <c r="K183" s="9">
        <f t="shared" si="17"/>
        <v>368.18957139341001</v>
      </c>
      <c r="L183" s="10">
        <f t="shared" si="14"/>
        <v>0.26552819609031153</v>
      </c>
      <c r="M183" s="10">
        <f t="shared" ref="M183:M241" si="20">L183+ABS($N$2)*A183</f>
        <v>0.28954366925053643</v>
      </c>
      <c r="P183" s="8">
        <f t="shared" si="19"/>
        <v>-19.407750262295821</v>
      </c>
    </row>
    <row r="184" spans="1:16" x14ac:dyDescent="0.2">
      <c r="A184" s="8">
        <v>91</v>
      </c>
      <c r="B184" s="8">
        <v>182</v>
      </c>
      <c r="D184">
        <v>1534.3322175732001</v>
      </c>
      <c r="E184">
        <v>479.00167364017</v>
      </c>
      <c r="F184">
        <v>142.84957983192999</v>
      </c>
      <c r="G184">
        <v>119.20084033613</v>
      </c>
      <c r="I184" s="9">
        <f t="shared" si="15"/>
        <v>359.80083330404</v>
      </c>
      <c r="J184" s="9">
        <f t="shared" si="16"/>
        <v>1391.4826377412701</v>
      </c>
      <c r="K184" s="9">
        <f t="shared" si="17"/>
        <v>359.80083330404</v>
      </c>
      <c r="L184" s="10">
        <f t="shared" si="14"/>
        <v>0.2585737137820765</v>
      </c>
      <c r="M184" s="10">
        <f t="shared" si="20"/>
        <v>0.28272186911445729</v>
      </c>
      <c r="P184" s="8">
        <f t="shared" si="19"/>
        <v>-21.306545776114763</v>
      </c>
    </row>
    <row r="185" spans="1:16" x14ac:dyDescent="0.2">
      <c r="A185" s="8">
        <v>91.5</v>
      </c>
      <c r="B185" s="8">
        <v>183</v>
      </c>
      <c r="D185">
        <v>1529.4418410041999</v>
      </c>
      <c r="E185">
        <v>471.89874476987001</v>
      </c>
      <c r="F185">
        <v>142.84369747899001</v>
      </c>
      <c r="G185">
        <v>119.1218487395</v>
      </c>
      <c r="I185" s="9">
        <f t="shared" si="15"/>
        <v>352.77689603037004</v>
      </c>
      <c r="J185" s="9">
        <f t="shared" si="16"/>
        <v>1386.5981435252099</v>
      </c>
      <c r="K185" s="9">
        <f t="shared" si="17"/>
        <v>352.77689603037004</v>
      </c>
      <c r="L185" s="10">
        <f t="shared" si="14"/>
        <v>0.25441898770575999</v>
      </c>
      <c r="M185" s="10">
        <f t="shared" si="20"/>
        <v>0.27869982521029674</v>
      </c>
      <c r="P185" s="8">
        <f t="shared" si="19"/>
        <v>-22.426050711654007</v>
      </c>
    </row>
    <row r="186" spans="1:16" x14ac:dyDescent="0.2">
      <c r="A186" s="8">
        <v>92</v>
      </c>
      <c r="B186" s="8">
        <v>184</v>
      </c>
      <c r="D186">
        <v>1557.464527027</v>
      </c>
      <c r="E186">
        <v>487.70101351351002</v>
      </c>
      <c r="F186">
        <v>142.84705882353001</v>
      </c>
      <c r="G186">
        <v>119.13193277310999</v>
      </c>
      <c r="I186" s="9">
        <f t="shared" si="15"/>
        <v>368.56908074040001</v>
      </c>
      <c r="J186" s="9">
        <f t="shared" si="16"/>
        <v>1414.61746820347</v>
      </c>
      <c r="K186" s="9">
        <f t="shared" si="17"/>
        <v>368.56908074040001</v>
      </c>
      <c r="L186" s="10">
        <f t="shared" si="14"/>
        <v>0.26054328397943072</v>
      </c>
      <c r="M186" s="10">
        <f t="shared" si="20"/>
        <v>0.28495680365612341</v>
      </c>
      <c r="P186" s="8">
        <f t="shared" si="19"/>
        <v>-20.684468964020748</v>
      </c>
    </row>
    <row r="187" spans="1:16" x14ac:dyDescent="0.2">
      <c r="A187" s="8">
        <v>92.5</v>
      </c>
      <c r="B187" s="8">
        <v>185</v>
      </c>
      <c r="D187">
        <v>1565.6199324324</v>
      </c>
      <c r="E187">
        <v>491.70861486487001</v>
      </c>
      <c r="F187">
        <v>142.86470588234999</v>
      </c>
      <c r="G187">
        <v>118.75882352940999</v>
      </c>
      <c r="I187" s="9">
        <f t="shared" si="15"/>
        <v>372.94979133546002</v>
      </c>
      <c r="J187" s="9">
        <f t="shared" si="16"/>
        <v>1422.7552265500499</v>
      </c>
      <c r="K187" s="9">
        <f t="shared" si="17"/>
        <v>372.94979133546002</v>
      </c>
      <c r="L187" s="10">
        <f t="shared" si="14"/>
        <v>0.26213208314110548</v>
      </c>
      <c r="M187" s="10">
        <f t="shared" si="20"/>
        <v>0.28667828498995412</v>
      </c>
      <c r="P187" s="8">
        <f t="shared" si="19"/>
        <v>-20.205307896766215</v>
      </c>
    </row>
    <row r="188" spans="1:16" x14ac:dyDescent="0.2">
      <c r="A188" s="8">
        <v>93</v>
      </c>
      <c r="B188" s="8">
        <v>186</v>
      </c>
      <c r="D188">
        <v>1576.3521959459999</v>
      </c>
      <c r="E188">
        <v>499.11317567568</v>
      </c>
      <c r="F188">
        <v>141.9781512605</v>
      </c>
      <c r="G188">
        <v>118.96554621849</v>
      </c>
      <c r="I188" s="9">
        <f t="shared" si="15"/>
        <v>380.14762945718996</v>
      </c>
      <c r="J188" s="9">
        <f t="shared" si="16"/>
        <v>1434.3740446854999</v>
      </c>
      <c r="K188" s="9">
        <f t="shared" si="17"/>
        <v>380.14762945718996</v>
      </c>
      <c r="L188" s="10">
        <f t="shared" si="14"/>
        <v>0.26502684628578937</v>
      </c>
      <c r="M188" s="10">
        <f t="shared" si="20"/>
        <v>0.28970573030679392</v>
      </c>
      <c r="P188" s="8">
        <f t="shared" si="19"/>
        <v>-19.362641815779043</v>
      </c>
    </row>
    <row r="189" spans="1:16" x14ac:dyDescent="0.2">
      <c r="A189" s="8">
        <v>93.5</v>
      </c>
      <c r="B189" s="8">
        <v>187</v>
      </c>
      <c r="D189">
        <v>1554.3184121622</v>
      </c>
      <c r="E189">
        <v>509.89020270269998</v>
      </c>
      <c r="F189">
        <v>142.79915966387</v>
      </c>
      <c r="G189">
        <v>119.70840336134999</v>
      </c>
      <c r="I189" s="9">
        <f t="shared" si="15"/>
        <v>390.18179934134997</v>
      </c>
      <c r="J189" s="9">
        <f t="shared" si="16"/>
        <v>1411.5192524983299</v>
      </c>
      <c r="K189" s="9">
        <f t="shared" si="17"/>
        <v>390.18179934134997</v>
      </c>
      <c r="L189" s="10">
        <f t="shared" si="14"/>
        <v>0.2764268348807461</v>
      </c>
      <c r="M189" s="10">
        <f t="shared" si="20"/>
        <v>0.30123840107390659</v>
      </c>
      <c r="P189" s="8">
        <f t="shared" si="19"/>
        <v>-16.152611753606845</v>
      </c>
    </row>
    <row r="190" spans="1:16" x14ac:dyDescent="0.2">
      <c r="A190" s="8">
        <v>94</v>
      </c>
      <c r="B190" s="8">
        <v>188</v>
      </c>
      <c r="D190">
        <v>1562.8015202703</v>
      </c>
      <c r="E190">
        <v>522.59543918918996</v>
      </c>
      <c r="F190">
        <v>142.6512605042</v>
      </c>
      <c r="G190">
        <v>119.30336134453999</v>
      </c>
      <c r="I190" s="9">
        <f t="shared" si="15"/>
        <v>403.29207784464995</v>
      </c>
      <c r="J190" s="9">
        <f t="shared" si="16"/>
        <v>1420.1502597660999</v>
      </c>
      <c r="K190" s="9">
        <f t="shared" si="17"/>
        <v>403.29207784464995</v>
      </c>
      <c r="L190" s="10">
        <f t="shared" si="14"/>
        <v>0.28397845585091297</v>
      </c>
      <c r="M190" s="10">
        <f t="shared" si="20"/>
        <v>0.30892270421622942</v>
      </c>
      <c r="P190" s="8">
        <f t="shared" si="19"/>
        <v>-14.013745172585375</v>
      </c>
    </row>
    <row r="191" spans="1:16" x14ac:dyDescent="0.2">
      <c r="A191" s="8">
        <v>94.5</v>
      </c>
      <c r="B191" s="8">
        <v>189</v>
      </c>
      <c r="D191">
        <v>1549.9383445946</v>
      </c>
      <c r="E191">
        <v>500.27280405405003</v>
      </c>
      <c r="F191">
        <v>142.81764705882</v>
      </c>
      <c r="G191">
        <v>119.24201680672</v>
      </c>
      <c r="I191" s="9">
        <f t="shared" si="15"/>
        <v>381.03078724733001</v>
      </c>
      <c r="J191" s="9">
        <f t="shared" si="16"/>
        <v>1407.12069753578</v>
      </c>
      <c r="K191" s="9">
        <f t="shared" si="17"/>
        <v>381.03078724733001</v>
      </c>
      <c r="L191" s="10">
        <f t="shared" si="14"/>
        <v>0.27078756492929862</v>
      </c>
      <c r="M191" s="10">
        <f t="shared" si="20"/>
        <v>0.29586449546677102</v>
      </c>
      <c r="P191" s="8">
        <f t="shared" si="19"/>
        <v>-17.648396979642545</v>
      </c>
    </row>
    <row r="192" spans="1:16" x14ac:dyDescent="0.2">
      <c r="A192" s="8">
        <v>95</v>
      </c>
      <c r="B192" s="8">
        <v>190</v>
      </c>
      <c r="D192">
        <v>1554.4679054054</v>
      </c>
      <c r="E192">
        <v>493.69425675676001</v>
      </c>
      <c r="F192">
        <v>142.96806722689001</v>
      </c>
      <c r="G192">
        <v>119.45630252101</v>
      </c>
      <c r="I192" s="9">
        <f t="shared" si="15"/>
        <v>374.23795423575001</v>
      </c>
      <c r="J192" s="9">
        <f t="shared" si="16"/>
        <v>1411.4998381785099</v>
      </c>
      <c r="K192" s="9">
        <f t="shared" si="17"/>
        <v>374.23795423575001</v>
      </c>
      <c r="L192" s="10">
        <f t="shared" si="14"/>
        <v>0.26513496077951432</v>
      </c>
      <c r="M192" s="10">
        <f t="shared" si="20"/>
        <v>0.29034457348914267</v>
      </c>
      <c r="P192" s="8">
        <f t="shared" si="19"/>
        <v>-19.18482473751811</v>
      </c>
    </row>
    <row r="193" spans="1:16" x14ac:dyDescent="0.2">
      <c r="A193" s="8">
        <v>95.5</v>
      </c>
      <c r="B193" s="8">
        <v>191</v>
      </c>
      <c r="D193">
        <v>1549.1891891892001</v>
      </c>
      <c r="E193">
        <v>487.82601351351002</v>
      </c>
      <c r="F193">
        <v>142.94201680672001</v>
      </c>
      <c r="G193">
        <v>119.15966386555</v>
      </c>
      <c r="I193" s="9">
        <f t="shared" si="15"/>
        <v>368.66634964796003</v>
      </c>
      <c r="J193" s="9">
        <f t="shared" si="16"/>
        <v>1406.2471723824801</v>
      </c>
      <c r="K193" s="9">
        <f t="shared" si="17"/>
        <v>368.66634964796003</v>
      </c>
      <c r="L193" s="10">
        <f t="shared" si="14"/>
        <v>0.26216326467228462</v>
      </c>
      <c r="M193" s="10">
        <f t="shared" si="20"/>
        <v>0.28750555955406887</v>
      </c>
      <c r="P193" s="8">
        <f t="shared" si="19"/>
        <v>-19.975042395035985</v>
      </c>
    </row>
    <row r="194" spans="1:16" x14ac:dyDescent="0.2">
      <c r="A194" s="8">
        <v>96</v>
      </c>
      <c r="B194" s="8">
        <v>192</v>
      </c>
      <c r="D194">
        <v>1541.4146959459999</v>
      </c>
      <c r="E194">
        <v>503.77449324323999</v>
      </c>
      <c r="F194">
        <v>142.97647058824001</v>
      </c>
      <c r="G194">
        <v>118.63193277310999</v>
      </c>
      <c r="I194" s="9">
        <f t="shared" si="15"/>
        <v>385.14256047012998</v>
      </c>
      <c r="J194" s="9">
        <f t="shared" si="16"/>
        <v>1398.4382253577598</v>
      </c>
      <c r="K194" s="9">
        <f t="shared" si="17"/>
        <v>385.14256047012998</v>
      </c>
      <c r="L194" s="10">
        <f t="shared" ref="L194:L257" si="21">K194/J194</f>
        <v>0.27540906240002105</v>
      </c>
      <c r="M194" s="10">
        <f t="shared" si="20"/>
        <v>0.30088403945396125</v>
      </c>
      <c r="P194" s="8">
        <f t="shared" si="19"/>
        <v>-16.251245580573308</v>
      </c>
    </row>
    <row r="195" spans="1:16" x14ac:dyDescent="0.2">
      <c r="A195" s="8">
        <v>96.5</v>
      </c>
      <c r="B195" s="8">
        <v>193</v>
      </c>
      <c r="D195">
        <v>1554.0548986486999</v>
      </c>
      <c r="E195">
        <v>525.92736486487001</v>
      </c>
      <c r="F195">
        <v>143.09495798319</v>
      </c>
      <c r="G195">
        <v>119.11008403360999</v>
      </c>
      <c r="I195" s="9">
        <f t="shared" ref="I195:I241" si="22">E195-G195</f>
        <v>406.81728083126001</v>
      </c>
      <c r="J195" s="9">
        <f t="shared" ref="J195:J241" si="23">D195-F195</f>
        <v>1410.95994066551</v>
      </c>
      <c r="K195" s="9">
        <f t="shared" ref="K195:K258" si="24">I195*1</f>
        <v>406.81728083126001</v>
      </c>
      <c r="L195" s="10">
        <f t="shared" si="21"/>
        <v>0.28832659886812645</v>
      </c>
      <c r="M195" s="10">
        <f t="shared" si="20"/>
        <v>0.3139342580942226</v>
      </c>
      <c r="P195" s="8">
        <f t="shared" ref="P195:P241" si="25">(M195-$O$2)/$O$2*100</f>
        <v>-12.618817758856615</v>
      </c>
    </row>
    <row r="196" spans="1:16" x14ac:dyDescent="0.2">
      <c r="A196" s="8">
        <v>97</v>
      </c>
      <c r="B196" s="8">
        <v>194</v>
      </c>
      <c r="D196">
        <v>1550.8682432431999</v>
      </c>
      <c r="E196">
        <v>527.16216216216003</v>
      </c>
      <c r="F196">
        <v>142.54705882352999</v>
      </c>
      <c r="G196">
        <v>119.1218487395</v>
      </c>
      <c r="I196" s="9">
        <f t="shared" si="22"/>
        <v>408.04031342266001</v>
      </c>
      <c r="J196" s="9">
        <f t="shared" si="23"/>
        <v>1408.3211844196699</v>
      </c>
      <c r="K196" s="9">
        <f t="shared" si="24"/>
        <v>408.04031342266001</v>
      </c>
      <c r="L196" s="10">
        <f t="shared" si="21"/>
        <v>0.28973526631341706</v>
      </c>
      <c r="M196" s="10">
        <f t="shared" si="20"/>
        <v>0.31547560771166916</v>
      </c>
      <c r="P196" s="8">
        <f t="shared" si="25"/>
        <v>-12.189794967151638</v>
      </c>
    </row>
    <row r="197" spans="1:16" x14ac:dyDescent="0.2">
      <c r="A197" s="8">
        <v>97.5</v>
      </c>
      <c r="B197" s="8">
        <v>195</v>
      </c>
      <c r="D197">
        <v>1554.8564189189001</v>
      </c>
      <c r="E197">
        <v>533.26520270269998</v>
      </c>
      <c r="F197">
        <v>143.24873949580001</v>
      </c>
      <c r="G197">
        <v>119.38235294118</v>
      </c>
      <c r="I197" s="9">
        <f t="shared" si="22"/>
        <v>413.88284976151999</v>
      </c>
      <c r="J197" s="9">
        <f t="shared" si="23"/>
        <v>1411.6076794231001</v>
      </c>
      <c r="K197" s="9">
        <f t="shared" si="24"/>
        <v>413.88284976151999</v>
      </c>
      <c r="L197" s="10">
        <f t="shared" si="21"/>
        <v>0.29319963031843721</v>
      </c>
      <c r="M197" s="10">
        <f t="shared" si="20"/>
        <v>0.3190726538888452</v>
      </c>
      <c r="P197" s="8">
        <f t="shared" si="25"/>
        <v>-11.188584874803922</v>
      </c>
    </row>
    <row r="198" spans="1:16" x14ac:dyDescent="0.2">
      <c r="A198" s="8">
        <v>98</v>
      </c>
      <c r="B198" s="8">
        <v>196</v>
      </c>
      <c r="D198">
        <v>1556.3184121622</v>
      </c>
      <c r="E198">
        <v>529.25337837838003</v>
      </c>
      <c r="F198">
        <v>142.73109243697999</v>
      </c>
      <c r="G198">
        <v>119.06470588235</v>
      </c>
      <c r="I198" s="9">
        <f t="shared" si="22"/>
        <v>410.18867249603005</v>
      </c>
      <c r="J198" s="9">
        <f t="shared" si="23"/>
        <v>1413.5873197252201</v>
      </c>
      <c r="K198" s="9">
        <f t="shared" si="24"/>
        <v>410.18867249603005</v>
      </c>
      <c r="L198" s="10">
        <f t="shared" si="21"/>
        <v>0.29017568760857626</v>
      </c>
      <c r="M198" s="10">
        <f t="shared" si="20"/>
        <v>0.31618139335114021</v>
      </c>
      <c r="P198" s="8">
        <f t="shared" si="25"/>
        <v>-11.993344971664712</v>
      </c>
    </row>
    <row r="199" spans="1:16" x14ac:dyDescent="0.2">
      <c r="A199" s="8">
        <v>98.5</v>
      </c>
      <c r="B199" s="8">
        <v>197</v>
      </c>
      <c r="D199">
        <v>1553.7643581080999</v>
      </c>
      <c r="E199">
        <v>557.11824324324004</v>
      </c>
      <c r="F199">
        <v>142.38907563025001</v>
      </c>
      <c r="G199">
        <v>119.35210084034</v>
      </c>
      <c r="I199" s="9">
        <f t="shared" si="22"/>
        <v>437.76614240290007</v>
      </c>
      <c r="J199" s="9">
        <f t="shared" si="23"/>
        <v>1411.3752824778499</v>
      </c>
      <c r="K199" s="9">
        <f t="shared" si="24"/>
        <v>437.76614240290007</v>
      </c>
      <c r="L199" s="10">
        <f t="shared" si="21"/>
        <v>0.31016990862582317</v>
      </c>
      <c r="M199" s="10">
        <f t="shared" si="20"/>
        <v>0.33630829654054306</v>
      </c>
      <c r="P199" s="8">
        <f t="shared" si="25"/>
        <v>-6.3911765233419739</v>
      </c>
    </row>
    <row r="200" spans="1:16" x14ac:dyDescent="0.2">
      <c r="A200" s="8">
        <v>99</v>
      </c>
      <c r="B200" s="8">
        <v>198</v>
      </c>
      <c r="D200">
        <v>1547.7069256756999</v>
      </c>
      <c r="E200">
        <v>564.25675675675996</v>
      </c>
      <c r="F200">
        <v>143.24285714286</v>
      </c>
      <c r="G200">
        <v>119.5218487395</v>
      </c>
      <c r="I200" s="9">
        <f t="shared" si="22"/>
        <v>444.73490801725995</v>
      </c>
      <c r="J200" s="9">
        <f t="shared" si="23"/>
        <v>1404.46406853284</v>
      </c>
      <c r="K200" s="9">
        <f t="shared" si="24"/>
        <v>444.73490801725995</v>
      </c>
      <c r="L200" s="10">
        <f t="shared" si="21"/>
        <v>0.316658089004618</v>
      </c>
      <c r="M200" s="10">
        <f t="shared" si="20"/>
        <v>0.34292915909149385</v>
      </c>
      <c r="P200" s="8">
        <f t="shared" si="25"/>
        <v>-4.548310438352444</v>
      </c>
    </row>
    <row r="201" spans="1:16" x14ac:dyDescent="0.2">
      <c r="A201" s="8">
        <v>99.5</v>
      </c>
      <c r="B201" s="8">
        <v>199</v>
      </c>
      <c r="D201">
        <v>1593.4577702703</v>
      </c>
      <c r="E201">
        <v>572.99831081081004</v>
      </c>
      <c r="F201">
        <v>142.97058823528999</v>
      </c>
      <c r="G201">
        <v>119.41932773108999</v>
      </c>
      <c r="I201" s="9">
        <f t="shared" si="22"/>
        <v>453.57898307972005</v>
      </c>
      <c r="J201" s="9">
        <f t="shared" si="23"/>
        <v>1450.4871820350099</v>
      </c>
      <c r="K201" s="9">
        <f t="shared" si="24"/>
        <v>453.57898307972005</v>
      </c>
      <c r="L201" s="10">
        <f t="shared" si="21"/>
        <v>0.31270802575680545</v>
      </c>
      <c r="M201" s="10">
        <f t="shared" si="20"/>
        <v>0.33911177801583725</v>
      </c>
      <c r="P201" s="8">
        <f t="shared" si="25"/>
        <v>-5.6108490522673558</v>
      </c>
    </row>
    <row r="202" spans="1:16" x14ac:dyDescent="0.2">
      <c r="A202" s="8">
        <v>100</v>
      </c>
      <c r="B202" s="8">
        <v>200</v>
      </c>
      <c r="D202">
        <v>1569.9172297297</v>
      </c>
      <c r="E202">
        <v>560.83108108108001</v>
      </c>
      <c r="F202">
        <v>143.02352941177</v>
      </c>
      <c r="G202">
        <v>119.22268907563</v>
      </c>
      <c r="I202" s="9">
        <f t="shared" si="22"/>
        <v>441.60839200545001</v>
      </c>
      <c r="J202" s="9">
        <f t="shared" si="23"/>
        <v>1426.8937003179301</v>
      </c>
      <c r="K202" s="9">
        <f t="shared" si="24"/>
        <v>441.60839200545001</v>
      </c>
      <c r="L202" s="10">
        <f t="shared" si="21"/>
        <v>0.30948934171273867</v>
      </c>
      <c r="M202" s="10">
        <f t="shared" si="20"/>
        <v>0.33602577614392637</v>
      </c>
      <c r="P202" s="8">
        <f t="shared" si="25"/>
        <v>-6.4698138992482184</v>
      </c>
    </row>
    <row r="203" spans="1:16" x14ac:dyDescent="0.2">
      <c r="A203" s="8">
        <v>100.5</v>
      </c>
      <c r="B203" s="8">
        <v>201</v>
      </c>
      <c r="D203">
        <v>1563.2652027027</v>
      </c>
      <c r="E203">
        <v>569.15202702703004</v>
      </c>
      <c r="F203">
        <v>142.71596638656001</v>
      </c>
      <c r="G203">
        <v>119.14201680671999</v>
      </c>
      <c r="I203" s="9">
        <f t="shared" si="22"/>
        <v>450.01001022031005</v>
      </c>
      <c r="J203" s="9">
        <f t="shared" si="23"/>
        <v>1420.54923631614</v>
      </c>
      <c r="K203" s="9">
        <f t="shared" si="24"/>
        <v>450.01001022031005</v>
      </c>
      <c r="L203" s="10">
        <f t="shared" si="21"/>
        <v>0.3167859294953444</v>
      </c>
      <c r="M203" s="10">
        <f t="shared" si="20"/>
        <v>0.34345504609868804</v>
      </c>
      <c r="P203" s="8">
        <f t="shared" si="25"/>
        <v>-4.4019338412494502</v>
      </c>
    </row>
    <row r="204" spans="1:16" x14ac:dyDescent="0.2">
      <c r="A204" s="8">
        <v>101</v>
      </c>
      <c r="B204" s="8">
        <v>202</v>
      </c>
      <c r="D204">
        <v>1571.3566021867</v>
      </c>
      <c r="E204">
        <v>573.66778805719002</v>
      </c>
      <c r="F204">
        <v>142.94621848739999</v>
      </c>
      <c r="G204">
        <v>119.7243697479</v>
      </c>
      <c r="I204" s="9">
        <f t="shared" si="22"/>
        <v>453.94341830929</v>
      </c>
      <c r="J204" s="9">
        <f t="shared" si="23"/>
        <v>1428.4103836992999</v>
      </c>
      <c r="K204" s="9">
        <f t="shared" si="24"/>
        <v>453.94341830929</v>
      </c>
      <c r="L204" s="10">
        <f t="shared" si="21"/>
        <v>0.31779621843245531</v>
      </c>
      <c r="M204" s="10">
        <f t="shared" si="20"/>
        <v>0.34459801720795491</v>
      </c>
      <c r="P204" s="8">
        <f t="shared" si="25"/>
        <v>-4.0837966382518918</v>
      </c>
    </row>
    <row r="205" spans="1:16" x14ac:dyDescent="0.2">
      <c r="A205" s="8">
        <v>101.5</v>
      </c>
      <c r="B205" s="8">
        <v>203</v>
      </c>
      <c r="D205">
        <v>1565.6383515559</v>
      </c>
      <c r="E205">
        <v>560.87804878048996</v>
      </c>
      <c r="F205">
        <v>142.82436974789999</v>
      </c>
      <c r="G205">
        <v>119.44957983193</v>
      </c>
      <c r="I205" s="9">
        <f t="shared" si="22"/>
        <v>441.42846894855995</v>
      </c>
      <c r="J205" s="9">
        <f t="shared" si="23"/>
        <v>1422.8139818080001</v>
      </c>
      <c r="K205" s="9">
        <f t="shared" si="24"/>
        <v>441.42846894855995</v>
      </c>
      <c r="L205" s="10">
        <f t="shared" si="21"/>
        <v>0.31025030298593731</v>
      </c>
      <c r="M205" s="10">
        <f t="shared" si="20"/>
        <v>0.33718478393359286</v>
      </c>
      <c r="P205" s="8">
        <f t="shared" si="25"/>
        <v>-6.1472130098054478</v>
      </c>
    </row>
    <row r="206" spans="1:16" x14ac:dyDescent="0.2">
      <c r="A206" s="8">
        <v>102</v>
      </c>
      <c r="B206" s="8">
        <v>204</v>
      </c>
      <c r="D206">
        <v>1565.6677880571999</v>
      </c>
      <c r="E206">
        <v>553.66190075693999</v>
      </c>
      <c r="F206">
        <v>142.63697478992</v>
      </c>
      <c r="G206">
        <v>119.06302521008</v>
      </c>
      <c r="I206" s="9">
        <f t="shared" si="22"/>
        <v>434.59887554685997</v>
      </c>
      <c r="J206" s="9">
        <f t="shared" si="23"/>
        <v>1423.0308132672799</v>
      </c>
      <c r="K206" s="9">
        <f t="shared" si="24"/>
        <v>434.59887554685997</v>
      </c>
      <c r="L206" s="10">
        <f t="shared" si="21"/>
        <v>0.3054036999726103</v>
      </c>
      <c r="M206" s="10">
        <f t="shared" si="20"/>
        <v>0.33247086309242174</v>
      </c>
      <c r="P206" s="8">
        <f t="shared" si="25"/>
        <v>-7.4592965606521648</v>
      </c>
    </row>
    <row r="207" spans="1:16" x14ac:dyDescent="0.2">
      <c r="A207" s="8">
        <v>102.5</v>
      </c>
      <c r="B207" s="8">
        <v>205</v>
      </c>
      <c r="D207">
        <v>1560.7228714524001</v>
      </c>
      <c r="E207">
        <v>541.83555926544</v>
      </c>
      <c r="F207">
        <v>143.18823529412001</v>
      </c>
      <c r="G207">
        <v>119.19327731092</v>
      </c>
      <c r="I207" s="9">
        <f t="shared" si="22"/>
        <v>422.64228195452</v>
      </c>
      <c r="J207" s="9">
        <f t="shared" si="23"/>
        <v>1417.5346361582801</v>
      </c>
      <c r="K207" s="9">
        <f t="shared" si="24"/>
        <v>422.64228195452</v>
      </c>
      <c r="L207" s="10">
        <f t="shared" si="21"/>
        <v>0.2981530547288358</v>
      </c>
      <c r="M207" s="10">
        <f t="shared" si="20"/>
        <v>0.32535290002080319</v>
      </c>
      <c r="P207" s="8">
        <f t="shared" si="25"/>
        <v>-9.4405267459865492</v>
      </c>
    </row>
    <row r="208" spans="1:16" x14ac:dyDescent="0.2">
      <c r="A208" s="8">
        <v>103</v>
      </c>
      <c r="B208" s="8">
        <v>206</v>
      </c>
      <c r="D208">
        <v>1554.2495826377001</v>
      </c>
      <c r="E208">
        <v>540.30717863104996</v>
      </c>
      <c r="F208">
        <v>142.6731092437</v>
      </c>
      <c r="G208">
        <v>119.36806722689001</v>
      </c>
      <c r="I208" s="9">
        <f t="shared" si="22"/>
        <v>420.93911140415997</v>
      </c>
      <c r="J208" s="9">
        <f t="shared" si="23"/>
        <v>1411.576473394</v>
      </c>
      <c r="K208" s="9">
        <f t="shared" si="24"/>
        <v>420.93911140415997</v>
      </c>
      <c r="L208" s="10">
        <f t="shared" si="21"/>
        <v>0.29820496398048651</v>
      </c>
      <c r="M208" s="10">
        <f t="shared" si="20"/>
        <v>0.32553749144460986</v>
      </c>
      <c r="P208" s="8">
        <f t="shared" si="25"/>
        <v>-9.3891471452328101</v>
      </c>
    </row>
    <row r="209" spans="1:16" x14ac:dyDescent="0.2">
      <c r="A209" s="8">
        <v>103.5</v>
      </c>
      <c r="B209" s="8">
        <v>207</v>
      </c>
      <c r="D209">
        <v>1546.7487479132001</v>
      </c>
      <c r="E209">
        <v>532.46076794657995</v>
      </c>
      <c r="F209">
        <v>142.9268907563</v>
      </c>
      <c r="G209">
        <v>119.40756302521</v>
      </c>
      <c r="I209" s="9">
        <f t="shared" si="22"/>
        <v>413.05320492136997</v>
      </c>
      <c r="J209" s="9">
        <f t="shared" si="23"/>
        <v>1403.8218571569</v>
      </c>
      <c r="K209" s="9">
        <f t="shared" si="24"/>
        <v>413.05320492136997</v>
      </c>
      <c r="L209" s="10">
        <f t="shared" si="21"/>
        <v>0.29423477260705205</v>
      </c>
      <c r="M209" s="10">
        <f t="shared" si="20"/>
        <v>0.32169998224333135</v>
      </c>
      <c r="P209" s="8">
        <f t="shared" si="25"/>
        <v>-10.457288267850714</v>
      </c>
    </row>
    <row r="210" spans="1:16" x14ac:dyDescent="0.2">
      <c r="A210" s="8">
        <v>104</v>
      </c>
      <c r="B210" s="8">
        <v>208</v>
      </c>
      <c r="D210">
        <v>1552.6310517529</v>
      </c>
      <c r="E210">
        <v>534.10434056761005</v>
      </c>
      <c r="F210">
        <v>142.23025210084</v>
      </c>
      <c r="G210">
        <v>118.89075630252</v>
      </c>
      <c r="I210" s="9">
        <f t="shared" si="22"/>
        <v>415.21358426509005</v>
      </c>
      <c r="J210" s="9">
        <f t="shared" si="23"/>
        <v>1410.40079965206</v>
      </c>
      <c r="K210" s="9">
        <f t="shared" si="24"/>
        <v>415.21358426509005</v>
      </c>
      <c r="L210" s="10">
        <f t="shared" si="21"/>
        <v>0.29439403633883471</v>
      </c>
      <c r="M210" s="10">
        <f t="shared" si="20"/>
        <v>0.32199192814726996</v>
      </c>
      <c r="P210" s="8">
        <f t="shared" si="25"/>
        <v>-10.376027374594019</v>
      </c>
    </row>
    <row r="211" spans="1:16" x14ac:dyDescent="0.2">
      <c r="A211" s="8">
        <v>104.5</v>
      </c>
      <c r="B211" s="8">
        <v>209</v>
      </c>
      <c r="D211">
        <v>1560.3789649416001</v>
      </c>
      <c r="E211">
        <v>529.60434056761005</v>
      </c>
      <c r="F211">
        <v>143.31344537814999</v>
      </c>
      <c r="G211">
        <v>119.07899159663999</v>
      </c>
      <c r="I211" s="9">
        <f t="shared" si="22"/>
        <v>410.52534897097007</v>
      </c>
      <c r="J211" s="9">
        <f t="shared" si="23"/>
        <v>1417.0655195634502</v>
      </c>
      <c r="K211" s="9">
        <f t="shared" si="24"/>
        <v>410.52534897097007</v>
      </c>
      <c r="L211" s="10">
        <f t="shared" si="21"/>
        <v>0.28970103591077356</v>
      </c>
      <c r="M211" s="10">
        <f t="shared" si="20"/>
        <v>0.31743160989136471</v>
      </c>
      <c r="P211" s="8">
        <f t="shared" si="25"/>
        <v>-11.645356829161765</v>
      </c>
    </row>
    <row r="212" spans="1:16" x14ac:dyDescent="0.2">
      <c r="A212" s="8">
        <v>105</v>
      </c>
      <c r="B212" s="8">
        <v>210</v>
      </c>
      <c r="D212">
        <v>1596.1514644352001</v>
      </c>
      <c r="E212">
        <v>533.87949790795005</v>
      </c>
      <c r="F212">
        <v>142.7025210084</v>
      </c>
      <c r="G212">
        <v>118.59915966387</v>
      </c>
      <c r="I212" s="9">
        <f t="shared" si="22"/>
        <v>415.28033824408004</v>
      </c>
      <c r="J212" s="9">
        <f t="shared" si="23"/>
        <v>1453.4489434268</v>
      </c>
      <c r="K212" s="9">
        <f t="shared" si="24"/>
        <v>415.28033824408004</v>
      </c>
      <c r="L212" s="10">
        <f t="shared" si="21"/>
        <v>0.28572062343309601</v>
      </c>
      <c r="M212" s="10">
        <f t="shared" si="20"/>
        <v>0.31358387958584311</v>
      </c>
      <c r="P212" s="8">
        <f t="shared" si="25"/>
        <v>-12.716342917403981</v>
      </c>
    </row>
    <row r="213" spans="1:16" x14ac:dyDescent="0.2">
      <c r="A213" s="8">
        <v>105.5</v>
      </c>
      <c r="B213" s="8">
        <v>211</v>
      </c>
      <c r="D213">
        <v>1545.1128762542</v>
      </c>
      <c r="E213">
        <v>520.60367892977001</v>
      </c>
      <c r="F213">
        <v>142.64033613445</v>
      </c>
      <c r="G213">
        <v>118.96050420168</v>
      </c>
      <c r="I213" s="9">
        <f t="shared" si="22"/>
        <v>401.64317472809</v>
      </c>
      <c r="J213" s="9">
        <f t="shared" si="23"/>
        <v>1402.47254011975</v>
      </c>
      <c r="K213" s="9">
        <f t="shared" si="24"/>
        <v>401.64317472809</v>
      </c>
      <c r="L213" s="10">
        <f t="shared" si="21"/>
        <v>0.28638220231662842</v>
      </c>
      <c r="M213" s="10">
        <f t="shared" si="20"/>
        <v>0.31437814064153147</v>
      </c>
      <c r="P213" s="8">
        <f t="shared" si="25"/>
        <v>-12.495266471413441</v>
      </c>
    </row>
    <row r="214" spans="1:16" x14ac:dyDescent="0.2">
      <c r="A214" s="8">
        <v>106</v>
      </c>
      <c r="B214" s="8">
        <v>212</v>
      </c>
      <c r="D214">
        <v>1543.7951505016999</v>
      </c>
      <c r="E214">
        <v>533.34364548495</v>
      </c>
      <c r="F214">
        <v>142.64537815125999</v>
      </c>
      <c r="G214">
        <v>119.30168067227</v>
      </c>
      <c r="I214" s="9">
        <f t="shared" si="22"/>
        <v>414.04196481268002</v>
      </c>
      <c r="J214" s="9">
        <f t="shared" si="23"/>
        <v>1401.1497723504399</v>
      </c>
      <c r="K214" s="9">
        <f t="shared" si="24"/>
        <v>414.04196481268002</v>
      </c>
      <c r="L214" s="10">
        <f t="shared" si="21"/>
        <v>0.29550157519429299</v>
      </c>
      <c r="M214" s="10">
        <f t="shared" si="20"/>
        <v>0.32363019569135199</v>
      </c>
      <c r="P214" s="8">
        <f t="shared" si="25"/>
        <v>-9.9200282246502862</v>
      </c>
    </row>
    <row r="215" spans="1:16" x14ac:dyDescent="0.2">
      <c r="A215" s="8">
        <v>106.5</v>
      </c>
      <c r="B215" s="8">
        <v>213</v>
      </c>
      <c r="D215">
        <v>1555.1622073578999</v>
      </c>
      <c r="E215">
        <v>538.90551839465002</v>
      </c>
      <c r="F215">
        <v>142.36386554622001</v>
      </c>
      <c r="G215">
        <v>119.54537815126</v>
      </c>
      <c r="I215" s="9">
        <f t="shared" si="22"/>
        <v>419.36014024338999</v>
      </c>
      <c r="J215" s="9">
        <f t="shared" si="23"/>
        <v>1412.7983418116798</v>
      </c>
      <c r="K215" s="9">
        <f t="shared" si="24"/>
        <v>419.36014024338999</v>
      </c>
      <c r="L215" s="10">
        <f t="shared" si="21"/>
        <v>0.29682943972430637</v>
      </c>
      <c r="M215" s="10">
        <f t="shared" si="20"/>
        <v>0.32509074239352126</v>
      </c>
      <c r="P215" s="8">
        <f t="shared" si="25"/>
        <v>-9.5134963019199859</v>
      </c>
    </row>
    <row r="216" spans="1:16" x14ac:dyDescent="0.2">
      <c r="A216" s="8">
        <v>107</v>
      </c>
      <c r="B216" s="8">
        <v>214</v>
      </c>
      <c r="D216">
        <v>1555.2282608696</v>
      </c>
      <c r="E216">
        <v>547.11036789297998</v>
      </c>
      <c r="F216">
        <v>142.5731092437</v>
      </c>
      <c r="G216">
        <v>119.23529411765</v>
      </c>
      <c r="I216" s="9">
        <f t="shared" si="22"/>
        <v>427.87507377532995</v>
      </c>
      <c r="J216" s="9">
        <f t="shared" si="23"/>
        <v>1412.6551516259001</v>
      </c>
      <c r="K216" s="9">
        <f t="shared" si="24"/>
        <v>427.87507377532995</v>
      </c>
      <c r="L216" s="10">
        <f t="shared" si="21"/>
        <v>0.30288713652646632</v>
      </c>
      <c r="M216" s="10">
        <f t="shared" si="20"/>
        <v>0.33128112136783716</v>
      </c>
      <c r="P216" s="8">
        <f t="shared" si="25"/>
        <v>-7.79045200411006</v>
      </c>
    </row>
    <row r="217" spans="1:16" x14ac:dyDescent="0.2">
      <c r="A217" s="8">
        <v>107.5</v>
      </c>
      <c r="B217" s="8">
        <v>215</v>
      </c>
      <c r="D217">
        <v>1554.9448160535001</v>
      </c>
      <c r="E217">
        <v>541.75836120401004</v>
      </c>
      <c r="F217">
        <v>142.57815126049999</v>
      </c>
      <c r="G217">
        <v>119.08067226891001</v>
      </c>
      <c r="I217" s="9">
        <f t="shared" si="22"/>
        <v>422.67768893510004</v>
      </c>
      <c r="J217" s="9">
        <f t="shared" si="23"/>
        <v>1412.3666647930002</v>
      </c>
      <c r="K217" s="9">
        <f t="shared" si="24"/>
        <v>422.67768893510004</v>
      </c>
      <c r="L217" s="10">
        <f t="shared" si="21"/>
        <v>0.29926909171071997</v>
      </c>
      <c r="M217" s="10">
        <f t="shared" si="20"/>
        <v>0.32779575872424677</v>
      </c>
      <c r="P217" s="8">
        <f t="shared" si="25"/>
        <v>-8.7605758452763141</v>
      </c>
    </row>
    <row r="218" spans="1:16" x14ac:dyDescent="0.2">
      <c r="A218" s="8">
        <v>108</v>
      </c>
      <c r="B218" s="8">
        <v>216</v>
      </c>
      <c r="D218">
        <v>1551.4920899250999</v>
      </c>
      <c r="E218">
        <v>527.97668609491996</v>
      </c>
      <c r="F218">
        <v>142.51260504202</v>
      </c>
      <c r="G218">
        <v>118.9268907563</v>
      </c>
      <c r="I218" s="9">
        <f t="shared" si="22"/>
        <v>409.04979533861996</v>
      </c>
      <c r="J218" s="9">
        <f t="shared" si="23"/>
        <v>1408.97948488308</v>
      </c>
      <c r="K218" s="9">
        <f t="shared" si="24"/>
        <v>409.04979533861996</v>
      </c>
      <c r="L218" s="10">
        <f t="shared" si="21"/>
        <v>0.29031635998061656</v>
      </c>
      <c r="M218" s="10">
        <f t="shared" si="20"/>
        <v>0.3189757091662993</v>
      </c>
      <c r="P218" s="8">
        <f t="shared" si="25"/>
        <v>-11.215568691477914</v>
      </c>
    </row>
    <row r="219" spans="1:16" x14ac:dyDescent="0.2">
      <c r="A219" s="8">
        <v>108.5</v>
      </c>
      <c r="B219" s="8">
        <v>217</v>
      </c>
      <c r="D219">
        <v>1545.4096586178</v>
      </c>
      <c r="E219">
        <v>531.00333055786996</v>
      </c>
      <c r="F219">
        <v>143.04537815126</v>
      </c>
      <c r="G219">
        <v>118.7243697479</v>
      </c>
      <c r="I219" s="9">
        <f t="shared" si="22"/>
        <v>412.27896080996993</v>
      </c>
      <c r="J219" s="9">
        <f t="shared" si="23"/>
        <v>1402.3642804665401</v>
      </c>
      <c r="K219" s="9">
        <f t="shared" si="24"/>
        <v>412.27896080996993</v>
      </c>
      <c r="L219" s="10">
        <f t="shared" si="21"/>
        <v>0.29398849254261705</v>
      </c>
      <c r="M219" s="10">
        <f t="shared" si="20"/>
        <v>0.3227805239004557</v>
      </c>
      <c r="P219" s="8">
        <f t="shared" si="25"/>
        <v>-10.156527821910498</v>
      </c>
    </row>
    <row r="220" spans="1:16" x14ac:dyDescent="0.2">
      <c r="A220" s="8">
        <v>109</v>
      </c>
      <c r="B220" s="8">
        <v>218</v>
      </c>
      <c r="D220">
        <v>1548.2756036635999</v>
      </c>
      <c r="E220">
        <v>531.67776852623001</v>
      </c>
      <c r="F220">
        <v>142.8268907563</v>
      </c>
      <c r="G220">
        <v>118.82521008403</v>
      </c>
      <c r="I220" s="9">
        <f t="shared" si="22"/>
        <v>412.85255844220001</v>
      </c>
      <c r="J220" s="9">
        <f t="shared" si="23"/>
        <v>1405.4487129073</v>
      </c>
      <c r="K220" s="9">
        <f t="shared" si="24"/>
        <v>412.85255844220001</v>
      </c>
      <c r="L220" s="10">
        <f t="shared" si="21"/>
        <v>0.29375142233982804</v>
      </c>
      <c r="M220" s="10">
        <f t="shared" si="20"/>
        <v>0.32267613586982263</v>
      </c>
      <c r="P220" s="8">
        <f t="shared" si="25"/>
        <v>-10.185583426048495</v>
      </c>
    </row>
    <row r="221" spans="1:16" x14ac:dyDescent="0.2">
      <c r="A221" s="8">
        <v>109.5</v>
      </c>
      <c r="B221" s="8">
        <v>219</v>
      </c>
      <c r="D221">
        <v>1553.5620316402999</v>
      </c>
      <c r="E221">
        <v>547.30224812656002</v>
      </c>
      <c r="F221">
        <v>142.42605042016999</v>
      </c>
      <c r="G221">
        <v>119.11764705882</v>
      </c>
      <c r="I221" s="9">
        <f t="shared" si="22"/>
        <v>428.18460106774</v>
      </c>
      <c r="J221" s="9">
        <f t="shared" si="23"/>
        <v>1411.1359812201299</v>
      </c>
      <c r="K221" s="9">
        <f t="shared" si="24"/>
        <v>428.18460106774</v>
      </c>
      <c r="L221" s="10">
        <f t="shared" si="21"/>
        <v>0.30343255842538497</v>
      </c>
      <c r="M221" s="10">
        <f t="shared" si="20"/>
        <v>0.33248995412753551</v>
      </c>
      <c r="P221" s="8">
        <f t="shared" si="25"/>
        <v>-7.4539827181025311</v>
      </c>
    </row>
    <row r="222" spans="1:16" x14ac:dyDescent="0.2">
      <c r="A222" s="8">
        <v>110</v>
      </c>
      <c r="B222" s="8">
        <v>220</v>
      </c>
      <c r="D222">
        <v>1569.0169204737999</v>
      </c>
      <c r="E222">
        <v>540.76311336717004</v>
      </c>
      <c r="F222">
        <v>142.90756302521001</v>
      </c>
      <c r="G222">
        <v>119.23025210084</v>
      </c>
      <c r="I222" s="9">
        <f t="shared" si="22"/>
        <v>421.53286126633003</v>
      </c>
      <c r="J222" s="9">
        <f t="shared" si="23"/>
        <v>1426.1093574485899</v>
      </c>
      <c r="K222" s="9">
        <f t="shared" si="24"/>
        <v>421.53286126633003</v>
      </c>
      <c r="L222" s="10">
        <f t="shared" si="21"/>
        <v>0.29558242435242277</v>
      </c>
      <c r="M222" s="10">
        <f t="shared" si="20"/>
        <v>0.32477250222672926</v>
      </c>
      <c r="P222" s="8">
        <f t="shared" si="25"/>
        <v>-9.6020760006751225</v>
      </c>
    </row>
    <row r="223" spans="1:16" x14ac:dyDescent="0.2">
      <c r="A223" s="8">
        <v>110.5</v>
      </c>
      <c r="B223" s="8">
        <v>221</v>
      </c>
      <c r="D223">
        <v>1572.6015228425999</v>
      </c>
      <c r="E223">
        <v>535.49238578680001</v>
      </c>
      <c r="F223">
        <v>142.68403361345</v>
      </c>
      <c r="G223">
        <v>119.10168067227001</v>
      </c>
      <c r="I223" s="9">
        <f t="shared" si="22"/>
        <v>416.39070511453002</v>
      </c>
      <c r="J223" s="9">
        <f t="shared" si="23"/>
        <v>1429.9174892291499</v>
      </c>
      <c r="K223" s="9">
        <f t="shared" si="24"/>
        <v>416.39070511453002</v>
      </c>
      <c r="L223" s="10">
        <f t="shared" si="21"/>
        <v>0.29119911341108284</v>
      </c>
      <c r="M223" s="10">
        <f t="shared" si="20"/>
        <v>0.32052187345754524</v>
      </c>
      <c r="P223" s="8">
        <f t="shared" si="25"/>
        <v>-10.785205772412359</v>
      </c>
    </row>
    <row r="224" spans="1:16" x14ac:dyDescent="0.2">
      <c r="A224" s="8">
        <v>111</v>
      </c>
      <c r="B224" s="8">
        <v>222</v>
      </c>
      <c r="D224">
        <v>1577.3316412859999</v>
      </c>
      <c r="E224">
        <v>535.67089678511002</v>
      </c>
      <c r="F224">
        <v>143.15714285714</v>
      </c>
      <c r="G224">
        <v>118.63949579832</v>
      </c>
      <c r="I224" s="9">
        <f t="shared" si="22"/>
        <v>417.03140098679</v>
      </c>
      <c r="J224" s="9">
        <f t="shared" si="23"/>
        <v>1434.1744984288598</v>
      </c>
      <c r="K224" s="9">
        <f t="shared" si="24"/>
        <v>417.03140098679</v>
      </c>
      <c r="L224" s="10">
        <f t="shared" si="21"/>
        <v>0.29078149238021489</v>
      </c>
      <c r="M224" s="10">
        <f t="shared" si="20"/>
        <v>0.32023693459883323</v>
      </c>
      <c r="P224" s="8">
        <f t="shared" si="25"/>
        <v>-10.864516308611387</v>
      </c>
    </row>
    <row r="225" spans="1:16" x14ac:dyDescent="0.2">
      <c r="A225" s="8">
        <v>111.5</v>
      </c>
      <c r="B225" s="8">
        <v>223</v>
      </c>
      <c r="D225">
        <v>1582.0126903553</v>
      </c>
      <c r="E225">
        <v>540.11928934009995</v>
      </c>
      <c r="F225">
        <v>142.81260504202001</v>
      </c>
      <c r="G225">
        <v>118.60672268908</v>
      </c>
      <c r="I225" s="9">
        <f t="shared" si="22"/>
        <v>421.51256665101994</v>
      </c>
      <c r="J225" s="9">
        <f t="shared" si="23"/>
        <v>1439.2000853132799</v>
      </c>
      <c r="K225" s="9">
        <f t="shared" si="24"/>
        <v>421.51256665101994</v>
      </c>
      <c r="L225" s="10">
        <f t="shared" si="21"/>
        <v>0.29287975379689241</v>
      </c>
      <c r="M225" s="10">
        <f t="shared" si="20"/>
        <v>0.3224678781876667</v>
      </c>
      <c r="P225" s="8">
        <f t="shared" si="25"/>
        <v>-10.243550347492679</v>
      </c>
    </row>
    <row r="226" spans="1:16" x14ac:dyDescent="0.2">
      <c r="A226" s="8">
        <v>112</v>
      </c>
      <c r="B226" s="8">
        <v>224</v>
      </c>
      <c r="D226">
        <v>1566.480704698</v>
      </c>
      <c r="E226">
        <v>541.06124161074001</v>
      </c>
      <c r="F226">
        <v>142.76218487394999</v>
      </c>
      <c r="G226">
        <v>118.86470588234999</v>
      </c>
      <c r="I226" s="9">
        <f t="shared" si="22"/>
        <v>422.19653572839002</v>
      </c>
      <c r="J226" s="9">
        <f t="shared" si="23"/>
        <v>1423.71851982405</v>
      </c>
      <c r="K226" s="9">
        <f t="shared" si="24"/>
        <v>422.19653572839002</v>
      </c>
      <c r="L226" s="10">
        <f t="shared" si="21"/>
        <v>0.29654494891347422</v>
      </c>
      <c r="M226" s="10">
        <f t="shared" si="20"/>
        <v>0.32626575547640446</v>
      </c>
      <c r="P226" s="8">
        <f t="shared" si="25"/>
        <v>-9.1864404624125662</v>
      </c>
    </row>
    <row r="227" spans="1:16" x14ac:dyDescent="0.2">
      <c r="A227" s="8">
        <v>112.5</v>
      </c>
      <c r="B227" s="8">
        <v>225</v>
      </c>
      <c r="D227">
        <v>1562.5596951735999</v>
      </c>
      <c r="E227">
        <v>538.81456392887003</v>
      </c>
      <c r="F227">
        <v>142.17983193277001</v>
      </c>
      <c r="G227">
        <v>119.13529411765001</v>
      </c>
      <c r="I227" s="9">
        <f t="shared" si="22"/>
        <v>419.67926981122002</v>
      </c>
      <c r="J227" s="9">
        <f t="shared" si="23"/>
        <v>1420.37986324083</v>
      </c>
      <c r="K227" s="9">
        <f t="shared" si="24"/>
        <v>419.67926981122002</v>
      </c>
      <c r="L227" s="10">
        <f t="shared" si="21"/>
        <v>0.29546974064645837</v>
      </c>
      <c r="M227" s="10">
        <f t="shared" si="20"/>
        <v>0.32532322938154457</v>
      </c>
      <c r="P227" s="8">
        <f t="shared" si="25"/>
        <v>-9.4487853398463209</v>
      </c>
    </row>
    <row r="228" spans="1:16" x14ac:dyDescent="0.2">
      <c r="A228" s="8">
        <v>113</v>
      </c>
      <c r="B228" s="8">
        <v>226</v>
      </c>
      <c r="D228">
        <v>1544.433530906</v>
      </c>
      <c r="E228">
        <v>533.13039796782004</v>
      </c>
      <c r="F228">
        <v>142.45042016807</v>
      </c>
      <c r="G228">
        <v>118.81344537815001</v>
      </c>
      <c r="I228" s="9">
        <f t="shared" si="22"/>
        <v>414.31695258967005</v>
      </c>
      <c r="J228" s="9">
        <f t="shared" si="23"/>
        <v>1401.98311073793</v>
      </c>
      <c r="K228" s="9">
        <f t="shared" si="24"/>
        <v>414.31695258967005</v>
      </c>
      <c r="L228" s="10">
        <f t="shared" si="21"/>
        <v>0.29552207114078244</v>
      </c>
      <c r="M228" s="10">
        <f t="shared" si="20"/>
        <v>0.32550824204802453</v>
      </c>
      <c r="P228" s="8">
        <f t="shared" si="25"/>
        <v>-9.3972884894396564</v>
      </c>
    </row>
    <row r="229" spans="1:16" x14ac:dyDescent="0.2">
      <c r="A229" s="8">
        <v>113.5</v>
      </c>
      <c r="B229" s="8">
        <v>227</v>
      </c>
      <c r="D229">
        <v>1535.9119601329</v>
      </c>
      <c r="E229">
        <v>519.18853820597997</v>
      </c>
      <c r="F229">
        <v>142.22941176470999</v>
      </c>
      <c r="G229">
        <v>118.90168067227</v>
      </c>
      <c r="I229" s="9">
        <f t="shared" si="22"/>
        <v>400.28685753370996</v>
      </c>
      <c r="J229" s="9">
        <f t="shared" si="23"/>
        <v>1393.6825483681901</v>
      </c>
      <c r="K229" s="9">
        <f t="shared" si="24"/>
        <v>400.28685753370996</v>
      </c>
      <c r="L229" s="10">
        <f t="shared" si="21"/>
        <v>0.2872152327675988</v>
      </c>
      <c r="M229" s="10">
        <f t="shared" si="20"/>
        <v>0.31733408584699685</v>
      </c>
      <c r="P229" s="8">
        <f t="shared" si="25"/>
        <v>-11.672501895601897</v>
      </c>
    </row>
    <row r="230" spans="1:16" x14ac:dyDescent="0.2">
      <c r="A230" s="8">
        <v>114</v>
      </c>
      <c r="B230" s="8">
        <v>228</v>
      </c>
      <c r="D230">
        <v>1529.7392026578</v>
      </c>
      <c r="E230">
        <v>512.63122923588003</v>
      </c>
      <c r="F230">
        <v>142.58823529412001</v>
      </c>
      <c r="G230">
        <v>118.58571428571</v>
      </c>
      <c r="I230" s="9">
        <f t="shared" si="22"/>
        <v>394.04551495017006</v>
      </c>
      <c r="J230" s="9">
        <f t="shared" si="23"/>
        <v>1387.1509673636799</v>
      </c>
      <c r="K230" s="9">
        <f t="shared" si="24"/>
        <v>394.04551495017006</v>
      </c>
      <c r="L230" s="10">
        <f t="shared" si="21"/>
        <v>0.2840682263294419</v>
      </c>
      <c r="M230" s="10">
        <f t="shared" si="20"/>
        <v>0.31431976158099589</v>
      </c>
      <c r="P230" s="8">
        <f t="shared" si="25"/>
        <v>-12.511515833170558</v>
      </c>
    </row>
    <row r="231" spans="1:16" x14ac:dyDescent="0.2">
      <c r="A231" s="8">
        <v>114.5</v>
      </c>
      <c r="B231" s="8">
        <v>229</v>
      </c>
      <c r="D231">
        <v>1527.8380398671</v>
      </c>
      <c r="E231">
        <v>504.09468438537999</v>
      </c>
      <c r="F231">
        <v>142.3974789916</v>
      </c>
      <c r="G231">
        <v>118.64285714286</v>
      </c>
      <c r="I231" s="9">
        <f t="shared" si="22"/>
        <v>385.45182724251998</v>
      </c>
      <c r="J231" s="9">
        <f t="shared" si="23"/>
        <v>1385.4405608755001</v>
      </c>
      <c r="K231" s="9">
        <f t="shared" si="24"/>
        <v>385.45182724251998</v>
      </c>
      <c r="L231" s="10">
        <f t="shared" si="21"/>
        <v>0.27821606940606808</v>
      </c>
      <c r="M231" s="10">
        <f t="shared" si="20"/>
        <v>0.30860028682977803</v>
      </c>
      <c r="P231" s="8">
        <f t="shared" si="25"/>
        <v>-14.103487568252071</v>
      </c>
    </row>
    <row r="232" spans="1:16" x14ac:dyDescent="0.2">
      <c r="A232" s="8">
        <v>115</v>
      </c>
      <c r="B232" s="8">
        <v>230</v>
      </c>
      <c r="D232">
        <v>1523.6071428570999</v>
      </c>
      <c r="E232">
        <v>491.73338870432002</v>
      </c>
      <c r="F232">
        <v>142.00588235294001</v>
      </c>
      <c r="G232">
        <v>118.86806722689001</v>
      </c>
      <c r="I232" s="9">
        <f t="shared" si="22"/>
        <v>372.86532147743003</v>
      </c>
      <c r="J232" s="9">
        <f t="shared" si="23"/>
        <v>1381.6012605041599</v>
      </c>
      <c r="K232" s="9">
        <f t="shared" si="24"/>
        <v>372.86532147743003</v>
      </c>
      <c r="L232" s="10">
        <f t="shared" si="21"/>
        <v>0.26987911211181714</v>
      </c>
      <c r="M232" s="10">
        <f t="shared" si="20"/>
        <v>0.30039601170768299</v>
      </c>
      <c r="P232" s="8">
        <f t="shared" si="25"/>
        <v>-16.387084344062053</v>
      </c>
    </row>
    <row r="233" spans="1:16" x14ac:dyDescent="0.2">
      <c r="A233" s="8">
        <v>115.5</v>
      </c>
      <c r="B233" s="8">
        <v>231</v>
      </c>
      <c r="D233">
        <v>1519.3754152823999</v>
      </c>
      <c r="E233">
        <v>482.07807308970001</v>
      </c>
      <c r="F233">
        <v>142.04621848740001</v>
      </c>
      <c r="G233">
        <v>118.52016806723</v>
      </c>
      <c r="I233" s="9">
        <f t="shared" si="22"/>
        <v>363.55790502246998</v>
      </c>
      <c r="J233" s="9">
        <f t="shared" si="23"/>
        <v>1377.3291967949999</v>
      </c>
      <c r="K233" s="9">
        <f t="shared" si="24"/>
        <v>363.55790502246998</v>
      </c>
      <c r="L233" s="10">
        <f t="shared" si="21"/>
        <v>0.26395861342985927</v>
      </c>
      <c r="M233" s="10">
        <f t="shared" si="20"/>
        <v>0.29460819519788106</v>
      </c>
      <c r="P233" s="8">
        <f t="shared" si="25"/>
        <v>-17.998078481151445</v>
      </c>
    </row>
    <row r="234" spans="1:16" x14ac:dyDescent="0.2">
      <c r="A234" s="8">
        <v>116</v>
      </c>
      <c r="B234" s="8">
        <v>232</v>
      </c>
      <c r="D234">
        <v>1523.3297342193</v>
      </c>
      <c r="E234">
        <v>474.70598006645002</v>
      </c>
      <c r="F234">
        <v>142.22352941176999</v>
      </c>
      <c r="G234">
        <v>118.31680672269</v>
      </c>
      <c r="I234" s="9">
        <f t="shared" si="22"/>
        <v>356.38917334376004</v>
      </c>
      <c r="J234" s="9">
        <f t="shared" si="23"/>
        <v>1381.10620480753</v>
      </c>
      <c r="K234" s="9">
        <f t="shared" si="24"/>
        <v>356.38917334376004</v>
      </c>
      <c r="L234" s="10">
        <f t="shared" si="21"/>
        <v>0.25804617494526871</v>
      </c>
      <c r="M234" s="10">
        <f t="shared" si="20"/>
        <v>0.28882843888544646</v>
      </c>
      <c r="P234" s="8">
        <f t="shared" si="25"/>
        <v>-19.606829124398114</v>
      </c>
    </row>
    <row r="235" spans="1:16" x14ac:dyDescent="0.2">
      <c r="A235" s="8">
        <v>116.5</v>
      </c>
      <c r="B235" s="8">
        <v>233</v>
      </c>
      <c r="D235">
        <v>1517.2317275748001</v>
      </c>
      <c r="E235">
        <v>463.36129568106003</v>
      </c>
      <c r="F235">
        <v>142.18571428570999</v>
      </c>
      <c r="G235">
        <v>118.61176470588001</v>
      </c>
      <c r="I235" s="9">
        <f t="shared" si="22"/>
        <v>344.74953097518005</v>
      </c>
      <c r="J235" s="9">
        <f t="shared" si="23"/>
        <v>1375.0460132890901</v>
      </c>
      <c r="K235" s="9">
        <f t="shared" si="24"/>
        <v>344.74953097518005</v>
      </c>
      <c r="L235" s="10">
        <f t="shared" si="21"/>
        <v>0.25071854152032641</v>
      </c>
      <c r="M235" s="10">
        <f t="shared" si="20"/>
        <v>0.28163348763266011</v>
      </c>
      <c r="P235" s="8">
        <f t="shared" si="25"/>
        <v>-21.609488376855907</v>
      </c>
    </row>
    <row r="236" spans="1:16" x14ac:dyDescent="0.2">
      <c r="A236" s="8">
        <v>117</v>
      </c>
      <c r="B236" s="8">
        <v>234</v>
      </c>
      <c r="D236">
        <v>1493.5780730897</v>
      </c>
      <c r="E236">
        <v>448.71677740863998</v>
      </c>
      <c r="F236">
        <v>142.52773109244001</v>
      </c>
      <c r="G236">
        <v>118.86050420168</v>
      </c>
      <c r="I236" s="9">
        <f t="shared" si="22"/>
        <v>329.85627320696</v>
      </c>
      <c r="J236" s="9">
        <f t="shared" si="23"/>
        <v>1351.0503419972599</v>
      </c>
      <c r="K236" s="9">
        <f t="shared" si="24"/>
        <v>329.85627320696</v>
      </c>
      <c r="L236" s="10">
        <f t="shared" si="21"/>
        <v>0.24414802539432612</v>
      </c>
      <c r="M236" s="10">
        <f t="shared" si="20"/>
        <v>0.27519565367881571</v>
      </c>
      <c r="P236" s="8">
        <f t="shared" si="25"/>
        <v>-23.40140986186395</v>
      </c>
    </row>
    <row r="237" spans="1:16" x14ac:dyDescent="0.2">
      <c r="A237" s="8">
        <v>117.5</v>
      </c>
      <c r="B237" s="8">
        <v>235</v>
      </c>
      <c r="D237">
        <v>1498.0157807308999</v>
      </c>
      <c r="E237">
        <v>450.20847176080002</v>
      </c>
      <c r="F237">
        <v>142.40756302521001</v>
      </c>
      <c r="G237">
        <v>118.60084033613001</v>
      </c>
      <c r="I237" s="9">
        <f t="shared" si="22"/>
        <v>331.60763142466999</v>
      </c>
      <c r="J237" s="9">
        <f t="shared" si="23"/>
        <v>1355.6082177056899</v>
      </c>
      <c r="K237" s="9">
        <f t="shared" si="24"/>
        <v>331.60763142466999</v>
      </c>
      <c r="L237" s="10">
        <f t="shared" si="21"/>
        <v>0.24461907732154503</v>
      </c>
      <c r="M237" s="10">
        <f t="shared" si="20"/>
        <v>0.27579938777819057</v>
      </c>
      <c r="P237" s="8">
        <f t="shared" si="25"/>
        <v>-23.233365126374032</v>
      </c>
    </row>
    <row r="238" spans="1:16" x14ac:dyDescent="0.2">
      <c r="A238" s="8">
        <v>118</v>
      </c>
      <c r="B238" s="8">
        <v>236</v>
      </c>
      <c r="D238">
        <v>1501.9119601329</v>
      </c>
      <c r="E238">
        <v>442.57475083057</v>
      </c>
      <c r="F238">
        <v>142.68991596639</v>
      </c>
      <c r="G238">
        <v>118.5462184874</v>
      </c>
      <c r="I238" s="9">
        <f t="shared" si="22"/>
        <v>324.02853234317001</v>
      </c>
      <c r="J238" s="9">
        <f t="shared" si="23"/>
        <v>1359.2220441665099</v>
      </c>
      <c r="K238" s="9">
        <f t="shared" si="24"/>
        <v>324.02853234317001</v>
      </c>
      <c r="L238" s="10">
        <f t="shared" si="21"/>
        <v>0.23839264065340252</v>
      </c>
      <c r="M238" s="10">
        <f t="shared" si="20"/>
        <v>0.26970563328220404</v>
      </c>
      <c r="P238" s="8">
        <f t="shared" si="25"/>
        <v>-24.92951474502053</v>
      </c>
    </row>
    <row r="239" spans="1:16" x14ac:dyDescent="0.2">
      <c r="A239" s="8">
        <v>118.5</v>
      </c>
      <c r="B239" s="8">
        <v>237</v>
      </c>
      <c r="D239">
        <v>1492.8014950166</v>
      </c>
      <c r="E239">
        <v>441.19767441861001</v>
      </c>
      <c r="F239">
        <v>142.49411764705999</v>
      </c>
      <c r="G239">
        <v>118.26050420168001</v>
      </c>
      <c r="I239" s="9">
        <f t="shared" si="22"/>
        <v>322.93717021692999</v>
      </c>
      <c r="J239" s="9">
        <f t="shared" si="23"/>
        <v>1350.3073773695401</v>
      </c>
      <c r="K239" s="9">
        <f t="shared" si="24"/>
        <v>322.93717021692999</v>
      </c>
      <c r="L239" s="10">
        <f t="shared" si="21"/>
        <v>0.23915826546547217</v>
      </c>
      <c r="M239" s="10">
        <f t="shared" si="20"/>
        <v>0.27060394026642959</v>
      </c>
      <c r="P239" s="8">
        <f t="shared" si="25"/>
        <v>-24.679477916374875</v>
      </c>
    </row>
    <row r="240" spans="1:16" x14ac:dyDescent="0.2">
      <c r="A240" s="8">
        <v>119</v>
      </c>
      <c r="B240" s="8">
        <v>238</v>
      </c>
      <c r="D240">
        <v>1515.3096828047001</v>
      </c>
      <c r="E240">
        <v>445.76711185309</v>
      </c>
      <c r="F240">
        <v>142.16386554621999</v>
      </c>
      <c r="G240">
        <v>118.55630252101</v>
      </c>
      <c r="I240" s="9">
        <f t="shared" si="22"/>
        <v>327.21080933207998</v>
      </c>
      <c r="J240" s="9">
        <f t="shared" si="23"/>
        <v>1373.1458172584801</v>
      </c>
      <c r="K240" s="9">
        <f t="shared" si="24"/>
        <v>327.21080933207998</v>
      </c>
      <c r="L240" s="10">
        <f t="shared" si="21"/>
        <v>0.23829283475906771</v>
      </c>
      <c r="M240" s="10">
        <f t="shared" si="20"/>
        <v>0.2698711917321811</v>
      </c>
      <c r="P240" s="8">
        <f t="shared" si="25"/>
        <v>-24.883432825905267</v>
      </c>
    </row>
    <row r="241" spans="1:16" x14ac:dyDescent="0.2">
      <c r="A241" s="8">
        <v>119.5</v>
      </c>
      <c r="B241" s="8">
        <v>239</v>
      </c>
      <c r="D241">
        <v>1512.8806343906999</v>
      </c>
      <c r="E241">
        <v>444.47579298830999</v>
      </c>
      <c r="F241">
        <v>142.63781512604999</v>
      </c>
      <c r="G241">
        <v>118.82941176471</v>
      </c>
      <c r="I241" s="9">
        <f t="shared" si="22"/>
        <v>325.64638122359997</v>
      </c>
      <c r="J241" s="9">
        <f t="shared" si="23"/>
        <v>1370.2428192646498</v>
      </c>
      <c r="K241" s="9">
        <f t="shared" si="24"/>
        <v>325.64638122359997</v>
      </c>
      <c r="L241" s="10">
        <f t="shared" si="21"/>
        <v>0.23765596626031607</v>
      </c>
      <c r="M241" s="10">
        <f t="shared" si="20"/>
        <v>0.26936700540558539</v>
      </c>
      <c r="P241" s="8">
        <f t="shared" si="25"/>
        <v>-25.023769205742251</v>
      </c>
    </row>
    <row r="242" spans="1:16" x14ac:dyDescent="0.2">
      <c r="A242" s="8">
        <v>120</v>
      </c>
      <c r="B242" s="8">
        <v>240</v>
      </c>
      <c r="D242">
        <v>1523.7437395658999</v>
      </c>
      <c r="E242">
        <v>452.5325542571</v>
      </c>
      <c r="F242">
        <v>142.28319327731</v>
      </c>
      <c r="G242">
        <v>118.53445378151</v>
      </c>
      <c r="I242" s="9">
        <f>E242-G242</f>
        <v>333.99810047559004</v>
      </c>
      <c r="J242" s="9">
        <f>D242-F242</f>
        <v>1381.46054628859</v>
      </c>
      <c r="K242" s="9">
        <f t="shared" si="24"/>
        <v>333.99810047559004</v>
      </c>
      <c r="L242" s="10">
        <f t="shared" si="21"/>
        <v>0.24177172585413609</v>
      </c>
      <c r="M242" s="10">
        <f>L242+ABS($N$2)*A242</f>
        <v>0.27361544717156133</v>
      </c>
      <c r="O242" s="11"/>
      <c r="P242" s="8">
        <f>(M242-$O$2)/$O$2*100</f>
        <v>-23.841248169499664</v>
      </c>
    </row>
    <row r="243" spans="1:16" x14ac:dyDescent="0.2">
      <c r="A243" s="8">
        <v>120.5</v>
      </c>
      <c r="B243" s="8">
        <v>241</v>
      </c>
      <c r="D243">
        <v>1527.6285475792999</v>
      </c>
      <c r="E243">
        <v>453.07512520867999</v>
      </c>
      <c r="F243">
        <v>142.50588235294001</v>
      </c>
      <c r="G243">
        <v>118.50924369748</v>
      </c>
      <c r="I243" s="9">
        <f t="shared" ref="I243:I274" si="26">E243-G243</f>
        <v>334.56588151120002</v>
      </c>
      <c r="J243" s="9">
        <f t="shared" ref="J243:J274" si="27">D243-F243</f>
        <v>1385.1226652263599</v>
      </c>
      <c r="K243" s="9">
        <f t="shared" si="24"/>
        <v>334.56588151120002</v>
      </c>
      <c r="L243" s="10">
        <f t="shared" si="21"/>
        <v>0.24154242068988488</v>
      </c>
      <c r="M243" s="10">
        <f t="shared" ref="M243:M274" si="28">L243+ABS($N$2)*A243</f>
        <v>0.27351882417946605</v>
      </c>
      <c r="P243" s="8">
        <f t="shared" ref="P243:P274" si="29">(M243-$O$2)/$O$2*100</f>
        <v>-23.868142434981284</v>
      </c>
    </row>
    <row r="244" spans="1:16" x14ac:dyDescent="0.2">
      <c r="A244" s="8">
        <v>121</v>
      </c>
      <c r="B244" s="8">
        <v>242</v>
      </c>
      <c r="D244">
        <v>1526.0317195325999</v>
      </c>
      <c r="E244">
        <v>453.02086811352001</v>
      </c>
      <c r="F244">
        <v>142.11428571428999</v>
      </c>
      <c r="G244">
        <v>118.55210084034</v>
      </c>
      <c r="I244" s="9">
        <f t="shared" si="26"/>
        <v>334.46876727317999</v>
      </c>
      <c r="J244" s="9">
        <f t="shared" si="27"/>
        <v>1383.91743381831</v>
      </c>
      <c r="K244" s="9">
        <f t="shared" si="24"/>
        <v>334.46876727317999</v>
      </c>
      <c r="L244" s="10">
        <f t="shared" si="21"/>
        <v>0.2416826026610279</v>
      </c>
      <c r="M244" s="10">
        <f t="shared" si="28"/>
        <v>0.27379168832276501</v>
      </c>
      <c r="N244" s="1"/>
      <c r="P244" s="8">
        <f t="shared" si="29"/>
        <v>-23.792192802795796</v>
      </c>
    </row>
    <row r="245" spans="1:16" x14ac:dyDescent="0.2">
      <c r="A245" s="8">
        <v>121.5</v>
      </c>
      <c r="B245" s="8">
        <v>243</v>
      </c>
      <c r="D245">
        <v>1522.0784641068001</v>
      </c>
      <c r="E245">
        <v>461.62604340567998</v>
      </c>
      <c r="F245">
        <v>142.3268907563</v>
      </c>
      <c r="G245">
        <v>118.73361344538</v>
      </c>
      <c r="I245" s="9">
        <f t="shared" si="26"/>
        <v>342.89242996029998</v>
      </c>
      <c r="J245" s="9">
        <f t="shared" si="27"/>
        <v>1379.7515733505002</v>
      </c>
      <c r="K245" s="9">
        <f t="shared" si="24"/>
        <v>342.89242996029998</v>
      </c>
      <c r="L245" s="10">
        <f t="shared" si="21"/>
        <v>0.24851751328512134</v>
      </c>
      <c r="M245" s="10">
        <f t="shared" si="28"/>
        <v>0.28075928111901438</v>
      </c>
      <c r="P245" s="8">
        <f t="shared" si="29"/>
        <v>-21.852817025181839</v>
      </c>
    </row>
    <row r="246" spans="1:16" x14ac:dyDescent="0.2">
      <c r="A246" s="8">
        <v>122</v>
      </c>
      <c r="B246" s="8">
        <v>244</v>
      </c>
      <c r="D246">
        <v>1513.4282136894999</v>
      </c>
      <c r="E246">
        <v>460.81051752922002</v>
      </c>
      <c r="F246">
        <v>141.57647058824</v>
      </c>
      <c r="G246">
        <v>118.83529411764999</v>
      </c>
      <c r="I246" s="9">
        <f t="shared" si="26"/>
        <v>341.97522341157003</v>
      </c>
      <c r="J246" s="9">
        <f t="shared" si="27"/>
        <v>1371.8517431012599</v>
      </c>
      <c r="K246" s="9">
        <f t="shared" si="24"/>
        <v>341.97522341157003</v>
      </c>
      <c r="L246" s="10">
        <f t="shared" si="21"/>
        <v>0.24928001522853185</v>
      </c>
      <c r="M246" s="10">
        <f t="shared" si="28"/>
        <v>0.28165446523458088</v>
      </c>
      <c r="P246" s="8">
        <f t="shared" si="29"/>
        <v>-21.603649422969358</v>
      </c>
    </row>
    <row r="247" spans="1:16" x14ac:dyDescent="0.2">
      <c r="A247" s="8">
        <v>122.5</v>
      </c>
      <c r="B247" s="8">
        <v>245</v>
      </c>
      <c r="D247">
        <v>1557.2577147623001</v>
      </c>
      <c r="E247">
        <v>468.68056713928001</v>
      </c>
      <c r="F247">
        <v>141.67647058823999</v>
      </c>
      <c r="G247">
        <v>118.64201680671999</v>
      </c>
      <c r="I247" s="9">
        <f t="shared" si="26"/>
        <v>350.03855033256002</v>
      </c>
      <c r="J247" s="9">
        <f t="shared" si="27"/>
        <v>1415.5812441740602</v>
      </c>
      <c r="K247" s="9">
        <f t="shared" si="24"/>
        <v>350.03855033256002</v>
      </c>
      <c r="L247" s="10">
        <f t="shared" si="21"/>
        <v>0.2472754932104195</v>
      </c>
      <c r="M247" s="10">
        <f t="shared" si="28"/>
        <v>0.27978262538862442</v>
      </c>
      <c r="P247" s="8">
        <f t="shared" si="29"/>
        <v>-22.124661623736127</v>
      </c>
    </row>
    <row r="248" spans="1:16" x14ac:dyDescent="0.2">
      <c r="A248" s="8">
        <v>123</v>
      </c>
      <c r="B248" s="8">
        <v>246</v>
      </c>
      <c r="D248">
        <v>1561.9708090075001</v>
      </c>
      <c r="E248">
        <v>468.86155129273999</v>
      </c>
      <c r="F248">
        <v>141.70756302520999</v>
      </c>
      <c r="G248">
        <v>118.35294117647</v>
      </c>
      <c r="I248" s="9">
        <f t="shared" si="26"/>
        <v>350.50861011627001</v>
      </c>
      <c r="J248" s="9">
        <f t="shared" si="27"/>
        <v>1420.2632459822901</v>
      </c>
      <c r="K248" s="9">
        <f t="shared" si="24"/>
        <v>350.50861011627001</v>
      </c>
      <c r="L248" s="10">
        <f t="shared" si="21"/>
        <v>0.24679129809759273</v>
      </c>
      <c r="M248" s="10">
        <f t="shared" si="28"/>
        <v>0.2794311124479536</v>
      </c>
      <c r="P248" s="8">
        <f t="shared" si="29"/>
        <v>-22.2225025427723</v>
      </c>
    </row>
    <row r="249" spans="1:16" x14ac:dyDescent="0.2">
      <c r="A249" s="8">
        <v>123.5</v>
      </c>
      <c r="B249" s="8">
        <v>247</v>
      </c>
      <c r="D249">
        <v>1565.9516263553</v>
      </c>
      <c r="E249">
        <v>466.81734778983002</v>
      </c>
      <c r="F249">
        <v>141.7462184874</v>
      </c>
      <c r="G249">
        <v>118.33697478992001</v>
      </c>
      <c r="I249" s="9">
        <f t="shared" si="26"/>
        <v>348.48037299991</v>
      </c>
      <c r="J249" s="9">
        <f t="shared" si="27"/>
        <v>1424.2054078679</v>
      </c>
      <c r="K249" s="9">
        <f t="shared" si="24"/>
        <v>348.48037299991</v>
      </c>
      <c r="L249" s="10">
        <f t="shared" si="21"/>
        <v>0.24468406809492524</v>
      </c>
      <c r="M249" s="10">
        <f t="shared" si="28"/>
        <v>0.27745656461744206</v>
      </c>
      <c r="P249" s="8">
        <f t="shared" si="29"/>
        <v>-22.77210271979407</v>
      </c>
    </row>
    <row r="250" spans="1:16" x14ac:dyDescent="0.2">
      <c r="A250" s="8">
        <v>124</v>
      </c>
      <c r="B250" s="8">
        <v>248</v>
      </c>
      <c r="D250">
        <v>1567.1042535445999</v>
      </c>
      <c r="E250">
        <v>460.55879899916999</v>
      </c>
      <c r="F250">
        <v>141.48403361345001</v>
      </c>
      <c r="G250">
        <v>118.31680672269</v>
      </c>
      <c r="I250" s="9">
        <f t="shared" si="26"/>
        <v>342.24199227648</v>
      </c>
      <c r="J250" s="9">
        <f t="shared" si="27"/>
        <v>1425.6202199311499</v>
      </c>
      <c r="K250" s="9">
        <f t="shared" si="24"/>
        <v>342.24199227648</v>
      </c>
      <c r="L250" s="10">
        <f t="shared" si="21"/>
        <v>0.2400653326122216</v>
      </c>
      <c r="M250" s="10">
        <f t="shared" si="28"/>
        <v>0.27297051130689437</v>
      </c>
      <c r="P250" s="8">
        <f t="shared" si="29"/>
        <v>-24.020761098946817</v>
      </c>
    </row>
    <row r="251" spans="1:16" x14ac:dyDescent="0.2">
      <c r="A251" s="8">
        <v>124.5</v>
      </c>
      <c r="B251" s="8">
        <v>249</v>
      </c>
      <c r="D251">
        <v>1566.8782318599001</v>
      </c>
      <c r="E251">
        <v>459.76647206004998</v>
      </c>
      <c r="F251">
        <v>141.67226890756001</v>
      </c>
      <c r="G251">
        <v>118.25462184874</v>
      </c>
      <c r="I251" s="9">
        <f t="shared" si="26"/>
        <v>341.51185021130999</v>
      </c>
      <c r="J251" s="9">
        <f t="shared" si="27"/>
        <v>1425.2059629523401</v>
      </c>
      <c r="K251" s="9">
        <f t="shared" si="24"/>
        <v>341.51185021130999</v>
      </c>
      <c r="L251" s="10">
        <f t="shared" si="21"/>
        <v>0.23962280476560874</v>
      </c>
      <c r="M251" s="10">
        <f t="shared" si="28"/>
        <v>0.27266066563243746</v>
      </c>
      <c r="P251" s="8">
        <f t="shared" si="29"/>
        <v>-24.107004255430308</v>
      </c>
    </row>
    <row r="252" spans="1:16" x14ac:dyDescent="0.2">
      <c r="A252" s="8">
        <v>125</v>
      </c>
      <c r="B252" s="8">
        <v>250</v>
      </c>
      <c r="D252">
        <v>1569.4553794829001</v>
      </c>
      <c r="E252">
        <v>455.77231025855002</v>
      </c>
      <c r="F252">
        <v>141.87731092436999</v>
      </c>
      <c r="G252">
        <v>118.17647058823999</v>
      </c>
      <c r="I252" s="9">
        <f t="shared" si="26"/>
        <v>337.59583967031006</v>
      </c>
      <c r="J252" s="9">
        <f t="shared" si="27"/>
        <v>1427.57806855853</v>
      </c>
      <c r="K252" s="9">
        <f t="shared" si="24"/>
        <v>337.59583967031006</v>
      </c>
      <c r="L252" s="10">
        <f t="shared" si="21"/>
        <v>0.23648152567319214</v>
      </c>
      <c r="M252" s="10">
        <f t="shared" si="28"/>
        <v>0.26965206871217678</v>
      </c>
      <c r="P252" s="8">
        <f t="shared" si="29"/>
        <v>-24.944424030434721</v>
      </c>
    </row>
    <row r="253" spans="1:16" x14ac:dyDescent="0.2">
      <c r="A253" s="8">
        <v>125.5</v>
      </c>
      <c r="B253" s="8">
        <v>251</v>
      </c>
      <c r="D253">
        <v>1588.5746455379999</v>
      </c>
      <c r="E253">
        <v>454.15095913261001</v>
      </c>
      <c r="F253">
        <v>142.40840336135</v>
      </c>
      <c r="G253">
        <v>118.67058823529</v>
      </c>
      <c r="I253" s="9">
        <f t="shared" si="26"/>
        <v>335.48037089732003</v>
      </c>
      <c r="J253" s="9">
        <f t="shared" si="27"/>
        <v>1446.16624217665</v>
      </c>
      <c r="K253" s="9">
        <f t="shared" si="24"/>
        <v>335.48037089732003</v>
      </c>
      <c r="L253" s="10">
        <f t="shared" si="21"/>
        <v>0.23197911907581431</v>
      </c>
      <c r="M253" s="10">
        <f t="shared" si="28"/>
        <v>0.26528234428695491</v>
      </c>
      <c r="P253" s="8">
        <f t="shared" si="29"/>
        <v>-26.16070316053618</v>
      </c>
    </row>
    <row r="254" spans="1:16" x14ac:dyDescent="0.2">
      <c r="A254" s="8">
        <v>126</v>
      </c>
      <c r="B254" s="8">
        <v>252</v>
      </c>
      <c r="D254">
        <v>1585.670558799</v>
      </c>
      <c r="E254">
        <v>447.35112593828001</v>
      </c>
      <c r="F254">
        <v>141.49243697479</v>
      </c>
      <c r="G254">
        <v>118.27226890756</v>
      </c>
      <c r="I254" s="9">
        <f t="shared" si="26"/>
        <v>329.07885703071997</v>
      </c>
      <c r="J254" s="9">
        <f t="shared" si="27"/>
        <v>1444.1781218242099</v>
      </c>
      <c r="K254" s="9">
        <f t="shared" si="24"/>
        <v>329.07885703071997</v>
      </c>
      <c r="L254" s="10">
        <f t="shared" si="21"/>
        <v>0.22786583736294583</v>
      </c>
      <c r="M254" s="10">
        <f t="shared" si="28"/>
        <v>0.26130174474624235</v>
      </c>
      <c r="P254" s="8">
        <f t="shared" si="29"/>
        <v>-27.26867237679043</v>
      </c>
    </row>
    <row r="255" spans="1:16" x14ac:dyDescent="0.2">
      <c r="A255" s="8">
        <v>126.5</v>
      </c>
      <c r="B255" s="8">
        <v>253</v>
      </c>
      <c r="D255">
        <v>1624.7764705882</v>
      </c>
      <c r="E255">
        <v>456.26050420168002</v>
      </c>
      <c r="F255">
        <v>142.04789915966001</v>
      </c>
      <c r="G255">
        <v>118.61344537815</v>
      </c>
      <c r="I255" s="9">
        <f t="shared" si="26"/>
        <v>337.64705882353002</v>
      </c>
      <c r="J255" s="9">
        <f t="shared" si="27"/>
        <v>1482.7285714285399</v>
      </c>
      <c r="K255" s="9">
        <f t="shared" si="24"/>
        <v>337.64705882353002</v>
      </c>
      <c r="L255" s="10">
        <f t="shared" si="21"/>
        <v>0.22772007320141055</v>
      </c>
      <c r="M255" s="10">
        <f t="shared" si="28"/>
        <v>0.26128866275686302</v>
      </c>
      <c r="P255" s="8">
        <f t="shared" si="29"/>
        <v>-27.272313647752611</v>
      </c>
    </row>
    <row r="256" spans="1:16" x14ac:dyDescent="0.2">
      <c r="A256" s="8">
        <v>127</v>
      </c>
      <c r="B256" s="8">
        <v>254</v>
      </c>
      <c r="D256">
        <v>1612.4899159664001</v>
      </c>
      <c r="E256">
        <v>450.18151260503998</v>
      </c>
      <c r="F256">
        <v>141.58571428571</v>
      </c>
      <c r="G256">
        <v>117.89831932772999</v>
      </c>
      <c r="I256" s="9">
        <f t="shared" si="26"/>
        <v>332.28319327730998</v>
      </c>
      <c r="J256" s="9">
        <f t="shared" si="27"/>
        <v>1470.90420168069</v>
      </c>
      <c r="K256" s="9">
        <f t="shared" si="24"/>
        <v>332.28319327730998</v>
      </c>
      <c r="L256" s="10">
        <f t="shared" si="21"/>
        <v>0.22590403433319134</v>
      </c>
      <c r="M256" s="10">
        <f t="shared" si="28"/>
        <v>0.25960530606079973</v>
      </c>
      <c r="P256" s="8">
        <f t="shared" si="29"/>
        <v>-27.740863015790701</v>
      </c>
    </row>
    <row r="257" spans="1:16" x14ac:dyDescent="0.2">
      <c r="A257" s="8">
        <v>127.5</v>
      </c>
      <c r="B257" s="8">
        <v>255</v>
      </c>
      <c r="D257">
        <v>1612.5697478991999</v>
      </c>
      <c r="E257">
        <v>449.48403361344998</v>
      </c>
      <c r="F257">
        <v>141.37226890756</v>
      </c>
      <c r="G257">
        <v>118.39327731092</v>
      </c>
      <c r="I257" s="9">
        <f t="shared" si="26"/>
        <v>331.09075630253</v>
      </c>
      <c r="J257" s="9">
        <f t="shared" si="27"/>
        <v>1471.1974789916399</v>
      </c>
      <c r="K257" s="9">
        <f t="shared" si="24"/>
        <v>331.09075630253</v>
      </c>
      <c r="L257" s="10">
        <f t="shared" si="21"/>
        <v>0.22504847991546309</v>
      </c>
      <c r="M257" s="10">
        <f t="shared" si="28"/>
        <v>0.25888243381522741</v>
      </c>
      <c r="P257" s="8">
        <f t="shared" si="29"/>
        <v>-27.942068936453435</v>
      </c>
    </row>
    <row r="258" spans="1:16" x14ac:dyDescent="0.2">
      <c r="A258" s="8">
        <v>128</v>
      </c>
      <c r="B258" s="8">
        <v>256</v>
      </c>
      <c r="D258">
        <v>1599.3092436975001</v>
      </c>
      <c r="E258">
        <v>447.57142857142998</v>
      </c>
      <c r="F258">
        <v>141.32773109243999</v>
      </c>
      <c r="G258">
        <v>118.20420168067</v>
      </c>
      <c r="I258" s="9">
        <f t="shared" si="26"/>
        <v>329.36722689075998</v>
      </c>
      <c r="J258" s="9">
        <f t="shared" si="27"/>
        <v>1457.9815126050601</v>
      </c>
      <c r="K258" s="9">
        <f t="shared" si="24"/>
        <v>329.36722689075998</v>
      </c>
      <c r="L258" s="10">
        <f t="shared" ref="L258:L321" si="30">K258/J258</f>
        <v>0.22590631228393321</v>
      </c>
      <c r="M258" s="10">
        <f t="shared" si="28"/>
        <v>0.25987294835585351</v>
      </c>
      <c r="P258" s="8">
        <f t="shared" si="29"/>
        <v>-27.666366844835981</v>
      </c>
    </row>
    <row r="259" spans="1:16" x14ac:dyDescent="0.2">
      <c r="A259" s="8">
        <v>128.5</v>
      </c>
      <c r="B259" s="8">
        <v>257</v>
      </c>
      <c r="D259">
        <v>1609.5168067227</v>
      </c>
      <c r="E259">
        <v>451.29831932772998</v>
      </c>
      <c r="F259">
        <v>141.27815126050001</v>
      </c>
      <c r="G259">
        <v>118.26302521008</v>
      </c>
      <c r="I259" s="9">
        <f t="shared" si="26"/>
        <v>333.03529411764998</v>
      </c>
      <c r="J259" s="9">
        <f t="shared" si="27"/>
        <v>1468.2386554622001</v>
      </c>
      <c r="K259" s="9">
        <f t="shared" ref="K259:K321" si="31">I259*1</f>
        <v>333.03529411764998</v>
      </c>
      <c r="L259" s="10">
        <f t="shared" si="30"/>
        <v>0.22682640378570526</v>
      </c>
      <c r="M259" s="10">
        <f t="shared" si="28"/>
        <v>0.26092572202978148</v>
      </c>
      <c r="P259" s="8">
        <f t="shared" si="29"/>
        <v>-27.373335403098366</v>
      </c>
    </row>
    <row r="260" spans="1:16" x14ac:dyDescent="0.2">
      <c r="A260" s="8">
        <v>129</v>
      </c>
      <c r="B260" s="8">
        <v>258</v>
      </c>
      <c r="D260">
        <v>1606.2613445377999</v>
      </c>
      <c r="E260">
        <v>447.39327731091998</v>
      </c>
      <c r="F260">
        <v>141.42941176471001</v>
      </c>
      <c r="G260">
        <v>118.12268907563001</v>
      </c>
      <c r="I260" s="9">
        <f t="shared" si="26"/>
        <v>329.27058823529001</v>
      </c>
      <c r="J260" s="9">
        <f t="shared" si="27"/>
        <v>1464.8319327730899</v>
      </c>
      <c r="K260" s="9">
        <f t="shared" si="31"/>
        <v>329.27058823529001</v>
      </c>
      <c r="L260" s="10">
        <f t="shared" si="30"/>
        <v>0.22478386828442778</v>
      </c>
      <c r="M260" s="10">
        <f t="shared" si="28"/>
        <v>0.25901586870065996</v>
      </c>
      <c r="P260" s="8">
        <f t="shared" si="29"/>
        <v>-27.904928364054332</v>
      </c>
    </row>
    <row r="261" spans="1:16" x14ac:dyDescent="0.2">
      <c r="A261" s="8">
        <v>129.5</v>
      </c>
      <c r="B261" s="8">
        <v>259</v>
      </c>
      <c r="D261">
        <v>1599.3260504202001</v>
      </c>
      <c r="E261">
        <v>441.41764705882002</v>
      </c>
      <c r="F261">
        <v>140.92016806723001</v>
      </c>
      <c r="G261">
        <v>118.34621848739999</v>
      </c>
      <c r="I261" s="9">
        <f t="shared" si="26"/>
        <v>323.07142857142003</v>
      </c>
      <c r="J261" s="9">
        <f t="shared" si="27"/>
        <v>1458.4058823529701</v>
      </c>
      <c r="K261" s="9">
        <f t="shared" si="31"/>
        <v>323.07142857142003</v>
      </c>
      <c r="L261" s="10">
        <f t="shared" si="30"/>
        <v>0.221523673540168</v>
      </c>
      <c r="M261" s="10">
        <f t="shared" si="28"/>
        <v>0.25588835612855609</v>
      </c>
      <c r="P261" s="8">
        <f t="shared" si="29"/>
        <v>-28.775447394642107</v>
      </c>
    </row>
    <row r="262" spans="1:16" x14ac:dyDescent="0.2">
      <c r="A262" s="8">
        <v>130</v>
      </c>
      <c r="B262" s="8">
        <v>260</v>
      </c>
      <c r="D262">
        <v>1595.9554621848999</v>
      </c>
      <c r="E262">
        <v>440.31428571429001</v>
      </c>
      <c r="F262">
        <v>140.91764705881999</v>
      </c>
      <c r="G262">
        <v>118.29411764706001</v>
      </c>
      <c r="I262" s="9">
        <f t="shared" si="26"/>
        <v>322.02016806722997</v>
      </c>
      <c r="J262" s="9">
        <f t="shared" si="27"/>
        <v>1455.03781512608</v>
      </c>
      <c r="K262" s="9">
        <f t="shared" si="31"/>
        <v>322.02016806722997</v>
      </c>
      <c r="L262" s="10">
        <f t="shared" si="30"/>
        <v>0.22131395123866709</v>
      </c>
      <c r="M262" s="10">
        <f t="shared" si="28"/>
        <v>0.25581131599921114</v>
      </c>
      <c r="P262" s="8">
        <f t="shared" si="29"/>
        <v>-28.796890921140424</v>
      </c>
    </row>
    <row r="263" spans="1:16" x14ac:dyDescent="0.2">
      <c r="A263" s="8">
        <v>130.5</v>
      </c>
      <c r="B263" s="8">
        <v>261</v>
      </c>
      <c r="D263">
        <v>1609.7655462185</v>
      </c>
      <c r="E263">
        <v>442.23865546219002</v>
      </c>
      <c r="F263">
        <v>141.63109243698</v>
      </c>
      <c r="G263">
        <v>118.0462184874</v>
      </c>
      <c r="I263" s="9">
        <f t="shared" si="26"/>
        <v>324.19243697479004</v>
      </c>
      <c r="J263" s="9">
        <f t="shared" si="27"/>
        <v>1468.1344537815201</v>
      </c>
      <c r="K263" s="9">
        <f t="shared" si="31"/>
        <v>324.19243697479004</v>
      </c>
      <c r="L263" s="10">
        <f t="shared" si="30"/>
        <v>0.22081930993428933</v>
      </c>
      <c r="M263" s="10">
        <f t="shared" si="28"/>
        <v>0.25544935686698927</v>
      </c>
      <c r="P263" s="8">
        <f t="shared" si="29"/>
        <v>-28.897639457119034</v>
      </c>
    </row>
    <row r="264" spans="1:16" x14ac:dyDescent="0.2">
      <c r="A264" s="8">
        <v>131</v>
      </c>
      <c r="B264" s="8">
        <v>262</v>
      </c>
      <c r="D264">
        <v>1605.5915966386999</v>
      </c>
      <c r="E264">
        <v>440.94033613444998</v>
      </c>
      <c r="F264">
        <v>141.23109243697999</v>
      </c>
      <c r="G264">
        <v>117.89831932772999</v>
      </c>
      <c r="I264" s="9">
        <f t="shared" si="26"/>
        <v>323.04201680671997</v>
      </c>
      <c r="J264" s="9">
        <f t="shared" si="27"/>
        <v>1464.36050420172</v>
      </c>
      <c r="K264" s="9">
        <f t="shared" si="31"/>
        <v>323.04201680671997</v>
      </c>
      <c r="L264" s="10">
        <f t="shared" si="30"/>
        <v>0.22060279274113773</v>
      </c>
      <c r="M264" s="10">
        <f t="shared" si="28"/>
        <v>0.25536552184599365</v>
      </c>
      <c r="P264" s="8">
        <f t="shared" si="29"/>
        <v>-28.920974289361556</v>
      </c>
    </row>
    <row r="265" spans="1:16" x14ac:dyDescent="0.2">
      <c r="A265" s="8">
        <v>131.5</v>
      </c>
      <c r="B265" s="8">
        <v>263</v>
      </c>
      <c r="D265">
        <v>1615.9378151261001</v>
      </c>
      <c r="E265">
        <v>449.71260504202002</v>
      </c>
      <c r="F265">
        <v>141.12773109244</v>
      </c>
      <c r="G265">
        <v>118.22689075629999</v>
      </c>
      <c r="I265" s="9">
        <f t="shared" si="26"/>
        <v>331.48571428572001</v>
      </c>
      <c r="J265" s="9">
        <f t="shared" si="27"/>
        <v>1474.8100840336601</v>
      </c>
      <c r="K265" s="9">
        <f t="shared" si="31"/>
        <v>331.48571428572001</v>
      </c>
      <c r="L265" s="10">
        <f t="shared" si="30"/>
        <v>0.22476501745844749</v>
      </c>
      <c r="M265" s="10">
        <f t="shared" si="28"/>
        <v>0.2596604287354593</v>
      </c>
      <c r="P265" s="8">
        <f t="shared" si="29"/>
        <v>-27.725520043955491</v>
      </c>
    </row>
    <row r="266" spans="1:16" x14ac:dyDescent="0.2">
      <c r="A266" s="8">
        <v>132</v>
      </c>
      <c r="B266" s="8">
        <v>264</v>
      </c>
      <c r="D266">
        <v>1623.9008403360999</v>
      </c>
      <c r="E266">
        <v>452.79747899159997</v>
      </c>
      <c r="F266">
        <v>141.00840336134999</v>
      </c>
      <c r="G266">
        <v>118.11344537815</v>
      </c>
      <c r="I266" s="9">
        <f t="shared" si="26"/>
        <v>334.68403361344997</v>
      </c>
      <c r="J266" s="9">
        <f t="shared" si="27"/>
        <v>1482.8924369747499</v>
      </c>
      <c r="K266" s="9">
        <f t="shared" si="31"/>
        <v>334.68403361344997</v>
      </c>
      <c r="L266" s="10">
        <f t="shared" si="30"/>
        <v>0.22569677022309126</v>
      </c>
      <c r="M266" s="10">
        <f t="shared" si="28"/>
        <v>0.26072486367225906</v>
      </c>
      <c r="P266" s="8">
        <f t="shared" si="29"/>
        <v>-27.429242779534029</v>
      </c>
    </row>
    <row r="267" spans="1:16" x14ac:dyDescent="0.2">
      <c r="A267" s="8">
        <v>132.5</v>
      </c>
      <c r="B267" s="8">
        <v>265</v>
      </c>
      <c r="D267">
        <v>1614.1983193276999</v>
      </c>
      <c r="E267">
        <v>451.04285714285999</v>
      </c>
      <c r="F267">
        <v>141.03613445377999</v>
      </c>
      <c r="G267">
        <v>118.08487394958</v>
      </c>
      <c r="I267" s="9">
        <f t="shared" si="26"/>
        <v>332.95798319327997</v>
      </c>
      <c r="J267" s="9">
        <f t="shared" si="27"/>
        <v>1473.1621848739198</v>
      </c>
      <c r="K267" s="9">
        <f t="shared" si="31"/>
        <v>332.95798319327997</v>
      </c>
      <c r="L267" s="10">
        <f t="shared" si="30"/>
        <v>0.22601583628198824</v>
      </c>
      <c r="M267" s="10">
        <f t="shared" si="28"/>
        <v>0.26117661190331198</v>
      </c>
      <c r="P267" s="8">
        <f t="shared" si="29"/>
        <v>-27.303502139616665</v>
      </c>
    </row>
    <row r="268" spans="1:16" x14ac:dyDescent="0.2">
      <c r="A268" s="8">
        <v>133</v>
      </c>
      <c r="B268" s="8">
        <v>266</v>
      </c>
      <c r="D268">
        <v>1585.5563025209999</v>
      </c>
      <c r="E268">
        <v>442.35210084033997</v>
      </c>
      <c r="F268">
        <v>140.88823529411999</v>
      </c>
      <c r="G268">
        <v>117.94537815126</v>
      </c>
      <c r="I268" s="9">
        <f t="shared" si="26"/>
        <v>324.40672268907997</v>
      </c>
      <c r="J268" s="9">
        <f t="shared" si="27"/>
        <v>1444.6680672268799</v>
      </c>
      <c r="K268" s="9">
        <f t="shared" si="31"/>
        <v>324.40672268907997</v>
      </c>
      <c r="L268" s="10">
        <f t="shared" si="30"/>
        <v>0.22455450497483245</v>
      </c>
      <c r="M268" s="10">
        <f t="shared" si="28"/>
        <v>0.25984796276831212</v>
      </c>
      <c r="P268" s="8">
        <f t="shared" si="29"/>
        <v>-27.673321390643146</v>
      </c>
    </row>
    <row r="269" spans="1:16" x14ac:dyDescent="0.2">
      <c r="A269" s="8">
        <v>133.5</v>
      </c>
      <c r="B269" s="8">
        <v>267</v>
      </c>
      <c r="D269">
        <v>1592.1655462184999</v>
      </c>
      <c r="E269">
        <v>445.51512605042001</v>
      </c>
      <c r="F269">
        <v>141.36302521008</v>
      </c>
      <c r="G269">
        <v>117.63277310924001</v>
      </c>
      <c r="I269" s="9">
        <f t="shared" si="26"/>
        <v>327.88235294117999</v>
      </c>
      <c r="J269" s="9">
        <f t="shared" si="27"/>
        <v>1450.8025210084199</v>
      </c>
      <c r="K269" s="9">
        <f t="shared" si="31"/>
        <v>327.88235294117999</v>
      </c>
      <c r="L269" s="10">
        <f t="shared" si="30"/>
        <v>0.22600067768925325</v>
      </c>
      <c r="M269" s="10">
        <f t="shared" si="28"/>
        <v>0.26142681765488884</v>
      </c>
      <c r="P269" s="8">
        <f t="shared" si="29"/>
        <v>-27.233859296210394</v>
      </c>
    </row>
    <row r="270" spans="1:16" x14ac:dyDescent="0.2">
      <c r="A270" s="8">
        <v>134</v>
      </c>
      <c r="B270" s="8">
        <v>268</v>
      </c>
      <c r="D270">
        <v>1627.9170854270999</v>
      </c>
      <c r="E270">
        <v>470.18425460637002</v>
      </c>
      <c r="F270">
        <v>141.52436974790001</v>
      </c>
      <c r="G270">
        <v>118.08823529412</v>
      </c>
      <c r="I270" s="9">
        <f t="shared" si="26"/>
        <v>352.09601931225001</v>
      </c>
      <c r="J270" s="9">
        <f t="shared" si="27"/>
        <v>1486.3927156791999</v>
      </c>
      <c r="K270" s="9">
        <f t="shared" si="31"/>
        <v>352.09601931225001</v>
      </c>
      <c r="L270" s="10">
        <f t="shared" si="30"/>
        <v>0.2368795376875629</v>
      </c>
      <c r="M270" s="10">
        <f t="shared" si="28"/>
        <v>0.27243835982535441</v>
      </c>
      <c r="P270" s="8">
        <f t="shared" si="29"/>
        <v>-24.168881364223445</v>
      </c>
    </row>
    <row r="271" spans="1:16" x14ac:dyDescent="0.2">
      <c r="A271" s="8">
        <v>134.5</v>
      </c>
      <c r="B271" s="8">
        <v>269</v>
      </c>
      <c r="D271">
        <v>1621.3609715243001</v>
      </c>
      <c r="E271">
        <v>478.05276381909999</v>
      </c>
      <c r="F271">
        <v>141.52773109244001</v>
      </c>
      <c r="G271">
        <v>117.75966386555</v>
      </c>
      <c r="I271" s="9">
        <f t="shared" si="26"/>
        <v>360.29309995354998</v>
      </c>
      <c r="J271" s="9">
        <f t="shared" si="27"/>
        <v>1479.8332404318601</v>
      </c>
      <c r="K271" s="9">
        <f t="shared" si="31"/>
        <v>360.29309995354998</v>
      </c>
      <c r="L271" s="10">
        <f t="shared" si="30"/>
        <v>0.2434687166835133</v>
      </c>
      <c r="M271" s="10">
        <f t="shared" si="28"/>
        <v>0.27916022099346077</v>
      </c>
      <c r="P271" s="8">
        <f t="shared" si="29"/>
        <v>-22.297903092225877</v>
      </c>
    </row>
    <row r="272" spans="1:16" x14ac:dyDescent="0.2">
      <c r="A272" s="8">
        <v>135</v>
      </c>
      <c r="B272" s="8">
        <v>270</v>
      </c>
      <c r="D272">
        <v>1606.0544388610001</v>
      </c>
      <c r="E272">
        <v>466.57872696816997</v>
      </c>
      <c r="F272">
        <v>140.88907563025001</v>
      </c>
      <c r="G272">
        <v>118.18571428571001</v>
      </c>
      <c r="I272" s="9">
        <f t="shared" si="26"/>
        <v>348.39301268245998</v>
      </c>
      <c r="J272" s="9">
        <f t="shared" si="27"/>
        <v>1465.16536323075</v>
      </c>
      <c r="K272" s="9">
        <f t="shared" si="31"/>
        <v>348.39301268245998</v>
      </c>
      <c r="L272" s="10">
        <f t="shared" si="30"/>
        <v>0.23778409005945855</v>
      </c>
      <c r="M272" s="10">
        <f t="shared" si="28"/>
        <v>0.27360827654156195</v>
      </c>
      <c r="P272" s="8">
        <f t="shared" si="29"/>
        <v>-23.843244059118604</v>
      </c>
    </row>
    <row r="273" spans="1:16" x14ac:dyDescent="0.2">
      <c r="A273" s="8">
        <v>135.5</v>
      </c>
      <c r="B273" s="8">
        <v>271</v>
      </c>
      <c r="D273">
        <v>1636.1021775544</v>
      </c>
      <c r="E273">
        <v>482.91038525963</v>
      </c>
      <c r="F273">
        <v>141.18403361345</v>
      </c>
      <c r="G273">
        <v>118.56806722688999</v>
      </c>
      <c r="I273" s="9">
        <f t="shared" si="26"/>
        <v>364.34231803274002</v>
      </c>
      <c r="J273" s="9">
        <f t="shared" si="27"/>
        <v>1494.9181439409499</v>
      </c>
      <c r="K273" s="9">
        <f t="shared" si="31"/>
        <v>364.34231803274002</v>
      </c>
      <c r="L273" s="10">
        <f t="shared" si="30"/>
        <v>0.24372058062808002</v>
      </c>
      <c r="M273" s="10">
        <f t="shared" si="28"/>
        <v>0.2796774492823394</v>
      </c>
      <c r="P273" s="8">
        <f t="shared" si="29"/>
        <v>-22.153936582660638</v>
      </c>
    </row>
    <row r="274" spans="1:16" x14ac:dyDescent="0.2">
      <c r="A274" s="8">
        <v>136</v>
      </c>
      <c r="B274" s="8">
        <v>272</v>
      </c>
      <c r="D274">
        <v>1641.0519262982</v>
      </c>
      <c r="E274">
        <v>493.62814070351999</v>
      </c>
      <c r="F274">
        <v>141.16386554621999</v>
      </c>
      <c r="G274">
        <v>118.42016806722999</v>
      </c>
      <c r="I274" s="9">
        <f t="shared" si="26"/>
        <v>375.20797263628998</v>
      </c>
      <c r="J274" s="9">
        <f t="shared" si="27"/>
        <v>1499.88806075198</v>
      </c>
      <c r="K274" s="9">
        <f t="shared" si="31"/>
        <v>375.20797263628998</v>
      </c>
      <c r="L274" s="10">
        <f t="shared" si="30"/>
        <v>0.25015731670547248</v>
      </c>
      <c r="M274" s="10">
        <f t="shared" si="28"/>
        <v>0.28624686753188777</v>
      </c>
      <c r="P274" s="8">
        <f t="shared" si="29"/>
        <v>-20.325389622647791</v>
      </c>
    </row>
    <row r="275" spans="1:16" x14ac:dyDescent="0.2">
      <c r="A275" s="8">
        <v>136.5</v>
      </c>
      <c r="B275" s="8">
        <v>273</v>
      </c>
      <c r="D275">
        <v>1599.3986599665</v>
      </c>
      <c r="E275">
        <v>500.75879396984999</v>
      </c>
      <c r="F275">
        <v>140.94621848739999</v>
      </c>
      <c r="G275">
        <v>118.20504201681</v>
      </c>
      <c r="I275" s="9">
        <f>E275-G275</f>
        <v>382.55375195303998</v>
      </c>
      <c r="J275" s="9">
        <f>D275-F275</f>
        <v>1458.4524414790999</v>
      </c>
      <c r="K275" s="9">
        <f t="shared" si="31"/>
        <v>382.55375195303998</v>
      </c>
      <c r="L275" s="10">
        <f t="shared" si="30"/>
        <v>0.26230114954250439</v>
      </c>
      <c r="M275" s="10">
        <f>L275+ABS($N$2)*A275</f>
        <v>0.29852338254107563</v>
      </c>
      <c r="O275" s="11"/>
      <c r="P275" s="8">
        <f>(M275-$O$2)/$O$2*100</f>
        <v>-16.908316246151202</v>
      </c>
    </row>
    <row r="276" spans="1:16" x14ac:dyDescent="0.2">
      <c r="A276" s="8">
        <v>137</v>
      </c>
      <c r="B276" s="8">
        <v>274</v>
      </c>
      <c r="D276">
        <v>1577.1943048575999</v>
      </c>
      <c r="E276">
        <v>508.98994974874</v>
      </c>
      <c r="F276">
        <v>141.48487394957999</v>
      </c>
      <c r="G276">
        <v>118.01596638656</v>
      </c>
      <c r="I276" s="9">
        <f t="shared" ref="I276:I291" si="32">E276-G276</f>
        <v>390.97398336217998</v>
      </c>
      <c r="J276" s="9">
        <f t="shared" ref="J276:J291" si="33">D276-F276</f>
        <v>1435.7094309080198</v>
      </c>
      <c r="K276" s="9">
        <f t="shared" si="31"/>
        <v>390.97398336217998</v>
      </c>
      <c r="L276" s="10">
        <f t="shared" si="30"/>
        <v>0.27232110825858891</v>
      </c>
      <c r="M276" s="10">
        <f t="shared" ref="M276:M291" si="34">L276+ABS($N$2)*A276</f>
        <v>0.30867602342931605</v>
      </c>
      <c r="P276" s="8">
        <f t="shared" ref="P276:P291" si="35">(M276-$O$2)/$O$2*100</f>
        <v>-14.08240686923333</v>
      </c>
    </row>
    <row r="277" spans="1:16" x14ac:dyDescent="0.2">
      <c r="A277" s="8">
        <v>137.5</v>
      </c>
      <c r="B277" s="8">
        <v>275</v>
      </c>
      <c r="D277">
        <v>1597.8936348408999</v>
      </c>
      <c r="E277">
        <v>503.16666666666998</v>
      </c>
      <c r="F277">
        <v>140.76722689076001</v>
      </c>
      <c r="G277">
        <v>118.08991596639</v>
      </c>
      <c r="I277" s="9">
        <f t="shared" si="32"/>
        <v>385.07675070028</v>
      </c>
      <c r="J277" s="9">
        <f t="shared" si="33"/>
        <v>1457.12640795014</v>
      </c>
      <c r="K277" s="9">
        <f t="shared" si="31"/>
        <v>385.07675070028</v>
      </c>
      <c r="L277" s="10">
        <f t="shared" si="30"/>
        <v>0.26427134159348553</v>
      </c>
      <c r="M277" s="10">
        <f t="shared" si="34"/>
        <v>0.30075893893636862</v>
      </c>
      <c r="N277" s="1"/>
      <c r="P277" s="8">
        <f t="shared" si="35"/>
        <v>-16.286066345890809</v>
      </c>
    </row>
    <row r="278" spans="1:16" x14ac:dyDescent="0.2">
      <c r="A278" s="8">
        <v>138</v>
      </c>
      <c r="B278" s="8">
        <v>276</v>
      </c>
      <c r="D278">
        <v>1601.6206030151</v>
      </c>
      <c r="E278">
        <v>512.49748743718999</v>
      </c>
      <c r="F278">
        <v>140.89579831933</v>
      </c>
      <c r="G278">
        <v>117.78235294117999</v>
      </c>
      <c r="I278" s="9">
        <f t="shared" si="32"/>
        <v>394.71513449601002</v>
      </c>
      <c r="J278" s="9">
        <f t="shared" si="33"/>
        <v>1460.72480469577</v>
      </c>
      <c r="K278" s="9">
        <f t="shared" si="31"/>
        <v>394.71513449601002</v>
      </c>
      <c r="L278" s="10">
        <f t="shared" si="30"/>
        <v>0.27021868405816429</v>
      </c>
      <c r="M278" s="10">
        <f t="shared" si="34"/>
        <v>0.30683896357320334</v>
      </c>
      <c r="P278" s="8">
        <f t="shared" si="35"/>
        <v>-14.59373832776658</v>
      </c>
    </row>
    <row r="279" spans="1:16" x14ac:dyDescent="0.2">
      <c r="A279" s="8">
        <v>138.5</v>
      </c>
      <c r="B279" s="8">
        <v>277</v>
      </c>
      <c r="D279">
        <v>1627.0167504188</v>
      </c>
      <c r="E279">
        <v>529.55360134003001</v>
      </c>
      <c r="F279">
        <v>140.51512605042001</v>
      </c>
      <c r="G279">
        <v>118.22268907563</v>
      </c>
      <c r="I279" s="9">
        <f t="shared" si="32"/>
        <v>411.33091226440001</v>
      </c>
      <c r="J279" s="9">
        <f t="shared" si="33"/>
        <v>1486.5016243683799</v>
      </c>
      <c r="K279" s="9">
        <f t="shared" si="31"/>
        <v>411.33091226440001</v>
      </c>
      <c r="L279" s="10">
        <f t="shared" si="30"/>
        <v>0.27671070486665367</v>
      </c>
      <c r="M279" s="10">
        <f t="shared" si="34"/>
        <v>0.31346366655384866</v>
      </c>
      <c r="P279" s="8">
        <f t="shared" si="35"/>
        <v>-12.749803288757636</v>
      </c>
    </row>
    <row r="280" spans="1:16" x14ac:dyDescent="0.2">
      <c r="A280" s="8">
        <v>139</v>
      </c>
      <c r="B280" s="8">
        <v>278</v>
      </c>
      <c r="D280">
        <v>1633.6398659967001</v>
      </c>
      <c r="E280">
        <v>551.74790619765997</v>
      </c>
      <c r="F280">
        <v>141.75126050419999</v>
      </c>
      <c r="G280">
        <v>118.11764705882</v>
      </c>
      <c r="I280" s="9">
        <f t="shared" si="32"/>
        <v>433.63025913883996</v>
      </c>
      <c r="J280" s="9">
        <f t="shared" si="33"/>
        <v>1491.8886054925001</v>
      </c>
      <c r="K280" s="9">
        <f t="shared" si="31"/>
        <v>433.63025913883996</v>
      </c>
      <c r="L280" s="10">
        <f t="shared" si="30"/>
        <v>0.29065860382765679</v>
      </c>
      <c r="M280" s="10">
        <f t="shared" si="34"/>
        <v>0.32754424768700774</v>
      </c>
      <c r="P280" s="8">
        <f t="shared" si="35"/>
        <v>-8.8305820048909371</v>
      </c>
    </row>
    <row r="281" spans="1:16" x14ac:dyDescent="0.2">
      <c r="A281" s="8">
        <v>139.5</v>
      </c>
      <c r="B281" s="8">
        <v>279</v>
      </c>
      <c r="D281">
        <v>1661.4656616415</v>
      </c>
      <c r="E281">
        <v>571.19932998324998</v>
      </c>
      <c r="F281">
        <v>140.66470588235001</v>
      </c>
      <c r="G281">
        <v>117.93781512605</v>
      </c>
      <c r="I281" s="9">
        <f t="shared" si="32"/>
        <v>453.26151485719998</v>
      </c>
      <c r="J281" s="9">
        <f t="shared" si="33"/>
        <v>1520.8009557591499</v>
      </c>
      <c r="K281" s="9">
        <f t="shared" si="31"/>
        <v>453.26151485719998</v>
      </c>
      <c r="L281" s="10">
        <f t="shared" si="30"/>
        <v>0.29804131378319787</v>
      </c>
      <c r="M281" s="10">
        <f t="shared" si="34"/>
        <v>0.33505963981470471</v>
      </c>
      <c r="P281" s="8">
        <f t="shared" si="35"/>
        <v>-6.738730503527095</v>
      </c>
    </row>
    <row r="282" spans="1:16" x14ac:dyDescent="0.2">
      <c r="A282" s="8">
        <v>140</v>
      </c>
      <c r="B282" s="8">
        <v>280</v>
      </c>
      <c r="D282">
        <v>1632.7822445561001</v>
      </c>
      <c r="E282">
        <v>561.62646566164005</v>
      </c>
      <c r="F282">
        <v>140.94621848739999</v>
      </c>
      <c r="G282">
        <v>117.96806722689</v>
      </c>
      <c r="I282" s="9">
        <f t="shared" si="32"/>
        <v>443.65839843475004</v>
      </c>
      <c r="J282" s="9">
        <f t="shared" si="33"/>
        <v>1491.8360260687</v>
      </c>
      <c r="K282" s="9">
        <f t="shared" si="31"/>
        <v>443.65839843475004</v>
      </c>
      <c r="L282" s="10">
        <f t="shared" si="30"/>
        <v>0.29739085977423585</v>
      </c>
      <c r="M282" s="10">
        <f t="shared" si="34"/>
        <v>0.33454186797789864</v>
      </c>
      <c r="P282" s="8">
        <f t="shared" si="35"/>
        <v>-6.8828483054705307</v>
      </c>
    </row>
    <row r="283" spans="1:16" x14ac:dyDescent="0.2">
      <c r="A283" s="8">
        <v>140.5</v>
      </c>
      <c r="B283" s="8">
        <v>281</v>
      </c>
      <c r="D283">
        <v>1591.7512562813999</v>
      </c>
      <c r="E283">
        <v>563.33417085427004</v>
      </c>
      <c r="F283">
        <v>140.92268907562999</v>
      </c>
      <c r="G283">
        <v>118.18739495798</v>
      </c>
      <c r="I283" s="9">
        <f t="shared" si="32"/>
        <v>445.14677589629002</v>
      </c>
      <c r="J283" s="9">
        <f t="shared" si="33"/>
        <v>1450.82856720577</v>
      </c>
      <c r="K283" s="9">
        <f t="shared" si="31"/>
        <v>445.14677589629002</v>
      </c>
      <c r="L283" s="10">
        <f t="shared" si="30"/>
        <v>0.30682245025931804</v>
      </c>
      <c r="M283" s="10">
        <f t="shared" si="34"/>
        <v>0.34410614063513678</v>
      </c>
      <c r="P283" s="8">
        <f t="shared" si="35"/>
        <v>-4.2207066929572621</v>
      </c>
    </row>
    <row r="284" spans="1:16" x14ac:dyDescent="0.2">
      <c r="A284" s="8">
        <v>141</v>
      </c>
      <c r="B284" s="8">
        <v>282</v>
      </c>
      <c r="D284">
        <v>1604.2790309106001</v>
      </c>
      <c r="E284">
        <v>548.25146198829998</v>
      </c>
      <c r="F284">
        <v>140.48403361345001</v>
      </c>
      <c r="G284">
        <v>118.07394957983</v>
      </c>
      <c r="I284" s="9">
        <f t="shared" si="32"/>
        <v>430.17751240846997</v>
      </c>
      <c r="J284" s="9">
        <f t="shared" si="33"/>
        <v>1463.7949972971501</v>
      </c>
      <c r="K284" s="9">
        <f t="shared" si="31"/>
        <v>430.17751240846997</v>
      </c>
      <c r="L284" s="10">
        <f t="shared" si="30"/>
        <v>0.29387825016670965</v>
      </c>
      <c r="M284" s="10">
        <f t="shared" si="34"/>
        <v>0.33129462271468435</v>
      </c>
      <c r="P284" s="8">
        <f t="shared" si="35"/>
        <v>-7.7866940082273643</v>
      </c>
    </row>
    <row r="285" spans="1:16" x14ac:dyDescent="0.2">
      <c r="A285" s="8">
        <v>141.5</v>
      </c>
      <c r="B285" s="8">
        <v>283</v>
      </c>
      <c r="D285">
        <v>1608.7535505430001</v>
      </c>
      <c r="E285">
        <v>541.71010860485001</v>
      </c>
      <c r="F285">
        <v>140.03949579831999</v>
      </c>
      <c r="G285">
        <v>118.2218487395</v>
      </c>
      <c r="I285" s="9">
        <f t="shared" si="32"/>
        <v>423.48825986535002</v>
      </c>
      <c r="J285" s="9">
        <f t="shared" si="33"/>
        <v>1468.7140547446802</v>
      </c>
      <c r="K285" s="9">
        <f t="shared" si="31"/>
        <v>423.48825986535002</v>
      </c>
      <c r="L285" s="10">
        <f t="shared" si="30"/>
        <v>0.28833948888639782</v>
      </c>
      <c r="M285" s="10">
        <f t="shared" si="34"/>
        <v>0.32588854360652841</v>
      </c>
      <c r="P285" s="8">
        <f t="shared" si="35"/>
        <v>-9.2914344804125673</v>
      </c>
    </row>
    <row r="286" spans="1:16" x14ac:dyDescent="0.2">
      <c r="A286" s="8">
        <v>142</v>
      </c>
      <c r="B286" s="8">
        <v>284</v>
      </c>
      <c r="D286">
        <v>1630.2514619883</v>
      </c>
      <c r="E286">
        <v>566.34586466165001</v>
      </c>
      <c r="F286">
        <v>140.77394957983</v>
      </c>
      <c r="G286">
        <v>117.86554621849</v>
      </c>
      <c r="I286" s="9">
        <f t="shared" si="32"/>
        <v>448.48031844316</v>
      </c>
      <c r="J286" s="9">
        <f t="shared" si="33"/>
        <v>1489.4775124084699</v>
      </c>
      <c r="K286" s="9">
        <f t="shared" si="31"/>
        <v>448.48031844316</v>
      </c>
      <c r="L286" s="10">
        <f t="shared" si="30"/>
        <v>0.3010990865635641</v>
      </c>
      <c r="M286" s="10">
        <f t="shared" si="34"/>
        <v>0.33878082345585064</v>
      </c>
      <c r="P286" s="8">
        <f t="shared" si="35"/>
        <v>-5.7029677044185565</v>
      </c>
    </row>
    <row r="287" spans="1:16" x14ac:dyDescent="0.2">
      <c r="A287" s="8">
        <v>142.5</v>
      </c>
      <c r="B287" s="8">
        <v>285</v>
      </c>
      <c r="D287">
        <v>1642.3199665831</v>
      </c>
      <c r="E287">
        <v>567.52798663324995</v>
      </c>
      <c r="F287">
        <v>140.41176470587999</v>
      </c>
      <c r="G287">
        <v>118.36302521008</v>
      </c>
      <c r="I287" s="9">
        <f t="shared" si="32"/>
        <v>449.16496142316998</v>
      </c>
      <c r="J287" s="9">
        <f t="shared" si="33"/>
        <v>1501.9082018772201</v>
      </c>
      <c r="K287" s="9">
        <f t="shared" si="31"/>
        <v>449.16496142316998</v>
      </c>
      <c r="L287" s="10">
        <f t="shared" si="30"/>
        <v>0.29906285940895933</v>
      </c>
      <c r="M287" s="10">
        <f t="shared" si="34"/>
        <v>0.33687727847340182</v>
      </c>
      <c r="P287" s="8">
        <f t="shared" si="35"/>
        <v>-6.2328047856766728</v>
      </c>
    </row>
    <row r="288" spans="1:16" x14ac:dyDescent="0.2">
      <c r="A288" s="8">
        <v>143</v>
      </c>
      <c r="B288" s="8">
        <v>286</v>
      </c>
      <c r="D288">
        <v>1648.4294068505001</v>
      </c>
      <c r="E288">
        <v>586.70258980785002</v>
      </c>
      <c r="F288">
        <v>140.62268907563001</v>
      </c>
      <c r="G288">
        <v>118.29075630251999</v>
      </c>
      <c r="I288" s="9">
        <f t="shared" si="32"/>
        <v>468.41183350533004</v>
      </c>
      <c r="J288" s="9">
        <f t="shared" si="33"/>
        <v>1507.8067177748701</v>
      </c>
      <c r="K288" s="9">
        <f t="shared" si="31"/>
        <v>468.41183350533004</v>
      </c>
      <c r="L288" s="10">
        <f t="shared" si="30"/>
        <v>0.31065774411496444</v>
      </c>
      <c r="M288" s="10">
        <f t="shared" si="34"/>
        <v>0.34860484535156289</v>
      </c>
      <c r="P288" s="8">
        <f t="shared" si="35"/>
        <v>-2.968526892442668</v>
      </c>
    </row>
    <row r="289" spans="1:16" x14ac:dyDescent="0.2">
      <c r="A289" s="8">
        <v>143.5</v>
      </c>
      <c r="B289" s="8">
        <v>287</v>
      </c>
      <c r="D289">
        <v>1622.5747702589999</v>
      </c>
      <c r="E289">
        <v>573.18629908104003</v>
      </c>
      <c r="F289">
        <v>140.23529411765</v>
      </c>
      <c r="G289">
        <v>117.71344537815</v>
      </c>
      <c r="I289" s="9">
        <f t="shared" si="32"/>
        <v>455.47285370289001</v>
      </c>
      <c r="J289" s="9">
        <f t="shared" si="33"/>
        <v>1482.3394761413499</v>
      </c>
      <c r="K289" s="9">
        <f t="shared" si="31"/>
        <v>455.47285370289001</v>
      </c>
      <c r="L289" s="10">
        <f t="shared" si="30"/>
        <v>0.30726622412331811</v>
      </c>
      <c r="M289" s="10">
        <f t="shared" si="34"/>
        <v>0.34534600753207245</v>
      </c>
      <c r="P289" s="8">
        <f t="shared" si="35"/>
        <v>-3.8755992939317632</v>
      </c>
    </row>
    <row r="290" spans="1:16" x14ac:dyDescent="0.2">
      <c r="A290" s="8">
        <v>144</v>
      </c>
      <c r="B290" s="8">
        <v>288</v>
      </c>
      <c r="D290">
        <v>1583.4837092732</v>
      </c>
      <c r="E290">
        <v>577.52715121135998</v>
      </c>
      <c r="F290">
        <v>140.22184873949999</v>
      </c>
      <c r="G290">
        <v>118.05714285713999</v>
      </c>
      <c r="I290" s="9">
        <f t="shared" si="32"/>
        <v>459.47000835422</v>
      </c>
      <c r="J290" s="9">
        <f t="shared" si="33"/>
        <v>1443.2618605337</v>
      </c>
      <c r="K290" s="9">
        <f t="shared" si="31"/>
        <v>459.47000835422</v>
      </c>
      <c r="L290" s="10">
        <f t="shared" si="30"/>
        <v>0.31835526242224249</v>
      </c>
      <c r="M290" s="10">
        <f t="shared" si="34"/>
        <v>0.35656772800315278</v>
      </c>
      <c r="P290" s="8">
        <f t="shared" si="35"/>
        <v>-0.75211985114875368</v>
      </c>
    </row>
    <row r="291" spans="1:16" x14ac:dyDescent="0.2">
      <c r="A291" s="8">
        <v>144.5</v>
      </c>
      <c r="B291" s="8">
        <v>289</v>
      </c>
      <c r="D291">
        <v>1569.6073517125999</v>
      </c>
      <c r="E291">
        <v>561.22639933165999</v>
      </c>
      <c r="F291">
        <v>141.25714285714</v>
      </c>
      <c r="G291">
        <v>118.06806722688999</v>
      </c>
      <c r="I291" s="9">
        <f t="shared" si="32"/>
        <v>443.15833210477001</v>
      </c>
      <c r="J291" s="9">
        <f t="shared" si="33"/>
        <v>1428.3502088554599</v>
      </c>
      <c r="K291" s="9">
        <f t="shared" si="31"/>
        <v>443.15833210477001</v>
      </c>
      <c r="L291" s="10">
        <f t="shared" si="30"/>
        <v>0.31025887723982887</v>
      </c>
      <c r="M291" s="10">
        <f t="shared" si="34"/>
        <v>0.34860402499289511</v>
      </c>
      <c r="P291" s="8">
        <f t="shared" si="35"/>
        <v>-2.9687552329579305</v>
      </c>
    </row>
    <row r="292" spans="1:16" x14ac:dyDescent="0.2">
      <c r="A292" s="8">
        <v>145</v>
      </c>
      <c r="B292" s="8">
        <v>290</v>
      </c>
      <c r="D292">
        <v>1563.7535505430001</v>
      </c>
      <c r="E292">
        <v>555.13617376775005</v>
      </c>
      <c r="F292">
        <v>140.56218487395</v>
      </c>
      <c r="G292">
        <v>117.88739495798001</v>
      </c>
      <c r="I292" s="9">
        <f>E292-G292</f>
        <v>437.24877880977004</v>
      </c>
      <c r="J292" s="9">
        <f>D292-F292</f>
        <v>1423.1913656690501</v>
      </c>
      <c r="K292" s="9">
        <f t="shared" si="31"/>
        <v>437.24877880977004</v>
      </c>
      <c r="L292" s="10">
        <f t="shared" si="30"/>
        <v>0.30723119136140697</v>
      </c>
      <c r="M292" s="10">
        <f>L292+ABS($N$2)*A292</f>
        <v>0.34570902128662917</v>
      </c>
      <c r="O292" s="11"/>
      <c r="P292" s="8">
        <f>(M292-$O$2)/$O$2*100</f>
        <v>-3.7745572119508859</v>
      </c>
    </row>
    <row r="293" spans="1:16" x14ac:dyDescent="0.2">
      <c r="A293" s="8">
        <v>145.5</v>
      </c>
      <c r="B293" s="8">
        <v>291</v>
      </c>
      <c r="D293">
        <v>1632.6299081036</v>
      </c>
      <c r="E293">
        <v>599.91562238930999</v>
      </c>
      <c r="F293">
        <v>140.91512605042001</v>
      </c>
      <c r="G293">
        <v>118.03697478992</v>
      </c>
      <c r="I293" s="9">
        <f t="shared" ref="I293:I301" si="36">E293-G293</f>
        <v>481.87864759938998</v>
      </c>
      <c r="J293" s="9">
        <f t="shared" ref="J293:J301" si="37">D293-F293</f>
        <v>1491.71478205318</v>
      </c>
      <c r="K293" s="9">
        <f t="shared" si="31"/>
        <v>481.87864759938998</v>
      </c>
      <c r="L293" s="10">
        <f t="shared" si="30"/>
        <v>0.32303671814268509</v>
      </c>
      <c r="M293" s="10">
        <f t="shared" ref="M293:M301" si="38">L293+ABS($N$2)*A293</f>
        <v>0.36164723024006318</v>
      </c>
      <c r="P293" s="8">
        <f t="shared" ref="P293:P301" si="39">(M293-$O$2)/$O$2*100</f>
        <v>0.66172046482130809</v>
      </c>
    </row>
    <row r="294" spans="1:16" x14ac:dyDescent="0.2">
      <c r="A294" s="8">
        <v>146</v>
      </c>
      <c r="B294" s="8">
        <v>292</v>
      </c>
      <c r="D294">
        <v>1632.1670843776001</v>
      </c>
      <c r="E294">
        <v>588.78362573099002</v>
      </c>
      <c r="F294">
        <v>140.44705882353</v>
      </c>
      <c r="G294">
        <v>118.23025210084</v>
      </c>
      <c r="I294" s="9">
        <f t="shared" si="36"/>
        <v>470.55337363015002</v>
      </c>
      <c r="J294" s="9">
        <f t="shared" si="37"/>
        <v>1491.7200255540702</v>
      </c>
      <c r="K294" s="9">
        <f t="shared" si="31"/>
        <v>470.55337363015002</v>
      </c>
      <c r="L294" s="10">
        <f t="shared" si="30"/>
        <v>0.31544349178752373</v>
      </c>
      <c r="M294" s="10">
        <f t="shared" si="38"/>
        <v>0.35418668605705778</v>
      </c>
      <c r="N294" s="1"/>
      <c r="P294" s="8">
        <f t="shared" si="39"/>
        <v>-1.4148645336774412</v>
      </c>
    </row>
    <row r="295" spans="1:16" x14ac:dyDescent="0.2">
      <c r="A295" s="8">
        <v>146.5</v>
      </c>
      <c r="B295" s="8">
        <v>293</v>
      </c>
      <c r="D295">
        <v>1639.5505430241999</v>
      </c>
      <c r="E295">
        <v>616.53801169590997</v>
      </c>
      <c r="F295">
        <v>140.51848739496</v>
      </c>
      <c r="G295">
        <v>118.12100840335999</v>
      </c>
      <c r="I295" s="9">
        <f t="shared" si="36"/>
        <v>498.41700329254996</v>
      </c>
      <c r="J295" s="9">
        <f t="shared" si="37"/>
        <v>1499.0320556292399</v>
      </c>
      <c r="K295" s="9">
        <f t="shared" si="31"/>
        <v>498.41700329254996</v>
      </c>
      <c r="L295" s="10">
        <f t="shared" si="30"/>
        <v>0.33249255839517877</v>
      </c>
      <c r="M295" s="10">
        <f t="shared" si="38"/>
        <v>0.37136843483686877</v>
      </c>
      <c r="P295" s="8">
        <f t="shared" si="39"/>
        <v>3.3675428737345787</v>
      </c>
    </row>
    <row r="296" spans="1:16" x14ac:dyDescent="0.2">
      <c r="A296" s="8">
        <v>147</v>
      </c>
      <c r="B296" s="8">
        <v>294</v>
      </c>
      <c r="D296">
        <v>1656.5271512114</v>
      </c>
      <c r="E296">
        <v>608.33500417711002</v>
      </c>
      <c r="F296">
        <v>140.55462184874</v>
      </c>
      <c r="G296">
        <v>117.64789915966</v>
      </c>
      <c r="I296" s="9">
        <f t="shared" si="36"/>
        <v>490.68710501744999</v>
      </c>
      <c r="J296" s="9">
        <f t="shared" si="37"/>
        <v>1515.97252936266</v>
      </c>
      <c r="K296" s="9">
        <f t="shared" si="31"/>
        <v>490.68710501744999</v>
      </c>
      <c r="L296" s="10">
        <f t="shared" si="30"/>
        <v>0.32367809806140946</v>
      </c>
      <c r="M296" s="10">
        <f t="shared" si="38"/>
        <v>0.3626866566752554</v>
      </c>
      <c r="P296" s="8">
        <f t="shared" si="39"/>
        <v>0.95103680548182223</v>
      </c>
    </row>
    <row r="297" spans="1:16" x14ac:dyDescent="0.2">
      <c r="A297" s="8">
        <v>147.5</v>
      </c>
      <c r="B297" s="8">
        <v>295</v>
      </c>
      <c r="D297">
        <v>1636.6399331662999</v>
      </c>
      <c r="E297">
        <v>589.91729323308004</v>
      </c>
      <c r="F297">
        <v>140.61680672269</v>
      </c>
      <c r="G297">
        <v>117.63445378151</v>
      </c>
      <c r="I297" s="9">
        <f t="shared" si="36"/>
        <v>472.28283945157006</v>
      </c>
      <c r="J297" s="9">
        <f t="shared" si="37"/>
        <v>1496.02312644361</v>
      </c>
      <c r="K297" s="9">
        <f t="shared" si="31"/>
        <v>472.28283945157006</v>
      </c>
      <c r="L297" s="10">
        <f t="shared" si="30"/>
        <v>0.31569220495561101</v>
      </c>
      <c r="M297" s="10">
        <f t="shared" si="38"/>
        <v>0.35483344574161291</v>
      </c>
      <c r="P297" s="8">
        <f t="shared" si="39"/>
        <v>-1.2348439580148312</v>
      </c>
    </row>
    <row r="298" spans="1:16" x14ac:dyDescent="0.2">
      <c r="A298" s="8">
        <v>148</v>
      </c>
      <c r="B298" s="8">
        <v>296</v>
      </c>
      <c r="D298">
        <v>1645.1629072681999</v>
      </c>
      <c r="E298">
        <v>611.18212197160005</v>
      </c>
      <c r="F298">
        <v>140.24957983192999</v>
      </c>
      <c r="G298">
        <v>117.5462184874</v>
      </c>
      <c r="I298" s="9">
        <f t="shared" si="36"/>
        <v>493.63590348420007</v>
      </c>
      <c r="J298" s="9">
        <f t="shared" si="37"/>
        <v>1504.9133274362698</v>
      </c>
      <c r="K298" s="9">
        <f t="shared" si="31"/>
        <v>493.63590348420007</v>
      </c>
      <c r="L298" s="10">
        <f t="shared" si="30"/>
        <v>0.3280161684295434</v>
      </c>
      <c r="M298" s="10">
        <f t="shared" si="38"/>
        <v>0.36729009138770119</v>
      </c>
      <c r="P298" s="8">
        <f t="shared" si="39"/>
        <v>2.2323673935653323</v>
      </c>
    </row>
    <row r="299" spans="1:16" x14ac:dyDescent="0.2">
      <c r="A299" s="8">
        <v>148.5</v>
      </c>
      <c r="B299" s="8">
        <v>297</v>
      </c>
      <c r="D299">
        <v>1670.1829573934999</v>
      </c>
      <c r="E299">
        <v>620.43024227235003</v>
      </c>
      <c r="F299">
        <v>140.1218487395</v>
      </c>
      <c r="G299">
        <v>117.76638655462</v>
      </c>
      <c r="I299" s="9">
        <f t="shared" si="36"/>
        <v>502.66385571773003</v>
      </c>
      <c r="J299" s="9">
        <f t="shared" si="37"/>
        <v>1530.061108654</v>
      </c>
      <c r="K299" s="9">
        <f t="shared" si="31"/>
        <v>502.66385571773003</v>
      </c>
      <c r="L299" s="10">
        <f t="shared" si="30"/>
        <v>0.32852534638954722</v>
      </c>
      <c r="M299" s="10">
        <f t="shared" si="38"/>
        <v>0.36793195151986097</v>
      </c>
      <c r="P299" s="8">
        <f t="shared" si="39"/>
        <v>2.4110242165640647</v>
      </c>
    </row>
    <row r="300" spans="1:16" x14ac:dyDescent="0.2">
      <c r="A300" s="8">
        <v>149</v>
      </c>
      <c r="B300" s="8">
        <v>298</v>
      </c>
      <c r="D300">
        <v>1676.8629908104001</v>
      </c>
      <c r="E300">
        <v>625.80534670008001</v>
      </c>
      <c r="F300">
        <v>140.21092436974999</v>
      </c>
      <c r="G300">
        <v>118.01680672269001</v>
      </c>
      <c r="I300" s="9">
        <f t="shared" si="36"/>
        <v>507.78853997738997</v>
      </c>
      <c r="J300" s="9">
        <f t="shared" si="37"/>
        <v>1536.6520664406501</v>
      </c>
      <c r="K300" s="9">
        <f t="shared" si="31"/>
        <v>507.78853997738997</v>
      </c>
      <c r="L300" s="10">
        <f t="shared" si="30"/>
        <v>0.33045121343153594</v>
      </c>
      <c r="M300" s="10">
        <f t="shared" si="38"/>
        <v>0.36999050073400563</v>
      </c>
      <c r="P300" s="8">
        <f t="shared" si="39"/>
        <v>2.9840055315868743</v>
      </c>
    </row>
    <row r="301" spans="1:16" x14ac:dyDescent="0.2">
      <c r="A301" s="8">
        <v>149.5</v>
      </c>
      <c r="B301" s="8">
        <v>299</v>
      </c>
      <c r="D301">
        <v>1666.1161236424</v>
      </c>
      <c r="E301">
        <v>615.95321637427003</v>
      </c>
      <c r="F301">
        <v>140.41008403360999</v>
      </c>
      <c r="G301">
        <v>117.50672268907999</v>
      </c>
      <c r="I301" s="9">
        <f t="shared" si="36"/>
        <v>498.44649368519003</v>
      </c>
      <c r="J301" s="9">
        <f t="shared" si="37"/>
        <v>1525.70603960879</v>
      </c>
      <c r="K301" s="9">
        <f t="shared" si="31"/>
        <v>498.44649368519003</v>
      </c>
      <c r="L301" s="10">
        <f t="shared" si="30"/>
        <v>0.32669890578200628</v>
      </c>
      <c r="M301" s="10">
        <f t="shared" si="38"/>
        <v>0.36637087525663192</v>
      </c>
      <c r="P301" s="8">
        <f t="shared" si="39"/>
        <v>1.9765106649764608</v>
      </c>
    </row>
    <row r="302" spans="1:16" x14ac:dyDescent="0.2">
      <c r="A302" s="8">
        <v>150</v>
      </c>
      <c r="B302" s="8">
        <v>300</v>
      </c>
      <c r="D302">
        <v>1678.5547201336999</v>
      </c>
      <c r="E302">
        <v>628.91311612363995</v>
      </c>
      <c r="F302">
        <v>140.11764705882001</v>
      </c>
      <c r="G302">
        <v>117.56050420168</v>
      </c>
      <c r="I302" s="9">
        <f>E302-G302</f>
        <v>511.35261192195992</v>
      </c>
      <c r="J302" s="9">
        <f>D302-F302</f>
        <v>1538.4370730748799</v>
      </c>
      <c r="K302" s="9">
        <f t="shared" si="31"/>
        <v>511.35261192195992</v>
      </c>
      <c r="L302" s="10">
        <f t="shared" si="30"/>
        <v>0.33238448349396416</v>
      </c>
      <c r="M302" s="10">
        <f>L302+ABS($N$2)*A302</f>
        <v>0.3721891351407457</v>
      </c>
      <c r="O302" s="11"/>
      <c r="P302" s="8">
        <f>(M302-$O$2)/$O$2*100</f>
        <v>3.595978480774662</v>
      </c>
    </row>
    <row r="303" spans="1:16" x14ac:dyDescent="0.2">
      <c r="A303" s="8">
        <v>150.5</v>
      </c>
      <c r="B303" s="8">
        <v>301</v>
      </c>
      <c r="D303">
        <v>1653.0275689222999</v>
      </c>
      <c r="E303">
        <v>605.08521303257999</v>
      </c>
      <c r="F303">
        <v>140.28151260504001</v>
      </c>
      <c r="G303">
        <v>117.49915966387</v>
      </c>
      <c r="I303" s="9">
        <f t="shared" ref="I303:I309" si="40">E303-G303</f>
        <v>487.58605336871</v>
      </c>
      <c r="J303" s="9">
        <f t="shared" ref="J303:J309" si="41">D303-F303</f>
        <v>1512.7460563172599</v>
      </c>
      <c r="K303" s="9">
        <f t="shared" si="31"/>
        <v>487.58605336871</v>
      </c>
      <c r="L303" s="10">
        <f t="shared" si="30"/>
        <v>0.32231850900059544</v>
      </c>
      <c r="M303" s="10">
        <f t="shared" ref="M303:M309" si="42">L303+ABS($N$2)*A303</f>
        <v>0.36225584281953294</v>
      </c>
      <c r="P303" s="8">
        <f t="shared" ref="P303:P309" si="43">(M303-$O$2)/$O$2*100</f>
        <v>0.83112308766260945</v>
      </c>
    </row>
    <row r="304" spans="1:16" x14ac:dyDescent="0.2">
      <c r="A304" s="8">
        <v>151</v>
      </c>
      <c r="B304" s="8">
        <v>302</v>
      </c>
      <c r="D304">
        <v>1671.0693400166999</v>
      </c>
      <c r="E304">
        <v>621.81787802839995</v>
      </c>
      <c r="F304">
        <v>140.04117647058999</v>
      </c>
      <c r="G304">
        <v>117.58991596639</v>
      </c>
      <c r="I304" s="9">
        <f t="shared" si="40"/>
        <v>504.22796206200996</v>
      </c>
      <c r="J304" s="9">
        <f t="shared" si="41"/>
        <v>1531.0281635461099</v>
      </c>
      <c r="K304" s="9">
        <f t="shared" si="31"/>
        <v>504.22796206200996</v>
      </c>
      <c r="L304" s="10">
        <f t="shared" si="30"/>
        <v>0.32933944264887727</v>
      </c>
      <c r="M304" s="10">
        <f t="shared" si="42"/>
        <v>0.36940945863997071</v>
      </c>
      <c r="N304" s="1"/>
      <c r="P304" s="8">
        <f t="shared" si="43"/>
        <v>2.8222769409677428</v>
      </c>
    </row>
    <row r="305" spans="1:16" x14ac:dyDescent="0.2">
      <c r="A305" s="8">
        <v>151.5</v>
      </c>
      <c r="B305" s="8">
        <v>303</v>
      </c>
      <c r="D305">
        <v>1654.7017543859999</v>
      </c>
      <c r="E305">
        <v>595.21637426900998</v>
      </c>
      <c r="F305">
        <v>140.37478991597001</v>
      </c>
      <c r="G305">
        <v>117.59243697479</v>
      </c>
      <c r="I305" s="9">
        <f t="shared" si="40"/>
        <v>477.62393729421996</v>
      </c>
      <c r="J305" s="9">
        <f t="shared" si="41"/>
        <v>1514.3269644700299</v>
      </c>
      <c r="K305" s="9">
        <f t="shared" si="31"/>
        <v>477.62393729421996</v>
      </c>
      <c r="L305" s="10">
        <f t="shared" si="30"/>
        <v>0.31540344225553318</v>
      </c>
      <c r="M305" s="10">
        <f t="shared" si="42"/>
        <v>0.35560614041878258</v>
      </c>
      <c r="P305" s="8">
        <f t="shared" si="43"/>
        <v>-1.0197703473410329</v>
      </c>
    </row>
    <row r="306" spans="1:16" x14ac:dyDescent="0.2">
      <c r="A306" s="8">
        <v>152</v>
      </c>
      <c r="B306" s="8">
        <v>304</v>
      </c>
      <c r="D306">
        <v>1667.9816207184999</v>
      </c>
      <c r="E306">
        <v>602.74352548036995</v>
      </c>
      <c r="F306">
        <v>140.56638655462001</v>
      </c>
      <c r="G306">
        <v>117.29831932773</v>
      </c>
      <c r="I306" s="9">
        <f t="shared" si="40"/>
        <v>485.44520615263997</v>
      </c>
      <c r="J306" s="9">
        <f t="shared" si="41"/>
        <v>1527.4152341638799</v>
      </c>
      <c r="K306" s="9">
        <f t="shared" si="31"/>
        <v>485.44520615263997</v>
      </c>
      <c r="L306" s="10">
        <f t="shared" si="30"/>
        <v>0.3178213725348738</v>
      </c>
      <c r="M306" s="10">
        <f t="shared" si="42"/>
        <v>0.35815675287027915</v>
      </c>
      <c r="P306" s="8">
        <f t="shared" si="43"/>
        <v>-0.30982702097791076</v>
      </c>
    </row>
    <row r="307" spans="1:16" x14ac:dyDescent="0.2">
      <c r="A307" s="8">
        <v>152.5</v>
      </c>
      <c r="B307" s="8">
        <v>305</v>
      </c>
      <c r="D307">
        <v>1587.6421404682001</v>
      </c>
      <c r="E307">
        <v>566.77675585283998</v>
      </c>
      <c r="F307">
        <v>139.87058823529</v>
      </c>
      <c r="G307">
        <v>117.61176470588001</v>
      </c>
      <c r="I307" s="9">
        <f t="shared" si="40"/>
        <v>449.16499114696001</v>
      </c>
      <c r="J307" s="9">
        <f t="shared" si="41"/>
        <v>1447.7715522329102</v>
      </c>
      <c r="K307" s="9">
        <f t="shared" si="31"/>
        <v>449.16499114696001</v>
      </c>
      <c r="L307" s="10">
        <f t="shared" si="30"/>
        <v>0.31024576388050246</v>
      </c>
      <c r="M307" s="10">
        <f t="shared" si="42"/>
        <v>0.3507138263880637</v>
      </c>
      <c r="P307" s="8">
        <f t="shared" si="43"/>
        <v>-2.3815082681857302</v>
      </c>
    </row>
    <row r="308" spans="1:16" x14ac:dyDescent="0.2">
      <c r="A308" s="8">
        <v>153</v>
      </c>
      <c r="B308" s="8">
        <v>306</v>
      </c>
      <c r="D308">
        <v>1594.7918060201</v>
      </c>
      <c r="E308">
        <v>572.46321070234001</v>
      </c>
      <c r="F308">
        <v>139.89411764706</v>
      </c>
      <c r="G308">
        <v>117.74537815126</v>
      </c>
      <c r="I308" s="9">
        <f t="shared" si="40"/>
        <v>454.71783255107999</v>
      </c>
      <c r="J308" s="9">
        <f t="shared" si="41"/>
        <v>1454.89768837304</v>
      </c>
      <c r="K308" s="9">
        <f t="shared" si="31"/>
        <v>454.71783255107999</v>
      </c>
      <c r="L308" s="10">
        <f t="shared" si="30"/>
        <v>0.31254282427211405</v>
      </c>
      <c r="M308" s="10">
        <f t="shared" si="42"/>
        <v>0.35314356895183124</v>
      </c>
      <c r="P308" s="8">
        <f t="shared" si="43"/>
        <v>-1.705208143909672</v>
      </c>
    </row>
    <row r="309" spans="1:16" x14ac:dyDescent="0.2">
      <c r="A309" s="8">
        <v>153.5</v>
      </c>
      <c r="B309" s="8">
        <v>307</v>
      </c>
      <c r="D309">
        <v>1633.5752508360999</v>
      </c>
      <c r="E309">
        <v>584.70735785953002</v>
      </c>
      <c r="F309">
        <v>140.35546218486999</v>
      </c>
      <c r="G309">
        <v>117.64537815126</v>
      </c>
      <c r="I309" s="9">
        <f t="shared" si="40"/>
        <v>467.06197970827003</v>
      </c>
      <c r="J309" s="9">
        <f t="shared" si="41"/>
        <v>1493.2197886512299</v>
      </c>
      <c r="K309" s="9">
        <f t="shared" si="31"/>
        <v>467.06197970827003</v>
      </c>
      <c r="L309" s="10">
        <f t="shared" si="30"/>
        <v>0.3127885012360771</v>
      </c>
      <c r="M309" s="10">
        <f t="shared" si="42"/>
        <v>0.35352192808795024</v>
      </c>
      <c r="P309" s="8">
        <f t="shared" si="43"/>
        <v>-1.5998947931893024</v>
      </c>
    </row>
    <row r="310" spans="1:16" x14ac:dyDescent="0.2">
      <c r="A310" s="8">
        <v>154</v>
      </c>
      <c r="B310" s="8">
        <v>308</v>
      </c>
      <c r="D310">
        <v>1603.2633779263999</v>
      </c>
      <c r="E310">
        <v>556.52508361204002</v>
      </c>
      <c r="F310">
        <v>140.20168067226999</v>
      </c>
      <c r="G310">
        <v>116.95210084033999</v>
      </c>
      <c r="I310" s="9">
        <f>E310-G310</f>
        <v>439.57298277170003</v>
      </c>
      <c r="J310" s="9">
        <f>D310-F310</f>
        <v>1463.06169725413</v>
      </c>
      <c r="K310" s="9">
        <f t="shared" si="31"/>
        <v>439.57298277170003</v>
      </c>
      <c r="L310" s="10">
        <f t="shared" si="30"/>
        <v>0.30044733150808972</v>
      </c>
      <c r="M310" s="10">
        <f>L310+ABS($N$2)*A310</f>
        <v>0.34131344053211882</v>
      </c>
      <c r="O310" s="11"/>
      <c r="P310" s="8">
        <f>(M310-$O$2)/$O$2*100</f>
        <v>-4.9980332521167625</v>
      </c>
    </row>
    <row r="311" spans="1:16" x14ac:dyDescent="0.2">
      <c r="A311" s="8">
        <v>154.5</v>
      </c>
      <c r="B311" s="8">
        <v>309</v>
      </c>
      <c r="D311">
        <v>1604.7533444815999</v>
      </c>
      <c r="E311">
        <v>565.17307692307998</v>
      </c>
      <c r="F311">
        <v>139.72773109244</v>
      </c>
      <c r="G311">
        <v>117.7756302521</v>
      </c>
      <c r="I311" s="9">
        <f t="shared" ref="I311:I319" si="44">E311-G311</f>
        <v>447.39744667098</v>
      </c>
      <c r="J311" s="9">
        <f t="shared" ref="J311:J319" si="45">D311-F311</f>
        <v>1465.0256133891598</v>
      </c>
      <c r="K311" s="9">
        <f t="shared" si="31"/>
        <v>447.39744667098</v>
      </c>
      <c r="L311" s="10">
        <f t="shared" si="30"/>
        <v>0.30538540936221586</v>
      </c>
      <c r="M311" s="10">
        <f t="shared" ref="M311:M319" si="46">L311+ABS($N$2)*A311</f>
        <v>0.34638420055840086</v>
      </c>
      <c r="P311" s="8">
        <f t="shared" ref="P311:P319" si="47">(M311-$O$2)/$O$2*100</f>
        <v>-3.5866262631265085</v>
      </c>
    </row>
    <row r="312" spans="1:16" x14ac:dyDescent="0.2">
      <c r="A312" s="8">
        <v>155</v>
      </c>
      <c r="B312" s="8">
        <v>310</v>
      </c>
      <c r="D312">
        <v>1598.8285004142999</v>
      </c>
      <c r="E312">
        <v>549.68848384423995</v>
      </c>
      <c r="F312">
        <v>140.03781512604999</v>
      </c>
      <c r="G312">
        <v>117.46470588235</v>
      </c>
      <c r="I312" s="9">
        <f t="shared" si="44"/>
        <v>432.22377796188994</v>
      </c>
      <c r="J312" s="9">
        <f t="shared" si="45"/>
        <v>1458.79068528825</v>
      </c>
      <c r="K312" s="9">
        <f t="shared" si="31"/>
        <v>432.22377796188994</v>
      </c>
      <c r="L312" s="10">
        <f t="shared" si="30"/>
        <v>0.29628909912903961</v>
      </c>
      <c r="M312" s="10">
        <f t="shared" si="46"/>
        <v>0.33742057249738056</v>
      </c>
      <c r="N312" s="1"/>
      <c r="P312" s="8">
        <f t="shared" si="47"/>
        <v>-6.081583079552578</v>
      </c>
    </row>
    <row r="313" spans="1:16" x14ac:dyDescent="0.2">
      <c r="A313" s="8">
        <v>155.5</v>
      </c>
      <c r="B313" s="8">
        <v>311</v>
      </c>
      <c r="D313">
        <v>1588.4705882353001</v>
      </c>
      <c r="E313">
        <v>536.55509527754998</v>
      </c>
      <c r="F313">
        <v>139.57647058824</v>
      </c>
      <c r="G313">
        <v>117.52268907563</v>
      </c>
      <c r="I313" s="9">
        <f t="shared" si="44"/>
        <v>419.03240620191997</v>
      </c>
      <c r="J313" s="9">
        <f t="shared" si="45"/>
        <v>1448.8941176470601</v>
      </c>
      <c r="K313" s="9">
        <f t="shared" si="31"/>
        <v>419.03240620191997</v>
      </c>
      <c r="L313" s="10">
        <f t="shared" si="30"/>
        <v>0.28920843911107186</v>
      </c>
      <c r="M313" s="10">
        <f t="shared" si="46"/>
        <v>0.33047259465156875</v>
      </c>
      <c r="P313" s="8">
        <f t="shared" si="47"/>
        <v>-8.0154991868226855</v>
      </c>
    </row>
    <row r="314" spans="1:16" x14ac:dyDescent="0.2">
      <c r="A314" s="8">
        <v>156</v>
      </c>
      <c r="B314" s="8">
        <v>312</v>
      </c>
      <c r="D314">
        <v>1608.0099420050001</v>
      </c>
      <c r="E314">
        <v>551.27671913836002</v>
      </c>
      <c r="F314">
        <v>140.02521008402999</v>
      </c>
      <c r="G314">
        <v>117.30336134453999</v>
      </c>
      <c r="I314" s="9">
        <f t="shared" si="44"/>
        <v>433.97335779382001</v>
      </c>
      <c r="J314" s="9">
        <f t="shared" si="45"/>
        <v>1467.98473192097</v>
      </c>
      <c r="K314" s="9">
        <f t="shared" si="31"/>
        <v>433.97335779382001</v>
      </c>
      <c r="L314" s="10">
        <f t="shared" si="30"/>
        <v>0.29562525301331488</v>
      </c>
      <c r="M314" s="10">
        <f t="shared" si="46"/>
        <v>0.33702209072596773</v>
      </c>
      <c r="P314" s="8">
        <f t="shared" si="47"/>
        <v>-6.1924974107854167</v>
      </c>
    </row>
    <row r="315" spans="1:16" x14ac:dyDescent="0.2">
      <c r="A315" s="8">
        <v>156.5</v>
      </c>
      <c r="B315" s="8">
        <v>313</v>
      </c>
      <c r="D315">
        <v>1616.4291632146001</v>
      </c>
      <c r="E315">
        <v>575.27506213752997</v>
      </c>
      <c r="F315">
        <v>139.34705882353001</v>
      </c>
      <c r="G315">
        <v>117.34789915966</v>
      </c>
      <c r="I315" s="9">
        <f t="shared" si="44"/>
        <v>457.92716297786995</v>
      </c>
      <c r="J315" s="9">
        <f t="shared" si="45"/>
        <v>1477.0821043910701</v>
      </c>
      <c r="K315" s="9">
        <f t="shared" si="31"/>
        <v>457.92716297786995</v>
      </c>
      <c r="L315" s="10">
        <f t="shared" si="30"/>
        <v>0.31002146841840678</v>
      </c>
      <c r="M315" s="10">
        <f t="shared" si="46"/>
        <v>0.35155098830321552</v>
      </c>
      <c r="P315" s="8">
        <f t="shared" si="47"/>
        <v>-2.1484906984649061</v>
      </c>
    </row>
    <row r="316" spans="1:16" x14ac:dyDescent="0.2">
      <c r="A316" s="8">
        <v>157</v>
      </c>
      <c r="B316" s="8">
        <v>314</v>
      </c>
      <c r="D316">
        <v>1578.8220551377999</v>
      </c>
      <c r="E316">
        <v>590.39933166249</v>
      </c>
      <c r="F316">
        <v>140.03361344538001</v>
      </c>
      <c r="G316">
        <v>117.71596638656</v>
      </c>
      <c r="I316" s="9">
        <f t="shared" si="44"/>
        <v>472.68336527592999</v>
      </c>
      <c r="J316" s="9">
        <f t="shared" si="45"/>
        <v>1438.7884416924198</v>
      </c>
      <c r="K316" s="9">
        <f t="shared" si="31"/>
        <v>472.68336527592999</v>
      </c>
      <c r="L316" s="10">
        <f t="shared" si="30"/>
        <v>0.32852874792344133</v>
      </c>
      <c r="M316" s="10">
        <f t="shared" si="46"/>
        <v>0.37019094998040603</v>
      </c>
      <c r="P316" s="8">
        <f t="shared" si="47"/>
        <v>3.0397990350934441</v>
      </c>
    </row>
    <row r="317" spans="1:16" x14ac:dyDescent="0.2">
      <c r="A317" s="8">
        <v>157.5</v>
      </c>
      <c r="B317" s="8">
        <v>315</v>
      </c>
      <c r="D317">
        <v>1613.4218880535</v>
      </c>
      <c r="E317">
        <v>603.53550543024005</v>
      </c>
      <c r="F317">
        <v>139.57226890755999</v>
      </c>
      <c r="G317">
        <v>117.66302521007999</v>
      </c>
      <c r="I317" s="9">
        <f t="shared" si="44"/>
        <v>485.87248022016007</v>
      </c>
      <c r="J317" s="9">
        <f t="shared" si="45"/>
        <v>1473.8496191459399</v>
      </c>
      <c r="K317" s="9">
        <f t="shared" si="31"/>
        <v>485.87248022016007</v>
      </c>
      <c r="L317" s="10">
        <f t="shared" si="30"/>
        <v>0.32966218120795215</v>
      </c>
      <c r="M317" s="10">
        <f t="shared" si="46"/>
        <v>0.3714570654370728</v>
      </c>
      <c r="P317" s="8">
        <f t="shared" si="47"/>
        <v>3.3922125185053833</v>
      </c>
    </row>
    <row r="318" spans="1:16" x14ac:dyDescent="0.2">
      <c r="A318" s="8">
        <v>158</v>
      </c>
      <c r="B318" s="8">
        <v>316</v>
      </c>
      <c r="D318">
        <v>1620.4966832504001</v>
      </c>
      <c r="E318">
        <v>606.62023217246997</v>
      </c>
      <c r="F318">
        <v>139.71008403361</v>
      </c>
      <c r="G318">
        <v>117.96470588235</v>
      </c>
      <c r="I318" s="9">
        <f t="shared" si="44"/>
        <v>488.65552629011995</v>
      </c>
      <c r="J318" s="9">
        <f t="shared" si="45"/>
        <v>1480.7865992167901</v>
      </c>
      <c r="K318" s="9">
        <f t="shared" si="31"/>
        <v>488.65552629011995</v>
      </c>
      <c r="L318" s="10">
        <f t="shared" si="30"/>
        <v>0.32999726398697626</v>
      </c>
      <c r="M318" s="10">
        <f t="shared" si="46"/>
        <v>0.37192483038825286</v>
      </c>
      <c r="P318" s="8">
        <f t="shared" si="47"/>
        <v>3.52241128907988</v>
      </c>
    </row>
    <row r="319" spans="1:16" x14ac:dyDescent="0.2">
      <c r="A319" s="8">
        <v>158.5</v>
      </c>
      <c r="B319" s="8">
        <v>317</v>
      </c>
      <c r="D319">
        <v>1610.0597014924999</v>
      </c>
      <c r="E319">
        <v>594.45439469320002</v>
      </c>
      <c r="F319">
        <v>139.49411764705999</v>
      </c>
      <c r="G319">
        <v>117.74957983193001</v>
      </c>
      <c r="I319" s="9">
        <f t="shared" si="44"/>
        <v>476.70481486126999</v>
      </c>
      <c r="J319" s="9">
        <f t="shared" si="45"/>
        <v>1470.56558384544</v>
      </c>
      <c r="K319" s="9">
        <f t="shared" si="31"/>
        <v>476.70481486126999</v>
      </c>
      <c r="L319" s="10">
        <f t="shared" si="30"/>
        <v>0.32416426720304153</v>
      </c>
      <c r="M319" s="10">
        <f t="shared" si="46"/>
        <v>0.36622451577647408</v>
      </c>
      <c r="P319" s="8">
        <f t="shared" si="47"/>
        <v>1.935772631204584</v>
      </c>
    </row>
    <row r="320" spans="1:16" x14ac:dyDescent="0.2">
      <c r="A320" s="8">
        <v>159</v>
      </c>
      <c r="B320" s="8">
        <v>318</v>
      </c>
      <c r="D320">
        <v>1624.6583747927</v>
      </c>
      <c r="E320">
        <v>608.16169154228999</v>
      </c>
      <c r="F320">
        <v>139.54117647058999</v>
      </c>
      <c r="G320">
        <v>117.25462184874</v>
      </c>
      <c r="I320" s="9">
        <f>E320-G320</f>
        <v>490.90706969355</v>
      </c>
      <c r="J320" s="9">
        <f>D320-F320</f>
        <v>1485.11719832211</v>
      </c>
      <c r="K320" s="9">
        <f t="shared" si="31"/>
        <v>490.90706969355</v>
      </c>
      <c r="L320" s="10">
        <f t="shared" si="30"/>
        <v>0.33055106374646953</v>
      </c>
      <c r="M320" s="10">
        <f>L320+ABS($N$2)*A320</f>
        <v>0.37274399449205797</v>
      </c>
      <c r="O320" s="11"/>
      <c r="P320" s="8">
        <f>(M320-$O$2)/$O$2*100</f>
        <v>3.7504193066646123</v>
      </c>
    </row>
    <row r="321" spans="1:16" x14ac:dyDescent="0.2">
      <c r="A321" s="8">
        <v>159.5</v>
      </c>
      <c r="B321" s="8">
        <v>319</v>
      </c>
      <c r="D321">
        <v>1652.0746268657001</v>
      </c>
      <c r="E321">
        <v>643.48507462686996</v>
      </c>
      <c r="F321">
        <v>139.73697478992</v>
      </c>
      <c r="G321">
        <v>117.37983193277</v>
      </c>
      <c r="I321" s="9">
        <f t="shared" ref="I321" si="48">E321-G321</f>
        <v>526.10524269409996</v>
      </c>
      <c r="J321" s="9">
        <f t="shared" ref="J321" si="49">D321-F321</f>
        <v>1512.3376520757802</v>
      </c>
      <c r="K321" s="9">
        <f t="shared" si="31"/>
        <v>526.10524269409996</v>
      </c>
      <c r="L321" s="10">
        <f t="shared" si="30"/>
        <v>0.3478755170659058</v>
      </c>
      <c r="M321" s="10">
        <f t="shared" ref="M321" si="50">L321+ABS($N$2)*A321</f>
        <v>0.3902011299836502</v>
      </c>
      <c r="P321" s="8">
        <f t="shared" ref="P321" si="51">(M321-$O$2)/$O$2*100</f>
        <v>8.6094784837656952</v>
      </c>
    </row>
    <row r="322" spans="1:16" x14ac:dyDescent="0.2">
      <c r="A322" s="8">
        <v>160</v>
      </c>
      <c r="D322">
        <v>1649.4850746269001</v>
      </c>
      <c r="E322">
        <v>624.45024875622005</v>
      </c>
      <c r="F322">
        <v>139.15462184873999</v>
      </c>
      <c r="G322">
        <v>117.31260504202</v>
      </c>
      <c r="I322" s="9">
        <f t="shared" ref="I322" si="52">E322-G322</f>
        <v>507.13764371420007</v>
      </c>
      <c r="J322" s="9">
        <f t="shared" ref="J322" si="53">D322-F322</f>
        <v>1510.3304527781602</v>
      </c>
      <c r="K322" s="9">
        <f t="shared" ref="K322" si="54">I322*1</f>
        <v>507.13764371420007</v>
      </c>
      <c r="L322" s="10">
        <f t="shared" ref="L322" si="55">K322/J322</f>
        <v>0.33577926127447905</v>
      </c>
      <c r="M322" s="10">
        <f t="shared" ref="M322" si="56">L322+ABS($N$2)*A322</f>
        <v>0.37823755636437939</v>
      </c>
      <c r="P322" s="8">
        <f t="shared" ref="P322" si="57">(M322-$O$2)/$O$2*100</f>
        <v>5.2795099323020347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7FFF5-28DE-444B-BB66-E226CACA11C0}">
  <dimension ref="A1:Y798"/>
  <sheetViews>
    <sheetView topLeftCell="E1" zoomScale="75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753.90441176470995</v>
      </c>
      <c r="E2">
        <v>315.08382352940998</v>
      </c>
      <c r="F2">
        <v>143.59501100514001</v>
      </c>
      <c r="G2">
        <v>120.48275862069001</v>
      </c>
      <c r="H2" s="4"/>
      <c r="I2" s="5">
        <f>E2-G2</f>
        <v>194.60106490871999</v>
      </c>
      <c r="J2" s="5">
        <f>D2-F2</f>
        <v>610.30940075956994</v>
      </c>
      <c r="K2" s="9">
        <f>I2*1</f>
        <v>194.60106490871999</v>
      </c>
      <c r="L2" s="6">
        <f t="shared" ref="L2:L65" si="0">K2/J2</f>
        <v>0.31885641064438175</v>
      </c>
      <c r="M2" s="6">
        <f>L2+ABS($N$2)*A2</f>
        <v>0.31885641064438175</v>
      </c>
      <c r="N2" s="4">
        <f>LINEST(V64:V103,U64:U103)</f>
        <v>6.1130748501768232E-6</v>
      </c>
      <c r="O2" s="7">
        <f>AVERAGE(M62:M81)</f>
        <v>0.33985363801106172</v>
      </c>
      <c r="P2" s="4">
        <f>(M2-$O$2)/$O$2*100</f>
        <v>-6.1783147267638023</v>
      </c>
    </row>
    <row r="3" spans="1:16" x14ac:dyDescent="0.2">
      <c r="A3" s="8">
        <v>0.5</v>
      </c>
      <c r="B3" s="8">
        <v>1</v>
      </c>
      <c r="D3">
        <v>743.17867647058995</v>
      </c>
      <c r="E3">
        <v>307.11397058824002</v>
      </c>
      <c r="F3">
        <v>143.52090975789</v>
      </c>
      <c r="G3">
        <v>120.69112252383999</v>
      </c>
      <c r="I3" s="9">
        <f t="shared" ref="I3:I66" si="1">E3-G3</f>
        <v>186.42284806440003</v>
      </c>
      <c r="J3" s="9">
        <f t="shared" ref="J3:J66" si="2">D3-F3</f>
        <v>599.65776671269998</v>
      </c>
      <c r="K3" s="9">
        <f t="shared" ref="K3:K66" si="3">I3*1</f>
        <v>186.42284806440003</v>
      </c>
      <c r="L3" s="10">
        <f t="shared" si="0"/>
        <v>0.31088207042887589</v>
      </c>
      <c r="M3" s="10">
        <f t="shared" ref="M3:M66" si="4">L3+ABS($N$2)*A3</f>
        <v>0.310885126966301</v>
      </c>
      <c r="P3" s="8">
        <f t="shared" ref="P3:P66" si="5">(M3-$O$2)/$O$2*100</f>
        <v>-8.5238196107872319</v>
      </c>
    </row>
    <row r="4" spans="1:16" ht="16" x14ac:dyDescent="0.2">
      <c r="A4" s="8">
        <v>1</v>
      </c>
      <c r="B4" s="8">
        <v>2</v>
      </c>
      <c r="D4">
        <v>718.22426470588005</v>
      </c>
      <c r="E4">
        <v>298.67352941177001</v>
      </c>
      <c r="F4">
        <v>143.48495964783999</v>
      </c>
      <c r="G4">
        <v>120.43580337490999</v>
      </c>
      <c r="I4" s="9">
        <f t="shared" si="1"/>
        <v>178.23772603686001</v>
      </c>
      <c r="J4" s="9">
        <f t="shared" si="2"/>
        <v>574.73930505804003</v>
      </c>
      <c r="K4" s="9">
        <f t="shared" si="3"/>
        <v>178.23772603686001</v>
      </c>
      <c r="L4" s="10">
        <f t="shared" si="0"/>
        <v>0.31011925662341933</v>
      </c>
      <c r="M4" s="10">
        <f t="shared" si="4"/>
        <v>0.31012536969826948</v>
      </c>
      <c r="N4" s="1" t="s">
        <v>7</v>
      </c>
      <c r="P4" s="8">
        <f t="shared" si="5"/>
        <v>-8.7473738656358382</v>
      </c>
    </row>
    <row r="5" spans="1:16" x14ac:dyDescent="0.2">
      <c r="A5" s="8">
        <v>1.5</v>
      </c>
      <c r="B5" s="8">
        <v>3</v>
      </c>
      <c r="D5">
        <v>772.86058394161</v>
      </c>
      <c r="E5">
        <v>313.41532846715</v>
      </c>
      <c r="F5">
        <v>144.23550990461999</v>
      </c>
      <c r="G5">
        <v>120.67057960382</v>
      </c>
      <c r="I5" s="9">
        <f t="shared" si="1"/>
        <v>192.74474886333002</v>
      </c>
      <c r="J5" s="9">
        <f t="shared" si="2"/>
        <v>628.62507403698999</v>
      </c>
      <c r="K5" s="9">
        <f t="shared" si="3"/>
        <v>192.74474886333002</v>
      </c>
      <c r="L5" s="10">
        <f t="shared" si="0"/>
        <v>0.30661320526961416</v>
      </c>
      <c r="M5" s="10">
        <f t="shared" si="4"/>
        <v>0.30662237488188943</v>
      </c>
      <c r="N5" s="8">
        <f>RSQ(V64:V83,U64:U83)</f>
        <v>0.40014336576215326</v>
      </c>
      <c r="P5" s="8">
        <f t="shared" si="5"/>
        <v>-9.7781101663801131</v>
      </c>
    </row>
    <row r="6" spans="1:16" x14ac:dyDescent="0.2">
      <c r="A6" s="8">
        <v>2</v>
      </c>
      <c r="B6" s="8">
        <v>4</v>
      </c>
      <c r="D6">
        <v>758.10583941606001</v>
      </c>
      <c r="E6">
        <v>307.66715328467001</v>
      </c>
      <c r="F6">
        <v>143.47615553924999</v>
      </c>
      <c r="G6">
        <v>120.66397652238</v>
      </c>
      <c r="I6" s="9">
        <f t="shared" si="1"/>
        <v>187.00317676229002</v>
      </c>
      <c r="J6" s="9">
        <f t="shared" si="2"/>
        <v>614.62968387681008</v>
      </c>
      <c r="K6" s="9">
        <f t="shared" si="3"/>
        <v>187.00317676229002</v>
      </c>
      <c r="L6" s="10">
        <f t="shared" si="0"/>
        <v>0.30425340927687927</v>
      </c>
      <c r="M6" s="10">
        <f t="shared" si="4"/>
        <v>0.30426563542657964</v>
      </c>
      <c r="P6" s="8">
        <f t="shared" si="5"/>
        <v>-10.471567346683441</v>
      </c>
    </row>
    <row r="7" spans="1:16" x14ac:dyDescent="0.2">
      <c r="A7" s="8">
        <v>2.5</v>
      </c>
      <c r="B7" s="8">
        <v>5</v>
      </c>
      <c r="D7">
        <v>752.10502958580003</v>
      </c>
      <c r="E7">
        <v>305.71301775147998</v>
      </c>
      <c r="F7">
        <v>143.97945707996999</v>
      </c>
      <c r="G7">
        <v>121.14086573733999</v>
      </c>
      <c r="I7" s="9">
        <f t="shared" si="1"/>
        <v>184.57215201413999</v>
      </c>
      <c r="J7" s="9">
        <f t="shared" si="2"/>
        <v>608.12557250583006</v>
      </c>
      <c r="K7" s="9">
        <f t="shared" si="3"/>
        <v>184.57215201413999</v>
      </c>
      <c r="L7" s="10">
        <f t="shared" si="0"/>
        <v>0.30350993340667398</v>
      </c>
      <c r="M7" s="10">
        <f t="shared" si="4"/>
        <v>0.3035252160937994</v>
      </c>
      <c r="P7" s="8">
        <f t="shared" si="5"/>
        <v>-10.689431524072692</v>
      </c>
    </row>
    <row r="8" spans="1:16" x14ac:dyDescent="0.2">
      <c r="A8" s="8">
        <v>3</v>
      </c>
      <c r="B8" s="8">
        <v>6</v>
      </c>
      <c r="D8">
        <v>763.87840825349997</v>
      </c>
      <c r="E8">
        <v>312.68165070007001</v>
      </c>
      <c r="F8">
        <v>144.25018341892999</v>
      </c>
      <c r="G8">
        <v>120.89068231842001</v>
      </c>
      <c r="I8" s="9">
        <f t="shared" si="1"/>
        <v>191.79096838165</v>
      </c>
      <c r="J8" s="9">
        <f t="shared" si="2"/>
        <v>619.62822483457001</v>
      </c>
      <c r="K8" s="9">
        <f t="shared" si="3"/>
        <v>191.79096838165</v>
      </c>
      <c r="L8" s="10">
        <f t="shared" si="0"/>
        <v>0.3095258748628742</v>
      </c>
      <c r="M8" s="10">
        <f t="shared" si="4"/>
        <v>0.30954421408742472</v>
      </c>
      <c r="P8" s="8">
        <f t="shared" si="5"/>
        <v>-8.9183755986894795</v>
      </c>
    </row>
    <row r="9" spans="1:16" x14ac:dyDescent="0.2">
      <c r="A9" s="8">
        <v>3.5</v>
      </c>
      <c r="B9" s="8">
        <v>7</v>
      </c>
      <c r="D9">
        <v>763.69417833455998</v>
      </c>
      <c r="E9">
        <v>310.24465733235002</v>
      </c>
      <c r="F9">
        <v>144.08437270726</v>
      </c>
      <c r="G9">
        <v>120.82098312546</v>
      </c>
      <c r="I9" s="9">
        <f t="shared" si="1"/>
        <v>189.42367420689001</v>
      </c>
      <c r="J9" s="9">
        <f t="shared" si="2"/>
        <v>619.60980562729992</v>
      </c>
      <c r="K9" s="9">
        <f t="shared" si="3"/>
        <v>189.42367420689001</v>
      </c>
      <c r="L9" s="10">
        <f t="shared" si="0"/>
        <v>0.30571445526933738</v>
      </c>
      <c r="M9" s="10">
        <f t="shared" si="4"/>
        <v>0.30573585103131301</v>
      </c>
      <c r="P9" s="8">
        <f t="shared" si="5"/>
        <v>-10.038964767132558</v>
      </c>
    </row>
    <row r="10" spans="1:16" x14ac:dyDescent="0.2">
      <c r="A10" s="8">
        <v>4</v>
      </c>
      <c r="B10" s="8">
        <v>8</v>
      </c>
      <c r="D10">
        <v>764.05084745762997</v>
      </c>
      <c r="E10">
        <v>310.70596904937003</v>
      </c>
      <c r="F10">
        <v>144.02861335290001</v>
      </c>
      <c r="G10">
        <v>120.80190755686</v>
      </c>
      <c r="I10" s="9">
        <f t="shared" si="1"/>
        <v>189.90406149251004</v>
      </c>
      <c r="J10" s="9">
        <f t="shared" si="2"/>
        <v>620.02223410472993</v>
      </c>
      <c r="K10" s="9">
        <f t="shared" si="3"/>
        <v>189.90406149251004</v>
      </c>
      <c r="L10" s="10">
        <f t="shared" si="0"/>
        <v>0.30628588951607294</v>
      </c>
      <c r="M10" s="10">
        <f t="shared" si="4"/>
        <v>0.30631034181547367</v>
      </c>
      <c r="P10" s="8">
        <f t="shared" si="5"/>
        <v>-9.8699241214231943</v>
      </c>
    </row>
    <row r="11" spans="1:16" x14ac:dyDescent="0.2">
      <c r="A11" s="8">
        <v>4.5</v>
      </c>
      <c r="B11" s="8">
        <v>9</v>
      </c>
      <c r="D11">
        <v>779.60191317144995</v>
      </c>
      <c r="E11">
        <v>316.60117733627999</v>
      </c>
      <c r="F11">
        <v>144.51063829787</v>
      </c>
      <c r="G11">
        <v>120.84299339691999</v>
      </c>
      <c r="I11" s="9">
        <f t="shared" si="1"/>
        <v>195.75818393935998</v>
      </c>
      <c r="J11" s="9">
        <f t="shared" si="2"/>
        <v>635.09127487358001</v>
      </c>
      <c r="K11" s="9">
        <f t="shared" si="3"/>
        <v>195.75818393935998</v>
      </c>
      <c r="L11" s="10">
        <f t="shared" si="0"/>
        <v>0.30823629875615471</v>
      </c>
      <c r="M11" s="10">
        <f t="shared" si="4"/>
        <v>0.3082638075929805</v>
      </c>
      <c r="P11" s="8">
        <f t="shared" si="5"/>
        <v>-9.2951279271146188</v>
      </c>
    </row>
    <row r="12" spans="1:16" x14ac:dyDescent="0.2">
      <c r="A12" s="8">
        <v>5</v>
      </c>
      <c r="B12" s="8">
        <v>10</v>
      </c>
      <c r="D12">
        <v>788.60176340926</v>
      </c>
      <c r="E12">
        <v>318.44819985305003</v>
      </c>
      <c r="F12">
        <v>144.15774027879999</v>
      </c>
      <c r="G12">
        <v>121.37931034483</v>
      </c>
      <c r="I12" s="9">
        <f t="shared" si="1"/>
        <v>197.06888950822002</v>
      </c>
      <c r="J12" s="9">
        <f t="shared" si="2"/>
        <v>644.44402313045998</v>
      </c>
      <c r="K12" s="9">
        <f t="shared" si="3"/>
        <v>197.06888950822002</v>
      </c>
      <c r="L12" s="10">
        <f t="shared" si="0"/>
        <v>0.30579675260379563</v>
      </c>
      <c r="M12" s="10">
        <f t="shared" si="4"/>
        <v>0.30582731797804652</v>
      </c>
      <c r="P12" s="8">
        <f t="shared" si="5"/>
        <v>-10.012051138292566</v>
      </c>
    </row>
    <row r="13" spans="1:16" x14ac:dyDescent="0.2">
      <c r="A13" s="8">
        <v>5.5</v>
      </c>
      <c r="B13" s="8">
        <v>11</v>
      </c>
      <c r="D13">
        <v>791.51660516605</v>
      </c>
      <c r="E13">
        <v>317.23763837638</v>
      </c>
      <c r="F13">
        <v>144.22670579603999</v>
      </c>
      <c r="G13">
        <v>120.59867938371001</v>
      </c>
      <c r="I13" s="9">
        <f t="shared" si="1"/>
        <v>196.63895899266998</v>
      </c>
      <c r="J13" s="9">
        <f t="shared" si="2"/>
        <v>647.28989937001006</v>
      </c>
      <c r="K13" s="9">
        <f t="shared" si="3"/>
        <v>196.63895899266998</v>
      </c>
      <c r="L13" s="10">
        <f t="shared" si="0"/>
        <v>0.30378808503586019</v>
      </c>
      <c r="M13" s="10">
        <f t="shared" si="4"/>
        <v>0.30382170694753619</v>
      </c>
      <c r="P13" s="8">
        <f t="shared" si="5"/>
        <v>-10.602190776710989</v>
      </c>
    </row>
    <row r="14" spans="1:16" x14ac:dyDescent="0.2">
      <c r="A14" s="8">
        <v>6</v>
      </c>
      <c r="B14" s="8">
        <v>12</v>
      </c>
      <c r="D14">
        <v>780.32398523985</v>
      </c>
      <c r="E14">
        <v>317.37712177122</v>
      </c>
      <c r="F14">
        <v>144.57373440939</v>
      </c>
      <c r="G14">
        <v>120.64416727806</v>
      </c>
      <c r="I14" s="9">
        <f t="shared" si="1"/>
        <v>196.73295449316001</v>
      </c>
      <c r="J14" s="9">
        <f t="shared" si="2"/>
        <v>635.75025083046</v>
      </c>
      <c r="K14" s="9">
        <f t="shared" si="3"/>
        <v>196.73295449316001</v>
      </c>
      <c r="L14" s="10">
        <f t="shared" si="0"/>
        <v>0.30945006193261287</v>
      </c>
      <c r="M14" s="10">
        <f t="shared" si="4"/>
        <v>0.30948674038171392</v>
      </c>
      <c r="P14" s="8">
        <f t="shared" si="5"/>
        <v>-8.9352869097018193</v>
      </c>
    </row>
    <row r="15" spans="1:16" x14ac:dyDescent="0.2">
      <c r="A15" s="8">
        <v>6.5</v>
      </c>
      <c r="B15" s="8">
        <v>13</v>
      </c>
      <c r="D15">
        <v>774.30802919708003</v>
      </c>
      <c r="E15">
        <v>314.71240875912002</v>
      </c>
      <c r="F15">
        <v>144.49596478357</v>
      </c>
      <c r="G15">
        <v>121.08730741012999</v>
      </c>
      <c r="I15" s="9">
        <f t="shared" si="1"/>
        <v>193.62510134899003</v>
      </c>
      <c r="J15" s="9">
        <f t="shared" si="2"/>
        <v>629.81206441351003</v>
      </c>
      <c r="K15" s="9">
        <f t="shared" si="3"/>
        <v>193.62510134899003</v>
      </c>
      <c r="L15" s="10">
        <f t="shared" si="0"/>
        <v>0.30743314123284776</v>
      </c>
      <c r="M15" s="10">
        <f t="shared" si="4"/>
        <v>0.30747287621937391</v>
      </c>
      <c r="P15" s="8">
        <f t="shared" si="5"/>
        <v>-9.5278549852198022</v>
      </c>
    </row>
    <row r="16" spans="1:16" x14ac:dyDescent="0.2">
      <c r="A16" s="8">
        <v>7</v>
      </c>
      <c r="B16" s="8">
        <v>14</v>
      </c>
      <c r="D16">
        <v>763.78394160584003</v>
      </c>
      <c r="E16">
        <v>310.38248175183003</v>
      </c>
      <c r="F16">
        <v>145.09464416727999</v>
      </c>
      <c r="G16">
        <v>121.21276595745</v>
      </c>
      <c r="I16" s="9">
        <f t="shared" si="1"/>
        <v>189.16971579438001</v>
      </c>
      <c r="J16" s="9">
        <f t="shared" si="2"/>
        <v>618.68929743856006</v>
      </c>
      <c r="K16" s="9">
        <f t="shared" si="3"/>
        <v>189.16971579438001</v>
      </c>
      <c r="L16" s="10">
        <f t="shared" si="0"/>
        <v>0.30575883012291127</v>
      </c>
      <c r="M16" s="10">
        <f t="shared" si="4"/>
        <v>0.30580162164686253</v>
      </c>
      <c r="P16" s="8">
        <f t="shared" si="5"/>
        <v>-10.019612137590491</v>
      </c>
    </row>
    <row r="17" spans="1:16" x14ac:dyDescent="0.2">
      <c r="A17" s="8">
        <v>7.5</v>
      </c>
      <c r="B17" s="8">
        <v>15</v>
      </c>
      <c r="D17">
        <v>799.05103550295996</v>
      </c>
      <c r="E17">
        <v>320.46227810650998</v>
      </c>
      <c r="F17">
        <v>144.45781364637</v>
      </c>
      <c r="G17">
        <v>121.19295671313</v>
      </c>
      <c r="I17" s="9">
        <f t="shared" si="1"/>
        <v>199.26932139337998</v>
      </c>
      <c r="J17" s="9">
        <f t="shared" si="2"/>
        <v>654.59322185658993</v>
      </c>
      <c r="K17" s="9">
        <f t="shared" si="3"/>
        <v>199.26932139337998</v>
      </c>
      <c r="L17" s="10">
        <f t="shared" si="0"/>
        <v>0.30441702532177523</v>
      </c>
      <c r="M17" s="10">
        <f t="shared" si="4"/>
        <v>0.30446287338315153</v>
      </c>
      <c r="P17" s="8">
        <f t="shared" si="5"/>
        <v>-10.413531199792033</v>
      </c>
    </row>
    <row r="18" spans="1:16" x14ac:dyDescent="0.2">
      <c r="A18" s="8">
        <v>8</v>
      </c>
      <c r="B18" s="8">
        <v>16</v>
      </c>
      <c r="D18">
        <v>784.31176470588002</v>
      </c>
      <c r="E18">
        <v>314.63897058824</v>
      </c>
      <c r="F18">
        <v>144.899486427</v>
      </c>
      <c r="G18">
        <v>121.24798239178</v>
      </c>
      <c r="I18" s="9">
        <f t="shared" si="1"/>
        <v>193.39098819646</v>
      </c>
      <c r="J18" s="9">
        <f t="shared" si="2"/>
        <v>639.41227827887997</v>
      </c>
      <c r="K18" s="9">
        <f t="shared" si="3"/>
        <v>193.39098819646</v>
      </c>
      <c r="L18" s="10">
        <f t="shared" si="0"/>
        <v>0.30245116455538634</v>
      </c>
      <c r="M18" s="10">
        <f t="shared" si="4"/>
        <v>0.30250006915418776</v>
      </c>
      <c r="P18" s="8">
        <f t="shared" si="5"/>
        <v>-10.991075180327528</v>
      </c>
    </row>
    <row r="19" spans="1:16" x14ac:dyDescent="0.2">
      <c r="A19" s="8">
        <v>8.5</v>
      </c>
      <c r="B19" s="8">
        <v>17</v>
      </c>
      <c r="D19">
        <v>785.59191176470995</v>
      </c>
      <c r="E19">
        <v>314.78602941177002</v>
      </c>
      <c r="F19">
        <v>144.71386647102</v>
      </c>
      <c r="G19">
        <v>120.86426999266</v>
      </c>
      <c r="I19" s="9">
        <f t="shared" si="1"/>
        <v>193.92175941911</v>
      </c>
      <c r="J19" s="9">
        <f t="shared" si="2"/>
        <v>640.87804529368998</v>
      </c>
      <c r="K19" s="9">
        <f t="shared" si="3"/>
        <v>193.92175941911</v>
      </c>
      <c r="L19" s="10">
        <f t="shared" si="0"/>
        <v>0.30258761529308287</v>
      </c>
      <c r="M19" s="10">
        <f t="shared" si="4"/>
        <v>0.30263957642930939</v>
      </c>
      <c r="P19" s="8">
        <f t="shared" si="5"/>
        <v>-10.950025958098195</v>
      </c>
    </row>
    <row r="20" spans="1:16" x14ac:dyDescent="0.2">
      <c r="A20" s="8">
        <v>9</v>
      </c>
      <c r="B20" s="8">
        <v>18</v>
      </c>
      <c r="D20">
        <v>804.41346153845996</v>
      </c>
      <c r="E20">
        <v>321.83357988166</v>
      </c>
      <c r="F20">
        <v>144.61555392516999</v>
      </c>
      <c r="G20">
        <v>121.09097578870001</v>
      </c>
      <c r="I20" s="9">
        <f t="shared" si="1"/>
        <v>200.74260409295999</v>
      </c>
      <c r="J20" s="9">
        <f t="shared" si="2"/>
        <v>659.79790761328991</v>
      </c>
      <c r="K20" s="9">
        <f t="shared" si="3"/>
        <v>200.74260409295999</v>
      </c>
      <c r="L20" s="10">
        <f t="shared" si="0"/>
        <v>0.30424862185318724</v>
      </c>
      <c r="M20" s="10">
        <f t="shared" si="4"/>
        <v>0.30430363952683881</v>
      </c>
      <c r="P20" s="8">
        <f t="shared" si="5"/>
        <v>-10.460384856338013</v>
      </c>
    </row>
    <row r="21" spans="1:16" x14ac:dyDescent="0.2">
      <c r="A21" s="8">
        <v>9.5</v>
      </c>
      <c r="B21" s="8">
        <v>19</v>
      </c>
      <c r="D21">
        <v>800.64497041419997</v>
      </c>
      <c r="E21">
        <v>316.45044378697997</v>
      </c>
      <c r="F21">
        <v>144.67204695525001</v>
      </c>
      <c r="G21">
        <v>120.97505502568001</v>
      </c>
      <c r="I21" s="9">
        <f t="shared" si="1"/>
        <v>195.47538876129997</v>
      </c>
      <c r="J21" s="9">
        <f t="shared" si="2"/>
        <v>655.97292345894994</v>
      </c>
      <c r="K21" s="9">
        <f t="shared" si="3"/>
        <v>195.47538876129997</v>
      </c>
      <c r="L21" s="10">
        <f t="shared" si="0"/>
        <v>0.29799307527901736</v>
      </c>
      <c r="M21" s="10">
        <f t="shared" si="4"/>
        <v>0.29805114949009404</v>
      </c>
      <c r="P21" s="8">
        <f t="shared" si="5"/>
        <v>-12.300144487376969</v>
      </c>
    </row>
    <row r="22" spans="1:16" x14ac:dyDescent="0.2">
      <c r="A22" s="8">
        <v>10</v>
      </c>
      <c r="B22" s="8">
        <v>20</v>
      </c>
      <c r="D22">
        <v>824.88691796009005</v>
      </c>
      <c r="E22">
        <v>322.24981522542998</v>
      </c>
      <c r="F22">
        <v>145.08217168012001</v>
      </c>
      <c r="G22">
        <v>121.31988261188999</v>
      </c>
      <c r="I22" s="9">
        <f t="shared" si="1"/>
        <v>200.92993261353999</v>
      </c>
      <c r="J22" s="9">
        <f t="shared" si="2"/>
        <v>679.80474627997</v>
      </c>
      <c r="K22" s="9">
        <f t="shared" si="3"/>
        <v>200.92993261353999</v>
      </c>
      <c r="L22" s="10">
        <f t="shared" si="0"/>
        <v>0.29557006436490696</v>
      </c>
      <c r="M22" s="10">
        <f t="shared" si="4"/>
        <v>0.29563119511340874</v>
      </c>
      <c r="P22" s="8">
        <f t="shared" si="5"/>
        <v>-13.012202298747678</v>
      </c>
    </row>
    <row r="23" spans="1:16" x14ac:dyDescent="0.2">
      <c r="A23" s="8">
        <v>10.5</v>
      </c>
      <c r="B23" s="8">
        <v>21</v>
      </c>
      <c r="D23">
        <v>815.17294900221998</v>
      </c>
      <c r="E23">
        <v>317.94308943088998</v>
      </c>
      <c r="F23">
        <v>144.61041819516001</v>
      </c>
      <c r="G23">
        <v>121.44607483492</v>
      </c>
      <c r="I23" s="9">
        <f t="shared" si="1"/>
        <v>196.49701459596997</v>
      </c>
      <c r="J23" s="9">
        <f t="shared" si="2"/>
        <v>670.56253080705994</v>
      </c>
      <c r="K23" s="9">
        <f t="shared" si="3"/>
        <v>196.49701459596997</v>
      </c>
      <c r="L23" s="10">
        <f t="shared" si="0"/>
        <v>0.29303309619682255</v>
      </c>
      <c r="M23" s="10">
        <f t="shared" si="4"/>
        <v>0.29309728348274938</v>
      </c>
      <c r="P23" s="8">
        <f t="shared" si="5"/>
        <v>-13.757791383945841</v>
      </c>
    </row>
    <row r="24" spans="1:16" x14ac:dyDescent="0.2">
      <c r="A24" s="8">
        <v>11</v>
      </c>
      <c r="B24" s="8">
        <v>22</v>
      </c>
      <c r="D24">
        <v>823.20235467254997</v>
      </c>
      <c r="E24">
        <v>321.69536423840998</v>
      </c>
      <c r="F24">
        <v>145.20836390316001</v>
      </c>
      <c r="G24">
        <v>121.10124724872</v>
      </c>
      <c r="I24" s="9">
        <f t="shared" si="1"/>
        <v>200.59411698968998</v>
      </c>
      <c r="J24" s="9">
        <f t="shared" si="2"/>
        <v>677.99399076938994</v>
      </c>
      <c r="K24" s="9">
        <f t="shared" si="3"/>
        <v>200.59411698968998</v>
      </c>
      <c r="L24" s="10">
        <f t="shared" si="0"/>
        <v>0.29586415177818182</v>
      </c>
      <c r="M24" s="10">
        <f t="shared" si="4"/>
        <v>0.29593139560153375</v>
      </c>
      <c r="P24" s="8">
        <f t="shared" si="5"/>
        <v>-12.923870012566516</v>
      </c>
    </row>
    <row r="25" spans="1:16" x14ac:dyDescent="0.2">
      <c r="A25" s="8">
        <v>11.5</v>
      </c>
      <c r="B25" s="8">
        <v>23</v>
      </c>
      <c r="D25">
        <v>787.27185892726004</v>
      </c>
      <c r="E25">
        <v>307.53122703894002</v>
      </c>
      <c r="F25">
        <v>145.36463683052</v>
      </c>
      <c r="G25">
        <v>121.15040352164</v>
      </c>
      <c r="I25" s="9">
        <f t="shared" si="1"/>
        <v>186.38082351730003</v>
      </c>
      <c r="J25" s="9">
        <f t="shared" si="2"/>
        <v>641.90722209674004</v>
      </c>
      <c r="K25" s="9">
        <f t="shared" si="3"/>
        <v>186.38082351730003</v>
      </c>
      <c r="L25" s="10">
        <f t="shared" si="0"/>
        <v>0.29035476950781386</v>
      </c>
      <c r="M25" s="10">
        <f t="shared" si="4"/>
        <v>0.2904250698685909</v>
      </c>
      <c r="P25" s="8">
        <f t="shared" si="5"/>
        <v>-14.54407504116875</v>
      </c>
    </row>
    <row r="26" spans="1:16" x14ac:dyDescent="0.2">
      <c r="A26" s="8">
        <v>12</v>
      </c>
      <c r="B26" s="8">
        <v>24</v>
      </c>
      <c r="D26">
        <v>769.65980896400004</v>
      </c>
      <c r="E26">
        <v>304.71785451874001</v>
      </c>
      <c r="F26">
        <v>145.26265590609</v>
      </c>
      <c r="G26">
        <v>120.88554658840999</v>
      </c>
      <c r="I26" s="9">
        <f t="shared" si="1"/>
        <v>183.83230793033002</v>
      </c>
      <c r="J26" s="9">
        <f t="shared" si="2"/>
        <v>624.39715305791003</v>
      </c>
      <c r="K26" s="9">
        <f t="shared" si="3"/>
        <v>183.83230793033002</v>
      </c>
      <c r="L26" s="10">
        <f t="shared" si="0"/>
        <v>0.29441567282943776</v>
      </c>
      <c r="M26" s="10">
        <f t="shared" si="4"/>
        <v>0.29448902972763991</v>
      </c>
      <c r="P26" s="8">
        <f t="shared" si="5"/>
        <v>-13.348277967218719</v>
      </c>
    </row>
    <row r="27" spans="1:16" x14ac:dyDescent="0.2">
      <c r="A27" s="8">
        <v>12.5</v>
      </c>
      <c r="B27" s="8">
        <v>25</v>
      </c>
      <c r="D27">
        <v>799.71721611722</v>
      </c>
      <c r="E27">
        <v>317.73479853480001</v>
      </c>
      <c r="F27">
        <v>145.39251650770001</v>
      </c>
      <c r="G27">
        <v>120.95891415993999</v>
      </c>
      <c r="I27" s="9">
        <f t="shared" si="1"/>
        <v>196.77588437486003</v>
      </c>
      <c r="J27" s="9">
        <f t="shared" si="2"/>
        <v>654.32469960951994</v>
      </c>
      <c r="K27" s="9">
        <f t="shared" si="3"/>
        <v>196.77588437486003</v>
      </c>
      <c r="L27" s="10">
        <f t="shared" si="0"/>
        <v>0.30073124932054313</v>
      </c>
      <c r="M27" s="10">
        <f t="shared" si="4"/>
        <v>0.30080766275617032</v>
      </c>
      <c r="P27" s="8">
        <f t="shared" si="5"/>
        <v>-11.489056137048181</v>
      </c>
    </row>
    <row r="28" spans="1:16" x14ac:dyDescent="0.2">
      <c r="A28" s="8">
        <v>13</v>
      </c>
      <c r="B28" s="8">
        <v>26</v>
      </c>
      <c r="D28">
        <v>776.61953352770001</v>
      </c>
      <c r="E28">
        <v>312.38994169095997</v>
      </c>
      <c r="F28">
        <v>145.27219369039</v>
      </c>
      <c r="G28">
        <v>120.85913426266001</v>
      </c>
      <c r="I28" s="9">
        <f t="shared" si="1"/>
        <v>191.53080742829997</v>
      </c>
      <c r="J28" s="9">
        <f t="shared" si="2"/>
        <v>631.34733983731007</v>
      </c>
      <c r="K28" s="9">
        <f t="shared" si="3"/>
        <v>191.53080742829997</v>
      </c>
      <c r="L28" s="10">
        <f t="shared" si="0"/>
        <v>0.303368360556734</v>
      </c>
      <c r="M28" s="10">
        <f t="shared" si="4"/>
        <v>0.3034478305297863</v>
      </c>
      <c r="P28" s="8">
        <f t="shared" si="5"/>
        <v>-10.71220178613785</v>
      </c>
    </row>
    <row r="29" spans="1:16" x14ac:dyDescent="0.2">
      <c r="A29" s="8">
        <v>13.5</v>
      </c>
      <c r="B29" s="8">
        <v>27</v>
      </c>
      <c r="D29">
        <v>770.44533527697001</v>
      </c>
      <c r="E29">
        <v>313.99854227405001</v>
      </c>
      <c r="F29">
        <v>145.11371973588001</v>
      </c>
      <c r="G29">
        <v>121.52604548789</v>
      </c>
      <c r="I29" s="9">
        <f t="shared" si="1"/>
        <v>192.47249678616001</v>
      </c>
      <c r="J29" s="9">
        <f t="shared" si="2"/>
        <v>625.33161554109006</v>
      </c>
      <c r="K29" s="9">
        <f t="shared" si="3"/>
        <v>192.47249678616001</v>
      </c>
      <c r="L29" s="10">
        <f t="shared" si="0"/>
        <v>0.30779268471755811</v>
      </c>
      <c r="M29" s="10">
        <f t="shared" si="4"/>
        <v>0.30787521122803552</v>
      </c>
      <c r="P29" s="8">
        <f t="shared" si="5"/>
        <v>-9.4094701972810295</v>
      </c>
    </row>
    <row r="30" spans="1:16" x14ac:dyDescent="0.2">
      <c r="A30" s="8">
        <v>14</v>
      </c>
      <c r="B30" s="8">
        <v>28</v>
      </c>
      <c r="D30">
        <v>807.44607483491995</v>
      </c>
      <c r="E30">
        <v>321.58694057227001</v>
      </c>
      <c r="F30">
        <v>145.64783565664001</v>
      </c>
      <c r="G30">
        <v>121.40058694056999</v>
      </c>
      <c r="I30" s="9">
        <f t="shared" si="1"/>
        <v>200.1863536317</v>
      </c>
      <c r="J30" s="9">
        <f t="shared" si="2"/>
        <v>661.79823917827991</v>
      </c>
      <c r="K30" s="9">
        <f t="shared" si="3"/>
        <v>200.1863536317</v>
      </c>
      <c r="L30" s="10">
        <f t="shared" si="0"/>
        <v>0.30248849540648653</v>
      </c>
      <c r="M30" s="10">
        <f t="shared" si="4"/>
        <v>0.30257407845438899</v>
      </c>
      <c r="P30" s="8">
        <f t="shared" si="5"/>
        <v>-10.969298364685839</v>
      </c>
    </row>
    <row r="31" spans="1:16" x14ac:dyDescent="0.2">
      <c r="A31" s="8">
        <v>14.5</v>
      </c>
      <c r="B31" s="8">
        <v>29</v>
      </c>
      <c r="D31">
        <v>830.82227138642997</v>
      </c>
      <c r="E31">
        <v>329.55088495575001</v>
      </c>
      <c r="F31">
        <v>145.24724871607</v>
      </c>
      <c r="G31">
        <v>121.33235509905001</v>
      </c>
      <c r="I31" s="9">
        <f t="shared" si="1"/>
        <v>208.2185298567</v>
      </c>
      <c r="J31" s="9">
        <f t="shared" si="2"/>
        <v>685.57502267036</v>
      </c>
      <c r="K31" s="9">
        <f t="shared" si="3"/>
        <v>208.2185298567</v>
      </c>
      <c r="L31" s="10">
        <f t="shared" si="0"/>
        <v>0.30371370451285562</v>
      </c>
      <c r="M31" s="10">
        <f t="shared" si="4"/>
        <v>0.30380234409818319</v>
      </c>
      <c r="P31" s="8">
        <f t="shared" si="5"/>
        <v>-10.607888185003075</v>
      </c>
    </row>
    <row r="32" spans="1:16" x14ac:dyDescent="0.2">
      <c r="A32" s="8">
        <v>15</v>
      </c>
      <c r="B32" s="8">
        <v>30</v>
      </c>
      <c r="D32">
        <v>819.97861356932003</v>
      </c>
      <c r="E32">
        <v>325.02876106194998</v>
      </c>
      <c r="F32">
        <v>144.65517241379001</v>
      </c>
      <c r="G32">
        <v>121.11225238445</v>
      </c>
      <c r="I32" s="9">
        <f t="shared" si="1"/>
        <v>203.91650867749996</v>
      </c>
      <c r="J32" s="9">
        <f t="shared" si="2"/>
        <v>675.32344115552996</v>
      </c>
      <c r="K32" s="9">
        <f t="shared" si="3"/>
        <v>203.91650867749996</v>
      </c>
      <c r="L32" s="10">
        <f t="shared" si="0"/>
        <v>0.30195384352212512</v>
      </c>
      <c r="M32" s="10">
        <f t="shared" si="4"/>
        <v>0.30204553964487779</v>
      </c>
      <c r="P32" s="8">
        <f t="shared" si="5"/>
        <v>-11.12481790321554</v>
      </c>
    </row>
    <row r="33" spans="1:16" x14ac:dyDescent="0.2">
      <c r="A33" s="8">
        <v>15.5</v>
      </c>
      <c r="B33" s="8">
        <v>31</v>
      </c>
      <c r="D33">
        <v>764.41869021339005</v>
      </c>
      <c r="E33">
        <v>305.87637969094999</v>
      </c>
      <c r="F33">
        <v>145.77109317681999</v>
      </c>
      <c r="G33">
        <v>121.41012472487</v>
      </c>
      <c r="I33" s="9">
        <f t="shared" si="1"/>
        <v>184.46625496607999</v>
      </c>
      <c r="J33" s="9">
        <f t="shared" si="2"/>
        <v>618.64759703657001</v>
      </c>
      <c r="K33" s="9">
        <f t="shared" si="3"/>
        <v>184.46625496607999</v>
      </c>
      <c r="L33" s="10">
        <f t="shared" si="0"/>
        <v>0.29817662890748392</v>
      </c>
      <c r="M33" s="10">
        <f t="shared" si="4"/>
        <v>0.29827138156766164</v>
      </c>
      <c r="P33" s="8">
        <f t="shared" si="5"/>
        <v>-12.235342451166181</v>
      </c>
    </row>
    <row r="34" spans="1:16" x14ac:dyDescent="0.2">
      <c r="A34" s="8">
        <v>16</v>
      </c>
      <c r="B34" s="8">
        <v>32</v>
      </c>
      <c r="D34">
        <v>767.74687270052004</v>
      </c>
      <c r="E34">
        <v>313.66298749079999</v>
      </c>
      <c r="F34">
        <v>145.09097578870001</v>
      </c>
      <c r="G34">
        <v>121.24724871607</v>
      </c>
      <c r="I34" s="9">
        <f t="shared" si="1"/>
        <v>192.41573877472999</v>
      </c>
      <c r="J34" s="9">
        <f t="shared" si="2"/>
        <v>622.65589691182004</v>
      </c>
      <c r="K34" s="9">
        <f t="shared" si="3"/>
        <v>192.41573877472999</v>
      </c>
      <c r="L34" s="10">
        <f t="shared" si="0"/>
        <v>0.30902419736013476</v>
      </c>
      <c r="M34" s="10">
        <f t="shared" si="4"/>
        <v>0.30912200655773758</v>
      </c>
      <c r="P34" s="8">
        <f t="shared" si="5"/>
        <v>-9.0426077629111248</v>
      </c>
    </row>
    <row r="35" spans="1:16" x14ac:dyDescent="0.2">
      <c r="A35" s="8">
        <v>16.5</v>
      </c>
      <c r="B35" s="8">
        <v>33</v>
      </c>
      <c r="D35">
        <v>760.15643274854006</v>
      </c>
      <c r="E35">
        <v>314.40570175439001</v>
      </c>
      <c r="F35">
        <v>145.84152604549001</v>
      </c>
      <c r="G35">
        <v>121.44387380777999</v>
      </c>
      <c r="I35" s="9">
        <f t="shared" si="1"/>
        <v>192.96182794661001</v>
      </c>
      <c r="J35" s="9">
        <f t="shared" si="2"/>
        <v>614.31490670305004</v>
      </c>
      <c r="K35" s="9">
        <f t="shared" si="3"/>
        <v>192.96182794661001</v>
      </c>
      <c r="L35" s="10">
        <f t="shared" si="0"/>
        <v>0.31410897870314036</v>
      </c>
      <c r="M35" s="10">
        <f t="shared" si="4"/>
        <v>0.3142098444381683</v>
      </c>
      <c r="P35" s="8">
        <f t="shared" si="5"/>
        <v>-7.5455404046781931</v>
      </c>
    </row>
    <row r="36" spans="1:16" x14ac:dyDescent="0.2">
      <c r="A36" s="8">
        <v>17</v>
      </c>
      <c r="B36" s="8">
        <v>34</v>
      </c>
      <c r="D36">
        <v>780.32894736842002</v>
      </c>
      <c r="E36">
        <v>322.73903508772003</v>
      </c>
      <c r="F36">
        <v>145.15774027879999</v>
      </c>
      <c r="G36">
        <v>121.32721936903999</v>
      </c>
      <c r="I36" s="9">
        <f t="shared" si="1"/>
        <v>201.41181571868003</v>
      </c>
      <c r="J36" s="9">
        <f t="shared" si="2"/>
        <v>635.17120708962</v>
      </c>
      <c r="K36" s="9">
        <f t="shared" si="3"/>
        <v>201.41181571868003</v>
      </c>
      <c r="L36" s="10">
        <f t="shared" si="0"/>
        <v>0.31709846647734091</v>
      </c>
      <c r="M36" s="10">
        <f t="shared" si="4"/>
        <v>0.3172023887497939</v>
      </c>
      <c r="P36" s="8">
        <f t="shared" si="5"/>
        <v>-6.6650012616697545</v>
      </c>
    </row>
    <row r="37" spans="1:16" x14ac:dyDescent="0.2">
      <c r="A37" s="8">
        <v>17.5</v>
      </c>
      <c r="B37" s="8">
        <v>35</v>
      </c>
      <c r="D37">
        <v>775.05259313367003</v>
      </c>
      <c r="E37">
        <v>320.77136596055999</v>
      </c>
      <c r="F37">
        <v>145.41526045488001</v>
      </c>
      <c r="G37">
        <v>121.53705062362</v>
      </c>
      <c r="I37" s="9">
        <f t="shared" si="1"/>
        <v>199.23431533693997</v>
      </c>
      <c r="J37" s="9">
        <f t="shared" si="2"/>
        <v>629.63733267879002</v>
      </c>
      <c r="K37" s="9">
        <f t="shared" si="3"/>
        <v>199.23431533693997</v>
      </c>
      <c r="L37" s="10">
        <f t="shared" si="0"/>
        <v>0.31642710016780329</v>
      </c>
      <c r="M37" s="10">
        <f t="shared" si="4"/>
        <v>0.31653407897768138</v>
      </c>
      <c r="P37" s="8">
        <f t="shared" si="5"/>
        <v>-6.8616476109699107</v>
      </c>
    </row>
    <row r="38" spans="1:16" x14ac:dyDescent="0.2">
      <c r="A38" s="8">
        <v>18</v>
      </c>
      <c r="B38" s="8">
        <v>36</v>
      </c>
      <c r="D38">
        <v>789.64327485379999</v>
      </c>
      <c r="E38">
        <v>323.07602339181</v>
      </c>
      <c r="F38">
        <v>145.94424064564001</v>
      </c>
      <c r="G38">
        <v>121.57373440939</v>
      </c>
      <c r="I38" s="9">
        <f t="shared" si="1"/>
        <v>201.50228898242</v>
      </c>
      <c r="J38" s="9">
        <f t="shared" si="2"/>
        <v>643.69903420816001</v>
      </c>
      <c r="K38" s="9">
        <f t="shared" si="3"/>
        <v>201.50228898242</v>
      </c>
      <c r="L38" s="10">
        <f t="shared" si="0"/>
        <v>0.3130380477116857</v>
      </c>
      <c r="M38" s="10">
        <f t="shared" si="4"/>
        <v>0.31314808305898889</v>
      </c>
      <c r="P38" s="8">
        <f t="shared" si="5"/>
        <v>-7.8579576515239795</v>
      </c>
    </row>
    <row r="39" spans="1:16" x14ac:dyDescent="0.2">
      <c r="A39" s="8">
        <v>18.5</v>
      </c>
      <c r="B39" s="8">
        <v>37</v>
      </c>
      <c r="D39">
        <v>782.95175438597005</v>
      </c>
      <c r="E39">
        <v>319.73757309941999</v>
      </c>
      <c r="F39">
        <v>145.63096111518999</v>
      </c>
      <c r="G39">
        <v>121.91709464417001</v>
      </c>
      <c r="I39" s="9">
        <f t="shared" si="1"/>
        <v>197.82047845525</v>
      </c>
      <c r="J39" s="9">
        <f t="shared" si="2"/>
        <v>637.32079327078009</v>
      </c>
      <c r="K39" s="9">
        <f t="shared" si="3"/>
        <v>197.82047845525</v>
      </c>
      <c r="L39" s="10">
        <f t="shared" si="0"/>
        <v>0.31039388726047967</v>
      </c>
      <c r="M39" s="10">
        <f t="shared" si="4"/>
        <v>0.31050697914520792</v>
      </c>
      <c r="P39" s="8">
        <f t="shared" si="5"/>
        <v>-8.6350874563533768</v>
      </c>
    </row>
    <row r="40" spans="1:16" x14ac:dyDescent="0.2">
      <c r="A40" s="8">
        <v>19</v>
      </c>
      <c r="B40" s="8">
        <v>38</v>
      </c>
      <c r="D40">
        <v>790.39181286550001</v>
      </c>
      <c r="E40">
        <v>326.24269005847998</v>
      </c>
      <c r="F40">
        <v>145.46661775494999</v>
      </c>
      <c r="G40">
        <v>121.48129126926</v>
      </c>
      <c r="I40" s="9">
        <f t="shared" si="1"/>
        <v>204.76139878921998</v>
      </c>
      <c r="J40" s="9">
        <f t="shared" si="2"/>
        <v>644.92519511055002</v>
      </c>
      <c r="K40" s="9">
        <f t="shared" si="3"/>
        <v>204.76139878921998</v>
      </c>
      <c r="L40" s="10">
        <f t="shared" si="0"/>
        <v>0.31749635514568592</v>
      </c>
      <c r="M40" s="10">
        <f t="shared" si="4"/>
        <v>0.31761250356783927</v>
      </c>
      <c r="P40" s="8">
        <f t="shared" si="5"/>
        <v>-6.5443273090690122</v>
      </c>
    </row>
    <row r="41" spans="1:16" x14ac:dyDescent="0.2">
      <c r="A41" s="8">
        <v>19.5</v>
      </c>
      <c r="B41" s="8">
        <v>39</v>
      </c>
      <c r="D41">
        <v>779.66446402350005</v>
      </c>
      <c r="E41">
        <v>321.27092511013001</v>
      </c>
      <c r="F41">
        <v>145.71093176816001</v>
      </c>
      <c r="G41">
        <v>121.66764490094999</v>
      </c>
      <c r="I41" s="9">
        <f t="shared" si="1"/>
        <v>199.60328020918001</v>
      </c>
      <c r="J41" s="9">
        <f t="shared" si="2"/>
        <v>633.95353225534006</v>
      </c>
      <c r="K41" s="9">
        <f t="shared" si="3"/>
        <v>199.60328020918001</v>
      </c>
      <c r="L41" s="10">
        <f t="shared" si="0"/>
        <v>0.31485474889472653</v>
      </c>
      <c r="M41" s="10">
        <f t="shared" si="4"/>
        <v>0.31497395385430499</v>
      </c>
      <c r="P41" s="8">
        <f t="shared" si="5"/>
        <v>-7.3207055550033386</v>
      </c>
    </row>
    <row r="42" spans="1:16" x14ac:dyDescent="0.2">
      <c r="A42" s="8">
        <v>20</v>
      </c>
      <c r="B42" s="8">
        <v>40</v>
      </c>
      <c r="D42">
        <v>772.58620689655004</v>
      </c>
      <c r="E42">
        <v>318.06529713867002</v>
      </c>
      <c r="F42">
        <v>145.80264123257999</v>
      </c>
      <c r="G42">
        <v>121.5693323551</v>
      </c>
      <c r="I42" s="9">
        <f t="shared" si="1"/>
        <v>196.49596478357</v>
      </c>
      <c r="J42" s="9">
        <f t="shared" si="2"/>
        <v>626.78356566397008</v>
      </c>
      <c r="K42" s="9">
        <f t="shared" si="3"/>
        <v>196.49596478357</v>
      </c>
      <c r="L42" s="10">
        <f t="shared" si="0"/>
        <v>0.31349891022655663</v>
      </c>
      <c r="M42" s="10">
        <f t="shared" si="4"/>
        <v>0.31362117172356019</v>
      </c>
      <c r="P42" s="8">
        <f t="shared" si="5"/>
        <v>-7.7187540027591828</v>
      </c>
    </row>
    <row r="43" spans="1:16" x14ac:dyDescent="0.2">
      <c r="A43" s="8">
        <v>20.5</v>
      </c>
      <c r="B43" s="8">
        <v>41</v>
      </c>
      <c r="D43">
        <v>752.72560528247004</v>
      </c>
      <c r="E43">
        <v>311.79603815114001</v>
      </c>
      <c r="F43">
        <v>145.97798972854</v>
      </c>
      <c r="G43">
        <v>121.6698459281</v>
      </c>
      <c r="I43" s="9">
        <f t="shared" si="1"/>
        <v>190.12619222303999</v>
      </c>
      <c r="J43" s="9">
        <f t="shared" si="2"/>
        <v>606.74761555393002</v>
      </c>
      <c r="K43" s="9">
        <f t="shared" si="3"/>
        <v>190.12619222303999</v>
      </c>
      <c r="L43" s="10">
        <f t="shared" si="0"/>
        <v>0.31335301095409224</v>
      </c>
      <c r="M43" s="10">
        <f t="shared" si="4"/>
        <v>0.31347832898852085</v>
      </c>
      <c r="P43" s="8">
        <f t="shared" si="5"/>
        <v>-7.760784665098214</v>
      </c>
    </row>
    <row r="44" spans="1:16" x14ac:dyDescent="0.2">
      <c r="A44" s="8">
        <v>21</v>
      </c>
      <c r="B44" s="8">
        <v>42</v>
      </c>
      <c r="D44">
        <v>775.39353891335998</v>
      </c>
      <c r="E44">
        <v>321.16079295153997</v>
      </c>
      <c r="F44">
        <v>146.29200293470001</v>
      </c>
      <c r="G44">
        <v>121.57226705796</v>
      </c>
      <c r="I44" s="9">
        <f t="shared" si="1"/>
        <v>199.58852589357997</v>
      </c>
      <c r="J44" s="9">
        <f t="shared" si="2"/>
        <v>629.10153597865997</v>
      </c>
      <c r="K44" s="9">
        <f t="shared" si="3"/>
        <v>199.58852589357997</v>
      </c>
      <c r="L44" s="10">
        <f t="shared" si="0"/>
        <v>0.31725963851461697</v>
      </c>
      <c r="M44" s="10">
        <f t="shared" si="4"/>
        <v>0.31738801308647069</v>
      </c>
      <c r="P44" s="8">
        <f t="shared" si="5"/>
        <v>-6.6103823563777215</v>
      </c>
    </row>
    <row r="45" spans="1:16" x14ac:dyDescent="0.2">
      <c r="A45" s="8">
        <v>21.5</v>
      </c>
      <c r="B45" s="8">
        <v>43</v>
      </c>
      <c r="D45">
        <v>780.24449339207001</v>
      </c>
      <c r="E45">
        <v>324.48458149779998</v>
      </c>
      <c r="F45">
        <v>146.48936170213</v>
      </c>
      <c r="G45">
        <v>121.55392516508</v>
      </c>
      <c r="I45" s="9">
        <f t="shared" si="1"/>
        <v>202.93065633271999</v>
      </c>
      <c r="J45" s="9">
        <f t="shared" si="2"/>
        <v>633.75513168994007</v>
      </c>
      <c r="K45" s="9">
        <f t="shared" si="3"/>
        <v>202.93065633271999</v>
      </c>
      <c r="L45" s="10">
        <f t="shared" si="0"/>
        <v>0.32020357104106623</v>
      </c>
      <c r="M45" s="10">
        <f t="shared" si="4"/>
        <v>0.32033500215034505</v>
      </c>
      <c r="P45" s="8">
        <f t="shared" si="5"/>
        <v>-5.7432475859156078</v>
      </c>
    </row>
    <row r="46" spans="1:16" x14ac:dyDescent="0.2">
      <c r="A46" s="8">
        <v>22</v>
      </c>
      <c r="B46" s="8">
        <v>44</v>
      </c>
      <c r="D46">
        <v>750.73641703376995</v>
      </c>
      <c r="E46">
        <v>316.99706314244003</v>
      </c>
      <c r="F46">
        <v>145.86426999266001</v>
      </c>
      <c r="G46">
        <v>121.73954512106</v>
      </c>
      <c r="I46" s="9">
        <f t="shared" si="1"/>
        <v>195.25751802138001</v>
      </c>
      <c r="J46" s="9">
        <f t="shared" si="2"/>
        <v>604.87214704110988</v>
      </c>
      <c r="K46" s="9">
        <f t="shared" si="3"/>
        <v>195.25751802138001</v>
      </c>
      <c r="L46" s="10">
        <f t="shared" si="0"/>
        <v>0.32280791730373626</v>
      </c>
      <c r="M46" s="10">
        <f t="shared" si="4"/>
        <v>0.32294240495044013</v>
      </c>
      <c r="P46" s="8">
        <f t="shared" si="5"/>
        <v>-4.9760341421065366</v>
      </c>
    </row>
    <row r="47" spans="1:16" x14ac:dyDescent="0.2">
      <c r="A47" s="8">
        <v>22.5</v>
      </c>
      <c r="B47" s="8">
        <v>45</v>
      </c>
      <c r="D47">
        <v>818.62773722628003</v>
      </c>
      <c r="E47">
        <v>337.75109489050999</v>
      </c>
      <c r="F47">
        <v>145.69479090242001</v>
      </c>
      <c r="G47">
        <v>121.64856933236</v>
      </c>
      <c r="I47" s="9">
        <f t="shared" si="1"/>
        <v>216.10252555814998</v>
      </c>
      <c r="J47" s="9">
        <f t="shared" si="2"/>
        <v>672.93294632386005</v>
      </c>
      <c r="K47" s="9">
        <f t="shared" si="3"/>
        <v>216.10252555814998</v>
      </c>
      <c r="L47" s="10">
        <f t="shared" si="0"/>
        <v>0.32113530291344522</v>
      </c>
      <c r="M47" s="10">
        <f t="shared" si="4"/>
        <v>0.3212728470975742</v>
      </c>
      <c r="P47" s="8">
        <f t="shared" si="5"/>
        <v>-5.4672920443719786</v>
      </c>
    </row>
    <row r="48" spans="1:16" x14ac:dyDescent="0.2">
      <c r="A48" s="8">
        <v>23</v>
      </c>
      <c r="B48" s="8">
        <v>46</v>
      </c>
      <c r="D48">
        <v>843.23257520176003</v>
      </c>
      <c r="E48">
        <v>342.52898019076002</v>
      </c>
      <c r="F48">
        <v>145.54805575935001</v>
      </c>
      <c r="G48">
        <v>121.82978723404</v>
      </c>
      <c r="I48" s="9">
        <f t="shared" si="1"/>
        <v>220.69919295672003</v>
      </c>
      <c r="J48" s="9">
        <f t="shared" si="2"/>
        <v>697.68451944240996</v>
      </c>
      <c r="K48" s="9">
        <f t="shared" si="3"/>
        <v>220.69919295672003</v>
      </c>
      <c r="L48" s="10">
        <f t="shared" si="0"/>
        <v>0.31633093010735425</v>
      </c>
      <c r="M48" s="10">
        <f t="shared" si="4"/>
        <v>0.31647153082890833</v>
      </c>
      <c r="P48" s="8">
        <f t="shared" si="5"/>
        <v>-6.8800520479914171</v>
      </c>
    </row>
    <row r="49" spans="1:25" x14ac:dyDescent="0.2">
      <c r="A49" s="8">
        <v>23.5</v>
      </c>
      <c r="B49" s="8">
        <v>47</v>
      </c>
      <c r="D49">
        <v>822.45194424065005</v>
      </c>
      <c r="E49">
        <v>333.00660308144001</v>
      </c>
      <c r="F49">
        <v>145.91709464416999</v>
      </c>
      <c r="G49">
        <v>121.70579603815</v>
      </c>
      <c r="I49" s="9">
        <f t="shared" si="1"/>
        <v>211.30080704329001</v>
      </c>
      <c r="J49" s="9">
        <f t="shared" si="2"/>
        <v>676.53484959648006</v>
      </c>
      <c r="K49" s="9">
        <f t="shared" si="3"/>
        <v>211.30080704329001</v>
      </c>
      <c r="L49" s="10">
        <f t="shared" si="0"/>
        <v>0.31232804513961193</v>
      </c>
      <c r="M49" s="10">
        <f t="shared" si="4"/>
        <v>0.31247170239859107</v>
      </c>
      <c r="P49" s="8">
        <f t="shared" si="5"/>
        <v>-8.0569788137973131</v>
      </c>
    </row>
    <row r="50" spans="1:25" x14ac:dyDescent="0.2">
      <c r="A50" s="8">
        <v>24</v>
      </c>
      <c r="B50" s="8">
        <v>48</v>
      </c>
      <c r="D50">
        <v>812.47101980924003</v>
      </c>
      <c r="E50">
        <v>326.56126192223002</v>
      </c>
      <c r="F50">
        <v>146.14380044020999</v>
      </c>
      <c r="G50">
        <v>121.77696258253999</v>
      </c>
      <c r="I50" s="9">
        <f t="shared" si="1"/>
        <v>204.78429933969002</v>
      </c>
      <c r="J50" s="9">
        <f t="shared" si="2"/>
        <v>666.32721936902999</v>
      </c>
      <c r="K50" s="9">
        <f t="shared" si="3"/>
        <v>204.78429933969002</v>
      </c>
      <c r="L50" s="10">
        <f t="shared" si="0"/>
        <v>0.30733293401042194</v>
      </c>
      <c r="M50" s="10">
        <f t="shared" si="4"/>
        <v>0.30747964780682618</v>
      </c>
      <c r="P50" s="8">
        <f t="shared" si="5"/>
        <v>-9.5258624841267157</v>
      </c>
    </row>
    <row r="51" spans="1:25" x14ac:dyDescent="0.2">
      <c r="A51" s="8">
        <v>24.5</v>
      </c>
      <c r="B51" s="8">
        <v>49</v>
      </c>
      <c r="D51">
        <v>782.78023598820005</v>
      </c>
      <c r="E51">
        <v>324.47640117994001</v>
      </c>
      <c r="F51">
        <v>146.43140132062001</v>
      </c>
      <c r="G51">
        <v>121.91049156273</v>
      </c>
      <c r="I51" s="9">
        <f t="shared" si="1"/>
        <v>202.56590961721002</v>
      </c>
      <c r="J51" s="9">
        <f t="shared" si="2"/>
        <v>636.34883466758004</v>
      </c>
      <c r="K51" s="9">
        <f t="shared" si="3"/>
        <v>202.56590961721002</v>
      </c>
      <c r="L51" s="10">
        <f t="shared" si="0"/>
        <v>0.31832526215440893</v>
      </c>
      <c r="M51" s="10">
        <f t="shared" si="4"/>
        <v>0.31847503248823827</v>
      </c>
      <c r="P51" s="8">
        <f t="shared" si="5"/>
        <v>-6.2905330800453587</v>
      </c>
    </row>
    <row r="52" spans="1:25" x14ac:dyDescent="0.2">
      <c r="A52" s="8">
        <v>25</v>
      </c>
      <c r="B52" s="8">
        <v>50</v>
      </c>
      <c r="D52">
        <v>784.21460176991002</v>
      </c>
      <c r="E52">
        <v>333.77138643068002</v>
      </c>
      <c r="F52">
        <v>146.02347762289</v>
      </c>
      <c r="G52">
        <v>121.53851797506</v>
      </c>
      <c r="I52" s="9">
        <f t="shared" si="1"/>
        <v>212.23286845562001</v>
      </c>
      <c r="J52" s="9">
        <f t="shared" si="2"/>
        <v>638.19112414701999</v>
      </c>
      <c r="K52" s="9">
        <f t="shared" si="3"/>
        <v>212.23286845562001</v>
      </c>
      <c r="L52" s="10">
        <f t="shared" si="0"/>
        <v>0.33255377648706996</v>
      </c>
      <c r="M52" s="10">
        <f t="shared" si="4"/>
        <v>0.33270660335832436</v>
      </c>
      <c r="P52" s="8">
        <f t="shared" si="5"/>
        <v>-2.1029742963954194</v>
      </c>
    </row>
    <row r="53" spans="1:25" x14ac:dyDescent="0.2">
      <c r="A53" s="8">
        <v>25.5</v>
      </c>
      <c r="B53" s="8">
        <v>51</v>
      </c>
      <c r="D53">
        <v>798.98236590741999</v>
      </c>
      <c r="E53">
        <v>335.13519470977002</v>
      </c>
      <c r="F53">
        <v>146.14966984592999</v>
      </c>
      <c r="G53">
        <v>121.91122523845</v>
      </c>
      <c r="I53" s="9">
        <f t="shared" si="1"/>
        <v>213.22396947132</v>
      </c>
      <c r="J53" s="9">
        <f t="shared" si="2"/>
        <v>652.83269606148997</v>
      </c>
      <c r="K53" s="9">
        <f t="shared" si="3"/>
        <v>213.22396947132</v>
      </c>
      <c r="L53" s="10">
        <f t="shared" si="0"/>
        <v>0.32661349647113347</v>
      </c>
      <c r="M53" s="10">
        <f t="shared" si="4"/>
        <v>0.32676937987981297</v>
      </c>
      <c r="P53" s="8">
        <f t="shared" si="5"/>
        <v>-3.8499685358150786</v>
      </c>
      <c r="S53" s="11"/>
      <c r="U53" s="12"/>
    </row>
    <row r="54" spans="1:25" x14ac:dyDescent="0.2">
      <c r="A54" s="8">
        <v>26</v>
      </c>
      <c r="B54" s="8">
        <v>52</v>
      </c>
      <c r="D54">
        <v>778.92448680352004</v>
      </c>
      <c r="E54">
        <v>329.52932551319998</v>
      </c>
      <c r="F54">
        <v>146.07703595011</v>
      </c>
      <c r="G54">
        <v>121.91195891416</v>
      </c>
      <c r="I54" s="9">
        <f t="shared" si="1"/>
        <v>207.61736659904</v>
      </c>
      <c r="J54" s="9">
        <f t="shared" si="2"/>
        <v>632.84745085341001</v>
      </c>
      <c r="K54" s="9">
        <f t="shared" si="3"/>
        <v>207.61736659904</v>
      </c>
      <c r="L54" s="10">
        <f t="shared" si="0"/>
        <v>0.32806858322501414</v>
      </c>
      <c r="M54" s="10">
        <f t="shared" si="4"/>
        <v>0.32822752317111875</v>
      </c>
      <c r="P54" s="8">
        <f t="shared" si="5"/>
        <v>-3.4209181658265955</v>
      </c>
      <c r="S54" s="11"/>
    </row>
    <row r="55" spans="1:25" x14ac:dyDescent="0.2">
      <c r="A55" s="8">
        <v>26.5</v>
      </c>
      <c r="B55" s="8">
        <v>53</v>
      </c>
      <c r="D55">
        <v>748.38782991202004</v>
      </c>
      <c r="E55">
        <v>319.77346041056001</v>
      </c>
      <c r="F55">
        <v>146.70726338957999</v>
      </c>
      <c r="G55">
        <v>121.9713866471</v>
      </c>
      <c r="I55" s="9">
        <f t="shared" si="1"/>
        <v>197.80207376345999</v>
      </c>
      <c r="J55" s="9">
        <f t="shared" si="2"/>
        <v>601.68056652244002</v>
      </c>
      <c r="K55" s="9">
        <f t="shared" si="3"/>
        <v>197.80207376345999</v>
      </c>
      <c r="L55" s="10">
        <f t="shared" si="0"/>
        <v>0.32874931445219419</v>
      </c>
      <c r="M55" s="10">
        <f t="shared" si="4"/>
        <v>0.32891131093572384</v>
      </c>
      <c r="P55" s="8">
        <f t="shared" si="5"/>
        <v>-3.2197175052696418</v>
      </c>
      <c r="S55" s="11"/>
    </row>
    <row r="56" spans="1:25" x14ac:dyDescent="0.2">
      <c r="A56" s="8">
        <v>27</v>
      </c>
      <c r="B56" s="8">
        <v>54</v>
      </c>
      <c r="D56">
        <v>818.18041237113005</v>
      </c>
      <c r="E56">
        <v>339.18262150221</v>
      </c>
      <c r="F56">
        <v>146.502567865</v>
      </c>
      <c r="G56">
        <v>122.20983125459</v>
      </c>
      <c r="I56" s="9">
        <f t="shared" si="1"/>
        <v>216.97279024762</v>
      </c>
      <c r="J56" s="9">
        <f t="shared" si="2"/>
        <v>671.67784450612999</v>
      </c>
      <c r="K56" s="9">
        <f t="shared" si="3"/>
        <v>216.97279024762</v>
      </c>
      <c r="L56" s="10">
        <f t="shared" si="0"/>
        <v>0.32303103641471953</v>
      </c>
      <c r="M56" s="10">
        <f t="shared" si="4"/>
        <v>0.32319608943567429</v>
      </c>
      <c r="P56" s="8">
        <f t="shared" si="5"/>
        <v>-4.9013889252070477</v>
      </c>
      <c r="S56" s="11"/>
    </row>
    <row r="57" spans="1:25" x14ac:dyDescent="0.2">
      <c r="A57" s="8">
        <v>27.5</v>
      </c>
      <c r="B57" s="8">
        <v>55</v>
      </c>
      <c r="D57">
        <v>774.68335787923002</v>
      </c>
      <c r="E57">
        <v>324.38144329897</v>
      </c>
      <c r="F57">
        <v>146.24724871607</v>
      </c>
      <c r="G57">
        <v>121.64343360235</v>
      </c>
      <c r="I57" s="9">
        <f t="shared" si="1"/>
        <v>202.73800969662</v>
      </c>
      <c r="J57" s="9">
        <f t="shared" si="2"/>
        <v>628.43610916316004</v>
      </c>
      <c r="K57" s="9">
        <f t="shared" si="3"/>
        <v>202.73800969662</v>
      </c>
      <c r="L57" s="10">
        <f t="shared" si="0"/>
        <v>0.32260719385872111</v>
      </c>
      <c r="M57" s="10">
        <f t="shared" si="4"/>
        <v>0.32277530341710098</v>
      </c>
      <c r="P57" s="8">
        <f t="shared" si="5"/>
        <v>-5.0252028178685757</v>
      </c>
      <c r="S57" s="11"/>
    </row>
    <row r="58" spans="1:25" x14ac:dyDescent="0.2">
      <c r="A58" s="8">
        <v>28</v>
      </c>
      <c r="B58" s="8">
        <v>56</v>
      </c>
      <c r="D58">
        <v>764.81008035061996</v>
      </c>
      <c r="E58">
        <v>325.51205259313002</v>
      </c>
      <c r="F58">
        <v>146.40719002201001</v>
      </c>
      <c r="G58">
        <v>122.29567131328</v>
      </c>
      <c r="I58" s="9">
        <f t="shared" si="1"/>
        <v>203.21638127985003</v>
      </c>
      <c r="J58" s="9">
        <f t="shared" si="2"/>
        <v>618.40289032860994</v>
      </c>
      <c r="K58" s="9">
        <f t="shared" si="3"/>
        <v>203.21638127985003</v>
      </c>
      <c r="L58" s="10">
        <f t="shared" si="0"/>
        <v>0.32861486331647627</v>
      </c>
      <c r="M58" s="10">
        <f t="shared" si="4"/>
        <v>0.32878602941228124</v>
      </c>
      <c r="P58" s="8">
        <f t="shared" si="5"/>
        <v>-3.2565808809791945</v>
      </c>
      <c r="S58" s="11"/>
    </row>
    <row r="59" spans="1:25" x14ac:dyDescent="0.2">
      <c r="A59" s="8">
        <v>28.5</v>
      </c>
      <c r="B59" s="8">
        <v>57</v>
      </c>
      <c r="D59">
        <v>772.89011799410002</v>
      </c>
      <c r="E59">
        <v>328.44911504424999</v>
      </c>
      <c r="F59">
        <v>146.2105649303</v>
      </c>
      <c r="G59">
        <v>122.13499633162</v>
      </c>
      <c r="I59" s="9">
        <f t="shared" si="1"/>
        <v>206.31411871262998</v>
      </c>
      <c r="J59" s="9">
        <f t="shared" si="2"/>
        <v>626.67955306380009</v>
      </c>
      <c r="K59" s="9">
        <f t="shared" si="3"/>
        <v>206.31411871262998</v>
      </c>
      <c r="L59" s="10">
        <f t="shared" si="0"/>
        <v>0.32921788768114768</v>
      </c>
      <c r="M59" s="10">
        <f t="shared" si="4"/>
        <v>0.32939211031437771</v>
      </c>
      <c r="P59" s="8">
        <f t="shared" si="5"/>
        <v>-3.0782450227422631</v>
      </c>
      <c r="R59" s="1"/>
      <c r="S59" s="11"/>
    </row>
    <row r="60" spans="1:25" x14ac:dyDescent="0.2">
      <c r="A60" s="8">
        <v>29</v>
      </c>
      <c r="B60" s="8">
        <v>58</v>
      </c>
      <c r="D60">
        <v>770.32079646017996</v>
      </c>
      <c r="E60">
        <v>335.62536873156</v>
      </c>
      <c r="F60">
        <v>146.89361702127999</v>
      </c>
      <c r="G60">
        <v>121.91049156273</v>
      </c>
      <c r="I60" s="9">
        <f t="shared" si="1"/>
        <v>213.71487716883001</v>
      </c>
      <c r="J60" s="9">
        <f t="shared" si="2"/>
        <v>623.4271794389</v>
      </c>
      <c r="K60" s="9">
        <f t="shared" si="3"/>
        <v>213.71487716883001</v>
      </c>
      <c r="L60" s="10">
        <f t="shared" si="0"/>
        <v>0.34280648039948902</v>
      </c>
      <c r="M60" s="10">
        <f t="shared" si="4"/>
        <v>0.34298375957014415</v>
      </c>
      <c r="P60" s="8">
        <f t="shared" si="5"/>
        <v>0.92102046557481676</v>
      </c>
      <c r="S60" s="11"/>
    </row>
    <row r="61" spans="1:25" x14ac:dyDescent="0.2">
      <c r="A61" s="8">
        <v>29.5</v>
      </c>
      <c r="B61" s="8">
        <v>59</v>
      </c>
      <c r="C61" s="2"/>
      <c r="D61">
        <v>767.38523391812998</v>
      </c>
      <c r="E61">
        <v>336.32675438596999</v>
      </c>
      <c r="F61">
        <v>146.45047688922</v>
      </c>
      <c r="G61">
        <v>121.80044020542999</v>
      </c>
      <c r="I61" s="9">
        <f t="shared" si="1"/>
        <v>214.52631418054</v>
      </c>
      <c r="J61" s="9">
        <f t="shared" si="2"/>
        <v>620.93475702890998</v>
      </c>
      <c r="K61" s="9">
        <f t="shared" si="3"/>
        <v>214.52631418054</v>
      </c>
      <c r="L61" s="10">
        <f t="shared" si="0"/>
        <v>0.34548929940243611</v>
      </c>
      <c r="M61" s="10">
        <f t="shared" si="4"/>
        <v>0.34566963511051635</v>
      </c>
      <c r="P61" s="8">
        <f t="shared" si="5"/>
        <v>1.7113240668812046</v>
      </c>
      <c r="S61" s="11"/>
    </row>
    <row r="62" spans="1:25" x14ac:dyDescent="0.2">
      <c r="A62" s="8">
        <v>30</v>
      </c>
      <c r="B62" s="8">
        <v>60</v>
      </c>
      <c r="D62">
        <v>768.19809941520998</v>
      </c>
      <c r="E62">
        <v>336.51535087718997</v>
      </c>
      <c r="F62">
        <v>146.14306676448999</v>
      </c>
      <c r="G62">
        <v>122.02274394718</v>
      </c>
      <c r="I62" s="9">
        <f t="shared" si="1"/>
        <v>214.49260693000997</v>
      </c>
      <c r="J62" s="9">
        <f t="shared" si="2"/>
        <v>622.05503265072002</v>
      </c>
      <c r="K62" s="9">
        <f t="shared" si="3"/>
        <v>214.49260693000997</v>
      </c>
      <c r="L62" s="10">
        <f t="shared" si="0"/>
        <v>0.34481291151364452</v>
      </c>
      <c r="M62" s="10">
        <f t="shared" si="4"/>
        <v>0.3449963037591498</v>
      </c>
      <c r="P62" s="8">
        <f t="shared" si="5"/>
        <v>1.5132001464467759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774.80649926144997</v>
      </c>
      <c r="E63">
        <v>335.83161004431003</v>
      </c>
      <c r="F63">
        <v>147.12325752018</v>
      </c>
      <c r="G63">
        <v>122.29567131328</v>
      </c>
      <c r="I63" s="9">
        <f t="shared" si="1"/>
        <v>213.53593873103003</v>
      </c>
      <c r="J63" s="9">
        <f t="shared" si="2"/>
        <v>627.68324174126997</v>
      </c>
      <c r="K63" s="9">
        <f t="shared" si="3"/>
        <v>213.53593873103003</v>
      </c>
      <c r="L63" s="10">
        <f t="shared" si="0"/>
        <v>0.34019697282128364</v>
      </c>
      <c r="M63" s="10">
        <f t="shared" si="4"/>
        <v>0.34038342160421403</v>
      </c>
      <c r="P63" s="8">
        <f t="shared" si="5"/>
        <v>0.15588580903614374</v>
      </c>
    </row>
    <row r="64" spans="1:25" x14ac:dyDescent="0.2">
      <c r="A64" s="8">
        <v>31</v>
      </c>
      <c r="B64" s="8">
        <v>62</v>
      </c>
      <c r="D64">
        <v>786.36822840410002</v>
      </c>
      <c r="E64">
        <v>337.46778916544997</v>
      </c>
      <c r="F64">
        <v>147.00440205429001</v>
      </c>
      <c r="G64">
        <v>121.8466617755</v>
      </c>
      <c r="I64" s="9">
        <f t="shared" si="1"/>
        <v>215.62112738994998</v>
      </c>
      <c r="J64" s="9">
        <f t="shared" si="2"/>
        <v>639.36382634980998</v>
      </c>
      <c r="K64" s="9">
        <f t="shared" si="3"/>
        <v>215.62112738994998</v>
      </c>
      <c r="L64" s="10">
        <f t="shared" si="0"/>
        <v>0.33724323851875054</v>
      </c>
      <c r="M64" s="10">
        <f t="shared" si="4"/>
        <v>0.33743274383910604</v>
      </c>
      <c r="P64" s="8">
        <f t="shared" si="5"/>
        <v>-0.71233434078374713</v>
      </c>
      <c r="U64" s="8">
        <v>30.5</v>
      </c>
      <c r="V64" s="10">
        <f>L62</f>
        <v>0.34481291151364452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833.36002939014998</v>
      </c>
      <c r="E65">
        <v>346.45922116090998</v>
      </c>
      <c r="F65">
        <v>146.86867204696</v>
      </c>
      <c r="G65">
        <v>122.2487160675</v>
      </c>
      <c r="I65" s="9">
        <f t="shared" si="1"/>
        <v>224.21050509340998</v>
      </c>
      <c r="J65" s="9">
        <f t="shared" si="2"/>
        <v>686.49135734318997</v>
      </c>
      <c r="K65" s="9">
        <f t="shared" si="3"/>
        <v>224.21050509340998</v>
      </c>
      <c r="L65" s="10">
        <f t="shared" si="0"/>
        <v>0.32660353651229279</v>
      </c>
      <c r="M65" s="10">
        <f t="shared" si="4"/>
        <v>0.32679609837007334</v>
      </c>
      <c r="P65" s="8">
        <f t="shared" si="5"/>
        <v>-3.8421067720226603</v>
      </c>
      <c r="U65" s="8">
        <v>31</v>
      </c>
      <c r="V65" s="10">
        <f t="shared" ref="V65:V83" si="6">L63</f>
        <v>0.34019697282128364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816.71124173401995</v>
      </c>
      <c r="E66">
        <v>337.60764144012001</v>
      </c>
      <c r="F66">
        <v>146.68378576668999</v>
      </c>
      <c r="G66">
        <v>122.22377109318001</v>
      </c>
      <c r="I66" s="9">
        <f t="shared" si="1"/>
        <v>215.38387034694</v>
      </c>
      <c r="J66" s="9">
        <f t="shared" si="2"/>
        <v>670.02745596732996</v>
      </c>
      <c r="K66" s="9">
        <f t="shared" si="3"/>
        <v>215.38387034694</v>
      </c>
      <c r="L66" s="10">
        <f t="shared" ref="L66:L129" si="7">K66/J66</f>
        <v>0.32145529027013775</v>
      </c>
      <c r="M66" s="10">
        <f t="shared" si="4"/>
        <v>0.3216509086653434</v>
      </c>
      <c r="P66" s="8">
        <f t="shared" si="5"/>
        <v>-5.3560495783557993</v>
      </c>
      <c r="U66" s="8">
        <v>31.5</v>
      </c>
      <c r="V66" s="10">
        <f t="shared" si="6"/>
        <v>0.33724323851875054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815.10727406318995</v>
      </c>
      <c r="E67">
        <v>335.13886847906002</v>
      </c>
      <c r="F67">
        <v>147.05062362435999</v>
      </c>
      <c r="G67">
        <v>122.56639765224</v>
      </c>
      <c r="I67" s="9">
        <f t="shared" ref="I67:I130" si="8">E67-G67</f>
        <v>212.57247082682002</v>
      </c>
      <c r="J67" s="9">
        <f t="shared" ref="J67:J130" si="9">D67-F67</f>
        <v>668.05665043882993</v>
      </c>
      <c r="K67" s="9">
        <f t="shared" ref="K67:K130" si="10">I67*1</f>
        <v>212.57247082682002</v>
      </c>
      <c r="L67" s="10">
        <f t="shared" si="7"/>
        <v>0.31819527683346377</v>
      </c>
      <c r="M67" s="10">
        <f t="shared" ref="M67:M130" si="11">L67+ABS($N$2)*A67</f>
        <v>0.31839395176609453</v>
      </c>
      <c r="P67" s="8">
        <f t="shared" ref="P67:P130" si="12">(M67-$O$2)/$O$2*100</f>
        <v>-6.3143906213735193</v>
      </c>
      <c r="U67" s="8">
        <v>32</v>
      </c>
      <c r="V67" s="10">
        <f t="shared" si="6"/>
        <v>0.32660353651229279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813.10213078618995</v>
      </c>
      <c r="E68">
        <v>333.12417340191001</v>
      </c>
      <c r="F68">
        <v>146.81071166544001</v>
      </c>
      <c r="G68">
        <v>122.32795304475</v>
      </c>
      <c r="I68" s="9">
        <f t="shared" si="8"/>
        <v>210.79622035716</v>
      </c>
      <c r="J68" s="9">
        <f t="shared" si="9"/>
        <v>666.29141912074988</v>
      </c>
      <c r="K68" s="9">
        <f t="shared" si="10"/>
        <v>210.79622035716</v>
      </c>
      <c r="L68" s="10">
        <f t="shared" si="7"/>
        <v>0.31637240748999962</v>
      </c>
      <c r="M68" s="10">
        <f t="shared" si="11"/>
        <v>0.31657413896005543</v>
      </c>
      <c r="P68" s="8">
        <f t="shared" si="12"/>
        <v>-6.8498601890054145</v>
      </c>
      <c r="U68" s="8">
        <v>32.5</v>
      </c>
      <c r="V68" s="10">
        <f t="shared" si="6"/>
        <v>0.32145529027013775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792.63257852446998</v>
      </c>
      <c r="E69">
        <v>329.80131482834003</v>
      </c>
      <c r="F69">
        <v>147.06603081438001</v>
      </c>
      <c r="G69">
        <v>121.94937637564</v>
      </c>
      <c r="I69" s="9">
        <f t="shared" si="8"/>
        <v>207.85193845270004</v>
      </c>
      <c r="J69" s="9">
        <f t="shared" si="9"/>
        <v>645.56654771008994</v>
      </c>
      <c r="K69" s="9">
        <f t="shared" si="10"/>
        <v>207.85193845270004</v>
      </c>
      <c r="L69" s="10">
        <f t="shared" si="7"/>
        <v>0.32196826057666461</v>
      </c>
      <c r="M69" s="10">
        <f t="shared" si="11"/>
        <v>0.32217304858414553</v>
      </c>
      <c r="P69" s="8">
        <f t="shared" si="12"/>
        <v>-5.2024128770222893</v>
      </c>
      <c r="U69" s="8">
        <v>33</v>
      </c>
      <c r="V69" s="10">
        <f t="shared" si="6"/>
        <v>0.31819527683346377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785.14682249816997</v>
      </c>
      <c r="E70">
        <v>336.77794010226</v>
      </c>
      <c r="F70">
        <v>146.28393250183001</v>
      </c>
      <c r="G70">
        <v>122.00733675715</v>
      </c>
      <c r="I70" s="9">
        <f t="shared" si="8"/>
        <v>214.77060334511</v>
      </c>
      <c r="J70" s="9">
        <f t="shared" si="9"/>
        <v>638.86288999633996</v>
      </c>
      <c r="K70" s="9">
        <f t="shared" si="10"/>
        <v>214.77060334511</v>
      </c>
      <c r="L70" s="10">
        <f t="shared" si="7"/>
        <v>0.33617636383033678</v>
      </c>
      <c r="M70" s="10">
        <f t="shared" si="11"/>
        <v>0.3363842083752428</v>
      </c>
      <c r="P70" s="8">
        <f t="shared" si="12"/>
        <v>-1.0208599372727611</v>
      </c>
      <c r="U70" s="8">
        <v>33.5</v>
      </c>
      <c r="V70" s="10">
        <f t="shared" si="6"/>
        <v>0.31637240748999962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774.90233236152005</v>
      </c>
      <c r="E71">
        <v>336.54518950437</v>
      </c>
      <c r="F71">
        <v>146.86280264122999</v>
      </c>
      <c r="G71">
        <v>122.24724871607</v>
      </c>
      <c r="I71" s="9">
        <f t="shared" si="8"/>
        <v>214.2979407883</v>
      </c>
      <c r="J71" s="9">
        <f t="shared" si="9"/>
        <v>628.03952972029003</v>
      </c>
      <c r="K71" s="9">
        <f t="shared" si="10"/>
        <v>214.2979407883</v>
      </c>
      <c r="L71" s="10">
        <f t="shared" si="7"/>
        <v>0.34121728115385008</v>
      </c>
      <c r="M71" s="10">
        <f t="shared" si="11"/>
        <v>0.34142818223618121</v>
      </c>
      <c r="P71" s="8">
        <f t="shared" si="12"/>
        <v>0.4633006827098437</v>
      </c>
      <c r="U71" s="8">
        <v>34</v>
      </c>
      <c r="V71" s="10">
        <f t="shared" si="6"/>
        <v>0.32196826057666461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776.32725947521999</v>
      </c>
      <c r="E72">
        <v>339.72594752187001</v>
      </c>
      <c r="F72">
        <v>146.59060895083999</v>
      </c>
      <c r="G72">
        <v>122.17681584739999</v>
      </c>
      <c r="I72" s="9">
        <f t="shared" si="8"/>
        <v>217.54913167447</v>
      </c>
      <c r="J72" s="9">
        <f t="shared" si="9"/>
        <v>629.73665052438002</v>
      </c>
      <c r="K72" s="9">
        <f t="shared" si="10"/>
        <v>217.54913167447</v>
      </c>
      <c r="L72" s="10">
        <f t="shared" si="7"/>
        <v>0.34546048970362042</v>
      </c>
      <c r="M72" s="10">
        <f t="shared" si="11"/>
        <v>0.3456744473233766</v>
      </c>
      <c r="P72" s="8">
        <f t="shared" si="12"/>
        <v>1.712740033144921</v>
      </c>
      <c r="U72" s="8">
        <v>34.5</v>
      </c>
      <c r="V72" s="10">
        <f t="shared" si="6"/>
        <v>0.33617636383033678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798.09763313609994</v>
      </c>
      <c r="E73">
        <v>344.92455621302003</v>
      </c>
      <c r="F73">
        <v>147.10418195157999</v>
      </c>
      <c r="G73">
        <v>122.26705796038</v>
      </c>
      <c r="I73" s="9">
        <f t="shared" si="8"/>
        <v>222.65749825264004</v>
      </c>
      <c r="J73" s="9">
        <f t="shared" si="9"/>
        <v>650.99345118451993</v>
      </c>
      <c r="K73" s="9">
        <f t="shared" si="10"/>
        <v>222.65749825264004</v>
      </c>
      <c r="L73" s="10">
        <f t="shared" si="7"/>
        <v>0.34202724750533503</v>
      </c>
      <c r="M73" s="10">
        <f t="shared" si="11"/>
        <v>0.34224426166251631</v>
      </c>
      <c r="P73" s="8">
        <f t="shared" si="12"/>
        <v>0.70342741229587247</v>
      </c>
      <c r="U73" s="8">
        <v>35</v>
      </c>
      <c r="V73" s="10">
        <f t="shared" si="6"/>
        <v>0.34121728115385008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794.21005917160005</v>
      </c>
      <c r="E74">
        <v>339.25739644970002</v>
      </c>
      <c r="F74">
        <v>146.81658107116999</v>
      </c>
      <c r="G74">
        <v>121.71606749817001</v>
      </c>
      <c r="I74" s="9">
        <f t="shared" si="8"/>
        <v>217.54132895153003</v>
      </c>
      <c r="J74" s="9">
        <f t="shared" si="9"/>
        <v>647.39347810043</v>
      </c>
      <c r="K74" s="9">
        <f t="shared" si="10"/>
        <v>217.54132895153003</v>
      </c>
      <c r="L74" s="10">
        <f t="shared" si="7"/>
        <v>0.33602644498340606</v>
      </c>
      <c r="M74" s="10">
        <f t="shared" si="11"/>
        <v>0.33624651567801245</v>
      </c>
      <c r="P74" s="8">
        <f t="shared" si="12"/>
        <v>-1.0613752302783548</v>
      </c>
      <c r="U74" s="8">
        <v>35.5</v>
      </c>
      <c r="V74" s="10">
        <f t="shared" si="6"/>
        <v>0.34546048970362042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806.10294117647004</v>
      </c>
      <c r="E75">
        <v>340.50220588234998</v>
      </c>
      <c r="F75">
        <v>147.56346294938001</v>
      </c>
      <c r="G75">
        <v>122.31694790902</v>
      </c>
      <c r="I75" s="9">
        <f t="shared" si="8"/>
        <v>218.18525797332998</v>
      </c>
      <c r="J75" s="9">
        <f t="shared" si="9"/>
        <v>658.53947822709006</v>
      </c>
      <c r="K75" s="9">
        <f t="shared" si="10"/>
        <v>218.18525797332998</v>
      </c>
      <c r="L75" s="10">
        <f t="shared" si="7"/>
        <v>0.33131689927037483</v>
      </c>
      <c r="M75" s="10">
        <f t="shared" si="11"/>
        <v>0.33154002650240627</v>
      </c>
      <c r="P75" s="8">
        <f t="shared" si="12"/>
        <v>-2.4462329011128179</v>
      </c>
      <c r="U75" s="8">
        <v>36</v>
      </c>
      <c r="V75" s="10">
        <f t="shared" si="6"/>
        <v>0.34202724750533503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763.53474762252995</v>
      </c>
      <c r="E76">
        <v>324.28090709583</v>
      </c>
      <c r="F76">
        <v>146.80337490829001</v>
      </c>
      <c r="G76">
        <v>121.92369772561</v>
      </c>
      <c r="I76" s="9">
        <f t="shared" si="8"/>
        <v>202.35720937022</v>
      </c>
      <c r="J76" s="9">
        <f t="shared" si="9"/>
        <v>616.73137271423991</v>
      </c>
      <c r="K76" s="9">
        <f t="shared" si="10"/>
        <v>202.35720937022</v>
      </c>
      <c r="L76" s="10">
        <f t="shared" si="7"/>
        <v>0.32811239758996569</v>
      </c>
      <c r="M76" s="10">
        <f t="shared" si="11"/>
        <v>0.32833858135942223</v>
      </c>
      <c r="P76" s="8">
        <f t="shared" si="12"/>
        <v>-3.3882399255836977</v>
      </c>
      <c r="U76" s="8">
        <v>36.5</v>
      </c>
      <c r="V76" s="10">
        <f t="shared" si="6"/>
        <v>0.33602644498340606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753.80029476787001</v>
      </c>
      <c r="E77">
        <v>342.26602800295001</v>
      </c>
      <c r="F77">
        <v>146.88921496699001</v>
      </c>
      <c r="G77">
        <v>122.42699926632</v>
      </c>
      <c r="I77" s="9">
        <f t="shared" si="8"/>
        <v>219.83902873663001</v>
      </c>
      <c r="J77" s="9">
        <f t="shared" si="9"/>
        <v>606.91107980087997</v>
      </c>
      <c r="K77" s="9">
        <f t="shared" si="10"/>
        <v>219.83902873663001</v>
      </c>
      <c r="L77" s="10">
        <f t="shared" si="7"/>
        <v>0.36222609217936258</v>
      </c>
      <c r="M77" s="10">
        <f t="shared" si="11"/>
        <v>0.36245533248624423</v>
      </c>
      <c r="P77" s="8">
        <f t="shared" si="12"/>
        <v>6.6504200477167927</v>
      </c>
      <c r="U77" s="8">
        <v>37</v>
      </c>
      <c r="V77" s="10">
        <f t="shared" si="6"/>
        <v>0.33131689927037483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768.17096536478005</v>
      </c>
      <c r="E78">
        <v>344.10095799558002</v>
      </c>
      <c r="F78">
        <v>146.67498165811</v>
      </c>
      <c r="G78">
        <v>122.31914893617</v>
      </c>
      <c r="I78" s="9">
        <f t="shared" si="8"/>
        <v>221.78180905941002</v>
      </c>
      <c r="J78" s="9">
        <f t="shared" si="9"/>
        <v>621.49598370667002</v>
      </c>
      <c r="K78" s="9">
        <f t="shared" si="10"/>
        <v>221.78180905941002</v>
      </c>
      <c r="L78" s="10">
        <f t="shared" si="7"/>
        <v>0.35685155636353283</v>
      </c>
      <c r="M78" s="10">
        <f t="shared" si="11"/>
        <v>0.35708385320783953</v>
      </c>
      <c r="P78" s="8">
        <f t="shared" si="12"/>
        <v>5.0698928213965422</v>
      </c>
      <c r="U78" s="8">
        <v>37.5</v>
      </c>
      <c r="V78" s="10">
        <f t="shared" si="6"/>
        <v>0.32811239758996569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768.07647058824</v>
      </c>
      <c r="E79">
        <v>350.89338235294002</v>
      </c>
      <c r="F79">
        <v>147.13939838591</v>
      </c>
      <c r="G79">
        <v>122.20689655172001</v>
      </c>
      <c r="I79" s="9">
        <f t="shared" si="8"/>
        <v>228.68648580122002</v>
      </c>
      <c r="J79" s="9">
        <f t="shared" si="9"/>
        <v>620.93707220233</v>
      </c>
      <c r="K79" s="9">
        <f t="shared" si="10"/>
        <v>228.68648580122002</v>
      </c>
      <c r="L79" s="10">
        <f t="shared" si="7"/>
        <v>0.36829253081977908</v>
      </c>
      <c r="M79" s="10">
        <f t="shared" si="11"/>
        <v>0.36852788420151089</v>
      </c>
      <c r="P79" s="8">
        <f t="shared" si="12"/>
        <v>8.4372338510955913</v>
      </c>
      <c r="U79" s="8">
        <v>38</v>
      </c>
      <c r="V79" s="10">
        <f t="shared" si="6"/>
        <v>0.36222609217936258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766.18308823529003</v>
      </c>
      <c r="E80">
        <v>343.41911764705998</v>
      </c>
      <c r="F80">
        <v>147.08290535583001</v>
      </c>
      <c r="G80">
        <v>122.57813646368</v>
      </c>
      <c r="I80" s="9">
        <f t="shared" si="8"/>
        <v>220.84098118337999</v>
      </c>
      <c r="J80" s="9">
        <f t="shared" si="9"/>
        <v>619.10018287946002</v>
      </c>
      <c r="K80" s="9">
        <f t="shared" si="10"/>
        <v>220.84098118337999</v>
      </c>
      <c r="L80" s="10">
        <f t="shared" si="7"/>
        <v>0.35671283467602877</v>
      </c>
      <c r="M80" s="10">
        <f t="shared" si="11"/>
        <v>0.35695124459518568</v>
      </c>
      <c r="P80" s="8">
        <f t="shared" si="12"/>
        <v>5.0308734913608477</v>
      </c>
      <c r="U80" s="8">
        <v>38.5</v>
      </c>
      <c r="V80" s="10">
        <f t="shared" si="6"/>
        <v>0.35685155636353283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762.32090643275001</v>
      </c>
      <c r="E81">
        <v>344.60891812865998</v>
      </c>
      <c r="F81">
        <v>147.28980190755999</v>
      </c>
      <c r="G81">
        <v>122.24064563463</v>
      </c>
      <c r="I81" s="9">
        <f t="shared" si="8"/>
        <v>222.36827249402998</v>
      </c>
      <c r="J81" s="9">
        <f t="shared" si="9"/>
        <v>615.03110452519002</v>
      </c>
      <c r="K81" s="9">
        <f t="shared" si="10"/>
        <v>222.36827249402998</v>
      </c>
      <c r="L81" s="10">
        <f t="shared" si="7"/>
        <v>0.36155614058853242</v>
      </c>
      <c r="M81" s="10">
        <f t="shared" si="11"/>
        <v>0.36179760704511438</v>
      </c>
      <c r="P81" s="8">
        <f t="shared" si="12"/>
        <v>6.4568880776078128</v>
      </c>
      <c r="U81" s="8">
        <v>39</v>
      </c>
      <c r="V81" s="10">
        <f t="shared" si="6"/>
        <v>0.36829253081977908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772.22002923977004</v>
      </c>
      <c r="E82">
        <v>346.58845029240001</v>
      </c>
      <c r="F82">
        <v>146.72487160675001</v>
      </c>
      <c r="G82">
        <v>122.35363169479</v>
      </c>
      <c r="H82" s="13"/>
      <c r="I82" s="14">
        <f t="shared" si="8"/>
        <v>224.23481859761</v>
      </c>
      <c r="J82" s="14">
        <f t="shared" si="9"/>
        <v>625.49515763301997</v>
      </c>
      <c r="K82" s="9">
        <f t="shared" si="10"/>
        <v>224.23481859761</v>
      </c>
      <c r="L82" s="15">
        <f t="shared" si="7"/>
        <v>0.35849169391838731</v>
      </c>
      <c r="M82" s="15">
        <f t="shared" si="11"/>
        <v>0.35873621691239438</v>
      </c>
      <c r="N82" s="13"/>
      <c r="O82" s="13"/>
      <c r="P82" s="13">
        <f t="shared" si="12"/>
        <v>5.5560914433165669</v>
      </c>
      <c r="U82" s="8">
        <v>39.5</v>
      </c>
      <c r="V82" s="10">
        <f t="shared" si="6"/>
        <v>0.35671283467602877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779.48571428570995</v>
      </c>
      <c r="E83">
        <v>344.63809523809999</v>
      </c>
      <c r="F83">
        <v>147.02347762289</v>
      </c>
      <c r="G83">
        <v>121.98165810712</v>
      </c>
      <c r="I83" s="9">
        <f t="shared" si="8"/>
        <v>222.65643713098001</v>
      </c>
      <c r="J83" s="9">
        <f t="shared" si="9"/>
        <v>632.46223666281992</v>
      </c>
      <c r="K83" s="9">
        <f t="shared" si="10"/>
        <v>222.65643713098001</v>
      </c>
      <c r="L83" s="10">
        <f t="shared" si="7"/>
        <v>0.35204700648346099</v>
      </c>
      <c r="M83" s="10">
        <f t="shared" si="11"/>
        <v>0.35229458601489316</v>
      </c>
      <c r="P83" s="8">
        <f t="shared" si="12"/>
        <v>3.6606781897760667</v>
      </c>
      <c r="U83" s="8">
        <v>40</v>
      </c>
      <c r="V83" s="10">
        <f t="shared" si="6"/>
        <v>0.36155614058853242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809.62954876274</v>
      </c>
      <c r="E84">
        <v>351.43304221251998</v>
      </c>
      <c r="F84">
        <v>147.92516507703999</v>
      </c>
      <c r="G84">
        <v>121.89141599413</v>
      </c>
      <c r="I84" s="9">
        <f t="shared" si="8"/>
        <v>229.54162621838998</v>
      </c>
      <c r="J84" s="9">
        <f t="shared" si="9"/>
        <v>661.70438368570001</v>
      </c>
      <c r="K84" s="9">
        <f t="shared" si="10"/>
        <v>229.54162621838998</v>
      </c>
      <c r="L84" s="10">
        <f t="shared" si="7"/>
        <v>0.34689452250541375</v>
      </c>
      <c r="M84" s="10">
        <f t="shared" si="11"/>
        <v>0.34714515857427097</v>
      </c>
      <c r="P84" s="8">
        <f t="shared" si="12"/>
        <v>2.1454884537595929</v>
      </c>
      <c r="U84" s="8">
        <v>150.5</v>
      </c>
      <c r="V84" s="10">
        <f>L302</f>
        <v>0.2951148237278905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840.54592211608997</v>
      </c>
      <c r="E85">
        <v>382.85231447464997</v>
      </c>
      <c r="F85">
        <v>147.27366104181999</v>
      </c>
      <c r="G85">
        <v>122.40572267058</v>
      </c>
      <c r="I85" s="9">
        <f t="shared" si="8"/>
        <v>260.44659180406995</v>
      </c>
      <c r="J85" s="9">
        <f t="shared" si="9"/>
        <v>693.27226107426998</v>
      </c>
      <c r="K85" s="9">
        <f t="shared" si="10"/>
        <v>260.44659180406995</v>
      </c>
      <c r="L85" s="10">
        <f t="shared" si="7"/>
        <v>0.37567721431763501</v>
      </c>
      <c r="M85" s="10">
        <f t="shared" si="11"/>
        <v>0.37593090692391734</v>
      </c>
      <c r="P85" s="8">
        <f t="shared" si="12"/>
        <v>10.615531181008384</v>
      </c>
      <c r="U85" s="8">
        <v>151</v>
      </c>
      <c r="V85" s="10">
        <f t="shared" ref="V85:V103" si="13">L303</f>
        <v>0.29736225538543065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806.03232916973002</v>
      </c>
      <c r="E86">
        <v>370.38795003673999</v>
      </c>
      <c r="F86">
        <v>147.53118121790001</v>
      </c>
      <c r="G86">
        <v>122.30227439472</v>
      </c>
      <c r="I86" s="9">
        <f t="shared" si="8"/>
        <v>248.08567564201999</v>
      </c>
      <c r="J86" s="9">
        <f t="shared" si="9"/>
        <v>658.50114795183003</v>
      </c>
      <c r="K86" s="9">
        <f t="shared" si="10"/>
        <v>248.08567564201999</v>
      </c>
      <c r="L86" s="10">
        <f t="shared" si="7"/>
        <v>0.37674296607326141</v>
      </c>
      <c r="M86" s="10">
        <f t="shared" si="11"/>
        <v>0.37699971521696884</v>
      </c>
      <c r="P86" s="8">
        <f t="shared" si="12"/>
        <v>10.930021942180321</v>
      </c>
      <c r="U86" s="8">
        <v>151.5</v>
      </c>
      <c r="V86" s="10">
        <f t="shared" si="13"/>
        <v>0.29323770738280491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760.80102414044995</v>
      </c>
      <c r="E87">
        <v>370.52377468909998</v>
      </c>
      <c r="F87">
        <v>147.41379310344999</v>
      </c>
      <c r="G87">
        <v>122.52384446075</v>
      </c>
      <c r="I87" s="9">
        <f t="shared" si="8"/>
        <v>247.99993022834997</v>
      </c>
      <c r="J87" s="9">
        <f t="shared" si="9"/>
        <v>613.38723103699999</v>
      </c>
      <c r="K87" s="9">
        <f t="shared" si="10"/>
        <v>247.99993022834997</v>
      </c>
      <c r="L87" s="10">
        <f t="shared" si="7"/>
        <v>0.40431218271218045</v>
      </c>
      <c r="M87" s="10">
        <f t="shared" si="11"/>
        <v>0.40457198839331299</v>
      </c>
      <c r="P87" s="8">
        <f t="shared" si="12"/>
        <v>19.043006501564882</v>
      </c>
      <c r="U87" s="8">
        <v>152</v>
      </c>
      <c r="V87" s="10">
        <f t="shared" si="13"/>
        <v>0.321445559264525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741.74798534799004</v>
      </c>
      <c r="E88">
        <v>371.99413919414002</v>
      </c>
      <c r="F88">
        <v>147.73514306676</v>
      </c>
      <c r="G88">
        <v>122.50623624358001</v>
      </c>
      <c r="I88" s="9">
        <f t="shared" si="8"/>
        <v>249.48790295056</v>
      </c>
      <c r="J88" s="9">
        <f t="shared" si="9"/>
        <v>594.01284228123006</v>
      </c>
      <c r="K88" s="9">
        <f t="shared" si="10"/>
        <v>249.48790295056</v>
      </c>
      <c r="L88" s="10">
        <f t="shared" si="7"/>
        <v>0.42000422413837679</v>
      </c>
      <c r="M88" s="10">
        <f t="shared" si="11"/>
        <v>0.42026708635693438</v>
      </c>
      <c r="P88" s="8">
        <f t="shared" si="12"/>
        <v>23.661199808387906</v>
      </c>
      <c r="U88" s="8">
        <v>152.5</v>
      </c>
      <c r="V88" s="10">
        <f t="shared" si="13"/>
        <v>0.32515064602319882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760.68058608059005</v>
      </c>
      <c r="E89">
        <v>378.37289377289</v>
      </c>
      <c r="F89">
        <v>147.79603815114001</v>
      </c>
      <c r="G89">
        <v>122.402054292</v>
      </c>
      <c r="I89" s="9">
        <f t="shared" si="8"/>
        <v>255.97083948088999</v>
      </c>
      <c r="J89" s="9">
        <f t="shared" si="9"/>
        <v>612.88454792945004</v>
      </c>
      <c r="K89" s="9">
        <f t="shared" si="10"/>
        <v>255.97083948088999</v>
      </c>
      <c r="L89" s="10">
        <f t="shared" si="7"/>
        <v>0.41764936046381634</v>
      </c>
      <c r="M89" s="10">
        <f t="shared" si="11"/>
        <v>0.41791527921979904</v>
      </c>
      <c r="P89" s="8">
        <f t="shared" si="12"/>
        <v>22.969193934653873</v>
      </c>
      <c r="U89" s="8">
        <v>153</v>
      </c>
      <c r="V89" s="10">
        <f t="shared" si="13"/>
        <v>0.32376947983557391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747.55531135530998</v>
      </c>
      <c r="E90">
        <v>370.97948717948998</v>
      </c>
      <c r="F90">
        <v>147.36463683052</v>
      </c>
      <c r="G90">
        <v>122.72560528247</v>
      </c>
      <c r="I90" s="9">
        <f t="shared" si="8"/>
        <v>248.25388189701999</v>
      </c>
      <c r="J90" s="9">
        <f t="shared" si="9"/>
        <v>600.19067452478998</v>
      </c>
      <c r="K90" s="9">
        <f t="shared" si="10"/>
        <v>248.25388189701999</v>
      </c>
      <c r="L90" s="10">
        <f t="shared" si="7"/>
        <v>0.41362502357034914</v>
      </c>
      <c r="M90" s="10">
        <f t="shared" si="11"/>
        <v>0.41389399886375694</v>
      </c>
      <c r="P90" s="8">
        <f t="shared" si="12"/>
        <v>21.785955061715516</v>
      </c>
      <c r="U90" s="8">
        <v>153.5</v>
      </c>
      <c r="V90" s="10">
        <f t="shared" si="13"/>
        <v>0.31454488463914865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770.48717948718001</v>
      </c>
      <c r="E91">
        <v>389.81391941392002</v>
      </c>
      <c r="F91">
        <v>147.62949376376</v>
      </c>
      <c r="G91">
        <v>122.50476889215</v>
      </c>
      <c r="I91" s="9">
        <f t="shared" si="8"/>
        <v>267.30915052176999</v>
      </c>
      <c r="J91" s="9">
        <f t="shared" si="9"/>
        <v>622.85768572341999</v>
      </c>
      <c r="K91" s="9">
        <f t="shared" si="10"/>
        <v>267.30915052176999</v>
      </c>
      <c r="L91" s="10">
        <f t="shared" si="7"/>
        <v>0.42916569330167764</v>
      </c>
      <c r="M91" s="10">
        <f t="shared" si="11"/>
        <v>0.42943772513251049</v>
      </c>
      <c r="P91" s="8">
        <f t="shared" si="12"/>
        <v>26.359608108280113</v>
      </c>
      <c r="U91" s="8">
        <v>154</v>
      </c>
      <c r="V91" s="10">
        <f t="shared" si="13"/>
        <v>0.3077638728083682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775.19047619048001</v>
      </c>
      <c r="E92">
        <v>401.08571428571003</v>
      </c>
      <c r="F92">
        <v>147.12325752018</v>
      </c>
      <c r="G92">
        <v>122.39325018341999</v>
      </c>
      <c r="I92" s="9">
        <f t="shared" si="8"/>
        <v>278.69246410229005</v>
      </c>
      <c r="J92" s="9">
        <f t="shared" si="9"/>
        <v>628.06721867030001</v>
      </c>
      <c r="K92" s="9">
        <f t="shared" si="10"/>
        <v>278.69246410229005</v>
      </c>
      <c r="L92" s="10">
        <f t="shared" si="7"/>
        <v>0.44373031391817941</v>
      </c>
      <c r="M92" s="10">
        <f t="shared" si="11"/>
        <v>0.44400540228643737</v>
      </c>
      <c r="P92" s="8">
        <f t="shared" si="12"/>
        <v>30.646064254279271</v>
      </c>
      <c r="U92" s="8">
        <v>154.5</v>
      </c>
      <c r="V92" s="10">
        <f t="shared" si="13"/>
        <v>0.30180068786386743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768.40952380952001</v>
      </c>
      <c r="E93">
        <v>390.56630036630003</v>
      </c>
      <c r="F93">
        <v>147.62802641233</v>
      </c>
      <c r="G93">
        <v>122.49523110785</v>
      </c>
      <c r="I93" s="9">
        <f t="shared" si="8"/>
        <v>268.07106925845005</v>
      </c>
      <c r="J93" s="9">
        <f t="shared" si="9"/>
        <v>620.78149739719004</v>
      </c>
      <c r="K93" s="9">
        <f t="shared" si="10"/>
        <v>268.07106925845005</v>
      </c>
      <c r="L93" s="10">
        <f t="shared" si="7"/>
        <v>0.43182838145533858</v>
      </c>
      <c r="M93" s="10">
        <f t="shared" si="11"/>
        <v>0.43210652636102165</v>
      </c>
      <c r="P93" s="8">
        <f t="shared" si="12"/>
        <v>27.144887690434917</v>
      </c>
      <c r="U93" s="8">
        <v>155</v>
      </c>
      <c r="V93" s="10">
        <f t="shared" si="13"/>
        <v>0.34138566536421955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747.11305616337995</v>
      </c>
      <c r="E94">
        <v>388.71407731583002</v>
      </c>
      <c r="F94">
        <v>147.87747615553999</v>
      </c>
      <c r="G94">
        <v>122.65957446809</v>
      </c>
      <c r="I94" s="9">
        <f t="shared" si="8"/>
        <v>266.05450284774003</v>
      </c>
      <c r="J94" s="9">
        <f t="shared" si="9"/>
        <v>599.23558000783999</v>
      </c>
      <c r="K94" s="9">
        <f t="shared" si="10"/>
        <v>266.05450284774003</v>
      </c>
      <c r="L94" s="10">
        <f t="shared" si="7"/>
        <v>0.44398982924922309</v>
      </c>
      <c r="M94" s="10">
        <f t="shared" si="11"/>
        <v>0.4442710306923312</v>
      </c>
      <c r="P94" s="8">
        <f t="shared" si="12"/>
        <v>30.724223901899457</v>
      </c>
      <c r="U94" s="8">
        <v>155.5</v>
      </c>
      <c r="V94" s="10">
        <f t="shared" si="13"/>
        <v>0.34386522785077539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740.99781181619005</v>
      </c>
      <c r="E95">
        <v>388.76659372721002</v>
      </c>
      <c r="F95">
        <v>147.63976522377001</v>
      </c>
      <c r="G95">
        <v>122.60088041086</v>
      </c>
      <c r="I95" s="9">
        <f t="shared" si="8"/>
        <v>266.16571331635004</v>
      </c>
      <c r="J95" s="9">
        <f t="shared" si="9"/>
        <v>593.35804659242001</v>
      </c>
      <c r="K95" s="9">
        <f t="shared" si="10"/>
        <v>266.16571331635004</v>
      </c>
      <c r="L95" s="10">
        <f t="shared" si="7"/>
        <v>0.44857521499018338</v>
      </c>
      <c r="M95" s="10">
        <f t="shared" si="11"/>
        <v>0.4488594729707166</v>
      </c>
      <c r="P95" s="8">
        <f t="shared" si="12"/>
        <v>32.074346944641768</v>
      </c>
      <c r="U95" s="8">
        <v>156</v>
      </c>
      <c r="V95" s="10">
        <f t="shared" si="13"/>
        <v>0.33816418925070296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722.70459518600001</v>
      </c>
      <c r="E96">
        <v>374.91903719913</v>
      </c>
      <c r="F96">
        <v>147.77622890681999</v>
      </c>
      <c r="G96">
        <v>122.698459281</v>
      </c>
      <c r="I96" s="9">
        <f t="shared" si="8"/>
        <v>252.22057791813</v>
      </c>
      <c r="J96" s="9">
        <f t="shared" si="9"/>
        <v>574.92836627917995</v>
      </c>
      <c r="K96" s="9">
        <f t="shared" si="10"/>
        <v>252.22057791813</v>
      </c>
      <c r="L96" s="10">
        <f t="shared" si="7"/>
        <v>0.43869913664279697</v>
      </c>
      <c r="M96" s="10">
        <f t="shared" si="11"/>
        <v>0.4389864511607553</v>
      </c>
      <c r="P96" s="8">
        <f t="shared" si="12"/>
        <v>29.169266431824088</v>
      </c>
      <c r="U96" s="8">
        <v>156.5</v>
      </c>
      <c r="V96" s="10">
        <f t="shared" si="13"/>
        <v>0.35783790038774271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740.46446886446995</v>
      </c>
      <c r="E97">
        <v>375.90476190475999</v>
      </c>
      <c r="F97">
        <v>147.55539251651001</v>
      </c>
      <c r="G97">
        <v>122.36683785767001</v>
      </c>
      <c r="I97" s="9">
        <f t="shared" si="8"/>
        <v>253.53792404708997</v>
      </c>
      <c r="J97" s="9">
        <f t="shared" si="9"/>
        <v>592.90907634795997</v>
      </c>
      <c r="K97" s="9">
        <f t="shared" si="10"/>
        <v>253.53792404708997</v>
      </c>
      <c r="L97" s="10">
        <f t="shared" si="7"/>
        <v>0.42761687105342339</v>
      </c>
      <c r="M97" s="10">
        <f t="shared" si="11"/>
        <v>0.42790724210880676</v>
      </c>
      <c r="P97" s="8">
        <f t="shared" si="12"/>
        <v>25.909272183480063</v>
      </c>
      <c r="U97" s="8">
        <v>157</v>
      </c>
      <c r="V97" s="10">
        <f t="shared" si="13"/>
        <v>0.36602699357768048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747.44761904762004</v>
      </c>
      <c r="E98">
        <v>378.98827838827998</v>
      </c>
      <c r="F98">
        <v>147.58694057227001</v>
      </c>
      <c r="G98">
        <v>122.82831988261</v>
      </c>
      <c r="I98" s="9">
        <f t="shared" si="8"/>
        <v>256.15995850566998</v>
      </c>
      <c r="J98" s="9">
        <f t="shared" si="9"/>
        <v>599.86067847535003</v>
      </c>
      <c r="K98" s="9">
        <f t="shared" si="10"/>
        <v>256.15995850566998</v>
      </c>
      <c r="L98" s="10">
        <f t="shared" si="7"/>
        <v>0.42703242218967402</v>
      </c>
      <c r="M98" s="10">
        <f t="shared" si="11"/>
        <v>0.4273258497824825</v>
      </c>
      <c r="P98" s="8">
        <f t="shared" si="12"/>
        <v>25.73820079824295</v>
      </c>
      <c r="U98" s="8">
        <v>157.5</v>
      </c>
      <c r="V98" s="10">
        <f t="shared" si="13"/>
        <v>0.36257431177588534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746.89304029304003</v>
      </c>
      <c r="E99">
        <v>380.20805860806001</v>
      </c>
      <c r="F99">
        <v>148.53484959648</v>
      </c>
      <c r="G99">
        <v>122.35803374907999</v>
      </c>
      <c r="I99" s="9">
        <f t="shared" si="8"/>
        <v>257.85002485898002</v>
      </c>
      <c r="J99" s="9">
        <f t="shared" si="9"/>
        <v>598.35819069656009</v>
      </c>
      <c r="K99" s="9">
        <f t="shared" si="10"/>
        <v>257.85002485898002</v>
      </c>
      <c r="L99" s="10">
        <f t="shared" si="7"/>
        <v>0.43092921408631829</v>
      </c>
      <c r="M99" s="10">
        <f t="shared" si="11"/>
        <v>0.43122569821655188</v>
      </c>
      <c r="P99" s="8">
        <f t="shared" si="12"/>
        <v>26.885709018808896</v>
      </c>
      <c r="U99" s="8">
        <v>158</v>
      </c>
      <c r="V99" s="10">
        <f t="shared" si="13"/>
        <v>0.34897559103072667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745.05201465202003</v>
      </c>
      <c r="E100">
        <v>377.84981684982</v>
      </c>
      <c r="F100">
        <v>147.42039618489</v>
      </c>
      <c r="G100">
        <v>122.40352164343</v>
      </c>
      <c r="I100" s="9">
        <f t="shared" si="8"/>
        <v>255.44629520639</v>
      </c>
      <c r="J100" s="9">
        <f t="shared" si="9"/>
        <v>597.63161846713001</v>
      </c>
      <c r="K100" s="9">
        <f t="shared" si="10"/>
        <v>255.44629520639</v>
      </c>
      <c r="L100" s="10">
        <f t="shared" si="7"/>
        <v>0.42743102492064627</v>
      </c>
      <c r="M100" s="10">
        <f t="shared" si="11"/>
        <v>0.42773056558830491</v>
      </c>
      <c r="P100" s="8">
        <f t="shared" si="12"/>
        <v>25.857286122205032</v>
      </c>
      <c r="U100" s="8">
        <v>158.5</v>
      </c>
      <c r="V100" s="10">
        <f t="shared" si="13"/>
        <v>0.37890262553091481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744.69304029303999</v>
      </c>
      <c r="E101">
        <v>379.21611721611998</v>
      </c>
      <c r="F101">
        <v>147.95377842993</v>
      </c>
      <c r="G101">
        <v>122.20469552458</v>
      </c>
      <c r="I101" s="9">
        <f t="shared" si="8"/>
        <v>257.01142169153997</v>
      </c>
      <c r="J101" s="9">
        <f t="shared" si="9"/>
        <v>596.73926186310996</v>
      </c>
      <c r="K101" s="9">
        <f t="shared" si="10"/>
        <v>257.01142169153997</v>
      </c>
      <c r="L101" s="10">
        <f t="shared" si="7"/>
        <v>0.43069299795879284</v>
      </c>
      <c r="M101" s="10">
        <f t="shared" si="11"/>
        <v>0.43099559516387659</v>
      </c>
      <c r="P101" s="8">
        <f t="shared" si="12"/>
        <v>26.818002504315796</v>
      </c>
      <c r="U101" s="8">
        <v>159</v>
      </c>
      <c r="V101" s="10">
        <f t="shared" si="13"/>
        <v>0.38489789140365416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735.73231218088995</v>
      </c>
      <c r="E102">
        <v>365.54777534646001</v>
      </c>
      <c r="F102">
        <v>148.34262655905999</v>
      </c>
      <c r="G102">
        <v>122.14893617021001</v>
      </c>
      <c r="I102" s="9">
        <f t="shared" si="8"/>
        <v>243.39883917625002</v>
      </c>
      <c r="J102" s="9">
        <f t="shared" si="9"/>
        <v>587.38968562182993</v>
      </c>
      <c r="K102" s="9">
        <f t="shared" si="10"/>
        <v>243.39883917625002</v>
      </c>
      <c r="L102" s="10">
        <f t="shared" si="7"/>
        <v>0.4143737030700157</v>
      </c>
      <c r="M102" s="10">
        <f t="shared" si="11"/>
        <v>0.41467935681252455</v>
      </c>
      <c r="P102" s="8">
        <f t="shared" si="12"/>
        <v>22.017042171261782</v>
      </c>
      <c r="U102" s="8">
        <v>159.5</v>
      </c>
      <c r="V102" s="10">
        <f t="shared" si="13"/>
        <v>0.38856254351733188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722.80889861415005</v>
      </c>
      <c r="E103">
        <v>350.43471918308001</v>
      </c>
      <c r="F103">
        <v>147.68598679383999</v>
      </c>
      <c r="G103">
        <v>122.42479823918001</v>
      </c>
      <c r="I103" s="9">
        <f t="shared" si="8"/>
        <v>228.0099209439</v>
      </c>
      <c r="J103" s="9">
        <f t="shared" si="9"/>
        <v>575.12291182031004</v>
      </c>
      <c r="K103" s="9">
        <f t="shared" si="10"/>
        <v>228.0099209439</v>
      </c>
      <c r="L103" s="10">
        <f t="shared" si="7"/>
        <v>0.39645424700996584</v>
      </c>
      <c r="M103" s="10">
        <f t="shared" si="11"/>
        <v>0.3967629572898998</v>
      </c>
      <c r="P103" s="8">
        <f t="shared" si="12"/>
        <v>16.745243514793788</v>
      </c>
      <c r="U103" s="8">
        <v>160</v>
      </c>
      <c r="V103" s="10">
        <f t="shared" si="13"/>
        <v>0.37947564086938101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738.61706783370005</v>
      </c>
      <c r="E104">
        <v>362.42450765863998</v>
      </c>
      <c r="F104">
        <v>147.92809977990001</v>
      </c>
      <c r="G104">
        <v>122.48055759354</v>
      </c>
      <c r="I104" s="9">
        <f t="shared" si="8"/>
        <v>239.94395006509998</v>
      </c>
      <c r="J104" s="9">
        <f t="shared" si="9"/>
        <v>590.68896805380007</v>
      </c>
      <c r="K104" s="9">
        <f t="shared" si="10"/>
        <v>239.94395006509998</v>
      </c>
      <c r="L104" s="10">
        <f t="shared" si="7"/>
        <v>0.40621031209651071</v>
      </c>
      <c r="M104" s="10">
        <f t="shared" si="11"/>
        <v>0.40652207891386971</v>
      </c>
      <c r="P104" s="8">
        <f t="shared" si="12"/>
        <v>19.61680954571333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727.40700218817994</v>
      </c>
      <c r="E105">
        <v>347.68854850474003</v>
      </c>
      <c r="F105">
        <v>147.84592809978</v>
      </c>
      <c r="G105">
        <v>122.25678650037</v>
      </c>
      <c r="I105" s="9">
        <f t="shared" si="8"/>
        <v>225.43176200437003</v>
      </c>
      <c r="J105" s="9">
        <f t="shared" si="9"/>
        <v>579.56107408839989</v>
      </c>
      <c r="K105" s="9">
        <f t="shared" si="10"/>
        <v>225.43176200437003</v>
      </c>
      <c r="L105" s="10">
        <f t="shared" si="7"/>
        <v>0.38896981195459851</v>
      </c>
      <c r="M105" s="10">
        <f t="shared" si="11"/>
        <v>0.38928463530938262</v>
      </c>
      <c r="P105" s="8">
        <f t="shared" si="12"/>
        <v>14.544789806461331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718.48504741065005</v>
      </c>
      <c r="E106">
        <v>350.9992706054</v>
      </c>
      <c r="F106">
        <v>147.28980190755999</v>
      </c>
      <c r="G106">
        <v>122.3206162876</v>
      </c>
      <c r="I106" s="9">
        <f t="shared" si="8"/>
        <v>228.67865431780001</v>
      </c>
      <c r="J106" s="9">
        <f t="shared" si="9"/>
        <v>571.19524550309006</v>
      </c>
      <c r="K106" s="9">
        <f t="shared" si="10"/>
        <v>228.67865431780001</v>
      </c>
      <c r="L106" s="10">
        <f t="shared" si="7"/>
        <v>0.40035111657203543</v>
      </c>
      <c r="M106" s="10">
        <f t="shared" si="11"/>
        <v>0.40066899646424464</v>
      </c>
      <c r="P106" s="8">
        <f t="shared" si="12"/>
        <v>17.894573325474735</v>
      </c>
      <c r="X106" s="8">
        <v>-13</v>
      </c>
    </row>
    <row r="107" spans="1:25" x14ac:dyDescent="0.2">
      <c r="A107" s="8">
        <v>52.5</v>
      </c>
      <c r="B107" s="8">
        <v>105</v>
      </c>
      <c r="D107">
        <v>716.38366156090001</v>
      </c>
      <c r="E107">
        <v>346.12983223923999</v>
      </c>
      <c r="F107">
        <v>148.38517975055001</v>
      </c>
      <c r="G107">
        <v>122.32501834189</v>
      </c>
      <c r="I107" s="9">
        <f t="shared" si="8"/>
        <v>223.80481389734999</v>
      </c>
      <c r="J107" s="9">
        <f t="shared" si="9"/>
        <v>567.99848181034997</v>
      </c>
      <c r="K107" s="9">
        <f t="shared" si="10"/>
        <v>223.80481389734999</v>
      </c>
      <c r="L107" s="10">
        <f t="shared" si="7"/>
        <v>0.3940236128519734</v>
      </c>
      <c r="M107" s="10">
        <f t="shared" si="11"/>
        <v>0.39434454928160767</v>
      </c>
      <c r="P107" s="8">
        <f t="shared" si="12"/>
        <v>16.033640713527497</v>
      </c>
      <c r="X107" s="8">
        <v>-13</v>
      </c>
    </row>
    <row r="108" spans="1:25" x14ac:dyDescent="0.2">
      <c r="A108" s="8">
        <v>53</v>
      </c>
      <c r="B108" s="8">
        <v>106</v>
      </c>
      <c r="D108">
        <v>721.31728665208004</v>
      </c>
      <c r="E108">
        <v>351.77388767322998</v>
      </c>
      <c r="F108">
        <v>147.80704328687</v>
      </c>
      <c r="G108">
        <v>122.28173147469001</v>
      </c>
      <c r="I108" s="9">
        <f t="shared" si="8"/>
        <v>229.49215619853999</v>
      </c>
      <c r="J108" s="9">
        <f t="shared" si="9"/>
        <v>573.51024336521004</v>
      </c>
      <c r="K108" s="9">
        <f t="shared" si="10"/>
        <v>229.49215619853999</v>
      </c>
      <c r="L108" s="10">
        <f t="shared" si="7"/>
        <v>0.40015354364368327</v>
      </c>
      <c r="M108" s="10">
        <f t="shared" si="11"/>
        <v>0.40047753661074265</v>
      </c>
      <c r="P108" s="8">
        <f t="shared" si="12"/>
        <v>17.838237352547541</v>
      </c>
      <c r="X108" s="8">
        <v>-13</v>
      </c>
    </row>
    <row r="109" spans="1:25" x14ac:dyDescent="0.2">
      <c r="A109" s="8">
        <v>53.5</v>
      </c>
      <c r="B109" s="8">
        <v>107</v>
      </c>
      <c r="D109">
        <v>677.01604668126004</v>
      </c>
      <c r="E109">
        <v>326.29394602479999</v>
      </c>
      <c r="F109">
        <v>147.36903888481001</v>
      </c>
      <c r="G109">
        <v>122.13793103448</v>
      </c>
      <c r="I109" s="9">
        <f t="shared" si="8"/>
        <v>204.15601499031999</v>
      </c>
      <c r="J109" s="9">
        <f t="shared" si="9"/>
        <v>529.64700779645</v>
      </c>
      <c r="K109" s="9">
        <f t="shared" si="10"/>
        <v>204.15601499031999</v>
      </c>
      <c r="L109" s="10">
        <f t="shared" si="7"/>
        <v>0.38545675135538521</v>
      </c>
      <c r="M109" s="10">
        <f t="shared" si="11"/>
        <v>0.38578380085986969</v>
      </c>
      <c r="P109" s="8">
        <f t="shared" si="12"/>
        <v>13.514689181380193</v>
      </c>
      <c r="X109" s="8">
        <v>-13</v>
      </c>
    </row>
    <row r="110" spans="1:25" x14ac:dyDescent="0.2">
      <c r="A110" s="8">
        <v>54</v>
      </c>
      <c r="B110" s="8">
        <v>108</v>
      </c>
      <c r="D110">
        <v>686.69657184537004</v>
      </c>
      <c r="E110">
        <v>334.79285193290002</v>
      </c>
      <c r="F110">
        <v>147.87234042553001</v>
      </c>
      <c r="G110">
        <v>122.54218635363</v>
      </c>
      <c r="I110" s="9">
        <f t="shared" si="8"/>
        <v>212.25066557927002</v>
      </c>
      <c r="J110" s="9">
        <f t="shared" si="9"/>
        <v>538.82423141984009</v>
      </c>
      <c r="K110" s="9">
        <f t="shared" si="10"/>
        <v>212.25066557927002</v>
      </c>
      <c r="L110" s="10">
        <f t="shared" si="7"/>
        <v>0.39391447749106318</v>
      </c>
      <c r="M110" s="10">
        <f t="shared" si="11"/>
        <v>0.3942445835329727</v>
      </c>
      <c r="P110" s="8">
        <f t="shared" si="12"/>
        <v>16.004226360566616</v>
      </c>
      <c r="X110" s="8">
        <v>-13</v>
      </c>
    </row>
    <row r="111" spans="1:25" x14ac:dyDescent="0.2">
      <c r="A111" s="8">
        <v>54.5</v>
      </c>
      <c r="B111" s="8">
        <v>109</v>
      </c>
      <c r="D111">
        <v>695.86293294030997</v>
      </c>
      <c r="E111">
        <v>346.40530582167003</v>
      </c>
      <c r="F111">
        <v>148.40132061629001</v>
      </c>
      <c r="G111">
        <v>122.27219369039</v>
      </c>
      <c r="I111" s="9">
        <f t="shared" si="8"/>
        <v>224.13311213128003</v>
      </c>
      <c r="J111" s="9">
        <f t="shared" si="9"/>
        <v>547.46161232401994</v>
      </c>
      <c r="K111" s="9">
        <f t="shared" si="10"/>
        <v>224.13311213128003</v>
      </c>
      <c r="L111" s="10">
        <f t="shared" si="7"/>
        <v>0.40940425243665285</v>
      </c>
      <c r="M111" s="10">
        <f t="shared" si="11"/>
        <v>0.40973741501598748</v>
      </c>
      <c r="P111" s="8">
        <f t="shared" si="12"/>
        <v>20.562903905901738</v>
      </c>
      <c r="X111" s="8">
        <v>-13</v>
      </c>
    </row>
    <row r="112" spans="1:25" x14ac:dyDescent="0.2">
      <c r="A112" s="8">
        <v>55</v>
      </c>
      <c r="B112" s="8">
        <v>110</v>
      </c>
      <c r="D112">
        <v>674.30729550478998</v>
      </c>
      <c r="E112">
        <v>337.31392778187001</v>
      </c>
      <c r="F112">
        <v>148.15260454879001</v>
      </c>
      <c r="G112">
        <v>122.00880410857999</v>
      </c>
      <c r="I112" s="9">
        <f t="shared" si="8"/>
        <v>215.30512367329001</v>
      </c>
      <c r="J112" s="9">
        <f t="shared" si="9"/>
        <v>526.15469095599997</v>
      </c>
      <c r="K112" s="9">
        <f t="shared" si="10"/>
        <v>215.30512367329001</v>
      </c>
      <c r="L112" s="10">
        <f t="shared" si="7"/>
        <v>0.40920498738135369</v>
      </c>
      <c r="M112" s="10">
        <f t="shared" si="11"/>
        <v>0.40954120649811343</v>
      </c>
      <c r="P112" s="8">
        <f t="shared" si="12"/>
        <v>20.505170665492034</v>
      </c>
      <c r="X112" s="8">
        <v>-13</v>
      </c>
    </row>
    <row r="113" spans="1:24" x14ac:dyDescent="0.2">
      <c r="A113" s="8">
        <v>55.5</v>
      </c>
      <c r="B113" s="8">
        <v>111</v>
      </c>
      <c r="D113">
        <v>667.60722181281994</v>
      </c>
      <c r="E113">
        <v>335.57406042741002</v>
      </c>
      <c r="F113">
        <v>148.03301540718999</v>
      </c>
      <c r="G113">
        <v>122.28760088041</v>
      </c>
      <c r="I113" s="9">
        <f t="shared" si="8"/>
        <v>213.28645954700002</v>
      </c>
      <c r="J113" s="9">
        <f t="shared" si="9"/>
        <v>519.57420640562998</v>
      </c>
      <c r="K113" s="9">
        <f t="shared" si="10"/>
        <v>213.28645954700002</v>
      </c>
      <c r="L113" s="10">
        <f t="shared" si="7"/>
        <v>0.41050240161554119</v>
      </c>
      <c r="M113" s="10">
        <f t="shared" si="11"/>
        <v>0.41084167726972598</v>
      </c>
      <c r="P113" s="8">
        <f t="shared" si="12"/>
        <v>20.88782679335441</v>
      </c>
      <c r="X113" s="8">
        <v>-13</v>
      </c>
    </row>
    <row r="114" spans="1:24" x14ac:dyDescent="0.2">
      <c r="A114" s="8">
        <v>56</v>
      </c>
      <c r="B114" s="8">
        <v>112</v>
      </c>
      <c r="D114">
        <v>665.78260869564997</v>
      </c>
      <c r="E114">
        <v>330.85630066323</v>
      </c>
      <c r="F114">
        <v>148.20469552457999</v>
      </c>
      <c r="G114">
        <v>122.32134996332</v>
      </c>
      <c r="I114" s="9">
        <f t="shared" si="8"/>
        <v>208.53495069990998</v>
      </c>
      <c r="J114" s="9">
        <f t="shared" si="9"/>
        <v>517.57791317107001</v>
      </c>
      <c r="K114" s="9">
        <f t="shared" si="10"/>
        <v>208.53495069990998</v>
      </c>
      <c r="L114" s="10">
        <f t="shared" si="7"/>
        <v>0.40290542813596636</v>
      </c>
      <c r="M114" s="10">
        <f t="shared" si="11"/>
        <v>0.40324776032757625</v>
      </c>
      <c r="P114" s="8">
        <f t="shared" si="12"/>
        <v>18.65335992503077</v>
      </c>
      <c r="X114" s="8">
        <v>-13</v>
      </c>
    </row>
    <row r="115" spans="1:24" x14ac:dyDescent="0.2">
      <c r="A115" s="8">
        <v>56.5</v>
      </c>
      <c r="B115" s="8">
        <v>113</v>
      </c>
      <c r="D115">
        <v>665.40162122329002</v>
      </c>
      <c r="E115">
        <v>336.59616801768999</v>
      </c>
      <c r="F115">
        <v>148.34262655905999</v>
      </c>
      <c r="G115">
        <v>122.35656639765</v>
      </c>
      <c r="I115" s="9">
        <f t="shared" si="8"/>
        <v>214.23960162003999</v>
      </c>
      <c r="J115" s="9">
        <f t="shared" si="9"/>
        <v>517.05899466423</v>
      </c>
      <c r="K115" s="9">
        <f t="shared" si="10"/>
        <v>214.23960162003999</v>
      </c>
      <c r="L115" s="10">
        <f t="shared" si="7"/>
        <v>0.41434266462991098</v>
      </c>
      <c r="M115" s="10">
        <f t="shared" si="11"/>
        <v>0.41468805335894598</v>
      </c>
      <c r="P115" s="8">
        <f t="shared" si="12"/>
        <v>22.019601080582966</v>
      </c>
      <c r="X115" s="8">
        <v>-13</v>
      </c>
    </row>
    <row r="116" spans="1:24" x14ac:dyDescent="0.2">
      <c r="A116" s="8">
        <v>57</v>
      </c>
      <c r="B116" s="8">
        <v>114</v>
      </c>
      <c r="D116">
        <v>701.07216494844999</v>
      </c>
      <c r="E116">
        <v>347.48895434462003</v>
      </c>
      <c r="F116">
        <v>148.44167278063</v>
      </c>
      <c r="G116">
        <v>122.3683052091</v>
      </c>
      <c r="I116" s="9">
        <f t="shared" si="8"/>
        <v>225.12064913552001</v>
      </c>
      <c r="J116" s="9">
        <f t="shared" si="9"/>
        <v>552.63049216781997</v>
      </c>
      <c r="K116" s="9">
        <f t="shared" si="10"/>
        <v>225.12064913552001</v>
      </c>
      <c r="L116" s="10">
        <f t="shared" si="7"/>
        <v>0.40736197572528543</v>
      </c>
      <c r="M116" s="10">
        <f t="shared" si="11"/>
        <v>0.40771042099174548</v>
      </c>
      <c r="P116" s="8">
        <f t="shared" si="12"/>
        <v>19.966472443197773</v>
      </c>
      <c r="X116" s="8">
        <v>-13</v>
      </c>
    </row>
    <row r="117" spans="1:24" x14ac:dyDescent="0.2">
      <c r="A117" s="8">
        <v>57.5</v>
      </c>
      <c r="B117" s="8">
        <v>115</v>
      </c>
      <c r="D117">
        <v>700.89214966985003</v>
      </c>
      <c r="E117">
        <v>360.87674247982</v>
      </c>
      <c r="F117">
        <v>147.77916360968999</v>
      </c>
      <c r="G117">
        <v>122.19809244314</v>
      </c>
      <c r="I117" s="9">
        <f t="shared" si="8"/>
        <v>238.67865003667998</v>
      </c>
      <c r="J117" s="9">
        <f t="shared" si="9"/>
        <v>553.11298606015998</v>
      </c>
      <c r="K117" s="9">
        <f t="shared" si="10"/>
        <v>238.67865003667998</v>
      </c>
      <c r="L117" s="10">
        <f t="shared" si="7"/>
        <v>0.43151879643397095</v>
      </c>
      <c r="M117" s="10">
        <f t="shared" si="11"/>
        <v>0.43187029823785611</v>
      </c>
      <c r="P117" s="8">
        <f t="shared" si="12"/>
        <v>27.075378908787606</v>
      </c>
      <c r="X117" s="8">
        <v>-13</v>
      </c>
    </row>
    <row r="118" spans="1:24" x14ac:dyDescent="0.2">
      <c r="A118" s="8">
        <v>58</v>
      </c>
      <c r="B118" s="8">
        <v>116</v>
      </c>
      <c r="D118">
        <v>697.91562729274006</v>
      </c>
      <c r="E118">
        <v>352.27146001467003</v>
      </c>
      <c r="F118">
        <v>148.34262655905999</v>
      </c>
      <c r="G118">
        <v>122.35803374907999</v>
      </c>
      <c r="I118" s="9">
        <f t="shared" si="8"/>
        <v>229.91342626559003</v>
      </c>
      <c r="J118" s="9">
        <f t="shared" si="9"/>
        <v>549.57300073368003</v>
      </c>
      <c r="K118" s="9">
        <f t="shared" si="10"/>
        <v>229.91342626559003</v>
      </c>
      <c r="L118" s="10">
        <f t="shared" si="7"/>
        <v>0.41834920194160846</v>
      </c>
      <c r="M118" s="10">
        <f t="shared" si="11"/>
        <v>0.41870376028291872</v>
      </c>
      <c r="P118" s="8">
        <f t="shared" si="12"/>
        <v>23.201200002834913</v>
      </c>
      <c r="X118" s="8">
        <v>-13</v>
      </c>
    </row>
    <row r="119" spans="1:24" x14ac:dyDescent="0.2">
      <c r="A119" s="8">
        <v>58.5</v>
      </c>
      <c r="B119" s="8">
        <v>117</v>
      </c>
      <c r="D119">
        <v>663.86060161409</v>
      </c>
      <c r="E119">
        <v>341.98826118855999</v>
      </c>
      <c r="F119">
        <v>148.91562729274</v>
      </c>
      <c r="G119">
        <v>122.62068965517</v>
      </c>
      <c r="I119" s="9">
        <f t="shared" si="8"/>
        <v>219.36757153338999</v>
      </c>
      <c r="J119" s="9">
        <f t="shared" si="9"/>
        <v>514.94497432134995</v>
      </c>
      <c r="K119" s="9">
        <f t="shared" si="10"/>
        <v>219.36757153338999</v>
      </c>
      <c r="L119" s="10">
        <f t="shared" si="7"/>
        <v>0.42600196617608754</v>
      </c>
      <c r="M119" s="10">
        <f t="shared" si="11"/>
        <v>0.42635958105482291</v>
      </c>
      <c r="P119" s="8">
        <f t="shared" si="12"/>
        <v>25.453881720973531</v>
      </c>
      <c r="X119" s="8">
        <v>-13</v>
      </c>
    </row>
    <row r="120" spans="1:24" x14ac:dyDescent="0.2">
      <c r="A120" s="8">
        <v>59</v>
      </c>
      <c r="B120" s="8">
        <v>118</v>
      </c>
      <c r="D120">
        <v>669.74963396779003</v>
      </c>
      <c r="E120">
        <v>342.65592972181997</v>
      </c>
      <c r="F120">
        <v>148.13279530448</v>
      </c>
      <c r="G120">
        <v>122.20836390316001</v>
      </c>
      <c r="I120" s="9">
        <f t="shared" si="8"/>
        <v>220.44756581865997</v>
      </c>
      <c r="J120" s="9">
        <f t="shared" si="9"/>
        <v>521.61683866331009</v>
      </c>
      <c r="K120" s="9">
        <f t="shared" si="10"/>
        <v>220.44756581865997</v>
      </c>
      <c r="L120" s="10">
        <f t="shared" si="7"/>
        <v>0.42262356097164466</v>
      </c>
      <c r="M120" s="10">
        <f t="shared" si="11"/>
        <v>0.42298423238780508</v>
      </c>
      <c r="P120" s="8">
        <f t="shared" si="12"/>
        <v>24.46070457366638</v>
      </c>
      <c r="X120" s="8">
        <v>-13</v>
      </c>
    </row>
    <row r="121" spans="1:24" x14ac:dyDescent="0.2">
      <c r="A121" s="8">
        <v>59.5</v>
      </c>
      <c r="B121" s="8">
        <v>119</v>
      </c>
      <c r="D121">
        <v>707.67715959003999</v>
      </c>
      <c r="E121">
        <v>352.44436310395002</v>
      </c>
      <c r="F121">
        <v>147.91489361702</v>
      </c>
      <c r="G121">
        <v>122.12252384446001</v>
      </c>
      <c r="I121" s="9">
        <f t="shared" si="8"/>
        <v>230.32183925949002</v>
      </c>
      <c r="J121" s="9">
        <f t="shared" si="9"/>
        <v>559.76226597302002</v>
      </c>
      <c r="K121" s="9">
        <f t="shared" si="10"/>
        <v>230.32183925949002</v>
      </c>
      <c r="L121" s="10">
        <f t="shared" si="7"/>
        <v>0.41146367531424727</v>
      </c>
      <c r="M121" s="10">
        <f t="shared" si="11"/>
        <v>0.41182740326783279</v>
      </c>
      <c r="P121" s="8">
        <f t="shared" si="12"/>
        <v>21.177871061785851</v>
      </c>
      <c r="X121" s="8">
        <v>-13</v>
      </c>
    </row>
    <row r="122" spans="1:24" x14ac:dyDescent="0.2">
      <c r="A122" s="8">
        <v>60</v>
      </c>
      <c r="B122" s="8">
        <v>120</v>
      </c>
      <c r="D122">
        <v>708.48571428570995</v>
      </c>
      <c r="E122">
        <v>367.38241758241998</v>
      </c>
      <c r="F122">
        <v>147.80337490829001</v>
      </c>
      <c r="G122">
        <v>121.89728539985001</v>
      </c>
      <c r="I122" s="9">
        <f t="shared" si="8"/>
        <v>245.48513218256997</v>
      </c>
      <c r="J122" s="9">
        <f t="shared" si="9"/>
        <v>560.68233937741991</v>
      </c>
      <c r="K122" s="9">
        <f t="shared" si="10"/>
        <v>245.48513218256997</v>
      </c>
      <c r="L122" s="10">
        <f t="shared" si="7"/>
        <v>0.43783282429611742</v>
      </c>
      <c r="M122" s="10">
        <f t="shared" si="11"/>
        <v>0.43819960878712805</v>
      </c>
      <c r="P122" s="8">
        <f t="shared" si="12"/>
        <v>28.93774253870583</v>
      </c>
      <c r="X122" s="8">
        <v>-13</v>
      </c>
    </row>
    <row r="123" spans="1:24" x14ac:dyDescent="0.2">
      <c r="A123" s="8">
        <v>60.5</v>
      </c>
      <c r="B123" s="8">
        <v>121</v>
      </c>
      <c r="D123">
        <v>693.46300366299999</v>
      </c>
      <c r="E123">
        <v>358.28498168497998</v>
      </c>
      <c r="F123">
        <v>148.44754218635001</v>
      </c>
      <c r="G123">
        <v>122.20249449743</v>
      </c>
      <c r="I123" s="9">
        <f t="shared" si="8"/>
        <v>236.08248718754999</v>
      </c>
      <c r="J123" s="9">
        <f t="shared" si="9"/>
        <v>545.01546147664999</v>
      </c>
      <c r="K123" s="9">
        <f t="shared" si="10"/>
        <v>236.08248718754999</v>
      </c>
      <c r="L123" s="10">
        <f t="shared" si="7"/>
        <v>0.4331665867751982</v>
      </c>
      <c r="M123" s="10">
        <f t="shared" si="11"/>
        <v>0.43353642780363388</v>
      </c>
      <c r="P123" s="8">
        <f t="shared" si="12"/>
        <v>27.56562805707642</v>
      </c>
      <c r="X123" s="8">
        <v>-13</v>
      </c>
    </row>
    <row r="124" spans="1:24" x14ac:dyDescent="0.2">
      <c r="A124" s="8">
        <v>61</v>
      </c>
      <c r="B124" s="8">
        <v>122</v>
      </c>
      <c r="D124">
        <v>739.18042366690997</v>
      </c>
      <c r="E124">
        <v>399.80423666910002</v>
      </c>
      <c r="F124">
        <v>147.32795304474999</v>
      </c>
      <c r="G124">
        <v>121.98532648569</v>
      </c>
      <c r="I124" s="9">
        <f t="shared" si="8"/>
        <v>277.81891018341003</v>
      </c>
      <c r="J124" s="9">
        <f t="shared" si="9"/>
        <v>591.85247062216001</v>
      </c>
      <c r="K124" s="9">
        <f t="shared" si="10"/>
        <v>277.81891018341003</v>
      </c>
      <c r="L124" s="10">
        <f t="shared" si="7"/>
        <v>0.46940567789024279</v>
      </c>
      <c r="M124" s="10">
        <f t="shared" si="11"/>
        <v>0.46977857545610358</v>
      </c>
      <c r="P124" s="8">
        <f t="shared" si="12"/>
        <v>38.229673869435814</v>
      </c>
      <c r="X124" s="8">
        <v>-13</v>
      </c>
    </row>
    <row r="125" spans="1:24" x14ac:dyDescent="0.2">
      <c r="A125" s="8">
        <v>61.5</v>
      </c>
      <c r="B125" s="8">
        <v>123</v>
      </c>
      <c r="D125">
        <v>719.07596785974999</v>
      </c>
      <c r="E125">
        <v>372.75383491600002</v>
      </c>
      <c r="F125">
        <v>147.42993396918999</v>
      </c>
      <c r="G125">
        <v>122.14673514307</v>
      </c>
      <c r="I125" s="9">
        <f t="shared" si="8"/>
        <v>250.60709977293001</v>
      </c>
      <c r="J125" s="9">
        <f t="shared" si="9"/>
        <v>571.64603389056003</v>
      </c>
      <c r="K125" s="9">
        <f t="shared" si="10"/>
        <v>250.60709977293001</v>
      </c>
      <c r="L125" s="10">
        <f t="shared" si="7"/>
        <v>0.43839558908040638</v>
      </c>
      <c r="M125" s="10">
        <f t="shared" si="11"/>
        <v>0.43877154318369227</v>
      </c>
      <c r="P125" s="8">
        <f t="shared" si="12"/>
        <v>29.106030981904901</v>
      </c>
      <c r="X125" s="8">
        <v>-13</v>
      </c>
    </row>
    <row r="126" spans="1:24" x14ac:dyDescent="0.2">
      <c r="A126" s="8">
        <v>62</v>
      </c>
      <c r="B126" s="8">
        <v>124</v>
      </c>
      <c r="D126">
        <v>729.72980910425997</v>
      </c>
      <c r="E126">
        <v>392.92511013216</v>
      </c>
      <c r="F126">
        <v>147.55245781364999</v>
      </c>
      <c r="G126">
        <v>121.597945708</v>
      </c>
      <c r="I126" s="9">
        <f t="shared" si="8"/>
        <v>271.32716442416</v>
      </c>
      <c r="J126" s="9">
        <f t="shared" si="9"/>
        <v>582.17735129060998</v>
      </c>
      <c r="K126" s="9">
        <f t="shared" si="10"/>
        <v>271.32716442416</v>
      </c>
      <c r="L126" s="10">
        <f t="shared" si="7"/>
        <v>0.4660558570728725</v>
      </c>
      <c r="M126" s="10">
        <f t="shared" si="11"/>
        <v>0.46643486771358345</v>
      </c>
      <c r="P126" s="8">
        <f t="shared" si="12"/>
        <v>37.245806884198103</v>
      </c>
      <c r="X126" s="8">
        <v>-13</v>
      </c>
    </row>
    <row r="127" spans="1:24" x14ac:dyDescent="0.2">
      <c r="A127" s="8">
        <v>62.5</v>
      </c>
      <c r="B127" s="8">
        <v>125</v>
      </c>
      <c r="D127">
        <v>727.96769456681</v>
      </c>
      <c r="E127">
        <v>405.10719530103</v>
      </c>
      <c r="F127">
        <v>147.69185619955999</v>
      </c>
      <c r="G127">
        <v>121.81731474688</v>
      </c>
      <c r="I127" s="9">
        <f t="shared" si="8"/>
        <v>283.28988055414999</v>
      </c>
      <c r="J127" s="9">
        <f t="shared" si="9"/>
        <v>580.27583836725</v>
      </c>
      <c r="K127" s="9">
        <f t="shared" si="10"/>
        <v>283.28988055414999</v>
      </c>
      <c r="L127" s="10">
        <f t="shared" si="7"/>
        <v>0.48819864937209229</v>
      </c>
      <c r="M127" s="10">
        <f t="shared" si="11"/>
        <v>0.48858071655022833</v>
      </c>
      <c r="P127" s="8">
        <f t="shared" si="12"/>
        <v>43.762096945487386</v>
      </c>
      <c r="X127" s="8">
        <v>-13</v>
      </c>
    </row>
    <row r="128" spans="1:24" x14ac:dyDescent="0.2">
      <c r="A128" s="8">
        <v>63</v>
      </c>
      <c r="B128" s="8">
        <v>126</v>
      </c>
      <c r="D128">
        <v>717.38472834068</v>
      </c>
      <c r="E128">
        <v>406.06020558003001</v>
      </c>
      <c r="F128">
        <v>147.53851797505999</v>
      </c>
      <c r="G128">
        <v>121.85106382978999</v>
      </c>
      <c r="I128" s="9">
        <f t="shared" si="8"/>
        <v>284.20914175024001</v>
      </c>
      <c r="J128" s="9">
        <f t="shared" si="9"/>
        <v>569.84621036561998</v>
      </c>
      <c r="K128" s="9">
        <f t="shared" si="10"/>
        <v>284.20914175024001</v>
      </c>
      <c r="L128" s="10">
        <f t="shared" si="7"/>
        <v>0.49874709453255484</v>
      </c>
      <c r="M128" s="10">
        <f t="shared" si="11"/>
        <v>0.49913221824811599</v>
      </c>
      <c r="P128" s="8">
        <f t="shared" si="12"/>
        <v>46.866816306338904</v>
      </c>
      <c r="X128" s="8">
        <v>-13</v>
      </c>
    </row>
    <row r="129" spans="1:24" x14ac:dyDescent="0.2">
      <c r="A129" s="8">
        <v>63.5</v>
      </c>
      <c r="B129" s="8">
        <v>127</v>
      </c>
      <c r="D129">
        <v>735.31077147016003</v>
      </c>
      <c r="E129">
        <v>417.94905385735001</v>
      </c>
      <c r="F129">
        <v>147.52237710931999</v>
      </c>
      <c r="G129">
        <v>121.61482024945001</v>
      </c>
      <c r="I129" s="9">
        <f t="shared" si="8"/>
        <v>296.33423360789999</v>
      </c>
      <c r="J129" s="9">
        <f t="shared" si="9"/>
        <v>587.78839436084002</v>
      </c>
      <c r="K129" s="9">
        <f t="shared" si="10"/>
        <v>296.33423360789999</v>
      </c>
      <c r="L129" s="10">
        <f t="shared" si="7"/>
        <v>0.50415121572812482</v>
      </c>
      <c r="M129" s="10">
        <f t="shared" si="11"/>
        <v>0.50453939598111108</v>
      </c>
      <c r="P129" s="8">
        <f t="shared" si="12"/>
        <v>48.45784759988036</v>
      </c>
      <c r="X129" s="8">
        <v>-13</v>
      </c>
    </row>
    <row r="130" spans="1:24" x14ac:dyDescent="0.2">
      <c r="A130" s="8">
        <v>64</v>
      </c>
      <c r="B130" s="8">
        <v>128</v>
      </c>
      <c r="D130">
        <v>725.06186317321999</v>
      </c>
      <c r="E130">
        <v>401.54876273654003</v>
      </c>
      <c r="F130">
        <v>148.00440205429001</v>
      </c>
      <c r="G130">
        <v>121.92149669846</v>
      </c>
      <c r="I130" s="9">
        <f t="shared" si="8"/>
        <v>279.62726603808005</v>
      </c>
      <c r="J130" s="9">
        <f t="shared" si="9"/>
        <v>577.05746111892995</v>
      </c>
      <c r="K130" s="9">
        <f t="shared" si="10"/>
        <v>279.62726603808005</v>
      </c>
      <c r="L130" s="10">
        <f t="shared" ref="L130:L193" si="14">K130/J130</f>
        <v>0.48457438795761387</v>
      </c>
      <c r="M130" s="10">
        <f t="shared" si="11"/>
        <v>0.48496562474802518</v>
      </c>
      <c r="P130" s="8">
        <f t="shared" si="12"/>
        <v>42.698376744238438</v>
      </c>
      <c r="X130" s="8">
        <v>-13</v>
      </c>
    </row>
    <row r="131" spans="1:24" x14ac:dyDescent="0.2">
      <c r="A131" s="8">
        <v>64.5</v>
      </c>
      <c r="B131" s="8">
        <v>129</v>
      </c>
      <c r="D131">
        <v>731.59530791788995</v>
      </c>
      <c r="E131">
        <v>407.13709677419001</v>
      </c>
      <c r="F131">
        <v>147.34115920763</v>
      </c>
      <c r="G131">
        <v>121.72633895817999</v>
      </c>
      <c r="I131" s="9">
        <f t="shared" ref="I131:I194" si="15">E131-G131</f>
        <v>285.41075781601</v>
      </c>
      <c r="J131" s="9">
        <f t="shared" ref="J131:J194" si="16">D131-F131</f>
        <v>584.25414871025998</v>
      </c>
      <c r="K131" s="9">
        <f t="shared" ref="K131:K194" si="17">I131*1</f>
        <v>285.41075781601</v>
      </c>
      <c r="L131" s="10">
        <f t="shared" si="14"/>
        <v>0.48850446068043119</v>
      </c>
      <c r="M131" s="10">
        <f t="shared" ref="M131:M181" si="18">L131+ABS($N$2)*A131</f>
        <v>0.4888987540082676</v>
      </c>
      <c r="P131" s="8">
        <f t="shared" ref="P131:P194" si="19">(M131-$O$2)/$O$2*100</f>
        <v>43.855677658614525</v>
      </c>
      <c r="X131" s="8">
        <v>-13</v>
      </c>
    </row>
    <row r="132" spans="1:24" x14ac:dyDescent="0.2">
      <c r="A132" s="8">
        <v>65</v>
      </c>
      <c r="B132" s="8">
        <v>130</v>
      </c>
      <c r="D132">
        <v>740.31085043988003</v>
      </c>
      <c r="E132">
        <v>409.05645161289999</v>
      </c>
      <c r="F132">
        <v>147.29713866470999</v>
      </c>
      <c r="G132">
        <v>121.88334556126</v>
      </c>
      <c r="I132" s="9">
        <f t="shared" si="15"/>
        <v>287.17310605163999</v>
      </c>
      <c r="J132" s="9">
        <f t="shared" si="16"/>
        <v>593.01371177517001</v>
      </c>
      <c r="K132" s="9">
        <f t="shared" si="17"/>
        <v>287.17310605163999</v>
      </c>
      <c r="L132" s="10">
        <f t="shared" si="14"/>
        <v>0.4842604822610177</v>
      </c>
      <c r="M132" s="10">
        <f t="shared" si="18"/>
        <v>0.48465783212627922</v>
      </c>
      <c r="P132" s="8">
        <f t="shared" si="19"/>
        <v>42.607810515921074</v>
      </c>
      <c r="X132" s="8">
        <v>-13</v>
      </c>
    </row>
    <row r="133" spans="1:24" x14ac:dyDescent="0.2">
      <c r="A133" s="8">
        <v>65.5</v>
      </c>
      <c r="B133" s="8">
        <v>131</v>
      </c>
      <c r="D133">
        <v>730.39736070381002</v>
      </c>
      <c r="E133">
        <v>393.37243401760003</v>
      </c>
      <c r="F133">
        <v>147.79530447542001</v>
      </c>
      <c r="G133">
        <v>121.74981658106999</v>
      </c>
      <c r="I133" s="9">
        <f t="shared" si="15"/>
        <v>271.62261743653005</v>
      </c>
      <c r="J133" s="9">
        <f t="shared" si="16"/>
        <v>582.60205622838998</v>
      </c>
      <c r="K133" s="9">
        <f t="shared" si="17"/>
        <v>271.62261743653005</v>
      </c>
      <c r="L133" s="10">
        <f t="shared" si="14"/>
        <v>0.46622323854286113</v>
      </c>
      <c r="M133" s="10">
        <f t="shared" si="18"/>
        <v>0.4666236449455477</v>
      </c>
      <c r="P133" s="8">
        <f t="shared" si="19"/>
        <v>37.301353510995753</v>
      </c>
      <c r="X133" s="8">
        <v>-13</v>
      </c>
    </row>
    <row r="134" spans="1:24" x14ac:dyDescent="0.2">
      <c r="A134" s="8">
        <v>66</v>
      </c>
      <c r="B134" s="8">
        <v>132</v>
      </c>
      <c r="D134">
        <v>734.00879765395996</v>
      </c>
      <c r="E134">
        <v>387.64736070381002</v>
      </c>
      <c r="F134">
        <v>147.13719735877001</v>
      </c>
      <c r="G134">
        <v>121.79457079971</v>
      </c>
      <c r="I134" s="9">
        <f t="shared" si="15"/>
        <v>265.85278990410001</v>
      </c>
      <c r="J134" s="9">
        <f t="shared" si="16"/>
        <v>586.87160029518998</v>
      </c>
      <c r="K134" s="9">
        <f t="shared" si="17"/>
        <v>265.85278990410001</v>
      </c>
      <c r="L134" s="10">
        <f t="shared" si="14"/>
        <v>0.45299992327176675</v>
      </c>
      <c r="M134" s="10">
        <f t="shared" si="18"/>
        <v>0.45340338621187842</v>
      </c>
      <c r="P134" s="8">
        <f t="shared" si="19"/>
        <v>33.41136757144875</v>
      </c>
      <c r="X134" s="8">
        <v>-13</v>
      </c>
    </row>
    <row r="135" spans="1:24" x14ac:dyDescent="0.2">
      <c r="A135" s="8">
        <v>66.5</v>
      </c>
      <c r="B135" s="8">
        <v>133</v>
      </c>
      <c r="D135">
        <v>742.71700879765001</v>
      </c>
      <c r="E135">
        <v>412.21994134897</v>
      </c>
      <c r="F135">
        <v>147.17314746881999</v>
      </c>
      <c r="G135">
        <v>121.76302274395</v>
      </c>
      <c r="I135" s="9">
        <f t="shared" si="15"/>
        <v>290.45691860502001</v>
      </c>
      <c r="J135" s="9">
        <f t="shared" si="16"/>
        <v>595.54386132882996</v>
      </c>
      <c r="K135" s="9">
        <f t="shared" si="17"/>
        <v>290.45691860502001</v>
      </c>
      <c r="L135" s="10">
        <f t="shared" si="14"/>
        <v>0.48771708931215735</v>
      </c>
      <c r="M135" s="10">
        <f t="shared" si="18"/>
        <v>0.48812360878969413</v>
      </c>
      <c r="P135" s="8">
        <f t="shared" si="19"/>
        <v>43.627595586840954</v>
      </c>
      <c r="X135" s="8">
        <v>-13</v>
      </c>
    </row>
    <row r="136" spans="1:24" x14ac:dyDescent="0.2">
      <c r="A136" s="8">
        <v>67</v>
      </c>
      <c r="B136" s="8">
        <v>134</v>
      </c>
      <c r="D136">
        <v>738.11070381232003</v>
      </c>
      <c r="E136">
        <v>393.13782991201998</v>
      </c>
      <c r="F136">
        <v>147.44093910492001</v>
      </c>
      <c r="G136">
        <v>121.74761555393</v>
      </c>
      <c r="I136" s="9">
        <f t="shared" si="15"/>
        <v>271.39021435808996</v>
      </c>
      <c r="J136" s="9">
        <f t="shared" si="16"/>
        <v>590.66976470739996</v>
      </c>
      <c r="K136" s="9">
        <f t="shared" si="17"/>
        <v>271.39021435808996</v>
      </c>
      <c r="L136" s="10">
        <f t="shared" si="14"/>
        <v>0.45946183565452775</v>
      </c>
      <c r="M136" s="10">
        <f t="shared" si="18"/>
        <v>0.45987141166948958</v>
      </c>
      <c r="P136" s="8">
        <f t="shared" si="19"/>
        <v>35.314547274177322</v>
      </c>
      <c r="X136" s="8">
        <v>-13</v>
      </c>
    </row>
    <row r="137" spans="1:24" x14ac:dyDescent="0.2">
      <c r="A137" s="8">
        <v>67.5</v>
      </c>
      <c r="B137" s="8">
        <v>135</v>
      </c>
      <c r="D137">
        <v>723.05351906158</v>
      </c>
      <c r="E137">
        <v>388.9215542522</v>
      </c>
      <c r="F137">
        <v>147.50183418929001</v>
      </c>
      <c r="G137">
        <v>121.72853998533</v>
      </c>
      <c r="I137" s="9">
        <f t="shared" si="15"/>
        <v>267.19301426687002</v>
      </c>
      <c r="J137" s="9">
        <f t="shared" si="16"/>
        <v>575.55168487229002</v>
      </c>
      <c r="K137" s="9">
        <f t="shared" si="17"/>
        <v>267.19301426687002</v>
      </c>
      <c r="L137" s="10">
        <f t="shared" si="14"/>
        <v>0.46423808893228741</v>
      </c>
      <c r="M137" s="10">
        <f t="shared" si="18"/>
        <v>0.46465072148467434</v>
      </c>
      <c r="P137" s="8">
        <f t="shared" si="19"/>
        <v>36.720832004026001</v>
      </c>
      <c r="X137" s="8">
        <v>-13</v>
      </c>
    </row>
    <row r="138" spans="1:24" x14ac:dyDescent="0.2">
      <c r="A138" s="8">
        <v>68</v>
      </c>
      <c r="B138" s="8">
        <v>136</v>
      </c>
      <c r="D138">
        <v>742.70307917888999</v>
      </c>
      <c r="E138">
        <v>405.54472140762999</v>
      </c>
      <c r="F138">
        <v>147.25311812179001</v>
      </c>
      <c r="G138">
        <v>122.23697725605</v>
      </c>
      <c r="I138" s="9">
        <f t="shared" si="15"/>
        <v>283.30774415157998</v>
      </c>
      <c r="J138" s="9">
        <f t="shared" si="16"/>
        <v>595.44996105709993</v>
      </c>
      <c r="K138" s="9">
        <f t="shared" si="17"/>
        <v>283.30774415157998</v>
      </c>
      <c r="L138" s="10">
        <f t="shared" si="14"/>
        <v>0.47578766089534186</v>
      </c>
      <c r="M138" s="10">
        <f t="shared" si="18"/>
        <v>0.4762033499851539</v>
      </c>
      <c r="P138" s="8">
        <f t="shared" si="19"/>
        <v>40.120127232433575</v>
      </c>
      <c r="X138" s="8">
        <v>-13</v>
      </c>
    </row>
    <row r="139" spans="1:24" x14ac:dyDescent="0.2">
      <c r="A139" s="8">
        <v>68.5</v>
      </c>
      <c r="B139" s="8">
        <v>137</v>
      </c>
      <c r="D139">
        <v>730.86876832844996</v>
      </c>
      <c r="E139">
        <v>382.11290322580999</v>
      </c>
      <c r="F139">
        <v>147.81144534116001</v>
      </c>
      <c r="G139">
        <v>121.68305209098</v>
      </c>
      <c r="I139" s="9">
        <f t="shared" si="15"/>
        <v>260.42985113482996</v>
      </c>
      <c r="J139" s="9">
        <f t="shared" si="16"/>
        <v>583.05732298728992</v>
      </c>
      <c r="K139" s="9">
        <f t="shared" si="17"/>
        <v>260.42985113482996</v>
      </c>
      <c r="L139" s="10">
        <f t="shared" si="14"/>
        <v>0.44666251647525756</v>
      </c>
      <c r="M139" s="10">
        <f t="shared" si="18"/>
        <v>0.44708126210249466</v>
      </c>
      <c r="P139" s="8">
        <f t="shared" si="19"/>
        <v>31.55111851059333</v>
      </c>
      <c r="X139" s="8">
        <v>-13</v>
      </c>
    </row>
    <row r="140" spans="1:24" x14ac:dyDescent="0.2">
      <c r="A140" s="8">
        <v>69</v>
      </c>
      <c r="B140" s="8">
        <v>138</v>
      </c>
      <c r="D140">
        <v>730.10603829161005</v>
      </c>
      <c r="E140">
        <v>388.10824742267999</v>
      </c>
      <c r="F140">
        <v>147.62729273661</v>
      </c>
      <c r="G140">
        <v>121.82831988261</v>
      </c>
      <c r="I140" s="9">
        <f t="shared" si="15"/>
        <v>266.27992754006999</v>
      </c>
      <c r="J140" s="9">
        <f t="shared" si="16"/>
        <v>582.47874555500005</v>
      </c>
      <c r="K140" s="9">
        <f t="shared" si="17"/>
        <v>266.27992754006999</v>
      </c>
      <c r="L140" s="10">
        <f t="shared" si="14"/>
        <v>0.45714960343549005</v>
      </c>
      <c r="M140" s="10">
        <f t="shared" si="18"/>
        <v>0.45757140560015225</v>
      </c>
      <c r="P140" s="8">
        <f t="shared" si="19"/>
        <v>34.637783570014044</v>
      </c>
      <c r="X140" s="8">
        <v>-13</v>
      </c>
    </row>
    <row r="141" spans="1:24" x14ac:dyDescent="0.2">
      <c r="A141" s="8">
        <v>69.5</v>
      </c>
      <c r="B141" s="8">
        <v>139</v>
      </c>
      <c r="D141">
        <v>728.41531664212005</v>
      </c>
      <c r="E141">
        <v>387.60603829160999</v>
      </c>
      <c r="F141">
        <v>147.47468818781999</v>
      </c>
      <c r="G141">
        <v>121.79530447542</v>
      </c>
      <c r="I141" s="9">
        <f t="shared" si="15"/>
        <v>265.81073381619001</v>
      </c>
      <c r="J141" s="9">
        <f t="shared" si="16"/>
        <v>580.94062845430005</v>
      </c>
      <c r="K141" s="9">
        <f t="shared" si="17"/>
        <v>265.81073381619001</v>
      </c>
      <c r="L141" s="10">
        <f t="shared" si="14"/>
        <v>0.45755232255562606</v>
      </c>
      <c r="M141" s="10">
        <f t="shared" si="18"/>
        <v>0.45797718125771336</v>
      </c>
      <c r="P141" s="8">
        <f t="shared" si="19"/>
        <v>34.757180749322124</v>
      </c>
      <c r="X141" s="8">
        <v>-13</v>
      </c>
    </row>
    <row r="142" spans="1:24" x14ac:dyDescent="0.2">
      <c r="A142" s="8">
        <v>70</v>
      </c>
      <c r="B142" s="8">
        <v>140</v>
      </c>
      <c r="D142">
        <v>715.12886597937995</v>
      </c>
      <c r="E142">
        <v>381.04565537554998</v>
      </c>
      <c r="F142">
        <v>147.12179016875001</v>
      </c>
      <c r="G142">
        <v>121.67718268525</v>
      </c>
      <c r="I142" s="9">
        <f t="shared" si="15"/>
        <v>259.3684726903</v>
      </c>
      <c r="J142" s="9">
        <f t="shared" si="16"/>
        <v>568.00707581062989</v>
      </c>
      <c r="K142" s="9">
        <f t="shared" si="17"/>
        <v>259.3684726903</v>
      </c>
      <c r="L142" s="10">
        <f t="shared" si="14"/>
        <v>0.4566289466027213</v>
      </c>
      <c r="M142" s="10">
        <f t="shared" si="18"/>
        <v>0.45705686184223365</v>
      </c>
      <c r="P142" s="8">
        <f t="shared" si="19"/>
        <v>34.48638199581584</v>
      </c>
      <c r="X142" s="8">
        <v>-13</v>
      </c>
    </row>
    <row r="143" spans="1:24" x14ac:dyDescent="0.2">
      <c r="A143" s="8">
        <v>70.5</v>
      </c>
      <c r="B143" s="8">
        <v>141</v>
      </c>
      <c r="D143">
        <v>732.63923585599002</v>
      </c>
      <c r="E143">
        <v>393.54959588537997</v>
      </c>
      <c r="F143">
        <v>147.56786500366999</v>
      </c>
      <c r="G143">
        <v>121.64049889949</v>
      </c>
      <c r="I143" s="9">
        <f t="shared" si="15"/>
        <v>271.90909698588996</v>
      </c>
      <c r="J143" s="9">
        <f t="shared" si="16"/>
        <v>585.07137085232</v>
      </c>
      <c r="K143" s="9">
        <f t="shared" si="17"/>
        <v>271.90909698588996</v>
      </c>
      <c r="L143" s="10">
        <f t="shared" si="14"/>
        <v>0.4647451756010183</v>
      </c>
      <c r="M143" s="10">
        <f t="shared" si="18"/>
        <v>0.46517614737795576</v>
      </c>
      <c r="P143" s="8">
        <f t="shared" si="19"/>
        <v>36.875435584660416</v>
      </c>
      <c r="X143" s="8">
        <v>-13</v>
      </c>
    </row>
    <row r="144" spans="1:24" x14ac:dyDescent="0.2">
      <c r="A144" s="8">
        <v>71</v>
      </c>
      <c r="B144" s="8">
        <v>142</v>
      </c>
      <c r="D144">
        <v>706.63556208670002</v>
      </c>
      <c r="E144">
        <v>367.82365907421001</v>
      </c>
      <c r="F144">
        <v>147.07483492296001</v>
      </c>
      <c r="G144">
        <v>121.35730007337</v>
      </c>
      <c r="I144" s="9">
        <f t="shared" si="15"/>
        <v>246.46635900084001</v>
      </c>
      <c r="J144" s="9">
        <f t="shared" si="16"/>
        <v>559.56072716374001</v>
      </c>
      <c r="K144" s="9">
        <f t="shared" si="17"/>
        <v>246.46635900084001</v>
      </c>
      <c r="L144" s="10">
        <f t="shared" si="14"/>
        <v>0.44046400513150813</v>
      </c>
      <c r="M144" s="10">
        <f t="shared" si="18"/>
        <v>0.4408980334458707</v>
      </c>
      <c r="P144" s="8">
        <f t="shared" si="19"/>
        <v>29.731738646717133</v>
      </c>
    </row>
    <row r="145" spans="1:16" x14ac:dyDescent="0.2">
      <c r="A145" s="8">
        <v>71.5</v>
      </c>
      <c r="B145" s="8">
        <v>143</v>
      </c>
      <c r="D145">
        <v>728.31080088170995</v>
      </c>
      <c r="E145">
        <v>362.93240264511002</v>
      </c>
      <c r="F145">
        <v>147.19369038885</v>
      </c>
      <c r="G145">
        <v>121.7131327953</v>
      </c>
      <c r="I145" s="9">
        <f t="shared" si="15"/>
        <v>241.21926984981002</v>
      </c>
      <c r="J145" s="9">
        <f t="shared" si="16"/>
        <v>581.11711049285998</v>
      </c>
      <c r="K145" s="9">
        <f t="shared" si="17"/>
        <v>241.21926984981002</v>
      </c>
      <c r="L145" s="10">
        <f t="shared" si="14"/>
        <v>0.41509579651720446</v>
      </c>
      <c r="M145" s="10">
        <f t="shared" si="18"/>
        <v>0.41553288136899208</v>
      </c>
      <c r="P145" s="8">
        <f t="shared" si="19"/>
        <v>22.268186917412699</v>
      </c>
    </row>
    <row r="146" spans="1:16" x14ac:dyDescent="0.2">
      <c r="A146" s="8">
        <v>72</v>
      </c>
      <c r="B146" s="8">
        <v>144</v>
      </c>
      <c r="D146">
        <v>731.79353416604999</v>
      </c>
      <c r="E146">
        <v>362.88170462894999</v>
      </c>
      <c r="F146">
        <v>147.85913426266001</v>
      </c>
      <c r="G146">
        <v>121.41599413058999</v>
      </c>
      <c r="I146" s="9">
        <f t="shared" si="15"/>
        <v>241.46571049836001</v>
      </c>
      <c r="J146" s="9">
        <f t="shared" si="16"/>
        <v>583.93439990338993</v>
      </c>
      <c r="K146" s="9">
        <f t="shared" si="17"/>
        <v>241.46571049836001</v>
      </c>
      <c r="L146" s="10">
        <f t="shared" si="14"/>
        <v>0.4135151320735852</v>
      </c>
      <c r="M146" s="10">
        <f t="shared" si="18"/>
        <v>0.41395527346279792</v>
      </c>
      <c r="P146" s="8">
        <f t="shared" si="19"/>
        <v>21.803984763971926</v>
      </c>
    </row>
    <row r="147" spans="1:16" x14ac:dyDescent="0.2">
      <c r="A147" s="8">
        <v>72.5</v>
      </c>
      <c r="B147" s="8">
        <v>145</v>
      </c>
      <c r="D147">
        <v>720.54325513197</v>
      </c>
      <c r="E147">
        <v>355.13269794720998</v>
      </c>
      <c r="F147">
        <v>146.94570799707</v>
      </c>
      <c r="G147">
        <v>122.09317681585</v>
      </c>
      <c r="I147" s="9">
        <f t="shared" si="15"/>
        <v>233.03952113135998</v>
      </c>
      <c r="J147" s="9">
        <f t="shared" si="16"/>
        <v>573.59754713489997</v>
      </c>
      <c r="K147" s="9">
        <f t="shared" si="17"/>
        <v>233.03952113135998</v>
      </c>
      <c r="L147" s="10">
        <f t="shared" si="14"/>
        <v>0.40627705312790191</v>
      </c>
      <c r="M147" s="10">
        <f t="shared" si="18"/>
        <v>0.40672025105453974</v>
      </c>
      <c r="P147" s="8">
        <f t="shared" si="19"/>
        <v>19.67512057096226</v>
      </c>
    </row>
    <row r="148" spans="1:16" x14ac:dyDescent="0.2">
      <c r="A148" s="8">
        <v>73</v>
      </c>
      <c r="B148" s="8">
        <v>146</v>
      </c>
      <c r="D148">
        <v>731.35337243402</v>
      </c>
      <c r="E148">
        <v>388.13709677419001</v>
      </c>
      <c r="F148">
        <v>147.59280997798999</v>
      </c>
      <c r="G148">
        <v>121.58767424798</v>
      </c>
      <c r="I148" s="9">
        <f t="shared" si="15"/>
        <v>266.54942252621004</v>
      </c>
      <c r="J148" s="9">
        <f t="shared" si="16"/>
        <v>583.76056245603002</v>
      </c>
      <c r="K148" s="9">
        <f t="shared" si="17"/>
        <v>266.54942252621004</v>
      </c>
      <c r="L148" s="10">
        <f t="shared" si="14"/>
        <v>0.45660745118643925</v>
      </c>
      <c r="M148" s="10">
        <f t="shared" si="18"/>
        <v>0.45705370565050218</v>
      </c>
      <c r="P148" s="8">
        <f t="shared" si="19"/>
        <v>34.485453304350322</v>
      </c>
    </row>
    <row r="149" spans="1:16" x14ac:dyDescent="0.2">
      <c r="A149" s="8">
        <v>73.5</v>
      </c>
      <c r="B149" s="8">
        <v>147</v>
      </c>
      <c r="D149">
        <v>734.26627651792001</v>
      </c>
      <c r="E149">
        <v>392.51353328456997</v>
      </c>
      <c r="F149">
        <v>147.56859867937999</v>
      </c>
      <c r="G149">
        <v>120.99633162142</v>
      </c>
      <c r="I149" s="9">
        <f t="shared" si="15"/>
        <v>271.51720166314999</v>
      </c>
      <c r="J149" s="9">
        <f t="shared" si="16"/>
        <v>586.69767783854002</v>
      </c>
      <c r="K149" s="9">
        <f t="shared" si="17"/>
        <v>271.51720166314999</v>
      </c>
      <c r="L149" s="10">
        <f t="shared" si="14"/>
        <v>0.46278894892417127</v>
      </c>
      <c r="M149" s="10">
        <f t="shared" si="18"/>
        <v>0.46323825992565926</v>
      </c>
      <c r="P149" s="8">
        <f t="shared" si="19"/>
        <v>36.305223223940168</v>
      </c>
    </row>
    <row r="150" spans="1:16" x14ac:dyDescent="0.2">
      <c r="A150" s="8">
        <v>74</v>
      </c>
      <c r="B150" s="8">
        <v>148</v>
      </c>
      <c r="D150">
        <v>731.26920263349996</v>
      </c>
      <c r="E150">
        <v>386.0958302853</v>
      </c>
      <c r="F150">
        <v>147.05649303007999</v>
      </c>
      <c r="G150">
        <v>121.09977989729001</v>
      </c>
      <c r="I150" s="9">
        <f t="shared" si="15"/>
        <v>264.99605038800996</v>
      </c>
      <c r="J150" s="9">
        <f t="shared" si="16"/>
        <v>584.21270960341997</v>
      </c>
      <c r="K150" s="9">
        <f t="shared" si="17"/>
        <v>264.99605038800996</v>
      </c>
      <c r="L150" s="10">
        <f t="shared" si="14"/>
        <v>0.45359514784931115</v>
      </c>
      <c r="M150" s="10">
        <f t="shared" si="18"/>
        <v>0.45404751538822424</v>
      </c>
      <c r="P150" s="8">
        <f t="shared" si="19"/>
        <v>33.600898917976473</v>
      </c>
    </row>
    <row r="151" spans="1:16" x14ac:dyDescent="0.2">
      <c r="A151" s="8">
        <v>74.5</v>
      </c>
      <c r="B151" s="8">
        <v>149</v>
      </c>
      <c r="D151">
        <v>738.79603815114001</v>
      </c>
      <c r="E151">
        <v>376.66617754952</v>
      </c>
      <c r="F151">
        <v>147.24578136464001</v>
      </c>
      <c r="G151">
        <v>121.0667644901</v>
      </c>
      <c r="I151" s="9">
        <f t="shared" si="15"/>
        <v>255.59941305941999</v>
      </c>
      <c r="J151" s="9">
        <f t="shared" si="16"/>
        <v>591.55025678649997</v>
      </c>
      <c r="K151" s="9">
        <f t="shared" si="17"/>
        <v>255.59941305941999</v>
      </c>
      <c r="L151" s="10">
        <f t="shared" si="14"/>
        <v>0.43208402012691532</v>
      </c>
      <c r="M151" s="10">
        <f t="shared" si="18"/>
        <v>0.43253944420325352</v>
      </c>
      <c r="P151" s="8">
        <f t="shared" si="19"/>
        <v>27.27227130320583</v>
      </c>
    </row>
    <row r="152" spans="1:16" x14ac:dyDescent="0.2">
      <c r="A152" s="8">
        <v>75</v>
      </c>
      <c r="B152" s="8">
        <v>150</v>
      </c>
      <c r="D152">
        <v>733.21056493030005</v>
      </c>
      <c r="E152">
        <v>363.64563462949002</v>
      </c>
      <c r="F152">
        <v>146.94790902420999</v>
      </c>
      <c r="G152">
        <v>121.33602347762</v>
      </c>
      <c r="I152" s="9">
        <f t="shared" si="15"/>
        <v>242.30961115187</v>
      </c>
      <c r="J152" s="9">
        <f t="shared" si="16"/>
        <v>586.26265590609</v>
      </c>
      <c r="K152" s="9">
        <f t="shared" si="17"/>
        <v>242.30961115187</v>
      </c>
      <c r="L152" s="10">
        <f t="shared" si="14"/>
        <v>0.41331237579404029</v>
      </c>
      <c r="M152" s="10">
        <f t="shared" si="18"/>
        <v>0.41377085640780353</v>
      </c>
      <c r="P152" s="8">
        <f t="shared" si="19"/>
        <v>21.749721094448287</v>
      </c>
    </row>
    <row r="153" spans="1:16" x14ac:dyDescent="0.2">
      <c r="A153" s="8">
        <v>75.5</v>
      </c>
      <c r="B153" s="8">
        <v>151</v>
      </c>
      <c r="D153">
        <v>706.67400881056994</v>
      </c>
      <c r="E153">
        <v>350.52349486050002</v>
      </c>
      <c r="F153">
        <v>147.09317681585</v>
      </c>
      <c r="G153">
        <v>121.56272927366</v>
      </c>
      <c r="I153" s="9">
        <f t="shared" si="15"/>
        <v>228.96076558684001</v>
      </c>
      <c r="J153" s="9">
        <f t="shared" si="16"/>
        <v>559.58083199471992</v>
      </c>
      <c r="K153" s="9">
        <f t="shared" si="17"/>
        <v>228.96076558684001</v>
      </c>
      <c r="L153" s="10">
        <f t="shared" si="14"/>
        <v>0.40916477566015064</v>
      </c>
      <c r="M153" s="10">
        <f t="shared" si="18"/>
        <v>0.40962631281133899</v>
      </c>
      <c r="P153" s="8">
        <f t="shared" si="19"/>
        <v>20.530212714099672</v>
      </c>
    </row>
    <row r="154" spans="1:16" x14ac:dyDescent="0.2">
      <c r="A154" s="8">
        <v>76</v>
      </c>
      <c r="B154" s="8">
        <v>152</v>
      </c>
      <c r="D154">
        <v>726.55580029369003</v>
      </c>
      <c r="E154">
        <v>379.28854625551003</v>
      </c>
      <c r="F154">
        <v>146.94570799707</v>
      </c>
      <c r="G154">
        <v>121.30667644901</v>
      </c>
      <c r="I154" s="9">
        <f t="shared" si="15"/>
        <v>257.98186980650001</v>
      </c>
      <c r="J154" s="9">
        <f t="shared" si="16"/>
        <v>579.61009229662</v>
      </c>
      <c r="K154" s="9">
        <f t="shared" si="17"/>
        <v>257.98186980650001</v>
      </c>
      <c r="L154" s="10">
        <f t="shared" si="14"/>
        <v>0.44509554480717317</v>
      </c>
      <c r="M154" s="10">
        <f t="shared" si="18"/>
        <v>0.44556013849578663</v>
      </c>
      <c r="P154" s="8">
        <f t="shared" si="19"/>
        <v>31.10353654101073</v>
      </c>
    </row>
    <row r="155" spans="1:16" x14ac:dyDescent="0.2">
      <c r="A155" s="8">
        <v>76.5</v>
      </c>
      <c r="B155" s="8">
        <v>153</v>
      </c>
      <c r="D155">
        <v>729.33333333332996</v>
      </c>
      <c r="E155">
        <v>376.23156342183</v>
      </c>
      <c r="F155">
        <v>147.31988261188999</v>
      </c>
      <c r="G155">
        <v>121.80704328687</v>
      </c>
      <c r="I155" s="9">
        <f t="shared" si="15"/>
        <v>254.42452013496001</v>
      </c>
      <c r="J155" s="9">
        <f t="shared" si="16"/>
        <v>582.01345072143999</v>
      </c>
      <c r="K155" s="9">
        <f t="shared" si="17"/>
        <v>254.42452013496001</v>
      </c>
      <c r="L155" s="10">
        <f t="shared" si="14"/>
        <v>0.43714542992019484</v>
      </c>
      <c r="M155" s="10">
        <f t="shared" si="18"/>
        <v>0.43761308014623335</v>
      </c>
      <c r="P155" s="8">
        <f t="shared" si="19"/>
        <v>28.765159822120161</v>
      </c>
    </row>
    <row r="156" spans="1:16" x14ac:dyDescent="0.2">
      <c r="A156" s="8">
        <v>77</v>
      </c>
      <c r="B156" s="8">
        <v>154</v>
      </c>
      <c r="D156">
        <v>728.35176991150001</v>
      </c>
      <c r="E156">
        <v>363.50442477875998</v>
      </c>
      <c r="F156">
        <v>147.29933969186001</v>
      </c>
      <c r="G156">
        <v>121.52971386647</v>
      </c>
      <c r="I156" s="9">
        <f t="shared" si="15"/>
        <v>241.97471091228999</v>
      </c>
      <c r="J156" s="9">
        <f t="shared" si="16"/>
        <v>581.05243021963997</v>
      </c>
      <c r="K156" s="9">
        <f t="shared" si="17"/>
        <v>241.97471091228999</v>
      </c>
      <c r="L156" s="10">
        <f t="shared" si="14"/>
        <v>0.41644212867472674</v>
      </c>
      <c r="M156" s="10">
        <f t="shared" si="18"/>
        <v>0.41691283543819035</v>
      </c>
      <c r="P156" s="8">
        <f t="shared" si="19"/>
        <v>22.674230553512707</v>
      </c>
    </row>
    <row r="157" spans="1:16" x14ac:dyDescent="0.2">
      <c r="A157" s="8">
        <v>77.5</v>
      </c>
      <c r="B157" s="8">
        <v>155</v>
      </c>
      <c r="D157">
        <v>728.33259587020996</v>
      </c>
      <c r="E157">
        <v>383.80530973450999</v>
      </c>
      <c r="F157">
        <v>146.99486426998999</v>
      </c>
      <c r="G157">
        <v>121.70652971387</v>
      </c>
      <c r="I157" s="9">
        <f t="shared" si="15"/>
        <v>262.09878002063999</v>
      </c>
      <c r="J157" s="9">
        <f t="shared" si="16"/>
        <v>581.33773160021997</v>
      </c>
      <c r="K157" s="9">
        <f t="shared" si="17"/>
        <v>262.09878002063999</v>
      </c>
      <c r="L157" s="10">
        <f t="shared" si="14"/>
        <v>0.45085458206742146</v>
      </c>
      <c r="M157" s="10">
        <f t="shared" si="18"/>
        <v>0.45132834536831018</v>
      </c>
      <c r="P157" s="8">
        <f t="shared" si="19"/>
        <v>32.800798605433826</v>
      </c>
    </row>
    <row r="158" spans="1:16" x14ac:dyDescent="0.2">
      <c r="A158" s="8">
        <v>78</v>
      </c>
      <c r="B158" s="8">
        <v>156</v>
      </c>
      <c r="D158">
        <v>730.80162241888002</v>
      </c>
      <c r="E158">
        <v>376.48008849557999</v>
      </c>
      <c r="F158">
        <v>146.71533382244999</v>
      </c>
      <c r="G158">
        <v>121.29200293469999</v>
      </c>
      <c r="I158" s="9">
        <f t="shared" si="15"/>
        <v>255.18808556087998</v>
      </c>
      <c r="J158" s="9">
        <f t="shared" si="16"/>
        <v>584.08628859642999</v>
      </c>
      <c r="K158" s="9">
        <f t="shared" si="17"/>
        <v>255.18808556087998</v>
      </c>
      <c r="L158" s="10">
        <f t="shared" si="14"/>
        <v>0.43690134581673129</v>
      </c>
      <c r="M158" s="10">
        <f t="shared" si="18"/>
        <v>0.43737816565504506</v>
      </c>
      <c r="P158" s="8">
        <f t="shared" si="19"/>
        <v>28.69603756921062</v>
      </c>
    </row>
    <row r="159" spans="1:16" x14ac:dyDescent="0.2">
      <c r="A159" s="8">
        <v>78.5</v>
      </c>
      <c r="B159" s="8">
        <v>157</v>
      </c>
      <c r="D159">
        <v>723.91826215022002</v>
      </c>
      <c r="E159">
        <v>377.29528718704</v>
      </c>
      <c r="F159">
        <v>147.34482758620999</v>
      </c>
      <c r="G159">
        <v>121.50330154072</v>
      </c>
      <c r="I159" s="9">
        <f t="shared" si="15"/>
        <v>255.79198564632</v>
      </c>
      <c r="J159" s="9">
        <f t="shared" si="16"/>
        <v>576.57343456401009</v>
      </c>
      <c r="K159" s="9">
        <f t="shared" si="17"/>
        <v>255.79198564632</v>
      </c>
      <c r="L159" s="10">
        <f t="shared" si="14"/>
        <v>0.44364164269854589</v>
      </c>
      <c r="M159" s="10">
        <f t="shared" si="18"/>
        <v>0.44412151907428477</v>
      </c>
      <c r="P159" s="8">
        <f t="shared" si="19"/>
        <v>30.680230958666176</v>
      </c>
    </row>
    <row r="160" spans="1:16" x14ac:dyDescent="0.2">
      <c r="A160" s="8">
        <v>79</v>
      </c>
      <c r="B160" s="8">
        <v>158</v>
      </c>
      <c r="D160">
        <v>757.04635761588997</v>
      </c>
      <c r="E160">
        <v>404.16114790287003</v>
      </c>
      <c r="F160">
        <v>146.91195891416001</v>
      </c>
      <c r="G160">
        <v>120.95451210565</v>
      </c>
      <c r="I160" s="9">
        <f t="shared" si="15"/>
        <v>283.20663579722003</v>
      </c>
      <c r="J160" s="9">
        <f t="shared" si="16"/>
        <v>610.13439870172999</v>
      </c>
      <c r="K160" s="9">
        <f t="shared" si="17"/>
        <v>283.20663579722003</v>
      </c>
      <c r="L160" s="10">
        <f t="shared" si="14"/>
        <v>0.46417090463976329</v>
      </c>
      <c r="M160" s="10">
        <f t="shared" si="18"/>
        <v>0.46465383755292727</v>
      </c>
      <c r="P160" s="8">
        <f t="shared" si="19"/>
        <v>36.72174888938617</v>
      </c>
    </row>
    <row r="161" spans="1:16" x14ac:dyDescent="0.2">
      <c r="A161" s="8">
        <v>79.5</v>
      </c>
      <c r="B161" s="8">
        <v>159</v>
      </c>
      <c r="D161">
        <v>754.37325495958999</v>
      </c>
      <c r="E161">
        <v>405.59735488611</v>
      </c>
      <c r="F161">
        <v>147.4115920763</v>
      </c>
      <c r="G161">
        <v>121.14673514307</v>
      </c>
      <c r="I161" s="9">
        <f t="shared" si="15"/>
        <v>284.45061974303997</v>
      </c>
      <c r="J161" s="9">
        <f t="shared" si="16"/>
        <v>606.96166288329005</v>
      </c>
      <c r="K161" s="9">
        <f t="shared" si="17"/>
        <v>284.45061974303997</v>
      </c>
      <c r="L161" s="10">
        <f t="shared" si="14"/>
        <v>0.46864676492382634</v>
      </c>
      <c r="M161" s="10">
        <f t="shared" si="18"/>
        <v>0.46913275437441537</v>
      </c>
      <c r="P161" s="8">
        <f t="shared" si="19"/>
        <v>38.039644689384147</v>
      </c>
    </row>
    <row r="162" spans="1:16" x14ac:dyDescent="0.2">
      <c r="A162" s="8">
        <v>80</v>
      </c>
      <c r="B162" s="4">
        <v>160</v>
      </c>
      <c r="C162" s="4" t="s">
        <v>6</v>
      </c>
      <c r="D162">
        <v>733.30859662012995</v>
      </c>
      <c r="E162">
        <v>404.13152094049002</v>
      </c>
      <c r="F162">
        <v>146.68378576668999</v>
      </c>
      <c r="G162">
        <v>121.36170212766</v>
      </c>
      <c r="H162" s="4"/>
      <c r="I162" s="5">
        <f t="shared" si="15"/>
        <v>282.76981881283001</v>
      </c>
      <c r="J162" s="5">
        <f t="shared" si="16"/>
        <v>586.62481085343995</v>
      </c>
      <c r="K162" s="9">
        <f t="shared" si="17"/>
        <v>282.76981881283001</v>
      </c>
      <c r="L162" s="6">
        <f t="shared" si="14"/>
        <v>0.48202839972187284</v>
      </c>
      <c r="M162" s="6">
        <f t="shared" si="18"/>
        <v>0.48251744570988697</v>
      </c>
      <c r="N162" s="4"/>
      <c r="O162" s="4"/>
      <c r="P162" s="4">
        <f t="shared" si="19"/>
        <v>41.978013986768552</v>
      </c>
    </row>
    <row r="163" spans="1:16" x14ac:dyDescent="0.2">
      <c r="A163" s="8">
        <v>80.5</v>
      </c>
      <c r="B163" s="8">
        <v>161</v>
      </c>
      <c r="D163">
        <v>745.94883040935997</v>
      </c>
      <c r="E163">
        <v>389.83552631578999</v>
      </c>
      <c r="F163">
        <v>146.82171680117</v>
      </c>
      <c r="G163">
        <v>120.66250917095</v>
      </c>
      <c r="I163" s="9">
        <f t="shared" si="15"/>
        <v>269.17301714484</v>
      </c>
      <c r="J163" s="9">
        <f t="shared" si="16"/>
        <v>599.12711360819003</v>
      </c>
      <c r="K163" s="9">
        <f t="shared" si="17"/>
        <v>269.17301714484</v>
      </c>
      <c r="L163" s="10">
        <f t="shared" si="14"/>
        <v>0.44927530574233127</v>
      </c>
      <c r="M163" s="10">
        <f t="shared" si="18"/>
        <v>0.44976740826777051</v>
      </c>
      <c r="P163" s="8">
        <f t="shared" si="19"/>
        <v>32.341501741738384</v>
      </c>
    </row>
    <row r="164" spans="1:16" x14ac:dyDescent="0.2">
      <c r="A164" s="8">
        <v>81</v>
      </c>
      <c r="B164" s="8">
        <v>162</v>
      </c>
      <c r="D164">
        <v>758.81378299120001</v>
      </c>
      <c r="E164">
        <v>382.67008797654</v>
      </c>
      <c r="F164">
        <v>146.51283932502</v>
      </c>
      <c r="G164">
        <v>120.65590608951</v>
      </c>
      <c r="I164" s="9">
        <f t="shared" si="15"/>
        <v>262.01418188703002</v>
      </c>
      <c r="J164" s="9">
        <f t="shared" si="16"/>
        <v>612.30094366618005</v>
      </c>
      <c r="K164" s="9">
        <f t="shared" si="17"/>
        <v>262.01418188703002</v>
      </c>
      <c r="L164" s="10">
        <f t="shared" si="14"/>
        <v>0.42791732496476009</v>
      </c>
      <c r="M164" s="10">
        <f t="shared" si="18"/>
        <v>0.42841248402762444</v>
      </c>
      <c r="P164" s="8">
        <f t="shared" si="19"/>
        <v>26.057936744428865</v>
      </c>
    </row>
    <row r="165" spans="1:16" x14ac:dyDescent="0.2">
      <c r="A165" s="8">
        <v>81.5</v>
      </c>
      <c r="B165" s="8">
        <v>163</v>
      </c>
      <c r="D165">
        <v>750.42428675933002</v>
      </c>
      <c r="E165">
        <v>362.66788588149001</v>
      </c>
      <c r="F165">
        <v>146.28393250183001</v>
      </c>
      <c r="G165">
        <v>121.05429200294</v>
      </c>
      <c r="I165" s="9">
        <f t="shared" si="15"/>
        <v>241.61359387855001</v>
      </c>
      <c r="J165" s="9">
        <f t="shared" si="16"/>
        <v>604.14035425750001</v>
      </c>
      <c r="K165" s="9">
        <f t="shared" si="17"/>
        <v>241.61359387855001</v>
      </c>
      <c r="L165" s="10">
        <f t="shared" si="14"/>
        <v>0.39992957294749448</v>
      </c>
      <c r="M165" s="10">
        <f t="shared" si="18"/>
        <v>0.40042778854778388</v>
      </c>
      <c r="P165" s="8">
        <f t="shared" si="19"/>
        <v>17.823599267973869</v>
      </c>
    </row>
    <row r="166" spans="1:16" x14ac:dyDescent="0.2">
      <c r="A166" s="8">
        <v>82</v>
      </c>
      <c r="B166" s="8">
        <v>164</v>
      </c>
      <c r="D166">
        <v>741.82370153621002</v>
      </c>
      <c r="E166">
        <v>369.26481346012997</v>
      </c>
      <c r="F166">
        <v>146.9376375642</v>
      </c>
      <c r="G166">
        <v>121.49596478357</v>
      </c>
      <c r="I166" s="9">
        <f t="shared" si="15"/>
        <v>247.76884867655997</v>
      </c>
      <c r="J166" s="9">
        <f t="shared" si="16"/>
        <v>594.88606397200999</v>
      </c>
      <c r="K166" s="9">
        <f t="shared" si="17"/>
        <v>247.76884867655997</v>
      </c>
      <c r="L166" s="10">
        <f t="shared" si="14"/>
        <v>0.41649798790414722</v>
      </c>
      <c r="M166" s="10">
        <f t="shared" si="18"/>
        <v>0.41699926004186172</v>
      </c>
      <c r="P166" s="8">
        <f t="shared" si="19"/>
        <v>22.699660501585985</v>
      </c>
    </row>
    <row r="167" spans="1:16" x14ac:dyDescent="0.2">
      <c r="A167" s="8">
        <v>82.5</v>
      </c>
      <c r="B167" s="8">
        <v>165</v>
      </c>
      <c r="D167">
        <v>752.49596478357</v>
      </c>
      <c r="E167">
        <v>366.19222303741998</v>
      </c>
      <c r="F167">
        <v>146.20616287601001</v>
      </c>
      <c r="G167">
        <v>121.11812179016999</v>
      </c>
      <c r="I167" s="9">
        <f t="shared" si="15"/>
        <v>245.07410124724998</v>
      </c>
      <c r="J167" s="9">
        <f t="shared" si="16"/>
        <v>606.28980190755999</v>
      </c>
      <c r="K167" s="9">
        <f t="shared" si="17"/>
        <v>245.07410124724998</v>
      </c>
      <c r="L167" s="10">
        <f t="shared" si="14"/>
        <v>0.40421940213438728</v>
      </c>
      <c r="M167" s="10">
        <f t="shared" si="18"/>
        <v>0.40472373080952689</v>
      </c>
      <c r="P167" s="8">
        <f t="shared" si="19"/>
        <v>19.087655844470834</v>
      </c>
    </row>
    <row r="168" spans="1:16" x14ac:dyDescent="0.2">
      <c r="A168" s="8">
        <v>83</v>
      </c>
      <c r="B168" s="8">
        <v>166</v>
      </c>
      <c r="D168">
        <v>749.35923753665998</v>
      </c>
      <c r="E168">
        <v>383.69134897360999</v>
      </c>
      <c r="F168">
        <v>146.75641966251001</v>
      </c>
      <c r="G168">
        <v>121.43433602348</v>
      </c>
      <c r="I168" s="9">
        <f t="shared" si="15"/>
        <v>262.25701295012999</v>
      </c>
      <c r="J168" s="9">
        <f t="shared" si="16"/>
        <v>602.60281787414999</v>
      </c>
      <c r="K168" s="9">
        <f t="shared" si="17"/>
        <v>262.25701295012999</v>
      </c>
      <c r="L168" s="10">
        <f t="shared" si="14"/>
        <v>0.43520708030426236</v>
      </c>
      <c r="M168" s="10">
        <f t="shared" si="18"/>
        <v>0.43571446551682702</v>
      </c>
      <c r="P168" s="8">
        <f t="shared" si="19"/>
        <v>28.206503266163413</v>
      </c>
    </row>
    <row r="169" spans="1:16" x14ac:dyDescent="0.2">
      <c r="A169" s="8">
        <v>83.5</v>
      </c>
      <c r="B169" s="8">
        <v>167</v>
      </c>
      <c r="D169">
        <v>744.54912023459997</v>
      </c>
      <c r="E169">
        <v>381.67961876832999</v>
      </c>
      <c r="F169">
        <v>147.22450476889</v>
      </c>
      <c r="G169">
        <v>120.78429933968999</v>
      </c>
      <c r="I169" s="9">
        <f t="shared" si="15"/>
        <v>260.89531942863999</v>
      </c>
      <c r="J169" s="9">
        <f t="shared" si="16"/>
        <v>597.32461546570994</v>
      </c>
      <c r="K169" s="9">
        <f t="shared" si="17"/>
        <v>260.89531942863999</v>
      </c>
      <c r="L169" s="10">
        <f t="shared" si="14"/>
        <v>0.43677309234147405</v>
      </c>
      <c r="M169" s="10">
        <f t="shared" si="18"/>
        <v>0.43728353409146381</v>
      </c>
      <c r="P169" s="8">
        <f t="shared" si="19"/>
        <v>28.668192769862564</v>
      </c>
    </row>
    <row r="170" spans="1:16" x14ac:dyDescent="0.2">
      <c r="A170" s="8">
        <v>84</v>
      </c>
      <c r="B170" s="8">
        <v>168</v>
      </c>
      <c r="D170">
        <v>748.61391941392003</v>
      </c>
      <c r="E170">
        <v>387.93919413919002</v>
      </c>
      <c r="F170">
        <v>146.37050623624</v>
      </c>
      <c r="G170">
        <v>121.40498899486001</v>
      </c>
      <c r="I170" s="9">
        <f t="shared" si="15"/>
        <v>266.53420514433003</v>
      </c>
      <c r="J170" s="9">
        <f t="shared" si="16"/>
        <v>602.24341317768005</v>
      </c>
      <c r="K170" s="9">
        <f t="shared" si="17"/>
        <v>266.53420514433003</v>
      </c>
      <c r="L170" s="10">
        <f t="shared" si="14"/>
        <v>0.44256890040189506</v>
      </c>
      <c r="M170" s="10">
        <f t="shared" si="18"/>
        <v>0.44308239868930993</v>
      </c>
      <c r="P170" s="8">
        <f t="shared" si="19"/>
        <v>30.374475695589958</v>
      </c>
    </row>
    <row r="171" spans="1:16" x14ac:dyDescent="0.2">
      <c r="A171" s="8">
        <v>84.5</v>
      </c>
      <c r="B171" s="8">
        <v>169</v>
      </c>
      <c r="D171">
        <v>763.59267399267003</v>
      </c>
      <c r="E171">
        <v>410.73113553114001</v>
      </c>
      <c r="F171">
        <v>147.14966984592999</v>
      </c>
      <c r="G171">
        <v>120.85326485693</v>
      </c>
      <c r="I171" s="9">
        <f t="shared" si="15"/>
        <v>289.87787067421004</v>
      </c>
      <c r="J171" s="9">
        <f t="shared" si="16"/>
        <v>616.44300414674001</v>
      </c>
      <c r="K171" s="9">
        <f t="shared" si="17"/>
        <v>289.87787067421004</v>
      </c>
      <c r="L171" s="10">
        <f t="shared" si="14"/>
        <v>0.4702427778792776</v>
      </c>
      <c r="M171" s="10">
        <f t="shared" si="18"/>
        <v>0.47075933270411752</v>
      </c>
      <c r="P171" s="8">
        <f t="shared" si="19"/>
        <v>38.51825611141318</v>
      </c>
    </row>
    <row r="172" spans="1:16" x14ac:dyDescent="0.2">
      <c r="A172" s="8">
        <v>85</v>
      </c>
      <c r="B172" s="8">
        <v>170</v>
      </c>
      <c r="D172">
        <v>758.99560439560003</v>
      </c>
      <c r="E172">
        <v>418.19487179486998</v>
      </c>
      <c r="F172">
        <v>146.33015407190001</v>
      </c>
      <c r="G172">
        <v>121.08217168012</v>
      </c>
      <c r="I172" s="9">
        <f t="shared" si="15"/>
        <v>297.11270011475</v>
      </c>
      <c r="J172" s="9">
        <f t="shared" si="16"/>
        <v>612.66545032370004</v>
      </c>
      <c r="K172" s="9">
        <f t="shared" si="17"/>
        <v>297.11270011475</v>
      </c>
      <c r="L172" s="10">
        <f t="shared" si="14"/>
        <v>0.48495096297297546</v>
      </c>
      <c r="M172" s="10">
        <f t="shared" si="18"/>
        <v>0.48547057433524049</v>
      </c>
      <c r="P172" s="8">
        <f t="shared" si="19"/>
        <v>42.846955288275936</v>
      </c>
    </row>
    <row r="173" spans="1:16" x14ac:dyDescent="0.2">
      <c r="A173" s="8">
        <v>85.5</v>
      </c>
      <c r="B173" s="8">
        <v>171</v>
      </c>
      <c r="D173">
        <v>757.77386196769999</v>
      </c>
      <c r="E173">
        <v>409.89500734213999</v>
      </c>
      <c r="F173">
        <v>146.78870139398001</v>
      </c>
      <c r="G173">
        <v>121.19735876743</v>
      </c>
      <c r="I173" s="9">
        <f t="shared" si="15"/>
        <v>288.69764857471</v>
      </c>
      <c r="J173" s="9">
        <f t="shared" si="16"/>
        <v>610.98516057372001</v>
      </c>
      <c r="K173" s="9">
        <f t="shared" si="17"/>
        <v>288.69764857471</v>
      </c>
      <c r="L173" s="10">
        <f t="shared" si="14"/>
        <v>0.472511719112164</v>
      </c>
      <c r="M173" s="10">
        <f t="shared" si="18"/>
        <v>0.47303438701185413</v>
      </c>
      <c r="P173" s="8">
        <f t="shared" si="19"/>
        <v>39.187677901643525</v>
      </c>
    </row>
    <row r="174" spans="1:16" x14ac:dyDescent="0.2">
      <c r="A174" s="8">
        <v>86</v>
      </c>
      <c r="B174" s="8">
        <v>172</v>
      </c>
      <c r="D174">
        <v>767.61527165933001</v>
      </c>
      <c r="E174">
        <v>415.43979441996999</v>
      </c>
      <c r="F174">
        <v>146.71460014674</v>
      </c>
      <c r="G174">
        <v>121.02201027146</v>
      </c>
      <c r="I174" s="9">
        <f t="shared" si="15"/>
        <v>294.41778414851001</v>
      </c>
      <c r="J174" s="9">
        <f t="shared" si="16"/>
        <v>620.90067151258995</v>
      </c>
      <c r="K174" s="9">
        <f t="shared" si="17"/>
        <v>294.41778414851001</v>
      </c>
      <c r="L174" s="10">
        <f t="shared" si="14"/>
        <v>0.47417855650127144</v>
      </c>
      <c r="M174" s="10">
        <f t="shared" si="18"/>
        <v>0.47470428093838662</v>
      </c>
      <c r="P174" s="8">
        <f t="shared" si="19"/>
        <v>39.679034691673863</v>
      </c>
    </row>
    <row r="175" spans="1:16" x14ac:dyDescent="0.2">
      <c r="A175" s="8">
        <v>86.5</v>
      </c>
      <c r="B175" s="8">
        <v>173</v>
      </c>
      <c r="D175">
        <v>764.95404814003996</v>
      </c>
      <c r="E175">
        <v>422.38657913931002</v>
      </c>
      <c r="F175">
        <v>146.99853264857001</v>
      </c>
      <c r="G175">
        <v>121.55612619222001</v>
      </c>
      <c r="I175" s="9">
        <f t="shared" si="15"/>
        <v>300.83045294709001</v>
      </c>
      <c r="J175" s="9">
        <f t="shared" si="16"/>
        <v>617.9555154914699</v>
      </c>
      <c r="K175" s="9">
        <f t="shared" si="17"/>
        <v>300.83045294709001</v>
      </c>
      <c r="L175" s="10">
        <f t="shared" si="14"/>
        <v>0.48681570987813699</v>
      </c>
      <c r="M175" s="10">
        <f t="shared" si="18"/>
        <v>0.48734449085267728</v>
      </c>
      <c r="P175" s="8">
        <f t="shared" si="19"/>
        <v>43.398344565261048</v>
      </c>
    </row>
    <row r="176" spans="1:16" x14ac:dyDescent="0.2">
      <c r="A176" s="8">
        <v>87</v>
      </c>
      <c r="B176" s="8">
        <v>174</v>
      </c>
      <c r="D176">
        <v>745.45149525893999</v>
      </c>
      <c r="E176">
        <v>399.35667396061001</v>
      </c>
      <c r="F176">
        <v>147.00073367572</v>
      </c>
      <c r="G176">
        <v>121.07923697726</v>
      </c>
      <c r="I176" s="9">
        <f t="shared" si="15"/>
        <v>278.27743698335001</v>
      </c>
      <c r="J176" s="9">
        <f t="shared" si="16"/>
        <v>598.45076158322001</v>
      </c>
      <c r="K176" s="9">
        <f t="shared" si="17"/>
        <v>278.27743698335001</v>
      </c>
      <c r="L176" s="10">
        <f t="shared" si="14"/>
        <v>0.4649963787282323</v>
      </c>
      <c r="M176" s="10">
        <f t="shared" si="18"/>
        <v>0.46552821624019769</v>
      </c>
      <c r="P176" s="8">
        <f t="shared" si="19"/>
        <v>36.979029844913839</v>
      </c>
    </row>
    <row r="177" spans="1:16" x14ac:dyDescent="0.2">
      <c r="A177" s="8">
        <v>87.5</v>
      </c>
      <c r="B177" s="8">
        <v>175</v>
      </c>
      <c r="D177">
        <v>744.80379285192998</v>
      </c>
      <c r="E177">
        <v>403.94237782639999</v>
      </c>
      <c r="F177">
        <v>147.26338958181</v>
      </c>
      <c r="G177">
        <v>121.44460748349</v>
      </c>
      <c r="I177" s="9">
        <f t="shared" si="15"/>
        <v>282.49777034290997</v>
      </c>
      <c r="J177" s="9">
        <f t="shared" si="16"/>
        <v>597.54040327012001</v>
      </c>
      <c r="K177" s="9">
        <f t="shared" si="17"/>
        <v>282.49777034290997</v>
      </c>
      <c r="L177" s="10">
        <f t="shared" si="14"/>
        <v>0.47276764683509775</v>
      </c>
      <c r="M177" s="10">
        <f t="shared" si="18"/>
        <v>0.47330254088448825</v>
      </c>
      <c r="P177" s="8">
        <f t="shared" si="19"/>
        <v>39.266580653487949</v>
      </c>
    </row>
    <row r="178" spans="1:16" x14ac:dyDescent="0.2">
      <c r="A178" s="8">
        <v>88</v>
      </c>
      <c r="B178" s="8">
        <v>176</v>
      </c>
      <c r="D178">
        <v>729.00072939459994</v>
      </c>
      <c r="E178">
        <v>395.73960612692002</v>
      </c>
      <c r="F178">
        <v>146.88334556126</v>
      </c>
      <c r="G178">
        <v>121.44680851064</v>
      </c>
      <c r="I178" s="9">
        <f t="shared" si="15"/>
        <v>274.29279761628004</v>
      </c>
      <c r="J178" s="9">
        <f t="shared" si="16"/>
        <v>582.11738383334</v>
      </c>
      <c r="K178" s="9">
        <f t="shared" si="17"/>
        <v>274.29279761628004</v>
      </c>
      <c r="L178" s="10">
        <f t="shared" si="14"/>
        <v>0.47119843047808718</v>
      </c>
      <c r="M178" s="10">
        <f t="shared" si="18"/>
        <v>0.47173638106490273</v>
      </c>
      <c r="P178" s="8">
        <f t="shared" si="19"/>
        <v>38.805747034418516</v>
      </c>
    </row>
    <row r="179" spans="1:16" x14ac:dyDescent="0.2">
      <c r="A179" s="8">
        <v>88.5</v>
      </c>
      <c r="B179" s="8">
        <v>177</v>
      </c>
      <c r="D179">
        <v>742.33575581394996</v>
      </c>
      <c r="E179">
        <v>399.19186046511999</v>
      </c>
      <c r="F179">
        <v>147.201027146</v>
      </c>
      <c r="G179">
        <v>121.00880410857999</v>
      </c>
      <c r="I179" s="9">
        <f t="shared" si="15"/>
        <v>278.18305635653996</v>
      </c>
      <c r="J179" s="9">
        <f t="shared" si="16"/>
        <v>595.13472866794996</v>
      </c>
      <c r="K179" s="9">
        <f t="shared" si="17"/>
        <v>278.18305635653996</v>
      </c>
      <c r="L179" s="10">
        <f t="shared" si="14"/>
        <v>0.46742870640262985</v>
      </c>
      <c r="M179" s="10">
        <f t="shared" si="18"/>
        <v>0.4679697135268705</v>
      </c>
      <c r="P179" s="8">
        <f t="shared" si="19"/>
        <v>37.69742653501882</v>
      </c>
    </row>
    <row r="180" spans="1:16" x14ac:dyDescent="0.2">
      <c r="A180" s="8">
        <v>89</v>
      </c>
      <c r="B180" s="8">
        <v>178</v>
      </c>
      <c r="D180">
        <v>744.39807976366001</v>
      </c>
      <c r="E180">
        <v>409.65435745937998</v>
      </c>
      <c r="F180">
        <v>146.46881878209999</v>
      </c>
      <c r="G180">
        <v>121.22450476889</v>
      </c>
      <c r="I180" s="9">
        <f t="shared" si="15"/>
        <v>288.42985269048995</v>
      </c>
      <c r="J180" s="9">
        <f t="shared" si="16"/>
        <v>597.92926098155999</v>
      </c>
      <c r="K180" s="9">
        <f t="shared" si="17"/>
        <v>288.42985269048995</v>
      </c>
      <c r="L180" s="10">
        <f t="shared" si="14"/>
        <v>0.48238123054390053</v>
      </c>
      <c r="M180" s="10">
        <f t="shared" si="18"/>
        <v>0.48292529420556629</v>
      </c>
      <c r="P180" s="8">
        <f t="shared" si="19"/>
        <v>42.098021086903245</v>
      </c>
    </row>
    <row r="181" spans="1:16" x14ac:dyDescent="0.2">
      <c r="A181" s="8">
        <v>89.5</v>
      </c>
      <c r="B181" s="8">
        <v>179</v>
      </c>
      <c r="D181">
        <v>751.57237813885001</v>
      </c>
      <c r="E181">
        <v>412.30797636632002</v>
      </c>
      <c r="F181">
        <v>146.65150403522</v>
      </c>
      <c r="G181">
        <v>120.9809244314</v>
      </c>
      <c r="I181" s="9">
        <f t="shared" si="15"/>
        <v>291.32705193492001</v>
      </c>
      <c r="J181" s="9">
        <f t="shared" si="16"/>
        <v>604.92087410363001</v>
      </c>
      <c r="K181" s="9">
        <f t="shared" si="17"/>
        <v>291.32705193492001</v>
      </c>
      <c r="L181" s="10">
        <f t="shared" si="14"/>
        <v>0.48159530346280011</v>
      </c>
      <c r="M181" s="10">
        <f t="shared" si="18"/>
        <v>0.48214242366189092</v>
      </c>
      <c r="P181" s="8">
        <f t="shared" si="19"/>
        <v>41.867665882157752</v>
      </c>
    </row>
    <row r="182" spans="1:16" x14ac:dyDescent="0.2">
      <c r="A182" s="8">
        <v>90</v>
      </c>
      <c r="B182" s="8">
        <v>180</v>
      </c>
      <c r="D182">
        <v>725.55</v>
      </c>
      <c r="E182">
        <v>397.01397058824</v>
      </c>
      <c r="F182">
        <v>146.79457079970999</v>
      </c>
      <c r="G182">
        <v>121.29713866471</v>
      </c>
      <c r="I182" s="9">
        <f t="shared" si="15"/>
        <v>275.71683192352998</v>
      </c>
      <c r="J182" s="9">
        <f t="shared" si="16"/>
        <v>578.75542920029</v>
      </c>
      <c r="K182" s="9">
        <f t="shared" si="17"/>
        <v>275.71683192352998</v>
      </c>
      <c r="L182" s="10">
        <f t="shared" si="14"/>
        <v>0.47639610449012759</v>
      </c>
      <c r="M182" s="10">
        <f>L182+ABS($N$2)*A182</f>
        <v>0.47694628122664351</v>
      </c>
      <c r="P182" s="8">
        <f t="shared" si="19"/>
        <v>40.338730524673579</v>
      </c>
    </row>
    <row r="183" spans="1:16" x14ac:dyDescent="0.2">
      <c r="A183" s="8">
        <v>90.5</v>
      </c>
      <c r="B183" s="8">
        <v>181</v>
      </c>
      <c r="D183">
        <v>709.93823529411998</v>
      </c>
      <c r="E183">
        <v>383.15808823528999</v>
      </c>
      <c r="F183">
        <v>147.04695524578</v>
      </c>
      <c r="G183">
        <v>120.92076302274</v>
      </c>
      <c r="I183" s="9">
        <f t="shared" si="15"/>
        <v>262.23732521254999</v>
      </c>
      <c r="J183" s="9">
        <f t="shared" si="16"/>
        <v>562.89128004833992</v>
      </c>
      <c r="K183" s="9">
        <f t="shared" si="17"/>
        <v>262.23732521254999</v>
      </c>
      <c r="L183" s="10">
        <f t="shared" si="14"/>
        <v>0.46587562200293742</v>
      </c>
      <c r="M183" s="10">
        <f t="shared" ref="M183:M241" si="20">L183+ABS($N$2)*A183</f>
        <v>0.46642885527687844</v>
      </c>
      <c r="P183" s="8">
        <f t="shared" si="19"/>
        <v>37.244037758894578</v>
      </c>
    </row>
    <row r="184" spans="1:16" x14ac:dyDescent="0.2">
      <c r="A184" s="8">
        <v>91</v>
      </c>
      <c r="B184" s="8">
        <v>182</v>
      </c>
      <c r="D184">
        <v>743.09583028530005</v>
      </c>
      <c r="E184">
        <v>394.25457205560002</v>
      </c>
      <c r="F184">
        <v>146.11225238444999</v>
      </c>
      <c r="G184">
        <v>121.30594277329</v>
      </c>
      <c r="I184" s="9">
        <f t="shared" si="15"/>
        <v>272.94862928231004</v>
      </c>
      <c r="J184" s="9">
        <f t="shared" si="16"/>
        <v>596.98357790085004</v>
      </c>
      <c r="K184" s="9">
        <f t="shared" si="17"/>
        <v>272.94862928231004</v>
      </c>
      <c r="L184" s="10">
        <f t="shared" si="14"/>
        <v>0.45721296093615943</v>
      </c>
      <c r="M184" s="10">
        <f t="shared" si="20"/>
        <v>0.4577692507475255</v>
      </c>
      <c r="P184" s="8">
        <f t="shared" si="19"/>
        <v>34.695998379345234</v>
      </c>
    </row>
    <row r="185" spans="1:16" x14ac:dyDescent="0.2">
      <c r="A185" s="8">
        <v>91.5</v>
      </c>
      <c r="B185" s="8">
        <v>183</v>
      </c>
      <c r="D185">
        <v>747.10716925351005</v>
      </c>
      <c r="E185">
        <v>386.30968218773</v>
      </c>
      <c r="F185">
        <v>146.63903154805999</v>
      </c>
      <c r="G185">
        <v>120.94937637564</v>
      </c>
      <c r="I185" s="9">
        <f t="shared" si="15"/>
        <v>265.36030581209002</v>
      </c>
      <c r="J185" s="9">
        <f t="shared" si="16"/>
        <v>600.46813770545009</v>
      </c>
      <c r="K185" s="9">
        <f t="shared" si="17"/>
        <v>265.36030581209002</v>
      </c>
      <c r="L185" s="10">
        <f t="shared" si="14"/>
        <v>0.44192237547541319</v>
      </c>
      <c r="M185" s="10">
        <f t="shared" si="20"/>
        <v>0.44248172182420437</v>
      </c>
      <c r="P185" s="8">
        <f t="shared" si="19"/>
        <v>30.197729944501067</v>
      </c>
    </row>
    <row r="186" spans="1:16" x14ac:dyDescent="0.2">
      <c r="A186" s="8">
        <v>92</v>
      </c>
      <c r="B186" s="8">
        <v>184</v>
      </c>
      <c r="D186">
        <v>736.22036363636005</v>
      </c>
      <c r="E186">
        <v>394.38472727273</v>
      </c>
      <c r="F186">
        <v>146.82685253118001</v>
      </c>
      <c r="G186">
        <v>121.46735143067001</v>
      </c>
      <c r="I186" s="9">
        <f t="shared" si="15"/>
        <v>272.91737584205998</v>
      </c>
      <c r="J186" s="9">
        <f t="shared" si="16"/>
        <v>589.3935111051801</v>
      </c>
      <c r="K186" s="9">
        <f t="shared" si="17"/>
        <v>272.91737584205998</v>
      </c>
      <c r="L186" s="10">
        <f t="shared" si="14"/>
        <v>0.46304781219988111</v>
      </c>
      <c r="M186" s="10">
        <f t="shared" si="20"/>
        <v>0.4636102150860974</v>
      </c>
      <c r="P186" s="8">
        <f t="shared" si="19"/>
        <v>36.414668914330584</v>
      </c>
    </row>
    <row r="187" spans="1:16" x14ac:dyDescent="0.2">
      <c r="A187" s="8">
        <v>92.5</v>
      </c>
      <c r="B187" s="8">
        <v>185</v>
      </c>
      <c r="D187">
        <v>732.74760147602001</v>
      </c>
      <c r="E187">
        <v>391.37712177122</v>
      </c>
      <c r="F187">
        <v>146.85546588407999</v>
      </c>
      <c r="G187">
        <v>121.11371973588</v>
      </c>
      <c r="I187" s="9">
        <f t="shared" si="15"/>
        <v>270.26340203533999</v>
      </c>
      <c r="J187" s="9">
        <f t="shared" si="16"/>
        <v>585.89213559194002</v>
      </c>
      <c r="K187" s="9">
        <f t="shared" si="17"/>
        <v>270.26340203533999</v>
      </c>
      <c r="L187" s="10">
        <f t="shared" si="14"/>
        <v>0.46128525306503182</v>
      </c>
      <c r="M187" s="10">
        <f t="shared" si="20"/>
        <v>0.46185071248867315</v>
      </c>
      <c r="P187" s="8">
        <f t="shared" si="19"/>
        <v>35.896945282557375</v>
      </c>
    </row>
    <row r="188" spans="1:16" x14ac:dyDescent="0.2">
      <c r="A188" s="8">
        <v>93</v>
      </c>
      <c r="B188" s="8">
        <v>186</v>
      </c>
      <c r="D188">
        <v>723.71143911439003</v>
      </c>
      <c r="E188">
        <v>376.59778597785998</v>
      </c>
      <c r="F188">
        <v>146.5884079237</v>
      </c>
      <c r="G188">
        <v>121.04988994864</v>
      </c>
      <c r="I188" s="9">
        <f t="shared" si="15"/>
        <v>255.54789602922</v>
      </c>
      <c r="J188" s="9">
        <f t="shared" si="16"/>
        <v>577.12303119068997</v>
      </c>
      <c r="K188" s="9">
        <f t="shared" si="17"/>
        <v>255.54789602922</v>
      </c>
      <c r="L188" s="10">
        <f t="shared" si="14"/>
        <v>0.44279621886166454</v>
      </c>
      <c r="M188" s="10">
        <f t="shared" si="20"/>
        <v>0.44336473482273098</v>
      </c>
      <c r="P188" s="8">
        <f t="shared" si="19"/>
        <v>30.457551497006524</v>
      </c>
    </row>
    <row r="189" spans="1:16" x14ac:dyDescent="0.2">
      <c r="A189" s="8">
        <v>93.5</v>
      </c>
      <c r="B189" s="8">
        <v>187</v>
      </c>
      <c r="D189">
        <v>729.55424354243996</v>
      </c>
      <c r="E189">
        <v>377.31365313652998</v>
      </c>
      <c r="F189">
        <v>146.57006603081001</v>
      </c>
      <c r="G189">
        <v>120.98239178283001</v>
      </c>
      <c r="I189" s="9">
        <f t="shared" si="15"/>
        <v>256.33126135369997</v>
      </c>
      <c r="J189" s="9">
        <f t="shared" si="16"/>
        <v>582.98417751162992</v>
      </c>
      <c r="K189" s="9">
        <f t="shared" si="17"/>
        <v>256.33126135369997</v>
      </c>
      <c r="L189" s="10">
        <f t="shared" si="14"/>
        <v>0.43968819608073573</v>
      </c>
      <c r="M189" s="10">
        <f t="shared" si="20"/>
        <v>0.44025976857922727</v>
      </c>
      <c r="P189" s="8">
        <f t="shared" si="19"/>
        <v>29.543932839964913</v>
      </c>
    </row>
    <row r="190" spans="1:16" x14ac:dyDescent="0.2">
      <c r="A190" s="8">
        <v>94</v>
      </c>
      <c r="B190" s="8">
        <v>188</v>
      </c>
      <c r="D190">
        <v>723.92915129151004</v>
      </c>
      <c r="E190">
        <v>372.57343173432002</v>
      </c>
      <c r="F190">
        <v>146.50623624357999</v>
      </c>
      <c r="G190">
        <v>121.07410124725</v>
      </c>
      <c r="I190" s="9">
        <f t="shared" si="15"/>
        <v>251.49933048707004</v>
      </c>
      <c r="J190" s="9">
        <f t="shared" si="16"/>
        <v>577.42291504793002</v>
      </c>
      <c r="K190" s="9">
        <f t="shared" si="17"/>
        <v>251.49933048707004</v>
      </c>
      <c r="L190" s="10">
        <f t="shared" si="14"/>
        <v>0.43555481421480108</v>
      </c>
      <c r="M190" s="10">
        <f t="shared" si="20"/>
        <v>0.43612944325071767</v>
      </c>
      <c r="P190" s="8">
        <f t="shared" si="19"/>
        <v>28.328608104092833</v>
      </c>
    </row>
    <row r="191" spans="1:16" x14ac:dyDescent="0.2">
      <c r="A191" s="8">
        <v>94.5</v>
      </c>
      <c r="B191" s="8">
        <v>189</v>
      </c>
      <c r="D191">
        <v>719.11094783247995</v>
      </c>
      <c r="E191">
        <v>368.79720793534</v>
      </c>
      <c r="F191">
        <v>146.41819515774</v>
      </c>
      <c r="G191">
        <v>120.89801907557001</v>
      </c>
      <c r="I191" s="9">
        <f t="shared" si="15"/>
        <v>247.89918885976999</v>
      </c>
      <c r="J191" s="9">
        <f t="shared" si="16"/>
        <v>572.69275267473995</v>
      </c>
      <c r="K191" s="9">
        <f t="shared" si="17"/>
        <v>247.89918885976999</v>
      </c>
      <c r="L191" s="10">
        <f t="shared" si="14"/>
        <v>0.43286594374027987</v>
      </c>
      <c r="M191" s="10">
        <f t="shared" si="20"/>
        <v>0.43344362931362157</v>
      </c>
      <c r="P191" s="8">
        <f t="shared" si="19"/>
        <v>27.538322629200056</v>
      </c>
    </row>
    <row r="192" spans="1:16" x14ac:dyDescent="0.2">
      <c r="A192" s="8">
        <v>95</v>
      </c>
      <c r="B192" s="8">
        <v>190</v>
      </c>
      <c r="D192">
        <v>733.71312684366001</v>
      </c>
      <c r="E192">
        <v>365.89306784660999</v>
      </c>
      <c r="F192">
        <v>146.49082905355999</v>
      </c>
      <c r="G192">
        <v>121.18048422597001</v>
      </c>
      <c r="I192" s="9">
        <f t="shared" si="15"/>
        <v>244.71258362063998</v>
      </c>
      <c r="J192" s="9">
        <f t="shared" si="16"/>
        <v>587.22229779010001</v>
      </c>
      <c r="K192" s="9">
        <f t="shared" si="17"/>
        <v>244.71258362063998</v>
      </c>
      <c r="L192" s="10">
        <f t="shared" si="14"/>
        <v>0.41672903863080385</v>
      </c>
      <c r="M192" s="10">
        <f t="shared" si="20"/>
        <v>0.41730978074157066</v>
      </c>
      <c r="P192" s="8">
        <f t="shared" si="19"/>
        <v>22.791029451327475</v>
      </c>
    </row>
    <row r="193" spans="1:16" x14ac:dyDescent="0.2">
      <c r="A193" s="8">
        <v>95.5</v>
      </c>
      <c r="B193" s="8">
        <v>191</v>
      </c>
      <c r="D193">
        <v>745.97636632200999</v>
      </c>
      <c r="E193">
        <v>367.96159527326</v>
      </c>
      <c r="F193">
        <v>146.74468085106</v>
      </c>
      <c r="G193">
        <v>121.03228173148</v>
      </c>
      <c r="I193" s="9">
        <f t="shared" si="15"/>
        <v>246.92931354178</v>
      </c>
      <c r="J193" s="9">
        <f t="shared" si="16"/>
        <v>599.23168547094997</v>
      </c>
      <c r="K193" s="9">
        <f t="shared" si="17"/>
        <v>246.92931354178</v>
      </c>
      <c r="L193" s="10">
        <f t="shared" si="14"/>
        <v>0.41207652987794291</v>
      </c>
      <c r="M193" s="10">
        <f t="shared" si="20"/>
        <v>0.41266032852613482</v>
      </c>
      <c r="P193" s="8">
        <f t="shared" si="19"/>
        <v>21.422954581614146</v>
      </c>
    </row>
    <row r="194" spans="1:16" x14ac:dyDescent="0.2">
      <c r="A194" s="8">
        <v>96</v>
      </c>
      <c r="B194" s="8">
        <v>192</v>
      </c>
      <c r="D194">
        <v>727.38552437222995</v>
      </c>
      <c r="E194">
        <v>356.16248153619</v>
      </c>
      <c r="F194">
        <v>146.19955979457001</v>
      </c>
      <c r="G194">
        <v>121.40058694056999</v>
      </c>
      <c r="I194" s="9">
        <f t="shared" si="15"/>
        <v>234.76189459561999</v>
      </c>
      <c r="J194" s="9">
        <f t="shared" si="16"/>
        <v>581.18596457765989</v>
      </c>
      <c r="K194" s="9">
        <f t="shared" si="17"/>
        <v>234.76189459561999</v>
      </c>
      <c r="L194" s="10">
        <f t="shared" ref="L194:L257" si="21">K194/J194</f>
        <v>0.40393593256543686</v>
      </c>
      <c r="M194" s="10">
        <f t="shared" si="20"/>
        <v>0.40452278775105383</v>
      </c>
      <c r="P194" s="8">
        <f t="shared" si="19"/>
        <v>19.028529492418507</v>
      </c>
    </row>
    <row r="195" spans="1:16" x14ac:dyDescent="0.2">
      <c r="A195" s="8">
        <v>96.5</v>
      </c>
      <c r="B195" s="8">
        <v>193</v>
      </c>
      <c r="D195">
        <v>761.77165932451999</v>
      </c>
      <c r="E195">
        <v>374.76064610866001</v>
      </c>
      <c r="F195">
        <v>146.78870139398001</v>
      </c>
      <c r="G195">
        <v>121.00807043287</v>
      </c>
      <c r="I195" s="9">
        <f t="shared" ref="I195:I241" si="22">E195-G195</f>
        <v>253.75257567579001</v>
      </c>
      <c r="J195" s="9">
        <f t="shared" ref="J195:J241" si="23">D195-F195</f>
        <v>614.98295793054001</v>
      </c>
      <c r="K195" s="9">
        <f t="shared" ref="K195:K258" si="24">I195*1</f>
        <v>253.75257567579001</v>
      </c>
      <c r="L195" s="10">
        <f t="shared" si="21"/>
        <v>0.41261724801234312</v>
      </c>
      <c r="M195" s="10">
        <f t="shared" si="20"/>
        <v>0.41320715973538519</v>
      </c>
      <c r="P195" s="8">
        <f t="shared" ref="P195:P241" si="25">(M195-$O$2)/$O$2*100</f>
        <v>21.583856554725457</v>
      </c>
    </row>
    <row r="196" spans="1:16" x14ac:dyDescent="0.2">
      <c r="A196" s="8">
        <v>97</v>
      </c>
      <c r="B196" s="8">
        <v>194</v>
      </c>
      <c r="D196">
        <v>718.17854518735999</v>
      </c>
      <c r="E196">
        <v>355.77369581189998</v>
      </c>
      <c r="F196">
        <v>146.49889948642999</v>
      </c>
      <c r="G196">
        <v>121.00440205429</v>
      </c>
      <c r="I196" s="9">
        <f t="shared" si="22"/>
        <v>234.76929375761</v>
      </c>
      <c r="J196" s="9">
        <f t="shared" si="23"/>
        <v>571.67964570093</v>
      </c>
      <c r="K196" s="9">
        <f t="shared" si="24"/>
        <v>234.76929375761</v>
      </c>
      <c r="L196" s="10">
        <f t="shared" si="21"/>
        <v>0.4106658257349044</v>
      </c>
      <c r="M196" s="10">
        <f t="shared" si="20"/>
        <v>0.41125879399537157</v>
      </c>
      <c r="P196" s="8">
        <f t="shared" si="25"/>
        <v>21.010561017441788</v>
      </c>
    </row>
    <row r="197" spans="1:16" x14ac:dyDescent="0.2">
      <c r="A197" s="8">
        <v>97.5</v>
      </c>
      <c r="B197" s="8">
        <v>195</v>
      </c>
      <c r="D197">
        <v>725.22336517267001</v>
      </c>
      <c r="E197">
        <v>377.03820720059002</v>
      </c>
      <c r="F197">
        <v>147.10344827585999</v>
      </c>
      <c r="G197">
        <v>121.21716801174</v>
      </c>
      <c r="I197" s="9">
        <f t="shared" si="22"/>
        <v>255.82103918885002</v>
      </c>
      <c r="J197" s="9">
        <f t="shared" si="23"/>
        <v>578.11991689681008</v>
      </c>
      <c r="K197" s="9">
        <f t="shared" si="24"/>
        <v>255.82103918885002</v>
      </c>
      <c r="L197" s="10">
        <f t="shared" si="21"/>
        <v>0.44250514765522614</v>
      </c>
      <c r="M197" s="10">
        <f t="shared" si="20"/>
        <v>0.44310117245311836</v>
      </c>
      <c r="P197" s="8">
        <f t="shared" si="25"/>
        <v>30.379999768811096</v>
      </c>
    </row>
    <row r="198" spans="1:16" x14ac:dyDescent="0.2">
      <c r="A198" s="8">
        <v>98</v>
      </c>
      <c r="B198" s="8">
        <v>196</v>
      </c>
      <c r="D198">
        <v>730.83296863603005</v>
      </c>
      <c r="E198">
        <v>382.92997811816002</v>
      </c>
      <c r="F198">
        <v>146.39911958914001</v>
      </c>
      <c r="G198">
        <v>120.83492296404999</v>
      </c>
      <c r="I198" s="9">
        <f t="shared" si="22"/>
        <v>262.09505515411001</v>
      </c>
      <c r="J198" s="9">
        <f t="shared" si="23"/>
        <v>584.43384904689003</v>
      </c>
      <c r="K198" s="9">
        <f t="shared" si="24"/>
        <v>262.09505515411001</v>
      </c>
      <c r="L198" s="10">
        <f t="shared" si="21"/>
        <v>0.44845974541266126</v>
      </c>
      <c r="M198" s="10">
        <f t="shared" si="20"/>
        <v>0.44905882674797859</v>
      </c>
      <c r="P198" s="8">
        <f t="shared" si="25"/>
        <v>32.133005659737094</v>
      </c>
    </row>
    <row r="199" spans="1:16" x14ac:dyDescent="0.2">
      <c r="A199" s="8">
        <v>98.5</v>
      </c>
      <c r="B199" s="8">
        <v>197</v>
      </c>
      <c r="D199">
        <v>753.70845481050003</v>
      </c>
      <c r="E199">
        <v>383.72448979592002</v>
      </c>
      <c r="F199">
        <v>146.46221570066001</v>
      </c>
      <c r="G199">
        <v>121.04915627293001</v>
      </c>
      <c r="I199" s="9">
        <f t="shared" si="22"/>
        <v>262.67533352299</v>
      </c>
      <c r="J199" s="9">
        <f t="shared" si="23"/>
        <v>607.24623910983996</v>
      </c>
      <c r="K199" s="9">
        <f t="shared" si="24"/>
        <v>262.67533352299</v>
      </c>
      <c r="L199" s="10">
        <f t="shared" si="21"/>
        <v>0.43256806976366757</v>
      </c>
      <c r="M199" s="10">
        <f t="shared" si="20"/>
        <v>0.43317020763641001</v>
      </c>
      <c r="P199" s="8">
        <f t="shared" si="25"/>
        <v>27.457869855820398</v>
      </c>
    </row>
    <row r="200" spans="1:16" x14ac:dyDescent="0.2">
      <c r="A200" s="8">
        <v>99</v>
      </c>
      <c r="B200" s="8">
        <v>198</v>
      </c>
      <c r="D200">
        <v>734.35650887574002</v>
      </c>
      <c r="E200">
        <v>377.20562130178001</v>
      </c>
      <c r="F200">
        <v>146.36096845194001</v>
      </c>
      <c r="G200">
        <v>120.58767424798</v>
      </c>
      <c r="I200" s="9">
        <f t="shared" si="22"/>
        <v>256.61794705379998</v>
      </c>
      <c r="J200" s="9">
        <f t="shared" si="23"/>
        <v>587.99554042379998</v>
      </c>
      <c r="K200" s="9">
        <f t="shared" si="24"/>
        <v>256.61794705379998</v>
      </c>
      <c r="L200" s="10">
        <f t="shared" si="21"/>
        <v>0.43642839003309725</v>
      </c>
      <c r="M200" s="10">
        <f t="shared" si="20"/>
        <v>0.43703358444326473</v>
      </c>
      <c r="P200" s="8">
        <f t="shared" si="25"/>
        <v>28.594646507518025</v>
      </c>
    </row>
    <row r="201" spans="1:16" x14ac:dyDescent="0.2">
      <c r="A201" s="8">
        <v>99.5</v>
      </c>
      <c r="B201" s="8">
        <v>199</v>
      </c>
      <c r="D201">
        <v>736.92159763313998</v>
      </c>
      <c r="E201">
        <v>392.82248520709999</v>
      </c>
      <c r="F201">
        <v>146.38591342627001</v>
      </c>
      <c r="G201">
        <v>120.79750550257</v>
      </c>
      <c r="I201" s="9">
        <f t="shared" si="22"/>
        <v>272.02497970452998</v>
      </c>
      <c r="J201" s="9">
        <f t="shared" si="23"/>
        <v>590.53568420686997</v>
      </c>
      <c r="K201" s="9">
        <f t="shared" si="24"/>
        <v>272.02497970452998</v>
      </c>
      <c r="L201" s="10">
        <f t="shared" si="21"/>
        <v>0.46064105350361384</v>
      </c>
      <c r="M201" s="10">
        <f t="shared" si="20"/>
        <v>0.46124930445120643</v>
      </c>
      <c r="P201" s="8">
        <f t="shared" si="25"/>
        <v>35.719984388159901</v>
      </c>
    </row>
    <row r="202" spans="1:16" x14ac:dyDescent="0.2">
      <c r="A202" s="8">
        <v>100</v>
      </c>
      <c r="B202" s="8">
        <v>200</v>
      </c>
      <c r="D202">
        <v>734.87278106508995</v>
      </c>
      <c r="E202">
        <v>395.46671597633002</v>
      </c>
      <c r="F202">
        <v>146.82611885547001</v>
      </c>
      <c r="G202">
        <v>120.63316214232999</v>
      </c>
      <c r="I202" s="9">
        <f t="shared" si="22"/>
        <v>274.83355383400004</v>
      </c>
      <c r="J202" s="9">
        <f t="shared" si="23"/>
        <v>588.04666220961997</v>
      </c>
      <c r="K202" s="9">
        <f t="shared" si="24"/>
        <v>274.83355383400004</v>
      </c>
      <c r="L202" s="10">
        <f t="shared" si="21"/>
        <v>0.46736691404946806</v>
      </c>
      <c r="M202" s="10">
        <f t="shared" si="20"/>
        <v>0.46797822153448576</v>
      </c>
      <c r="P202" s="8">
        <f t="shared" si="25"/>
        <v>37.699929967868634</v>
      </c>
    </row>
    <row r="203" spans="1:16" x14ac:dyDescent="0.2">
      <c r="A203" s="8">
        <v>100.5</v>
      </c>
      <c r="B203" s="8">
        <v>201</v>
      </c>
      <c r="D203">
        <v>722.90014792899001</v>
      </c>
      <c r="E203">
        <v>387.63609467456001</v>
      </c>
      <c r="F203">
        <v>146.85326485693</v>
      </c>
      <c r="G203">
        <v>121.19442406456</v>
      </c>
      <c r="I203" s="9">
        <f t="shared" si="22"/>
        <v>266.44167061000002</v>
      </c>
      <c r="J203" s="9">
        <f t="shared" si="23"/>
        <v>576.04688307206004</v>
      </c>
      <c r="K203" s="9">
        <f t="shared" si="24"/>
        <v>266.44167061000002</v>
      </c>
      <c r="L203" s="10">
        <f t="shared" si="21"/>
        <v>0.4625346971570537</v>
      </c>
      <c r="M203" s="10">
        <f t="shared" si="20"/>
        <v>0.46314906117949645</v>
      </c>
      <c r="P203" s="8">
        <f t="shared" si="25"/>
        <v>36.278977000217267</v>
      </c>
    </row>
    <row r="204" spans="1:16" x14ac:dyDescent="0.2">
      <c r="A204" s="8">
        <v>101</v>
      </c>
      <c r="B204" s="8">
        <v>202</v>
      </c>
      <c r="D204">
        <v>721.30803242446996</v>
      </c>
      <c r="E204">
        <v>380.26381724392002</v>
      </c>
      <c r="F204">
        <v>146.06603081438001</v>
      </c>
      <c r="G204">
        <v>121.19222303742001</v>
      </c>
      <c r="I204" s="9">
        <f t="shared" si="22"/>
        <v>259.07159420649998</v>
      </c>
      <c r="J204" s="9">
        <f t="shared" si="23"/>
        <v>575.24200161008991</v>
      </c>
      <c r="K204" s="9">
        <f t="shared" si="24"/>
        <v>259.07159420649998</v>
      </c>
      <c r="L204" s="10">
        <f t="shared" si="21"/>
        <v>0.45036974609184344</v>
      </c>
      <c r="M204" s="10">
        <f t="shared" si="20"/>
        <v>0.45098716665171129</v>
      </c>
      <c r="P204" s="8">
        <f t="shared" si="25"/>
        <v>32.700408708596008</v>
      </c>
    </row>
    <row r="205" spans="1:16" x14ac:dyDescent="0.2">
      <c r="A205" s="8">
        <v>101.5</v>
      </c>
      <c r="B205" s="8">
        <v>203</v>
      </c>
      <c r="D205">
        <v>718.33087693440996</v>
      </c>
      <c r="E205">
        <v>371.81282240235998</v>
      </c>
      <c r="F205">
        <v>146.15700660307999</v>
      </c>
      <c r="G205">
        <v>120.76522377109001</v>
      </c>
      <c r="I205" s="9">
        <f t="shared" si="22"/>
        <v>251.04759863126998</v>
      </c>
      <c r="J205" s="9">
        <f t="shared" si="23"/>
        <v>572.17387033132991</v>
      </c>
      <c r="K205" s="9">
        <f t="shared" si="24"/>
        <v>251.04759863126998</v>
      </c>
      <c r="L205" s="10">
        <f t="shared" si="21"/>
        <v>0.43876103340038114</v>
      </c>
      <c r="M205" s="10">
        <f t="shared" si="20"/>
        <v>0.4393815104976741</v>
      </c>
      <c r="P205" s="8">
        <f t="shared" si="25"/>
        <v>29.285510394734366</v>
      </c>
    </row>
    <row r="206" spans="1:16" x14ac:dyDescent="0.2">
      <c r="A206" s="8">
        <v>102</v>
      </c>
      <c r="B206" s="8">
        <v>204</v>
      </c>
      <c r="D206">
        <v>715.51510685334995</v>
      </c>
      <c r="E206">
        <v>374.24686809138001</v>
      </c>
      <c r="F206">
        <v>146.33675715333999</v>
      </c>
      <c r="G206">
        <v>121.03228173148</v>
      </c>
      <c r="I206" s="9">
        <f t="shared" si="22"/>
        <v>253.21458635990001</v>
      </c>
      <c r="J206" s="9">
        <f t="shared" si="23"/>
        <v>569.1783497000099</v>
      </c>
      <c r="K206" s="9">
        <f t="shared" si="24"/>
        <v>253.21458635990001</v>
      </c>
      <c r="L206" s="10">
        <f t="shared" si="21"/>
        <v>0.44487740352977029</v>
      </c>
      <c r="M206" s="10">
        <f t="shared" si="20"/>
        <v>0.4455009371644883</v>
      </c>
      <c r="P206" s="8">
        <f t="shared" si="25"/>
        <v>31.08611688599547</v>
      </c>
    </row>
    <row r="207" spans="1:16" x14ac:dyDescent="0.2">
      <c r="A207" s="8">
        <v>102.5</v>
      </c>
      <c r="B207" s="8">
        <v>205</v>
      </c>
      <c r="D207">
        <v>700.07148120855004</v>
      </c>
      <c r="E207">
        <v>353.14959469418</v>
      </c>
      <c r="F207">
        <v>146.64710198092001</v>
      </c>
      <c r="G207">
        <v>121.12252384446001</v>
      </c>
      <c r="I207" s="9">
        <f t="shared" si="22"/>
        <v>232.02707084971999</v>
      </c>
      <c r="J207" s="9">
        <f t="shared" si="23"/>
        <v>553.42437922762997</v>
      </c>
      <c r="K207" s="9">
        <f t="shared" si="24"/>
        <v>232.02707084971999</v>
      </c>
      <c r="L207" s="10">
        <f t="shared" si="21"/>
        <v>0.41925704677763126</v>
      </c>
      <c r="M207" s="10">
        <f t="shared" si="20"/>
        <v>0.41988363694977437</v>
      </c>
      <c r="P207" s="8">
        <f t="shared" si="25"/>
        <v>23.548372001275382</v>
      </c>
    </row>
    <row r="208" spans="1:16" x14ac:dyDescent="0.2">
      <c r="A208" s="8">
        <v>103</v>
      </c>
      <c r="B208" s="8">
        <v>206</v>
      </c>
      <c r="D208">
        <v>719.03608247423006</v>
      </c>
      <c r="E208">
        <v>359.54786450662999</v>
      </c>
      <c r="F208">
        <v>145.95964783566001</v>
      </c>
      <c r="G208">
        <v>120.99853264857001</v>
      </c>
      <c r="I208" s="9">
        <f t="shared" si="22"/>
        <v>238.54933185805999</v>
      </c>
      <c r="J208" s="9">
        <f t="shared" si="23"/>
        <v>573.07643463857005</v>
      </c>
      <c r="K208" s="9">
        <f t="shared" si="24"/>
        <v>238.54933185805999</v>
      </c>
      <c r="L208" s="10">
        <f t="shared" si="21"/>
        <v>0.41626093386392543</v>
      </c>
      <c r="M208" s="10">
        <f t="shared" si="20"/>
        <v>0.41689058057349365</v>
      </c>
      <c r="P208" s="8">
        <f t="shared" si="25"/>
        <v>22.667682186154643</v>
      </c>
    </row>
    <row r="209" spans="1:16" x14ac:dyDescent="0.2">
      <c r="A209" s="8">
        <v>103.5</v>
      </c>
      <c r="B209" s="8">
        <v>207</v>
      </c>
      <c r="D209">
        <v>694.35935198822006</v>
      </c>
      <c r="E209">
        <v>352.74668630338999</v>
      </c>
      <c r="F209">
        <v>145.99853264857001</v>
      </c>
      <c r="G209">
        <v>120.66397652238</v>
      </c>
      <c r="I209" s="9">
        <f t="shared" si="22"/>
        <v>232.08270978101001</v>
      </c>
      <c r="J209" s="9">
        <f t="shared" si="23"/>
        <v>548.36081933965011</v>
      </c>
      <c r="K209" s="9">
        <f t="shared" si="24"/>
        <v>232.08270978101001</v>
      </c>
      <c r="L209" s="10">
        <f t="shared" si="21"/>
        <v>0.42322992744173416</v>
      </c>
      <c r="M209" s="10">
        <f t="shared" si="20"/>
        <v>0.42386263068872748</v>
      </c>
      <c r="P209" s="8">
        <f t="shared" si="25"/>
        <v>24.719168277648805</v>
      </c>
    </row>
    <row r="210" spans="1:16" x14ac:dyDescent="0.2">
      <c r="A210" s="8">
        <v>104</v>
      </c>
      <c r="B210" s="8">
        <v>208</v>
      </c>
      <c r="D210">
        <v>686.89469808542003</v>
      </c>
      <c r="E210">
        <v>369.59867452136001</v>
      </c>
      <c r="F210">
        <v>145.92369772561</v>
      </c>
      <c r="G210">
        <v>120.82538517975</v>
      </c>
      <c r="I210" s="9">
        <f t="shared" si="22"/>
        <v>248.77328934161</v>
      </c>
      <c r="J210" s="9">
        <f t="shared" si="23"/>
        <v>540.97100035980998</v>
      </c>
      <c r="K210" s="9">
        <f t="shared" si="24"/>
        <v>248.77328934161</v>
      </c>
      <c r="L210" s="10">
        <f t="shared" si="21"/>
        <v>0.45986437198324165</v>
      </c>
      <c r="M210" s="10">
        <f t="shared" si="20"/>
        <v>0.46050013176766003</v>
      </c>
      <c r="P210" s="8">
        <f t="shared" si="25"/>
        <v>35.499544587094114</v>
      </c>
    </row>
    <row r="211" spans="1:16" x14ac:dyDescent="0.2">
      <c r="A211" s="8">
        <v>104.5</v>
      </c>
      <c r="B211" s="8">
        <v>209</v>
      </c>
      <c r="D211">
        <v>741.29992630802997</v>
      </c>
      <c r="E211">
        <v>397.98526160648998</v>
      </c>
      <c r="F211">
        <v>146.19735876742999</v>
      </c>
      <c r="G211">
        <v>121.45487894351</v>
      </c>
      <c r="I211" s="9">
        <f t="shared" si="22"/>
        <v>276.53038266298</v>
      </c>
      <c r="J211" s="9">
        <f t="shared" si="23"/>
        <v>595.10256754059992</v>
      </c>
      <c r="K211" s="9">
        <f t="shared" si="24"/>
        <v>276.53038266298</v>
      </c>
      <c r="L211" s="10">
        <f t="shared" si="21"/>
        <v>0.46467684353271449</v>
      </c>
      <c r="M211" s="10">
        <f t="shared" si="20"/>
        <v>0.46531565985455797</v>
      </c>
      <c r="P211" s="8">
        <f t="shared" si="25"/>
        <v>36.916486337395824</v>
      </c>
    </row>
    <row r="212" spans="1:16" x14ac:dyDescent="0.2">
      <c r="A212" s="8">
        <v>105</v>
      </c>
      <c r="B212" s="8">
        <v>210</v>
      </c>
      <c r="D212">
        <v>706.57288629738002</v>
      </c>
      <c r="E212">
        <v>389.87755102041001</v>
      </c>
      <c r="F212">
        <v>145.38664710198</v>
      </c>
      <c r="G212">
        <v>120.78283198826</v>
      </c>
      <c r="I212" s="9">
        <f t="shared" si="22"/>
        <v>269.09471903215001</v>
      </c>
      <c r="J212" s="9">
        <f t="shared" si="23"/>
        <v>561.18623919540005</v>
      </c>
      <c r="K212" s="9">
        <f t="shared" si="24"/>
        <v>269.09471903215001</v>
      </c>
      <c r="L212" s="10">
        <f t="shared" si="21"/>
        <v>0.4795105443390133</v>
      </c>
      <c r="M212" s="10">
        <f t="shared" si="20"/>
        <v>0.48015241719828189</v>
      </c>
      <c r="P212" s="8">
        <f t="shared" si="25"/>
        <v>41.28211779879598</v>
      </c>
    </row>
    <row r="213" spans="1:16" x14ac:dyDescent="0.2">
      <c r="A213" s="8">
        <v>105.5</v>
      </c>
      <c r="B213" s="8">
        <v>211</v>
      </c>
      <c r="D213">
        <v>712.36880466471996</v>
      </c>
      <c r="E213">
        <v>390.30758017493002</v>
      </c>
      <c r="F213">
        <v>146.37123991196</v>
      </c>
      <c r="G213">
        <v>121.04108584006001</v>
      </c>
      <c r="I213" s="9">
        <f t="shared" si="22"/>
        <v>269.26649433487</v>
      </c>
      <c r="J213" s="9">
        <f t="shared" si="23"/>
        <v>565.9975647527599</v>
      </c>
      <c r="K213" s="9">
        <f t="shared" si="24"/>
        <v>269.26649433487</v>
      </c>
      <c r="L213" s="10">
        <f t="shared" si="21"/>
        <v>0.47573790260474264</v>
      </c>
      <c r="M213" s="10">
        <f t="shared" si="20"/>
        <v>0.47638283200143627</v>
      </c>
      <c r="P213" s="8">
        <f t="shared" si="25"/>
        <v>40.172938794885205</v>
      </c>
    </row>
    <row r="214" spans="1:16" x14ac:dyDescent="0.2">
      <c r="A214" s="8">
        <v>106</v>
      </c>
      <c r="B214" s="8">
        <v>212</v>
      </c>
      <c r="D214">
        <v>702.24416909621004</v>
      </c>
      <c r="E214">
        <v>384.52478134110999</v>
      </c>
      <c r="F214">
        <v>146.26779163609999</v>
      </c>
      <c r="G214">
        <v>120.47101980924</v>
      </c>
      <c r="I214" s="9">
        <f t="shared" si="22"/>
        <v>264.05376153187001</v>
      </c>
      <c r="J214" s="9">
        <f t="shared" si="23"/>
        <v>555.97637746011003</v>
      </c>
      <c r="K214" s="9">
        <f t="shared" si="24"/>
        <v>264.05376153187001</v>
      </c>
      <c r="L214" s="10">
        <f t="shared" si="21"/>
        <v>0.47493701573825453</v>
      </c>
      <c r="M214" s="10">
        <f t="shared" si="20"/>
        <v>0.47558500167237328</v>
      </c>
      <c r="P214" s="8">
        <f t="shared" si="25"/>
        <v>39.938181758376146</v>
      </c>
    </row>
    <row r="215" spans="1:16" x14ac:dyDescent="0.2">
      <c r="A215" s="8">
        <v>106.5</v>
      </c>
      <c r="B215" s="8">
        <v>213</v>
      </c>
      <c r="D215">
        <v>697.45481049563</v>
      </c>
      <c r="E215">
        <v>370.80029154519002</v>
      </c>
      <c r="F215">
        <v>146.58547322083999</v>
      </c>
      <c r="G215">
        <v>120.97065297139</v>
      </c>
      <c r="I215" s="9">
        <f t="shared" si="22"/>
        <v>249.82963857380003</v>
      </c>
      <c r="J215" s="9">
        <f t="shared" si="23"/>
        <v>550.86933727479004</v>
      </c>
      <c r="K215" s="9">
        <f t="shared" si="24"/>
        <v>249.82963857380003</v>
      </c>
      <c r="L215" s="10">
        <f t="shared" si="21"/>
        <v>0.45351886857550316</v>
      </c>
      <c r="M215" s="10">
        <f t="shared" si="20"/>
        <v>0.45416991104704701</v>
      </c>
      <c r="P215" s="8">
        <f t="shared" si="25"/>
        <v>33.636913144435567</v>
      </c>
    </row>
    <row r="216" spans="1:16" x14ac:dyDescent="0.2">
      <c r="A216" s="8">
        <v>107</v>
      </c>
      <c r="B216" s="8">
        <v>214</v>
      </c>
      <c r="D216">
        <v>705.79163609684997</v>
      </c>
      <c r="E216">
        <v>371.51063829787</v>
      </c>
      <c r="F216">
        <v>146.06456346294999</v>
      </c>
      <c r="G216">
        <v>121.10711665444001</v>
      </c>
      <c r="I216" s="9">
        <f t="shared" si="22"/>
        <v>250.40352164343</v>
      </c>
      <c r="J216" s="9">
        <f t="shared" si="23"/>
        <v>559.72707263389998</v>
      </c>
      <c r="K216" s="9">
        <f t="shared" si="24"/>
        <v>250.40352164343</v>
      </c>
      <c r="L216" s="10">
        <f t="shared" si="21"/>
        <v>0.44736717926669078</v>
      </c>
      <c r="M216" s="10">
        <f t="shared" si="20"/>
        <v>0.44802127827565968</v>
      </c>
      <c r="P216" s="8">
        <f t="shared" si="25"/>
        <v>31.827712923019313</v>
      </c>
    </row>
    <row r="217" spans="1:16" x14ac:dyDescent="0.2">
      <c r="A217" s="8">
        <v>107.5</v>
      </c>
      <c r="B217" s="8">
        <v>215</v>
      </c>
      <c r="D217">
        <v>680.57520176082005</v>
      </c>
      <c r="E217">
        <v>352.49596478357</v>
      </c>
      <c r="F217">
        <v>145.49009537783999</v>
      </c>
      <c r="G217">
        <v>120.56126192223</v>
      </c>
      <c r="I217" s="9">
        <f t="shared" si="22"/>
        <v>231.93470286133999</v>
      </c>
      <c r="J217" s="9">
        <f t="shared" si="23"/>
        <v>535.08510638298003</v>
      </c>
      <c r="K217" s="9">
        <f t="shared" si="24"/>
        <v>231.93470286133999</v>
      </c>
      <c r="L217" s="10">
        <f t="shared" si="21"/>
        <v>0.43345385639520267</v>
      </c>
      <c r="M217" s="10">
        <f t="shared" si="20"/>
        <v>0.43411101194159668</v>
      </c>
      <c r="P217" s="8">
        <f t="shared" si="25"/>
        <v>27.734696171611095</v>
      </c>
    </row>
    <row r="218" spans="1:16" x14ac:dyDescent="0.2">
      <c r="A218" s="8">
        <v>108</v>
      </c>
      <c r="B218" s="8">
        <v>216</v>
      </c>
      <c r="D218">
        <v>697.19397501837</v>
      </c>
      <c r="E218">
        <v>348.27847171197999</v>
      </c>
      <c r="F218">
        <v>145.70873074100999</v>
      </c>
      <c r="G218">
        <v>120.87600880411</v>
      </c>
      <c r="I218" s="9">
        <f t="shared" si="22"/>
        <v>227.40246290786999</v>
      </c>
      <c r="J218" s="9">
        <f t="shared" si="23"/>
        <v>551.48524427736004</v>
      </c>
      <c r="K218" s="9">
        <f t="shared" si="24"/>
        <v>227.40246290786999</v>
      </c>
      <c r="L218" s="10">
        <f t="shared" si="21"/>
        <v>0.41234550745931076</v>
      </c>
      <c r="M218" s="10">
        <f t="shared" si="20"/>
        <v>0.41300571954312987</v>
      </c>
      <c r="P218" s="8">
        <f t="shared" si="25"/>
        <v>21.524583923885245</v>
      </c>
    </row>
    <row r="219" spans="1:16" x14ac:dyDescent="0.2">
      <c r="A219" s="8">
        <v>108.5</v>
      </c>
      <c r="B219" s="8">
        <v>217</v>
      </c>
      <c r="D219">
        <v>684.33798677442996</v>
      </c>
      <c r="E219">
        <v>332.81263776635001</v>
      </c>
      <c r="F219">
        <v>146.14086573733999</v>
      </c>
      <c r="G219">
        <v>120.84079236977</v>
      </c>
      <c r="I219" s="9">
        <f t="shared" si="22"/>
        <v>211.97184539658002</v>
      </c>
      <c r="J219" s="9">
        <f t="shared" si="23"/>
        <v>538.19712103709003</v>
      </c>
      <c r="K219" s="9">
        <f t="shared" si="24"/>
        <v>211.97184539658002</v>
      </c>
      <c r="L219" s="10">
        <f t="shared" si="21"/>
        <v>0.39385540559584659</v>
      </c>
      <c r="M219" s="10">
        <f t="shared" si="20"/>
        <v>0.39451867421709075</v>
      </c>
      <c r="P219" s="8">
        <f t="shared" si="25"/>
        <v>16.084875985423398</v>
      </c>
    </row>
    <row r="220" spans="1:16" x14ac:dyDescent="0.2">
      <c r="A220" s="8">
        <v>109</v>
      </c>
      <c r="B220" s="8">
        <v>218</v>
      </c>
      <c r="D220">
        <v>707.32890855457003</v>
      </c>
      <c r="E220">
        <v>341.61504424779002</v>
      </c>
      <c r="F220">
        <v>146.48129126926</v>
      </c>
      <c r="G220">
        <v>121.02274394718</v>
      </c>
      <c r="I220" s="9">
        <f t="shared" si="22"/>
        <v>220.59230030061002</v>
      </c>
      <c r="J220" s="9">
        <f t="shared" si="23"/>
        <v>560.84761728530998</v>
      </c>
      <c r="K220" s="9">
        <f t="shared" si="24"/>
        <v>220.59230030061002</v>
      </c>
      <c r="L220" s="10">
        <f t="shared" si="21"/>
        <v>0.39331949267851135</v>
      </c>
      <c r="M220" s="10">
        <f t="shared" si="20"/>
        <v>0.39398581783718062</v>
      </c>
      <c r="P220" s="8">
        <f t="shared" si="25"/>
        <v>15.928086026360846</v>
      </c>
    </row>
    <row r="221" spans="1:16" x14ac:dyDescent="0.2">
      <c r="A221" s="8">
        <v>109.5</v>
      </c>
      <c r="B221" s="8">
        <v>219</v>
      </c>
      <c r="D221">
        <v>737.21125730994004</v>
      </c>
      <c r="E221">
        <v>344.70687134502998</v>
      </c>
      <c r="F221">
        <v>146.04988994863999</v>
      </c>
      <c r="G221">
        <v>120.40498899486001</v>
      </c>
      <c r="I221" s="9">
        <f t="shared" si="22"/>
        <v>224.30188235016999</v>
      </c>
      <c r="J221" s="9">
        <f t="shared" si="23"/>
        <v>591.16136736130011</v>
      </c>
      <c r="K221" s="9">
        <f t="shared" si="24"/>
        <v>224.30188235016999</v>
      </c>
      <c r="L221" s="10">
        <f t="shared" si="21"/>
        <v>0.37942581287299076</v>
      </c>
      <c r="M221" s="10">
        <f t="shared" si="20"/>
        <v>0.38009519456908514</v>
      </c>
      <c r="P221" s="8">
        <f t="shared" si="25"/>
        <v>11.840849135389751</v>
      </c>
    </row>
    <row r="222" spans="1:16" x14ac:dyDescent="0.2">
      <c r="A222" s="8">
        <v>110</v>
      </c>
      <c r="B222" s="8">
        <v>220</v>
      </c>
      <c r="D222">
        <v>745.93347953216005</v>
      </c>
      <c r="E222">
        <v>336.30409356724999</v>
      </c>
      <c r="F222">
        <v>146.07116654439</v>
      </c>
      <c r="G222">
        <v>120.77256052825</v>
      </c>
      <c r="I222" s="9">
        <f t="shared" si="22"/>
        <v>215.53153303900001</v>
      </c>
      <c r="J222" s="9">
        <f t="shared" si="23"/>
        <v>599.86231298777011</v>
      </c>
      <c r="K222" s="9">
        <f t="shared" si="24"/>
        <v>215.53153303900001</v>
      </c>
      <c r="L222" s="10">
        <f t="shared" si="21"/>
        <v>0.35930167368823224</v>
      </c>
      <c r="M222" s="10">
        <f t="shared" si="20"/>
        <v>0.35997411192175166</v>
      </c>
      <c r="P222" s="8">
        <f t="shared" si="25"/>
        <v>5.920335009047351</v>
      </c>
    </row>
    <row r="223" spans="1:16" x14ac:dyDescent="0.2">
      <c r="A223" s="8">
        <v>110.5</v>
      </c>
      <c r="B223" s="8">
        <v>221</v>
      </c>
      <c r="D223">
        <v>745.53147877012998</v>
      </c>
      <c r="E223">
        <v>326.13982430454001</v>
      </c>
      <c r="F223">
        <v>146.17094644167</v>
      </c>
      <c r="G223">
        <v>120.62068965517</v>
      </c>
      <c r="I223" s="9">
        <f t="shared" si="22"/>
        <v>205.51913464937002</v>
      </c>
      <c r="J223" s="9">
        <f t="shared" si="23"/>
        <v>599.36053232845995</v>
      </c>
      <c r="K223" s="9">
        <f t="shared" si="24"/>
        <v>205.51913464937002</v>
      </c>
      <c r="L223" s="10">
        <f t="shared" si="21"/>
        <v>0.34289734402588584</v>
      </c>
      <c r="M223" s="10">
        <f t="shared" si="20"/>
        <v>0.34357283879683037</v>
      </c>
      <c r="P223" s="8">
        <f t="shared" si="25"/>
        <v>1.0943536775226741</v>
      </c>
    </row>
    <row r="224" spans="1:16" x14ac:dyDescent="0.2">
      <c r="A224" s="8">
        <v>111</v>
      </c>
      <c r="B224" s="8">
        <v>222</v>
      </c>
      <c r="D224">
        <v>744.00801165330995</v>
      </c>
      <c r="E224">
        <v>336.09468317553001</v>
      </c>
      <c r="F224">
        <v>146.27219369039</v>
      </c>
      <c r="G224">
        <v>120.26412325752</v>
      </c>
      <c r="I224" s="9">
        <f t="shared" si="22"/>
        <v>215.83055991801001</v>
      </c>
      <c r="J224" s="9">
        <f t="shared" si="23"/>
        <v>597.73581796292001</v>
      </c>
      <c r="K224" s="9">
        <f t="shared" si="24"/>
        <v>215.83055991801001</v>
      </c>
      <c r="L224" s="10">
        <f t="shared" si="21"/>
        <v>0.36108018531256708</v>
      </c>
      <c r="M224" s="10">
        <f t="shared" si="20"/>
        <v>0.36175873662093672</v>
      </c>
      <c r="P224" s="8">
        <f t="shared" si="25"/>
        <v>6.4454506763767574</v>
      </c>
    </row>
    <row r="225" spans="1:16" x14ac:dyDescent="0.2">
      <c r="A225" s="8">
        <v>111.5</v>
      </c>
      <c r="B225" s="8">
        <v>223</v>
      </c>
      <c r="D225">
        <v>730.90021849964</v>
      </c>
      <c r="E225">
        <v>349.91988346686003</v>
      </c>
      <c r="F225">
        <v>146.20763022744001</v>
      </c>
      <c r="G225">
        <v>120.6507703595</v>
      </c>
      <c r="I225" s="9">
        <f t="shared" si="22"/>
        <v>229.26911310736003</v>
      </c>
      <c r="J225" s="9">
        <f t="shared" si="23"/>
        <v>584.69258827220006</v>
      </c>
      <c r="K225" s="9">
        <f t="shared" si="24"/>
        <v>229.26911310736003</v>
      </c>
      <c r="L225" s="10">
        <f t="shared" si="21"/>
        <v>0.39211906856022127</v>
      </c>
      <c r="M225" s="10">
        <f t="shared" si="20"/>
        <v>0.39280067640601601</v>
      </c>
      <c r="P225" s="8">
        <f t="shared" si="25"/>
        <v>15.579364900966851</v>
      </c>
    </row>
    <row r="226" spans="1:16" x14ac:dyDescent="0.2">
      <c r="A226" s="8">
        <v>112</v>
      </c>
      <c r="B226" s="8">
        <v>224</v>
      </c>
      <c r="D226">
        <v>693.30453879941001</v>
      </c>
      <c r="E226">
        <v>336.50146412883998</v>
      </c>
      <c r="F226">
        <v>145.94424064564001</v>
      </c>
      <c r="G226">
        <v>120.01687454144999</v>
      </c>
      <c r="I226" s="9">
        <f t="shared" si="22"/>
        <v>216.48458958738999</v>
      </c>
      <c r="J226" s="9">
        <f t="shared" si="23"/>
        <v>547.36029815377003</v>
      </c>
      <c r="K226" s="9">
        <f t="shared" si="24"/>
        <v>216.48458958738999</v>
      </c>
      <c r="L226" s="10">
        <f t="shared" si="21"/>
        <v>0.39550656179775195</v>
      </c>
      <c r="M226" s="10">
        <f t="shared" si="20"/>
        <v>0.39619122618097175</v>
      </c>
      <c r="P226" s="8">
        <f t="shared" si="25"/>
        <v>16.577014887825424</v>
      </c>
    </row>
    <row r="227" spans="1:16" x14ac:dyDescent="0.2">
      <c r="A227" s="8">
        <v>112.5</v>
      </c>
      <c r="B227" s="8">
        <v>225</v>
      </c>
      <c r="D227">
        <v>740.80973451326997</v>
      </c>
      <c r="E227">
        <v>356.44321533922999</v>
      </c>
      <c r="F227">
        <v>146.39178283199001</v>
      </c>
      <c r="G227">
        <v>120.43360234776</v>
      </c>
      <c r="I227" s="9">
        <f t="shared" si="22"/>
        <v>236.00961299146999</v>
      </c>
      <c r="J227" s="9">
        <f t="shared" si="23"/>
        <v>594.41795168127999</v>
      </c>
      <c r="K227" s="9">
        <f t="shared" si="24"/>
        <v>236.00961299146999</v>
      </c>
      <c r="L227" s="10">
        <f t="shared" si="21"/>
        <v>0.39704321231202588</v>
      </c>
      <c r="M227" s="10">
        <f t="shared" si="20"/>
        <v>0.39773093323267078</v>
      </c>
      <c r="P227" s="8">
        <f t="shared" si="25"/>
        <v>17.030064930399611</v>
      </c>
    </row>
    <row r="228" spans="1:16" x14ac:dyDescent="0.2">
      <c r="A228" s="8">
        <v>113</v>
      </c>
      <c r="B228" s="8">
        <v>226</v>
      </c>
      <c r="D228">
        <v>735.52654867257002</v>
      </c>
      <c r="E228">
        <v>341.45501474925999</v>
      </c>
      <c r="F228">
        <v>145.46515040352</v>
      </c>
      <c r="G228">
        <v>120.70726338958001</v>
      </c>
      <c r="I228" s="9">
        <f t="shared" si="22"/>
        <v>220.74775135967997</v>
      </c>
      <c r="J228" s="9">
        <f t="shared" si="23"/>
        <v>590.06139826904996</v>
      </c>
      <c r="K228" s="9">
        <f t="shared" si="24"/>
        <v>220.74775135967997</v>
      </c>
      <c r="L228" s="10">
        <f t="shared" si="21"/>
        <v>0.37410979943315281</v>
      </c>
      <c r="M228" s="10">
        <f t="shared" si="20"/>
        <v>0.37480057689122281</v>
      </c>
      <c r="P228" s="8">
        <f t="shared" si="25"/>
        <v>10.282937997863547</v>
      </c>
    </row>
    <row r="229" spans="1:16" x14ac:dyDescent="0.2">
      <c r="A229" s="8">
        <v>113.5</v>
      </c>
      <c r="B229" s="8">
        <v>227</v>
      </c>
      <c r="D229">
        <v>713.88179148310996</v>
      </c>
      <c r="E229">
        <v>326.18942731278003</v>
      </c>
      <c r="F229">
        <v>146.30520909757999</v>
      </c>
      <c r="G229">
        <v>120.42626559061</v>
      </c>
      <c r="I229" s="9">
        <f t="shared" si="22"/>
        <v>205.76316172217003</v>
      </c>
      <c r="J229" s="9">
        <f t="shared" si="23"/>
        <v>567.57658238552995</v>
      </c>
      <c r="K229" s="9">
        <f t="shared" si="24"/>
        <v>205.76316172217003</v>
      </c>
      <c r="L229" s="10">
        <f t="shared" si="21"/>
        <v>0.36252933631853773</v>
      </c>
      <c r="M229" s="10">
        <f t="shared" si="20"/>
        <v>0.36322317031403278</v>
      </c>
      <c r="P229" s="8">
        <f t="shared" si="25"/>
        <v>6.8763519613141293</v>
      </c>
    </row>
    <row r="230" spans="1:16" x14ac:dyDescent="0.2">
      <c r="A230" s="8">
        <v>114</v>
      </c>
      <c r="B230" s="8">
        <v>228</v>
      </c>
      <c r="D230">
        <v>716.56167400880997</v>
      </c>
      <c r="E230">
        <v>317.00587371513001</v>
      </c>
      <c r="F230">
        <v>145.71239911959</v>
      </c>
      <c r="G230">
        <v>120.76669112252</v>
      </c>
      <c r="I230" s="9">
        <f t="shared" si="22"/>
        <v>196.23918259261001</v>
      </c>
      <c r="J230" s="9">
        <f t="shared" si="23"/>
        <v>570.84927488921994</v>
      </c>
      <c r="K230" s="9">
        <f t="shared" si="24"/>
        <v>196.23918259261001</v>
      </c>
      <c r="L230" s="10">
        <f t="shared" si="21"/>
        <v>0.34376706991647232</v>
      </c>
      <c r="M230" s="10">
        <f t="shared" si="20"/>
        <v>0.34446396044939248</v>
      </c>
      <c r="P230" s="8">
        <f t="shared" si="25"/>
        <v>1.3565611553585022</v>
      </c>
    </row>
    <row r="231" spans="1:16" x14ac:dyDescent="0.2">
      <c r="A231" s="8">
        <v>114.5</v>
      </c>
      <c r="B231" s="8">
        <v>229</v>
      </c>
      <c r="D231">
        <v>690.28867505551</v>
      </c>
      <c r="E231">
        <v>308.81643227238999</v>
      </c>
      <c r="F231">
        <v>145.67131327953001</v>
      </c>
      <c r="G231">
        <v>120.40352164343</v>
      </c>
      <c r="I231" s="9">
        <f t="shared" si="22"/>
        <v>188.41291062895999</v>
      </c>
      <c r="J231" s="9">
        <f t="shared" si="23"/>
        <v>544.61736177598004</v>
      </c>
      <c r="K231" s="9">
        <f t="shared" si="24"/>
        <v>188.41291062895999</v>
      </c>
      <c r="L231" s="10">
        <f t="shared" si="21"/>
        <v>0.34595465340023579</v>
      </c>
      <c r="M231" s="10">
        <f t="shared" si="20"/>
        <v>0.34665460047058105</v>
      </c>
      <c r="P231" s="8">
        <f t="shared" si="25"/>
        <v>2.0011445218950321</v>
      </c>
    </row>
    <row r="232" spans="1:16" x14ac:dyDescent="0.2">
      <c r="A232" s="8">
        <v>115</v>
      </c>
      <c r="B232" s="8">
        <v>230</v>
      </c>
      <c r="D232">
        <v>709.87298091042999</v>
      </c>
      <c r="E232">
        <v>328.50146842878002</v>
      </c>
      <c r="F232">
        <v>145.59280997798999</v>
      </c>
      <c r="G232">
        <v>120.27732942039999</v>
      </c>
      <c r="I232" s="9">
        <f t="shared" si="22"/>
        <v>208.22413900838001</v>
      </c>
      <c r="J232" s="9">
        <f t="shared" si="23"/>
        <v>564.28017093244</v>
      </c>
      <c r="K232" s="9">
        <f t="shared" si="24"/>
        <v>208.22413900838001</v>
      </c>
      <c r="L232" s="10">
        <f t="shared" si="21"/>
        <v>0.3690084283208141</v>
      </c>
      <c r="M232" s="10">
        <f t="shared" si="20"/>
        <v>0.36971143192858441</v>
      </c>
      <c r="P232" s="8">
        <f t="shared" si="25"/>
        <v>8.7854860381252902</v>
      </c>
    </row>
    <row r="233" spans="1:16" x14ac:dyDescent="0.2">
      <c r="A233" s="8">
        <v>115.5</v>
      </c>
      <c r="B233" s="8">
        <v>231</v>
      </c>
      <c r="D233">
        <v>684.68613138685998</v>
      </c>
      <c r="E233">
        <v>339.73211678832001</v>
      </c>
      <c r="F233">
        <v>146.18341892883001</v>
      </c>
      <c r="G233">
        <v>120.35289801908</v>
      </c>
      <c r="I233" s="9">
        <f t="shared" si="22"/>
        <v>219.37921876924003</v>
      </c>
      <c r="J233" s="9">
        <f t="shared" si="23"/>
        <v>538.50271245802992</v>
      </c>
      <c r="K233" s="9">
        <f t="shared" si="24"/>
        <v>219.37921876924003</v>
      </c>
      <c r="L233" s="10">
        <f t="shared" si="21"/>
        <v>0.407387397860764</v>
      </c>
      <c r="M233" s="10">
        <f t="shared" si="20"/>
        <v>0.40809345800595942</v>
      </c>
      <c r="P233" s="8">
        <f t="shared" si="25"/>
        <v>20.079178906031483</v>
      </c>
    </row>
    <row r="234" spans="1:16" x14ac:dyDescent="0.2">
      <c r="A234" s="8">
        <v>116</v>
      </c>
      <c r="B234" s="8">
        <v>232</v>
      </c>
      <c r="D234">
        <v>689.65401459854002</v>
      </c>
      <c r="E234">
        <v>349.10802919707999</v>
      </c>
      <c r="F234">
        <v>145.75715333822001</v>
      </c>
      <c r="G234">
        <v>120.57006603081</v>
      </c>
      <c r="I234" s="9">
        <f t="shared" si="22"/>
        <v>228.53796316627</v>
      </c>
      <c r="J234" s="9">
        <f t="shared" si="23"/>
        <v>543.89686126032007</v>
      </c>
      <c r="K234" s="9">
        <f t="shared" si="24"/>
        <v>228.53796316627</v>
      </c>
      <c r="L234" s="10">
        <f t="shared" si="21"/>
        <v>0.42018621441701443</v>
      </c>
      <c r="M234" s="10">
        <f t="shared" si="20"/>
        <v>0.42089533109963495</v>
      </c>
      <c r="P234" s="8">
        <f t="shared" si="25"/>
        <v>23.846057250661371</v>
      </c>
    </row>
    <row r="235" spans="1:16" x14ac:dyDescent="0.2">
      <c r="A235" s="8">
        <v>116.5</v>
      </c>
      <c r="B235" s="8">
        <v>233</v>
      </c>
      <c r="D235">
        <v>683.95328467153001</v>
      </c>
      <c r="E235">
        <v>342.30729927007002</v>
      </c>
      <c r="F235">
        <v>145.48716067498</v>
      </c>
      <c r="G235">
        <v>120.47175348496</v>
      </c>
      <c r="I235" s="9">
        <f t="shared" si="22"/>
        <v>221.83554578511001</v>
      </c>
      <c r="J235" s="9">
        <f t="shared" si="23"/>
        <v>538.46612399654998</v>
      </c>
      <c r="K235" s="9">
        <f t="shared" si="24"/>
        <v>221.83554578511001</v>
      </c>
      <c r="L235" s="10">
        <f t="shared" si="21"/>
        <v>0.41197679092349243</v>
      </c>
      <c r="M235" s="10">
        <f t="shared" si="20"/>
        <v>0.41268896414353801</v>
      </c>
      <c r="P235" s="8">
        <f t="shared" si="25"/>
        <v>21.431380449164298</v>
      </c>
    </row>
    <row r="236" spans="1:16" x14ac:dyDescent="0.2">
      <c r="A236" s="8">
        <v>117</v>
      </c>
      <c r="B236" s="8">
        <v>234</v>
      </c>
      <c r="D236">
        <v>709.84379562044001</v>
      </c>
      <c r="E236">
        <v>360.86934306568997</v>
      </c>
      <c r="F236">
        <v>145.41379310344999</v>
      </c>
      <c r="G236">
        <v>120.28466617754999</v>
      </c>
      <c r="I236" s="9">
        <f t="shared" si="22"/>
        <v>240.58467688814</v>
      </c>
      <c r="J236" s="9">
        <f t="shared" si="23"/>
        <v>564.43000251699004</v>
      </c>
      <c r="K236" s="9">
        <f t="shared" si="24"/>
        <v>240.58467688814</v>
      </c>
      <c r="L236" s="10">
        <f t="shared" si="21"/>
        <v>0.42624360118223537</v>
      </c>
      <c r="M236" s="10">
        <f t="shared" si="20"/>
        <v>0.42695883093970605</v>
      </c>
      <c r="P236" s="8">
        <f t="shared" si="25"/>
        <v>25.630207591248201</v>
      </c>
    </row>
    <row r="237" spans="1:16" x14ac:dyDescent="0.2">
      <c r="A237" s="8">
        <v>117.5</v>
      </c>
      <c r="B237" s="8">
        <v>235</v>
      </c>
      <c r="D237">
        <v>707.50948905109999</v>
      </c>
      <c r="E237">
        <v>358.29343065693001</v>
      </c>
      <c r="F237">
        <v>145.52531181218001</v>
      </c>
      <c r="G237">
        <v>120.33602347762</v>
      </c>
      <c r="I237" s="9">
        <f t="shared" si="22"/>
        <v>237.95740717931</v>
      </c>
      <c r="J237" s="9">
        <f t="shared" si="23"/>
        <v>561.98417723891998</v>
      </c>
      <c r="K237" s="9">
        <f t="shared" si="24"/>
        <v>237.95740717931</v>
      </c>
      <c r="L237" s="10">
        <f t="shared" si="21"/>
        <v>0.42342367777757844</v>
      </c>
      <c r="M237" s="10">
        <f t="shared" si="20"/>
        <v>0.42414196407247423</v>
      </c>
      <c r="P237" s="8">
        <f t="shared" si="25"/>
        <v>24.801360537052439</v>
      </c>
    </row>
    <row r="238" spans="1:16" x14ac:dyDescent="0.2">
      <c r="A238" s="8">
        <v>118</v>
      </c>
      <c r="B238" s="8">
        <v>236</v>
      </c>
      <c r="D238">
        <v>723.58102189781005</v>
      </c>
      <c r="E238">
        <v>359.57080291970999</v>
      </c>
      <c r="F238">
        <v>145.57960381511</v>
      </c>
      <c r="G238">
        <v>120.5884079237</v>
      </c>
      <c r="I238" s="9">
        <f t="shared" si="22"/>
        <v>238.98239499600999</v>
      </c>
      <c r="J238" s="9">
        <f t="shared" si="23"/>
        <v>578.00141808270007</v>
      </c>
      <c r="K238" s="9">
        <f t="shared" si="24"/>
        <v>238.98239499600999</v>
      </c>
      <c r="L238" s="10">
        <f t="shared" si="21"/>
        <v>0.41346333680070063</v>
      </c>
      <c r="M238" s="10">
        <f t="shared" si="20"/>
        <v>0.41418467963302152</v>
      </c>
      <c r="P238" s="8">
        <f t="shared" si="25"/>
        <v>21.871486224767274</v>
      </c>
    </row>
    <row r="239" spans="1:16" x14ac:dyDescent="0.2">
      <c r="A239" s="8">
        <v>118.5</v>
      </c>
      <c r="B239" s="8">
        <v>237</v>
      </c>
      <c r="D239">
        <v>708.12992700730001</v>
      </c>
      <c r="E239">
        <v>342.37810218978001</v>
      </c>
      <c r="F239">
        <v>145.46661775494999</v>
      </c>
      <c r="G239">
        <v>120.56639765224</v>
      </c>
      <c r="I239" s="9">
        <f t="shared" si="22"/>
        <v>221.81170453754001</v>
      </c>
      <c r="J239" s="9">
        <f t="shared" si="23"/>
        <v>562.66330925235002</v>
      </c>
      <c r="K239" s="9">
        <f t="shared" si="24"/>
        <v>221.81170453754001</v>
      </c>
      <c r="L239" s="10">
        <f t="shared" si="21"/>
        <v>0.39421746698265558</v>
      </c>
      <c r="M239" s="10">
        <f t="shared" si="20"/>
        <v>0.39494186635240153</v>
      </c>
      <c r="P239" s="8">
        <f t="shared" si="25"/>
        <v>16.209397864249659</v>
      </c>
    </row>
    <row r="240" spans="1:16" x14ac:dyDescent="0.2">
      <c r="A240" s="8">
        <v>119</v>
      </c>
      <c r="B240" s="8">
        <v>238</v>
      </c>
      <c r="D240">
        <v>699.86788321168001</v>
      </c>
      <c r="E240">
        <v>347.22335766422998</v>
      </c>
      <c r="F240">
        <v>145.49596478357</v>
      </c>
      <c r="G240">
        <v>120.29713866471</v>
      </c>
      <c r="I240" s="9">
        <f t="shared" si="22"/>
        <v>226.92621899951996</v>
      </c>
      <c r="J240" s="9">
        <f t="shared" si="23"/>
        <v>554.37191842811001</v>
      </c>
      <c r="K240" s="9">
        <f t="shared" si="24"/>
        <v>226.92621899951996</v>
      </c>
      <c r="L240" s="10">
        <f t="shared" si="21"/>
        <v>0.4093393107698462</v>
      </c>
      <c r="M240" s="10">
        <f t="shared" si="20"/>
        <v>0.41006676667701725</v>
      </c>
      <c r="P240" s="8">
        <f t="shared" si="25"/>
        <v>20.65981375890706</v>
      </c>
    </row>
    <row r="241" spans="1:16" x14ac:dyDescent="0.2">
      <c r="A241" s="8">
        <v>119.5</v>
      </c>
      <c r="B241" s="8">
        <v>239</v>
      </c>
      <c r="D241">
        <v>749.59248341931004</v>
      </c>
      <c r="E241">
        <v>358.97936624907999</v>
      </c>
      <c r="F241">
        <v>145.21496698459001</v>
      </c>
      <c r="G241">
        <v>120.18121790169</v>
      </c>
      <c r="I241" s="9">
        <f t="shared" si="22"/>
        <v>238.79814834739</v>
      </c>
      <c r="J241" s="9">
        <f t="shared" si="23"/>
        <v>604.37751643472006</v>
      </c>
      <c r="K241" s="9">
        <f t="shared" si="24"/>
        <v>238.79814834739</v>
      </c>
      <c r="L241" s="10">
        <f t="shared" si="21"/>
        <v>0.39511421562483462</v>
      </c>
      <c r="M241" s="10">
        <f t="shared" si="20"/>
        <v>0.39584472806943077</v>
      </c>
      <c r="P241" s="8">
        <f t="shared" si="25"/>
        <v>16.475059789281005</v>
      </c>
    </row>
    <row r="242" spans="1:16" x14ac:dyDescent="0.2">
      <c r="A242" s="8">
        <v>120</v>
      </c>
      <c r="B242" s="8">
        <v>240</v>
      </c>
      <c r="D242">
        <v>747.41193809875006</v>
      </c>
      <c r="E242">
        <v>349.67354458364002</v>
      </c>
      <c r="F242">
        <v>145.42920029346999</v>
      </c>
      <c r="G242">
        <v>120.65884079237</v>
      </c>
      <c r="I242" s="9">
        <f>E242-G242</f>
        <v>229.01470379127002</v>
      </c>
      <c r="J242" s="9">
        <f>D242-F242</f>
        <v>601.98273780528007</v>
      </c>
      <c r="K242" s="9">
        <f t="shared" si="24"/>
        <v>229.01470379127002</v>
      </c>
      <c r="L242" s="10">
        <f t="shared" si="21"/>
        <v>0.38043400484574708</v>
      </c>
      <c r="M242" s="10">
        <f>L242+ABS($N$2)*A242</f>
        <v>0.38116757382776828</v>
      </c>
      <c r="O242" s="11"/>
      <c r="P242" s="8">
        <f>(M242-$O$2)/$O$2*100</f>
        <v>12.156390632888224</v>
      </c>
    </row>
    <row r="243" spans="1:16" x14ac:dyDescent="0.2">
      <c r="A243" s="8">
        <v>120.5</v>
      </c>
      <c r="B243" s="8">
        <v>241</v>
      </c>
      <c r="D243">
        <v>724.50626381723998</v>
      </c>
      <c r="E243">
        <v>329.41783345614999</v>
      </c>
      <c r="F243">
        <v>146.39985326486001</v>
      </c>
      <c r="G243">
        <v>120.52311078503</v>
      </c>
      <c r="I243" s="9">
        <f t="shared" ref="I243:I274" si="26">E243-G243</f>
        <v>208.89472267112001</v>
      </c>
      <c r="J243" s="9">
        <f t="shared" ref="J243:J274" si="27">D243-F243</f>
        <v>578.10641055238</v>
      </c>
      <c r="K243" s="9">
        <f t="shared" si="24"/>
        <v>208.89472267112001</v>
      </c>
      <c r="L243" s="10">
        <f t="shared" si="21"/>
        <v>0.36134303107194632</v>
      </c>
      <c r="M243" s="10">
        <f t="shared" ref="M243:M274" si="28">L243+ABS($N$2)*A243</f>
        <v>0.36207965659139263</v>
      </c>
      <c r="P243" s="8">
        <f t="shared" ref="P243:P274" si="29">(M243-$O$2)/$O$2*100</f>
        <v>6.5398795523876325</v>
      </c>
    </row>
    <row r="244" spans="1:16" x14ac:dyDescent="0.2">
      <c r="A244" s="8">
        <v>121</v>
      </c>
      <c r="B244" s="8">
        <v>242</v>
      </c>
      <c r="D244">
        <v>806.35899333827001</v>
      </c>
      <c r="E244">
        <v>356.50185048113002</v>
      </c>
      <c r="F244">
        <v>145.25091709463999</v>
      </c>
      <c r="G244">
        <v>120.69332355099</v>
      </c>
      <c r="I244" s="9">
        <f t="shared" si="26"/>
        <v>235.80852693014003</v>
      </c>
      <c r="J244" s="9">
        <f t="shared" si="27"/>
        <v>661.10807624362997</v>
      </c>
      <c r="K244" s="9">
        <f t="shared" si="24"/>
        <v>235.80852693014003</v>
      </c>
      <c r="L244" s="10">
        <f t="shared" si="21"/>
        <v>0.35668680417578263</v>
      </c>
      <c r="M244" s="10">
        <f t="shared" si="28"/>
        <v>0.35742648623265405</v>
      </c>
      <c r="N244" s="1"/>
      <c r="P244" s="8">
        <f t="shared" si="29"/>
        <v>5.1707106401551481</v>
      </c>
    </row>
    <row r="245" spans="1:16" x14ac:dyDescent="0.2">
      <c r="A245" s="8">
        <v>121.5</v>
      </c>
      <c r="B245" s="8">
        <v>243</v>
      </c>
      <c r="D245">
        <v>743.31208791208996</v>
      </c>
      <c r="E245">
        <v>325.61025641025998</v>
      </c>
      <c r="F245">
        <v>145.48936170213</v>
      </c>
      <c r="G245">
        <v>120.28026412326</v>
      </c>
      <c r="I245" s="9">
        <f t="shared" si="26"/>
        <v>205.32999228699998</v>
      </c>
      <c r="J245" s="9">
        <f t="shared" si="27"/>
        <v>597.82272620995991</v>
      </c>
      <c r="K245" s="9">
        <f t="shared" si="24"/>
        <v>205.32999228699998</v>
      </c>
      <c r="L245" s="10">
        <f t="shared" si="21"/>
        <v>0.3434630088232653</v>
      </c>
      <c r="M245" s="10">
        <f t="shared" si="28"/>
        <v>0.34420574741756177</v>
      </c>
      <c r="P245" s="8">
        <f t="shared" si="29"/>
        <v>1.2805834393799822</v>
      </c>
    </row>
    <row r="246" spans="1:16" x14ac:dyDescent="0.2">
      <c r="A246" s="8">
        <v>122</v>
      </c>
      <c r="B246" s="8">
        <v>244</v>
      </c>
      <c r="D246">
        <v>738.53947368420995</v>
      </c>
      <c r="E246">
        <v>342.66666666666998</v>
      </c>
      <c r="F246">
        <v>145.14159941305999</v>
      </c>
      <c r="G246">
        <v>120.26045487894</v>
      </c>
      <c r="I246" s="9">
        <f t="shared" si="26"/>
        <v>222.40621178773</v>
      </c>
      <c r="J246" s="9">
        <f t="shared" si="27"/>
        <v>593.39787427114993</v>
      </c>
      <c r="K246" s="9">
        <f t="shared" si="24"/>
        <v>222.40621178773</v>
      </c>
      <c r="L246" s="10">
        <f t="shared" si="21"/>
        <v>0.3748011602854221</v>
      </c>
      <c r="M246" s="10">
        <f t="shared" si="28"/>
        <v>0.37554695541714367</v>
      </c>
      <c r="P246" s="8">
        <f t="shared" si="29"/>
        <v>10.502555633940332</v>
      </c>
    </row>
    <row r="247" spans="1:16" x14ac:dyDescent="0.2">
      <c r="A247" s="8">
        <v>122.5</v>
      </c>
      <c r="B247" s="8">
        <v>245</v>
      </c>
      <c r="D247">
        <v>721.88441843452995</v>
      </c>
      <c r="E247">
        <v>347.86832479882997</v>
      </c>
      <c r="F247">
        <v>145.24578136464001</v>
      </c>
      <c r="G247">
        <v>120.62949376376</v>
      </c>
      <c r="I247" s="9">
        <f t="shared" si="26"/>
        <v>227.23883103506998</v>
      </c>
      <c r="J247" s="9">
        <f t="shared" si="27"/>
        <v>576.63863706988991</v>
      </c>
      <c r="K247" s="9">
        <f t="shared" si="24"/>
        <v>227.23883103506998</v>
      </c>
      <c r="L247" s="10">
        <f t="shared" si="21"/>
        <v>0.39407493086095119</v>
      </c>
      <c r="M247" s="10">
        <f t="shared" si="28"/>
        <v>0.39482378253009787</v>
      </c>
      <c r="P247" s="8">
        <f t="shared" si="29"/>
        <v>16.174652371161891</v>
      </c>
    </row>
    <row r="248" spans="1:16" x14ac:dyDescent="0.2">
      <c r="A248" s="8">
        <v>123</v>
      </c>
      <c r="B248" s="8">
        <v>246</v>
      </c>
      <c r="D248">
        <v>745.08695652174003</v>
      </c>
      <c r="E248">
        <v>349.77523949890002</v>
      </c>
      <c r="F248">
        <v>145.49596478357</v>
      </c>
      <c r="G248">
        <v>119.97505502568001</v>
      </c>
      <c r="I248" s="9">
        <f t="shared" si="26"/>
        <v>229.80018447322001</v>
      </c>
      <c r="J248" s="9">
        <f t="shared" si="27"/>
        <v>599.59099173817003</v>
      </c>
      <c r="K248" s="9">
        <f t="shared" si="24"/>
        <v>229.80018447322001</v>
      </c>
      <c r="L248" s="10">
        <f t="shared" si="21"/>
        <v>0.38326156936922323</v>
      </c>
      <c r="M248" s="10">
        <f t="shared" si="28"/>
        <v>0.38401347757579496</v>
      </c>
      <c r="P248" s="8">
        <f t="shared" si="29"/>
        <v>12.993781624104875</v>
      </c>
    </row>
    <row r="249" spans="1:16" x14ac:dyDescent="0.2">
      <c r="A249" s="8">
        <v>123.5</v>
      </c>
      <c r="B249" s="8">
        <v>247</v>
      </c>
      <c r="D249">
        <v>729.03095062637999</v>
      </c>
      <c r="E249">
        <v>336.56374355194998</v>
      </c>
      <c r="F249">
        <v>145.13206162876</v>
      </c>
      <c r="G249">
        <v>120.37637564197</v>
      </c>
      <c r="I249" s="9">
        <f t="shared" si="26"/>
        <v>216.18736790997997</v>
      </c>
      <c r="J249" s="9">
        <f t="shared" si="27"/>
        <v>583.89888899762002</v>
      </c>
      <c r="K249" s="9">
        <f t="shared" si="24"/>
        <v>216.18736790997997</v>
      </c>
      <c r="L249" s="10">
        <f t="shared" si="21"/>
        <v>0.37024795214306555</v>
      </c>
      <c r="M249" s="10">
        <f t="shared" si="28"/>
        <v>0.37100291688706238</v>
      </c>
      <c r="P249" s="8">
        <f t="shared" si="29"/>
        <v>9.1654981415814074</v>
      </c>
    </row>
    <row r="250" spans="1:16" x14ac:dyDescent="0.2">
      <c r="A250" s="8">
        <v>124</v>
      </c>
      <c r="B250" s="8">
        <v>248</v>
      </c>
      <c r="D250">
        <v>805.55433186489995</v>
      </c>
      <c r="E250">
        <v>359.68942731278003</v>
      </c>
      <c r="F250">
        <v>145.48936170213</v>
      </c>
      <c r="G250">
        <v>120.07410124725</v>
      </c>
      <c r="I250" s="9">
        <f t="shared" si="26"/>
        <v>239.61532606553004</v>
      </c>
      <c r="J250" s="9">
        <f t="shared" si="27"/>
        <v>660.0649701627699</v>
      </c>
      <c r="K250" s="9">
        <f t="shared" si="24"/>
        <v>239.61532606553004</v>
      </c>
      <c r="L250" s="10">
        <f t="shared" si="21"/>
        <v>0.36301778900104587</v>
      </c>
      <c r="M250" s="10">
        <f t="shared" si="28"/>
        <v>0.3637758102824678</v>
      </c>
      <c r="P250" s="8">
        <f t="shared" si="29"/>
        <v>7.0389631287770564</v>
      </c>
    </row>
    <row r="251" spans="1:16" x14ac:dyDescent="0.2">
      <c r="A251" s="8">
        <v>124.5</v>
      </c>
      <c r="B251" s="8">
        <v>249</v>
      </c>
      <c r="D251">
        <v>798.95888399413002</v>
      </c>
      <c r="E251">
        <v>348.17327459618002</v>
      </c>
      <c r="F251">
        <v>145.86500366838001</v>
      </c>
      <c r="G251">
        <v>120.19515774028</v>
      </c>
      <c r="I251" s="9">
        <f t="shared" si="26"/>
        <v>227.97811685590003</v>
      </c>
      <c r="J251" s="9">
        <f t="shared" si="27"/>
        <v>653.09388032574998</v>
      </c>
      <c r="K251" s="9">
        <f t="shared" si="24"/>
        <v>227.97811685590003</v>
      </c>
      <c r="L251" s="10">
        <f t="shared" si="21"/>
        <v>0.34907403625063699</v>
      </c>
      <c r="M251" s="10">
        <f t="shared" si="28"/>
        <v>0.34983511406948398</v>
      </c>
      <c r="P251" s="8">
        <f t="shared" si="29"/>
        <v>2.9369925585723387</v>
      </c>
    </row>
    <row r="252" spans="1:16" x14ac:dyDescent="0.2">
      <c r="A252" s="8">
        <v>125</v>
      </c>
      <c r="B252" s="8">
        <v>250</v>
      </c>
      <c r="D252">
        <v>751.43608473337997</v>
      </c>
      <c r="E252">
        <v>341.77428780131999</v>
      </c>
      <c r="F252">
        <v>145.06162876009</v>
      </c>
      <c r="G252">
        <v>120.27366104182001</v>
      </c>
      <c r="I252" s="9">
        <f t="shared" si="26"/>
        <v>221.50062675949999</v>
      </c>
      <c r="J252" s="9">
        <f t="shared" si="27"/>
        <v>606.37445597328997</v>
      </c>
      <c r="K252" s="9">
        <f t="shared" si="24"/>
        <v>221.50062675949999</v>
      </c>
      <c r="L252" s="10">
        <f t="shared" si="21"/>
        <v>0.36528686948722128</v>
      </c>
      <c r="M252" s="10">
        <f t="shared" si="28"/>
        <v>0.36605100384349337</v>
      </c>
      <c r="P252" s="8">
        <f t="shared" si="29"/>
        <v>7.7084258934956491</v>
      </c>
    </row>
    <row r="253" spans="1:16" x14ac:dyDescent="0.2">
      <c r="A253" s="8">
        <v>125.5</v>
      </c>
      <c r="B253" s="8">
        <v>251</v>
      </c>
      <c r="D253">
        <v>737.20525931336999</v>
      </c>
      <c r="E253">
        <v>347.60847333819999</v>
      </c>
      <c r="F253">
        <v>145.56272927366001</v>
      </c>
      <c r="G253">
        <v>120.19075568599</v>
      </c>
      <c r="I253" s="9">
        <f t="shared" si="26"/>
        <v>227.41771765221</v>
      </c>
      <c r="J253" s="9">
        <f t="shared" si="27"/>
        <v>591.64253003970998</v>
      </c>
      <c r="K253" s="9">
        <f t="shared" si="24"/>
        <v>227.41771765221</v>
      </c>
      <c r="L253" s="10">
        <f t="shared" si="21"/>
        <v>0.38438365415844283</v>
      </c>
      <c r="M253" s="10">
        <f t="shared" si="28"/>
        <v>0.38515084505214003</v>
      </c>
      <c r="P253" s="8">
        <f t="shared" si="29"/>
        <v>13.328445535017035</v>
      </c>
    </row>
    <row r="254" spans="1:16" x14ac:dyDescent="0.2">
      <c r="A254" s="8">
        <v>126</v>
      </c>
      <c r="B254" s="8">
        <v>252</v>
      </c>
      <c r="D254">
        <v>720.54737609329004</v>
      </c>
      <c r="E254">
        <v>331.08017492711002</v>
      </c>
      <c r="F254">
        <v>145.06603081438001</v>
      </c>
      <c r="G254">
        <v>120.41305942773</v>
      </c>
      <c r="I254" s="9">
        <f t="shared" si="26"/>
        <v>210.66711549938003</v>
      </c>
      <c r="J254" s="9">
        <f t="shared" si="27"/>
        <v>575.48134527891</v>
      </c>
      <c r="K254" s="9">
        <f t="shared" si="24"/>
        <v>210.66711549938003</v>
      </c>
      <c r="L254" s="10">
        <f t="shared" si="21"/>
        <v>0.36607114588098272</v>
      </c>
      <c r="M254" s="10">
        <f t="shared" si="28"/>
        <v>0.36684139331210502</v>
      </c>
      <c r="P254" s="8">
        <f t="shared" si="29"/>
        <v>7.9409934991382656</v>
      </c>
    </row>
    <row r="255" spans="1:16" x14ac:dyDescent="0.2">
      <c r="A255" s="8">
        <v>126.5</v>
      </c>
      <c r="B255" s="8">
        <v>253</v>
      </c>
      <c r="D255">
        <v>717.43075801749001</v>
      </c>
      <c r="E255">
        <v>332.16180758017998</v>
      </c>
      <c r="F255">
        <v>145.46661775494999</v>
      </c>
      <c r="G255">
        <v>120.03741746148</v>
      </c>
      <c r="I255" s="9">
        <f t="shared" si="26"/>
        <v>212.12439011869998</v>
      </c>
      <c r="J255" s="9">
        <f t="shared" si="27"/>
        <v>571.96414026254001</v>
      </c>
      <c r="K255" s="9">
        <f t="shared" si="24"/>
        <v>212.12439011869998</v>
      </c>
      <c r="L255" s="10">
        <f t="shared" si="21"/>
        <v>0.37087008640319957</v>
      </c>
      <c r="M255" s="10">
        <f t="shared" si="28"/>
        <v>0.37164339037174693</v>
      </c>
      <c r="P255" s="8">
        <f t="shared" si="29"/>
        <v>9.3539538216302685</v>
      </c>
    </row>
    <row r="256" spans="1:16" x14ac:dyDescent="0.2">
      <c r="A256" s="8">
        <v>127</v>
      </c>
      <c r="B256" s="8">
        <v>254</v>
      </c>
      <c r="D256">
        <v>679.02405247812999</v>
      </c>
      <c r="E256">
        <v>311.52040816327002</v>
      </c>
      <c r="F256">
        <v>145.25605282465</v>
      </c>
      <c r="G256">
        <v>120.05135730006999</v>
      </c>
      <c r="I256" s="9">
        <f t="shared" si="26"/>
        <v>191.46905086320004</v>
      </c>
      <c r="J256" s="9">
        <f t="shared" si="27"/>
        <v>533.76799965348005</v>
      </c>
      <c r="K256" s="9">
        <f t="shared" si="24"/>
        <v>191.46905086320004</v>
      </c>
      <c r="L256" s="10">
        <f t="shared" si="21"/>
        <v>0.35871212022358206</v>
      </c>
      <c r="M256" s="10">
        <f t="shared" si="28"/>
        <v>0.35948848072955453</v>
      </c>
      <c r="P256" s="8">
        <f t="shared" si="29"/>
        <v>5.7774407928667584</v>
      </c>
    </row>
    <row r="257" spans="1:16" x14ac:dyDescent="0.2">
      <c r="A257" s="8">
        <v>127.5</v>
      </c>
      <c r="B257" s="8">
        <v>255</v>
      </c>
      <c r="D257">
        <v>762.72161172160997</v>
      </c>
      <c r="E257">
        <v>337.26007326006999</v>
      </c>
      <c r="F257">
        <v>145.05942773294001</v>
      </c>
      <c r="G257">
        <v>120.28393250182999</v>
      </c>
      <c r="I257" s="9">
        <f t="shared" si="26"/>
        <v>216.97614075823998</v>
      </c>
      <c r="J257" s="9">
        <f t="shared" si="27"/>
        <v>617.66218398866999</v>
      </c>
      <c r="K257" s="9">
        <f t="shared" si="24"/>
        <v>216.97614075823998</v>
      </c>
      <c r="L257" s="10">
        <f t="shared" si="21"/>
        <v>0.35128610166333263</v>
      </c>
      <c r="M257" s="10">
        <f t="shared" si="28"/>
        <v>0.3520655187067302</v>
      </c>
      <c r="P257" s="8">
        <f t="shared" si="29"/>
        <v>3.5932764372147159</v>
      </c>
    </row>
    <row r="258" spans="1:16" x14ac:dyDescent="0.2">
      <c r="A258" s="8">
        <v>128</v>
      </c>
      <c r="B258" s="8">
        <v>256</v>
      </c>
      <c r="D258">
        <v>755.60805860805999</v>
      </c>
      <c r="E258">
        <v>326.31794871795</v>
      </c>
      <c r="F258">
        <v>144.99853264857001</v>
      </c>
      <c r="G258">
        <v>119.91195891416</v>
      </c>
      <c r="I258" s="9">
        <f t="shared" si="26"/>
        <v>206.40598980379002</v>
      </c>
      <c r="J258" s="9">
        <f t="shared" si="27"/>
        <v>610.60952595948993</v>
      </c>
      <c r="K258" s="9">
        <f t="shared" si="24"/>
        <v>206.40598980379002</v>
      </c>
      <c r="L258" s="10">
        <f t="shared" ref="L258:L321" si="30">K258/J258</f>
        <v>0.3380327050735919</v>
      </c>
      <c r="M258" s="10">
        <f t="shared" si="28"/>
        <v>0.33881517865441452</v>
      </c>
      <c r="P258" s="8">
        <f t="shared" si="29"/>
        <v>-0.30556075925054627</v>
      </c>
    </row>
    <row r="259" spans="1:16" x14ac:dyDescent="0.2">
      <c r="A259" s="8">
        <v>128.5</v>
      </c>
      <c r="B259" s="8">
        <v>257</v>
      </c>
      <c r="D259">
        <v>733.51941391941</v>
      </c>
      <c r="E259">
        <v>311.89010989011001</v>
      </c>
      <c r="F259">
        <v>145.51357300072999</v>
      </c>
      <c r="G259">
        <v>120.01614086574</v>
      </c>
      <c r="I259" s="9">
        <f t="shared" si="26"/>
        <v>191.87396902437001</v>
      </c>
      <c r="J259" s="9">
        <f t="shared" si="27"/>
        <v>588.00584091867995</v>
      </c>
      <c r="K259" s="9">
        <f t="shared" ref="K259:K322" si="31">I259*1</f>
        <v>191.87396902437001</v>
      </c>
      <c r="L259" s="10">
        <f t="shared" si="30"/>
        <v>0.32631303240898557</v>
      </c>
      <c r="M259" s="10">
        <f t="shared" si="28"/>
        <v>0.32709856252723329</v>
      </c>
      <c r="P259" s="8">
        <f t="shared" si="29"/>
        <v>-3.7531084141030346</v>
      </c>
    </row>
    <row r="260" spans="1:16" x14ac:dyDescent="0.2">
      <c r="A260" s="8">
        <v>129</v>
      </c>
      <c r="B260" s="8">
        <v>258</v>
      </c>
      <c r="D260">
        <v>765.20412675017997</v>
      </c>
      <c r="E260">
        <v>328.61901252762999</v>
      </c>
      <c r="F260">
        <v>144.77256052825001</v>
      </c>
      <c r="G260">
        <v>120.1628760088</v>
      </c>
      <c r="I260" s="9">
        <f t="shared" si="26"/>
        <v>208.45613651882999</v>
      </c>
      <c r="J260" s="9">
        <f t="shared" si="27"/>
        <v>620.43156622192998</v>
      </c>
      <c r="K260" s="9">
        <f t="shared" si="31"/>
        <v>208.45613651882999</v>
      </c>
      <c r="L260" s="10">
        <f t="shared" si="30"/>
        <v>0.33598570393219596</v>
      </c>
      <c r="M260" s="10">
        <f t="shared" si="28"/>
        <v>0.33677429058786879</v>
      </c>
      <c r="P260" s="8">
        <f t="shared" si="29"/>
        <v>-0.90608046487726779</v>
      </c>
    </row>
    <row r="261" spans="1:16" x14ac:dyDescent="0.2">
      <c r="A261" s="8">
        <v>129.5</v>
      </c>
      <c r="B261" s="8">
        <v>259</v>
      </c>
      <c r="D261">
        <v>771.21223286661996</v>
      </c>
      <c r="E261">
        <v>341.71112748709999</v>
      </c>
      <c r="F261">
        <v>145.03668378577001</v>
      </c>
      <c r="G261">
        <v>120.3301540719</v>
      </c>
      <c r="I261" s="9">
        <f t="shared" si="26"/>
        <v>221.3809734152</v>
      </c>
      <c r="J261" s="9">
        <f t="shared" si="27"/>
        <v>626.17554908084992</v>
      </c>
      <c r="K261" s="9">
        <f t="shared" si="31"/>
        <v>221.3809734152</v>
      </c>
      <c r="L261" s="10">
        <f t="shared" si="30"/>
        <v>0.35354458304889186</v>
      </c>
      <c r="M261" s="10">
        <f t="shared" si="28"/>
        <v>0.35433622624198974</v>
      </c>
      <c r="P261" s="8">
        <f t="shared" si="29"/>
        <v>4.2614192143668124</v>
      </c>
    </row>
    <row r="262" spans="1:16" x14ac:dyDescent="0.2">
      <c r="A262" s="8">
        <v>130</v>
      </c>
      <c r="B262" s="8">
        <v>260</v>
      </c>
      <c r="D262">
        <v>772.43257184967001</v>
      </c>
      <c r="E262">
        <v>334.94325718496998</v>
      </c>
      <c r="F262">
        <v>144.86793837124</v>
      </c>
      <c r="G262">
        <v>120.25458547322</v>
      </c>
      <c r="I262" s="9">
        <f t="shared" si="26"/>
        <v>214.68867171174998</v>
      </c>
      <c r="J262" s="9">
        <f t="shared" si="27"/>
        <v>627.56463347842998</v>
      </c>
      <c r="K262" s="9">
        <f t="shared" si="31"/>
        <v>214.68867171174998</v>
      </c>
      <c r="L262" s="10">
        <f t="shared" si="30"/>
        <v>0.34209810473510222</v>
      </c>
      <c r="M262" s="10">
        <f t="shared" si="28"/>
        <v>0.3428928044656252</v>
      </c>
      <c r="P262" s="8">
        <f t="shared" si="29"/>
        <v>0.89425744339525348</v>
      </c>
    </row>
    <row r="263" spans="1:16" x14ac:dyDescent="0.2">
      <c r="A263" s="8">
        <v>130.5</v>
      </c>
      <c r="B263" s="8">
        <v>261</v>
      </c>
      <c r="D263">
        <v>755.54753131909001</v>
      </c>
      <c r="E263">
        <v>319.49373618276002</v>
      </c>
      <c r="F263">
        <v>144.80777696257999</v>
      </c>
      <c r="G263">
        <v>120.31034482759</v>
      </c>
      <c r="I263" s="9">
        <f t="shared" si="26"/>
        <v>199.18339135517002</v>
      </c>
      <c r="J263" s="9">
        <f t="shared" si="27"/>
        <v>610.73975435651005</v>
      </c>
      <c r="K263" s="9">
        <f t="shared" si="31"/>
        <v>199.18339135517002</v>
      </c>
      <c r="L263" s="10">
        <f t="shared" si="30"/>
        <v>0.32613464234866191</v>
      </c>
      <c r="M263" s="10">
        <f t="shared" si="28"/>
        <v>0.32693239861661</v>
      </c>
      <c r="P263" s="8">
        <f t="shared" si="29"/>
        <v>-3.8020011997138474</v>
      </c>
    </row>
    <row r="264" spans="1:16" x14ac:dyDescent="0.2">
      <c r="A264" s="8">
        <v>131</v>
      </c>
      <c r="B264" s="8">
        <v>262</v>
      </c>
      <c r="D264">
        <v>792.21675238795001</v>
      </c>
      <c r="E264">
        <v>329.49301983834999</v>
      </c>
      <c r="F264">
        <v>144.89361702127999</v>
      </c>
      <c r="G264">
        <v>120.01540719002</v>
      </c>
      <c r="I264" s="9">
        <f t="shared" si="26"/>
        <v>209.47761264832999</v>
      </c>
      <c r="J264" s="9">
        <f t="shared" si="27"/>
        <v>647.32313536667004</v>
      </c>
      <c r="K264" s="9">
        <f t="shared" si="31"/>
        <v>209.47761264832999</v>
      </c>
      <c r="L264" s="10">
        <f t="shared" si="30"/>
        <v>0.32360594145870192</v>
      </c>
      <c r="M264" s="10">
        <f t="shared" si="28"/>
        <v>0.32440675426407506</v>
      </c>
      <c r="P264" s="8">
        <f t="shared" si="29"/>
        <v>-4.5451576853456803</v>
      </c>
    </row>
    <row r="265" spans="1:16" x14ac:dyDescent="0.2">
      <c r="A265" s="8">
        <v>131.5</v>
      </c>
      <c r="B265" s="8">
        <v>263</v>
      </c>
      <c r="D265">
        <v>788.85966201323004</v>
      </c>
      <c r="E265">
        <v>321.91109478325001</v>
      </c>
      <c r="F265">
        <v>144.72633895818001</v>
      </c>
      <c r="G265">
        <v>120.38958180484001</v>
      </c>
      <c r="I265" s="9">
        <f t="shared" si="26"/>
        <v>201.52151297840999</v>
      </c>
      <c r="J265" s="9">
        <f t="shared" si="27"/>
        <v>644.13332305505003</v>
      </c>
      <c r="K265" s="9">
        <f t="shared" si="31"/>
        <v>201.52151297840999</v>
      </c>
      <c r="L265" s="10">
        <f t="shared" si="30"/>
        <v>0.31285683532504838</v>
      </c>
      <c r="M265" s="10">
        <f t="shared" si="28"/>
        <v>0.31366070466784662</v>
      </c>
      <c r="P265" s="8">
        <f t="shared" si="29"/>
        <v>-7.7071216587543363</v>
      </c>
    </row>
    <row r="266" spans="1:16" x14ac:dyDescent="0.2">
      <c r="A266" s="8">
        <v>132</v>
      </c>
      <c r="B266" s="8">
        <v>264</v>
      </c>
      <c r="D266">
        <v>815.27498176513996</v>
      </c>
      <c r="E266">
        <v>325.72428884025999</v>
      </c>
      <c r="F266">
        <v>144.84446074835</v>
      </c>
      <c r="G266">
        <v>120.07190022010001</v>
      </c>
      <c r="I266" s="9">
        <f t="shared" si="26"/>
        <v>205.65238862015997</v>
      </c>
      <c r="J266" s="9">
        <f t="shared" si="27"/>
        <v>670.43052101678995</v>
      </c>
      <c r="K266" s="9">
        <f t="shared" si="31"/>
        <v>205.65238862015997</v>
      </c>
      <c r="L266" s="10">
        <f t="shared" si="30"/>
        <v>0.306746757752411</v>
      </c>
      <c r="M266" s="10">
        <f t="shared" si="28"/>
        <v>0.30755368363263436</v>
      </c>
      <c r="P266" s="8">
        <f t="shared" si="29"/>
        <v>-9.5040778634760557</v>
      </c>
    </row>
    <row r="267" spans="1:16" x14ac:dyDescent="0.2">
      <c r="A267" s="8">
        <v>132.5</v>
      </c>
      <c r="B267" s="8">
        <v>265</v>
      </c>
      <c r="D267">
        <v>791.11378555799001</v>
      </c>
      <c r="E267">
        <v>316.07877461707</v>
      </c>
      <c r="F267">
        <v>144.38077769626</v>
      </c>
      <c r="G267">
        <v>119.89655172414</v>
      </c>
      <c r="I267" s="9">
        <f t="shared" si="26"/>
        <v>196.18222289292999</v>
      </c>
      <c r="J267" s="9">
        <f t="shared" si="27"/>
        <v>646.73300786173002</v>
      </c>
      <c r="K267" s="9">
        <f t="shared" si="31"/>
        <v>196.18222289292999</v>
      </c>
      <c r="L267" s="10">
        <f t="shared" si="30"/>
        <v>0.30334345163788712</v>
      </c>
      <c r="M267" s="10">
        <f t="shared" si="28"/>
        <v>0.30415343405553552</v>
      </c>
      <c r="P267" s="8">
        <f t="shared" si="29"/>
        <v>-10.504581961945693</v>
      </c>
    </row>
    <row r="268" spans="1:16" x14ac:dyDescent="0.2">
      <c r="A268" s="8">
        <v>133</v>
      </c>
      <c r="B268" s="8">
        <v>266</v>
      </c>
      <c r="D268">
        <v>728.07544378698003</v>
      </c>
      <c r="E268">
        <v>303.61982248521002</v>
      </c>
      <c r="F268">
        <v>144.89508437270999</v>
      </c>
      <c r="G268">
        <v>120.24504768892</v>
      </c>
      <c r="I268" s="9">
        <f t="shared" si="26"/>
        <v>183.37477479629001</v>
      </c>
      <c r="J268" s="9">
        <f t="shared" si="27"/>
        <v>583.18035941427001</v>
      </c>
      <c r="K268" s="9">
        <f t="shared" si="31"/>
        <v>183.37477479629001</v>
      </c>
      <c r="L268" s="10">
        <f t="shared" si="30"/>
        <v>0.31443921564928301</v>
      </c>
      <c r="M268" s="10">
        <f t="shared" si="28"/>
        <v>0.31525225460435652</v>
      </c>
      <c r="P268" s="8">
        <f t="shared" si="29"/>
        <v>-7.2388171421912118</v>
      </c>
    </row>
    <row r="269" spans="1:16" x14ac:dyDescent="0.2">
      <c r="A269" s="8">
        <v>133.5</v>
      </c>
      <c r="B269" s="8">
        <v>267</v>
      </c>
      <c r="D269">
        <v>734.41494082839995</v>
      </c>
      <c r="E269">
        <v>312.81434911243002</v>
      </c>
      <c r="F269">
        <v>144.63169479090001</v>
      </c>
      <c r="G269">
        <v>119.98899486427</v>
      </c>
      <c r="I269" s="9">
        <f t="shared" si="26"/>
        <v>192.82535424816001</v>
      </c>
      <c r="J269" s="9">
        <f t="shared" si="27"/>
        <v>589.78324603749991</v>
      </c>
      <c r="K269" s="9">
        <f t="shared" si="31"/>
        <v>192.82535424816001</v>
      </c>
      <c r="L269" s="10">
        <f t="shared" si="30"/>
        <v>0.32694274641348442</v>
      </c>
      <c r="M269" s="10">
        <f t="shared" si="28"/>
        <v>0.32775884190598303</v>
      </c>
      <c r="P269" s="8">
        <f t="shared" si="29"/>
        <v>-3.5588249623754264</v>
      </c>
    </row>
    <row r="270" spans="1:16" x14ac:dyDescent="0.2">
      <c r="A270" s="8">
        <v>134</v>
      </c>
      <c r="B270" s="8">
        <v>268</v>
      </c>
      <c r="D270">
        <v>711.89792899407996</v>
      </c>
      <c r="E270">
        <v>302.58505917159999</v>
      </c>
      <c r="F270">
        <v>144.34262655905999</v>
      </c>
      <c r="G270">
        <v>119.76302274395</v>
      </c>
      <c r="I270" s="9">
        <f t="shared" si="26"/>
        <v>182.82203642765</v>
      </c>
      <c r="J270" s="9">
        <f t="shared" si="27"/>
        <v>567.55530243501994</v>
      </c>
      <c r="K270" s="9">
        <f t="shared" si="31"/>
        <v>182.82203642765</v>
      </c>
      <c r="L270" s="10">
        <f t="shared" si="30"/>
        <v>0.32212197761747019</v>
      </c>
      <c r="M270" s="10">
        <f t="shared" si="28"/>
        <v>0.32294112964739391</v>
      </c>
      <c r="P270" s="8">
        <f t="shared" si="29"/>
        <v>-4.9764093927743485</v>
      </c>
    </row>
    <row r="271" spans="1:16" x14ac:dyDescent="0.2">
      <c r="A271" s="8">
        <v>134.5</v>
      </c>
      <c r="B271" s="8">
        <v>269</v>
      </c>
      <c r="D271">
        <v>733.19023323614999</v>
      </c>
      <c r="E271">
        <v>307.57725947521999</v>
      </c>
      <c r="F271">
        <v>144.43727072633999</v>
      </c>
      <c r="G271">
        <v>119.79530447542</v>
      </c>
      <c r="I271" s="9">
        <f t="shared" si="26"/>
        <v>187.78195499980001</v>
      </c>
      <c r="J271" s="9">
        <f t="shared" si="27"/>
        <v>588.75296250981</v>
      </c>
      <c r="K271" s="9">
        <f t="shared" si="31"/>
        <v>187.78195499980001</v>
      </c>
      <c r="L271" s="10">
        <f t="shared" si="30"/>
        <v>0.31894863713177685</v>
      </c>
      <c r="M271" s="10">
        <f t="shared" si="28"/>
        <v>0.31977084569912562</v>
      </c>
      <c r="P271" s="8">
        <f t="shared" si="29"/>
        <v>-5.909247412935577</v>
      </c>
    </row>
    <row r="272" spans="1:16" x14ac:dyDescent="0.2">
      <c r="A272" s="8">
        <v>135</v>
      </c>
      <c r="B272" s="8">
        <v>270</v>
      </c>
      <c r="D272">
        <v>728.87026239066995</v>
      </c>
      <c r="E272">
        <v>303.34620991254002</v>
      </c>
      <c r="F272">
        <v>144.99413059427999</v>
      </c>
      <c r="G272">
        <v>119.70652971387</v>
      </c>
      <c r="I272" s="9">
        <f t="shared" si="26"/>
        <v>183.63968019867002</v>
      </c>
      <c r="J272" s="9">
        <f t="shared" si="27"/>
        <v>583.87613179638993</v>
      </c>
      <c r="K272" s="9">
        <f t="shared" si="31"/>
        <v>183.63968019867002</v>
      </c>
      <c r="L272" s="10">
        <f t="shared" si="30"/>
        <v>0.31451821747477954</v>
      </c>
      <c r="M272" s="10">
        <f t="shared" si="28"/>
        <v>0.31534348257955341</v>
      </c>
      <c r="P272" s="8">
        <f t="shared" si="29"/>
        <v>-7.2119738293666691</v>
      </c>
    </row>
    <row r="273" spans="1:16" x14ac:dyDescent="0.2">
      <c r="A273" s="8">
        <v>135.5</v>
      </c>
      <c r="B273" s="8">
        <v>271</v>
      </c>
      <c r="D273">
        <v>732.83819241982997</v>
      </c>
      <c r="E273">
        <v>305.56851311953</v>
      </c>
      <c r="F273">
        <v>144.81144534116001</v>
      </c>
      <c r="G273">
        <v>120.15847395451</v>
      </c>
      <c r="I273" s="9">
        <f t="shared" si="26"/>
        <v>185.41003916502001</v>
      </c>
      <c r="J273" s="9">
        <f t="shared" si="27"/>
        <v>588.02674707866993</v>
      </c>
      <c r="K273" s="9">
        <f t="shared" si="31"/>
        <v>185.41003916502001</v>
      </c>
      <c r="L273" s="10">
        <f t="shared" si="30"/>
        <v>0.31530885301755618</v>
      </c>
      <c r="M273" s="10">
        <f t="shared" si="28"/>
        <v>0.31613717465975516</v>
      </c>
      <c r="P273" s="8">
        <f t="shared" si="29"/>
        <v>-6.9784344490479242</v>
      </c>
    </row>
    <row r="274" spans="1:16" x14ac:dyDescent="0.2">
      <c r="A274" s="8">
        <v>136</v>
      </c>
      <c r="B274" s="8">
        <v>272</v>
      </c>
      <c r="D274">
        <v>711.90451895043998</v>
      </c>
      <c r="E274">
        <v>303.67711370261998</v>
      </c>
      <c r="F274">
        <v>144.93470286134001</v>
      </c>
      <c r="G274">
        <v>120.28539985326999</v>
      </c>
      <c r="I274" s="9">
        <f t="shared" si="26"/>
        <v>183.39171384934997</v>
      </c>
      <c r="J274" s="9">
        <f t="shared" si="27"/>
        <v>566.96981608909994</v>
      </c>
      <c r="K274" s="9">
        <f t="shared" si="31"/>
        <v>183.39171384934997</v>
      </c>
      <c r="L274" s="10">
        <f t="shared" si="30"/>
        <v>0.32345939527145789</v>
      </c>
      <c r="M274" s="10">
        <f t="shared" si="28"/>
        <v>0.32429077345108193</v>
      </c>
      <c r="P274" s="8">
        <f t="shared" si="29"/>
        <v>-4.5792843799051068</v>
      </c>
    </row>
    <row r="275" spans="1:16" x14ac:dyDescent="0.2">
      <c r="A275" s="8">
        <v>136.5</v>
      </c>
      <c r="B275" s="8">
        <v>273</v>
      </c>
      <c r="D275">
        <v>716.43548387096996</v>
      </c>
      <c r="E275">
        <v>300.78812316715999</v>
      </c>
      <c r="F275">
        <v>144.48275862068999</v>
      </c>
      <c r="G275">
        <v>119.72487160675</v>
      </c>
      <c r="I275" s="9">
        <f>E275-G275</f>
        <v>181.06325156040998</v>
      </c>
      <c r="J275" s="9">
        <f>D275-F275</f>
        <v>571.95272525027997</v>
      </c>
      <c r="K275" s="9">
        <f t="shared" si="31"/>
        <v>181.06325156040998</v>
      </c>
      <c r="L275" s="10">
        <f t="shared" si="30"/>
        <v>0.31657031003948582</v>
      </c>
      <c r="M275" s="10">
        <f>L275+ABS($N$2)*A275</f>
        <v>0.31740474475653496</v>
      </c>
      <c r="O275" s="11"/>
      <c r="P275" s="8">
        <f>(M275-$O$2)/$O$2*100</f>
        <v>-6.6054591576259893</v>
      </c>
    </row>
    <row r="276" spans="1:16" x14ac:dyDescent="0.2">
      <c r="A276" s="8">
        <v>137</v>
      </c>
      <c r="B276" s="8">
        <v>274</v>
      </c>
      <c r="D276">
        <v>694.76466275660005</v>
      </c>
      <c r="E276">
        <v>294.54325513197</v>
      </c>
      <c r="F276">
        <v>144.76815847396</v>
      </c>
      <c r="G276">
        <v>120.22670579603999</v>
      </c>
      <c r="I276" s="9">
        <f t="shared" ref="I276:I291" si="32">E276-G276</f>
        <v>174.31654933593001</v>
      </c>
      <c r="J276" s="9">
        <f t="shared" ref="J276:J291" si="33">D276-F276</f>
        <v>549.99650428263999</v>
      </c>
      <c r="K276" s="9">
        <f t="shared" si="31"/>
        <v>174.31654933593001</v>
      </c>
      <c r="L276" s="10">
        <f t="shared" si="30"/>
        <v>0.31694119504139567</v>
      </c>
      <c r="M276" s="10">
        <f t="shared" ref="M276:M291" si="34">L276+ABS($N$2)*A276</f>
        <v>0.31777868629586992</v>
      </c>
      <c r="P276" s="8">
        <f t="shared" ref="P276:P291" si="35">(M276-$O$2)/$O$2*100</f>
        <v>-6.4954289865431125</v>
      </c>
    </row>
    <row r="277" spans="1:16" x14ac:dyDescent="0.2">
      <c r="A277" s="8">
        <v>137.5</v>
      </c>
      <c r="B277" s="8">
        <v>275</v>
      </c>
      <c r="D277">
        <v>730.34846266471004</v>
      </c>
      <c r="E277">
        <v>304.84260614933999</v>
      </c>
      <c r="F277">
        <v>144.78503301540999</v>
      </c>
      <c r="G277">
        <v>120.31181217902</v>
      </c>
      <c r="I277" s="9">
        <f t="shared" si="32"/>
        <v>184.53079397031999</v>
      </c>
      <c r="J277" s="9">
        <f t="shared" si="33"/>
        <v>585.56342964930002</v>
      </c>
      <c r="K277" s="9">
        <f t="shared" si="31"/>
        <v>184.53079397031999</v>
      </c>
      <c r="L277" s="10">
        <f t="shared" si="30"/>
        <v>0.31513374064503547</v>
      </c>
      <c r="M277" s="10">
        <f t="shared" si="34"/>
        <v>0.31597428843693476</v>
      </c>
      <c r="N277" s="1"/>
      <c r="P277" s="8">
        <f t="shared" si="35"/>
        <v>-7.026362793665232</v>
      </c>
    </row>
    <row r="278" spans="1:16" x14ac:dyDescent="0.2">
      <c r="A278" s="8">
        <v>138</v>
      </c>
      <c r="B278" s="8">
        <v>276</v>
      </c>
      <c r="D278">
        <v>716.83100661279002</v>
      </c>
      <c r="E278">
        <v>302.26083761939998</v>
      </c>
      <c r="F278">
        <v>144.50990462216001</v>
      </c>
      <c r="G278">
        <v>119.7894350697</v>
      </c>
      <c r="I278" s="9">
        <f t="shared" si="32"/>
        <v>182.47140254969997</v>
      </c>
      <c r="J278" s="9">
        <f t="shared" si="33"/>
        <v>572.32110199063004</v>
      </c>
      <c r="K278" s="9">
        <f t="shared" si="31"/>
        <v>182.47140254969997</v>
      </c>
      <c r="L278" s="10">
        <f t="shared" si="30"/>
        <v>0.31882696953691458</v>
      </c>
      <c r="M278" s="10">
        <f t="shared" si="34"/>
        <v>0.31967057386623898</v>
      </c>
      <c r="P278" s="8">
        <f t="shared" si="35"/>
        <v>-5.9387518294465949</v>
      </c>
    </row>
    <row r="279" spans="1:16" x14ac:dyDescent="0.2">
      <c r="A279" s="8">
        <v>138.5</v>
      </c>
      <c r="B279" s="8">
        <v>277</v>
      </c>
      <c r="D279">
        <v>714.96693607640998</v>
      </c>
      <c r="E279">
        <v>305.04481998531003</v>
      </c>
      <c r="F279">
        <v>144.40425531915</v>
      </c>
      <c r="G279">
        <v>119.99046221570001</v>
      </c>
      <c r="I279" s="9">
        <f t="shared" si="32"/>
        <v>185.05435776961002</v>
      </c>
      <c r="J279" s="9">
        <f t="shared" si="33"/>
        <v>570.56268075725995</v>
      </c>
      <c r="K279" s="9">
        <f t="shared" si="31"/>
        <v>185.05435776961002</v>
      </c>
      <c r="L279" s="10">
        <f t="shared" si="30"/>
        <v>0.32433659615452398</v>
      </c>
      <c r="M279" s="10">
        <f t="shared" si="34"/>
        <v>0.32518325702127349</v>
      </c>
      <c r="P279" s="8">
        <f t="shared" si="35"/>
        <v>-4.3166761655529893</v>
      </c>
    </row>
    <row r="280" spans="1:16" x14ac:dyDescent="0.2">
      <c r="A280" s="8">
        <v>139</v>
      </c>
      <c r="B280" s="8">
        <v>278</v>
      </c>
      <c r="D280">
        <v>736.12094395279996</v>
      </c>
      <c r="E280">
        <v>308.32890855456998</v>
      </c>
      <c r="F280">
        <v>144.56052824651999</v>
      </c>
      <c r="G280">
        <v>119.74614820249001</v>
      </c>
      <c r="I280" s="9">
        <f t="shared" si="32"/>
        <v>188.58276035207996</v>
      </c>
      <c r="J280" s="9">
        <f t="shared" si="33"/>
        <v>591.56041570627997</v>
      </c>
      <c r="K280" s="9">
        <f t="shared" si="31"/>
        <v>188.58276035207996</v>
      </c>
      <c r="L280" s="10">
        <f t="shared" si="30"/>
        <v>0.31878867372646275</v>
      </c>
      <c r="M280" s="10">
        <f t="shared" si="34"/>
        <v>0.3196383911306373</v>
      </c>
      <c r="P280" s="8">
        <f t="shared" si="35"/>
        <v>-5.9482214163517195</v>
      </c>
    </row>
    <row r="281" spans="1:16" x14ac:dyDescent="0.2">
      <c r="A281" s="8">
        <v>139.5</v>
      </c>
      <c r="B281" s="8">
        <v>279</v>
      </c>
      <c r="D281">
        <v>736.83628318583999</v>
      </c>
      <c r="E281">
        <v>312.19690265486997</v>
      </c>
      <c r="F281">
        <v>144.35803374907999</v>
      </c>
      <c r="G281">
        <v>119.58620689655</v>
      </c>
      <c r="I281" s="9">
        <f t="shared" si="32"/>
        <v>192.61069575831999</v>
      </c>
      <c r="J281" s="9">
        <f t="shared" si="33"/>
        <v>592.47824943676005</v>
      </c>
      <c r="K281" s="9">
        <f t="shared" si="31"/>
        <v>192.61069575831999</v>
      </c>
      <c r="L281" s="10">
        <f t="shared" si="30"/>
        <v>0.325093277164901</v>
      </c>
      <c r="M281" s="10">
        <f t="shared" si="34"/>
        <v>0.32594605110650066</v>
      </c>
      <c r="P281" s="8">
        <f t="shared" si="35"/>
        <v>-4.092228344517058</v>
      </c>
    </row>
    <row r="282" spans="1:16" x14ac:dyDescent="0.2">
      <c r="A282" s="8">
        <v>140</v>
      </c>
      <c r="B282" s="8">
        <v>280</v>
      </c>
      <c r="D282">
        <v>729.03244837757995</v>
      </c>
      <c r="E282">
        <v>311.26106194689999</v>
      </c>
      <c r="F282">
        <v>144.05062362435999</v>
      </c>
      <c r="G282">
        <v>119.85033015406999</v>
      </c>
      <c r="I282" s="9">
        <f t="shared" si="32"/>
        <v>191.41073179283001</v>
      </c>
      <c r="J282" s="9">
        <f t="shared" si="33"/>
        <v>584.98182475321994</v>
      </c>
      <c r="K282" s="9">
        <f t="shared" si="31"/>
        <v>191.41073179283001</v>
      </c>
      <c r="L282" s="10">
        <f t="shared" si="30"/>
        <v>0.32720799808366424</v>
      </c>
      <c r="M282" s="10">
        <f t="shared" si="34"/>
        <v>0.32806382856268901</v>
      </c>
      <c r="P282" s="8">
        <f t="shared" si="35"/>
        <v>-3.4690843733115999</v>
      </c>
    </row>
    <row r="283" spans="1:16" x14ac:dyDescent="0.2">
      <c r="A283" s="8">
        <v>140.5</v>
      </c>
      <c r="B283" s="8">
        <v>281</v>
      </c>
      <c r="D283">
        <v>730.39220014717</v>
      </c>
      <c r="E283">
        <v>306.46799116998</v>
      </c>
      <c r="F283">
        <v>144.75495231107999</v>
      </c>
      <c r="G283">
        <v>120.2677916361</v>
      </c>
      <c r="I283" s="9">
        <f t="shared" si="32"/>
        <v>186.20019953387998</v>
      </c>
      <c r="J283" s="9">
        <f t="shared" si="33"/>
        <v>585.63724783608995</v>
      </c>
      <c r="K283" s="9">
        <f t="shared" si="31"/>
        <v>186.20019953387998</v>
      </c>
      <c r="L283" s="10">
        <f t="shared" si="30"/>
        <v>0.31794459833605787</v>
      </c>
      <c r="M283" s="10">
        <f t="shared" si="34"/>
        <v>0.31880348535250769</v>
      </c>
      <c r="P283" s="8">
        <f t="shared" si="35"/>
        <v>-6.1938876928746849</v>
      </c>
    </row>
    <row r="284" spans="1:16" x14ac:dyDescent="0.2">
      <c r="A284" s="8">
        <v>141</v>
      </c>
      <c r="B284" s="8">
        <v>282</v>
      </c>
      <c r="D284">
        <v>709.58866813834004</v>
      </c>
      <c r="E284">
        <v>296.56512141280001</v>
      </c>
      <c r="F284">
        <v>144.75421863535999</v>
      </c>
      <c r="G284">
        <v>119.38664710198</v>
      </c>
      <c r="I284" s="9">
        <f t="shared" si="32"/>
        <v>177.17847431082001</v>
      </c>
      <c r="J284" s="9">
        <f t="shared" si="33"/>
        <v>564.83444950298008</v>
      </c>
      <c r="K284" s="9">
        <f t="shared" si="31"/>
        <v>177.17847431082001</v>
      </c>
      <c r="L284" s="10">
        <f t="shared" si="30"/>
        <v>0.313682131935696</v>
      </c>
      <c r="M284" s="10">
        <f t="shared" si="34"/>
        <v>0.31454407548957092</v>
      </c>
      <c r="P284" s="8">
        <f t="shared" si="35"/>
        <v>-7.4471948188081534</v>
      </c>
    </row>
    <row r="285" spans="1:16" x14ac:dyDescent="0.2">
      <c r="A285" s="8">
        <v>141.5</v>
      </c>
      <c r="B285" s="8">
        <v>283</v>
      </c>
      <c r="D285">
        <v>731.68942731278003</v>
      </c>
      <c r="E285">
        <v>303.01615271659</v>
      </c>
      <c r="F285">
        <v>144.22010271459999</v>
      </c>
      <c r="G285">
        <v>119.2677916361</v>
      </c>
      <c r="I285" s="9">
        <f t="shared" si="32"/>
        <v>183.74836108048999</v>
      </c>
      <c r="J285" s="9">
        <f t="shared" si="33"/>
        <v>587.46932459818004</v>
      </c>
      <c r="K285" s="9">
        <f t="shared" si="31"/>
        <v>183.74836108048999</v>
      </c>
      <c r="L285" s="10">
        <f t="shared" si="30"/>
        <v>0.31277949909328634</v>
      </c>
      <c r="M285" s="10">
        <f t="shared" si="34"/>
        <v>0.31364449918458637</v>
      </c>
      <c r="P285" s="8">
        <f t="shared" si="35"/>
        <v>-7.7118900300317765</v>
      </c>
    </row>
    <row r="286" spans="1:16" x14ac:dyDescent="0.2">
      <c r="A286" s="8">
        <v>142</v>
      </c>
      <c r="B286" s="8">
        <v>284</v>
      </c>
      <c r="D286">
        <v>749.42457689477999</v>
      </c>
      <c r="E286">
        <v>307.81456953641998</v>
      </c>
      <c r="F286">
        <v>144.33528980190999</v>
      </c>
      <c r="G286">
        <v>119.69699192957</v>
      </c>
      <c r="I286" s="9">
        <f t="shared" si="32"/>
        <v>188.11757760684998</v>
      </c>
      <c r="J286" s="9">
        <f t="shared" si="33"/>
        <v>605.08928709286999</v>
      </c>
      <c r="K286" s="9">
        <f t="shared" si="31"/>
        <v>188.11757760684998</v>
      </c>
      <c r="L286" s="10">
        <f t="shared" si="30"/>
        <v>0.31089226271159781</v>
      </c>
      <c r="M286" s="10">
        <f t="shared" si="34"/>
        <v>0.31176031934032294</v>
      </c>
      <c r="P286" s="8">
        <f t="shared" si="35"/>
        <v>-8.2662992325609235</v>
      </c>
    </row>
    <row r="287" spans="1:16" x14ac:dyDescent="0.2">
      <c r="A287" s="8">
        <v>142.5</v>
      </c>
      <c r="B287" s="8">
        <v>285</v>
      </c>
      <c r="D287">
        <v>743.41059602649</v>
      </c>
      <c r="E287">
        <v>300.31935246504997</v>
      </c>
      <c r="F287">
        <v>145.08070432868999</v>
      </c>
      <c r="G287">
        <v>119.82758620689999</v>
      </c>
      <c r="I287" s="9">
        <f t="shared" si="32"/>
        <v>180.49176625814999</v>
      </c>
      <c r="J287" s="9">
        <f t="shared" si="33"/>
        <v>598.32989169780001</v>
      </c>
      <c r="K287" s="9">
        <f t="shared" si="31"/>
        <v>180.49176625814999</v>
      </c>
      <c r="L287" s="10">
        <f t="shared" si="30"/>
        <v>0.30165928321914998</v>
      </c>
      <c r="M287" s="10">
        <f t="shared" si="34"/>
        <v>0.30253039638530016</v>
      </c>
      <c r="P287" s="8">
        <f t="shared" si="35"/>
        <v>-10.982151565064825</v>
      </c>
    </row>
    <row r="288" spans="1:16" x14ac:dyDescent="0.2">
      <c r="A288" s="8">
        <v>143</v>
      </c>
      <c r="B288" s="8">
        <v>286</v>
      </c>
      <c r="D288">
        <v>689.99632082413996</v>
      </c>
      <c r="E288">
        <v>289.28697571743999</v>
      </c>
      <c r="F288">
        <v>144.75862068966001</v>
      </c>
      <c r="G288">
        <v>119.52531181217999</v>
      </c>
      <c r="I288" s="9">
        <f t="shared" si="32"/>
        <v>169.76166390525998</v>
      </c>
      <c r="J288" s="9">
        <f t="shared" si="33"/>
        <v>545.23770013447995</v>
      </c>
      <c r="K288" s="9">
        <f t="shared" si="31"/>
        <v>169.76166390525998</v>
      </c>
      <c r="L288" s="10">
        <f t="shared" si="30"/>
        <v>0.3113534956650818</v>
      </c>
      <c r="M288" s="10">
        <f t="shared" si="34"/>
        <v>0.31222766536865709</v>
      </c>
      <c r="P288" s="8">
        <f t="shared" si="35"/>
        <v>-8.1287853218465305</v>
      </c>
    </row>
    <row r="289" spans="1:16" x14ac:dyDescent="0.2">
      <c r="A289" s="8">
        <v>143.5</v>
      </c>
      <c r="B289" s="8">
        <v>287</v>
      </c>
      <c r="D289">
        <v>706.60073260073</v>
      </c>
      <c r="E289">
        <v>289.95457875457998</v>
      </c>
      <c r="F289">
        <v>144.69112252383999</v>
      </c>
      <c r="G289">
        <v>119.45854732207999</v>
      </c>
      <c r="I289" s="9">
        <f t="shared" si="32"/>
        <v>170.49603143249999</v>
      </c>
      <c r="J289" s="9">
        <f t="shared" si="33"/>
        <v>561.90961007688998</v>
      </c>
      <c r="K289" s="9">
        <f t="shared" si="31"/>
        <v>170.49603143249999</v>
      </c>
      <c r="L289" s="10">
        <f t="shared" si="30"/>
        <v>0.30342252272419729</v>
      </c>
      <c r="M289" s="10">
        <f t="shared" si="34"/>
        <v>0.30429974896519768</v>
      </c>
      <c r="P289" s="8">
        <f t="shared" si="35"/>
        <v>-10.461529631972578</v>
      </c>
    </row>
    <row r="290" spans="1:16" x14ac:dyDescent="0.2">
      <c r="A290" s="8">
        <v>144</v>
      </c>
      <c r="B290" s="8">
        <v>288</v>
      </c>
      <c r="D290">
        <v>718.09597069596998</v>
      </c>
      <c r="E290">
        <v>303.20366300365998</v>
      </c>
      <c r="F290">
        <v>144.52237710931999</v>
      </c>
      <c r="G290">
        <v>119.87600880411</v>
      </c>
      <c r="I290" s="9">
        <f t="shared" si="32"/>
        <v>183.32765419954998</v>
      </c>
      <c r="J290" s="9">
        <f t="shared" si="33"/>
        <v>573.57359358664996</v>
      </c>
      <c r="K290" s="9">
        <f t="shared" si="31"/>
        <v>183.32765419954998</v>
      </c>
      <c r="L290" s="10">
        <f t="shared" si="30"/>
        <v>0.31962359538411111</v>
      </c>
      <c r="M290" s="10">
        <f t="shared" si="34"/>
        <v>0.32050387816253656</v>
      </c>
      <c r="P290" s="8">
        <f t="shared" si="35"/>
        <v>-5.6935567798439619</v>
      </c>
    </row>
    <row r="291" spans="1:16" x14ac:dyDescent="0.2">
      <c r="A291" s="8">
        <v>144.5</v>
      </c>
      <c r="B291" s="8">
        <v>289</v>
      </c>
      <c r="D291">
        <v>721.03908554572001</v>
      </c>
      <c r="E291">
        <v>301.75958702064997</v>
      </c>
      <c r="F291">
        <v>144.05722670579999</v>
      </c>
      <c r="G291">
        <v>119.53631694791</v>
      </c>
      <c r="I291" s="9">
        <f t="shared" si="32"/>
        <v>182.22327007273998</v>
      </c>
      <c r="J291" s="9">
        <f t="shared" si="33"/>
        <v>576.98185883992005</v>
      </c>
      <c r="K291" s="9">
        <f t="shared" si="31"/>
        <v>182.22327007273998</v>
      </c>
      <c r="L291" s="10">
        <f t="shared" si="30"/>
        <v>0.31582148949902544</v>
      </c>
      <c r="M291" s="10">
        <f t="shared" si="34"/>
        <v>0.31670482881487599</v>
      </c>
      <c r="P291" s="8">
        <f t="shared" si="35"/>
        <v>-6.8114054425488497</v>
      </c>
    </row>
    <row r="292" spans="1:16" x14ac:dyDescent="0.2">
      <c r="A292" s="8">
        <v>145</v>
      </c>
      <c r="B292" s="8">
        <v>290</v>
      </c>
      <c r="D292">
        <v>721.65412979351004</v>
      </c>
      <c r="E292">
        <v>296.44690265486997</v>
      </c>
      <c r="F292">
        <v>144.76008804109</v>
      </c>
      <c r="G292">
        <v>119.40719002201</v>
      </c>
      <c r="I292" s="9">
        <f>E292-G292</f>
        <v>177.03971263285996</v>
      </c>
      <c r="J292" s="9">
        <f>D292-F292</f>
        <v>576.89404175241998</v>
      </c>
      <c r="K292" s="9">
        <f t="shared" si="31"/>
        <v>177.03971263285996</v>
      </c>
      <c r="L292" s="10">
        <f t="shared" si="30"/>
        <v>0.30688427998852236</v>
      </c>
      <c r="M292" s="10">
        <f>L292+ABS($N$2)*A292</f>
        <v>0.30777067584179801</v>
      </c>
      <c r="O292" s="11"/>
      <c r="P292" s="8">
        <f>(M292-$O$2)/$O$2*100</f>
        <v>-9.4402291401157381</v>
      </c>
    </row>
    <row r="293" spans="1:16" x14ac:dyDescent="0.2">
      <c r="A293" s="8">
        <v>145.5</v>
      </c>
      <c r="B293" s="8">
        <v>291</v>
      </c>
      <c r="D293">
        <v>729.80335032774997</v>
      </c>
      <c r="E293">
        <v>299.69337217770999</v>
      </c>
      <c r="F293">
        <v>144.89068231842001</v>
      </c>
      <c r="G293">
        <v>119.90975788701</v>
      </c>
      <c r="I293" s="9">
        <f t="shared" ref="I293:I301" si="36">E293-G293</f>
        <v>179.78361429069997</v>
      </c>
      <c r="J293" s="9">
        <f t="shared" ref="J293:J301" si="37">D293-F293</f>
        <v>584.91266800932999</v>
      </c>
      <c r="K293" s="9">
        <f t="shared" si="31"/>
        <v>179.78361429069997</v>
      </c>
      <c r="L293" s="10">
        <f t="shared" si="30"/>
        <v>0.30736830320767172</v>
      </c>
      <c r="M293" s="10">
        <f t="shared" ref="M293:M301" si="38">L293+ABS($N$2)*A293</f>
        <v>0.30825775559837243</v>
      </c>
      <c r="P293" s="8">
        <f t="shared" ref="P293:P301" si="39">(M293-$O$2)/$O$2*100</f>
        <v>-9.2969086921061272</v>
      </c>
    </row>
    <row r="294" spans="1:16" x14ac:dyDescent="0.2">
      <c r="A294" s="8">
        <v>146</v>
      </c>
      <c r="B294" s="8">
        <v>292</v>
      </c>
      <c r="D294">
        <v>693.85389133626995</v>
      </c>
      <c r="E294">
        <v>284.77386196769999</v>
      </c>
      <c r="F294">
        <v>144.41232575202</v>
      </c>
      <c r="G294">
        <v>119.54512105649</v>
      </c>
      <c r="I294" s="9">
        <f t="shared" si="36"/>
        <v>165.22874091120997</v>
      </c>
      <c r="J294" s="9">
        <f t="shared" si="37"/>
        <v>549.44156558424993</v>
      </c>
      <c r="K294" s="9">
        <f t="shared" si="31"/>
        <v>165.22874091120997</v>
      </c>
      <c r="L294" s="10">
        <f t="shared" si="30"/>
        <v>0.30072122544189683</v>
      </c>
      <c r="M294" s="10">
        <f t="shared" si="38"/>
        <v>0.30161373437002265</v>
      </c>
      <c r="N294" s="1"/>
      <c r="P294" s="8">
        <f t="shared" si="39"/>
        <v>-11.251874149363799</v>
      </c>
    </row>
    <row r="295" spans="1:16" x14ac:dyDescent="0.2">
      <c r="A295" s="8">
        <v>146.5</v>
      </c>
      <c r="B295" s="8">
        <v>293</v>
      </c>
      <c r="D295">
        <v>665.77900146843001</v>
      </c>
      <c r="E295">
        <v>277.92731277532999</v>
      </c>
      <c r="F295">
        <v>144.14600146735</v>
      </c>
      <c r="G295">
        <v>119.73147468819</v>
      </c>
      <c r="I295" s="9">
        <f t="shared" si="36"/>
        <v>158.19583808713998</v>
      </c>
      <c r="J295" s="9">
        <f t="shared" si="37"/>
        <v>521.63300000108006</v>
      </c>
      <c r="K295" s="9">
        <f t="shared" si="31"/>
        <v>158.19583808713998</v>
      </c>
      <c r="L295" s="10">
        <f t="shared" si="30"/>
        <v>0.30327037991617178</v>
      </c>
      <c r="M295" s="10">
        <f t="shared" si="38"/>
        <v>0.3041659453817227</v>
      </c>
      <c r="P295" s="8">
        <f t="shared" si="39"/>
        <v>-10.500900575375756</v>
      </c>
    </row>
    <row r="296" spans="1:16" x14ac:dyDescent="0.2">
      <c r="A296" s="8">
        <v>147</v>
      </c>
      <c r="B296" s="8">
        <v>294</v>
      </c>
      <c r="D296">
        <v>614.41997063142003</v>
      </c>
      <c r="E296">
        <v>264.24743024962999</v>
      </c>
      <c r="F296">
        <v>145.08950843727001</v>
      </c>
      <c r="G296">
        <v>119.34849596478</v>
      </c>
      <c r="I296" s="9">
        <f t="shared" si="36"/>
        <v>144.89893428484999</v>
      </c>
      <c r="J296" s="9">
        <f t="shared" si="37"/>
        <v>469.33046219415002</v>
      </c>
      <c r="K296" s="9">
        <f t="shared" si="31"/>
        <v>144.89893428484999</v>
      </c>
      <c r="L296" s="10">
        <f t="shared" si="30"/>
        <v>0.30873541343862099</v>
      </c>
      <c r="M296" s="10">
        <f t="shared" si="38"/>
        <v>0.30963403544159696</v>
      </c>
      <c r="P296" s="8">
        <f t="shared" si="39"/>
        <v>-8.8919461761010083</v>
      </c>
    </row>
    <row r="297" spans="1:16" x14ac:dyDescent="0.2">
      <c r="A297" s="8">
        <v>147.5</v>
      </c>
      <c r="B297" s="8">
        <v>295</v>
      </c>
      <c r="D297">
        <v>639.58663729808995</v>
      </c>
      <c r="E297">
        <v>272.27459618209002</v>
      </c>
      <c r="F297">
        <v>144.76742479824</v>
      </c>
      <c r="G297">
        <v>119.67718268525</v>
      </c>
      <c r="I297" s="9">
        <f t="shared" si="36"/>
        <v>152.59741349684003</v>
      </c>
      <c r="J297" s="9">
        <f t="shared" si="37"/>
        <v>494.81921249984998</v>
      </c>
      <c r="K297" s="9">
        <f t="shared" si="31"/>
        <v>152.59741349684003</v>
      </c>
      <c r="L297" s="10">
        <f t="shared" si="30"/>
        <v>0.30839023554867789</v>
      </c>
      <c r="M297" s="10">
        <f t="shared" si="38"/>
        <v>0.30929191408907897</v>
      </c>
      <c r="P297" s="8">
        <f t="shared" si="39"/>
        <v>-8.9926134381965959</v>
      </c>
    </row>
    <row r="298" spans="1:16" x14ac:dyDescent="0.2">
      <c r="A298" s="8">
        <v>148</v>
      </c>
      <c r="B298" s="8">
        <v>296</v>
      </c>
      <c r="D298">
        <v>608.39794419970997</v>
      </c>
      <c r="E298">
        <v>264.30029368575998</v>
      </c>
      <c r="F298">
        <v>144.92956713133</v>
      </c>
      <c r="G298">
        <v>119.3873807777</v>
      </c>
      <c r="I298" s="9">
        <f t="shared" si="36"/>
        <v>144.91291290805998</v>
      </c>
      <c r="J298" s="9">
        <f t="shared" si="37"/>
        <v>463.46837706837994</v>
      </c>
      <c r="K298" s="9">
        <f t="shared" si="31"/>
        <v>144.91291290805998</v>
      </c>
      <c r="L298" s="10">
        <f t="shared" si="30"/>
        <v>0.31267055117048381</v>
      </c>
      <c r="M298" s="10">
        <f t="shared" si="38"/>
        <v>0.31357528624830999</v>
      </c>
      <c r="P298" s="8">
        <f t="shared" si="39"/>
        <v>-7.7322555428688418</v>
      </c>
    </row>
    <row r="299" spans="1:16" x14ac:dyDescent="0.2">
      <c r="A299" s="8">
        <v>148.5</v>
      </c>
      <c r="B299" s="8">
        <v>297</v>
      </c>
      <c r="D299">
        <v>663.14852941177003</v>
      </c>
      <c r="E299">
        <v>281.03897058823998</v>
      </c>
      <c r="F299">
        <v>144.66837857666999</v>
      </c>
      <c r="G299">
        <v>119.68525311812</v>
      </c>
      <c r="I299" s="9">
        <f t="shared" si="36"/>
        <v>161.35371747011999</v>
      </c>
      <c r="J299" s="9">
        <f t="shared" si="37"/>
        <v>518.48015083510006</v>
      </c>
      <c r="K299" s="9">
        <f t="shared" si="31"/>
        <v>161.35371747011999</v>
      </c>
      <c r="L299" s="10">
        <f t="shared" si="30"/>
        <v>0.31120519697857768</v>
      </c>
      <c r="M299" s="10">
        <f t="shared" si="38"/>
        <v>0.31211298859382897</v>
      </c>
      <c r="P299" s="8">
        <f t="shared" si="39"/>
        <v>-8.1625283105928794</v>
      </c>
    </row>
    <row r="300" spans="1:16" x14ac:dyDescent="0.2">
      <c r="A300" s="8">
        <v>149</v>
      </c>
      <c r="B300" s="8">
        <v>298</v>
      </c>
      <c r="D300">
        <v>679.19533527697001</v>
      </c>
      <c r="E300">
        <v>279.81341107871998</v>
      </c>
      <c r="F300">
        <v>144.50036683786001</v>
      </c>
      <c r="G300">
        <v>119.4497432135</v>
      </c>
      <c r="I300" s="9">
        <f t="shared" si="36"/>
        <v>160.36366786521998</v>
      </c>
      <c r="J300" s="9">
        <f t="shared" si="37"/>
        <v>534.69496843910997</v>
      </c>
      <c r="K300" s="9">
        <f t="shared" si="31"/>
        <v>160.36366786521998</v>
      </c>
      <c r="L300" s="10">
        <f t="shared" si="30"/>
        <v>0.29991617151991562</v>
      </c>
      <c r="M300" s="10">
        <f t="shared" si="38"/>
        <v>0.30082701967259196</v>
      </c>
      <c r="P300" s="8">
        <f t="shared" si="39"/>
        <v>-11.483360474487405</v>
      </c>
    </row>
    <row r="301" spans="1:16" x14ac:dyDescent="0.2">
      <c r="A301" s="8">
        <v>149.5</v>
      </c>
      <c r="B301" s="8">
        <v>299</v>
      </c>
      <c r="D301">
        <v>704.10685335299002</v>
      </c>
      <c r="E301">
        <v>285.99410464259</v>
      </c>
      <c r="F301">
        <v>144.62142333089</v>
      </c>
      <c r="G301">
        <v>119.41526045488</v>
      </c>
      <c r="I301" s="9">
        <f t="shared" si="36"/>
        <v>166.57884418770999</v>
      </c>
      <c r="J301" s="9">
        <f t="shared" si="37"/>
        <v>559.48543002209999</v>
      </c>
      <c r="K301" s="9">
        <f t="shared" si="31"/>
        <v>166.57884418770999</v>
      </c>
      <c r="L301" s="10">
        <f t="shared" si="30"/>
        <v>0.29773580373867831</v>
      </c>
      <c r="M301" s="10">
        <f t="shared" si="38"/>
        <v>0.29864970842877975</v>
      </c>
      <c r="P301" s="8">
        <f t="shared" si="39"/>
        <v>-12.124021924090995</v>
      </c>
    </row>
    <row r="302" spans="1:16" x14ac:dyDescent="0.2">
      <c r="A302" s="8">
        <v>150</v>
      </c>
      <c r="B302" s="8">
        <v>300</v>
      </c>
      <c r="D302">
        <v>690.22918201916002</v>
      </c>
      <c r="E302">
        <v>280.36477523949998</v>
      </c>
      <c r="F302">
        <v>144.15627292737</v>
      </c>
      <c r="G302">
        <v>119.2105649303</v>
      </c>
      <c r="I302" s="9">
        <f>E302-G302</f>
        <v>161.15421030919998</v>
      </c>
      <c r="J302" s="9">
        <f>D302-F302</f>
        <v>546.07290909179005</v>
      </c>
      <c r="K302" s="9">
        <f t="shared" si="31"/>
        <v>161.15421030919998</v>
      </c>
      <c r="L302" s="10">
        <f t="shared" si="30"/>
        <v>0.2951148237278905</v>
      </c>
      <c r="M302" s="10">
        <f>L302+ABS($N$2)*A302</f>
        <v>0.29603178495541704</v>
      </c>
      <c r="O302" s="11"/>
      <c r="P302" s="8">
        <f>(M302-$O$2)/$O$2*100</f>
        <v>-12.894331016170657</v>
      </c>
    </row>
    <row r="303" spans="1:16" x14ac:dyDescent="0.2">
      <c r="A303" s="8">
        <v>150.5</v>
      </c>
      <c r="B303" s="8">
        <v>301</v>
      </c>
      <c r="D303">
        <v>688.63596168018</v>
      </c>
      <c r="E303">
        <v>281.67428150332</v>
      </c>
      <c r="F303">
        <v>144.13939838591</v>
      </c>
      <c r="G303">
        <v>119.76155539251999</v>
      </c>
      <c r="I303" s="9">
        <f t="shared" ref="I303:I309" si="40">E303-G303</f>
        <v>161.91272611080001</v>
      </c>
      <c r="J303" s="9">
        <f t="shared" ref="J303:J309" si="41">D303-F303</f>
        <v>544.49656329427</v>
      </c>
      <c r="K303" s="9">
        <f t="shared" si="31"/>
        <v>161.91272611080001</v>
      </c>
      <c r="L303" s="10">
        <f t="shared" si="30"/>
        <v>0.29736225538543065</v>
      </c>
      <c r="M303" s="10">
        <f t="shared" ref="M303:M309" si="42">L303+ABS($N$2)*A303</f>
        <v>0.29828227315038225</v>
      </c>
      <c r="P303" s="8">
        <f t="shared" ref="P303:P309" si="43">(M303-$O$2)/$O$2*100</f>
        <v>-12.232137664898673</v>
      </c>
    </row>
    <row r="304" spans="1:16" x14ac:dyDescent="0.2">
      <c r="A304" s="8">
        <v>151</v>
      </c>
      <c r="B304" s="8">
        <v>302</v>
      </c>
      <c r="D304">
        <v>668.35043988270002</v>
      </c>
      <c r="E304">
        <v>273.35263929618998</v>
      </c>
      <c r="F304">
        <v>143.79310344827999</v>
      </c>
      <c r="G304">
        <v>119.53264856932999</v>
      </c>
      <c r="I304" s="9">
        <f t="shared" si="40"/>
        <v>153.81999072686</v>
      </c>
      <c r="J304" s="9">
        <f t="shared" si="41"/>
        <v>524.55733643441999</v>
      </c>
      <c r="K304" s="9">
        <f t="shared" si="31"/>
        <v>153.81999072686</v>
      </c>
      <c r="L304" s="10">
        <f t="shared" si="30"/>
        <v>0.29323770738280491</v>
      </c>
      <c r="M304" s="10">
        <f t="shared" si="42"/>
        <v>0.29416078168518162</v>
      </c>
      <c r="N304" s="1"/>
      <c r="P304" s="8">
        <f t="shared" si="43"/>
        <v>-13.444863086736436</v>
      </c>
    </row>
    <row r="305" spans="1:16" x14ac:dyDescent="0.2">
      <c r="A305" s="8">
        <v>151.5</v>
      </c>
      <c r="B305" s="8">
        <v>303</v>
      </c>
      <c r="D305">
        <v>678.64364437913002</v>
      </c>
      <c r="E305">
        <v>291.31961792799001</v>
      </c>
      <c r="F305">
        <v>144.47688921496999</v>
      </c>
      <c r="G305">
        <v>119.61408657373001</v>
      </c>
      <c r="I305" s="9">
        <f t="shared" si="40"/>
        <v>171.70553135426002</v>
      </c>
      <c r="J305" s="9">
        <f t="shared" si="41"/>
        <v>534.16675516416001</v>
      </c>
      <c r="K305" s="9">
        <f t="shared" si="31"/>
        <v>171.70553135426002</v>
      </c>
      <c r="L305" s="10">
        <f t="shared" si="30"/>
        <v>0.321445559264525</v>
      </c>
      <c r="M305" s="10">
        <f t="shared" si="42"/>
        <v>0.32237169010432681</v>
      </c>
      <c r="P305" s="8">
        <f t="shared" si="43"/>
        <v>-5.1439637395218636</v>
      </c>
    </row>
    <row r="306" spans="1:16" x14ac:dyDescent="0.2">
      <c r="A306" s="8">
        <v>152</v>
      </c>
      <c r="B306" s="8">
        <v>304</v>
      </c>
      <c r="D306">
        <v>690.53416605436996</v>
      </c>
      <c r="E306">
        <v>297.09919177076</v>
      </c>
      <c r="F306">
        <v>143.97065297139</v>
      </c>
      <c r="G306">
        <v>119.38371239912</v>
      </c>
      <c r="I306" s="9">
        <f t="shared" si="40"/>
        <v>177.71547937164001</v>
      </c>
      <c r="J306" s="9">
        <f t="shared" si="41"/>
        <v>546.56351308297997</v>
      </c>
      <c r="K306" s="9">
        <f t="shared" si="31"/>
        <v>177.71547937164001</v>
      </c>
      <c r="L306" s="10">
        <f t="shared" si="30"/>
        <v>0.32515064602319882</v>
      </c>
      <c r="M306" s="10">
        <f t="shared" si="42"/>
        <v>0.32607983340042568</v>
      </c>
      <c r="P306" s="8">
        <f t="shared" si="43"/>
        <v>-4.0528636654428647</v>
      </c>
    </row>
    <row r="307" spans="1:16" x14ac:dyDescent="0.2">
      <c r="A307" s="8">
        <v>152.5</v>
      </c>
      <c r="B307" s="8">
        <v>305</v>
      </c>
      <c r="D307">
        <v>674.22703894195001</v>
      </c>
      <c r="E307">
        <v>291.25716385010998</v>
      </c>
      <c r="F307">
        <v>144.21643433602</v>
      </c>
      <c r="G307">
        <v>119.65590608951</v>
      </c>
      <c r="I307" s="9">
        <f t="shared" si="40"/>
        <v>171.60125776059999</v>
      </c>
      <c r="J307" s="9">
        <f t="shared" si="41"/>
        <v>530.01060460592998</v>
      </c>
      <c r="K307" s="9">
        <f t="shared" si="31"/>
        <v>171.60125776059999</v>
      </c>
      <c r="L307" s="10">
        <f t="shared" si="30"/>
        <v>0.32376947983557391</v>
      </c>
      <c r="M307" s="10">
        <f t="shared" si="42"/>
        <v>0.32470172375022588</v>
      </c>
      <c r="P307" s="8">
        <f t="shared" si="43"/>
        <v>-4.4583645917430701</v>
      </c>
    </row>
    <row r="308" spans="1:16" x14ac:dyDescent="0.2">
      <c r="A308" s="8">
        <v>153</v>
      </c>
      <c r="B308" s="8">
        <v>306</v>
      </c>
      <c r="D308">
        <v>713.37764791818995</v>
      </c>
      <c r="E308">
        <v>298.30825420014997</v>
      </c>
      <c r="F308">
        <v>144.03521643433999</v>
      </c>
      <c r="G308">
        <v>119.22450476889</v>
      </c>
      <c r="I308" s="9">
        <f t="shared" si="40"/>
        <v>179.08374943125997</v>
      </c>
      <c r="J308" s="9">
        <f t="shared" si="41"/>
        <v>569.34243148384996</v>
      </c>
      <c r="K308" s="9">
        <f t="shared" si="31"/>
        <v>179.08374943125997</v>
      </c>
      <c r="L308" s="10">
        <f t="shared" si="30"/>
        <v>0.31454488463914865</v>
      </c>
      <c r="M308" s="10">
        <f t="shared" si="42"/>
        <v>0.31548018509122572</v>
      </c>
      <c r="P308" s="8">
        <f t="shared" si="43"/>
        <v>-7.1717498928296557</v>
      </c>
    </row>
    <row r="309" spans="1:16" x14ac:dyDescent="0.2">
      <c r="A309" s="8">
        <v>153.5</v>
      </c>
      <c r="B309" s="8">
        <v>307</v>
      </c>
      <c r="D309">
        <v>679.87582176771002</v>
      </c>
      <c r="E309">
        <v>284.40467494521999</v>
      </c>
      <c r="F309">
        <v>144.05429200294</v>
      </c>
      <c r="G309">
        <v>119.49816581071001</v>
      </c>
      <c r="I309" s="9">
        <f t="shared" si="40"/>
        <v>164.90650913450997</v>
      </c>
      <c r="J309" s="9">
        <f t="shared" si="41"/>
        <v>535.82152976477005</v>
      </c>
      <c r="K309" s="9">
        <f t="shared" si="31"/>
        <v>164.90650913450997</v>
      </c>
      <c r="L309" s="10">
        <f t="shared" si="30"/>
        <v>0.3077638728083682</v>
      </c>
      <c r="M309" s="10">
        <f t="shared" si="42"/>
        <v>0.30870222979787032</v>
      </c>
      <c r="P309" s="8">
        <f t="shared" si="43"/>
        <v>-9.1661246869387547</v>
      </c>
    </row>
    <row r="310" spans="1:16" x14ac:dyDescent="0.2">
      <c r="A310" s="8">
        <v>154</v>
      </c>
      <c r="B310" s="8">
        <v>308</v>
      </c>
      <c r="D310">
        <v>711.62800875274002</v>
      </c>
      <c r="E310">
        <v>290.70386579139</v>
      </c>
      <c r="F310">
        <v>143.62289068231999</v>
      </c>
      <c r="G310">
        <v>119.27953044754</v>
      </c>
      <c r="I310" s="9">
        <f>E310-G310</f>
        <v>171.42433534385</v>
      </c>
      <c r="J310" s="9">
        <f>D310-F310</f>
        <v>568.00511807042005</v>
      </c>
      <c r="K310" s="9">
        <f t="shared" si="31"/>
        <v>171.42433534385</v>
      </c>
      <c r="L310" s="10">
        <f t="shared" si="30"/>
        <v>0.30180068786386743</v>
      </c>
      <c r="M310" s="10">
        <f>L310+ABS($N$2)*A310</f>
        <v>0.30274210139079466</v>
      </c>
      <c r="O310" s="11"/>
      <c r="P310" s="8">
        <f>(M310-$O$2)/$O$2*100</f>
        <v>-10.91985857131214</v>
      </c>
    </row>
    <row r="311" spans="1:16" x14ac:dyDescent="0.2">
      <c r="A311" s="8">
        <v>154.5</v>
      </c>
      <c r="B311" s="8">
        <v>309</v>
      </c>
      <c r="D311">
        <v>709.84609720177002</v>
      </c>
      <c r="E311">
        <v>312.33210603829002</v>
      </c>
      <c r="F311">
        <v>143.85693323551001</v>
      </c>
      <c r="G311">
        <v>119.11151870873</v>
      </c>
      <c r="I311" s="9">
        <f t="shared" ref="I311:I319" si="44">E311-G311</f>
        <v>193.22058732956003</v>
      </c>
      <c r="J311" s="9">
        <f t="shared" ref="J311:J319" si="45">D311-F311</f>
        <v>565.98916396625998</v>
      </c>
      <c r="K311" s="9">
        <f t="shared" si="31"/>
        <v>193.22058732956003</v>
      </c>
      <c r="L311" s="10">
        <f t="shared" si="30"/>
        <v>0.34138566536421955</v>
      </c>
      <c r="M311" s="10">
        <f t="shared" ref="M311:M319" si="46">L311+ABS($N$2)*A311</f>
        <v>0.34233013542857188</v>
      </c>
      <c r="P311" s="8">
        <f t="shared" ref="P311:P319" si="47">(M311-$O$2)/$O$2*100</f>
        <v>0.72869527953370128</v>
      </c>
    </row>
    <row r="312" spans="1:16" x14ac:dyDescent="0.2">
      <c r="A312" s="8">
        <v>155</v>
      </c>
      <c r="B312" s="8">
        <v>310</v>
      </c>
      <c r="D312">
        <v>683.96097201766997</v>
      </c>
      <c r="E312">
        <v>305.60014727541</v>
      </c>
      <c r="F312">
        <v>143.91122523844999</v>
      </c>
      <c r="G312">
        <v>119.89581804842</v>
      </c>
      <c r="I312" s="9">
        <f t="shared" si="44"/>
        <v>185.70432922699001</v>
      </c>
      <c r="J312" s="9">
        <f t="shared" si="45"/>
        <v>540.04974677921996</v>
      </c>
      <c r="K312" s="9">
        <f t="shared" si="31"/>
        <v>185.70432922699001</v>
      </c>
      <c r="L312" s="10">
        <f t="shared" si="30"/>
        <v>0.34386522785077539</v>
      </c>
      <c r="M312" s="10">
        <f t="shared" si="46"/>
        <v>0.34481275445255277</v>
      </c>
      <c r="N312" s="1"/>
      <c r="P312" s="8">
        <f t="shared" si="47"/>
        <v>1.4591918069535688</v>
      </c>
    </row>
    <row r="313" spans="1:16" x14ac:dyDescent="0.2">
      <c r="A313" s="8">
        <v>155.5</v>
      </c>
      <c r="B313" s="8">
        <v>311</v>
      </c>
      <c r="D313">
        <v>715.40497076022996</v>
      </c>
      <c r="E313">
        <v>312.46929824560999</v>
      </c>
      <c r="F313">
        <v>144.26265590609</v>
      </c>
      <c r="G313">
        <v>119.32942039619</v>
      </c>
      <c r="I313" s="9">
        <f t="shared" si="44"/>
        <v>193.13987784941997</v>
      </c>
      <c r="J313" s="9">
        <f t="shared" si="45"/>
        <v>571.14231485413995</v>
      </c>
      <c r="K313" s="9">
        <f t="shared" si="31"/>
        <v>193.13987784941997</v>
      </c>
      <c r="L313" s="10">
        <f t="shared" si="30"/>
        <v>0.33816418925070296</v>
      </c>
      <c r="M313" s="10">
        <f t="shared" si="46"/>
        <v>0.33911477238990545</v>
      </c>
      <c r="P313" s="8">
        <f t="shared" si="47"/>
        <v>-0.21740700658093928</v>
      </c>
    </row>
    <row r="314" spans="1:16" x14ac:dyDescent="0.2">
      <c r="A314" s="8">
        <v>156</v>
      </c>
      <c r="B314" s="8">
        <v>312</v>
      </c>
      <c r="D314">
        <v>713.34773060028999</v>
      </c>
      <c r="E314">
        <v>322.91654465593001</v>
      </c>
      <c r="F314">
        <v>144.18341892883001</v>
      </c>
      <c r="G314">
        <v>119.24798239178</v>
      </c>
      <c r="I314" s="9">
        <f t="shared" si="44"/>
        <v>203.66856226415001</v>
      </c>
      <c r="J314" s="9">
        <f t="shared" si="45"/>
        <v>569.16431167145993</v>
      </c>
      <c r="K314" s="9">
        <f t="shared" si="31"/>
        <v>203.66856226415001</v>
      </c>
      <c r="L314" s="10">
        <f t="shared" si="30"/>
        <v>0.35783790038774271</v>
      </c>
      <c r="M314" s="10">
        <f t="shared" si="46"/>
        <v>0.35879154006437031</v>
      </c>
      <c r="P314" s="8">
        <f t="shared" si="47"/>
        <v>5.5723699661241186</v>
      </c>
    </row>
    <row r="315" spans="1:16" x14ac:dyDescent="0.2">
      <c r="A315" s="8">
        <v>156.5</v>
      </c>
      <c r="B315" s="8">
        <v>313</v>
      </c>
      <c r="D315">
        <v>689.20497803806995</v>
      </c>
      <c r="E315">
        <v>318.88286969252999</v>
      </c>
      <c r="F315">
        <v>143.53411592076</v>
      </c>
      <c r="G315">
        <v>119.15260454878999</v>
      </c>
      <c r="I315" s="9">
        <f t="shared" si="44"/>
        <v>199.73026514373998</v>
      </c>
      <c r="J315" s="9">
        <f t="shared" si="45"/>
        <v>545.67086211730998</v>
      </c>
      <c r="K315" s="9">
        <f t="shared" si="31"/>
        <v>199.73026514373998</v>
      </c>
      <c r="L315" s="10">
        <f t="shared" si="30"/>
        <v>0.36602699357768048</v>
      </c>
      <c r="M315" s="10">
        <f t="shared" si="46"/>
        <v>0.36698368979173318</v>
      </c>
      <c r="P315" s="8">
        <f t="shared" si="47"/>
        <v>7.9828634289294902</v>
      </c>
    </row>
    <row r="316" spans="1:16" x14ac:dyDescent="0.2">
      <c r="A316" s="8">
        <v>157</v>
      </c>
      <c r="B316" s="8">
        <v>314</v>
      </c>
      <c r="D316">
        <v>706.60351133869995</v>
      </c>
      <c r="E316">
        <v>323.50256035113</v>
      </c>
      <c r="F316">
        <v>144.19295671313</v>
      </c>
      <c r="G316">
        <v>119.58694057227</v>
      </c>
      <c r="I316" s="9">
        <f t="shared" si="44"/>
        <v>203.91561977885999</v>
      </c>
      <c r="J316" s="9">
        <f t="shared" si="45"/>
        <v>562.41055462556994</v>
      </c>
      <c r="K316" s="9">
        <f t="shared" si="31"/>
        <v>203.91561977885999</v>
      </c>
      <c r="L316" s="10">
        <f t="shared" si="30"/>
        <v>0.36257431177588534</v>
      </c>
      <c r="M316" s="10">
        <f t="shared" si="46"/>
        <v>0.36353406452736309</v>
      </c>
      <c r="P316" s="8">
        <f t="shared" si="47"/>
        <v>6.9678308153142687</v>
      </c>
    </row>
    <row r="317" spans="1:16" x14ac:dyDescent="0.2">
      <c r="A317" s="8">
        <v>157.5</v>
      </c>
      <c r="B317" s="8">
        <v>315</v>
      </c>
      <c r="D317">
        <v>718.38981818182003</v>
      </c>
      <c r="E317">
        <v>320.00945454546002</v>
      </c>
      <c r="F317">
        <v>143.66104181951999</v>
      </c>
      <c r="G317">
        <v>119.44314013205999</v>
      </c>
      <c r="I317" s="9">
        <f t="shared" si="44"/>
        <v>200.56631441340002</v>
      </c>
      <c r="J317" s="9">
        <f t="shared" si="45"/>
        <v>574.7287763623001</v>
      </c>
      <c r="K317" s="9">
        <f t="shared" si="31"/>
        <v>200.56631441340002</v>
      </c>
      <c r="L317" s="10">
        <f t="shared" si="30"/>
        <v>0.34897559103072667</v>
      </c>
      <c r="M317" s="10">
        <f t="shared" si="46"/>
        <v>0.34993840031962953</v>
      </c>
      <c r="P317" s="8">
        <f t="shared" si="47"/>
        <v>2.9673839502166999</v>
      </c>
    </row>
    <row r="318" spans="1:16" x14ac:dyDescent="0.2">
      <c r="A318" s="8">
        <v>158</v>
      </c>
      <c r="B318" s="8">
        <v>316</v>
      </c>
      <c r="D318">
        <v>716.69513991164001</v>
      </c>
      <c r="E318">
        <v>336.07363770249998</v>
      </c>
      <c r="F318">
        <v>144.30741012473001</v>
      </c>
      <c r="G318">
        <v>119.19442406456</v>
      </c>
      <c r="I318" s="9">
        <f t="shared" si="44"/>
        <v>216.87921363793998</v>
      </c>
      <c r="J318" s="9">
        <f t="shared" si="45"/>
        <v>572.38772978690997</v>
      </c>
      <c r="K318" s="9">
        <f t="shared" si="31"/>
        <v>216.87921363793998</v>
      </c>
      <c r="L318" s="10">
        <f t="shared" si="30"/>
        <v>0.37890262553091481</v>
      </c>
      <c r="M318" s="10">
        <f t="shared" si="46"/>
        <v>0.37986849135724277</v>
      </c>
      <c r="P318" s="8">
        <f t="shared" si="47"/>
        <v>11.77414300472447</v>
      </c>
    </row>
    <row r="319" spans="1:16" x14ac:dyDescent="0.2">
      <c r="A319" s="8">
        <v>158.5</v>
      </c>
      <c r="B319" s="8">
        <v>317</v>
      </c>
      <c r="D319">
        <v>725.81001472753996</v>
      </c>
      <c r="E319">
        <v>343.16494845361001</v>
      </c>
      <c r="F319">
        <v>144.38297872339999</v>
      </c>
      <c r="G319">
        <v>119.37490829054001</v>
      </c>
      <c r="I319" s="9">
        <f t="shared" si="44"/>
        <v>223.79004016306999</v>
      </c>
      <c r="J319" s="9">
        <f t="shared" si="45"/>
        <v>581.42703600413995</v>
      </c>
      <c r="K319" s="9">
        <f t="shared" si="31"/>
        <v>223.79004016306999</v>
      </c>
      <c r="L319" s="10">
        <f t="shared" si="30"/>
        <v>0.38489789140365416</v>
      </c>
      <c r="M319" s="10">
        <f t="shared" si="46"/>
        <v>0.38586681376740717</v>
      </c>
      <c r="P319" s="8">
        <f t="shared" si="47"/>
        <v>13.539115257270776</v>
      </c>
    </row>
    <row r="320" spans="1:16" x14ac:dyDescent="0.2">
      <c r="A320" s="8">
        <v>159</v>
      </c>
      <c r="B320" s="8">
        <v>318</v>
      </c>
      <c r="D320">
        <v>719.79086892488999</v>
      </c>
      <c r="E320">
        <v>343.19145802651002</v>
      </c>
      <c r="F320">
        <v>143.95671313279999</v>
      </c>
      <c r="G320">
        <v>119.44387380777999</v>
      </c>
      <c r="I320" s="9">
        <f>E320-G320</f>
        <v>223.74758421873003</v>
      </c>
      <c r="J320" s="9">
        <f>D320-F320</f>
        <v>575.83415579208997</v>
      </c>
      <c r="K320" s="9">
        <f t="shared" si="31"/>
        <v>223.74758421873003</v>
      </c>
      <c r="L320" s="10">
        <f t="shared" si="30"/>
        <v>0.38856254351733188</v>
      </c>
      <c r="M320" s="10">
        <f>L320+ABS($N$2)*A320</f>
        <v>0.38953452241851</v>
      </c>
      <c r="O320" s="11"/>
      <c r="P320" s="8">
        <f>(M320-$O$2)/$O$2*100</f>
        <v>14.618317667039726</v>
      </c>
    </row>
    <row r="321" spans="1:16" x14ac:dyDescent="0.2">
      <c r="A321" s="8">
        <v>159.5</v>
      </c>
      <c r="B321" s="8">
        <v>319</v>
      </c>
      <c r="D321">
        <v>729.32253313697004</v>
      </c>
      <c r="E321">
        <v>341.83946980854</v>
      </c>
      <c r="F321">
        <v>143.74174614820001</v>
      </c>
      <c r="G321">
        <v>119.62582538517999</v>
      </c>
      <c r="I321" s="9">
        <f t="shared" ref="I321:I322" si="48">E321-G321</f>
        <v>222.21364442335999</v>
      </c>
      <c r="J321" s="9">
        <f t="shared" ref="J321:J322" si="49">D321-F321</f>
        <v>585.58078698877</v>
      </c>
      <c r="K321" s="9">
        <f t="shared" si="31"/>
        <v>222.21364442335999</v>
      </c>
      <c r="L321" s="10">
        <f t="shared" si="30"/>
        <v>0.37947564086938101</v>
      </c>
      <c r="M321" s="10">
        <f t="shared" ref="M321:M322" si="50">L321+ABS($N$2)*A321</f>
        <v>0.38045067630798424</v>
      </c>
      <c r="P321" s="8">
        <f t="shared" ref="P321:P322" si="51">(M321-$O$2)/$O$2*100</f>
        <v>11.945447615188144</v>
      </c>
    </row>
    <row r="322" spans="1:16" x14ac:dyDescent="0.2">
      <c r="A322" s="8">
        <v>160</v>
      </c>
      <c r="D322">
        <v>729.03608247423006</v>
      </c>
      <c r="E322">
        <v>338.69440353460999</v>
      </c>
      <c r="F322">
        <v>143.88187820983001</v>
      </c>
      <c r="G322">
        <v>119.28833455613</v>
      </c>
      <c r="I322" s="9">
        <f t="shared" si="48"/>
        <v>219.40606897847999</v>
      </c>
      <c r="J322" s="9">
        <f t="shared" si="49"/>
        <v>585.15420426440005</v>
      </c>
      <c r="K322" s="9">
        <f t="shared" si="31"/>
        <v>219.40606897847999</v>
      </c>
      <c r="L322" s="10">
        <f t="shared" ref="L322" si="52">K322/J322</f>
        <v>0.37495427253111224</v>
      </c>
      <c r="M322" s="10">
        <f t="shared" si="50"/>
        <v>0.37593236450714052</v>
      </c>
      <c r="P322" s="8">
        <f t="shared" si="51"/>
        <v>10.615960066581511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C473-7ADE-354E-A5D0-B62511CF74B0}">
  <dimension ref="A1:Y798"/>
  <sheetViews>
    <sheetView tabSelected="1" topLeftCell="E1" zoomScale="75" zoomScaleNormal="70" workbookViewId="0">
      <selection activeCell="P2" sqref="P2:P322"/>
    </sheetView>
  </sheetViews>
  <sheetFormatPr baseColWidth="10" defaultColWidth="13.5" defaultRowHeight="15" x14ac:dyDescent="0.2"/>
  <cols>
    <col min="1" max="2" width="13.5" style="8"/>
    <col min="3" max="3" width="15.83203125" style="8" customWidth="1"/>
    <col min="4" max="4" width="36.6640625" customWidth="1"/>
    <col min="5" max="6" width="36.5" customWidth="1"/>
    <col min="7" max="7" width="36" customWidth="1"/>
    <col min="8" max="8" width="5.33203125" style="8" customWidth="1"/>
    <col min="9" max="10" width="10" style="8" customWidth="1"/>
    <col min="11" max="11" width="15.83203125" style="8" customWidth="1"/>
    <col min="12" max="12" width="20.6640625" style="8" customWidth="1"/>
    <col min="13" max="13" width="14.6640625" style="8" customWidth="1"/>
    <col min="14" max="14" width="13.5" style="8"/>
    <col min="15" max="15" width="11" style="8" customWidth="1"/>
    <col min="16" max="16" width="11.1640625" style="8" customWidth="1"/>
    <col min="17" max="16384" width="13.5" style="8"/>
  </cols>
  <sheetData>
    <row r="1" spans="1:16" s="1" customFormat="1" ht="55.5" customHeight="1" x14ac:dyDescent="0.2">
      <c r="A1" s="1" t="s">
        <v>0</v>
      </c>
      <c r="B1" s="1" t="s">
        <v>1</v>
      </c>
      <c r="C1" s="1" t="s">
        <v>2</v>
      </c>
      <c r="D1" s="2" t="s">
        <v>10</v>
      </c>
      <c r="E1" s="2" t="s">
        <v>11</v>
      </c>
      <c r="F1" s="2" t="s">
        <v>12</v>
      </c>
      <c r="G1" s="2" t="s">
        <v>13</v>
      </c>
      <c r="I1" s="1" t="s">
        <v>14</v>
      </c>
      <c r="J1" s="1" t="s">
        <v>15</v>
      </c>
      <c r="K1" s="1" t="s">
        <v>18</v>
      </c>
      <c r="L1" s="1" t="s">
        <v>16</v>
      </c>
      <c r="M1" s="3" t="s">
        <v>17</v>
      </c>
      <c r="N1" s="3" t="s">
        <v>3</v>
      </c>
      <c r="O1" s="1" t="s">
        <v>4</v>
      </c>
      <c r="P1" s="1" t="s">
        <v>5</v>
      </c>
    </row>
    <row r="2" spans="1:16" x14ac:dyDescent="0.2">
      <c r="A2" s="8">
        <v>0</v>
      </c>
      <c r="B2" s="4">
        <v>0</v>
      </c>
      <c r="C2" s="4" t="s">
        <v>6</v>
      </c>
      <c r="D2">
        <v>1987.3534230544001</v>
      </c>
      <c r="E2">
        <v>482.38794616734998</v>
      </c>
      <c r="F2">
        <v>141.15690866511</v>
      </c>
      <c r="G2">
        <v>118.51288056206</v>
      </c>
      <c r="H2" s="4"/>
      <c r="I2" s="5">
        <f>E2-G2</f>
        <v>363.87506560528999</v>
      </c>
      <c r="J2" s="5">
        <f>D2-F2</f>
        <v>1846.1965143892901</v>
      </c>
      <c r="K2" s="9">
        <f>I2*1</f>
        <v>363.87506560528999</v>
      </c>
      <c r="L2" s="6">
        <f t="shared" ref="L2:L65" si="0">K2/J2</f>
        <v>0.19709443863057965</v>
      </c>
      <c r="M2" s="6">
        <f>L2+ABS($N$2)*A2</f>
        <v>0.19709443863057965</v>
      </c>
      <c r="N2" s="4">
        <f>LINEST(V64:V103,U64:U103)</f>
        <v>-2.8956194162143472E-4</v>
      </c>
      <c r="O2" s="7">
        <f>AVERAGE(M62:M81)</f>
        <v>0.25240610094774296</v>
      </c>
      <c r="P2" s="4">
        <f>(M2-$O$2)/$O$2*100</f>
        <v>-21.913758070616048</v>
      </c>
    </row>
    <row r="3" spans="1:16" x14ac:dyDescent="0.2">
      <c r="A3" s="8">
        <v>0.5</v>
      </c>
      <c r="B3" s="8">
        <v>1</v>
      </c>
      <c r="D3">
        <v>1869.5307197191</v>
      </c>
      <c r="E3">
        <v>444.31597425395</v>
      </c>
      <c r="F3">
        <v>141.39519906323</v>
      </c>
      <c r="G3">
        <v>118.13407494145</v>
      </c>
      <c r="I3" s="9">
        <f t="shared" ref="I3:I66" si="1">E3-G3</f>
        <v>326.18189931250004</v>
      </c>
      <c r="J3" s="9">
        <f t="shared" ref="J3:J66" si="2">D3-F3</f>
        <v>1728.1355206558701</v>
      </c>
      <c r="K3" s="9">
        <f t="shared" ref="K3:K66" si="3">I3*1</f>
        <v>326.18189931250004</v>
      </c>
      <c r="L3" s="10">
        <f t="shared" si="0"/>
        <v>0.18874787041510838</v>
      </c>
      <c r="M3" s="10">
        <f t="shared" ref="M3:M66" si="4">L3+ABS($N$2)*A3</f>
        <v>0.1888926513859191</v>
      </c>
      <c r="P3" s="8">
        <f t="shared" ref="P3:P66" si="5">(M3-$O$2)/$O$2*100</f>
        <v>-25.163199036529392</v>
      </c>
    </row>
    <row r="4" spans="1:16" ht="16" x14ac:dyDescent="0.2">
      <c r="A4" s="8">
        <v>1</v>
      </c>
      <c r="B4" s="8">
        <v>2</v>
      </c>
      <c r="D4">
        <v>1950.7413692217999</v>
      </c>
      <c r="E4">
        <v>452.62726740784001</v>
      </c>
      <c r="F4">
        <v>141.53454332553</v>
      </c>
      <c r="G4">
        <v>118.38758782201</v>
      </c>
      <c r="I4" s="9">
        <f t="shared" si="1"/>
        <v>334.23967958583</v>
      </c>
      <c r="J4" s="9">
        <f t="shared" si="2"/>
        <v>1809.2068258962699</v>
      </c>
      <c r="K4" s="9">
        <f t="shared" si="3"/>
        <v>334.23967958583</v>
      </c>
      <c r="L4" s="10">
        <f t="shared" si="0"/>
        <v>0.18474376439534476</v>
      </c>
      <c r="M4" s="10">
        <f t="shared" si="4"/>
        <v>0.1850333263369662</v>
      </c>
      <c r="N4" s="1" t="s">
        <v>7</v>
      </c>
      <c r="P4" s="8">
        <f t="shared" si="5"/>
        <v>-26.692213206338195</v>
      </c>
    </row>
    <row r="5" spans="1:16" x14ac:dyDescent="0.2">
      <c r="A5" s="8">
        <v>1.5</v>
      </c>
      <c r="B5" s="8">
        <v>3</v>
      </c>
      <c r="D5">
        <v>2424.6173200702001</v>
      </c>
      <c r="E5">
        <v>549.93504973668996</v>
      </c>
      <c r="F5">
        <v>141.51346604215999</v>
      </c>
      <c r="G5">
        <v>118.33079625293</v>
      </c>
      <c r="I5" s="9">
        <f t="shared" si="1"/>
        <v>431.60425348375998</v>
      </c>
      <c r="J5" s="9">
        <f t="shared" si="2"/>
        <v>2283.1038540280401</v>
      </c>
      <c r="K5" s="9">
        <f t="shared" si="3"/>
        <v>431.60425348375998</v>
      </c>
      <c r="L5" s="10">
        <f t="shared" si="0"/>
        <v>0.18904275980362792</v>
      </c>
      <c r="M5" s="10">
        <f t="shared" si="4"/>
        <v>0.18947710271606008</v>
      </c>
      <c r="N5" s="8">
        <f>RSQ(V64:V83,U64:U83)</f>
        <v>0.3142972236494167</v>
      </c>
      <c r="P5" s="8">
        <f t="shared" si="5"/>
        <v>-24.931647054249066</v>
      </c>
    </row>
    <row r="6" spans="1:16" x14ac:dyDescent="0.2">
      <c r="A6" s="8">
        <v>2</v>
      </c>
      <c r="B6" s="8">
        <v>4</v>
      </c>
      <c r="D6">
        <v>2704.4839087186001</v>
      </c>
      <c r="E6">
        <v>632.97893504974002</v>
      </c>
      <c r="F6">
        <v>141.61826697891999</v>
      </c>
      <c r="G6">
        <v>118.35128805621</v>
      </c>
      <c r="I6" s="9">
        <f t="shared" si="1"/>
        <v>514.62764699352999</v>
      </c>
      <c r="J6" s="9">
        <f t="shared" si="2"/>
        <v>2562.8656417396801</v>
      </c>
      <c r="K6" s="9">
        <f t="shared" si="3"/>
        <v>514.62764699352999</v>
      </c>
      <c r="L6" s="10">
        <f t="shared" si="0"/>
        <v>0.20080164898702976</v>
      </c>
      <c r="M6" s="10">
        <f t="shared" si="4"/>
        <v>0.20138077287027265</v>
      </c>
      <c r="P6" s="8">
        <f t="shared" si="5"/>
        <v>-20.215568437481775</v>
      </c>
    </row>
    <row r="7" spans="1:16" x14ac:dyDescent="0.2">
      <c r="A7" s="8">
        <v>2.5</v>
      </c>
      <c r="B7" s="8">
        <v>5</v>
      </c>
      <c r="D7">
        <v>2779.2188414277002</v>
      </c>
      <c r="E7">
        <v>655.33762434172002</v>
      </c>
      <c r="F7">
        <v>141.61475409836001</v>
      </c>
      <c r="G7">
        <v>118.35480093677</v>
      </c>
      <c r="I7" s="9">
        <f t="shared" si="1"/>
        <v>536.98282340495007</v>
      </c>
      <c r="J7" s="9">
        <f t="shared" si="2"/>
        <v>2637.60408732934</v>
      </c>
      <c r="K7" s="9">
        <f t="shared" si="3"/>
        <v>536.98282340495007</v>
      </c>
      <c r="L7" s="10">
        <f t="shared" si="0"/>
        <v>0.20358734883090915</v>
      </c>
      <c r="M7" s="10">
        <f t="shared" si="4"/>
        <v>0.20431125368496272</v>
      </c>
      <c r="P7" s="8">
        <f t="shared" si="5"/>
        <v>-19.054550219741948</v>
      </c>
    </row>
    <row r="8" spans="1:16" x14ac:dyDescent="0.2">
      <c r="A8" s="8">
        <v>3</v>
      </c>
      <c r="B8" s="8">
        <v>6</v>
      </c>
      <c r="D8">
        <v>2692.9602106494999</v>
      </c>
      <c r="E8">
        <v>637.48332358104005</v>
      </c>
      <c r="F8">
        <v>141.78629976581001</v>
      </c>
      <c r="G8">
        <v>118.36885245902</v>
      </c>
      <c r="I8" s="9">
        <f t="shared" si="1"/>
        <v>519.11447112202006</v>
      </c>
      <c r="J8" s="9">
        <f t="shared" si="2"/>
        <v>2551.17391088369</v>
      </c>
      <c r="K8" s="9">
        <f t="shared" si="3"/>
        <v>519.11447112202006</v>
      </c>
      <c r="L8" s="10">
        <f t="shared" si="0"/>
        <v>0.20348062862645308</v>
      </c>
      <c r="M8" s="10">
        <f t="shared" si="4"/>
        <v>0.20434931445131738</v>
      </c>
      <c r="P8" s="8">
        <f t="shared" si="5"/>
        <v>-19.039471041302225</v>
      </c>
    </row>
    <row r="9" spans="1:16" x14ac:dyDescent="0.2">
      <c r="A9" s="8">
        <v>3.5</v>
      </c>
      <c r="B9" s="8">
        <v>7</v>
      </c>
      <c r="D9">
        <v>2209.397893505</v>
      </c>
      <c r="E9">
        <v>562.47454651842997</v>
      </c>
      <c r="F9">
        <v>141.7775175644</v>
      </c>
      <c r="G9">
        <v>118.41100702576</v>
      </c>
      <c r="I9" s="9">
        <f t="shared" si="1"/>
        <v>444.06353949266997</v>
      </c>
      <c r="J9" s="9">
        <f t="shared" si="2"/>
        <v>2067.6203759405998</v>
      </c>
      <c r="K9" s="9">
        <f t="shared" si="3"/>
        <v>444.06353949266997</v>
      </c>
      <c r="L9" s="10">
        <f t="shared" si="0"/>
        <v>0.21477034404376916</v>
      </c>
      <c r="M9" s="10">
        <f t="shared" si="4"/>
        <v>0.21578381083944417</v>
      </c>
      <c r="P9" s="8">
        <f t="shared" si="5"/>
        <v>-14.509272941814075</v>
      </c>
    </row>
    <row r="10" spans="1:16" x14ac:dyDescent="0.2">
      <c r="A10" s="8">
        <v>4</v>
      </c>
      <c r="B10" s="8">
        <v>8</v>
      </c>
      <c r="D10">
        <v>2203.8069046226001</v>
      </c>
      <c r="E10">
        <v>562.79227618489995</v>
      </c>
      <c r="F10">
        <v>142.1393442623</v>
      </c>
      <c r="G10">
        <v>118.28864168618</v>
      </c>
      <c r="I10" s="9">
        <f t="shared" si="1"/>
        <v>444.50363449871998</v>
      </c>
      <c r="J10" s="9">
        <f t="shared" si="2"/>
        <v>2061.6675603603003</v>
      </c>
      <c r="K10" s="9">
        <f t="shared" si="3"/>
        <v>444.50363449871998</v>
      </c>
      <c r="L10" s="10">
        <f t="shared" si="0"/>
        <v>0.21560393297406194</v>
      </c>
      <c r="M10" s="10">
        <f t="shared" si="4"/>
        <v>0.21676218074054768</v>
      </c>
      <c r="P10" s="8">
        <f t="shared" si="5"/>
        <v>-14.121655567499472</v>
      </c>
    </row>
    <row r="11" spans="1:16" x14ac:dyDescent="0.2">
      <c r="A11" s="8">
        <v>4.5</v>
      </c>
      <c r="B11" s="8">
        <v>9</v>
      </c>
      <c r="D11">
        <v>2006.9163253365</v>
      </c>
      <c r="E11">
        <v>521.35108250438998</v>
      </c>
      <c r="F11">
        <v>142.51170960187</v>
      </c>
      <c r="G11">
        <v>118.35480093677</v>
      </c>
      <c r="I11" s="9">
        <f t="shared" si="1"/>
        <v>402.99628156761997</v>
      </c>
      <c r="J11" s="9">
        <f t="shared" si="2"/>
        <v>1864.4046157346299</v>
      </c>
      <c r="K11" s="9">
        <f t="shared" si="3"/>
        <v>402.99628156761997</v>
      </c>
      <c r="L11" s="10">
        <f t="shared" si="0"/>
        <v>0.21615280190069025</v>
      </c>
      <c r="M11" s="10">
        <f t="shared" si="4"/>
        <v>0.21745583063798671</v>
      </c>
      <c r="P11" s="8">
        <f t="shared" si="5"/>
        <v>-13.84684053932286</v>
      </c>
    </row>
    <row r="12" spans="1:16" x14ac:dyDescent="0.2">
      <c r="A12" s="8">
        <v>5</v>
      </c>
      <c r="B12" s="8">
        <v>10</v>
      </c>
      <c r="D12">
        <v>2044.1907548274</v>
      </c>
      <c r="E12">
        <v>508.91866588648003</v>
      </c>
      <c r="F12">
        <v>142.01580796253</v>
      </c>
      <c r="G12">
        <v>118.66042154567</v>
      </c>
      <c r="I12" s="9">
        <f t="shared" si="1"/>
        <v>390.25824434081005</v>
      </c>
      <c r="J12" s="9">
        <f t="shared" si="2"/>
        <v>1902.17494686487</v>
      </c>
      <c r="K12" s="9">
        <f t="shared" si="3"/>
        <v>390.25824434081005</v>
      </c>
      <c r="L12" s="10">
        <f t="shared" si="0"/>
        <v>0.20516422266207773</v>
      </c>
      <c r="M12" s="10">
        <f t="shared" si="4"/>
        <v>0.20661203237018491</v>
      </c>
      <c r="P12" s="8">
        <f t="shared" si="5"/>
        <v>-18.143011759861956</v>
      </c>
    </row>
    <row r="13" spans="1:16" x14ac:dyDescent="0.2">
      <c r="A13" s="8">
        <v>5.5</v>
      </c>
      <c r="B13" s="8">
        <v>11</v>
      </c>
      <c r="D13">
        <v>2148.3808685446002</v>
      </c>
      <c r="E13">
        <v>532.71126760563004</v>
      </c>
      <c r="F13">
        <v>142.34367681499</v>
      </c>
      <c r="G13">
        <v>118.72716627635</v>
      </c>
      <c r="I13" s="9">
        <f t="shared" si="1"/>
        <v>413.98410132928007</v>
      </c>
      <c r="J13" s="9">
        <f t="shared" si="2"/>
        <v>2006.0371917296102</v>
      </c>
      <c r="K13" s="9">
        <f t="shared" si="3"/>
        <v>413.98410132928007</v>
      </c>
      <c r="L13" s="10">
        <f t="shared" si="0"/>
        <v>0.20636910573544351</v>
      </c>
      <c r="M13" s="10">
        <f t="shared" si="4"/>
        <v>0.20796169641436141</v>
      </c>
      <c r="P13" s="8">
        <f t="shared" si="5"/>
        <v>-17.608292496298702</v>
      </c>
    </row>
    <row r="14" spans="1:16" x14ac:dyDescent="0.2">
      <c r="A14" s="8">
        <v>6</v>
      </c>
      <c r="B14" s="8">
        <v>12</v>
      </c>
      <c r="D14">
        <v>1910.1815545244001</v>
      </c>
      <c r="E14">
        <v>477.55162412993002</v>
      </c>
      <c r="F14">
        <v>141.86768149883</v>
      </c>
      <c r="G14">
        <v>118.70257611241</v>
      </c>
      <c r="I14" s="9">
        <f t="shared" si="1"/>
        <v>358.84904801752003</v>
      </c>
      <c r="J14" s="9">
        <f t="shared" si="2"/>
        <v>1768.31387302557</v>
      </c>
      <c r="K14" s="9">
        <f t="shared" si="3"/>
        <v>358.84904801752003</v>
      </c>
      <c r="L14" s="10">
        <f t="shared" si="0"/>
        <v>0.20293289188730526</v>
      </c>
      <c r="M14" s="10">
        <f t="shared" si="4"/>
        <v>0.20467026353703388</v>
      </c>
      <c r="P14" s="8">
        <f t="shared" si="5"/>
        <v>-18.912315206117817</v>
      </c>
    </row>
    <row r="15" spans="1:16" x14ac:dyDescent="0.2">
      <c r="A15" s="8">
        <v>6.5</v>
      </c>
      <c r="B15" s="8">
        <v>13</v>
      </c>
      <c r="D15">
        <v>1922.7296983758999</v>
      </c>
      <c r="E15">
        <v>474.17459396752002</v>
      </c>
      <c r="F15">
        <v>142.36358313816999</v>
      </c>
      <c r="G15">
        <v>118.40925058548</v>
      </c>
      <c r="I15" s="9">
        <f t="shared" si="1"/>
        <v>355.76534338204004</v>
      </c>
      <c r="J15" s="9">
        <f t="shared" si="2"/>
        <v>1780.3661152377299</v>
      </c>
      <c r="K15" s="9">
        <f t="shared" si="3"/>
        <v>355.76534338204004</v>
      </c>
      <c r="L15" s="10">
        <f t="shared" si="0"/>
        <v>0.19982706946460568</v>
      </c>
      <c r="M15" s="10">
        <f t="shared" si="4"/>
        <v>0.201709222085145</v>
      </c>
      <c r="P15" s="8">
        <f t="shared" si="5"/>
        <v>-20.08544114910044</v>
      </c>
    </row>
    <row r="16" spans="1:16" x14ac:dyDescent="0.2">
      <c r="A16" s="8">
        <v>7</v>
      </c>
      <c r="B16" s="8">
        <v>14</v>
      </c>
      <c r="D16">
        <v>1853.6670533643</v>
      </c>
      <c r="E16">
        <v>463.80336426913999</v>
      </c>
      <c r="F16">
        <v>142.10538641686</v>
      </c>
      <c r="G16">
        <v>118.65222482436</v>
      </c>
      <c r="I16" s="9">
        <f t="shared" si="1"/>
        <v>345.15113944477997</v>
      </c>
      <c r="J16" s="9">
        <f t="shared" si="2"/>
        <v>1711.56166694744</v>
      </c>
      <c r="K16" s="9">
        <f t="shared" si="3"/>
        <v>345.15113944477997</v>
      </c>
      <c r="L16" s="10">
        <f t="shared" si="0"/>
        <v>0.20165860576928843</v>
      </c>
      <c r="M16" s="10">
        <f t="shared" si="4"/>
        <v>0.20368553936063846</v>
      </c>
      <c r="P16" s="8">
        <f t="shared" si="5"/>
        <v>-19.30245006129681</v>
      </c>
    </row>
    <row r="17" spans="1:16" x14ac:dyDescent="0.2">
      <c r="A17" s="8">
        <v>7.5</v>
      </c>
      <c r="B17" s="8">
        <v>15</v>
      </c>
      <c r="D17">
        <v>1938.4460556844999</v>
      </c>
      <c r="E17">
        <v>472.05336426913999</v>
      </c>
      <c r="F17">
        <v>143.05503512881</v>
      </c>
      <c r="G17">
        <v>118.7593676815</v>
      </c>
      <c r="I17" s="9">
        <f t="shared" si="1"/>
        <v>353.29399658763998</v>
      </c>
      <c r="J17" s="9">
        <f t="shared" si="2"/>
        <v>1795.3910205556899</v>
      </c>
      <c r="K17" s="9">
        <f t="shared" si="3"/>
        <v>353.29399658763998</v>
      </c>
      <c r="L17" s="10">
        <f t="shared" si="0"/>
        <v>0.19677830207610833</v>
      </c>
      <c r="M17" s="10">
        <f t="shared" si="4"/>
        <v>0.19895001663826908</v>
      </c>
      <c r="P17" s="8">
        <f t="shared" si="5"/>
        <v>-21.178602303492333</v>
      </c>
    </row>
    <row r="18" spans="1:16" x14ac:dyDescent="0.2">
      <c r="A18" s="8">
        <v>8</v>
      </c>
      <c r="B18" s="8">
        <v>16</v>
      </c>
      <c r="D18">
        <v>1963.8109684947999</v>
      </c>
      <c r="E18">
        <v>505.13535589265001</v>
      </c>
      <c r="F18">
        <v>142.97072599532001</v>
      </c>
      <c r="G18">
        <v>118.42330210773</v>
      </c>
      <c r="I18" s="9">
        <f t="shared" si="1"/>
        <v>386.71205378492004</v>
      </c>
      <c r="J18" s="9">
        <f t="shared" si="2"/>
        <v>1820.8402424994799</v>
      </c>
      <c r="K18" s="9">
        <f t="shared" si="3"/>
        <v>386.71205378492004</v>
      </c>
      <c r="L18" s="10">
        <f t="shared" si="0"/>
        <v>0.2123811000871102</v>
      </c>
      <c r="M18" s="10">
        <f t="shared" si="4"/>
        <v>0.21469759562008167</v>
      </c>
      <c r="P18" s="8">
        <f t="shared" si="5"/>
        <v>-14.93961722243326</v>
      </c>
    </row>
    <row r="19" spans="1:16" x14ac:dyDescent="0.2">
      <c r="A19" s="8">
        <v>8.5</v>
      </c>
      <c r="B19" s="8">
        <v>17</v>
      </c>
      <c r="D19">
        <v>2013.4528521537</v>
      </c>
      <c r="E19">
        <v>509.96915017461998</v>
      </c>
      <c r="F19">
        <v>143.13758782201</v>
      </c>
      <c r="G19">
        <v>118.6850117096</v>
      </c>
      <c r="I19" s="9">
        <f t="shared" si="1"/>
        <v>391.28413846501996</v>
      </c>
      <c r="J19" s="9">
        <f t="shared" si="2"/>
        <v>1870.3152643316898</v>
      </c>
      <c r="K19" s="9">
        <f t="shared" si="3"/>
        <v>391.28413846501996</v>
      </c>
      <c r="L19" s="10">
        <f t="shared" si="0"/>
        <v>0.209207584372058</v>
      </c>
      <c r="M19" s="10">
        <f t="shared" si="4"/>
        <v>0.21166886087584019</v>
      </c>
      <c r="P19" s="8">
        <f t="shared" si="5"/>
        <v>-16.13956236356459</v>
      </c>
    </row>
    <row r="20" spans="1:16" x14ac:dyDescent="0.2">
      <c r="A20" s="8">
        <v>9</v>
      </c>
      <c r="B20" s="8">
        <v>18</v>
      </c>
      <c r="D20">
        <v>1945.2235157160001</v>
      </c>
      <c r="E20">
        <v>482.06693830034999</v>
      </c>
      <c r="F20">
        <v>142.62353629977</v>
      </c>
      <c r="G20">
        <v>118.53922716628</v>
      </c>
      <c r="I20" s="9">
        <f t="shared" si="1"/>
        <v>363.52771113406999</v>
      </c>
      <c r="J20" s="9">
        <f t="shared" si="2"/>
        <v>1802.5999794162301</v>
      </c>
      <c r="K20" s="9">
        <f t="shared" si="3"/>
        <v>363.52771113406999</v>
      </c>
      <c r="L20" s="10">
        <f t="shared" si="0"/>
        <v>0.20166854281880001</v>
      </c>
      <c r="M20" s="10">
        <f t="shared" si="4"/>
        <v>0.20427460029339292</v>
      </c>
      <c r="P20" s="8">
        <f t="shared" si="5"/>
        <v>-19.069071814676526</v>
      </c>
    </row>
    <row r="21" spans="1:16" x14ac:dyDescent="0.2">
      <c r="A21" s="8">
        <v>9.5</v>
      </c>
      <c r="B21" s="8">
        <v>19</v>
      </c>
      <c r="D21">
        <v>2006.2811408615</v>
      </c>
      <c r="E21">
        <v>494.24330616997003</v>
      </c>
      <c r="F21">
        <v>142.92096018735</v>
      </c>
      <c r="G21">
        <v>118.88114754098</v>
      </c>
      <c r="I21" s="9">
        <f t="shared" si="1"/>
        <v>375.36215862899002</v>
      </c>
      <c r="J21" s="9">
        <f t="shared" si="2"/>
        <v>1863.3601806741501</v>
      </c>
      <c r="K21" s="9">
        <f t="shared" si="3"/>
        <v>375.36215862899002</v>
      </c>
      <c r="L21" s="10">
        <f t="shared" si="0"/>
        <v>0.20144369431206088</v>
      </c>
      <c r="M21" s="10">
        <f t="shared" si="4"/>
        <v>0.20419453275746452</v>
      </c>
      <c r="P21" s="8">
        <f t="shared" si="5"/>
        <v>-19.100793526484509</v>
      </c>
    </row>
    <row r="22" spans="1:16" x14ac:dyDescent="0.2">
      <c r="A22" s="8">
        <v>10</v>
      </c>
      <c r="B22" s="8">
        <v>20</v>
      </c>
      <c r="D22">
        <v>2036.0966239813999</v>
      </c>
      <c r="E22">
        <v>500.01804423749002</v>
      </c>
      <c r="F22">
        <v>142.86358313816999</v>
      </c>
      <c r="G22">
        <v>118.71721311475</v>
      </c>
      <c r="I22" s="9">
        <f t="shared" si="1"/>
        <v>381.30083112274002</v>
      </c>
      <c r="J22" s="9">
        <f t="shared" si="2"/>
        <v>1893.2330408432299</v>
      </c>
      <c r="K22" s="9">
        <f t="shared" si="3"/>
        <v>381.30083112274002</v>
      </c>
      <c r="L22" s="10">
        <f t="shared" si="0"/>
        <v>0.20140195258419527</v>
      </c>
      <c r="M22" s="10">
        <f t="shared" si="4"/>
        <v>0.20429757200040963</v>
      </c>
      <c r="P22" s="8">
        <f t="shared" si="5"/>
        <v>-19.059970724437246</v>
      </c>
    </row>
    <row r="23" spans="1:16" x14ac:dyDescent="0.2">
      <c r="A23" s="8">
        <v>10.5</v>
      </c>
      <c r="B23" s="8">
        <v>21</v>
      </c>
      <c r="D23">
        <v>1947.2315357561999</v>
      </c>
      <c r="E23">
        <v>476.77022274325998</v>
      </c>
      <c r="F23">
        <v>143.14988290398</v>
      </c>
      <c r="G23">
        <v>119.1112412178</v>
      </c>
      <c r="I23" s="9">
        <f t="shared" si="1"/>
        <v>357.65898152545998</v>
      </c>
      <c r="J23" s="9">
        <f t="shared" si="2"/>
        <v>1804.08165285222</v>
      </c>
      <c r="K23" s="9">
        <f t="shared" si="3"/>
        <v>357.65898152545998</v>
      </c>
      <c r="L23" s="10">
        <f t="shared" si="0"/>
        <v>0.19824988572995444</v>
      </c>
      <c r="M23" s="10">
        <f t="shared" si="4"/>
        <v>0.20129028611697952</v>
      </c>
      <c r="P23" s="8">
        <f t="shared" si="5"/>
        <v>-20.251418107102818</v>
      </c>
    </row>
    <row r="24" spans="1:16" x14ac:dyDescent="0.2">
      <c r="A24" s="8">
        <v>11</v>
      </c>
      <c r="B24" s="8">
        <v>22</v>
      </c>
      <c r="D24">
        <v>1865.0527549824001</v>
      </c>
      <c r="E24">
        <v>475.13657678780999</v>
      </c>
      <c r="F24">
        <v>143.22540983607001</v>
      </c>
      <c r="G24">
        <v>118.84718969555</v>
      </c>
      <c r="I24" s="9">
        <f t="shared" si="1"/>
        <v>356.28938709225997</v>
      </c>
      <c r="J24" s="9">
        <f t="shared" si="2"/>
        <v>1721.8273451463301</v>
      </c>
      <c r="K24" s="9">
        <f t="shared" si="3"/>
        <v>356.28938709225997</v>
      </c>
      <c r="L24" s="10">
        <f t="shared" si="0"/>
        <v>0.20692515314999865</v>
      </c>
      <c r="M24" s="10">
        <f t="shared" si="4"/>
        <v>0.21011033450783442</v>
      </c>
      <c r="P24" s="8">
        <f t="shared" si="5"/>
        <v>-16.757030151448387</v>
      </c>
    </row>
    <row r="25" spans="1:16" x14ac:dyDescent="0.2">
      <c r="A25" s="8">
        <v>11.5</v>
      </c>
      <c r="B25" s="8">
        <v>23</v>
      </c>
      <c r="D25">
        <v>1820.4982415006</v>
      </c>
      <c r="E25">
        <v>471.79953106682001</v>
      </c>
      <c r="F25">
        <v>143.65632318501</v>
      </c>
      <c r="G25">
        <v>118.89051522248</v>
      </c>
      <c r="I25" s="9">
        <f t="shared" si="1"/>
        <v>352.90901584433999</v>
      </c>
      <c r="J25" s="9">
        <f t="shared" si="2"/>
        <v>1676.84191831559</v>
      </c>
      <c r="K25" s="9">
        <f t="shared" si="3"/>
        <v>352.90901584433999</v>
      </c>
      <c r="L25" s="10">
        <f t="shared" si="0"/>
        <v>0.21046051627743287</v>
      </c>
      <c r="M25" s="10">
        <f t="shared" si="4"/>
        <v>0.21379047860607936</v>
      </c>
      <c r="P25" s="8">
        <f t="shared" si="5"/>
        <v>-15.299005133658955</v>
      </c>
    </row>
    <row r="26" spans="1:16" x14ac:dyDescent="0.2">
      <c r="A26" s="8">
        <v>12</v>
      </c>
      <c r="B26" s="8">
        <v>24</v>
      </c>
      <c r="D26">
        <v>1799.3654407472</v>
      </c>
      <c r="E26">
        <v>458.74489200234001</v>
      </c>
      <c r="F26">
        <v>143.01463700234001</v>
      </c>
      <c r="G26">
        <v>119.11533957845</v>
      </c>
      <c r="I26" s="9">
        <f t="shared" si="1"/>
        <v>339.62955242389</v>
      </c>
      <c r="J26" s="9">
        <f t="shared" si="2"/>
        <v>1656.3508037448601</v>
      </c>
      <c r="K26" s="9">
        <f t="shared" si="3"/>
        <v>339.62955242389</v>
      </c>
      <c r="L26" s="10">
        <f t="shared" si="0"/>
        <v>0.20504687271320673</v>
      </c>
      <c r="M26" s="10">
        <f t="shared" si="4"/>
        <v>0.20852161601266395</v>
      </c>
      <c r="P26" s="8">
        <f t="shared" si="5"/>
        <v>-17.386459665713335</v>
      </c>
    </row>
    <row r="27" spans="1:16" x14ac:dyDescent="0.2">
      <c r="A27" s="8">
        <v>12.5</v>
      </c>
      <c r="B27" s="8">
        <v>25</v>
      </c>
      <c r="D27">
        <v>1874.6479859895001</v>
      </c>
      <c r="E27">
        <v>465.58902510216001</v>
      </c>
      <c r="F27">
        <v>143.14812646370001</v>
      </c>
      <c r="G27">
        <v>119.31791569087</v>
      </c>
      <c r="I27" s="9">
        <f t="shared" si="1"/>
        <v>346.27110941129001</v>
      </c>
      <c r="J27" s="9">
        <f t="shared" si="2"/>
        <v>1731.4998595258</v>
      </c>
      <c r="K27" s="9">
        <f t="shared" si="3"/>
        <v>346.27110941129001</v>
      </c>
      <c r="L27" s="10">
        <f t="shared" si="0"/>
        <v>0.1999833309291299</v>
      </c>
      <c r="M27" s="10">
        <f t="shared" si="4"/>
        <v>0.20360285519939783</v>
      </c>
      <c r="P27" s="8">
        <f t="shared" si="5"/>
        <v>-19.335208445872368</v>
      </c>
    </row>
    <row r="28" spans="1:16" x14ac:dyDescent="0.2">
      <c r="A28" s="8">
        <v>13</v>
      </c>
      <c r="B28" s="8">
        <v>26</v>
      </c>
      <c r="D28">
        <v>1867.7081144192</v>
      </c>
      <c r="E28">
        <v>455.05137186222998</v>
      </c>
      <c r="F28">
        <v>142.93442622951</v>
      </c>
      <c r="G28">
        <v>118.76932084309</v>
      </c>
      <c r="I28" s="9">
        <f t="shared" si="1"/>
        <v>336.28205101914</v>
      </c>
      <c r="J28" s="9">
        <f t="shared" si="2"/>
        <v>1724.7736881896899</v>
      </c>
      <c r="K28" s="9">
        <f t="shared" si="3"/>
        <v>336.28205101914</v>
      </c>
      <c r="L28" s="10">
        <f t="shared" si="0"/>
        <v>0.19497169589367938</v>
      </c>
      <c r="M28" s="10">
        <f t="shared" si="4"/>
        <v>0.19873600113475803</v>
      </c>
      <c r="P28" s="8">
        <f t="shared" si="5"/>
        <v>-21.26339245028651</v>
      </c>
    </row>
    <row r="29" spans="1:16" x14ac:dyDescent="0.2">
      <c r="A29" s="8">
        <v>13.5</v>
      </c>
      <c r="B29" s="8">
        <v>27</v>
      </c>
      <c r="D29">
        <v>2122.4985490424001</v>
      </c>
      <c r="E29">
        <v>503.11085316308998</v>
      </c>
      <c r="F29">
        <v>142.84309133490001</v>
      </c>
      <c r="G29">
        <v>118.99882903981</v>
      </c>
      <c r="I29" s="9">
        <f t="shared" si="1"/>
        <v>384.11202412327998</v>
      </c>
      <c r="J29" s="9">
        <f t="shared" si="2"/>
        <v>1979.6554577075001</v>
      </c>
      <c r="K29" s="9">
        <f t="shared" si="3"/>
        <v>384.11202412327998</v>
      </c>
      <c r="L29" s="10">
        <f t="shared" si="0"/>
        <v>0.19402973513789776</v>
      </c>
      <c r="M29" s="10">
        <f t="shared" si="4"/>
        <v>0.19793882134978713</v>
      </c>
      <c r="P29" s="8">
        <f t="shared" si="5"/>
        <v>-21.579224667486343</v>
      </c>
    </row>
    <row r="30" spans="1:16" x14ac:dyDescent="0.2">
      <c r="A30" s="8">
        <v>14</v>
      </c>
      <c r="B30" s="8">
        <v>28</v>
      </c>
      <c r="D30">
        <v>2229.5774811376</v>
      </c>
      <c r="E30">
        <v>518.34300638420996</v>
      </c>
      <c r="F30">
        <v>143.08606557376999</v>
      </c>
      <c r="G30">
        <v>119.17857142857</v>
      </c>
      <c r="I30" s="9">
        <f t="shared" si="1"/>
        <v>399.16443495563999</v>
      </c>
      <c r="J30" s="9">
        <f t="shared" si="2"/>
        <v>2086.4914155638298</v>
      </c>
      <c r="K30" s="9">
        <f t="shared" si="3"/>
        <v>399.16443495563999</v>
      </c>
      <c r="L30" s="10">
        <f t="shared" si="0"/>
        <v>0.19130892750295564</v>
      </c>
      <c r="M30" s="10">
        <f t="shared" si="4"/>
        <v>0.19536279468565573</v>
      </c>
      <c r="P30" s="8">
        <f t="shared" si="5"/>
        <v>-22.599812781029893</v>
      </c>
    </row>
    <row r="31" spans="1:16" x14ac:dyDescent="0.2">
      <c r="A31" s="8">
        <v>14.5</v>
      </c>
      <c r="B31" s="8">
        <v>29</v>
      </c>
      <c r="D31">
        <v>2233.8234265734</v>
      </c>
      <c r="E31">
        <v>543.72494172493998</v>
      </c>
      <c r="F31">
        <v>143.36768149883</v>
      </c>
      <c r="G31">
        <v>118.91861826698</v>
      </c>
      <c r="I31" s="9">
        <f t="shared" si="1"/>
        <v>424.80632345795999</v>
      </c>
      <c r="J31" s="9">
        <f t="shared" si="2"/>
        <v>2090.4557450745701</v>
      </c>
      <c r="K31" s="9">
        <f t="shared" si="3"/>
        <v>424.80632345795999</v>
      </c>
      <c r="L31" s="10">
        <f t="shared" si="0"/>
        <v>0.2032123016518613</v>
      </c>
      <c r="M31" s="10">
        <f t="shared" si="4"/>
        <v>0.20741094980537211</v>
      </c>
      <c r="P31" s="8">
        <f t="shared" si="5"/>
        <v>-17.826491108345454</v>
      </c>
    </row>
    <row r="32" spans="1:16" x14ac:dyDescent="0.2">
      <c r="A32" s="8">
        <v>15</v>
      </c>
      <c r="B32" s="8">
        <v>30</v>
      </c>
      <c r="D32">
        <v>2153.0559440559</v>
      </c>
      <c r="E32">
        <v>550.94755244755004</v>
      </c>
      <c r="F32">
        <v>142.98946135831</v>
      </c>
      <c r="G32">
        <v>119.21487119438</v>
      </c>
      <c r="I32" s="9">
        <f t="shared" si="1"/>
        <v>431.73268125317003</v>
      </c>
      <c r="J32" s="9">
        <f t="shared" si="2"/>
        <v>2010.0664826975899</v>
      </c>
      <c r="K32" s="9">
        <f t="shared" si="3"/>
        <v>431.73268125317003</v>
      </c>
      <c r="L32" s="10">
        <f t="shared" si="0"/>
        <v>0.21478527450185003</v>
      </c>
      <c r="M32" s="10">
        <f t="shared" si="4"/>
        <v>0.21912870362617154</v>
      </c>
      <c r="P32" s="8">
        <f t="shared" si="5"/>
        <v>-13.184070114240635</v>
      </c>
    </row>
    <row r="33" spans="1:16" x14ac:dyDescent="0.2">
      <c r="A33" s="8">
        <v>15.5</v>
      </c>
      <c r="B33" s="8">
        <v>31</v>
      </c>
      <c r="D33">
        <v>2145.8012820512999</v>
      </c>
      <c r="E33">
        <v>564.65034965034999</v>
      </c>
      <c r="F33">
        <v>143.92681498829</v>
      </c>
      <c r="G33">
        <v>118.99355971897</v>
      </c>
      <c r="I33" s="9">
        <f t="shared" si="1"/>
        <v>445.65678993137999</v>
      </c>
      <c r="J33" s="9">
        <f t="shared" si="2"/>
        <v>2001.8744670630099</v>
      </c>
      <c r="K33" s="9">
        <f t="shared" si="3"/>
        <v>445.65678993137999</v>
      </c>
      <c r="L33" s="10">
        <f t="shared" si="0"/>
        <v>0.22261974827283351</v>
      </c>
      <c r="M33" s="10">
        <f t="shared" si="4"/>
        <v>0.22710795836796574</v>
      </c>
      <c r="P33" s="8">
        <f t="shared" si="5"/>
        <v>-10.022793619007981</v>
      </c>
    </row>
    <row r="34" spans="1:16" x14ac:dyDescent="0.2">
      <c r="A34" s="8">
        <v>16</v>
      </c>
      <c r="B34" s="8">
        <v>32</v>
      </c>
      <c r="D34">
        <v>2089.8283712785001</v>
      </c>
      <c r="E34">
        <v>558.07705779335004</v>
      </c>
      <c r="F34">
        <v>143.98770491803</v>
      </c>
      <c r="G34">
        <v>119.16217798595</v>
      </c>
      <c r="I34" s="9">
        <f t="shared" si="1"/>
        <v>438.91487980740004</v>
      </c>
      <c r="J34" s="9">
        <f t="shared" si="2"/>
        <v>1945.8406663604701</v>
      </c>
      <c r="K34" s="9">
        <f t="shared" si="3"/>
        <v>438.91487980740004</v>
      </c>
      <c r="L34" s="10">
        <f t="shared" si="0"/>
        <v>0.22556568345770731</v>
      </c>
      <c r="M34" s="10">
        <f t="shared" si="4"/>
        <v>0.23019867452365025</v>
      </c>
      <c r="P34" s="8">
        <f t="shared" si="5"/>
        <v>-8.7982922523296825</v>
      </c>
    </row>
    <row r="35" spans="1:16" x14ac:dyDescent="0.2">
      <c r="A35" s="8">
        <v>16.5</v>
      </c>
      <c r="B35" s="8">
        <v>33</v>
      </c>
      <c r="D35">
        <v>2094.4378283712999</v>
      </c>
      <c r="E35">
        <v>562.65265615879002</v>
      </c>
      <c r="F35">
        <v>143.52517564403001</v>
      </c>
      <c r="G35">
        <v>119.0181498829</v>
      </c>
      <c r="I35" s="9">
        <f t="shared" si="1"/>
        <v>443.63450627589003</v>
      </c>
      <c r="J35" s="9">
        <f t="shared" si="2"/>
        <v>1950.9126527272699</v>
      </c>
      <c r="K35" s="9">
        <f t="shared" si="3"/>
        <v>443.63450627589003</v>
      </c>
      <c r="L35" s="10">
        <f t="shared" si="0"/>
        <v>0.22739844639159681</v>
      </c>
      <c r="M35" s="10">
        <f t="shared" si="4"/>
        <v>0.23217621842835048</v>
      </c>
      <c r="P35" s="8">
        <f t="shared" si="5"/>
        <v>-8.0148151900578597</v>
      </c>
    </row>
    <row r="36" spans="1:16" x14ac:dyDescent="0.2">
      <c r="A36" s="8">
        <v>17</v>
      </c>
      <c r="B36" s="8">
        <v>34</v>
      </c>
      <c r="D36">
        <v>2114.2295652173998</v>
      </c>
      <c r="E36">
        <v>553.22956521739002</v>
      </c>
      <c r="F36">
        <v>143.90866510539001</v>
      </c>
      <c r="G36">
        <v>119.00409836066</v>
      </c>
      <c r="I36" s="9">
        <f t="shared" si="1"/>
        <v>434.22546685673001</v>
      </c>
      <c r="J36" s="9">
        <f t="shared" si="2"/>
        <v>1970.3209001120099</v>
      </c>
      <c r="K36" s="9">
        <f t="shared" si="3"/>
        <v>434.22546685673001</v>
      </c>
      <c r="L36" s="10">
        <f t="shared" si="0"/>
        <v>0.22038311974056862</v>
      </c>
      <c r="M36" s="10">
        <f t="shared" si="4"/>
        <v>0.22530567274813301</v>
      </c>
      <c r="P36" s="8">
        <f t="shared" si="5"/>
        <v>-10.736835638224411</v>
      </c>
    </row>
    <row r="37" spans="1:16" x14ac:dyDescent="0.2">
      <c r="A37" s="8">
        <v>17.5</v>
      </c>
      <c r="B37" s="8">
        <v>35</v>
      </c>
      <c r="D37">
        <v>2106.9779710144999</v>
      </c>
      <c r="E37">
        <v>545.85739130435002</v>
      </c>
      <c r="F37">
        <v>144.12587822014001</v>
      </c>
      <c r="G37">
        <v>119.30620608899</v>
      </c>
      <c r="I37" s="9">
        <f t="shared" si="1"/>
        <v>426.55118521536002</v>
      </c>
      <c r="J37" s="9">
        <f t="shared" si="2"/>
        <v>1962.8520927943598</v>
      </c>
      <c r="K37" s="9">
        <f t="shared" si="3"/>
        <v>426.55118521536002</v>
      </c>
      <c r="L37" s="10">
        <f t="shared" si="0"/>
        <v>0.21731193439446184</v>
      </c>
      <c r="M37" s="10">
        <f t="shared" si="4"/>
        <v>0.22237926837283695</v>
      </c>
      <c r="P37" s="8">
        <f t="shared" si="5"/>
        <v>-11.896238823927096</v>
      </c>
    </row>
    <row r="38" spans="1:16" x14ac:dyDescent="0.2">
      <c r="A38" s="8">
        <v>18</v>
      </c>
      <c r="B38" s="8">
        <v>36</v>
      </c>
      <c r="D38">
        <v>2115.5628985507001</v>
      </c>
      <c r="E38">
        <v>540.89565217390998</v>
      </c>
      <c r="F38">
        <v>143.76697892272</v>
      </c>
      <c r="G38">
        <v>119.22658079625</v>
      </c>
      <c r="I38" s="9">
        <f t="shared" si="1"/>
        <v>421.66907137765998</v>
      </c>
      <c r="J38" s="9">
        <f t="shared" si="2"/>
        <v>1971.7959196279801</v>
      </c>
      <c r="K38" s="9">
        <f t="shared" si="3"/>
        <v>421.66907137765998</v>
      </c>
      <c r="L38" s="10">
        <f t="shared" si="0"/>
        <v>0.21385026065842377</v>
      </c>
      <c r="M38" s="10">
        <f t="shared" si="4"/>
        <v>0.21906237560760961</v>
      </c>
      <c r="P38" s="8">
        <f t="shared" si="5"/>
        <v>-13.210348408748128</v>
      </c>
    </row>
    <row r="39" spans="1:16" x14ac:dyDescent="0.2">
      <c r="A39" s="8">
        <v>18.5</v>
      </c>
      <c r="B39" s="8">
        <v>37</v>
      </c>
      <c r="D39">
        <v>2017.3304347825999</v>
      </c>
      <c r="E39">
        <v>513.77275362319006</v>
      </c>
      <c r="F39">
        <v>144.26053864169</v>
      </c>
      <c r="G39">
        <v>119.50702576112</v>
      </c>
      <c r="I39" s="9">
        <f t="shared" si="1"/>
        <v>394.26572786207004</v>
      </c>
      <c r="J39" s="9">
        <f t="shared" si="2"/>
        <v>1873.0698961409098</v>
      </c>
      <c r="K39" s="9">
        <f t="shared" si="3"/>
        <v>394.26572786207004</v>
      </c>
      <c r="L39" s="10">
        <f t="shared" si="0"/>
        <v>0.21049173267606117</v>
      </c>
      <c r="M39" s="10">
        <f t="shared" si="4"/>
        <v>0.21584862859605772</v>
      </c>
      <c r="P39" s="8">
        <f t="shared" si="5"/>
        <v>-14.483592993361894</v>
      </c>
    </row>
    <row r="40" spans="1:16" x14ac:dyDescent="0.2">
      <c r="A40" s="8">
        <v>19</v>
      </c>
      <c r="B40" s="8">
        <v>38</v>
      </c>
      <c r="D40">
        <v>2031.8857971015</v>
      </c>
      <c r="E40">
        <v>515.98898550725005</v>
      </c>
      <c r="F40">
        <v>144.04625292739999</v>
      </c>
      <c r="G40">
        <v>119.37646370023</v>
      </c>
      <c r="I40" s="9">
        <f t="shared" si="1"/>
        <v>396.61252180702002</v>
      </c>
      <c r="J40" s="9">
        <f t="shared" si="2"/>
        <v>1887.8395441741</v>
      </c>
      <c r="K40" s="9">
        <f t="shared" si="3"/>
        <v>396.61252180702002</v>
      </c>
      <c r="L40" s="10">
        <f t="shared" si="0"/>
        <v>0.21008804642903681</v>
      </c>
      <c r="M40" s="10">
        <f t="shared" si="4"/>
        <v>0.21558972331984408</v>
      </c>
      <c r="P40" s="8">
        <f t="shared" si="5"/>
        <v>-14.586167881703139</v>
      </c>
    </row>
    <row r="41" spans="1:16" x14ac:dyDescent="0.2">
      <c r="A41" s="8">
        <v>19.5</v>
      </c>
      <c r="B41" s="8">
        <v>39</v>
      </c>
      <c r="D41">
        <v>2027.7588405797001</v>
      </c>
      <c r="E41">
        <v>515.52811594203001</v>
      </c>
      <c r="F41">
        <v>144.07142857143</v>
      </c>
      <c r="G41">
        <v>119.72658079625</v>
      </c>
      <c r="I41" s="9">
        <f t="shared" si="1"/>
        <v>395.80153514578001</v>
      </c>
      <c r="J41" s="9">
        <f t="shared" si="2"/>
        <v>1883.68741200827</v>
      </c>
      <c r="K41" s="9">
        <f t="shared" si="3"/>
        <v>395.80153514578001</v>
      </c>
      <c r="L41" s="10">
        <f t="shared" si="0"/>
        <v>0.21012060314391606</v>
      </c>
      <c r="M41" s="10">
        <f t="shared" si="4"/>
        <v>0.21576706100553403</v>
      </c>
      <c r="P41" s="8">
        <f t="shared" si="5"/>
        <v>-14.515909007205224</v>
      </c>
    </row>
    <row r="42" spans="1:16" x14ac:dyDescent="0.2">
      <c r="A42" s="8">
        <v>20</v>
      </c>
      <c r="B42" s="8">
        <v>40</v>
      </c>
      <c r="D42">
        <v>2011.5456660848999</v>
      </c>
      <c r="E42">
        <v>500.59511343805002</v>
      </c>
      <c r="F42">
        <v>144.02517564403001</v>
      </c>
      <c r="G42">
        <v>119.05444964871</v>
      </c>
      <c r="I42" s="9">
        <f t="shared" si="1"/>
        <v>381.54066378933999</v>
      </c>
      <c r="J42" s="9">
        <f t="shared" si="2"/>
        <v>1867.5204904408699</v>
      </c>
      <c r="K42" s="9">
        <f t="shared" si="3"/>
        <v>381.54066378933999</v>
      </c>
      <c r="L42" s="10">
        <f t="shared" si="0"/>
        <v>0.20430333468484127</v>
      </c>
      <c r="M42" s="10">
        <f t="shared" si="4"/>
        <v>0.21009457351726996</v>
      </c>
      <c r="P42" s="8">
        <f t="shared" si="5"/>
        <v>-16.763274450023296</v>
      </c>
    </row>
    <row r="43" spans="1:16" x14ac:dyDescent="0.2">
      <c r="A43" s="8">
        <v>20.5</v>
      </c>
      <c r="B43" s="8">
        <v>41</v>
      </c>
      <c r="D43">
        <v>1970.3025014543</v>
      </c>
      <c r="E43">
        <v>491.63641652122999</v>
      </c>
      <c r="F43">
        <v>144.28161592506001</v>
      </c>
      <c r="G43">
        <v>119.59426229508</v>
      </c>
      <c r="I43" s="9">
        <f t="shared" si="1"/>
        <v>372.04215422614999</v>
      </c>
      <c r="J43" s="9">
        <f t="shared" si="2"/>
        <v>1826.0208855292399</v>
      </c>
      <c r="K43" s="9">
        <f t="shared" si="3"/>
        <v>372.04215422614999</v>
      </c>
      <c r="L43" s="10">
        <f t="shared" si="0"/>
        <v>0.20374474200951986</v>
      </c>
      <c r="M43" s="10">
        <f t="shared" si="4"/>
        <v>0.20968076181275927</v>
      </c>
      <c r="P43" s="8">
        <f t="shared" si="5"/>
        <v>-16.927221241704199</v>
      </c>
    </row>
    <row r="44" spans="1:16" x14ac:dyDescent="0.2">
      <c r="A44" s="8">
        <v>21</v>
      </c>
      <c r="B44" s="8">
        <v>42</v>
      </c>
      <c r="D44">
        <v>1975.5299592787001</v>
      </c>
      <c r="E44">
        <v>492.1250727167</v>
      </c>
      <c r="F44">
        <v>144.59601873535999</v>
      </c>
      <c r="G44">
        <v>119.50468384075</v>
      </c>
      <c r="I44" s="9">
        <f t="shared" si="1"/>
        <v>372.62038887594997</v>
      </c>
      <c r="J44" s="9">
        <f t="shared" si="2"/>
        <v>1830.93394054334</v>
      </c>
      <c r="K44" s="9">
        <f t="shared" si="3"/>
        <v>372.62038887594997</v>
      </c>
      <c r="L44" s="10">
        <f t="shared" si="0"/>
        <v>0.2035138355485249</v>
      </c>
      <c r="M44" s="10">
        <f t="shared" si="4"/>
        <v>0.20959463632257502</v>
      </c>
      <c r="P44" s="8">
        <f t="shared" si="5"/>
        <v>-16.961343035852938</v>
      </c>
    </row>
    <row r="45" spans="1:16" x14ac:dyDescent="0.2">
      <c r="A45" s="8">
        <v>21.5</v>
      </c>
      <c r="B45" s="8">
        <v>43</v>
      </c>
      <c r="D45">
        <v>1976.0093077371</v>
      </c>
      <c r="E45">
        <v>489.53868528214002</v>
      </c>
      <c r="F45">
        <v>144.01814988289999</v>
      </c>
      <c r="G45">
        <v>119.10538641686</v>
      </c>
      <c r="I45" s="9">
        <f t="shared" si="1"/>
        <v>370.43329886527999</v>
      </c>
      <c r="J45" s="9">
        <f t="shared" si="2"/>
        <v>1831.9911578542001</v>
      </c>
      <c r="K45" s="9">
        <f t="shared" si="3"/>
        <v>370.43329886527999</v>
      </c>
      <c r="L45" s="10">
        <f t="shared" si="0"/>
        <v>0.20220255828044836</v>
      </c>
      <c r="M45" s="10">
        <f t="shared" si="4"/>
        <v>0.20842814002530921</v>
      </c>
      <c r="P45" s="8">
        <f t="shared" si="5"/>
        <v>-17.423493630821053</v>
      </c>
    </row>
    <row r="46" spans="1:16" x14ac:dyDescent="0.2">
      <c r="A46" s="8">
        <v>22</v>
      </c>
      <c r="B46" s="8">
        <v>44</v>
      </c>
      <c r="D46">
        <v>2055.7859220476998</v>
      </c>
      <c r="E46">
        <v>500.50029086678001</v>
      </c>
      <c r="F46">
        <v>143.97306791569</v>
      </c>
      <c r="G46">
        <v>119.59074941452</v>
      </c>
      <c r="I46" s="9">
        <f t="shared" si="1"/>
        <v>380.90954145225999</v>
      </c>
      <c r="J46" s="9">
        <f t="shared" si="2"/>
        <v>1911.8128541320098</v>
      </c>
      <c r="K46" s="9">
        <f t="shared" si="3"/>
        <v>380.90954145225999</v>
      </c>
      <c r="L46" s="10">
        <f t="shared" si="0"/>
        <v>0.19923997300729435</v>
      </c>
      <c r="M46" s="10">
        <f t="shared" si="4"/>
        <v>0.20561033572296591</v>
      </c>
      <c r="P46" s="8">
        <f t="shared" si="5"/>
        <v>-18.539870886268883</v>
      </c>
    </row>
    <row r="47" spans="1:16" x14ac:dyDescent="0.2">
      <c r="A47" s="8">
        <v>22.5</v>
      </c>
      <c r="B47" s="8">
        <v>45</v>
      </c>
      <c r="D47">
        <v>2042.7137870854999</v>
      </c>
      <c r="E47">
        <v>530.10994764398004</v>
      </c>
      <c r="F47">
        <v>144.03512880561999</v>
      </c>
      <c r="G47">
        <v>119.54156908665</v>
      </c>
      <c r="I47" s="9">
        <f t="shared" si="1"/>
        <v>410.56837855733005</v>
      </c>
      <c r="J47" s="9">
        <f t="shared" si="2"/>
        <v>1898.67865827988</v>
      </c>
      <c r="K47" s="9">
        <f t="shared" si="3"/>
        <v>410.56837855733005</v>
      </c>
      <c r="L47" s="10">
        <f t="shared" si="0"/>
        <v>0.21623900219602568</v>
      </c>
      <c r="M47" s="10">
        <f t="shared" si="4"/>
        <v>0.22275414588250797</v>
      </c>
      <c r="P47" s="8">
        <f t="shared" si="5"/>
        <v>-11.747717251642028</v>
      </c>
    </row>
    <row r="48" spans="1:16" x14ac:dyDescent="0.2">
      <c r="A48" s="8">
        <v>23</v>
      </c>
      <c r="B48" s="8">
        <v>46</v>
      </c>
      <c r="D48">
        <v>1961.4217568353999</v>
      </c>
      <c r="E48">
        <v>509.09714950553001</v>
      </c>
      <c r="F48">
        <v>144.02634660422001</v>
      </c>
      <c r="G48">
        <v>119.68032786885</v>
      </c>
      <c r="I48" s="9">
        <f t="shared" si="1"/>
        <v>389.41682163668003</v>
      </c>
      <c r="J48" s="9">
        <f t="shared" si="2"/>
        <v>1817.39541023118</v>
      </c>
      <c r="K48" s="9">
        <f t="shared" si="3"/>
        <v>389.41682163668003</v>
      </c>
      <c r="L48" s="10">
        <f t="shared" si="0"/>
        <v>0.21427192973220102</v>
      </c>
      <c r="M48" s="10">
        <f t="shared" si="4"/>
        <v>0.22093185438949403</v>
      </c>
      <c r="P48" s="8">
        <f t="shared" si="5"/>
        <v>-12.469685336474976</v>
      </c>
    </row>
    <row r="49" spans="1:25" x14ac:dyDescent="0.2">
      <c r="A49" s="8">
        <v>23.5</v>
      </c>
      <c r="B49" s="8">
        <v>47</v>
      </c>
      <c r="D49">
        <v>1948.1210005816999</v>
      </c>
      <c r="E49">
        <v>498.52239674229003</v>
      </c>
      <c r="F49">
        <v>144.23419203747</v>
      </c>
      <c r="G49">
        <v>119.47365339579</v>
      </c>
      <c r="I49" s="9">
        <f t="shared" si="1"/>
        <v>379.04874334650003</v>
      </c>
      <c r="J49" s="9">
        <f t="shared" si="2"/>
        <v>1803.88680854423</v>
      </c>
      <c r="K49" s="9">
        <f t="shared" si="3"/>
        <v>379.04874334650003</v>
      </c>
      <c r="L49" s="10">
        <f t="shared" si="0"/>
        <v>0.21012889586592154</v>
      </c>
      <c r="M49" s="10">
        <f t="shared" si="4"/>
        <v>0.21693360149402524</v>
      </c>
      <c r="P49" s="8">
        <f t="shared" si="5"/>
        <v>-14.05374090425088</v>
      </c>
    </row>
    <row r="50" spans="1:25" x14ac:dyDescent="0.2">
      <c r="A50" s="8">
        <v>24</v>
      </c>
      <c r="B50" s="8">
        <v>48</v>
      </c>
      <c r="D50">
        <v>1958.1716114020001</v>
      </c>
      <c r="E50">
        <v>502.54915648632999</v>
      </c>
      <c r="F50">
        <v>144.37002341920001</v>
      </c>
      <c r="G50">
        <v>119.49473067916</v>
      </c>
      <c r="I50" s="9">
        <f t="shared" si="1"/>
        <v>383.05442580716999</v>
      </c>
      <c r="J50" s="9">
        <f t="shared" si="2"/>
        <v>1813.8015879828001</v>
      </c>
      <c r="K50" s="9">
        <f t="shared" si="3"/>
        <v>383.05442580716999</v>
      </c>
      <c r="L50" s="10">
        <f t="shared" si="0"/>
        <v>0.21118871454577334</v>
      </c>
      <c r="M50" s="10">
        <f t="shared" si="4"/>
        <v>0.21813820114468777</v>
      </c>
      <c r="P50" s="8">
        <f t="shared" si="5"/>
        <v>-13.5764942584133</v>
      </c>
    </row>
    <row r="51" spans="1:25" x14ac:dyDescent="0.2">
      <c r="A51" s="8">
        <v>24.5</v>
      </c>
      <c r="B51" s="8">
        <v>49</v>
      </c>
      <c r="D51">
        <v>1982.8022105876</v>
      </c>
      <c r="E51">
        <v>511.90285049446999</v>
      </c>
      <c r="F51">
        <v>144.49824355972001</v>
      </c>
      <c r="G51">
        <v>119.07494145199</v>
      </c>
      <c r="I51" s="9">
        <f t="shared" si="1"/>
        <v>392.82790904247997</v>
      </c>
      <c r="J51" s="9">
        <f t="shared" si="2"/>
        <v>1838.3039670278799</v>
      </c>
      <c r="K51" s="9">
        <f t="shared" si="3"/>
        <v>392.82790904247997</v>
      </c>
      <c r="L51" s="10">
        <f t="shared" si="0"/>
        <v>0.21369039945966797</v>
      </c>
      <c r="M51" s="10">
        <f t="shared" si="4"/>
        <v>0.22078466702939312</v>
      </c>
      <c r="P51" s="8">
        <f t="shared" si="5"/>
        <v>-12.52799904582996</v>
      </c>
    </row>
    <row r="52" spans="1:25" x14ac:dyDescent="0.2">
      <c r="A52" s="8">
        <v>25</v>
      </c>
      <c r="B52" s="8">
        <v>50</v>
      </c>
      <c r="D52">
        <v>1998.2146596859</v>
      </c>
      <c r="E52">
        <v>519.30191972077</v>
      </c>
      <c r="F52">
        <v>144.62353629977</v>
      </c>
      <c r="G52">
        <v>119.58548009368</v>
      </c>
      <c r="I52" s="9">
        <f t="shared" si="1"/>
        <v>399.71643962708998</v>
      </c>
      <c r="J52" s="9">
        <f t="shared" si="2"/>
        <v>1853.59112338613</v>
      </c>
      <c r="K52" s="9">
        <f t="shared" si="3"/>
        <v>399.71643962708998</v>
      </c>
      <c r="L52" s="10">
        <f t="shared" si="0"/>
        <v>0.21564434280246778</v>
      </c>
      <c r="M52" s="10">
        <f t="shared" si="4"/>
        <v>0.22288339134300364</v>
      </c>
      <c r="P52" s="8">
        <f t="shared" si="5"/>
        <v>-11.69651188853457</v>
      </c>
    </row>
    <row r="53" spans="1:25" x14ac:dyDescent="0.2">
      <c r="A53" s="8">
        <v>25.5</v>
      </c>
      <c r="B53" s="8">
        <v>51</v>
      </c>
      <c r="D53">
        <v>1973.9767306573999</v>
      </c>
      <c r="E53">
        <v>517.87201861546998</v>
      </c>
      <c r="F53">
        <v>144.21604215457</v>
      </c>
      <c r="G53">
        <v>119.38700234192</v>
      </c>
      <c r="I53" s="9">
        <f t="shared" si="1"/>
        <v>398.48501627355</v>
      </c>
      <c r="J53" s="9">
        <f t="shared" si="2"/>
        <v>1829.7606885028299</v>
      </c>
      <c r="K53" s="9">
        <f t="shared" si="3"/>
        <v>398.48501627355</v>
      </c>
      <c r="L53" s="10">
        <f t="shared" si="0"/>
        <v>0.21777985436970093</v>
      </c>
      <c r="M53" s="10">
        <f t="shared" si="4"/>
        <v>0.22516368388104752</v>
      </c>
      <c r="P53" s="8">
        <f t="shared" si="5"/>
        <v>-10.7930897725549</v>
      </c>
      <c r="S53" s="11"/>
      <c r="U53" s="12"/>
    </row>
    <row r="54" spans="1:25" x14ac:dyDescent="0.2">
      <c r="A54" s="8">
        <v>26</v>
      </c>
      <c r="B54" s="8">
        <v>52</v>
      </c>
      <c r="D54">
        <v>1990.5206515416</v>
      </c>
      <c r="E54">
        <v>520.71262361838001</v>
      </c>
      <c r="F54">
        <v>144.5837236534</v>
      </c>
      <c r="G54">
        <v>119.8893442623</v>
      </c>
      <c r="I54" s="9">
        <f t="shared" si="1"/>
        <v>400.82327935607998</v>
      </c>
      <c r="J54" s="9">
        <f t="shared" si="2"/>
        <v>1845.9369278882</v>
      </c>
      <c r="K54" s="9">
        <f t="shared" si="3"/>
        <v>400.82327935607998</v>
      </c>
      <c r="L54" s="10">
        <f t="shared" si="0"/>
        <v>0.21713812281475525</v>
      </c>
      <c r="M54" s="10">
        <f t="shared" si="4"/>
        <v>0.22466673329691256</v>
      </c>
      <c r="P54" s="8">
        <f t="shared" si="5"/>
        <v>-10.989975102294949</v>
      </c>
      <c r="S54" s="11"/>
    </row>
    <row r="55" spans="1:25" x14ac:dyDescent="0.2">
      <c r="A55" s="8">
        <v>26.5</v>
      </c>
      <c r="B55" s="8">
        <v>53</v>
      </c>
      <c r="D55">
        <v>1988.4363001745</v>
      </c>
      <c r="E55">
        <v>547.92262943571995</v>
      </c>
      <c r="F55">
        <v>144.58430913349</v>
      </c>
      <c r="G55">
        <v>119.91334894614</v>
      </c>
      <c r="I55" s="9">
        <f t="shared" si="1"/>
        <v>428.00928048957996</v>
      </c>
      <c r="J55" s="9">
        <f t="shared" si="2"/>
        <v>1843.85199104101</v>
      </c>
      <c r="K55" s="9">
        <f t="shared" si="3"/>
        <v>428.00928048957996</v>
      </c>
      <c r="L55" s="10">
        <f t="shared" si="0"/>
        <v>0.2321277860528993</v>
      </c>
      <c r="M55" s="10">
        <f t="shared" si="4"/>
        <v>0.23980117750586732</v>
      </c>
      <c r="P55" s="8">
        <f t="shared" si="5"/>
        <v>-4.9939060088271416</v>
      </c>
      <c r="S55" s="11"/>
    </row>
    <row r="56" spans="1:25" x14ac:dyDescent="0.2">
      <c r="A56" s="8">
        <v>27</v>
      </c>
      <c r="B56" s="8">
        <v>54</v>
      </c>
      <c r="D56">
        <v>1995.8423502036001</v>
      </c>
      <c r="E56">
        <v>538.13263525305001</v>
      </c>
      <c r="F56">
        <v>144.51053864169</v>
      </c>
      <c r="G56">
        <v>119.43676814988</v>
      </c>
      <c r="I56" s="9">
        <f t="shared" si="1"/>
        <v>418.69586710317003</v>
      </c>
      <c r="J56" s="9">
        <f t="shared" si="2"/>
        <v>1851.3318115619099</v>
      </c>
      <c r="K56" s="9">
        <f t="shared" si="3"/>
        <v>418.69586710317003</v>
      </c>
      <c r="L56" s="10">
        <f t="shared" si="0"/>
        <v>0.22615927868161548</v>
      </c>
      <c r="M56" s="10">
        <f t="shared" si="4"/>
        <v>0.23397745110539422</v>
      </c>
      <c r="P56" s="8">
        <f t="shared" si="5"/>
        <v>-7.3011903330197718</v>
      </c>
      <c r="S56" s="11"/>
    </row>
    <row r="57" spans="1:25" x14ac:dyDescent="0.2">
      <c r="A57" s="8">
        <v>27.5</v>
      </c>
      <c r="B57" s="8">
        <v>55</v>
      </c>
      <c r="D57">
        <v>2027.0696055685</v>
      </c>
      <c r="E57">
        <v>564.63109048724004</v>
      </c>
      <c r="F57">
        <v>144.77985948477999</v>
      </c>
      <c r="G57">
        <v>119.35655737705</v>
      </c>
      <c r="I57" s="9">
        <f t="shared" si="1"/>
        <v>445.27453311019008</v>
      </c>
      <c r="J57" s="9">
        <f t="shared" si="2"/>
        <v>1882.28974608372</v>
      </c>
      <c r="K57" s="9">
        <f t="shared" si="3"/>
        <v>445.27453311019008</v>
      </c>
      <c r="L57" s="10">
        <f t="shared" si="0"/>
        <v>0.23656003760134453</v>
      </c>
      <c r="M57" s="10">
        <f t="shared" si="4"/>
        <v>0.244522990995934</v>
      </c>
      <c r="P57" s="8">
        <f t="shared" si="5"/>
        <v>-3.1231851853854549</v>
      </c>
      <c r="S57" s="11"/>
    </row>
    <row r="58" spans="1:25" x14ac:dyDescent="0.2">
      <c r="A58" s="8">
        <v>28</v>
      </c>
      <c r="B58" s="8">
        <v>56</v>
      </c>
      <c r="D58">
        <v>1931.1113043477999</v>
      </c>
      <c r="E58">
        <v>547.36637681159004</v>
      </c>
      <c r="F58">
        <v>144.03103044497001</v>
      </c>
      <c r="G58">
        <v>119.40866510539</v>
      </c>
      <c r="I58" s="9">
        <f t="shared" si="1"/>
        <v>427.95771170620003</v>
      </c>
      <c r="J58" s="9">
        <f t="shared" si="2"/>
        <v>1787.08027390283</v>
      </c>
      <c r="K58" s="9">
        <f t="shared" si="3"/>
        <v>427.95771170620003</v>
      </c>
      <c r="L58" s="10">
        <f t="shared" si="0"/>
        <v>0.23947313277180163</v>
      </c>
      <c r="M58" s="10">
        <f t="shared" si="4"/>
        <v>0.24758086713720179</v>
      </c>
      <c r="P58" s="8">
        <f t="shared" si="5"/>
        <v>-1.9116946034280564</v>
      </c>
      <c r="S58" s="11"/>
    </row>
    <row r="59" spans="1:25" x14ac:dyDescent="0.2">
      <c r="A59" s="8">
        <v>28.5</v>
      </c>
      <c r="B59" s="8">
        <v>57</v>
      </c>
      <c r="D59">
        <v>1938.4249275361999</v>
      </c>
      <c r="E59">
        <v>547.15072463768001</v>
      </c>
      <c r="F59">
        <v>144.43501170959999</v>
      </c>
      <c r="G59">
        <v>119.25058548009</v>
      </c>
      <c r="I59" s="9">
        <f t="shared" si="1"/>
        <v>427.90013915759005</v>
      </c>
      <c r="J59" s="9">
        <f t="shared" si="2"/>
        <v>1793.9899158265998</v>
      </c>
      <c r="K59" s="9">
        <f t="shared" si="3"/>
        <v>427.90013915759005</v>
      </c>
      <c r="L59" s="10">
        <f t="shared" si="0"/>
        <v>0.23851869811677873</v>
      </c>
      <c r="M59" s="10">
        <f t="shared" si="4"/>
        <v>0.24677121345298961</v>
      </c>
      <c r="P59" s="8">
        <f t="shared" si="5"/>
        <v>-2.2324688165600151</v>
      </c>
      <c r="R59" s="1"/>
      <c r="S59" s="11"/>
    </row>
    <row r="60" spans="1:25" x14ac:dyDescent="0.2">
      <c r="A60" s="8">
        <v>29</v>
      </c>
      <c r="B60" s="8">
        <v>58</v>
      </c>
      <c r="D60">
        <v>1938.6558139535</v>
      </c>
      <c r="E60">
        <v>538.15988372093</v>
      </c>
      <c r="F60">
        <v>143.73009367681999</v>
      </c>
      <c r="G60">
        <v>119.4256440281</v>
      </c>
      <c r="I60" s="9">
        <f t="shared" si="1"/>
        <v>418.73423969282999</v>
      </c>
      <c r="J60" s="9">
        <f t="shared" si="2"/>
        <v>1794.9257202766801</v>
      </c>
      <c r="K60" s="9">
        <f t="shared" si="3"/>
        <v>418.73423969282999</v>
      </c>
      <c r="L60" s="10">
        <f t="shared" si="0"/>
        <v>0.23328778175192894</v>
      </c>
      <c r="M60" s="10">
        <f t="shared" si="4"/>
        <v>0.24168507805895054</v>
      </c>
      <c r="P60" s="8">
        <f t="shared" si="5"/>
        <v>-4.2475292191974621</v>
      </c>
      <c r="S60" s="11"/>
    </row>
    <row r="61" spans="1:25" x14ac:dyDescent="0.2">
      <c r="A61" s="8">
        <v>29.5</v>
      </c>
      <c r="B61" s="8">
        <v>59</v>
      </c>
      <c r="C61" s="2"/>
      <c r="D61">
        <v>1833.9</v>
      </c>
      <c r="E61">
        <v>516.98895348837004</v>
      </c>
      <c r="F61">
        <v>144.02166276347</v>
      </c>
      <c r="G61">
        <v>119.31323185012</v>
      </c>
      <c r="I61" s="9">
        <f t="shared" si="1"/>
        <v>397.67572163825002</v>
      </c>
      <c r="J61" s="9">
        <f t="shared" si="2"/>
        <v>1689.8783372365301</v>
      </c>
      <c r="K61" s="9">
        <f t="shared" si="3"/>
        <v>397.67572163825002</v>
      </c>
      <c r="L61" s="10">
        <f t="shared" si="0"/>
        <v>0.23532801910969042</v>
      </c>
      <c r="M61" s="10">
        <f t="shared" si="4"/>
        <v>0.24387009638752274</v>
      </c>
      <c r="P61" s="8">
        <f t="shared" si="5"/>
        <v>-3.3818535004379604</v>
      </c>
      <c r="S61" s="11"/>
    </row>
    <row r="62" spans="1:25" x14ac:dyDescent="0.2">
      <c r="A62" s="8">
        <v>30</v>
      </c>
      <c r="B62" s="8">
        <v>60</v>
      </c>
      <c r="D62">
        <v>1874.8662790697999</v>
      </c>
      <c r="E62">
        <v>537.28197674419005</v>
      </c>
      <c r="F62">
        <v>143.96311475409999</v>
      </c>
      <c r="G62">
        <v>119.21194379391</v>
      </c>
      <c r="I62" s="9">
        <f t="shared" si="1"/>
        <v>418.07003295028005</v>
      </c>
      <c r="J62" s="9">
        <f t="shared" si="2"/>
        <v>1730.9031643157</v>
      </c>
      <c r="K62" s="9">
        <f t="shared" si="3"/>
        <v>418.07003295028005</v>
      </c>
      <c r="L62" s="10">
        <f t="shared" si="0"/>
        <v>0.24153288385463262</v>
      </c>
      <c r="M62" s="10">
        <f t="shared" si="4"/>
        <v>0.25021974210327569</v>
      </c>
      <c r="P62" s="8">
        <f t="shared" si="5"/>
        <v>-0.86620681364589014</v>
      </c>
      <c r="U62" s="1" t="s">
        <v>8</v>
      </c>
      <c r="X62" s="1" t="s">
        <v>9</v>
      </c>
    </row>
    <row r="63" spans="1:25" x14ac:dyDescent="0.2">
      <c r="A63" s="8">
        <v>30.5</v>
      </c>
      <c r="B63" s="8">
        <v>61</v>
      </c>
      <c r="D63">
        <v>1880.0168604651001</v>
      </c>
      <c r="E63">
        <v>530.20348837208996</v>
      </c>
      <c r="F63">
        <v>144.42505854801001</v>
      </c>
      <c r="G63">
        <v>119.04274004684</v>
      </c>
      <c r="I63" s="9">
        <f t="shared" si="1"/>
        <v>411.16074832524998</v>
      </c>
      <c r="J63" s="9">
        <f t="shared" si="2"/>
        <v>1735.5918019170902</v>
      </c>
      <c r="K63" s="9">
        <f t="shared" si="3"/>
        <v>411.16074832524998</v>
      </c>
      <c r="L63" s="10">
        <f t="shared" si="0"/>
        <v>0.23689945289617775</v>
      </c>
      <c r="M63" s="10">
        <f t="shared" si="4"/>
        <v>0.24573109211563152</v>
      </c>
      <c r="P63" s="8">
        <f t="shared" si="5"/>
        <v>-2.6445513032561005</v>
      </c>
    </row>
    <row r="64" spans="1:25" x14ac:dyDescent="0.2">
      <c r="A64" s="8">
        <v>31</v>
      </c>
      <c r="B64" s="8">
        <v>62</v>
      </c>
      <c r="D64">
        <v>1861.0127462341</v>
      </c>
      <c r="E64">
        <v>525.25144843569001</v>
      </c>
      <c r="F64">
        <v>144.24180327869001</v>
      </c>
      <c r="G64">
        <v>119.49824355972</v>
      </c>
      <c r="I64" s="9">
        <f t="shared" si="1"/>
        <v>405.75320487597003</v>
      </c>
      <c r="J64" s="9">
        <f t="shared" si="2"/>
        <v>1716.77094295541</v>
      </c>
      <c r="K64" s="9">
        <f t="shared" si="3"/>
        <v>405.75320487597003</v>
      </c>
      <c r="L64" s="10">
        <f t="shared" si="0"/>
        <v>0.23634673369847961</v>
      </c>
      <c r="M64" s="10">
        <f t="shared" si="4"/>
        <v>0.24532315388874409</v>
      </c>
      <c r="P64" s="8">
        <f t="shared" si="5"/>
        <v>-2.8061710998282443</v>
      </c>
      <c r="U64" s="8">
        <v>30.5</v>
      </c>
      <c r="V64" s="10">
        <f>L62</f>
        <v>0.24153288385463262</v>
      </c>
      <c r="X64" s="8">
        <v>-13</v>
      </c>
      <c r="Y64" s="10"/>
    </row>
    <row r="65" spans="1:25" x14ac:dyDescent="0.2">
      <c r="A65" s="8">
        <v>31.5</v>
      </c>
      <c r="B65" s="8">
        <v>63</v>
      </c>
      <c r="D65">
        <v>1967.2960602549001</v>
      </c>
      <c r="E65">
        <v>551.38470451911996</v>
      </c>
      <c r="F65">
        <v>144.53922716628</v>
      </c>
      <c r="G65">
        <v>119.19262295082</v>
      </c>
      <c r="I65" s="9">
        <f t="shared" si="1"/>
        <v>432.19208156829995</v>
      </c>
      <c r="J65" s="9">
        <f t="shared" si="2"/>
        <v>1822.7568330886202</v>
      </c>
      <c r="K65" s="9">
        <f t="shared" si="3"/>
        <v>432.19208156829995</v>
      </c>
      <c r="L65" s="10">
        <f t="shared" si="0"/>
        <v>0.23710901735365339</v>
      </c>
      <c r="M65" s="10">
        <f t="shared" si="4"/>
        <v>0.24623021851472859</v>
      </c>
      <c r="P65" s="8">
        <f t="shared" si="5"/>
        <v>-2.4468039440508593</v>
      </c>
      <c r="U65" s="8">
        <v>31</v>
      </c>
      <c r="V65" s="10">
        <f t="shared" ref="V65:V83" si="6">L63</f>
        <v>0.23689945289617775</v>
      </c>
      <c r="X65" s="8">
        <v>-13</v>
      </c>
      <c r="Y65" s="10"/>
    </row>
    <row r="66" spans="1:25" x14ac:dyDescent="0.2">
      <c r="A66" s="8">
        <v>32</v>
      </c>
      <c r="B66" s="8">
        <v>64</v>
      </c>
      <c r="D66">
        <v>1995.6796060255001</v>
      </c>
      <c r="E66">
        <v>532.75608342989995</v>
      </c>
      <c r="F66">
        <v>143.79742388759001</v>
      </c>
      <c r="G66">
        <v>119.61943793911</v>
      </c>
      <c r="I66" s="9">
        <f t="shared" si="1"/>
        <v>413.13664549078993</v>
      </c>
      <c r="J66" s="9">
        <f t="shared" si="2"/>
        <v>1851.8821821379101</v>
      </c>
      <c r="K66" s="9">
        <f t="shared" si="3"/>
        <v>413.13664549078993</v>
      </c>
      <c r="L66" s="10">
        <f t="shared" ref="L66:L129" si="7">K66/J66</f>
        <v>0.22309013471572109</v>
      </c>
      <c r="M66" s="10">
        <f t="shared" si="4"/>
        <v>0.23235611684760699</v>
      </c>
      <c r="P66" s="8">
        <f t="shared" si="5"/>
        <v>-7.94354178637189</v>
      </c>
      <c r="U66" s="8">
        <v>31.5</v>
      </c>
      <c r="V66" s="10">
        <f t="shared" si="6"/>
        <v>0.23634673369847961</v>
      </c>
      <c r="X66" s="8">
        <v>-13</v>
      </c>
      <c r="Y66" s="10"/>
    </row>
    <row r="67" spans="1:25" x14ac:dyDescent="0.2">
      <c r="A67" s="8">
        <v>32.5</v>
      </c>
      <c r="B67" s="8">
        <v>65</v>
      </c>
      <c r="D67">
        <v>1952.5249130939001</v>
      </c>
      <c r="E67">
        <v>543.40440324450003</v>
      </c>
      <c r="F67">
        <v>144.25117096019</v>
      </c>
      <c r="G67">
        <v>119.30386416862</v>
      </c>
      <c r="I67" s="9">
        <f t="shared" ref="I67:I130" si="8">E67-G67</f>
        <v>424.10053907588002</v>
      </c>
      <c r="J67" s="9">
        <f t="shared" ref="J67:J130" si="9">D67-F67</f>
        <v>1808.2737421337101</v>
      </c>
      <c r="K67" s="9">
        <f t="shared" ref="K67:K130" si="10">I67*1</f>
        <v>424.10053907588002</v>
      </c>
      <c r="L67" s="10">
        <f t="shared" si="7"/>
        <v>0.23453337246132536</v>
      </c>
      <c r="M67" s="10">
        <f t="shared" ref="M67:M130" si="11">L67+ABS($N$2)*A67</f>
        <v>0.24394413556402197</v>
      </c>
      <c r="P67" s="8">
        <f t="shared" ref="P67:P130" si="12">(M67-$O$2)/$O$2*100</f>
        <v>-3.3525201458870106</v>
      </c>
      <c r="U67" s="8">
        <v>32</v>
      </c>
      <c r="V67" s="10">
        <f t="shared" si="6"/>
        <v>0.23710901735365339</v>
      </c>
      <c r="X67" s="8">
        <v>-13</v>
      </c>
      <c r="Y67" s="10"/>
    </row>
    <row r="68" spans="1:25" x14ac:dyDescent="0.2">
      <c r="A68" s="8">
        <v>33</v>
      </c>
      <c r="B68" s="8">
        <v>66</v>
      </c>
      <c r="D68">
        <v>1957.943221321</v>
      </c>
      <c r="E68">
        <v>557.99015063730997</v>
      </c>
      <c r="F68">
        <v>144.30269320842999</v>
      </c>
      <c r="G68">
        <v>119.37822014052</v>
      </c>
      <c r="I68" s="9">
        <f t="shared" si="8"/>
        <v>438.61193049678997</v>
      </c>
      <c r="J68" s="9">
        <f t="shared" si="9"/>
        <v>1813.6405281125701</v>
      </c>
      <c r="K68" s="9">
        <f t="shared" si="10"/>
        <v>438.61193049678997</v>
      </c>
      <c r="L68" s="10">
        <f t="shared" si="7"/>
        <v>0.24184060936995444</v>
      </c>
      <c r="M68" s="10">
        <f t="shared" si="11"/>
        <v>0.25139615344346178</v>
      </c>
      <c r="P68" s="8">
        <f t="shared" si="12"/>
        <v>-0.40012800819354144</v>
      </c>
      <c r="U68" s="8">
        <v>32.5</v>
      </c>
      <c r="V68" s="10">
        <f t="shared" si="6"/>
        <v>0.22309013471572109</v>
      </c>
      <c r="X68" s="8">
        <v>-13</v>
      </c>
      <c r="Y68" s="10"/>
    </row>
    <row r="69" spans="1:25" x14ac:dyDescent="0.2">
      <c r="A69" s="8">
        <v>33.5</v>
      </c>
      <c r="B69" s="8">
        <v>67</v>
      </c>
      <c r="D69">
        <v>1966.3082271147</v>
      </c>
      <c r="E69">
        <v>565.63035921205005</v>
      </c>
      <c r="F69">
        <v>144.45784543325999</v>
      </c>
      <c r="G69">
        <v>119.31264637002</v>
      </c>
      <c r="I69" s="9">
        <f t="shared" si="8"/>
        <v>446.31771284203006</v>
      </c>
      <c r="J69" s="9">
        <f t="shared" si="9"/>
        <v>1821.85038168144</v>
      </c>
      <c r="K69" s="9">
        <f t="shared" si="10"/>
        <v>446.31771284203006</v>
      </c>
      <c r="L69" s="10">
        <f t="shared" si="7"/>
        <v>0.24498044259271726</v>
      </c>
      <c r="M69" s="10">
        <f t="shared" si="11"/>
        <v>0.25468076763703534</v>
      </c>
      <c r="P69" s="8">
        <f t="shared" si="12"/>
        <v>0.90119322819511349</v>
      </c>
      <c r="U69" s="8">
        <v>33</v>
      </c>
      <c r="V69" s="10">
        <f t="shared" si="6"/>
        <v>0.23453337246132536</v>
      </c>
      <c r="X69" s="8">
        <v>-13</v>
      </c>
      <c r="Y69" s="10"/>
    </row>
    <row r="70" spans="1:25" x14ac:dyDescent="0.2">
      <c r="A70" s="8">
        <v>34</v>
      </c>
      <c r="B70" s="8">
        <v>68</v>
      </c>
      <c r="D70">
        <v>2009.7259559675999</v>
      </c>
      <c r="E70">
        <v>568.94090382387003</v>
      </c>
      <c r="F70">
        <v>144.52049180328001</v>
      </c>
      <c r="G70">
        <v>119.32962529274</v>
      </c>
      <c r="I70" s="9">
        <f t="shared" si="8"/>
        <v>449.61127853113004</v>
      </c>
      <c r="J70" s="9">
        <f t="shared" si="9"/>
        <v>1865.2054641643199</v>
      </c>
      <c r="K70" s="9">
        <f t="shared" si="10"/>
        <v>449.61127853113004</v>
      </c>
      <c r="L70" s="10">
        <f t="shared" si="7"/>
        <v>0.24105187721641824</v>
      </c>
      <c r="M70" s="10">
        <f t="shared" si="11"/>
        <v>0.25089698323154702</v>
      </c>
      <c r="P70" s="8">
        <f t="shared" si="12"/>
        <v>-0.59789272546481798</v>
      </c>
      <c r="U70" s="8">
        <v>33.5</v>
      </c>
      <c r="V70" s="10">
        <f t="shared" si="6"/>
        <v>0.24184060936995444</v>
      </c>
      <c r="X70" s="8">
        <v>-13</v>
      </c>
      <c r="Y70" s="10"/>
    </row>
    <row r="71" spans="1:25" x14ac:dyDescent="0.2">
      <c r="A71" s="8">
        <v>34.5</v>
      </c>
      <c r="B71" s="8">
        <v>69</v>
      </c>
      <c r="D71">
        <v>2014.3256083430001</v>
      </c>
      <c r="E71">
        <v>566.55793742757999</v>
      </c>
      <c r="F71">
        <v>144.35128805621</v>
      </c>
      <c r="G71">
        <v>119.29215456675</v>
      </c>
      <c r="I71" s="9">
        <f t="shared" si="8"/>
        <v>447.26578286082997</v>
      </c>
      <c r="J71" s="9">
        <f t="shared" si="9"/>
        <v>1869.9743202867901</v>
      </c>
      <c r="K71" s="9">
        <f t="shared" si="10"/>
        <v>447.26578286082997</v>
      </c>
      <c r="L71" s="10">
        <f t="shared" si="7"/>
        <v>0.23918284759773317</v>
      </c>
      <c r="M71" s="10">
        <f t="shared" si="11"/>
        <v>0.24917273458367267</v>
      </c>
      <c r="P71" s="8">
        <f t="shared" si="12"/>
        <v>-1.2810175157928179</v>
      </c>
      <c r="U71" s="8">
        <v>34</v>
      </c>
      <c r="V71" s="10">
        <f t="shared" si="6"/>
        <v>0.24498044259271726</v>
      </c>
      <c r="X71" s="8">
        <v>-13</v>
      </c>
      <c r="Y71" s="10"/>
    </row>
    <row r="72" spans="1:25" x14ac:dyDescent="0.2">
      <c r="A72" s="8">
        <v>35</v>
      </c>
      <c r="B72" s="8">
        <v>70</v>
      </c>
      <c r="D72">
        <v>1954.9976825029</v>
      </c>
      <c r="E72">
        <v>557.14484356895002</v>
      </c>
      <c r="F72">
        <v>144.52868852459</v>
      </c>
      <c r="G72">
        <v>119.39695550351</v>
      </c>
      <c r="I72" s="9">
        <f t="shared" si="8"/>
        <v>437.74788806544001</v>
      </c>
      <c r="J72" s="9">
        <f t="shared" si="9"/>
        <v>1810.46899397831</v>
      </c>
      <c r="K72" s="9">
        <f t="shared" si="10"/>
        <v>437.74788806544001</v>
      </c>
      <c r="L72" s="10">
        <f t="shared" si="7"/>
        <v>0.24178701183030829</v>
      </c>
      <c r="M72" s="10">
        <f t="shared" si="11"/>
        <v>0.25192167978705848</v>
      </c>
      <c r="P72" s="8">
        <f t="shared" si="12"/>
        <v>-0.19192133584154955</v>
      </c>
      <c r="U72" s="8">
        <v>34.5</v>
      </c>
      <c r="V72" s="10">
        <f t="shared" si="6"/>
        <v>0.24105187721641824</v>
      </c>
      <c r="X72" s="8">
        <v>-13</v>
      </c>
      <c r="Y72" s="10"/>
    </row>
    <row r="73" spans="1:25" x14ac:dyDescent="0.2">
      <c r="A73" s="8">
        <v>35.5</v>
      </c>
      <c r="B73" s="8">
        <v>71</v>
      </c>
      <c r="D73">
        <v>1937.0608342989999</v>
      </c>
      <c r="E73">
        <v>568.95365005793997</v>
      </c>
      <c r="F73">
        <v>143.94145199062999</v>
      </c>
      <c r="G73">
        <v>119.01405152225</v>
      </c>
      <c r="I73" s="9">
        <f t="shared" si="8"/>
        <v>449.93959853568998</v>
      </c>
      <c r="J73" s="9">
        <f t="shared" si="9"/>
        <v>1793.1193823083699</v>
      </c>
      <c r="K73" s="9">
        <f t="shared" si="10"/>
        <v>449.93959853568998</v>
      </c>
      <c r="L73" s="10">
        <f t="shared" si="7"/>
        <v>0.25092562323232537</v>
      </c>
      <c r="M73" s="10">
        <f t="shared" si="11"/>
        <v>0.26120507215988631</v>
      </c>
      <c r="P73" s="8">
        <f t="shared" si="12"/>
        <v>3.48603745278132</v>
      </c>
      <c r="U73" s="8">
        <v>35</v>
      </c>
      <c r="V73" s="10">
        <f t="shared" si="6"/>
        <v>0.23918284759773317</v>
      </c>
      <c r="X73" s="8">
        <v>-13</v>
      </c>
      <c r="Y73" s="10"/>
    </row>
    <row r="74" spans="1:25" x14ac:dyDescent="0.2">
      <c r="A74" s="8">
        <v>36</v>
      </c>
      <c r="B74" s="8">
        <v>72</v>
      </c>
      <c r="D74">
        <v>1922.2775202780999</v>
      </c>
      <c r="E74">
        <v>548.26129779838004</v>
      </c>
      <c r="F74">
        <v>144.11358313816999</v>
      </c>
      <c r="G74">
        <v>119.27400468384</v>
      </c>
      <c r="I74" s="9">
        <f t="shared" si="8"/>
        <v>428.98729311454002</v>
      </c>
      <c r="J74" s="9">
        <f t="shared" si="9"/>
        <v>1778.1639371399299</v>
      </c>
      <c r="K74" s="9">
        <f t="shared" si="10"/>
        <v>428.98729311454002</v>
      </c>
      <c r="L74" s="10">
        <f t="shared" si="7"/>
        <v>0.24125294870423497</v>
      </c>
      <c r="M74" s="10">
        <f t="shared" si="11"/>
        <v>0.25167717860260663</v>
      </c>
      <c r="P74" s="8">
        <f t="shared" si="12"/>
        <v>-0.28878951118825852</v>
      </c>
      <c r="U74" s="8">
        <v>35.5</v>
      </c>
      <c r="V74" s="10">
        <f t="shared" si="6"/>
        <v>0.24178701183030829</v>
      </c>
      <c r="X74" s="8">
        <v>-13</v>
      </c>
      <c r="Y74" s="10"/>
    </row>
    <row r="75" spans="1:25" x14ac:dyDescent="0.2">
      <c r="A75" s="8">
        <v>36.5</v>
      </c>
      <c r="B75" s="8">
        <v>73</v>
      </c>
      <c r="D75">
        <v>1986.3163383546</v>
      </c>
      <c r="E75">
        <v>579.54866743917</v>
      </c>
      <c r="F75">
        <v>144.70023419204</v>
      </c>
      <c r="G75">
        <v>119.45316159251</v>
      </c>
      <c r="I75" s="9">
        <f t="shared" si="8"/>
        <v>460.09550584665999</v>
      </c>
      <c r="J75" s="9">
        <f t="shared" si="9"/>
        <v>1841.6161041625601</v>
      </c>
      <c r="K75" s="9">
        <f t="shared" si="10"/>
        <v>460.09550584665999</v>
      </c>
      <c r="L75" s="10">
        <f t="shared" si="7"/>
        <v>0.24983247312331669</v>
      </c>
      <c r="M75" s="10">
        <f t="shared" si="11"/>
        <v>0.26040148399249907</v>
      </c>
      <c r="P75" s="8">
        <f t="shared" si="12"/>
        <v>3.1676663181812073</v>
      </c>
      <c r="U75" s="8">
        <v>36</v>
      </c>
      <c r="V75" s="10">
        <f t="shared" si="6"/>
        <v>0.25092562323232537</v>
      </c>
      <c r="X75" s="8">
        <v>-13</v>
      </c>
      <c r="Y75" s="10"/>
    </row>
    <row r="76" spans="1:25" x14ac:dyDescent="0.2">
      <c r="A76" s="8">
        <v>37</v>
      </c>
      <c r="B76" s="8">
        <v>74</v>
      </c>
      <c r="D76">
        <v>1956.5950173812</v>
      </c>
      <c r="E76">
        <v>572.92989571263001</v>
      </c>
      <c r="F76">
        <v>144.29859484778001</v>
      </c>
      <c r="G76">
        <v>119.4718969555</v>
      </c>
      <c r="I76" s="9">
        <f t="shared" si="8"/>
        <v>453.45799875712999</v>
      </c>
      <c r="J76" s="9">
        <f t="shared" si="9"/>
        <v>1812.2964225334199</v>
      </c>
      <c r="K76" s="9">
        <f t="shared" si="10"/>
        <v>453.45799875712999</v>
      </c>
      <c r="L76" s="10">
        <f t="shared" si="7"/>
        <v>0.25021182689487315</v>
      </c>
      <c r="M76" s="10">
        <f t="shared" si="11"/>
        <v>0.26092561873486625</v>
      </c>
      <c r="P76" s="8">
        <f t="shared" si="12"/>
        <v>3.3753216563046271</v>
      </c>
      <c r="U76" s="8">
        <v>36.5</v>
      </c>
      <c r="V76" s="10">
        <f t="shared" si="6"/>
        <v>0.24125294870423497</v>
      </c>
      <c r="X76" s="8">
        <v>-13</v>
      </c>
      <c r="Y76" s="10"/>
    </row>
    <row r="77" spans="1:25" x14ac:dyDescent="0.2">
      <c r="A77" s="8">
        <v>37.5</v>
      </c>
      <c r="B77" s="8">
        <v>75</v>
      </c>
      <c r="D77">
        <v>1946.0753186559</v>
      </c>
      <c r="E77">
        <v>581.03650057937</v>
      </c>
      <c r="F77">
        <v>144.34192037471001</v>
      </c>
      <c r="G77">
        <v>119.43852459016</v>
      </c>
      <c r="I77" s="9">
        <f t="shared" si="8"/>
        <v>461.59797598921</v>
      </c>
      <c r="J77" s="9">
        <f t="shared" si="9"/>
        <v>1801.7333982811899</v>
      </c>
      <c r="K77" s="9">
        <f t="shared" si="10"/>
        <v>461.59797598921</v>
      </c>
      <c r="L77" s="10">
        <f t="shared" si="7"/>
        <v>0.25619660291004392</v>
      </c>
      <c r="M77" s="10">
        <f t="shared" si="11"/>
        <v>0.26705517572084775</v>
      </c>
      <c r="P77" s="8">
        <f t="shared" si="12"/>
        <v>5.8037720633930583</v>
      </c>
      <c r="U77" s="8">
        <v>37</v>
      </c>
      <c r="V77" s="10">
        <f t="shared" si="6"/>
        <v>0.24983247312331669</v>
      </c>
      <c r="X77" s="8">
        <v>-13</v>
      </c>
      <c r="Y77" s="10"/>
    </row>
    <row r="78" spans="1:25" x14ac:dyDescent="0.2">
      <c r="A78" s="8">
        <v>38</v>
      </c>
      <c r="B78" s="8">
        <v>76</v>
      </c>
      <c r="D78">
        <v>1917.5979142526</v>
      </c>
      <c r="E78">
        <v>559.61819235226005</v>
      </c>
      <c r="F78">
        <v>144.18384074942</v>
      </c>
      <c r="G78">
        <v>119.68618266979</v>
      </c>
      <c r="I78" s="9">
        <f t="shared" si="8"/>
        <v>439.93200968247004</v>
      </c>
      <c r="J78" s="9">
        <f t="shared" si="9"/>
        <v>1773.4140735031801</v>
      </c>
      <c r="K78" s="9">
        <f t="shared" si="10"/>
        <v>439.93200968247004</v>
      </c>
      <c r="L78" s="10">
        <f t="shared" si="7"/>
        <v>0.2480706656474389</v>
      </c>
      <c r="M78" s="10">
        <f t="shared" si="11"/>
        <v>0.25907401942905345</v>
      </c>
      <c r="P78" s="8">
        <f t="shared" si="12"/>
        <v>2.6417421988904231</v>
      </c>
      <c r="U78" s="8">
        <v>37.5</v>
      </c>
      <c r="V78" s="10">
        <f t="shared" si="6"/>
        <v>0.25021182689487315</v>
      </c>
      <c r="X78" s="8">
        <v>-13</v>
      </c>
      <c r="Y78" s="10"/>
    </row>
    <row r="79" spans="1:25" x14ac:dyDescent="0.2">
      <c r="A79" s="8">
        <v>38.5</v>
      </c>
      <c r="B79" s="8">
        <v>77</v>
      </c>
      <c r="D79">
        <v>1970.2636152954999</v>
      </c>
      <c r="E79">
        <v>579.96523754345003</v>
      </c>
      <c r="F79">
        <v>144.15339578454001</v>
      </c>
      <c r="G79">
        <v>119.25292740047</v>
      </c>
      <c r="I79" s="9">
        <f t="shared" si="8"/>
        <v>460.71231014298002</v>
      </c>
      <c r="J79" s="9">
        <f t="shared" si="9"/>
        <v>1826.11021951096</v>
      </c>
      <c r="K79" s="9">
        <f t="shared" si="10"/>
        <v>460.71231014298002</v>
      </c>
      <c r="L79" s="10">
        <f t="shared" si="7"/>
        <v>0.25229162249930387</v>
      </c>
      <c r="M79" s="10">
        <f t="shared" si="11"/>
        <v>0.26343975725172908</v>
      </c>
      <c r="P79" s="8">
        <f t="shared" si="12"/>
        <v>4.3713904943488178</v>
      </c>
      <c r="U79" s="8">
        <v>38</v>
      </c>
      <c r="V79" s="10">
        <f t="shared" si="6"/>
        <v>0.25619660291004392</v>
      </c>
      <c r="X79" s="8">
        <v>-13</v>
      </c>
      <c r="Y79" s="10"/>
    </row>
    <row r="80" spans="1:25" x14ac:dyDescent="0.2">
      <c r="A80" s="8">
        <v>39</v>
      </c>
      <c r="B80" s="8">
        <v>78</v>
      </c>
      <c r="D80">
        <v>2091.5202780997001</v>
      </c>
      <c r="E80">
        <v>572.78331402085996</v>
      </c>
      <c r="F80">
        <v>144.38758782201</v>
      </c>
      <c r="G80">
        <v>119.32259953162</v>
      </c>
      <c r="I80" s="9">
        <f t="shared" si="8"/>
        <v>453.46071448923999</v>
      </c>
      <c r="J80" s="9">
        <f t="shared" si="9"/>
        <v>1947.13269027769</v>
      </c>
      <c r="K80" s="9">
        <f t="shared" si="10"/>
        <v>453.46071448923999</v>
      </c>
      <c r="L80" s="10">
        <f t="shared" si="7"/>
        <v>0.23288639585449605</v>
      </c>
      <c r="M80" s="10">
        <f t="shared" si="11"/>
        <v>0.24417931157773201</v>
      </c>
      <c r="P80" s="8">
        <f t="shared" si="12"/>
        <v>-3.2593464813729636</v>
      </c>
      <c r="U80" s="8">
        <v>38.5</v>
      </c>
      <c r="V80" s="10">
        <f t="shared" si="6"/>
        <v>0.2480706656474389</v>
      </c>
      <c r="X80" s="8">
        <v>-13</v>
      </c>
      <c r="Y80" s="10"/>
    </row>
    <row r="81" spans="1:25" x14ac:dyDescent="0.2">
      <c r="A81" s="8">
        <v>39.5</v>
      </c>
      <c r="B81" s="8">
        <v>79</v>
      </c>
      <c r="D81">
        <v>1952.6117850953001</v>
      </c>
      <c r="E81">
        <v>565.87232813403</v>
      </c>
      <c r="F81">
        <v>144.18911007026</v>
      </c>
      <c r="G81">
        <v>119.45608899297</v>
      </c>
      <c r="I81" s="9">
        <f t="shared" si="8"/>
        <v>446.41623914106003</v>
      </c>
      <c r="J81" s="9">
        <f t="shared" si="9"/>
        <v>1808.42267502504</v>
      </c>
      <c r="K81" s="9">
        <f t="shared" si="10"/>
        <v>446.41623914106003</v>
      </c>
      <c r="L81" s="10">
        <f t="shared" si="7"/>
        <v>0.24685392707480777</v>
      </c>
      <c r="M81" s="10">
        <f t="shared" si="11"/>
        <v>0.25829162376885445</v>
      </c>
      <c r="P81" s="8">
        <f t="shared" si="12"/>
        <v>2.331767258799343</v>
      </c>
      <c r="U81" s="8">
        <v>39</v>
      </c>
      <c r="V81" s="10">
        <f t="shared" si="6"/>
        <v>0.25229162249930387</v>
      </c>
      <c r="X81" s="8">
        <v>-13</v>
      </c>
      <c r="Y81" s="10"/>
    </row>
    <row r="82" spans="1:25" x14ac:dyDescent="0.2">
      <c r="A82" s="8">
        <v>40</v>
      </c>
      <c r="B82" s="13">
        <v>80</v>
      </c>
      <c r="C82" s="13" t="s">
        <v>6</v>
      </c>
      <c r="D82">
        <v>1931.3352735738999</v>
      </c>
      <c r="E82">
        <v>568.79511059370998</v>
      </c>
      <c r="F82">
        <v>144.28864168618</v>
      </c>
      <c r="G82">
        <v>119.31147540984</v>
      </c>
      <c r="H82" s="13"/>
      <c r="I82" s="14">
        <f t="shared" si="8"/>
        <v>449.48363518386998</v>
      </c>
      <c r="J82" s="14">
        <f t="shared" si="9"/>
        <v>1787.04663188772</v>
      </c>
      <c r="K82" s="9">
        <f t="shared" si="10"/>
        <v>449.48363518386998</v>
      </c>
      <c r="L82" s="15">
        <f t="shared" si="7"/>
        <v>0.25152317077986075</v>
      </c>
      <c r="M82" s="15">
        <f t="shared" si="11"/>
        <v>0.26310564844471812</v>
      </c>
      <c r="N82" s="13"/>
      <c r="O82" s="13"/>
      <c r="P82" s="13">
        <f t="shared" si="12"/>
        <v>4.2390209494937467</v>
      </c>
      <c r="U82" s="8">
        <v>39.5</v>
      </c>
      <c r="V82" s="10">
        <f t="shared" si="6"/>
        <v>0.23288639585449605</v>
      </c>
      <c r="X82" s="8">
        <v>-13</v>
      </c>
      <c r="Y82" s="10"/>
    </row>
    <row r="83" spans="1:25" x14ac:dyDescent="0.2">
      <c r="A83" s="8">
        <v>40.5</v>
      </c>
      <c r="B83" s="8">
        <v>81</v>
      </c>
      <c r="D83">
        <v>2031.0954598369999</v>
      </c>
      <c r="E83">
        <v>595.37485448196003</v>
      </c>
      <c r="F83">
        <v>144.19262295082001</v>
      </c>
      <c r="G83">
        <v>119.30796252927</v>
      </c>
      <c r="I83" s="9">
        <f t="shared" si="8"/>
        <v>476.06689195269001</v>
      </c>
      <c r="J83" s="9">
        <f t="shared" si="9"/>
        <v>1886.90283688618</v>
      </c>
      <c r="K83" s="9">
        <f t="shared" si="10"/>
        <v>476.06689195269001</v>
      </c>
      <c r="L83" s="10">
        <f t="shared" si="7"/>
        <v>0.25230069224884361</v>
      </c>
      <c r="M83" s="10">
        <f t="shared" si="11"/>
        <v>0.2640279508845117</v>
      </c>
      <c r="P83" s="8">
        <f t="shared" si="12"/>
        <v>4.6044251280498454</v>
      </c>
      <c r="U83" s="8">
        <v>40</v>
      </c>
      <c r="V83" s="10">
        <f t="shared" si="6"/>
        <v>0.24685392707480777</v>
      </c>
      <c r="X83" s="8">
        <v>-13</v>
      </c>
      <c r="Y83" s="10"/>
    </row>
    <row r="84" spans="1:25" x14ac:dyDescent="0.2">
      <c r="A84" s="8">
        <v>41</v>
      </c>
      <c r="B84" s="8">
        <v>82</v>
      </c>
      <c r="D84">
        <v>2030.4743888242001</v>
      </c>
      <c r="E84">
        <v>601.15017462164997</v>
      </c>
      <c r="F84">
        <v>144.09133489460999</v>
      </c>
      <c r="G84">
        <v>119.53337236534</v>
      </c>
      <c r="I84" s="9">
        <f t="shared" si="8"/>
        <v>481.61680225630994</v>
      </c>
      <c r="J84" s="9">
        <f t="shared" si="9"/>
        <v>1886.38305392959</v>
      </c>
      <c r="K84" s="9">
        <f t="shared" si="10"/>
        <v>481.61680225630994</v>
      </c>
      <c r="L84" s="10">
        <f t="shared" si="7"/>
        <v>0.25531230322125575</v>
      </c>
      <c r="M84" s="10">
        <f t="shared" si="11"/>
        <v>0.26718434282773457</v>
      </c>
      <c r="P84" s="8">
        <f t="shared" si="12"/>
        <v>5.8549463838242266</v>
      </c>
      <c r="U84" s="8">
        <v>150.5</v>
      </c>
      <c r="V84" s="10">
        <f>L302</f>
        <v>0.19813733895436175</v>
      </c>
      <c r="X84" s="8">
        <v>-13</v>
      </c>
      <c r="Y84" s="10"/>
    </row>
    <row r="85" spans="1:25" x14ac:dyDescent="0.2">
      <c r="A85" s="8">
        <v>41.5</v>
      </c>
      <c r="B85" s="8">
        <v>83</v>
      </c>
      <c r="D85">
        <v>2214.7241579559</v>
      </c>
      <c r="E85">
        <v>692.12659698026005</v>
      </c>
      <c r="F85">
        <v>144.47482435596999</v>
      </c>
      <c r="G85">
        <v>119.64929742389</v>
      </c>
      <c r="I85" s="9">
        <f t="shared" si="8"/>
        <v>572.4772995563701</v>
      </c>
      <c r="J85" s="9">
        <f t="shared" si="9"/>
        <v>2070.2493335999297</v>
      </c>
      <c r="K85" s="9">
        <f t="shared" si="10"/>
        <v>572.4772995563701</v>
      </c>
      <c r="L85" s="10">
        <f t="shared" si="7"/>
        <v>0.27652577410127538</v>
      </c>
      <c r="M85" s="10">
        <f t="shared" si="11"/>
        <v>0.28854259467856491</v>
      </c>
      <c r="P85" s="8">
        <f t="shared" si="12"/>
        <v>14.31680676304393</v>
      </c>
      <c r="U85" s="8">
        <v>151</v>
      </c>
      <c r="V85" s="10">
        <f t="shared" ref="V85:V103" si="13">L303</f>
        <v>0.19862272575483753</v>
      </c>
      <c r="X85" s="8">
        <v>-13</v>
      </c>
      <c r="Y85" s="10"/>
    </row>
    <row r="86" spans="1:25" x14ac:dyDescent="0.2">
      <c r="A86" s="8">
        <v>42</v>
      </c>
      <c r="B86" s="8">
        <v>84</v>
      </c>
      <c r="D86">
        <v>2005.2886956522</v>
      </c>
      <c r="E86">
        <v>634.92695652173995</v>
      </c>
      <c r="F86">
        <v>144.20433255269</v>
      </c>
      <c r="G86">
        <v>119.46252927401</v>
      </c>
      <c r="I86" s="9">
        <f t="shared" si="8"/>
        <v>515.46442724772999</v>
      </c>
      <c r="J86" s="9">
        <f t="shared" si="9"/>
        <v>1861.08436309951</v>
      </c>
      <c r="K86" s="9">
        <f t="shared" si="10"/>
        <v>515.46442724772999</v>
      </c>
      <c r="L86" s="10">
        <f t="shared" si="7"/>
        <v>0.27696994153948984</v>
      </c>
      <c r="M86" s="10">
        <f t="shared" si="11"/>
        <v>0.28913154308759009</v>
      </c>
      <c r="P86" s="8">
        <f t="shared" si="12"/>
        <v>14.550140429232576</v>
      </c>
      <c r="U86" s="8">
        <v>151.5</v>
      </c>
      <c r="V86" s="10">
        <f t="shared" si="13"/>
        <v>0.20003576720219546</v>
      </c>
      <c r="X86" s="8">
        <v>-13</v>
      </c>
      <c r="Y86" s="10"/>
    </row>
    <row r="87" spans="1:25" x14ac:dyDescent="0.2">
      <c r="A87" s="8">
        <v>42.5</v>
      </c>
      <c r="B87" s="8">
        <v>85</v>
      </c>
      <c r="D87">
        <v>2062.8202898550999</v>
      </c>
      <c r="E87">
        <v>627.48115942029006</v>
      </c>
      <c r="F87">
        <v>144.3056206089</v>
      </c>
      <c r="G87">
        <v>119.50058548009</v>
      </c>
      <c r="I87" s="9">
        <f t="shared" si="8"/>
        <v>507.98057394020009</v>
      </c>
      <c r="J87" s="9">
        <f t="shared" si="9"/>
        <v>1918.5146692461999</v>
      </c>
      <c r="K87" s="9">
        <f t="shared" si="10"/>
        <v>507.98057394020009</v>
      </c>
      <c r="L87" s="10">
        <f t="shared" si="7"/>
        <v>0.26477805047995273</v>
      </c>
      <c r="M87" s="10">
        <f t="shared" si="11"/>
        <v>0.27708443299886371</v>
      </c>
      <c r="P87" s="8">
        <f t="shared" si="12"/>
        <v>9.7772327841750695</v>
      </c>
      <c r="U87" s="8">
        <v>152</v>
      </c>
      <c r="V87" s="10">
        <f t="shared" si="13"/>
        <v>0.2033701996730968</v>
      </c>
      <c r="X87" s="8">
        <v>-13</v>
      </c>
      <c r="Y87" s="10"/>
    </row>
    <row r="88" spans="1:25" x14ac:dyDescent="0.2">
      <c r="A88" s="8">
        <v>43</v>
      </c>
      <c r="B88" s="8">
        <v>86</v>
      </c>
      <c r="D88">
        <v>1997.2921739129999</v>
      </c>
      <c r="E88">
        <v>567.45913043478004</v>
      </c>
      <c r="F88">
        <v>144.20491803279</v>
      </c>
      <c r="G88">
        <v>119.17798594848</v>
      </c>
      <c r="I88" s="9">
        <f t="shared" si="8"/>
        <v>448.28114448630004</v>
      </c>
      <c r="J88" s="9">
        <f t="shared" si="9"/>
        <v>1853.08725588021</v>
      </c>
      <c r="K88" s="9">
        <f t="shared" si="10"/>
        <v>448.28114448630004</v>
      </c>
      <c r="L88" s="10">
        <f t="shared" si="7"/>
        <v>0.24191043517449914</v>
      </c>
      <c r="M88" s="10">
        <f t="shared" si="11"/>
        <v>0.25436159866422081</v>
      </c>
      <c r="P88" s="8">
        <f t="shared" si="12"/>
        <v>0.77474265048874846</v>
      </c>
      <c r="U88" s="8">
        <v>152.5</v>
      </c>
      <c r="V88" s="10">
        <f t="shared" si="13"/>
        <v>0.19996470569139183</v>
      </c>
      <c r="X88" s="8">
        <v>-13</v>
      </c>
      <c r="Y88" s="10"/>
    </row>
    <row r="89" spans="1:25" x14ac:dyDescent="0.2">
      <c r="A89" s="8">
        <v>43.5</v>
      </c>
      <c r="B89" s="8">
        <v>87</v>
      </c>
      <c r="D89">
        <v>1950.4568115942</v>
      </c>
      <c r="E89">
        <v>540.85275362318998</v>
      </c>
      <c r="F89">
        <v>144.17154566745</v>
      </c>
      <c r="G89">
        <v>119.5</v>
      </c>
      <c r="I89" s="9">
        <f t="shared" si="8"/>
        <v>421.35275362318998</v>
      </c>
      <c r="J89" s="9">
        <f t="shared" si="9"/>
        <v>1806.2852659267501</v>
      </c>
      <c r="K89" s="9">
        <f t="shared" si="10"/>
        <v>421.35275362318998</v>
      </c>
      <c r="L89" s="10">
        <f t="shared" si="7"/>
        <v>0.23327032643817017</v>
      </c>
      <c r="M89" s="10">
        <f t="shared" si="11"/>
        <v>0.24586627089870258</v>
      </c>
      <c r="P89" s="8">
        <f t="shared" si="12"/>
        <v>-2.5909952352516061</v>
      </c>
      <c r="U89" s="8">
        <v>153</v>
      </c>
      <c r="V89" s="10">
        <f t="shared" si="13"/>
        <v>0.18720669688853642</v>
      </c>
      <c r="X89" s="8">
        <v>-13</v>
      </c>
      <c r="Y89" s="10"/>
    </row>
    <row r="90" spans="1:25" x14ac:dyDescent="0.2">
      <c r="A90" s="8">
        <v>44</v>
      </c>
      <c r="B90" s="8">
        <v>88</v>
      </c>
      <c r="D90">
        <v>2064.8601398600999</v>
      </c>
      <c r="E90">
        <v>575.19347319347003</v>
      </c>
      <c r="F90">
        <v>144.30269320842999</v>
      </c>
      <c r="G90">
        <v>119.37295081967</v>
      </c>
      <c r="I90" s="9">
        <f t="shared" si="8"/>
        <v>455.82052237380003</v>
      </c>
      <c r="J90" s="9">
        <f t="shared" si="9"/>
        <v>1920.55744665167</v>
      </c>
      <c r="K90" s="9">
        <f t="shared" si="10"/>
        <v>455.82052237380003</v>
      </c>
      <c r="L90" s="10">
        <f t="shared" si="7"/>
        <v>0.23733761422678851</v>
      </c>
      <c r="M90" s="10">
        <f t="shared" si="11"/>
        <v>0.25007833965813164</v>
      </c>
      <c r="P90" s="8">
        <f t="shared" si="12"/>
        <v>-0.92222861526364142</v>
      </c>
      <c r="U90" s="8">
        <v>153.5</v>
      </c>
      <c r="V90" s="10">
        <f t="shared" si="13"/>
        <v>0.20051842861205232</v>
      </c>
      <c r="X90" s="8">
        <v>-13</v>
      </c>
      <c r="Y90" s="10"/>
    </row>
    <row r="91" spans="1:25" x14ac:dyDescent="0.2">
      <c r="A91" s="8">
        <v>44.5</v>
      </c>
      <c r="B91" s="8">
        <v>89</v>
      </c>
      <c r="D91">
        <v>2010.1451048951001</v>
      </c>
      <c r="E91">
        <v>576.19580419579995</v>
      </c>
      <c r="F91">
        <v>143.85187353629999</v>
      </c>
      <c r="G91">
        <v>119.23360655738</v>
      </c>
      <c r="I91" s="9">
        <f t="shared" si="8"/>
        <v>456.96219763841998</v>
      </c>
      <c r="J91" s="9">
        <f t="shared" si="9"/>
        <v>1866.2932313588001</v>
      </c>
      <c r="K91" s="9">
        <f t="shared" si="10"/>
        <v>456.96219763841998</v>
      </c>
      <c r="L91" s="10">
        <f t="shared" si="7"/>
        <v>0.24485016071441118</v>
      </c>
      <c r="M91" s="10">
        <f t="shared" si="11"/>
        <v>0.25773566711656504</v>
      </c>
      <c r="P91" s="8">
        <f t="shared" si="12"/>
        <v>2.1115044956561824</v>
      </c>
      <c r="U91" s="8">
        <v>154</v>
      </c>
      <c r="V91" s="10">
        <f t="shared" si="13"/>
        <v>0.19795933497197993</v>
      </c>
      <c r="X91" s="8">
        <v>-13</v>
      </c>
      <c r="Y91" s="10"/>
    </row>
    <row r="92" spans="1:25" x14ac:dyDescent="0.2">
      <c r="A92" s="8">
        <v>45</v>
      </c>
      <c r="B92" s="8">
        <v>90</v>
      </c>
      <c r="D92">
        <v>2212.9872611464998</v>
      </c>
      <c r="E92">
        <v>637.00984365953002</v>
      </c>
      <c r="F92">
        <v>144.12119437939</v>
      </c>
      <c r="G92">
        <v>119.29039812646</v>
      </c>
      <c r="I92" s="9">
        <f t="shared" si="8"/>
        <v>517.71944553307003</v>
      </c>
      <c r="J92" s="9">
        <f t="shared" si="9"/>
        <v>2068.8660667671097</v>
      </c>
      <c r="K92" s="9">
        <f t="shared" si="10"/>
        <v>517.71944553307003</v>
      </c>
      <c r="L92" s="10">
        <f t="shared" si="7"/>
        <v>0.25024309395826599</v>
      </c>
      <c r="M92" s="10">
        <f t="shared" si="11"/>
        <v>0.26327338133123057</v>
      </c>
      <c r="P92" s="8">
        <f t="shared" si="12"/>
        <v>4.3054745280255817</v>
      </c>
      <c r="U92" s="8">
        <v>154.5</v>
      </c>
      <c r="V92" s="10">
        <f t="shared" si="13"/>
        <v>0.19696443733173979</v>
      </c>
      <c r="X92" s="8">
        <v>-13</v>
      </c>
      <c r="Y92" s="10"/>
    </row>
    <row r="93" spans="1:25" x14ac:dyDescent="0.2">
      <c r="A93" s="8">
        <v>45.5</v>
      </c>
      <c r="B93" s="8">
        <v>91</v>
      </c>
      <c r="D93">
        <v>2218.0642733063</v>
      </c>
      <c r="E93">
        <v>649.19339895772998</v>
      </c>
      <c r="F93">
        <v>143.82435597189999</v>
      </c>
      <c r="G93">
        <v>119.15339578454</v>
      </c>
      <c r="I93" s="9">
        <f t="shared" si="8"/>
        <v>530.04000317319003</v>
      </c>
      <c r="J93" s="9">
        <f t="shared" si="9"/>
        <v>2074.2399173344002</v>
      </c>
      <c r="K93" s="9">
        <f t="shared" si="10"/>
        <v>530.04000317319003</v>
      </c>
      <c r="L93" s="10">
        <f t="shared" si="7"/>
        <v>0.25553456894916138</v>
      </c>
      <c r="M93" s="10">
        <f t="shared" si="11"/>
        <v>0.26870963729293668</v>
      </c>
      <c r="P93" s="8">
        <f t="shared" si="12"/>
        <v>6.4592481259274814</v>
      </c>
      <c r="U93" s="8">
        <v>155</v>
      </c>
      <c r="V93" s="10">
        <f t="shared" si="13"/>
        <v>0.21008104567925612</v>
      </c>
      <c r="X93" s="8">
        <v>-13</v>
      </c>
      <c r="Y93" s="10"/>
    </row>
    <row r="94" spans="1:25" x14ac:dyDescent="0.2">
      <c r="A94" s="8">
        <v>46</v>
      </c>
      <c r="B94" s="8">
        <v>92</v>
      </c>
      <c r="D94">
        <v>2282.7319050376</v>
      </c>
      <c r="E94">
        <v>657.11001737115998</v>
      </c>
      <c r="F94">
        <v>144.1393442623</v>
      </c>
      <c r="G94">
        <v>119.22716627635</v>
      </c>
      <c r="I94" s="9">
        <f t="shared" si="8"/>
        <v>537.88285109481001</v>
      </c>
      <c r="J94" s="9">
        <f t="shared" si="9"/>
        <v>2138.5925607753002</v>
      </c>
      <c r="K94" s="9">
        <f t="shared" si="10"/>
        <v>537.88285109481001</v>
      </c>
      <c r="L94" s="10">
        <f t="shared" si="7"/>
        <v>0.25151254192140848</v>
      </c>
      <c r="M94" s="10">
        <f t="shared" si="11"/>
        <v>0.2648323912359945</v>
      </c>
      <c r="P94" s="8">
        <f t="shared" si="12"/>
        <v>4.9231338868564931</v>
      </c>
      <c r="U94" s="8">
        <v>155.5</v>
      </c>
      <c r="V94" s="10">
        <f t="shared" si="13"/>
        <v>0.20712355495516663</v>
      </c>
      <c r="X94" s="8">
        <v>-13</v>
      </c>
      <c r="Y94" s="10"/>
    </row>
    <row r="95" spans="1:25" x14ac:dyDescent="0.2">
      <c r="A95" s="8">
        <v>46.5</v>
      </c>
      <c r="B95" s="8">
        <v>93</v>
      </c>
      <c r="D95">
        <v>2226.4302258251</v>
      </c>
      <c r="E95">
        <v>651.47249565720995</v>
      </c>
      <c r="F95">
        <v>144.33840749415</v>
      </c>
      <c r="G95">
        <v>119.3612412178</v>
      </c>
      <c r="I95" s="9">
        <f t="shared" si="8"/>
        <v>532.11125443941</v>
      </c>
      <c r="J95" s="9">
        <f t="shared" si="9"/>
        <v>2082.09181833095</v>
      </c>
      <c r="K95" s="9">
        <f t="shared" si="10"/>
        <v>532.11125443941</v>
      </c>
      <c r="L95" s="10">
        <f t="shared" si="7"/>
        <v>0.2555657006836336</v>
      </c>
      <c r="M95" s="10">
        <f t="shared" si="11"/>
        <v>0.26903033096903034</v>
      </c>
      <c r="P95" s="8">
        <f t="shared" si="12"/>
        <v>6.5863027711557516</v>
      </c>
      <c r="U95" s="8">
        <v>156</v>
      </c>
      <c r="V95" s="10">
        <f t="shared" si="13"/>
        <v>0.21271050299845232</v>
      </c>
      <c r="X95" s="8">
        <v>-13</v>
      </c>
      <c r="Y95" s="10"/>
    </row>
    <row r="96" spans="1:25" x14ac:dyDescent="0.2">
      <c r="A96" s="8">
        <v>47</v>
      </c>
      <c r="B96" s="8">
        <v>94</v>
      </c>
      <c r="D96">
        <v>2204.4887087435</v>
      </c>
      <c r="E96">
        <v>636.00752750434003</v>
      </c>
      <c r="F96">
        <v>143.77224824356</v>
      </c>
      <c r="G96">
        <v>118.85480093677</v>
      </c>
      <c r="I96" s="9">
        <f t="shared" si="8"/>
        <v>517.15272656756997</v>
      </c>
      <c r="J96" s="9">
        <f t="shared" si="9"/>
        <v>2060.7164604999398</v>
      </c>
      <c r="K96" s="9">
        <f t="shared" si="10"/>
        <v>517.15272656756997</v>
      </c>
      <c r="L96" s="10">
        <f t="shared" si="7"/>
        <v>0.25095773071182542</v>
      </c>
      <c r="M96" s="10">
        <f t="shared" si="11"/>
        <v>0.26456714196803288</v>
      </c>
      <c r="P96" s="8">
        <f t="shared" si="12"/>
        <v>4.8180455918566274</v>
      </c>
      <c r="U96" s="8">
        <v>156.5</v>
      </c>
      <c r="V96" s="10">
        <f t="shared" si="13"/>
        <v>0.21870964430901035</v>
      </c>
      <c r="X96" s="8">
        <v>-13</v>
      </c>
      <c r="Y96" s="10"/>
    </row>
    <row r="97" spans="1:25" x14ac:dyDescent="0.2">
      <c r="A97" s="8">
        <v>47.5</v>
      </c>
      <c r="B97" s="8">
        <v>95</v>
      </c>
      <c r="D97">
        <v>2489.5852507374998</v>
      </c>
      <c r="E97">
        <v>688.09026548673</v>
      </c>
      <c r="F97">
        <v>143.80620608899</v>
      </c>
      <c r="G97">
        <v>119.12763466042</v>
      </c>
      <c r="I97" s="9">
        <f t="shared" si="8"/>
        <v>568.96263082631003</v>
      </c>
      <c r="J97" s="9">
        <f t="shared" si="9"/>
        <v>2345.7790446485096</v>
      </c>
      <c r="K97" s="9">
        <f t="shared" si="10"/>
        <v>568.96263082631003</v>
      </c>
      <c r="L97" s="10">
        <f t="shared" si="7"/>
        <v>0.24254740962253038</v>
      </c>
      <c r="M97" s="10">
        <f t="shared" si="11"/>
        <v>0.25630160184954853</v>
      </c>
      <c r="P97" s="8">
        <f t="shared" si="12"/>
        <v>1.5433465701417726</v>
      </c>
      <c r="U97" s="8">
        <v>157</v>
      </c>
      <c r="V97" s="10">
        <f t="shared" si="13"/>
        <v>0.22502453579396345</v>
      </c>
      <c r="X97" s="8">
        <v>-13</v>
      </c>
      <c r="Y97" s="10"/>
    </row>
    <row r="98" spans="1:25" x14ac:dyDescent="0.2">
      <c r="A98" s="8">
        <v>48</v>
      </c>
      <c r="B98" s="8">
        <v>96</v>
      </c>
      <c r="D98">
        <v>2476.5085545723</v>
      </c>
      <c r="E98">
        <v>685.27787610619998</v>
      </c>
      <c r="F98">
        <v>144.27283372365</v>
      </c>
      <c r="G98">
        <v>119.1756440281</v>
      </c>
      <c r="I98" s="9">
        <f t="shared" si="8"/>
        <v>566.10223207809997</v>
      </c>
      <c r="J98" s="9">
        <f t="shared" si="9"/>
        <v>2332.2357208486501</v>
      </c>
      <c r="K98" s="9">
        <f t="shared" si="10"/>
        <v>566.10223207809997</v>
      </c>
      <c r="L98" s="10">
        <f t="shared" si="7"/>
        <v>0.24272942353876117</v>
      </c>
      <c r="M98" s="10">
        <f t="shared" si="11"/>
        <v>0.25662839673659005</v>
      </c>
      <c r="P98" s="8">
        <f t="shared" si="12"/>
        <v>1.6728184354471094</v>
      </c>
      <c r="U98" s="8">
        <v>157.5</v>
      </c>
      <c r="V98" s="10">
        <f t="shared" si="13"/>
        <v>0.2185358043384672</v>
      </c>
      <c r="X98" s="8">
        <v>-13</v>
      </c>
      <c r="Y98" s="10"/>
    </row>
    <row r="99" spans="1:25" x14ac:dyDescent="0.2">
      <c r="A99" s="8">
        <v>48.5</v>
      </c>
      <c r="B99" s="8">
        <v>97</v>
      </c>
      <c r="D99">
        <v>2415.0541327125002</v>
      </c>
      <c r="E99">
        <v>654.59895227007996</v>
      </c>
      <c r="F99">
        <v>143.75936768150001</v>
      </c>
      <c r="G99">
        <v>119.46018735363</v>
      </c>
      <c r="I99" s="9">
        <f t="shared" si="8"/>
        <v>535.13876491644999</v>
      </c>
      <c r="J99" s="9">
        <f t="shared" si="9"/>
        <v>2271.2947650310002</v>
      </c>
      <c r="K99" s="9">
        <f t="shared" si="10"/>
        <v>535.13876491644999</v>
      </c>
      <c r="L99" s="10">
        <f t="shared" si="7"/>
        <v>0.23560956206806827</v>
      </c>
      <c r="M99" s="10">
        <f t="shared" si="11"/>
        <v>0.24965331623670786</v>
      </c>
      <c r="P99" s="8">
        <f t="shared" si="12"/>
        <v>-1.0906173427262063</v>
      </c>
      <c r="U99" s="8">
        <v>158</v>
      </c>
      <c r="V99" s="10">
        <f t="shared" si="13"/>
        <v>0.2125022326859374</v>
      </c>
      <c r="X99" s="8">
        <v>-13</v>
      </c>
      <c r="Y99" s="10"/>
    </row>
    <row r="100" spans="1:25" x14ac:dyDescent="0.2">
      <c r="A100" s="8">
        <v>49</v>
      </c>
      <c r="B100" s="8">
        <v>98</v>
      </c>
      <c r="D100">
        <v>2496.3632130383999</v>
      </c>
      <c r="E100">
        <v>669.52211874271995</v>
      </c>
      <c r="F100">
        <v>144.10948477752001</v>
      </c>
      <c r="G100">
        <v>119.3700234192</v>
      </c>
      <c r="I100" s="9">
        <f t="shared" si="8"/>
        <v>550.15209532351992</v>
      </c>
      <c r="J100" s="9">
        <f t="shared" si="9"/>
        <v>2352.2537282608801</v>
      </c>
      <c r="K100" s="9">
        <f t="shared" si="10"/>
        <v>550.15209532351992</v>
      </c>
      <c r="L100" s="10">
        <f t="shared" si="7"/>
        <v>0.23388297304571409</v>
      </c>
      <c r="M100" s="10">
        <f t="shared" si="11"/>
        <v>0.24807150818516438</v>
      </c>
      <c r="P100" s="8">
        <f t="shared" si="12"/>
        <v>-1.7173090294976652</v>
      </c>
      <c r="U100" s="8">
        <v>158.5</v>
      </c>
      <c r="V100" s="10">
        <f t="shared" si="13"/>
        <v>0.20719057984376138</v>
      </c>
      <c r="X100" s="8">
        <v>-13</v>
      </c>
      <c r="Y100" s="10"/>
    </row>
    <row r="101" spans="1:25" x14ac:dyDescent="0.2">
      <c r="A101" s="8">
        <v>49.5</v>
      </c>
      <c r="B101" s="8">
        <v>99</v>
      </c>
      <c r="D101">
        <v>2406.8188194038999</v>
      </c>
      <c r="E101">
        <v>660.19345412040002</v>
      </c>
      <c r="F101">
        <v>143.5281030445</v>
      </c>
      <c r="G101">
        <v>119.19145199063</v>
      </c>
      <c r="I101" s="9">
        <f t="shared" si="8"/>
        <v>541.00200212977006</v>
      </c>
      <c r="J101" s="9">
        <f t="shared" si="9"/>
        <v>2263.2907163594</v>
      </c>
      <c r="K101" s="9">
        <f t="shared" si="10"/>
        <v>541.00200212977006</v>
      </c>
      <c r="L101" s="10">
        <f t="shared" si="7"/>
        <v>0.23903336775047393</v>
      </c>
      <c r="M101" s="10">
        <f t="shared" si="11"/>
        <v>0.25336668386073496</v>
      </c>
      <c r="P101" s="8">
        <f t="shared" si="12"/>
        <v>0.38057040197727937</v>
      </c>
      <c r="U101" s="8">
        <v>159</v>
      </c>
      <c r="V101" s="10">
        <f t="shared" si="13"/>
        <v>0.20309535908531121</v>
      </c>
      <c r="X101" s="8">
        <v>-13</v>
      </c>
      <c r="Y101" s="10"/>
    </row>
    <row r="102" spans="1:25" x14ac:dyDescent="0.2">
      <c r="A102" s="8">
        <v>50</v>
      </c>
      <c r="B102" s="8">
        <v>100</v>
      </c>
      <c r="D102">
        <v>2413.4640561074998</v>
      </c>
      <c r="E102">
        <v>649.19111630625002</v>
      </c>
      <c r="F102">
        <v>144.03044496486999</v>
      </c>
      <c r="G102">
        <v>119.28981264637</v>
      </c>
      <c r="I102" s="9">
        <f t="shared" si="8"/>
        <v>529.90130365988</v>
      </c>
      <c r="J102" s="9">
        <f t="shared" si="9"/>
        <v>2269.4336111426296</v>
      </c>
      <c r="K102" s="9">
        <f t="shared" si="10"/>
        <v>529.90130365988</v>
      </c>
      <c r="L102" s="10">
        <f t="shared" si="7"/>
        <v>0.23349495709331711</v>
      </c>
      <c r="M102" s="10">
        <f t="shared" si="11"/>
        <v>0.24797305417438884</v>
      </c>
      <c r="P102" s="8">
        <f t="shared" si="12"/>
        <v>-1.7563152224564986</v>
      </c>
      <c r="U102" s="8">
        <v>159.5</v>
      </c>
      <c r="V102" s="10">
        <f t="shared" si="13"/>
        <v>0.21345126491464672</v>
      </c>
      <c r="X102" s="8">
        <v>-13</v>
      </c>
      <c r="Y102" s="10"/>
    </row>
    <row r="103" spans="1:25" x14ac:dyDescent="0.2">
      <c r="A103" s="8">
        <v>50.5</v>
      </c>
      <c r="B103" s="8">
        <v>101</v>
      </c>
      <c r="D103">
        <v>2159.2470997680002</v>
      </c>
      <c r="E103">
        <v>582.65951276101998</v>
      </c>
      <c r="F103">
        <v>143.92388758781999</v>
      </c>
      <c r="G103">
        <v>118.9355971897</v>
      </c>
      <c r="I103" s="9">
        <f t="shared" si="8"/>
        <v>463.72391557131999</v>
      </c>
      <c r="J103" s="9">
        <f t="shared" si="9"/>
        <v>2015.3232121801802</v>
      </c>
      <c r="K103" s="9">
        <f t="shared" si="10"/>
        <v>463.72391557131999</v>
      </c>
      <c r="L103" s="10">
        <f t="shared" si="7"/>
        <v>0.23009902965870305</v>
      </c>
      <c r="M103" s="10">
        <f t="shared" si="11"/>
        <v>0.2447219077105855</v>
      </c>
      <c r="P103" s="8">
        <f t="shared" si="12"/>
        <v>-3.0443769815010802</v>
      </c>
      <c r="U103" s="8">
        <v>160</v>
      </c>
      <c r="V103" s="10">
        <f t="shared" si="13"/>
        <v>0.22809541877404629</v>
      </c>
      <c r="X103" s="8">
        <v>-13</v>
      </c>
      <c r="Y103" s="10"/>
    </row>
    <row r="104" spans="1:25" x14ac:dyDescent="0.2">
      <c r="A104" s="8">
        <v>51</v>
      </c>
      <c r="B104" s="8">
        <v>102</v>
      </c>
      <c r="D104">
        <v>2080.8612884504</v>
      </c>
      <c r="E104">
        <v>562.57515960533999</v>
      </c>
      <c r="F104">
        <v>143.78981264637</v>
      </c>
      <c r="G104">
        <v>119.037470726</v>
      </c>
      <c r="I104" s="9">
        <f t="shared" si="8"/>
        <v>443.53768887934001</v>
      </c>
      <c r="J104" s="9">
        <f t="shared" si="9"/>
        <v>1937.0714758040301</v>
      </c>
      <c r="K104" s="9">
        <f t="shared" si="10"/>
        <v>443.53768887934001</v>
      </c>
      <c r="L104" s="10">
        <f t="shared" si="7"/>
        <v>0.22897332102587414</v>
      </c>
      <c r="M104" s="10">
        <f t="shared" si="11"/>
        <v>0.24374098004856731</v>
      </c>
      <c r="P104" s="8">
        <f t="shared" si="12"/>
        <v>-3.4330077072778984</v>
      </c>
      <c r="X104" s="8">
        <v>-13</v>
      </c>
      <c r="Y104" s="10"/>
    </row>
    <row r="105" spans="1:25" x14ac:dyDescent="0.2">
      <c r="A105" s="8">
        <v>51.5</v>
      </c>
      <c r="B105" s="8">
        <v>103</v>
      </c>
      <c r="D105">
        <v>1949.9895531051</v>
      </c>
      <c r="E105">
        <v>545.82182240278996</v>
      </c>
      <c r="F105">
        <v>143.95960187354001</v>
      </c>
      <c r="G105">
        <v>118.9912177986</v>
      </c>
      <c r="I105" s="9">
        <f t="shared" si="8"/>
        <v>426.83060460418994</v>
      </c>
      <c r="J105" s="9">
        <f t="shared" si="9"/>
        <v>1806.0299512315601</v>
      </c>
      <c r="K105" s="9">
        <f t="shared" si="10"/>
        <v>426.83060460418994</v>
      </c>
      <c r="L105" s="10">
        <f t="shared" si="7"/>
        <v>0.2363363931551232</v>
      </c>
      <c r="M105" s="10">
        <f t="shared" si="11"/>
        <v>0.25124883314862706</v>
      </c>
      <c r="P105" s="8">
        <f t="shared" si="12"/>
        <v>-0.45849438455352454</v>
      </c>
      <c r="V105" s="10"/>
      <c r="X105" s="8">
        <v>-13</v>
      </c>
    </row>
    <row r="106" spans="1:25" x14ac:dyDescent="0.2">
      <c r="A106" s="8">
        <v>52</v>
      </c>
      <c r="B106" s="8">
        <v>104</v>
      </c>
      <c r="D106">
        <v>2103.8582219640002</v>
      </c>
      <c r="E106">
        <v>573.90586868100002</v>
      </c>
      <c r="F106">
        <v>144.06908665104999</v>
      </c>
      <c r="G106">
        <v>118.89637002342</v>
      </c>
      <c r="I106" s="9">
        <f t="shared" si="8"/>
        <v>455.00949865758002</v>
      </c>
      <c r="J106" s="9">
        <f t="shared" si="9"/>
        <v>1959.7891353129503</v>
      </c>
      <c r="K106" s="9">
        <f t="shared" si="10"/>
        <v>455.00949865758002</v>
      </c>
      <c r="L106" s="10">
        <f t="shared" si="7"/>
        <v>0.23217268146806086</v>
      </c>
      <c r="M106" s="10">
        <f t="shared" si="11"/>
        <v>0.24722990243237547</v>
      </c>
      <c r="P106" s="8">
        <f t="shared" si="12"/>
        <v>-2.0507422348080047</v>
      </c>
      <c r="X106" s="8">
        <v>-13</v>
      </c>
    </row>
    <row r="107" spans="1:25" x14ac:dyDescent="0.2">
      <c r="A107" s="8">
        <v>52.5</v>
      </c>
      <c r="B107" s="8">
        <v>105</v>
      </c>
      <c r="D107">
        <v>2220.5520046484999</v>
      </c>
      <c r="E107">
        <v>585.56246368390998</v>
      </c>
      <c r="F107">
        <v>143.46252927401</v>
      </c>
      <c r="G107">
        <v>119.15690866511</v>
      </c>
      <c r="I107" s="9">
        <f t="shared" si="8"/>
        <v>466.40555501879999</v>
      </c>
      <c r="J107" s="9">
        <f t="shared" si="9"/>
        <v>2077.0894753744897</v>
      </c>
      <c r="K107" s="9">
        <f t="shared" si="10"/>
        <v>466.40555501879999</v>
      </c>
      <c r="L107" s="10">
        <f t="shared" si="7"/>
        <v>0.22454764734422875</v>
      </c>
      <c r="M107" s="10">
        <f t="shared" si="11"/>
        <v>0.23974964927935408</v>
      </c>
      <c r="P107" s="8">
        <f t="shared" si="12"/>
        <v>-5.0143208190554871</v>
      </c>
      <c r="X107" s="8">
        <v>-13</v>
      </c>
    </row>
    <row r="108" spans="1:25" x14ac:dyDescent="0.2">
      <c r="A108" s="8">
        <v>53</v>
      </c>
      <c r="B108" s="8">
        <v>106</v>
      </c>
      <c r="D108">
        <v>2199.9377182771</v>
      </c>
      <c r="E108">
        <v>583.99883585564999</v>
      </c>
      <c r="F108">
        <v>143.62763466042</v>
      </c>
      <c r="G108">
        <v>118.85831381733</v>
      </c>
      <c r="I108" s="9">
        <f t="shared" si="8"/>
        <v>465.14052203832</v>
      </c>
      <c r="J108" s="9">
        <f t="shared" si="9"/>
        <v>2056.31008361668</v>
      </c>
      <c r="K108" s="9">
        <f t="shared" si="10"/>
        <v>465.14052203832</v>
      </c>
      <c r="L108" s="10">
        <f t="shared" si="7"/>
        <v>0.2262015470060923</v>
      </c>
      <c r="M108" s="10">
        <f t="shared" si="11"/>
        <v>0.24154832991202835</v>
      </c>
      <c r="P108" s="8">
        <f t="shared" si="12"/>
        <v>-4.3017070486590807</v>
      </c>
      <c r="X108" s="8">
        <v>-13</v>
      </c>
    </row>
    <row r="109" spans="1:25" x14ac:dyDescent="0.2">
      <c r="A109" s="8">
        <v>53.5</v>
      </c>
      <c r="B109" s="8">
        <v>107</v>
      </c>
      <c r="D109">
        <v>2305.7508731082999</v>
      </c>
      <c r="E109">
        <v>625.11059371362001</v>
      </c>
      <c r="F109">
        <v>143.53864168618</v>
      </c>
      <c r="G109">
        <v>119.34074941452</v>
      </c>
      <c r="I109" s="9">
        <f t="shared" si="8"/>
        <v>505.76984429909999</v>
      </c>
      <c r="J109" s="9">
        <f t="shared" si="9"/>
        <v>2162.2122314221197</v>
      </c>
      <c r="K109" s="9">
        <f t="shared" si="10"/>
        <v>505.76984429909999</v>
      </c>
      <c r="L109" s="10">
        <f t="shared" si="7"/>
        <v>0.23391313625418145</v>
      </c>
      <c r="M109" s="10">
        <f t="shared" si="11"/>
        <v>0.24940470013092819</v>
      </c>
      <c r="P109" s="8">
        <f t="shared" si="12"/>
        <v>-1.1891157961495418</v>
      </c>
      <c r="X109" s="8">
        <v>-13</v>
      </c>
    </row>
    <row r="110" spans="1:25" x14ac:dyDescent="0.2">
      <c r="A110" s="8">
        <v>54</v>
      </c>
      <c r="B110" s="8">
        <v>108</v>
      </c>
      <c r="D110">
        <v>2241.9604190919999</v>
      </c>
      <c r="E110">
        <v>620.20779976716994</v>
      </c>
      <c r="F110">
        <v>143.18559718969999</v>
      </c>
      <c r="G110">
        <v>118.93442622951</v>
      </c>
      <c r="I110" s="9">
        <f t="shared" si="8"/>
        <v>501.27337353765995</v>
      </c>
      <c r="J110" s="9">
        <f t="shared" si="9"/>
        <v>2098.7748219023001</v>
      </c>
      <c r="K110" s="9">
        <f t="shared" si="10"/>
        <v>501.27337353765995</v>
      </c>
      <c r="L110" s="10">
        <f t="shared" si="7"/>
        <v>0.23884095059007462</v>
      </c>
      <c r="M110" s="10">
        <f t="shared" si="11"/>
        <v>0.25447729543763209</v>
      </c>
      <c r="P110" s="8">
        <f t="shared" si="12"/>
        <v>0.82058020076065386</v>
      </c>
      <c r="X110" s="8">
        <v>-13</v>
      </c>
    </row>
    <row r="111" spans="1:25" x14ac:dyDescent="0.2">
      <c r="A111" s="8">
        <v>54.5</v>
      </c>
      <c r="B111" s="8">
        <v>109</v>
      </c>
      <c r="D111">
        <v>2290.0162980209998</v>
      </c>
      <c r="E111">
        <v>621.09778812572995</v>
      </c>
      <c r="F111">
        <v>144.01170960187</v>
      </c>
      <c r="G111">
        <v>119.03044496487</v>
      </c>
      <c r="I111" s="9">
        <f t="shared" si="8"/>
        <v>502.06734316085993</v>
      </c>
      <c r="J111" s="9">
        <f t="shared" si="9"/>
        <v>2146.00458841913</v>
      </c>
      <c r="K111" s="9">
        <f t="shared" si="10"/>
        <v>502.06734316085993</v>
      </c>
      <c r="L111" s="10">
        <f t="shared" si="7"/>
        <v>0.23395445931022521</v>
      </c>
      <c r="M111" s="10">
        <f t="shared" si="11"/>
        <v>0.2497355851285934</v>
      </c>
      <c r="P111" s="8">
        <f t="shared" si="12"/>
        <v>-1.0580234824444508</v>
      </c>
      <c r="X111" s="8">
        <v>-13</v>
      </c>
    </row>
    <row r="112" spans="1:25" x14ac:dyDescent="0.2">
      <c r="A112" s="8">
        <v>55</v>
      </c>
      <c r="B112" s="8">
        <v>110</v>
      </c>
      <c r="D112">
        <v>2351.8981373689999</v>
      </c>
      <c r="E112">
        <v>606.62747380675</v>
      </c>
      <c r="F112">
        <v>142.97833723653</v>
      </c>
      <c r="G112">
        <v>118.83255269321</v>
      </c>
      <c r="I112" s="9">
        <f t="shared" si="8"/>
        <v>487.79492111354</v>
      </c>
      <c r="J112" s="9">
        <f t="shared" si="9"/>
        <v>2208.9198001324698</v>
      </c>
      <c r="K112" s="9">
        <f t="shared" si="10"/>
        <v>487.79492111354</v>
      </c>
      <c r="L112" s="10">
        <f t="shared" si="7"/>
        <v>0.22082962047073268</v>
      </c>
      <c r="M112" s="10">
        <f t="shared" si="11"/>
        <v>0.23675552725991159</v>
      </c>
      <c r="P112" s="8">
        <f t="shared" si="12"/>
        <v>-6.2005528507694834</v>
      </c>
      <c r="X112" s="8">
        <v>-13</v>
      </c>
    </row>
    <row r="113" spans="1:24" x14ac:dyDescent="0.2">
      <c r="A113" s="8">
        <v>55.5</v>
      </c>
      <c r="B113" s="8">
        <v>111</v>
      </c>
      <c r="D113">
        <v>2202.2194412107001</v>
      </c>
      <c r="E113">
        <v>596.56169965076003</v>
      </c>
      <c r="F113">
        <v>143.16393442623001</v>
      </c>
      <c r="G113">
        <v>119.00995316159</v>
      </c>
      <c r="I113" s="9">
        <f t="shared" si="8"/>
        <v>477.55174648917</v>
      </c>
      <c r="J113" s="9">
        <f t="shared" si="9"/>
        <v>2059.0555067844703</v>
      </c>
      <c r="K113" s="9">
        <f t="shared" si="10"/>
        <v>477.55174648917</v>
      </c>
      <c r="L113" s="10">
        <f t="shared" si="7"/>
        <v>0.2319275730623406</v>
      </c>
      <c r="M113" s="10">
        <f t="shared" si="11"/>
        <v>0.24799826082233023</v>
      </c>
      <c r="P113" s="8">
        <f t="shared" si="12"/>
        <v>-1.7463286778180183</v>
      </c>
      <c r="X113" s="8">
        <v>-13</v>
      </c>
    </row>
    <row r="114" spans="1:24" x14ac:dyDescent="0.2">
      <c r="A114" s="8">
        <v>56</v>
      </c>
      <c r="B114" s="8">
        <v>112</v>
      </c>
      <c r="D114">
        <v>2195.9557625145999</v>
      </c>
      <c r="E114">
        <v>586.76775320139996</v>
      </c>
      <c r="F114">
        <v>143.38992974239</v>
      </c>
      <c r="G114">
        <v>118.80737704918</v>
      </c>
      <c r="I114" s="9">
        <f t="shared" si="8"/>
        <v>467.96037615221996</v>
      </c>
      <c r="J114" s="9">
        <f t="shared" si="9"/>
        <v>2052.5658327722099</v>
      </c>
      <c r="K114" s="9">
        <f t="shared" si="10"/>
        <v>467.96037615221996</v>
      </c>
      <c r="L114" s="10">
        <f t="shared" si="7"/>
        <v>0.22798799857259117</v>
      </c>
      <c r="M114" s="10">
        <f t="shared" si="11"/>
        <v>0.24420346730339151</v>
      </c>
      <c r="P114" s="8">
        <f t="shared" si="12"/>
        <v>-3.2497762984143099</v>
      </c>
      <c r="X114" s="8">
        <v>-13</v>
      </c>
    </row>
    <row r="115" spans="1:24" x14ac:dyDescent="0.2">
      <c r="A115" s="8">
        <v>56.5</v>
      </c>
      <c r="B115" s="8">
        <v>113</v>
      </c>
      <c r="D115">
        <v>2241.7287543655002</v>
      </c>
      <c r="E115">
        <v>591.39755529685999</v>
      </c>
      <c r="F115">
        <v>143.21604215457</v>
      </c>
      <c r="G115">
        <v>118.67740046838</v>
      </c>
      <c r="I115" s="9">
        <f t="shared" si="8"/>
        <v>472.72015482847996</v>
      </c>
      <c r="J115" s="9">
        <f t="shared" si="9"/>
        <v>2098.5127122109302</v>
      </c>
      <c r="K115" s="9">
        <f t="shared" si="10"/>
        <v>472.72015482847996</v>
      </c>
      <c r="L115" s="10">
        <f t="shared" si="7"/>
        <v>0.22526437513472872</v>
      </c>
      <c r="M115" s="10">
        <f t="shared" si="11"/>
        <v>0.24162462483633979</v>
      </c>
      <c r="P115" s="8">
        <f t="shared" si="12"/>
        <v>-4.2714799962918981</v>
      </c>
      <c r="X115" s="8">
        <v>-13</v>
      </c>
    </row>
    <row r="116" spans="1:24" x14ac:dyDescent="0.2">
      <c r="A116" s="8">
        <v>57</v>
      </c>
      <c r="B116" s="8">
        <v>114</v>
      </c>
      <c r="D116">
        <v>2079.2188591385002</v>
      </c>
      <c r="E116">
        <v>567.89231664726003</v>
      </c>
      <c r="F116">
        <v>143.64637002341999</v>
      </c>
      <c r="G116">
        <v>118.80620608899</v>
      </c>
      <c r="I116" s="9">
        <f t="shared" si="8"/>
        <v>449.08611055827004</v>
      </c>
      <c r="J116" s="9">
        <f t="shared" si="9"/>
        <v>1935.5724891150803</v>
      </c>
      <c r="K116" s="9">
        <f t="shared" si="10"/>
        <v>449.08611055827004</v>
      </c>
      <c r="L116" s="10">
        <f t="shared" si="7"/>
        <v>0.2320172006389627</v>
      </c>
      <c r="M116" s="10">
        <f t="shared" si="11"/>
        <v>0.24852223131138448</v>
      </c>
      <c r="P116" s="8">
        <f t="shared" si="12"/>
        <v>-1.5387384147115275</v>
      </c>
      <c r="X116" s="8">
        <v>-13</v>
      </c>
    </row>
    <row r="117" spans="1:24" x14ac:dyDescent="0.2">
      <c r="A117" s="8">
        <v>57.5</v>
      </c>
      <c r="B117" s="8">
        <v>115</v>
      </c>
      <c r="D117">
        <v>2038.2154115587</v>
      </c>
      <c r="E117">
        <v>546.25510799767005</v>
      </c>
      <c r="F117">
        <v>143.09718969554999</v>
      </c>
      <c r="G117">
        <v>118.38817330211</v>
      </c>
      <c r="I117" s="9">
        <f t="shared" si="8"/>
        <v>427.86693469556008</v>
      </c>
      <c r="J117" s="9">
        <f t="shared" si="9"/>
        <v>1895.11822186315</v>
      </c>
      <c r="K117" s="9">
        <f t="shared" si="10"/>
        <v>427.86693469556008</v>
      </c>
      <c r="L117" s="10">
        <f t="shared" si="7"/>
        <v>0.22577321549623997</v>
      </c>
      <c r="M117" s="10">
        <f t="shared" si="11"/>
        <v>0.24242302713947245</v>
      </c>
      <c r="P117" s="8">
        <f t="shared" si="12"/>
        <v>-3.9551634333662031</v>
      </c>
      <c r="X117" s="8">
        <v>-13</v>
      </c>
    </row>
    <row r="118" spans="1:24" x14ac:dyDescent="0.2">
      <c r="A118" s="8">
        <v>58</v>
      </c>
      <c r="B118" s="8">
        <v>116</v>
      </c>
      <c r="D118">
        <v>2045.3444249854001</v>
      </c>
      <c r="E118">
        <v>538.92060712200998</v>
      </c>
      <c r="F118">
        <v>143.55620608899</v>
      </c>
      <c r="G118">
        <v>118.73711943794</v>
      </c>
      <c r="I118" s="9">
        <f t="shared" si="8"/>
        <v>420.18348768406997</v>
      </c>
      <c r="J118" s="9">
        <f t="shared" si="9"/>
        <v>1901.7882188964102</v>
      </c>
      <c r="K118" s="9">
        <f t="shared" si="10"/>
        <v>420.18348768406997</v>
      </c>
      <c r="L118" s="10">
        <f t="shared" si="7"/>
        <v>0.22094126123459662</v>
      </c>
      <c r="M118" s="10">
        <f t="shared" si="11"/>
        <v>0.23773585384863982</v>
      </c>
      <c r="P118" s="8">
        <f t="shared" si="12"/>
        <v>-5.8121602623782866</v>
      </c>
      <c r="X118" s="8">
        <v>-13</v>
      </c>
    </row>
    <row r="119" spans="1:24" x14ac:dyDescent="0.2">
      <c r="A119" s="8">
        <v>58.5</v>
      </c>
      <c r="B119" s="8">
        <v>117</v>
      </c>
      <c r="D119">
        <v>2106.5539988324999</v>
      </c>
      <c r="E119">
        <v>538.29597197897999</v>
      </c>
      <c r="F119">
        <v>143.86826697891999</v>
      </c>
      <c r="G119">
        <v>118.56323185012</v>
      </c>
      <c r="I119" s="9">
        <f t="shared" si="8"/>
        <v>419.73274012885997</v>
      </c>
      <c r="J119" s="9">
        <f t="shared" si="9"/>
        <v>1962.6857318535799</v>
      </c>
      <c r="K119" s="9">
        <f t="shared" si="10"/>
        <v>419.73274012885997</v>
      </c>
      <c r="L119" s="10">
        <f t="shared" si="7"/>
        <v>0.21385631602490951</v>
      </c>
      <c r="M119" s="10">
        <f t="shared" si="11"/>
        <v>0.23079568960976343</v>
      </c>
      <c r="P119" s="8">
        <f t="shared" si="12"/>
        <v>-8.5617626740542416</v>
      </c>
      <c r="X119" s="8">
        <v>-13</v>
      </c>
    </row>
    <row r="120" spans="1:24" x14ac:dyDescent="0.2">
      <c r="A120" s="8">
        <v>59</v>
      </c>
      <c r="B120" s="8">
        <v>118</v>
      </c>
      <c r="D120">
        <v>2098.0817279625999</v>
      </c>
      <c r="E120">
        <v>522.47051955633003</v>
      </c>
      <c r="F120">
        <v>143.48829039813</v>
      </c>
      <c r="G120">
        <v>118.55035128806</v>
      </c>
      <c r="I120" s="9">
        <f t="shared" si="8"/>
        <v>403.92016826827</v>
      </c>
      <c r="J120" s="9">
        <f t="shared" si="9"/>
        <v>1954.5934375644699</v>
      </c>
      <c r="K120" s="9">
        <f t="shared" si="10"/>
        <v>403.92016826827</v>
      </c>
      <c r="L120" s="10">
        <f t="shared" si="7"/>
        <v>0.2066517570894828</v>
      </c>
      <c r="M120" s="10">
        <f t="shared" si="11"/>
        <v>0.22373591164514745</v>
      </c>
      <c r="P120" s="8">
        <f t="shared" si="12"/>
        <v>-11.35875448134721</v>
      </c>
      <c r="X120" s="8">
        <v>-13</v>
      </c>
    </row>
    <row r="121" spans="1:24" x14ac:dyDescent="0.2">
      <c r="A121" s="8">
        <v>59.5</v>
      </c>
      <c r="B121" s="8">
        <v>119</v>
      </c>
      <c r="D121">
        <v>2039.7047563804999</v>
      </c>
      <c r="E121">
        <v>521.20185614849004</v>
      </c>
      <c r="F121">
        <v>143.55093676815</v>
      </c>
      <c r="G121">
        <v>118.63817330211</v>
      </c>
      <c r="I121" s="9">
        <f t="shared" si="8"/>
        <v>402.56368284638006</v>
      </c>
      <c r="J121" s="9">
        <f t="shared" si="9"/>
        <v>1896.1538196123499</v>
      </c>
      <c r="K121" s="9">
        <f t="shared" si="10"/>
        <v>402.56368284638006</v>
      </c>
      <c r="L121" s="10">
        <f t="shared" si="7"/>
        <v>0.21230539351954067</v>
      </c>
      <c r="M121" s="10">
        <f t="shared" si="11"/>
        <v>0.22953432904601603</v>
      </c>
      <c r="P121" s="8">
        <f t="shared" si="12"/>
        <v>-9.0614972521849602</v>
      </c>
      <c r="X121" s="8">
        <v>-13</v>
      </c>
    </row>
    <row r="122" spans="1:24" x14ac:dyDescent="0.2">
      <c r="A122" s="8">
        <v>60</v>
      </c>
      <c r="B122" s="8">
        <v>120</v>
      </c>
      <c r="D122">
        <v>2152.4257540602998</v>
      </c>
      <c r="E122">
        <v>538.53538283063006</v>
      </c>
      <c r="F122">
        <v>142.88173302108001</v>
      </c>
      <c r="G122">
        <v>118.7681498829</v>
      </c>
      <c r="I122" s="9">
        <f t="shared" si="8"/>
        <v>419.76723294773007</v>
      </c>
      <c r="J122" s="9">
        <f t="shared" si="9"/>
        <v>2009.5440210392198</v>
      </c>
      <c r="K122" s="9">
        <f t="shared" si="10"/>
        <v>419.76723294773007</v>
      </c>
      <c r="L122" s="10">
        <f t="shared" si="7"/>
        <v>0.20888680643614402</v>
      </c>
      <c r="M122" s="10">
        <f t="shared" si="11"/>
        <v>0.2262605229334301</v>
      </c>
      <c r="P122" s="8">
        <f t="shared" si="12"/>
        <v>-10.358536468072902</v>
      </c>
      <c r="X122" s="8">
        <v>-13</v>
      </c>
    </row>
    <row r="123" spans="1:24" x14ac:dyDescent="0.2">
      <c r="A123" s="8">
        <v>60.5</v>
      </c>
      <c r="B123" s="8">
        <v>121</v>
      </c>
      <c r="D123">
        <v>2034.4512761021001</v>
      </c>
      <c r="E123">
        <v>511.20765661253</v>
      </c>
      <c r="F123">
        <v>143.53688524590001</v>
      </c>
      <c r="G123">
        <v>118.65573770492</v>
      </c>
      <c r="I123" s="9">
        <f t="shared" si="8"/>
        <v>392.55191890761</v>
      </c>
      <c r="J123" s="9">
        <f t="shared" si="9"/>
        <v>1890.9143908562</v>
      </c>
      <c r="K123" s="9">
        <f t="shared" si="10"/>
        <v>392.55191890761</v>
      </c>
      <c r="L123" s="10">
        <f t="shared" si="7"/>
        <v>0.20759899062900661</v>
      </c>
      <c r="M123" s="10">
        <f t="shared" si="11"/>
        <v>0.22511748809710341</v>
      </c>
      <c r="P123" s="8">
        <f t="shared" si="12"/>
        <v>-10.811391938695357</v>
      </c>
      <c r="X123" s="8">
        <v>-13</v>
      </c>
    </row>
    <row r="124" spans="1:24" x14ac:dyDescent="0.2">
      <c r="A124" s="8">
        <v>61</v>
      </c>
      <c r="B124" s="8">
        <v>122</v>
      </c>
      <c r="D124">
        <v>2232.7215777261999</v>
      </c>
      <c r="E124">
        <v>513.62296983758995</v>
      </c>
      <c r="F124">
        <v>143.32142857143</v>
      </c>
      <c r="G124">
        <v>118.85772833724</v>
      </c>
      <c r="I124" s="9">
        <f t="shared" si="8"/>
        <v>394.76524150034993</v>
      </c>
      <c r="J124" s="9">
        <f t="shared" si="9"/>
        <v>2089.4001491547701</v>
      </c>
      <c r="K124" s="9">
        <f t="shared" si="10"/>
        <v>394.76524150034993</v>
      </c>
      <c r="L124" s="10">
        <f t="shared" si="7"/>
        <v>0.18893711750716838</v>
      </c>
      <c r="M124" s="10">
        <f t="shared" si="11"/>
        <v>0.2066003959460759</v>
      </c>
      <c r="P124" s="8">
        <f t="shared" si="12"/>
        <v>-18.147621959086667</v>
      </c>
      <c r="X124" s="8">
        <v>-13</v>
      </c>
    </row>
    <row r="125" spans="1:24" x14ac:dyDescent="0.2">
      <c r="A125" s="8">
        <v>61.5</v>
      </c>
      <c r="B125" s="8">
        <v>123</v>
      </c>
      <c r="D125">
        <v>2120.5257913247001</v>
      </c>
      <c r="E125">
        <v>508.96307151231002</v>
      </c>
      <c r="F125">
        <v>143.25819672130999</v>
      </c>
      <c r="G125">
        <v>118.52400468384</v>
      </c>
      <c r="I125" s="9">
        <f t="shared" si="8"/>
        <v>390.43906682847</v>
      </c>
      <c r="J125" s="9">
        <f t="shared" si="9"/>
        <v>1977.2675946033901</v>
      </c>
      <c r="K125" s="9">
        <f t="shared" si="10"/>
        <v>390.43906682847</v>
      </c>
      <c r="L125" s="10">
        <f t="shared" si="7"/>
        <v>0.19746394868054579</v>
      </c>
      <c r="M125" s="10">
        <f t="shared" si="11"/>
        <v>0.21527200809026403</v>
      </c>
      <c r="P125" s="8">
        <f t="shared" si="12"/>
        <v>-14.712042505330331</v>
      </c>
      <c r="X125" s="8">
        <v>-13</v>
      </c>
    </row>
    <row r="126" spans="1:24" x14ac:dyDescent="0.2">
      <c r="A126" s="8">
        <v>62</v>
      </c>
      <c r="B126" s="8">
        <v>124</v>
      </c>
      <c r="D126">
        <v>2003.825908558</v>
      </c>
      <c r="E126">
        <v>497.18405627198001</v>
      </c>
      <c r="F126">
        <v>143.08079625293001</v>
      </c>
      <c r="G126">
        <v>118.49180327869</v>
      </c>
      <c r="I126" s="9">
        <f t="shared" si="8"/>
        <v>378.69225299329003</v>
      </c>
      <c r="J126" s="9">
        <f t="shared" si="9"/>
        <v>1860.7451123050701</v>
      </c>
      <c r="K126" s="9">
        <f t="shared" si="10"/>
        <v>378.69225299329003</v>
      </c>
      <c r="L126" s="10">
        <f t="shared" si="7"/>
        <v>0.20351645719180222</v>
      </c>
      <c r="M126" s="10">
        <f t="shared" si="11"/>
        <v>0.22146929757233119</v>
      </c>
      <c r="P126" s="8">
        <f t="shared" si="12"/>
        <v>-12.256757368086276</v>
      </c>
      <c r="X126" s="8">
        <v>-13</v>
      </c>
    </row>
    <row r="127" spans="1:24" x14ac:dyDescent="0.2">
      <c r="A127" s="8">
        <v>62.5</v>
      </c>
      <c r="B127" s="8">
        <v>125</v>
      </c>
      <c r="D127">
        <v>2105.9052077237998</v>
      </c>
      <c r="E127">
        <v>530.38619075482995</v>
      </c>
      <c r="F127">
        <v>143.51053864169</v>
      </c>
      <c r="G127">
        <v>118.77224824356</v>
      </c>
      <c r="I127" s="9">
        <f t="shared" si="8"/>
        <v>411.61394251126995</v>
      </c>
      <c r="J127" s="9">
        <f t="shared" si="9"/>
        <v>1962.3946690821099</v>
      </c>
      <c r="K127" s="9">
        <f t="shared" si="10"/>
        <v>411.61394251126995</v>
      </c>
      <c r="L127" s="10">
        <f t="shared" si="7"/>
        <v>0.2097508462473546</v>
      </c>
      <c r="M127" s="10">
        <f t="shared" si="11"/>
        <v>0.22784846759869426</v>
      </c>
      <c r="P127" s="8">
        <f t="shared" si="12"/>
        <v>-9.729413535108252</v>
      </c>
      <c r="X127" s="8">
        <v>-13</v>
      </c>
    </row>
    <row r="128" spans="1:24" x14ac:dyDescent="0.2">
      <c r="A128" s="8">
        <v>63</v>
      </c>
      <c r="B128" s="8">
        <v>126</v>
      </c>
      <c r="D128">
        <v>2245.5184318315</v>
      </c>
      <c r="E128">
        <v>532.01696898771002</v>
      </c>
      <c r="F128">
        <v>143.50878220141001</v>
      </c>
      <c r="G128">
        <v>118.22365339579</v>
      </c>
      <c r="I128" s="9">
        <f t="shared" si="8"/>
        <v>413.79331559192002</v>
      </c>
      <c r="J128" s="9">
        <f t="shared" si="9"/>
        <v>2102.0096496300898</v>
      </c>
      <c r="K128" s="9">
        <f t="shared" si="10"/>
        <v>413.79331559192002</v>
      </c>
      <c r="L128" s="10">
        <f t="shared" si="7"/>
        <v>0.19685604947852597</v>
      </c>
      <c r="M128" s="10">
        <f t="shared" si="11"/>
        <v>0.21509845180067635</v>
      </c>
      <c r="P128" s="8">
        <f t="shared" si="12"/>
        <v>-14.780803240089121</v>
      </c>
      <c r="X128" s="8">
        <v>-13</v>
      </c>
    </row>
    <row r="129" spans="1:24" x14ac:dyDescent="0.2">
      <c r="A129" s="8">
        <v>63.5</v>
      </c>
      <c r="B129" s="8">
        <v>127</v>
      </c>
      <c r="D129">
        <v>2040.8817647059</v>
      </c>
      <c r="E129">
        <v>519.93529411764996</v>
      </c>
      <c r="F129">
        <v>143.30737704917999</v>
      </c>
      <c r="G129">
        <v>118.80913348946</v>
      </c>
      <c r="I129" s="9">
        <f t="shared" si="8"/>
        <v>401.12616062818995</v>
      </c>
      <c r="J129" s="9">
        <f t="shared" si="9"/>
        <v>1897.5743876567199</v>
      </c>
      <c r="K129" s="9">
        <f t="shared" si="10"/>
        <v>401.12616062818995</v>
      </c>
      <c r="L129" s="10">
        <f t="shared" si="7"/>
        <v>0.21138889902679039</v>
      </c>
      <c r="M129" s="10">
        <f t="shared" si="11"/>
        <v>0.2297760823197515</v>
      </c>
      <c r="P129" s="8">
        <f t="shared" si="12"/>
        <v>-8.9657177631679694</v>
      </c>
      <c r="X129" s="8">
        <v>-13</v>
      </c>
    </row>
    <row r="130" spans="1:24" x14ac:dyDescent="0.2">
      <c r="A130" s="8">
        <v>64</v>
      </c>
      <c r="B130" s="8">
        <v>128</v>
      </c>
      <c r="D130">
        <v>2080.0888235294001</v>
      </c>
      <c r="E130">
        <v>503.73117647059001</v>
      </c>
      <c r="F130">
        <v>143.01932084308999</v>
      </c>
      <c r="G130">
        <v>118.45081967213</v>
      </c>
      <c r="I130" s="9">
        <f t="shared" si="8"/>
        <v>385.28035679846005</v>
      </c>
      <c r="J130" s="9">
        <f t="shared" si="9"/>
        <v>1937.06950268631</v>
      </c>
      <c r="K130" s="9">
        <f t="shared" si="10"/>
        <v>385.28035679846005</v>
      </c>
      <c r="L130" s="10">
        <f t="shared" ref="L130:L193" si="14">K130/J130</f>
        <v>0.19889857140601142</v>
      </c>
      <c r="M130" s="10">
        <f t="shared" si="11"/>
        <v>0.21743053566978324</v>
      </c>
      <c r="P130" s="8">
        <f t="shared" si="12"/>
        <v>-13.856862075295442</v>
      </c>
      <c r="X130" s="8">
        <v>-13</v>
      </c>
    </row>
    <row r="131" spans="1:24" x14ac:dyDescent="0.2">
      <c r="A131" s="8">
        <v>64.5</v>
      </c>
      <c r="B131" s="8">
        <v>129</v>
      </c>
      <c r="D131">
        <v>1992.2752941177</v>
      </c>
      <c r="E131">
        <v>495.58647058823999</v>
      </c>
      <c r="F131">
        <v>143.40632318501</v>
      </c>
      <c r="G131">
        <v>118.51639344262</v>
      </c>
      <c r="I131" s="9">
        <f t="shared" ref="I131:I194" si="15">E131-G131</f>
        <v>377.07007714561996</v>
      </c>
      <c r="J131" s="9">
        <f t="shared" ref="J131:J194" si="16">D131-F131</f>
        <v>1848.86897093269</v>
      </c>
      <c r="K131" s="9">
        <f t="shared" ref="K131:K194" si="17">I131*1</f>
        <v>377.07007714561996</v>
      </c>
      <c r="L131" s="10">
        <f t="shared" si="14"/>
        <v>0.20394634940268441</v>
      </c>
      <c r="M131" s="10">
        <f t="shared" ref="M131:M181" si="18">L131+ABS($N$2)*A131</f>
        <v>0.22262309463726696</v>
      </c>
      <c r="P131" s="8">
        <f t="shared" ref="P131:P194" si="19">(M131-$O$2)/$O$2*100</f>
        <v>-11.799638043076522</v>
      </c>
      <c r="X131" s="8">
        <v>-13</v>
      </c>
    </row>
    <row r="132" spans="1:24" x14ac:dyDescent="0.2">
      <c r="A132" s="8">
        <v>65</v>
      </c>
      <c r="B132" s="8">
        <v>130</v>
      </c>
      <c r="D132">
        <v>2076.2082352941002</v>
      </c>
      <c r="E132">
        <v>501.60588235294</v>
      </c>
      <c r="F132">
        <v>142.84133489460999</v>
      </c>
      <c r="G132">
        <v>118.33782201405</v>
      </c>
      <c r="I132" s="9">
        <f t="shared" si="15"/>
        <v>383.26806033889</v>
      </c>
      <c r="J132" s="9">
        <f t="shared" si="16"/>
        <v>1933.3669003994901</v>
      </c>
      <c r="K132" s="9">
        <f t="shared" si="17"/>
        <v>383.26806033889</v>
      </c>
      <c r="L132" s="10">
        <f t="shared" si="14"/>
        <v>0.19823865830106827</v>
      </c>
      <c r="M132" s="10">
        <f t="shared" si="18"/>
        <v>0.21706018450646153</v>
      </c>
      <c r="P132" s="8">
        <f t="shared" si="19"/>
        <v>-14.003590368284835</v>
      </c>
      <c r="X132" s="8">
        <v>-13</v>
      </c>
    </row>
    <row r="133" spans="1:24" x14ac:dyDescent="0.2">
      <c r="A133" s="8">
        <v>65.5</v>
      </c>
      <c r="B133" s="8">
        <v>131</v>
      </c>
      <c r="D133">
        <v>1991.8145772595001</v>
      </c>
      <c r="E133">
        <v>491.07638483965002</v>
      </c>
      <c r="F133">
        <v>143.19789227166001</v>
      </c>
      <c r="G133">
        <v>118.6668618267</v>
      </c>
      <c r="I133" s="9">
        <f t="shared" si="15"/>
        <v>372.40952301294999</v>
      </c>
      <c r="J133" s="9">
        <f t="shared" si="16"/>
        <v>1848.61668498784</v>
      </c>
      <c r="K133" s="9">
        <f t="shared" si="17"/>
        <v>372.40952301294999</v>
      </c>
      <c r="L133" s="10">
        <f t="shared" si="14"/>
        <v>0.20145307896287848</v>
      </c>
      <c r="M133" s="10">
        <f t="shared" si="18"/>
        <v>0.22041938613908246</v>
      </c>
      <c r="P133" s="8">
        <f t="shared" si="19"/>
        <v>-12.672718562885644</v>
      </c>
      <c r="X133" s="8">
        <v>-13</v>
      </c>
    </row>
    <row r="134" spans="1:24" x14ac:dyDescent="0.2">
      <c r="A134" s="8">
        <v>66</v>
      </c>
      <c r="B134" s="8">
        <v>132</v>
      </c>
      <c r="D134">
        <v>1892.1743440232999</v>
      </c>
      <c r="E134">
        <v>470.50087463557003</v>
      </c>
      <c r="F134">
        <v>143.66042154567</v>
      </c>
      <c r="G134">
        <v>118.41100702576</v>
      </c>
      <c r="I134" s="9">
        <f t="shared" si="15"/>
        <v>352.08986760981003</v>
      </c>
      <c r="J134" s="9">
        <f t="shared" si="16"/>
        <v>1748.5139224776299</v>
      </c>
      <c r="K134" s="9">
        <f t="shared" si="17"/>
        <v>352.08986760981003</v>
      </c>
      <c r="L134" s="10">
        <f t="shared" si="14"/>
        <v>0.20136520680996442</v>
      </c>
      <c r="M134" s="10">
        <f t="shared" si="18"/>
        <v>0.22047629495697912</v>
      </c>
      <c r="P134" s="8">
        <f t="shared" si="19"/>
        <v>-12.650172032638165</v>
      </c>
      <c r="X134" s="8">
        <v>-13</v>
      </c>
    </row>
    <row r="135" spans="1:24" x14ac:dyDescent="0.2">
      <c r="A135" s="8">
        <v>66.5</v>
      </c>
      <c r="B135" s="8">
        <v>133</v>
      </c>
      <c r="D135">
        <v>1901.4553935859999</v>
      </c>
      <c r="E135">
        <v>466.80641399416999</v>
      </c>
      <c r="F135">
        <v>143.36592505855</v>
      </c>
      <c r="G135">
        <v>118.71077283372</v>
      </c>
      <c r="I135" s="9">
        <f t="shared" si="15"/>
        <v>348.09564116044999</v>
      </c>
      <c r="J135" s="9">
        <f t="shared" si="16"/>
        <v>1758.08946852745</v>
      </c>
      <c r="K135" s="9">
        <f t="shared" si="17"/>
        <v>348.09564116044999</v>
      </c>
      <c r="L135" s="10">
        <f t="shared" si="14"/>
        <v>0.19799654533623354</v>
      </c>
      <c r="M135" s="10">
        <f t="shared" si="18"/>
        <v>0.21725241445405893</v>
      </c>
      <c r="P135" s="8">
        <f t="shared" si="19"/>
        <v>-13.927431374157667</v>
      </c>
      <c r="X135" s="8">
        <v>-13</v>
      </c>
    </row>
    <row r="136" spans="1:24" x14ac:dyDescent="0.2">
      <c r="A136" s="8">
        <v>67</v>
      </c>
      <c r="B136" s="8">
        <v>134</v>
      </c>
      <c r="D136">
        <v>1875.1970845481001</v>
      </c>
      <c r="E136">
        <v>461.15568513120002</v>
      </c>
      <c r="F136">
        <v>143.25409836066001</v>
      </c>
      <c r="G136">
        <v>118.64929742389</v>
      </c>
      <c r="I136" s="9">
        <f t="shared" si="15"/>
        <v>342.50638770731001</v>
      </c>
      <c r="J136" s="9">
        <f t="shared" si="16"/>
        <v>1731.9429861874401</v>
      </c>
      <c r="K136" s="9">
        <f t="shared" si="17"/>
        <v>342.50638770731001</v>
      </c>
      <c r="L136" s="10">
        <f t="shared" si="14"/>
        <v>0.19775846574561673</v>
      </c>
      <c r="M136" s="10">
        <f t="shared" si="18"/>
        <v>0.21715911583425285</v>
      </c>
      <c r="P136" s="8">
        <f t="shared" si="19"/>
        <v>-13.964395068559574</v>
      </c>
      <c r="X136" s="8">
        <v>-13</v>
      </c>
    </row>
    <row r="137" spans="1:24" x14ac:dyDescent="0.2">
      <c r="A137" s="8">
        <v>67.5</v>
      </c>
      <c r="B137" s="8">
        <v>135</v>
      </c>
      <c r="D137">
        <v>1961.2151603499001</v>
      </c>
      <c r="E137">
        <v>456.66530612244998</v>
      </c>
      <c r="F137">
        <v>142.98536299765999</v>
      </c>
      <c r="G137">
        <v>118.42857142857</v>
      </c>
      <c r="I137" s="9">
        <f t="shared" si="15"/>
        <v>338.23673469387995</v>
      </c>
      <c r="J137" s="9">
        <f t="shared" si="16"/>
        <v>1818.22979735224</v>
      </c>
      <c r="K137" s="9">
        <f t="shared" si="17"/>
        <v>338.23673469387995</v>
      </c>
      <c r="L137" s="10">
        <f t="shared" si="14"/>
        <v>0.18602529514499777</v>
      </c>
      <c r="M137" s="10">
        <f t="shared" si="18"/>
        <v>0.20557072620444461</v>
      </c>
      <c r="P137" s="8">
        <f t="shared" si="19"/>
        <v>-18.555563660085596</v>
      </c>
      <c r="X137" s="8">
        <v>-13</v>
      </c>
    </row>
    <row r="138" spans="1:24" x14ac:dyDescent="0.2">
      <c r="A138" s="8">
        <v>68</v>
      </c>
      <c r="B138" s="8">
        <v>136</v>
      </c>
      <c r="D138">
        <v>2013.0256559766999</v>
      </c>
      <c r="E138">
        <v>455.62274052478</v>
      </c>
      <c r="F138">
        <v>143.25351288056001</v>
      </c>
      <c r="G138">
        <v>118.56264637002</v>
      </c>
      <c r="I138" s="9">
        <f t="shared" si="15"/>
        <v>337.06009415476001</v>
      </c>
      <c r="J138" s="9">
        <f t="shared" si="16"/>
        <v>1869.7721430961399</v>
      </c>
      <c r="K138" s="9">
        <f t="shared" si="17"/>
        <v>337.06009415476001</v>
      </c>
      <c r="L138" s="10">
        <f t="shared" si="14"/>
        <v>0.18026800506110069</v>
      </c>
      <c r="M138" s="10">
        <f t="shared" si="18"/>
        <v>0.19995821709135825</v>
      </c>
      <c r="P138" s="8">
        <f t="shared" si="19"/>
        <v>-20.779166454159238</v>
      </c>
      <c r="X138" s="8">
        <v>-13</v>
      </c>
    </row>
    <row r="139" spans="1:24" x14ac:dyDescent="0.2">
      <c r="A139" s="8">
        <v>68.5</v>
      </c>
      <c r="B139" s="8">
        <v>137</v>
      </c>
      <c r="D139">
        <v>1978.1440233236001</v>
      </c>
      <c r="E139">
        <v>457.41516034985</v>
      </c>
      <c r="F139">
        <v>143.04918032787</v>
      </c>
      <c r="G139">
        <v>118.1299765808</v>
      </c>
      <c r="I139" s="9">
        <f t="shared" si="15"/>
        <v>339.28518376904998</v>
      </c>
      <c r="J139" s="9">
        <f t="shared" si="16"/>
        <v>1835.09484299573</v>
      </c>
      <c r="K139" s="9">
        <f t="shared" si="17"/>
        <v>339.28518376904998</v>
      </c>
      <c r="L139" s="10">
        <f t="shared" si="14"/>
        <v>0.1848870019247498</v>
      </c>
      <c r="M139" s="10">
        <f t="shared" si="18"/>
        <v>0.20472199492581808</v>
      </c>
      <c r="P139" s="8">
        <f t="shared" si="19"/>
        <v>-18.891819905651641</v>
      </c>
      <c r="X139" s="8">
        <v>-13</v>
      </c>
    </row>
    <row r="140" spans="1:24" x14ac:dyDescent="0.2">
      <c r="A140" s="8">
        <v>69</v>
      </c>
      <c r="B140" s="8">
        <v>138</v>
      </c>
      <c r="D140">
        <v>1866.5049562682</v>
      </c>
      <c r="E140">
        <v>453.33644314869002</v>
      </c>
      <c r="F140">
        <v>142.93969555035</v>
      </c>
      <c r="G140">
        <v>118.56615925059</v>
      </c>
      <c r="I140" s="9">
        <f t="shared" si="15"/>
        <v>334.77028389810005</v>
      </c>
      <c r="J140" s="9">
        <f t="shared" si="16"/>
        <v>1723.5652607178499</v>
      </c>
      <c r="K140" s="9">
        <f t="shared" si="17"/>
        <v>334.77028389810005</v>
      </c>
      <c r="L140" s="10">
        <f t="shared" si="14"/>
        <v>0.19423127834374612</v>
      </c>
      <c r="M140" s="10">
        <f t="shared" si="18"/>
        <v>0.21421105231562512</v>
      </c>
      <c r="P140" s="8">
        <f t="shared" si="19"/>
        <v>-15.132379323915618</v>
      </c>
      <c r="X140" s="8">
        <v>-13</v>
      </c>
    </row>
    <row r="141" spans="1:24" x14ac:dyDescent="0.2">
      <c r="A141" s="8">
        <v>69.5</v>
      </c>
      <c r="B141" s="8">
        <v>139</v>
      </c>
      <c r="D141">
        <v>1912.9287816363001</v>
      </c>
      <c r="E141">
        <v>461.52324896997999</v>
      </c>
      <c r="F141">
        <v>143.07845433255</v>
      </c>
      <c r="G141">
        <v>118.52985948478</v>
      </c>
      <c r="I141" s="9">
        <f t="shared" si="15"/>
        <v>342.9933894852</v>
      </c>
      <c r="J141" s="9">
        <f t="shared" si="16"/>
        <v>1769.85032730375</v>
      </c>
      <c r="K141" s="9">
        <f t="shared" si="17"/>
        <v>342.9933894852</v>
      </c>
      <c r="L141" s="10">
        <f t="shared" si="14"/>
        <v>0.19379796369997443</v>
      </c>
      <c r="M141" s="10">
        <f t="shared" si="18"/>
        <v>0.21392251864266415</v>
      </c>
      <c r="P141" s="8">
        <f t="shared" si="19"/>
        <v>-15.246692596010696</v>
      </c>
      <c r="X141" s="8">
        <v>-13</v>
      </c>
    </row>
    <row r="142" spans="1:24" x14ac:dyDescent="0.2">
      <c r="A142" s="8">
        <v>70</v>
      </c>
      <c r="B142" s="8">
        <v>140</v>
      </c>
      <c r="D142">
        <v>1898.5768098881999</v>
      </c>
      <c r="E142">
        <v>456.76515597410003</v>
      </c>
      <c r="F142">
        <v>143.16803278689</v>
      </c>
      <c r="G142">
        <v>118.24707259953</v>
      </c>
      <c r="I142" s="9">
        <f t="shared" si="15"/>
        <v>338.51808337457004</v>
      </c>
      <c r="J142" s="9">
        <f t="shared" si="16"/>
        <v>1755.4087771013099</v>
      </c>
      <c r="K142" s="9">
        <f t="shared" si="17"/>
        <v>338.51808337457004</v>
      </c>
      <c r="L142" s="10">
        <f t="shared" si="14"/>
        <v>0.19284287955627166</v>
      </c>
      <c r="M142" s="10">
        <f t="shared" si="18"/>
        <v>0.2131122154697721</v>
      </c>
      <c r="P142" s="8">
        <f t="shared" si="19"/>
        <v>-15.56772412807331</v>
      </c>
      <c r="X142" s="8">
        <v>-13</v>
      </c>
    </row>
    <row r="143" spans="1:24" x14ac:dyDescent="0.2">
      <c r="A143" s="8">
        <v>70.5</v>
      </c>
      <c r="B143" s="8">
        <v>141</v>
      </c>
      <c r="D143">
        <v>1868.6550912301</v>
      </c>
      <c r="E143">
        <v>449.11771630370998</v>
      </c>
      <c r="F143">
        <v>143.26580796253</v>
      </c>
      <c r="G143">
        <v>118.42037470726</v>
      </c>
      <c r="I143" s="9">
        <f t="shared" si="15"/>
        <v>330.69734159644997</v>
      </c>
      <c r="J143" s="9">
        <f t="shared" si="16"/>
        <v>1725.3892832675699</v>
      </c>
      <c r="K143" s="9">
        <f t="shared" si="17"/>
        <v>330.69734159644997</v>
      </c>
      <c r="L143" s="10">
        <f t="shared" si="14"/>
        <v>0.19166535042467056</v>
      </c>
      <c r="M143" s="10">
        <f t="shared" si="18"/>
        <v>0.2120794673089817</v>
      </c>
      <c r="P143" s="8">
        <f t="shared" si="19"/>
        <v>-15.976885458529514</v>
      </c>
      <c r="X143" s="8">
        <v>-13</v>
      </c>
    </row>
    <row r="144" spans="1:24" x14ac:dyDescent="0.2">
      <c r="A144" s="8">
        <v>71</v>
      </c>
      <c r="B144" s="8">
        <v>142</v>
      </c>
      <c r="D144">
        <v>1835.1536197763</v>
      </c>
      <c r="E144">
        <v>440.04061212478001</v>
      </c>
      <c r="F144">
        <v>142.92798594848</v>
      </c>
      <c r="G144">
        <v>117.9906323185</v>
      </c>
      <c r="I144" s="9">
        <f t="shared" si="15"/>
        <v>322.04997980628002</v>
      </c>
      <c r="J144" s="9">
        <f t="shared" si="16"/>
        <v>1692.22563382782</v>
      </c>
      <c r="K144" s="9">
        <f t="shared" si="17"/>
        <v>322.04997980628002</v>
      </c>
      <c r="L144" s="10">
        <f t="shared" si="14"/>
        <v>0.19031148882776458</v>
      </c>
      <c r="M144" s="10">
        <f t="shared" si="18"/>
        <v>0.21087038668288643</v>
      </c>
      <c r="P144" s="8">
        <f t="shared" si="19"/>
        <v>-16.455907408298305</v>
      </c>
    </row>
    <row r="145" spans="1:16" x14ac:dyDescent="0.2">
      <c r="A145" s="8">
        <v>71.5</v>
      </c>
      <c r="B145" s="8">
        <v>143</v>
      </c>
      <c r="D145">
        <v>1811.1071218364</v>
      </c>
      <c r="E145">
        <v>433.71748087110001</v>
      </c>
      <c r="F145">
        <v>143.16217798595</v>
      </c>
      <c r="G145">
        <v>118.36592505855</v>
      </c>
      <c r="I145" s="9">
        <f t="shared" si="15"/>
        <v>315.35155581255003</v>
      </c>
      <c r="J145" s="9">
        <f t="shared" si="16"/>
        <v>1667.94494385045</v>
      </c>
      <c r="K145" s="9">
        <f t="shared" si="17"/>
        <v>315.35155581255003</v>
      </c>
      <c r="L145" s="10">
        <f t="shared" si="14"/>
        <v>0.18906592629164434</v>
      </c>
      <c r="M145" s="10">
        <f t="shared" si="18"/>
        <v>0.20976960511757692</v>
      </c>
      <c r="P145" s="8">
        <f t="shared" si="19"/>
        <v>-16.892022684900677</v>
      </c>
    </row>
    <row r="146" spans="1:16" x14ac:dyDescent="0.2">
      <c r="A146" s="8">
        <v>72</v>
      </c>
      <c r="B146" s="8">
        <v>144</v>
      </c>
      <c r="D146">
        <v>1912.679389313</v>
      </c>
      <c r="E146">
        <v>452.32354668233</v>
      </c>
      <c r="F146">
        <v>142.97540983607001</v>
      </c>
      <c r="G146">
        <v>118.25175644028</v>
      </c>
      <c r="I146" s="9">
        <f t="shared" si="15"/>
        <v>334.07179024204999</v>
      </c>
      <c r="J146" s="9">
        <f t="shared" si="16"/>
        <v>1769.70397947693</v>
      </c>
      <c r="K146" s="9">
        <f t="shared" si="17"/>
        <v>334.07179024204999</v>
      </c>
      <c r="L146" s="10">
        <f t="shared" si="14"/>
        <v>0.18877269538648567</v>
      </c>
      <c r="M146" s="10">
        <f t="shared" si="18"/>
        <v>0.20962115518322896</v>
      </c>
      <c r="P146" s="8">
        <f t="shared" si="19"/>
        <v>-16.950836609679257</v>
      </c>
    </row>
    <row r="147" spans="1:16" x14ac:dyDescent="0.2">
      <c r="A147" s="8">
        <v>72.5</v>
      </c>
      <c r="B147" s="8">
        <v>145</v>
      </c>
      <c r="D147">
        <v>2051.4421608924999</v>
      </c>
      <c r="E147">
        <v>469.34351145037999</v>
      </c>
      <c r="F147">
        <v>143.1393442623</v>
      </c>
      <c r="G147">
        <v>118.30913348946</v>
      </c>
      <c r="I147" s="9">
        <f t="shared" si="15"/>
        <v>351.03437796091998</v>
      </c>
      <c r="J147" s="9">
        <f t="shared" si="16"/>
        <v>1908.3028166301999</v>
      </c>
      <c r="K147" s="9">
        <f t="shared" si="17"/>
        <v>351.03437796091998</v>
      </c>
      <c r="L147" s="10">
        <f t="shared" si="14"/>
        <v>0.18395108727072906</v>
      </c>
      <c r="M147" s="10">
        <f t="shared" si="18"/>
        <v>0.20494432803828308</v>
      </c>
      <c r="P147" s="8">
        <f t="shared" si="19"/>
        <v>-18.803734430843317</v>
      </c>
    </row>
    <row r="148" spans="1:16" x14ac:dyDescent="0.2">
      <c r="A148" s="8">
        <v>73</v>
      </c>
      <c r="B148" s="8">
        <v>146</v>
      </c>
      <c r="D148">
        <v>2093.1908396947001</v>
      </c>
      <c r="E148">
        <v>466.30240751615003</v>
      </c>
      <c r="F148">
        <v>143.15046838408</v>
      </c>
      <c r="G148">
        <v>118.64695550351</v>
      </c>
      <c r="I148" s="9">
        <f t="shared" si="15"/>
        <v>347.65545201264001</v>
      </c>
      <c r="J148" s="9">
        <f t="shared" si="16"/>
        <v>1950.0403713106202</v>
      </c>
      <c r="K148" s="9">
        <f t="shared" si="17"/>
        <v>347.65545201264001</v>
      </c>
      <c r="L148" s="10">
        <f t="shared" si="14"/>
        <v>0.17828115618907989</v>
      </c>
      <c r="M148" s="10">
        <f t="shared" si="18"/>
        <v>0.19941917792744462</v>
      </c>
      <c r="P148" s="8">
        <f t="shared" si="19"/>
        <v>-20.99272672940204</v>
      </c>
    </row>
    <row r="149" spans="1:16" x14ac:dyDescent="0.2">
      <c r="A149" s="8">
        <v>73.5</v>
      </c>
      <c r="B149" s="8">
        <v>147</v>
      </c>
      <c r="D149">
        <v>1864.8954096456</v>
      </c>
      <c r="E149">
        <v>435.42940151074998</v>
      </c>
      <c r="F149">
        <v>142.9168618267</v>
      </c>
      <c r="G149">
        <v>118.31323185012</v>
      </c>
      <c r="I149" s="9">
        <f t="shared" si="15"/>
        <v>317.11616966062996</v>
      </c>
      <c r="J149" s="9">
        <f t="shared" si="16"/>
        <v>1721.9785478189001</v>
      </c>
      <c r="K149" s="9">
        <f t="shared" si="17"/>
        <v>317.11616966062996</v>
      </c>
      <c r="L149" s="10">
        <f t="shared" si="14"/>
        <v>0.1841580256979955</v>
      </c>
      <c r="M149" s="10">
        <f t="shared" si="18"/>
        <v>0.20544082840717096</v>
      </c>
      <c r="P149" s="8">
        <f t="shared" si="19"/>
        <v>-18.607027470502977</v>
      </c>
    </row>
    <row r="150" spans="1:16" x14ac:dyDescent="0.2">
      <c r="A150" s="8">
        <v>74</v>
      </c>
      <c r="B150" s="8">
        <v>148</v>
      </c>
      <c r="D150">
        <v>1823.1574665892001</v>
      </c>
      <c r="E150">
        <v>437.40790238234001</v>
      </c>
      <c r="F150">
        <v>142.95550351288</v>
      </c>
      <c r="G150">
        <v>118.09133489461</v>
      </c>
      <c r="I150" s="9">
        <f t="shared" si="15"/>
        <v>319.31656748773003</v>
      </c>
      <c r="J150" s="9">
        <f t="shared" si="16"/>
        <v>1680.2019630763202</v>
      </c>
      <c r="K150" s="9">
        <f t="shared" si="17"/>
        <v>319.31656748773003</v>
      </c>
      <c r="L150" s="10">
        <f t="shared" si="14"/>
        <v>0.19004653875245212</v>
      </c>
      <c r="M150" s="10">
        <f t="shared" si="18"/>
        <v>0.21147412243243829</v>
      </c>
      <c r="P150" s="8">
        <f t="shared" si="19"/>
        <v>-16.216715190960873</v>
      </c>
    </row>
    <row r="151" spans="1:16" x14ac:dyDescent="0.2">
      <c r="A151" s="8">
        <v>74.5</v>
      </c>
      <c r="B151" s="8">
        <v>149</v>
      </c>
      <c r="D151">
        <v>2121.5252347418</v>
      </c>
      <c r="E151">
        <v>473.04577464789003</v>
      </c>
      <c r="F151">
        <v>142.63173302108001</v>
      </c>
      <c r="G151">
        <v>118.26053864169</v>
      </c>
      <c r="I151" s="9">
        <f t="shared" si="15"/>
        <v>354.78523600620002</v>
      </c>
      <c r="J151" s="9">
        <f t="shared" si="16"/>
        <v>1978.89350172072</v>
      </c>
      <c r="K151" s="9">
        <f t="shared" si="17"/>
        <v>354.78523600620002</v>
      </c>
      <c r="L151" s="10">
        <f t="shared" si="14"/>
        <v>0.17928465361966237</v>
      </c>
      <c r="M151" s="10">
        <f t="shared" si="18"/>
        <v>0.20085701827045926</v>
      </c>
      <c r="P151" s="8">
        <f t="shared" si="19"/>
        <v>-20.423073168091207</v>
      </c>
    </row>
    <row r="152" spans="1:16" x14ac:dyDescent="0.2">
      <c r="A152" s="8">
        <v>75</v>
      </c>
      <c r="B152" s="8">
        <v>150</v>
      </c>
      <c r="D152">
        <v>2065.8914319249002</v>
      </c>
      <c r="E152">
        <v>472.86150234742001</v>
      </c>
      <c r="F152">
        <v>142.83548009367999</v>
      </c>
      <c r="G152">
        <v>118.28512880562</v>
      </c>
      <c r="I152" s="9">
        <f t="shared" si="15"/>
        <v>354.57637354180002</v>
      </c>
      <c r="J152" s="9">
        <f t="shared" si="16"/>
        <v>1923.0559518312202</v>
      </c>
      <c r="K152" s="9">
        <f t="shared" si="17"/>
        <v>354.57637354180002</v>
      </c>
      <c r="L152" s="10">
        <f t="shared" si="14"/>
        <v>0.1843817249332535</v>
      </c>
      <c r="M152" s="10">
        <f t="shared" si="18"/>
        <v>0.20609887055486109</v>
      </c>
      <c r="P152" s="8">
        <f t="shared" si="19"/>
        <v>-18.346319767630781</v>
      </c>
    </row>
    <row r="153" spans="1:16" x14ac:dyDescent="0.2">
      <c r="A153" s="8">
        <v>75.5</v>
      </c>
      <c r="B153" s="8">
        <v>151</v>
      </c>
      <c r="D153">
        <v>2156.9025821596001</v>
      </c>
      <c r="E153">
        <v>495.04049295775002</v>
      </c>
      <c r="F153">
        <v>143.53747072600001</v>
      </c>
      <c r="G153">
        <v>118.1943793911</v>
      </c>
      <c r="I153" s="9">
        <f t="shared" si="15"/>
        <v>376.84611356665005</v>
      </c>
      <c r="J153" s="9">
        <f t="shared" si="16"/>
        <v>2013.3651114336001</v>
      </c>
      <c r="K153" s="9">
        <f t="shared" si="17"/>
        <v>376.84611356665005</v>
      </c>
      <c r="L153" s="10">
        <f t="shared" si="14"/>
        <v>0.18717226767594075</v>
      </c>
      <c r="M153" s="10">
        <f t="shared" si="18"/>
        <v>0.20903419426835906</v>
      </c>
      <c r="P153" s="8">
        <f t="shared" si="19"/>
        <v>-17.183382856646332</v>
      </c>
    </row>
    <row r="154" spans="1:16" x14ac:dyDescent="0.2">
      <c r="A154" s="8">
        <v>76</v>
      </c>
      <c r="B154" s="8">
        <v>152</v>
      </c>
      <c r="D154">
        <v>2083.7661955242002</v>
      </c>
      <c r="E154">
        <v>482.53945818609998</v>
      </c>
      <c r="F154">
        <v>142.65105386417</v>
      </c>
      <c r="G154">
        <v>117.93266978923</v>
      </c>
      <c r="I154" s="9">
        <f t="shared" si="15"/>
        <v>364.60678839687</v>
      </c>
      <c r="J154" s="9">
        <f t="shared" si="16"/>
        <v>1941.1151416600301</v>
      </c>
      <c r="K154" s="9">
        <f t="shared" si="17"/>
        <v>364.60678839687</v>
      </c>
      <c r="L154" s="10">
        <f t="shared" si="14"/>
        <v>0.1878336738360922</v>
      </c>
      <c r="M154" s="10">
        <f t="shared" si="18"/>
        <v>0.20984038139932124</v>
      </c>
      <c r="P154" s="8">
        <f t="shared" si="19"/>
        <v>-16.863982046628241</v>
      </c>
    </row>
    <row r="155" spans="1:16" x14ac:dyDescent="0.2">
      <c r="A155" s="8">
        <v>76.5</v>
      </c>
      <c r="B155" s="8">
        <v>153</v>
      </c>
      <c r="D155">
        <v>2085.6707891637002</v>
      </c>
      <c r="E155">
        <v>484.38692579504999</v>
      </c>
      <c r="F155">
        <v>142.59777517564001</v>
      </c>
      <c r="G155">
        <v>118.23594847775</v>
      </c>
      <c r="I155" s="9">
        <f t="shared" si="15"/>
        <v>366.15097731729998</v>
      </c>
      <c r="J155" s="9">
        <f t="shared" si="16"/>
        <v>1943.0730139880602</v>
      </c>
      <c r="K155" s="9">
        <f t="shared" si="17"/>
        <v>366.15097731729998</v>
      </c>
      <c r="L155" s="10">
        <f t="shared" si="14"/>
        <v>0.18843912435683177</v>
      </c>
      <c r="M155" s="10">
        <f t="shared" si="18"/>
        <v>0.21059061289087153</v>
      </c>
      <c r="P155" s="8">
        <f t="shared" si="19"/>
        <v>-16.566750129993384</v>
      </c>
    </row>
    <row r="156" spans="1:16" x14ac:dyDescent="0.2">
      <c r="A156" s="8">
        <v>77</v>
      </c>
      <c r="B156" s="8">
        <v>154</v>
      </c>
      <c r="D156">
        <v>2118.1972909305</v>
      </c>
      <c r="E156">
        <v>486.12661955241998</v>
      </c>
      <c r="F156">
        <v>142.26112412178</v>
      </c>
      <c r="G156">
        <v>118.1206088993</v>
      </c>
      <c r="I156" s="9">
        <f t="shared" si="15"/>
        <v>368.00601065311997</v>
      </c>
      <c r="J156" s="9">
        <f t="shared" si="16"/>
        <v>1975.9361668087199</v>
      </c>
      <c r="K156" s="9">
        <f t="shared" si="17"/>
        <v>368.00601065311997</v>
      </c>
      <c r="L156" s="10">
        <f t="shared" si="14"/>
        <v>0.18624387611036866</v>
      </c>
      <c r="M156" s="10">
        <f t="shared" si="18"/>
        <v>0.20854014561521914</v>
      </c>
      <c r="P156" s="8">
        <f t="shared" si="19"/>
        <v>-17.37911847923424</v>
      </c>
    </row>
    <row r="157" spans="1:16" x14ac:dyDescent="0.2">
      <c r="A157" s="8">
        <v>77.5</v>
      </c>
      <c r="B157" s="8">
        <v>155</v>
      </c>
      <c r="D157">
        <v>2304.6791569087</v>
      </c>
      <c r="E157">
        <v>517.54449648712</v>
      </c>
      <c r="F157">
        <v>142.39812646370001</v>
      </c>
      <c r="G157">
        <v>117.92271662764</v>
      </c>
      <c r="I157" s="9">
        <f t="shared" si="15"/>
        <v>399.62177985948</v>
      </c>
      <c r="J157" s="9">
        <f t="shared" si="16"/>
        <v>2162.2810304449999</v>
      </c>
      <c r="K157" s="9">
        <f t="shared" si="17"/>
        <v>399.62177985948</v>
      </c>
      <c r="L157" s="10">
        <f t="shared" si="14"/>
        <v>0.1848149126930265</v>
      </c>
      <c r="M157" s="10">
        <f t="shared" si="18"/>
        <v>0.20725596316868769</v>
      </c>
      <c r="P157" s="8">
        <f t="shared" si="19"/>
        <v>-17.887894789200423</v>
      </c>
    </row>
    <row r="158" spans="1:16" x14ac:dyDescent="0.2">
      <c r="A158" s="8">
        <v>78</v>
      </c>
      <c r="B158" s="8">
        <v>156</v>
      </c>
      <c r="D158">
        <v>2083.4693520139999</v>
      </c>
      <c r="E158">
        <v>479.53765323993002</v>
      </c>
      <c r="F158">
        <v>142.47482435596999</v>
      </c>
      <c r="G158">
        <v>118.24355971897</v>
      </c>
      <c r="I158" s="9">
        <f t="shared" si="15"/>
        <v>361.29409352096002</v>
      </c>
      <c r="J158" s="9">
        <f t="shared" si="16"/>
        <v>1940.9945276580299</v>
      </c>
      <c r="K158" s="9">
        <f t="shared" si="17"/>
        <v>361.29409352096002</v>
      </c>
      <c r="L158" s="10">
        <f t="shared" si="14"/>
        <v>0.18613864612843148</v>
      </c>
      <c r="M158" s="10">
        <f t="shared" si="18"/>
        <v>0.20872447757490339</v>
      </c>
      <c r="P158" s="8">
        <f t="shared" si="19"/>
        <v>-17.306088564746389</v>
      </c>
    </row>
    <row r="159" spans="1:16" x14ac:dyDescent="0.2">
      <c r="A159" s="8">
        <v>78.5</v>
      </c>
      <c r="B159" s="8">
        <v>157</v>
      </c>
      <c r="D159">
        <v>2037.7069468768</v>
      </c>
      <c r="E159">
        <v>473.05545826036001</v>
      </c>
      <c r="F159">
        <v>142.9162763466</v>
      </c>
      <c r="G159">
        <v>118.11182669789</v>
      </c>
      <c r="I159" s="9">
        <f t="shared" si="15"/>
        <v>354.94363156247005</v>
      </c>
      <c r="J159" s="9">
        <f t="shared" si="16"/>
        <v>1894.7906705302</v>
      </c>
      <c r="K159" s="9">
        <f t="shared" si="17"/>
        <v>354.94363156247005</v>
      </c>
      <c r="L159" s="10">
        <f t="shared" si="14"/>
        <v>0.187326039273325</v>
      </c>
      <c r="M159" s="10">
        <f t="shared" si="18"/>
        <v>0.21005665169060764</v>
      </c>
      <c r="P159" s="8">
        <f t="shared" si="19"/>
        <v>-16.778298582371892</v>
      </c>
    </row>
    <row r="160" spans="1:16" x14ac:dyDescent="0.2">
      <c r="A160" s="8">
        <v>79</v>
      </c>
      <c r="B160" s="8">
        <v>158</v>
      </c>
      <c r="D160">
        <v>2038.9293636893999</v>
      </c>
      <c r="E160">
        <v>468.58201984822</v>
      </c>
      <c r="F160">
        <v>142.63173302108001</v>
      </c>
      <c r="G160">
        <v>118.15339578454</v>
      </c>
      <c r="I160" s="9">
        <f t="shared" si="15"/>
        <v>350.42862406367999</v>
      </c>
      <c r="J160" s="9">
        <f t="shared" si="16"/>
        <v>1896.2976306683199</v>
      </c>
      <c r="K160" s="9">
        <f t="shared" si="17"/>
        <v>350.42862406367999</v>
      </c>
      <c r="L160" s="10">
        <f t="shared" si="14"/>
        <v>0.18479621468502125</v>
      </c>
      <c r="M160" s="10">
        <f t="shared" si="18"/>
        <v>0.20767160807311458</v>
      </c>
      <c r="P160" s="8">
        <f t="shared" si="19"/>
        <v>-17.723221707659917</v>
      </c>
    </row>
    <row r="161" spans="1:16" x14ac:dyDescent="0.2">
      <c r="A161" s="8">
        <v>79.5</v>
      </c>
      <c r="B161" s="8">
        <v>159</v>
      </c>
      <c r="D161">
        <v>2135.4545454546001</v>
      </c>
      <c r="E161">
        <v>487.73313782990999</v>
      </c>
      <c r="F161">
        <v>142.57259953162</v>
      </c>
      <c r="G161">
        <v>118.35772833724</v>
      </c>
      <c r="I161" s="9">
        <f t="shared" si="15"/>
        <v>369.37540949266997</v>
      </c>
      <c r="J161" s="9">
        <f t="shared" si="16"/>
        <v>1992.8819459229801</v>
      </c>
      <c r="K161" s="9">
        <f t="shared" si="17"/>
        <v>369.37540949266997</v>
      </c>
      <c r="L161" s="10">
        <f t="shared" si="14"/>
        <v>0.18534736101570634</v>
      </c>
      <c r="M161" s="10">
        <f t="shared" si="18"/>
        <v>0.20836753537461039</v>
      </c>
      <c r="P161" s="8">
        <f t="shared" si="19"/>
        <v>-17.447504401745867</v>
      </c>
    </row>
    <row r="162" spans="1:16" x14ac:dyDescent="0.2">
      <c r="A162" s="8">
        <v>80</v>
      </c>
      <c r="B162" s="4">
        <v>160</v>
      </c>
      <c r="C162" s="4" t="s">
        <v>6</v>
      </c>
      <c r="D162">
        <v>2200.9425219940999</v>
      </c>
      <c r="E162">
        <v>501.74428152492999</v>
      </c>
      <c r="F162">
        <v>142.50702576111999</v>
      </c>
      <c r="G162">
        <v>117.97892271663</v>
      </c>
      <c r="H162" s="4"/>
      <c r="I162" s="5">
        <f t="shared" si="15"/>
        <v>383.76535880829999</v>
      </c>
      <c r="J162" s="5">
        <f t="shared" si="16"/>
        <v>2058.4354962329799</v>
      </c>
      <c r="K162" s="9">
        <f t="shared" si="17"/>
        <v>383.76535880829999</v>
      </c>
      <c r="L162" s="6">
        <f t="shared" si="14"/>
        <v>0.18643545523316427</v>
      </c>
      <c r="M162" s="6">
        <f t="shared" si="18"/>
        <v>0.20960041056287904</v>
      </c>
      <c r="N162" s="4"/>
      <c r="O162" s="4"/>
      <c r="P162" s="4">
        <f t="shared" si="19"/>
        <v>-16.959055357273723</v>
      </c>
    </row>
    <row r="163" spans="1:16" x14ac:dyDescent="0.2">
      <c r="A163" s="8">
        <v>80.5</v>
      </c>
      <c r="B163" s="8">
        <v>161</v>
      </c>
      <c r="D163">
        <v>2102.8651162791002</v>
      </c>
      <c r="E163">
        <v>476.50348837208998</v>
      </c>
      <c r="F163">
        <v>142.42330210773</v>
      </c>
      <c r="G163">
        <v>118.20725995316</v>
      </c>
      <c r="I163" s="9">
        <f t="shared" si="15"/>
        <v>358.29622841892996</v>
      </c>
      <c r="J163" s="9">
        <f t="shared" si="16"/>
        <v>1960.4418141713702</v>
      </c>
      <c r="K163" s="9">
        <f t="shared" si="17"/>
        <v>358.29622841892996</v>
      </c>
      <c r="L163" s="10">
        <f t="shared" si="14"/>
        <v>0.18276300057922037</v>
      </c>
      <c r="M163" s="10">
        <f t="shared" si="18"/>
        <v>0.20607273687974587</v>
      </c>
      <c r="P163" s="8">
        <f t="shared" si="19"/>
        <v>-18.356673588325723</v>
      </c>
    </row>
    <row r="164" spans="1:16" x14ac:dyDescent="0.2">
      <c r="A164" s="8">
        <v>81</v>
      </c>
      <c r="B164" s="8">
        <v>162</v>
      </c>
      <c r="D164">
        <v>2214.7273255813998</v>
      </c>
      <c r="E164">
        <v>482.90523255814003</v>
      </c>
      <c r="F164">
        <v>142.59953161593</v>
      </c>
      <c r="G164">
        <v>117.94203747073</v>
      </c>
      <c r="I164" s="9">
        <f t="shared" si="15"/>
        <v>364.96319508741004</v>
      </c>
      <c r="J164" s="9">
        <f t="shared" si="16"/>
        <v>2072.1277939654697</v>
      </c>
      <c r="K164" s="9">
        <f t="shared" si="17"/>
        <v>364.96319508741004</v>
      </c>
      <c r="L164" s="10">
        <f t="shared" si="14"/>
        <v>0.17612967508580787</v>
      </c>
      <c r="M164" s="10">
        <f t="shared" si="18"/>
        <v>0.19958419235714409</v>
      </c>
      <c r="P164" s="8">
        <f t="shared" si="19"/>
        <v>-20.927350167948156</v>
      </c>
    </row>
    <row r="165" spans="1:16" x14ac:dyDescent="0.2">
      <c r="A165" s="8">
        <v>81.5</v>
      </c>
      <c r="B165" s="8">
        <v>163</v>
      </c>
      <c r="D165">
        <v>2295.9847596718</v>
      </c>
      <c r="E165">
        <v>505.59261430245999</v>
      </c>
      <c r="F165">
        <v>142.90222482435999</v>
      </c>
      <c r="G165">
        <v>118.10889929742</v>
      </c>
      <c r="I165" s="9">
        <f t="shared" si="15"/>
        <v>387.48371500503998</v>
      </c>
      <c r="J165" s="9">
        <f t="shared" si="16"/>
        <v>2153.08253484744</v>
      </c>
      <c r="K165" s="9">
        <f t="shared" si="17"/>
        <v>387.48371500503998</v>
      </c>
      <c r="L165" s="10">
        <f t="shared" si="14"/>
        <v>0.17996695841132526</v>
      </c>
      <c r="M165" s="10">
        <f t="shared" si="18"/>
        <v>0.20356625665347219</v>
      </c>
      <c r="P165" s="8">
        <f t="shared" si="19"/>
        <v>-19.34970831167918</v>
      </c>
    </row>
    <row r="166" spans="1:16" x14ac:dyDescent="0.2">
      <c r="A166" s="8">
        <v>82</v>
      </c>
      <c r="B166" s="8">
        <v>164</v>
      </c>
      <c r="D166">
        <v>2398.2790152402999</v>
      </c>
      <c r="E166">
        <v>510.38862837046003</v>
      </c>
      <c r="F166">
        <v>142.37119437939</v>
      </c>
      <c r="G166">
        <v>118.15339578454</v>
      </c>
      <c r="I166" s="9">
        <f t="shared" si="15"/>
        <v>392.23523258592002</v>
      </c>
      <c r="J166" s="9">
        <f t="shared" si="16"/>
        <v>2255.9078208609099</v>
      </c>
      <c r="K166" s="9">
        <f t="shared" si="17"/>
        <v>392.23523258592002</v>
      </c>
      <c r="L166" s="10">
        <f t="shared" si="14"/>
        <v>0.17387023927078429</v>
      </c>
      <c r="M166" s="10">
        <f t="shared" si="18"/>
        <v>0.19761431848374195</v>
      </c>
      <c r="P166" s="8">
        <f t="shared" si="19"/>
        <v>-21.707788464013738</v>
      </c>
    </row>
    <row r="167" spans="1:16" x14ac:dyDescent="0.2">
      <c r="A167" s="8">
        <v>82.5</v>
      </c>
      <c r="B167" s="8">
        <v>165</v>
      </c>
      <c r="D167">
        <v>2246.7100694443998</v>
      </c>
      <c r="E167">
        <v>500.65277777777999</v>
      </c>
      <c r="F167">
        <v>142.17564402810001</v>
      </c>
      <c r="G167">
        <v>117.82318501171</v>
      </c>
      <c r="I167" s="9">
        <f t="shared" si="15"/>
        <v>382.82959276606999</v>
      </c>
      <c r="J167" s="9">
        <f t="shared" si="16"/>
        <v>2104.5344254162997</v>
      </c>
      <c r="K167" s="9">
        <f t="shared" si="17"/>
        <v>382.82959276606999</v>
      </c>
      <c r="L167" s="10">
        <f t="shared" si="14"/>
        <v>0.18190702330295316</v>
      </c>
      <c r="M167" s="10">
        <f t="shared" si="18"/>
        <v>0.20579588348672154</v>
      </c>
      <c r="P167" s="8">
        <f t="shared" si="19"/>
        <v>-18.466359286090075</v>
      </c>
    </row>
    <row r="168" spans="1:16" x14ac:dyDescent="0.2">
      <c r="A168" s="8">
        <v>83</v>
      </c>
      <c r="B168" s="8">
        <v>166</v>
      </c>
      <c r="D168">
        <v>2127.65625</v>
      </c>
      <c r="E168">
        <v>491.74594907406998</v>
      </c>
      <c r="F168">
        <v>142.50761124121999</v>
      </c>
      <c r="G168">
        <v>118.43266978923</v>
      </c>
      <c r="I168" s="9">
        <f t="shared" si="15"/>
        <v>373.31327928483995</v>
      </c>
      <c r="J168" s="9">
        <f t="shared" si="16"/>
        <v>1985.14863875878</v>
      </c>
      <c r="K168" s="9">
        <f t="shared" si="17"/>
        <v>373.31327928483995</v>
      </c>
      <c r="L168" s="10">
        <f t="shared" si="14"/>
        <v>0.18805306161772106</v>
      </c>
      <c r="M168" s="10">
        <f t="shared" si="18"/>
        <v>0.21208670277230013</v>
      </c>
      <c r="P168" s="8">
        <f t="shared" si="19"/>
        <v>-15.974018862480024</v>
      </c>
    </row>
    <row r="169" spans="1:16" x14ac:dyDescent="0.2">
      <c r="A169" s="8">
        <v>83.5</v>
      </c>
      <c r="B169" s="8">
        <v>167</v>
      </c>
      <c r="D169">
        <v>2214.2104046242998</v>
      </c>
      <c r="E169">
        <v>499.92312138727999</v>
      </c>
      <c r="F169">
        <v>142.64988290398</v>
      </c>
      <c r="G169">
        <v>117.84367681499</v>
      </c>
      <c r="I169" s="9">
        <f t="shared" si="15"/>
        <v>382.07944457228996</v>
      </c>
      <c r="J169" s="9">
        <f t="shared" si="16"/>
        <v>2071.5605217203197</v>
      </c>
      <c r="K169" s="9">
        <f t="shared" si="17"/>
        <v>382.07944457228996</v>
      </c>
      <c r="L169" s="10">
        <f t="shared" si="14"/>
        <v>0.18444039677633628</v>
      </c>
      <c r="M169" s="10">
        <f t="shared" si="18"/>
        <v>0.20861881890172607</v>
      </c>
      <c r="P169" s="8">
        <f t="shared" si="19"/>
        <v>-17.347949150833884</v>
      </c>
    </row>
    <row r="170" spans="1:16" x14ac:dyDescent="0.2">
      <c r="A170" s="8">
        <v>84</v>
      </c>
      <c r="B170" s="8">
        <v>168</v>
      </c>
      <c r="D170">
        <v>2214.0427745665002</v>
      </c>
      <c r="E170">
        <v>500.6289017341</v>
      </c>
      <c r="F170">
        <v>142.67388758781999</v>
      </c>
      <c r="G170">
        <v>117.97833723653</v>
      </c>
      <c r="I170" s="9">
        <f t="shared" si="15"/>
        <v>382.65056449757003</v>
      </c>
      <c r="J170" s="9">
        <f t="shared" si="16"/>
        <v>2071.3688869786802</v>
      </c>
      <c r="K170" s="9">
        <f t="shared" si="17"/>
        <v>382.65056449757003</v>
      </c>
      <c r="L170" s="10">
        <f t="shared" si="14"/>
        <v>0.18473318147387455</v>
      </c>
      <c r="M170" s="10">
        <f t="shared" si="18"/>
        <v>0.20905638457007505</v>
      </c>
      <c r="P170" s="8">
        <f t="shared" si="19"/>
        <v>-17.17459134897965</v>
      </c>
    </row>
    <row r="171" spans="1:16" x14ac:dyDescent="0.2">
      <c r="A171" s="8">
        <v>84.5</v>
      </c>
      <c r="B171" s="8">
        <v>169</v>
      </c>
      <c r="D171">
        <v>2213.9260115606999</v>
      </c>
      <c r="E171">
        <v>502.03063583814998</v>
      </c>
      <c r="F171">
        <v>142.5275175644</v>
      </c>
      <c r="G171">
        <v>118.15398126464</v>
      </c>
      <c r="I171" s="9">
        <f t="shared" si="15"/>
        <v>383.87665457351</v>
      </c>
      <c r="J171" s="9">
        <f t="shared" si="16"/>
        <v>2071.3984939962997</v>
      </c>
      <c r="K171" s="9">
        <f t="shared" si="17"/>
        <v>383.87665457351</v>
      </c>
      <c r="L171" s="10">
        <f t="shared" si="14"/>
        <v>0.18532245518480894</v>
      </c>
      <c r="M171" s="10">
        <f t="shared" si="18"/>
        <v>0.20979043925182017</v>
      </c>
      <c r="P171" s="8">
        <f t="shared" si="19"/>
        <v>-16.883768473071001</v>
      </c>
    </row>
    <row r="172" spans="1:16" x14ac:dyDescent="0.2">
      <c r="A172" s="8">
        <v>85</v>
      </c>
      <c r="B172" s="8">
        <v>170</v>
      </c>
      <c r="D172">
        <v>2187.2670520231</v>
      </c>
      <c r="E172">
        <v>502.47225433526</v>
      </c>
      <c r="F172">
        <v>142.64461358314</v>
      </c>
      <c r="G172">
        <v>117.94496487119</v>
      </c>
      <c r="I172" s="9">
        <f t="shared" si="15"/>
        <v>384.52728946407001</v>
      </c>
      <c r="J172" s="9">
        <f t="shared" si="16"/>
        <v>2044.62243843996</v>
      </c>
      <c r="K172" s="9">
        <f t="shared" si="17"/>
        <v>384.52728946407001</v>
      </c>
      <c r="L172" s="10">
        <f t="shared" si="14"/>
        <v>0.18806762668488713</v>
      </c>
      <c r="M172" s="10">
        <f t="shared" si="18"/>
        <v>0.21268039172270908</v>
      </c>
      <c r="P172" s="8">
        <f t="shared" si="19"/>
        <v>-15.738807055721093</v>
      </c>
    </row>
    <row r="173" spans="1:16" x14ac:dyDescent="0.2">
      <c r="A173" s="8">
        <v>85.5</v>
      </c>
      <c r="B173" s="8">
        <v>171</v>
      </c>
      <c r="D173">
        <v>2250.5745664740002</v>
      </c>
      <c r="E173">
        <v>506.30404624277998</v>
      </c>
      <c r="F173">
        <v>142.58606557376999</v>
      </c>
      <c r="G173">
        <v>118.42447306792</v>
      </c>
      <c r="I173" s="9">
        <f t="shared" si="15"/>
        <v>387.87957317485996</v>
      </c>
      <c r="J173" s="9">
        <f t="shared" si="16"/>
        <v>2107.9885009002301</v>
      </c>
      <c r="K173" s="9">
        <f t="shared" si="17"/>
        <v>387.87957317485996</v>
      </c>
      <c r="L173" s="10">
        <f t="shared" si="14"/>
        <v>0.18400459632925581</v>
      </c>
      <c r="M173" s="10">
        <f t="shared" si="18"/>
        <v>0.20876214233788848</v>
      </c>
      <c r="P173" s="8">
        <f t="shared" si="19"/>
        <v>-17.291166277668673</v>
      </c>
    </row>
    <row r="174" spans="1:16" x14ac:dyDescent="0.2">
      <c r="A174" s="8">
        <v>86</v>
      </c>
      <c r="B174" s="8">
        <v>172</v>
      </c>
      <c r="D174">
        <v>2311.5757225433999</v>
      </c>
      <c r="E174">
        <v>512.58728323698995</v>
      </c>
      <c r="F174">
        <v>143.21838407493999</v>
      </c>
      <c r="G174">
        <v>117.96604215457</v>
      </c>
      <c r="I174" s="9">
        <f t="shared" si="15"/>
        <v>394.62124108241994</v>
      </c>
      <c r="J174" s="9">
        <f t="shared" si="16"/>
        <v>2168.3573384684601</v>
      </c>
      <c r="K174" s="9">
        <f t="shared" si="17"/>
        <v>394.62124108241994</v>
      </c>
      <c r="L174" s="10">
        <f t="shared" si="14"/>
        <v>0.1819908711915289</v>
      </c>
      <c r="M174" s="10">
        <f t="shared" si="18"/>
        <v>0.20689319817097229</v>
      </c>
      <c r="P174" s="8">
        <f t="shared" si="19"/>
        <v>-18.031617542475114</v>
      </c>
    </row>
    <row r="175" spans="1:16" x14ac:dyDescent="0.2">
      <c r="A175" s="8">
        <v>86.5</v>
      </c>
      <c r="B175" s="8">
        <v>173</v>
      </c>
      <c r="D175">
        <v>2206.1953757225001</v>
      </c>
      <c r="E175">
        <v>492.91213872831997</v>
      </c>
      <c r="F175">
        <v>143.15632318501</v>
      </c>
      <c r="G175">
        <v>118.25</v>
      </c>
      <c r="I175" s="9">
        <f t="shared" si="15"/>
        <v>374.66213872831997</v>
      </c>
      <c r="J175" s="9">
        <f t="shared" si="16"/>
        <v>2063.0390525374901</v>
      </c>
      <c r="K175" s="9">
        <f t="shared" si="17"/>
        <v>374.66213872831997</v>
      </c>
      <c r="L175" s="10">
        <f t="shared" si="14"/>
        <v>0.18160690572846611</v>
      </c>
      <c r="M175" s="10">
        <f t="shared" si="18"/>
        <v>0.20665401367872022</v>
      </c>
      <c r="P175" s="8">
        <f t="shared" si="19"/>
        <v>-18.126379313824533</v>
      </c>
    </row>
    <row r="176" spans="1:16" x14ac:dyDescent="0.2">
      <c r="A176" s="8">
        <v>87</v>
      </c>
      <c r="B176" s="8">
        <v>174</v>
      </c>
      <c r="D176">
        <v>2250.9884393063999</v>
      </c>
      <c r="E176">
        <v>498.75606936416</v>
      </c>
      <c r="F176">
        <v>143.33430913349</v>
      </c>
      <c r="G176">
        <v>117.98536299766</v>
      </c>
      <c r="I176" s="9">
        <f t="shared" si="15"/>
        <v>380.77070636650001</v>
      </c>
      <c r="J176" s="9">
        <f t="shared" si="16"/>
        <v>2107.6541301729098</v>
      </c>
      <c r="K176" s="9">
        <f t="shared" si="17"/>
        <v>380.77070636650001</v>
      </c>
      <c r="L176" s="10">
        <f t="shared" si="14"/>
        <v>0.18066090679463712</v>
      </c>
      <c r="M176" s="10">
        <f t="shared" si="18"/>
        <v>0.20585279571570195</v>
      </c>
      <c r="P176" s="8">
        <f t="shared" si="19"/>
        <v>-18.443811404415776</v>
      </c>
    </row>
    <row r="177" spans="1:16" x14ac:dyDescent="0.2">
      <c r="A177" s="8">
        <v>87.5</v>
      </c>
      <c r="B177" s="8">
        <v>175</v>
      </c>
      <c r="D177">
        <v>2080.4825783972001</v>
      </c>
      <c r="E177">
        <v>471.73867595819002</v>
      </c>
      <c r="F177">
        <v>143.10304449649001</v>
      </c>
      <c r="G177">
        <v>118.05035128806</v>
      </c>
      <c r="I177" s="9">
        <f t="shared" si="15"/>
        <v>353.68832467012999</v>
      </c>
      <c r="J177" s="9">
        <f t="shared" si="16"/>
        <v>1937.3795339007102</v>
      </c>
      <c r="K177" s="9">
        <f t="shared" si="17"/>
        <v>353.68832467012999</v>
      </c>
      <c r="L177" s="10">
        <f t="shared" si="14"/>
        <v>0.18256016360305805</v>
      </c>
      <c r="M177" s="10">
        <f t="shared" si="18"/>
        <v>0.2078968334949336</v>
      </c>
      <c r="P177" s="8">
        <f t="shared" si="19"/>
        <v>-17.633990337667935</v>
      </c>
    </row>
    <row r="178" spans="1:16" x14ac:dyDescent="0.2">
      <c r="A178" s="8">
        <v>88</v>
      </c>
      <c r="B178" s="8">
        <v>176</v>
      </c>
      <c r="D178">
        <v>2017.2020905923</v>
      </c>
      <c r="E178">
        <v>462.44889663181999</v>
      </c>
      <c r="F178">
        <v>142.99180327869001</v>
      </c>
      <c r="G178">
        <v>117.89344262295</v>
      </c>
      <c r="I178" s="9">
        <f t="shared" si="15"/>
        <v>344.55545400887002</v>
      </c>
      <c r="J178" s="9">
        <f t="shared" si="16"/>
        <v>1874.21028731361</v>
      </c>
      <c r="K178" s="9">
        <f t="shared" si="17"/>
        <v>344.55545400887002</v>
      </c>
      <c r="L178" s="10">
        <f t="shared" si="14"/>
        <v>0.1838403386968582</v>
      </c>
      <c r="M178" s="10">
        <f t="shared" si="18"/>
        <v>0.20932178955954445</v>
      </c>
      <c r="P178" s="8">
        <f t="shared" si="19"/>
        <v>-17.069441359152606</v>
      </c>
    </row>
    <row r="179" spans="1:16" x14ac:dyDescent="0.2">
      <c r="A179" s="8">
        <v>88.5</v>
      </c>
      <c r="B179" s="8">
        <v>177</v>
      </c>
      <c r="D179">
        <v>1953.2473867596</v>
      </c>
      <c r="E179">
        <v>455.93321718931998</v>
      </c>
      <c r="F179">
        <v>143.19145199062999</v>
      </c>
      <c r="G179">
        <v>118.17388758782</v>
      </c>
      <c r="I179" s="9">
        <f t="shared" si="15"/>
        <v>337.75932960149999</v>
      </c>
      <c r="J179" s="9">
        <f t="shared" si="16"/>
        <v>1810.05593476897</v>
      </c>
      <c r="K179" s="9">
        <f t="shared" si="17"/>
        <v>337.75932960149999</v>
      </c>
      <c r="L179" s="10">
        <f t="shared" si="14"/>
        <v>0.18660159783659422</v>
      </c>
      <c r="M179" s="10">
        <f t="shared" si="18"/>
        <v>0.21222782967009118</v>
      </c>
      <c r="P179" s="8">
        <f t="shared" si="19"/>
        <v>-15.918106229124037</v>
      </c>
    </row>
    <row r="180" spans="1:16" x14ac:dyDescent="0.2">
      <c r="A180" s="8">
        <v>89</v>
      </c>
      <c r="B180" s="8">
        <v>178</v>
      </c>
      <c r="D180">
        <v>1887.8455284552999</v>
      </c>
      <c r="E180">
        <v>446.04065040649999</v>
      </c>
      <c r="F180">
        <v>143.13056206088999</v>
      </c>
      <c r="G180">
        <v>118.11358313817</v>
      </c>
      <c r="I180" s="9">
        <f t="shared" si="15"/>
        <v>327.92706726833001</v>
      </c>
      <c r="J180" s="9">
        <f t="shared" si="16"/>
        <v>1744.7149663944099</v>
      </c>
      <c r="K180" s="9">
        <f t="shared" si="17"/>
        <v>327.92706726833001</v>
      </c>
      <c r="L180" s="10">
        <f t="shared" si="14"/>
        <v>0.18795452184720865</v>
      </c>
      <c r="M180" s="10">
        <f t="shared" si="18"/>
        <v>0.21372553465151634</v>
      </c>
      <c r="P180" s="8">
        <f t="shared" si="19"/>
        <v>-15.324735080090191</v>
      </c>
    </row>
    <row r="181" spans="1:16" x14ac:dyDescent="0.2">
      <c r="A181" s="8">
        <v>89.5</v>
      </c>
      <c r="B181" s="8">
        <v>179</v>
      </c>
      <c r="D181">
        <v>1923.9233449476999</v>
      </c>
      <c r="E181">
        <v>448.56387921022002</v>
      </c>
      <c r="F181">
        <v>142.97658079625</v>
      </c>
      <c r="G181">
        <v>118.28981264637</v>
      </c>
      <c r="I181" s="9">
        <f t="shared" si="15"/>
        <v>330.27406656385006</v>
      </c>
      <c r="J181" s="9">
        <f t="shared" si="16"/>
        <v>1780.9467641514498</v>
      </c>
      <c r="K181" s="9">
        <f t="shared" si="17"/>
        <v>330.27406656385006</v>
      </c>
      <c r="L181" s="10">
        <f t="shared" si="14"/>
        <v>0.18544859016109475</v>
      </c>
      <c r="M181" s="10">
        <f t="shared" si="18"/>
        <v>0.21136438393621315</v>
      </c>
      <c r="P181" s="8">
        <f t="shared" si="19"/>
        <v>-16.260192149644951</v>
      </c>
    </row>
    <row r="182" spans="1:16" x14ac:dyDescent="0.2">
      <c r="A182" s="8">
        <v>90</v>
      </c>
      <c r="B182" s="8">
        <v>180</v>
      </c>
      <c r="D182">
        <v>1953.2456445993</v>
      </c>
      <c r="E182">
        <v>453.41695702671001</v>
      </c>
      <c r="F182">
        <v>142.74180327869001</v>
      </c>
      <c r="G182">
        <v>117.92388758782</v>
      </c>
      <c r="I182" s="9">
        <f t="shared" si="15"/>
        <v>335.49306943889002</v>
      </c>
      <c r="J182" s="9">
        <f t="shared" si="16"/>
        <v>1810.50384132061</v>
      </c>
      <c r="K182" s="9">
        <f t="shared" si="17"/>
        <v>335.49306943889002</v>
      </c>
      <c r="L182" s="10">
        <f t="shared" si="14"/>
        <v>0.18530370484835651</v>
      </c>
      <c r="M182" s="10">
        <f>L182+ABS($N$2)*A182</f>
        <v>0.21136427959428564</v>
      </c>
      <c r="P182" s="8">
        <f t="shared" si="19"/>
        <v>-16.260233488553606</v>
      </c>
    </row>
    <row r="183" spans="1:16" x14ac:dyDescent="0.2">
      <c r="A183" s="8">
        <v>90.5</v>
      </c>
      <c r="B183" s="8">
        <v>181</v>
      </c>
      <c r="D183">
        <v>1952.9930313589</v>
      </c>
      <c r="E183">
        <v>449.77119628339</v>
      </c>
      <c r="F183">
        <v>142.95550351288</v>
      </c>
      <c r="G183">
        <v>118.29156908665</v>
      </c>
      <c r="I183" s="9">
        <f t="shared" si="15"/>
        <v>331.47962719674001</v>
      </c>
      <c r="J183" s="9">
        <f t="shared" si="16"/>
        <v>1810.0375278460201</v>
      </c>
      <c r="K183" s="9">
        <f t="shared" si="17"/>
        <v>331.47962719674001</v>
      </c>
      <c r="L183" s="10">
        <f t="shared" si="14"/>
        <v>0.18313411854571171</v>
      </c>
      <c r="M183" s="10">
        <f t="shared" ref="M183:M241" si="20">L183+ABS($N$2)*A183</f>
        <v>0.20933947426245156</v>
      </c>
      <c r="P183" s="8">
        <f t="shared" si="19"/>
        <v>-17.062434910877105</v>
      </c>
    </row>
    <row r="184" spans="1:16" x14ac:dyDescent="0.2">
      <c r="A184" s="8">
        <v>91</v>
      </c>
      <c r="B184" s="8">
        <v>182</v>
      </c>
      <c r="D184">
        <v>2037.1396843950999</v>
      </c>
      <c r="E184">
        <v>466.91350087668002</v>
      </c>
      <c r="F184">
        <v>142.88056206088999</v>
      </c>
      <c r="G184">
        <v>118.11065573771</v>
      </c>
      <c r="I184" s="9">
        <f t="shared" si="15"/>
        <v>348.80284513897004</v>
      </c>
      <c r="J184" s="9">
        <f t="shared" si="16"/>
        <v>1894.2591223342099</v>
      </c>
      <c r="K184" s="9">
        <f t="shared" si="17"/>
        <v>348.80284513897004</v>
      </c>
      <c r="L184" s="10">
        <f t="shared" si="14"/>
        <v>0.18413681688340297</v>
      </c>
      <c r="M184" s="10">
        <f t="shared" si="20"/>
        <v>0.21048695357095354</v>
      </c>
      <c r="P184" s="8">
        <f t="shared" si="19"/>
        <v>-16.607818598437195</v>
      </c>
    </row>
    <row r="185" spans="1:16" x14ac:dyDescent="0.2">
      <c r="A185" s="8">
        <v>91.5</v>
      </c>
      <c r="B185" s="8">
        <v>183</v>
      </c>
      <c r="D185">
        <v>2110.1969608415998</v>
      </c>
      <c r="E185">
        <v>474.38573933371998</v>
      </c>
      <c r="F185">
        <v>142.84777517564001</v>
      </c>
      <c r="G185">
        <v>118.23477751756</v>
      </c>
      <c r="I185" s="9">
        <f t="shared" si="15"/>
        <v>356.15096181615996</v>
      </c>
      <c r="J185" s="9">
        <f t="shared" si="16"/>
        <v>1967.3491856659598</v>
      </c>
      <c r="K185" s="9">
        <f t="shared" si="17"/>
        <v>356.15096181615996</v>
      </c>
      <c r="L185" s="10">
        <f t="shared" si="14"/>
        <v>0.18103088379585278</v>
      </c>
      <c r="M185" s="10">
        <f t="shared" si="20"/>
        <v>0.20752580145421406</v>
      </c>
      <c r="P185" s="8">
        <f t="shared" si="19"/>
        <v>-17.780988385388007</v>
      </c>
    </row>
    <row r="186" spans="1:16" x14ac:dyDescent="0.2">
      <c r="A186" s="8">
        <v>92</v>
      </c>
      <c r="B186" s="8">
        <v>184</v>
      </c>
      <c r="D186">
        <v>2116.8392752775999</v>
      </c>
      <c r="E186">
        <v>480.75862068966001</v>
      </c>
      <c r="F186">
        <v>142.40749414519999</v>
      </c>
      <c r="G186">
        <v>117.74824355972</v>
      </c>
      <c r="I186" s="9">
        <f t="shared" si="15"/>
        <v>363.01037712994003</v>
      </c>
      <c r="J186" s="9">
        <f t="shared" si="16"/>
        <v>1974.4317811323999</v>
      </c>
      <c r="K186" s="9">
        <f t="shared" si="17"/>
        <v>363.01037712994003</v>
      </c>
      <c r="L186" s="10">
        <f t="shared" si="14"/>
        <v>0.18385561891722688</v>
      </c>
      <c r="M186" s="10">
        <f t="shared" si="20"/>
        <v>0.21049531754639889</v>
      </c>
      <c r="P186" s="8">
        <f t="shared" si="19"/>
        <v>-16.604504900624846</v>
      </c>
    </row>
    <row r="187" spans="1:16" x14ac:dyDescent="0.2">
      <c r="A187" s="8">
        <v>92.5</v>
      </c>
      <c r="B187" s="8">
        <v>185</v>
      </c>
      <c r="D187">
        <v>2047.9012925969</v>
      </c>
      <c r="E187">
        <v>477.57344300823002</v>
      </c>
      <c r="F187">
        <v>142.97599531616001</v>
      </c>
      <c r="G187">
        <v>117.94086651054</v>
      </c>
      <c r="I187" s="9">
        <f t="shared" si="15"/>
        <v>359.63257649769002</v>
      </c>
      <c r="J187" s="9">
        <f t="shared" si="16"/>
        <v>1904.9252972807401</v>
      </c>
      <c r="K187" s="9">
        <f t="shared" si="17"/>
        <v>359.63257649769002</v>
      </c>
      <c r="L187" s="10">
        <f t="shared" si="14"/>
        <v>0.18879090797474399</v>
      </c>
      <c r="M187" s="10">
        <f t="shared" si="20"/>
        <v>0.21557538757472669</v>
      </c>
      <c r="P187" s="8">
        <f t="shared" si="19"/>
        <v>-14.591847516649981</v>
      </c>
    </row>
    <row r="188" spans="1:16" x14ac:dyDescent="0.2">
      <c r="A188" s="8">
        <v>93</v>
      </c>
      <c r="B188" s="8">
        <v>186</v>
      </c>
      <c r="D188">
        <v>2061.2579318449002</v>
      </c>
      <c r="E188">
        <v>488.21269095181998</v>
      </c>
      <c r="F188">
        <v>142.87470725994999</v>
      </c>
      <c r="G188">
        <v>118.0649882904</v>
      </c>
      <c r="I188" s="9">
        <f t="shared" si="15"/>
        <v>370.14770266142</v>
      </c>
      <c r="J188" s="9">
        <f t="shared" si="16"/>
        <v>1918.3832245849503</v>
      </c>
      <c r="K188" s="9">
        <f t="shared" si="17"/>
        <v>370.14770266142</v>
      </c>
      <c r="L188" s="10">
        <f t="shared" si="14"/>
        <v>0.19294773740606647</v>
      </c>
      <c r="M188" s="10">
        <f t="shared" si="20"/>
        <v>0.21987699797685989</v>
      </c>
      <c r="P188" s="8">
        <f t="shared" si="19"/>
        <v>-12.887605667510293</v>
      </c>
    </row>
    <row r="189" spans="1:16" x14ac:dyDescent="0.2">
      <c r="A189" s="8">
        <v>93.5</v>
      </c>
      <c r="B189" s="8">
        <v>187</v>
      </c>
      <c r="D189">
        <v>2070.1474735605002</v>
      </c>
      <c r="E189">
        <v>480.96180963571999</v>
      </c>
      <c r="F189">
        <v>143.09426229508</v>
      </c>
      <c r="G189">
        <v>118.00292740047</v>
      </c>
      <c r="I189" s="9">
        <f t="shared" si="15"/>
        <v>362.95888223524997</v>
      </c>
      <c r="J189" s="9">
        <f t="shared" si="16"/>
        <v>1927.0532112654203</v>
      </c>
      <c r="K189" s="9">
        <f t="shared" si="17"/>
        <v>362.95888223524997</v>
      </c>
      <c r="L189" s="10">
        <f t="shared" si="14"/>
        <v>0.18834917485070851</v>
      </c>
      <c r="M189" s="10">
        <f t="shared" si="20"/>
        <v>0.21542321639231266</v>
      </c>
      <c r="P189" s="8">
        <f t="shared" si="19"/>
        <v>-14.652135751301461</v>
      </c>
    </row>
    <row r="190" spans="1:16" x14ac:dyDescent="0.2">
      <c r="A190" s="8">
        <v>94</v>
      </c>
      <c r="B190" s="8">
        <v>188</v>
      </c>
      <c r="D190">
        <v>2156.810936591</v>
      </c>
      <c r="E190">
        <v>494.24200116346998</v>
      </c>
      <c r="F190">
        <v>142.96721311475</v>
      </c>
      <c r="G190">
        <v>118.43384074942</v>
      </c>
      <c r="I190" s="9">
        <f t="shared" si="15"/>
        <v>375.80816041405001</v>
      </c>
      <c r="J190" s="9">
        <f t="shared" si="16"/>
        <v>2013.84372347625</v>
      </c>
      <c r="K190" s="9">
        <f t="shared" si="17"/>
        <v>375.80816041405001</v>
      </c>
      <c r="L190" s="10">
        <f t="shared" si="14"/>
        <v>0.18661237514762999</v>
      </c>
      <c r="M190" s="10">
        <f t="shared" si="20"/>
        <v>0.21383119766004485</v>
      </c>
      <c r="P190" s="8">
        <f t="shared" si="19"/>
        <v>-15.282872776393186</v>
      </c>
    </row>
    <row r="191" spans="1:16" x14ac:dyDescent="0.2">
      <c r="A191" s="8">
        <v>94.5</v>
      </c>
      <c r="B191" s="8">
        <v>189</v>
      </c>
      <c r="D191">
        <v>2139.1698662013</v>
      </c>
      <c r="E191">
        <v>491.51657940663</v>
      </c>
      <c r="F191">
        <v>142.79449648712</v>
      </c>
      <c r="G191">
        <v>118.07084309134</v>
      </c>
      <c r="I191" s="9">
        <f t="shared" si="15"/>
        <v>373.44573631528999</v>
      </c>
      <c r="J191" s="9">
        <f t="shared" si="16"/>
        <v>1996.3753697141801</v>
      </c>
      <c r="K191" s="9">
        <f t="shared" si="17"/>
        <v>373.44573631528999</v>
      </c>
      <c r="L191" s="10">
        <f t="shared" si="14"/>
        <v>0.18706188324130446</v>
      </c>
      <c r="M191" s="10">
        <f t="shared" si="20"/>
        <v>0.21442548672453005</v>
      </c>
      <c r="P191" s="8">
        <f t="shared" si="19"/>
        <v>-15.047423212276573</v>
      </c>
    </row>
    <row r="192" spans="1:16" x14ac:dyDescent="0.2">
      <c r="A192" s="8">
        <v>95</v>
      </c>
      <c r="B192" s="8">
        <v>190</v>
      </c>
      <c r="D192">
        <v>2138.9005235601999</v>
      </c>
      <c r="E192">
        <v>489.06282722512998</v>
      </c>
      <c r="F192">
        <v>143.08196721312001</v>
      </c>
      <c r="G192">
        <v>117.83723653396</v>
      </c>
      <c r="I192" s="9">
        <f t="shared" si="15"/>
        <v>371.22559069117</v>
      </c>
      <c r="J192" s="9">
        <f t="shared" si="16"/>
        <v>1995.8185563470799</v>
      </c>
      <c r="K192" s="9">
        <f t="shared" si="17"/>
        <v>371.22559069117</v>
      </c>
      <c r="L192" s="10">
        <f t="shared" si="14"/>
        <v>0.18600167310330015</v>
      </c>
      <c r="M192" s="10">
        <f t="shared" si="20"/>
        <v>0.21351005755733646</v>
      </c>
      <c r="P192" s="8">
        <f t="shared" si="19"/>
        <v>-15.410104290014514</v>
      </c>
    </row>
    <row r="193" spans="1:16" x14ac:dyDescent="0.2">
      <c r="A193" s="8">
        <v>95.5</v>
      </c>
      <c r="B193" s="8">
        <v>191</v>
      </c>
      <c r="D193">
        <v>2116.1791739383002</v>
      </c>
      <c r="E193">
        <v>485.72076788830998</v>
      </c>
      <c r="F193">
        <v>142.18969555035</v>
      </c>
      <c r="G193">
        <v>118.21838407494</v>
      </c>
      <c r="I193" s="9">
        <f t="shared" si="15"/>
        <v>367.50238381336999</v>
      </c>
      <c r="J193" s="9">
        <f t="shared" si="16"/>
        <v>1973.9894783879502</v>
      </c>
      <c r="K193" s="9">
        <f t="shared" si="17"/>
        <v>367.50238381336999</v>
      </c>
      <c r="L193" s="10">
        <f t="shared" si="14"/>
        <v>0.18617241268858697</v>
      </c>
      <c r="M193" s="10">
        <f t="shared" si="20"/>
        <v>0.213825578113434</v>
      </c>
      <c r="P193" s="8">
        <f t="shared" si="19"/>
        <v>-15.285099167351943</v>
      </c>
    </row>
    <row r="194" spans="1:16" x14ac:dyDescent="0.2">
      <c r="A194" s="8">
        <v>96</v>
      </c>
      <c r="B194" s="8">
        <v>192</v>
      </c>
      <c r="D194">
        <v>2108.5241419429999</v>
      </c>
      <c r="E194">
        <v>487.98138452589001</v>
      </c>
      <c r="F194">
        <v>142.19964871194</v>
      </c>
      <c r="G194">
        <v>117.76697892272</v>
      </c>
      <c r="I194" s="9">
        <f t="shared" si="15"/>
        <v>370.21440560317001</v>
      </c>
      <c r="J194" s="9">
        <f t="shared" si="16"/>
        <v>1966.3244932310599</v>
      </c>
      <c r="K194" s="9">
        <f t="shared" si="17"/>
        <v>370.21440560317001</v>
      </c>
      <c r="L194" s="10">
        <f t="shared" ref="L194:L257" si="21">K194/J194</f>
        <v>0.18827737073794698</v>
      </c>
      <c r="M194" s="10">
        <f t="shared" si="20"/>
        <v>0.21607531713360473</v>
      </c>
      <c r="P194" s="8">
        <f t="shared" si="19"/>
        <v>-14.393781956031246</v>
      </c>
    </row>
    <row r="195" spans="1:16" x14ac:dyDescent="0.2">
      <c r="A195" s="8">
        <v>96.5</v>
      </c>
      <c r="B195" s="8">
        <v>193</v>
      </c>
      <c r="D195">
        <v>2033.6131471786</v>
      </c>
      <c r="E195">
        <v>473.17510180337001</v>
      </c>
      <c r="F195">
        <v>142.84953161593</v>
      </c>
      <c r="G195">
        <v>118.00878220141</v>
      </c>
      <c r="I195" s="9">
        <f t="shared" ref="I195:I241" si="22">E195-G195</f>
        <v>355.16631960196003</v>
      </c>
      <c r="J195" s="9">
        <f t="shared" ref="J195:J241" si="23">D195-F195</f>
        <v>1890.7636155626701</v>
      </c>
      <c r="K195" s="9">
        <f t="shared" ref="K195:K258" si="24">I195*1</f>
        <v>355.16631960196003</v>
      </c>
      <c r="L195" s="10">
        <f t="shared" si="21"/>
        <v>0.18784279360921935</v>
      </c>
      <c r="M195" s="10">
        <f t="shared" si="20"/>
        <v>0.21578552097568779</v>
      </c>
      <c r="P195" s="8">
        <f t="shared" ref="P195:P241" si="25">(M195-$O$2)/$O$2*100</f>
        <v>-14.508595408173964</v>
      </c>
    </row>
    <row r="196" spans="1:16" x14ac:dyDescent="0.2">
      <c r="A196" s="8">
        <v>97</v>
      </c>
      <c r="B196" s="8">
        <v>194</v>
      </c>
      <c r="D196">
        <v>2016.9912739965</v>
      </c>
      <c r="E196">
        <v>471.31646305992001</v>
      </c>
      <c r="F196">
        <v>143.08138173302001</v>
      </c>
      <c r="G196">
        <v>117.8149882904</v>
      </c>
      <c r="I196" s="9">
        <f t="shared" si="22"/>
        <v>353.50147476952003</v>
      </c>
      <c r="J196" s="9">
        <f t="shared" si="23"/>
        <v>1873.9098922634801</v>
      </c>
      <c r="K196" s="9">
        <f t="shared" si="24"/>
        <v>353.50147476952003</v>
      </c>
      <c r="L196" s="10">
        <f t="shared" si="21"/>
        <v>0.18864379564298503</v>
      </c>
      <c r="M196" s="10">
        <f t="shared" si="20"/>
        <v>0.21673130398026419</v>
      </c>
      <c r="P196" s="8">
        <f t="shared" si="25"/>
        <v>-14.133888536578887</v>
      </c>
    </row>
    <row r="197" spans="1:16" x14ac:dyDescent="0.2">
      <c r="A197" s="8">
        <v>97.5</v>
      </c>
      <c r="B197" s="8">
        <v>195</v>
      </c>
      <c r="D197">
        <v>1950.5256410256</v>
      </c>
      <c r="E197">
        <v>457.56818181817999</v>
      </c>
      <c r="F197">
        <v>142.89578454333</v>
      </c>
      <c r="G197">
        <v>117.79742388759</v>
      </c>
      <c r="I197" s="9">
        <f t="shared" si="22"/>
        <v>339.77075793058998</v>
      </c>
      <c r="J197" s="9">
        <f t="shared" si="23"/>
        <v>1807.62985648227</v>
      </c>
      <c r="K197" s="9">
        <f t="shared" si="24"/>
        <v>339.77075793058998</v>
      </c>
      <c r="L197" s="10">
        <f t="shared" si="21"/>
        <v>0.18796478533044333</v>
      </c>
      <c r="M197" s="10">
        <f t="shared" si="20"/>
        <v>0.21619707463853322</v>
      </c>
      <c r="P197" s="8">
        <f t="shared" si="25"/>
        <v>-14.345543223103906</v>
      </c>
    </row>
    <row r="198" spans="1:16" x14ac:dyDescent="0.2">
      <c r="A198" s="8">
        <v>98</v>
      </c>
      <c r="B198" s="8">
        <v>196</v>
      </c>
      <c r="D198">
        <v>1993.2307692308</v>
      </c>
      <c r="E198">
        <v>465.98601398600999</v>
      </c>
      <c r="F198">
        <v>142.32259953162</v>
      </c>
      <c r="G198">
        <v>118.11651053864</v>
      </c>
      <c r="I198" s="9">
        <f t="shared" si="22"/>
        <v>347.86950344736999</v>
      </c>
      <c r="J198" s="9">
        <f t="shared" si="23"/>
        <v>1850.90816969918</v>
      </c>
      <c r="K198" s="9">
        <f t="shared" si="24"/>
        <v>347.86950344736999</v>
      </c>
      <c r="L198" s="10">
        <f t="shared" si="21"/>
        <v>0.18794530660260023</v>
      </c>
      <c r="M198" s="10">
        <f t="shared" si="20"/>
        <v>0.21632237688150083</v>
      </c>
      <c r="P198" s="8">
        <f t="shared" si="25"/>
        <v>-14.295900111270587</v>
      </c>
    </row>
    <row r="199" spans="1:16" x14ac:dyDescent="0.2">
      <c r="A199" s="8">
        <v>98.5</v>
      </c>
      <c r="B199" s="8">
        <v>197</v>
      </c>
      <c r="D199">
        <v>2002.0629370628999</v>
      </c>
      <c r="E199">
        <v>468.06759906759999</v>
      </c>
      <c r="F199">
        <v>142.28220140515</v>
      </c>
      <c r="G199">
        <v>118.13231850117</v>
      </c>
      <c r="I199" s="9">
        <f t="shared" si="22"/>
        <v>349.93528056642998</v>
      </c>
      <c r="J199" s="9">
        <f t="shared" si="23"/>
        <v>1859.7807356577498</v>
      </c>
      <c r="K199" s="9">
        <f t="shared" si="24"/>
        <v>349.93528056642998</v>
      </c>
      <c r="L199" s="10">
        <f t="shared" si="21"/>
        <v>0.18815942861278653</v>
      </c>
      <c r="M199" s="10">
        <f t="shared" si="20"/>
        <v>0.21668127986249786</v>
      </c>
      <c r="P199" s="8">
        <f t="shared" si="25"/>
        <v>-14.153707438569963</v>
      </c>
    </row>
    <row r="200" spans="1:16" x14ac:dyDescent="0.2">
      <c r="A200" s="8">
        <v>99</v>
      </c>
      <c r="B200" s="8">
        <v>198</v>
      </c>
      <c r="D200">
        <v>1979.9516317016</v>
      </c>
      <c r="E200">
        <v>466.45512820512999</v>
      </c>
      <c r="F200">
        <v>142.63231850117</v>
      </c>
      <c r="G200">
        <v>117.82318501171</v>
      </c>
      <c r="I200" s="9">
        <f t="shared" si="22"/>
        <v>348.63194319342</v>
      </c>
      <c r="J200" s="9">
        <f t="shared" si="23"/>
        <v>1837.3193132004301</v>
      </c>
      <c r="K200" s="9">
        <f t="shared" si="24"/>
        <v>348.63194319342</v>
      </c>
      <c r="L200" s="10">
        <f t="shared" si="21"/>
        <v>0.18975032847509632</v>
      </c>
      <c r="M200" s="10">
        <f t="shared" si="20"/>
        <v>0.21841696069561836</v>
      </c>
      <c r="P200" s="8">
        <f t="shared" si="25"/>
        <v>-13.466053365786735</v>
      </c>
    </row>
    <row r="201" spans="1:16" x14ac:dyDescent="0.2">
      <c r="A201" s="8">
        <v>99.5</v>
      </c>
      <c r="B201" s="8">
        <v>199</v>
      </c>
      <c r="D201">
        <v>1933.9134275618001</v>
      </c>
      <c r="E201">
        <v>454.52944640753998</v>
      </c>
      <c r="F201">
        <v>142.36475409836001</v>
      </c>
      <c r="G201">
        <v>118.00526932084</v>
      </c>
      <c r="I201" s="9">
        <f t="shared" si="22"/>
        <v>336.52417708669998</v>
      </c>
      <c r="J201" s="9">
        <f t="shared" si="23"/>
        <v>1791.5486734634401</v>
      </c>
      <c r="K201" s="9">
        <f t="shared" si="24"/>
        <v>336.52417708669998</v>
      </c>
      <c r="L201" s="10">
        <f t="shared" si="21"/>
        <v>0.1878398181815111</v>
      </c>
      <c r="M201" s="10">
        <f t="shared" si="20"/>
        <v>0.21665123137284387</v>
      </c>
      <c r="P201" s="8">
        <f t="shared" si="25"/>
        <v>-14.165612257645716</v>
      </c>
    </row>
    <row r="202" spans="1:16" x14ac:dyDescent="0.2">
      <c r="A202" s="8">
        <v>100</v>
      </c>
      <c r="B202" s="8">
        <v>200</v>
      </c>
      <c r="D202">
        <v>1887.3816254417</v>
      </c>
      <c r="E202">
        <v>452.20848056537</v>
      </c>
      <c r="F202">
        <v>142.58899297424</v>
      </c>
      <c r="G202">
        <v>117.76405152225</v>
      </c>
      <c r="I202" s="9">
        <f t="shared" si="22"/>
        <v>334.44442904312001</v>
      </c>
      <c r="J202" s="9">
        <f t="shared" si="23"/>
        <v>1744.79263246746</v>
      </c>
      <c r="K202" s="9">
        <f t="shared" si="24"/>
        <v>334.44442904312001</v>
      </c>
      <c r="L202" s="10">
        <f t="shared" si="21"/>
        <v>0.19168147711063729</v>
      </c>
      <c r="M202" s="10">
        <f t="shared" si="20"/>
        <v>0.22063767127278078</v>
      </c>
      <c r="P202" s="8">
        <f t="shared" si="25"/>
        <v>-12.586236844385699</v>
      </c>
    </row>
    <row r="203" spans="1:16" x14ac:dyDescent="0.2">
      <c r="A203" s="8">
        <v>100.5</v>
      </c>
      <c r="B203" s="8">
        <v>201</v>
      </c>
      <c r="D203">
        <v>1899.1541155867001</v>
      </c>
      <c r="E203">
        <v>443.37478108581001</v>
      </c>
      <c r="F203">
        <v>142.73477751755999</v>
      </c>
      <c r="G203">
        <v>118.04800936768</v>
      </c>
      <c r="I203" s="9">
        <f t="shared" si="22"/>
        <v>325.32677171813003</v>
      </c>
      <c r="J203" s="9">
        <f t="shared" si="23"/>
        <v>1756.4193380691402</v>
      </c>
      <c r="K203" s="9">
        <f t="shared" si="24"/>
        <v>325.32677171813003</v>
      </c>
      <c r="L203" s="10">
        <f t="shared" si="21"/>
        <v>0.18522158385922063</v>
      </c>
      <c r="M203" s="10">
        <f t="shared" si="20"/>
        <v>0.21432255899217484</v>
      </c>
      <c r="P203" s="8">
        <f t="shared" si="25"/>
        <v>-15.088201835284787</v>
      </c>
    </row>
    <row r="204" spans="1:16" x14ac:dyDescent="0.2">
      <c r="A204" s="8">
        <v>101</v>
      </c>
      <c r="B204" s="8">
        <v>202</v>
      </c>
      <c r="D204">
        <v>1851.6304728545999</v>
      </c>
      <c r="E204">
        <v>433.27845884413</v>
      </c>
      <c r="F204">
        <v>142.53688524590001</v>
      </c>
      <c r="G204">
        <v>117.78571428571</v>
      </c>
      <c r="I204" s="9">
        <f t="shared" si="22"/>
        <v>315.49274455841999</v>
      </c>
      <c r="J204" s="9">
        <f t="shared" si="23"/>
        <v>1709.0935876086999</v>
      </c>
      <c r="K204" s="9">
        <f t="shared" si="24"/>
        <v>315.49274455841999</v>
      </c>
      <c r="L204" s="10">
        <f t="shared" si="21"/>
        <v>0.18459652932163048</v>
      </c>
      <c r="M204" s="10">
        <f t="shared" si="20"/>
        <v>0.21384228542539538</v>
      </c>
      <c r="P204" s="8">
        <f t="shared" si="25"/>
        <v>-15.278479948601426</v>
      </c>
    </row>
    <row r="205" spans="1:16" x14ac:dyDescent="0.2">
      <c r="A205" s="8">
        <v>101.5</v>
      </c>
      <c r="B205" s="8">
        <v>203</v>
      </c>
      <c r="D205">
        <v>1873.6483001172001</v>
      </c>
      <c r="E205">
        <v>442.20691676436002</v>
      </c>
      <c r="F205">
        <v>142.82377049179999</v>
      </c>
      <c r="G205">
        <v>118.10831381733</v>
      </c>
      <c r="I205" s="9">
        <f t="shared" si="22"/>
        <v>324.09860294703003</v>
      </c>
      <c r="J205" s="9">
        <f t="shared" si="23"/>
        <v>1730.8245296254001</v>
      </c>
      <c r="K205" s="9">
        <f t="shared" si="24"/>
        <v>324.09860294703003</v>
      </c>
      <c r="L205" s="10">
        <f t="shared" si="21"/>
        <v>0.18725098783824967</v>
      </c>
      <c r="M205" s="10">
        <f t="shared" si="20"/>
        <v>0.21664152491282529</v>
      </c>
      <c r="P205" s="8">
        <f t="shared" si="25"/>
        <v>-14.169457830309026</v>
      </c>
    </row>
    <row r="206" spans="1:16" x14ac:dyDescent="0.2">
      <c r="A206" s="8">
        <v>102</v>
      </c>
      <c r="B206" s="8">
        <v>204</v>
      </c>
      <c r="D206">
        <v>1913.4419695193001</v>
      </c>
      <c r="E206">
        <v>446.64126611958</v>
      </c>
      <c r="F206">
        <v>142.12822014052</v>
      </c>
      <c r="G206">
        <v>117.79976580796</v>
      </c>
      <c r="I206" s="9">
        <f t="shared" si="22"/>
        <v>328.84150031162</v>
      </c>
      <c r="J206" s="9">
        <f t="shared" si="23"/>
        <v>1771.3137493787801</v>
      </c>
      <c r="K206" s="9">
        <f t="shared" si="24"/>
        <v>328.84150031162</v>
      </c>
      <c r="L206" s="10">
        <f t="shared" si="21"/>
        <v>0.18564836434366777</v>
      </c>
      <c r="M206" s="10">
        <f t="shared" si="20"/>
        <v>0.21518368238905411</v>
      </c>
      <c r="P206" s="8">
        <f t="shared" si="25"/>
        <v>-14.747035994345959</v>
      </c>
    </row>
    <row r="207" spans="1:16" x14ac:dyDescent="0.2">
      <c r="A207" s="8">
        <v>102.5</v>
      </c>
      <c r="B207" s="8">
        <v>205</v>
      </c>
      <c r="D207">
        <v>1863.5756154748001</v>
      </c>
      <c r="E207">
        <v>443.98124267292002</v>
      </c>
      <c r="F207">
        <v>142.54449648712</v>
      </c>
      <c r="G207">
        <v>118.10304449649</v>
      </c>
      <c r="I207" s="9">
        <f t="shared" si="22"/>
        <v>325.87819817643003</v>
      </c>
      <c r="J207" s="9">
        <f t="shared" si="23"/>
        <v>1721.0311189876802</v>
      </c>
      <c r="K207" s="9">
        <f t="shared" si="24"/>
        <v>325.87819817643003</v>
      </c>
      <c r="L207" s="10">
        <f t="shared" si="21"/>
        <v>0.18935055536248138</v>
      </c>
      <c r="M207" s="10">
        <f t="shared" si="20"/>
        <v>0.21903065437867844</v>
      </c>
      <c r="P207" s="8">
        <f t="shared" si="25"/>
        <v>-13.222915945274409</v>
      </c>
    </row>
    <row r="208" spans="1:16" x14ac:dyDescent="0.2">
      <c r="A208" s="8">
        <v>103</v>
      </c>
      <c r="B208" s="8">
        <v>206</v>
      </c>
      <c r="D208">
        <v>1850.1277842907</v>
      </c>
      <c r="E208">
        <v>444.55861664713001</v>
      </c>
      <c r="F208">
        <v>142.54274004684001</v>
      </c>
      <c r="G208">
        <v>117.84660421546</v>
      </c>
      <c r="I208" s="9">
        <f t="shared" si="22"/>
        <v>326.71201243167002</v>
      </c>
      <c r="J208" s="9">
        <f t="shared" si="23"/>
        <v>1707.58504424386</v>
      </c>
      <c r="K208" s="9">
        <f t="shared" si="24"/>
        <v>326.71201243167002</v>
      </c>
      <c r="L208" s="10">
        <f t="shared" si="21"/>
        <v>0.1913298629154615</v>
      </c>
      <c r="M208" s="10">
        <f t="shared" si="20"/>
        <v>0.22115474290246928</v>
      </c>
      <c r="P208" s="8">
        <f t="shared" si="25"/>
        <v>-12.38137981923972</v>
      </c>
    </row>
    <row r="209" spans="1:16" x14ac:dyDescent="0.2">
      <c r="A209" s="8">
        <v>103.5</v>
      </c>
      <c r="B209" s="8">
        <v>207</v>
      </c>
      <c r="D209">
        <v>1762.7813599061999</v>
      </c>
      <c r="E209">
        <v>429.32590855802999</v>
      </c>
      <c r="F209">
        <v>142.61065573771</v>
      </c>
      <c r="G209">
        <v>117.66744730679</v>
      </c>
      <c r="I209" s="9">
        <f t="shared" si="22"/>
        <v>311.65846125124</v>
      </c>
      <c r="J209" s="9">
        <f t="shared" si="23"/>
        <v>1620.1707041684899</v>
      </c>
      <c r="K209" s="9">
        <f t="shared" si="24"/>
        <v>311.65846125124</v>
      </c>
      <c r="L209" s="10">
        <f t="shared" si="21"/>
        <v>0.19236149650736373</v>
      </c>
      <c r="M209" s="10">
        <f t="shared" si="20"/>
        <v>0.22233115746518223</v>
      </c>
      <c r="P209" s="8">
        <f t="shared" si="25"/>
        <v>-11.915299737064327</v>
      </c>
    </row>
    <row r="210" spans="1:16" x14ac:dyDescent="0.2">
      <c r="A210" s="8">
        <v>104</v>
      </c>
      <c r="B210" s="8">
        <v>208</v>
      </c>
      <c r="D210">
        <v>1777.2713950762</v>
      </c>
      <c r="E210">
        <v>430.80187573271002</v>
      </c>
      <c r="F210">
        <v>142.06908665104999</v>
      </c>
      <c r="G210">
        <v>117.86651053864</v>
      </c>
      <c r="I210" s="9">
        <f t="shared" si="22"/>
        <v>312.93536519407002</v>
      </c>
      <c r="J210" s="9">
        <f t="shared" si="23"/>
        <v>1635.20230842515</v>
      </c>
      <c r="K210" s="9">
        <f t="shared" si="24"/>
        <v>312.93536519407002</v>
      </c>
      <c r="L210" s="10">
        <f t="shared" si="21"/>
        <v>0.19137409700421443</v>
      </c>
      <c r="M210" s="10">
        <f t="shared" si="20"/>
        <v>0.22148853893284365</v>
      </c>
      <c r="P210" s="8">
        <f t="shared" si="25"/>
        <v>-12.249134192402247</v>
      </c>
    </row>
    <row r="211" spans="1:16" x14ac:dyDescent="0.2">
      <c r="A211" s="8">
        <v>104.5</v>
      </c>
      <c r="B211" s="8">
        <v>209</v>
      </c>
      <c r="D211">
        <v>1866.1066822978</v>
      </c>
      <c r="E211">
        <v>438.95427901523999</v>
      </c>
      <c r="F211">
        <v>142.48887587822</v>
      </c>
      <c r="G211">
        <v>117.75702576112</v>
      </c>
      <c r="I211" s="9">
        <f t="shared" si="22"/>
        <v>321.19725325411997</v>
      </c>
      <c r="J211" s="9">
        <f t="shared" si="23"/>
        <v>1723.6178064195801</v>
      </c>
      <c r="K211" s="9">
        <f t="shared" si="24"/>
        <v>321.19725325411997</v>
      </c>
      <c r="L211" s="10">
        <f t="shared" si="21"/>
        <v>0.18635062370429639</v>
      </c>
      <c r="M211" s="10">
        <f t="shared" si="20"/>
        <v>0.21660984660373633</v>
      </c>
      <c r="P211" s="8">
        <f t="shared" si="25"/>
        <v>-14.182008362554487</v>
      </c>
    </row>
    <row r="212" spans="1:16" x14ac:dyDescent="0.2">
      <c r="A212" s="8">
        <v>105</v>
      </c>
      <c r="B212" s="8">
        <v>210</v>
      </c>
      <c r="D212">
        <v>1878.8001172332999</v>
      </c>
      <c r="E212">
        <v>442.83470105510003</v>
      </c>
      <c r="F212">
        <v>142.72540983607001</v>
      </c>
      <c r="G212">
        <v>117.85362997658</v>
      </c>
      <c r="I212" s="9">
        <f t="shared" si="22"/>
        <v>324.98107107852002</v>
      </c>
      <c r="J212" s="9">
        <f t="shared" si="23"/>
        <v>1736.07470739723</v>
      </c>
      <c r="K212" s="9">
        <f t="shared" si="24"/>
        <v>324.98107107852002</v>
      </c>
      <c r="L212" s="10">
        <f t="shared" si="21"/>
        <v>0.18719302210544866</v>
      </c>
      <c r="M212" s="10">
        <f t="shared" si="20"/>
        <v>0.2175970259756993</v>
      </c>
      <c r="P212" s="8">
        <f t="shared" si="25"/>
        <v>-13.790900790963995</v>
      </c>
    </row>
    <row r="213" spans="1:16" x14ac:dyDescent="0.2">
      <c r="A213" s="8">
        <v>105.5</v>
      </c>
      <c r="B213" s="8">
        <v>211</v>
      </c>
      <c r="D213">
        <v>1949.2267441860999</v>
      </c>
      <c r="E213">
        <v>454.94127906977002</v>
      </c>
      <c r="F213">
        <v>142.48419203747</v>
      </c>
      <c r="G213">
        <v>117.83255269321</v>
      </c>
      <c r="I213" s="9">
        <f t="shared" si="22"/>
        <v>337.10872637656001</v>
      </c>
      <c r="J213" s="9">
        <f t="shared" si="23"/>
        <v>1806.74255214863</v>
      </c>
      <c r="K213" s="9">
        <f t="shared" si="24"/>
        <v>337.10872637656001</v>
      </c>
      <c r="L213" s="10">
        <f t="shared" si="21"/>
        <v>0.18658370888296213</v>
      </c>
      <c r="M213" s="10">
        <f t="shared" si="20"/>
        <v>0.21713249372402349</v>
      </c>
      <c r="P213" s="8">
        <f t="shared" si="25"/>
        <v>-13.974942400866277</v>
      </c>
    </row>
    <row r="214" spans="1:16" x14ac:dyDescent="0.2">
      <c r="A214" s="8">
        <v>106</v>
      </c>
      <c r="B214" s="8">
        <v>212</v>
      </c>
      <c r="D214">
        <v>1969.5784883721001</v>
      </c>
      <c r="E214">
        <v>457.70174418605001</v>
      </c>
      <c r="F214">
        <v>142.21955503513001</v>
      </c>
      <c r="G214">
        <v>117.69555035129</v>
      </c>
      <c r="I214" s="9">
        <f t="shared" si="22"/>
        <v>340.00619383475998</v>
      </c>
      <c r="J214" s="9">
        <f t="shared" si="23"/>
        <v>1827.35893333697</v>
      </c>
      <c r="K214" s="9">
        <f t="shared" si="24"/>
        <v>340.00619383475998</v>
      </c>
      <c r="L214" s="10">
        <f t="shared" si="21"/>
        <v>0.18606426336498058</v>
      </c>
      <c r="M214" s="10">
        <f t="shared" si="20"/>
        <v>0.21675782917685266</v>
      </c>
      <c r="P214" s="8">
        <f t="shared" si="25"/>
        <v>-14.123379600190711</v>
      </c>
    </row>
    <row r="215" spans="1:16" x14ac:dyDescent="0.2">
      <c r="A215" s="8">
        <v>106.5</v>
      </c>
      <c r="B215" s="8">
        <v>213</v>
      </c>
      <c r="D215">
        <v>2174.4476744185999</v>
      </c>
      <c r="E215">
        <v>479.29011627906999</v>
      </c>
      <c r="F215">
        <v>142.72716627635</v>
      </c>
      <c r="G215">
        <v>117.86533957845</v>
      </c>
      <c r="I215" s="9">
        <f t="shared" si="22"/>
        <v>361.42477670061999</v>
      </c>
      <c r="J215" s="9">
        <f t="shared" si="23"/>
        <v>2031.7205081422499</v>
      </c>
      <c r="K215" s="9">
        <f t="shared" si="24"/>
        <v>361.42477670061999</v>
      </c>
      <c r="L215" s="10">
        <f t="shared" si="21"/>
        <v>0.17789099201990977</v>
      </c>
      <c r="M215" s="10">
        <f t="shared" si="20"/>
        <v>0.20872933880259256</v>
      </c>
      <c r="P215" s="8">
        <f t="shared" si="25"/>
        <v>-17.304162609838439</v>
      </c>
    </row>
    <row r="216" spans="1:16" x14ac:dyDescent="0.2">
      <c r="A216" s="8">
        <v>107</v>
      </c>
      <c r="B216" s="8">
        <v>214</v>
      </c>
      <c r="D216">
        <v>2181.5715119673</v>
      </c>
      <c r="E216">
        <v>496.32632807939001</v>
      </c>
      <c r="F216">
        <v>142.48770491803</v>
      </c>
      <c r="G216">
        <v>117.85304449649</v>
      </c>
      <c r="I216" s="9">
        <f t="shared" si="22"/>
        <v>378.47328358290002</v>
      </c>
      <c r="J216" s="9">
        <f t="shared" si="23"/>
        <v>2039.08380704927</v>
      </c>
      <c r="K216" s="9">
        <f t="shared" si="24"/>
        <v>378.47328358290002</v>
      </c>
      <c r="L216" s="10">
        <f t="shared" si="21"/>
        <v>0.18560947925459889</v>
      </c>
      <c r="M216" s="10">
        <f t="shared" si="20"/>
        <v>0.21659260700809241</v>
      </c>
      <c r="P216" s="8">
        <f t="shared" si="25"/>
        <v>-14.188838465146775</v>
      </c>
    </row>
    <row r="217" spans="1:16" x14ac:dyDescent="0.2">
      <c r="A217" s="8">
        <v>107.5</v>
      </c>
      <c r="B217" s="8">
        <v>215</v>
      </c>
      <c r="D217">
        <v>2134.6047869234999</v>
      </c>
      <c r="E217">
        <v>494.49912434326001</v>
      </c>
      <c r="F217">
        <v>142.02576112412001</v>
      </c>
      <c r="G217">
        <v>117.57786885246</v>
      </c>
      <c r="I217" s="9">
        <f t="shared" si="22"/>
        <v>376.92125549080004</v>
      </c>
      <c r="J217" s="9">
        <f t="shared" si="23"/>
        <v>1992.5790257993799</v>
      </c>
      <c r="K217" s="9">
        <f t="shared" si="24"/>
        <v>376.92125549080004</v>
      </c>
      <c r="L217" s="10">
        <f t="shared" si="21"/>
        <v>0.1891625128090402</v>
      </c>
      <c r="M217" s="10">
        <f t="shared" si="20"/>
        <v>0.22029042153334444</v>
      </c>
      <c r="P217" s="8">
        <f t="shared" si="25"/>
        <v>-12.723812655006943</v>
      </c>
    </row>
    <row r="218" spans="1:16" x14ac:dyDescent="0.2">
      <c r="A218" s="8">
        <v>108</v>
      </c>
      <c r="B218" s="8">
        <v>216</v>
      </c>
      <c r="D218">
        <v>2088.9556333916998</v>
      </c>
      <c r="E218">
        <v>484.56333917105002</v>
      </c>
      <c r="F218">
        <v>142.04391100703</v>
      </c>
      <c r="G218">
        <v>117.50995316159</v>
      </c>
      <c r="I218" s="9">
        <f t="shared" si="22"/>
        <v>367.05338600946004</v>
      </c>
      <c r="J218" s="9">
        <f t="shared" si="23"/>
        <v>1946.9117223846699</v>
      </c>
      <c r="K218" s="9">
        <f t="shared" si="24"/>
        <v>367.05338600946004</v>
      </c>
      <c r="L218" s="10">
        <f t="shared" si="21"/>
        <v>0.18853108838436478</v>
      </c>
      <c r="M218" s="10">
        <f t="shared" si="20"/>
        <v>0.21980377807947973</v>
      </c>
      <c r="P218" s="8">
        <f t="shared" si="25"/>
        <v>-12.916614434376555</v>
      </c>
    </row>
    <row r="219" spans="1:16" x14ac:dyDescent="0.2">
      <c r="A219" s="8">
        <v>108.5</v>
      </c>
      <c r="B219" s="8">
        <v>217</v>
      </c>
      <c r="D219">
        <v>2069.5680093402998</v>
      </c>
      <c r="E219">
        <v>486.15119673087997</v>
      </c>
      <c r="F219">
        <v>142.23829039813</v>
      </c>
      <c r="G219">
        <v>118.15866510539</v>
      </c>
      <c r="I219" s="9">
        <f t="shared" si="22"/>
        <v>367.99253162548996</v>
      </c>
      <c r="J219" s="9">
        <f t="shared" si="23"/>
        <v>1927.3297189421698</v>
      </c>
      <c r="K219" s="9">
        <f t="shared" si="24"/>
        <v>367.99253162548996</v>
      </c>
      <c r="L219" s="10">
        <f t="shared" si="21"/>
        <v>0.19093387499232128</v>
      </c>
      <c r="M219" s="10">
        <f t="shared" si="20"/>
        <v>0.22235134565824693</v>
      </c>
      <c r="P219" s="8">
        <f t="shared" si="25"/>
        <v>-11.907301438691622</v>
      </c>
    </row>
    <row r="220" spans="1:16" x14ac:dyDescent="0.2">
      <c r="A220" s="8">
        <v>109</v>
      </c>
      <c r="B220" s="8">
        <v>218</v>
      </c>
      <c r="D220">
        <v>2023.1404230317</v>
      </c>
      <c r="E220">
        <v>472.55757931845</v>
      </c>
      <c r="F220">
        <v>142.44145199062999</v>
      </c>
      <c r="G220">
        <v>117.64168618267</v>
      </c>
      <c r="I220" s="9">
        <f t="shared" si="22"/>
        <v>354.91589313577998</v>
      </c>
      <c r="J220" s="9">
        <f t="shared" si="23"/>
        <v>1880.6989710410701</v>
      </c>
      <c r="K220" s="9">
        <f t="shared" si="24"/>
        <v>354.91589313577998</v>
      </c>
      <c r="L220" s="10">
        <f t="shared" si="21"/>
        <v>0.18871488664627414</v>
      </c>
      <c r="M220" s="10">
        <f t="shared" si="20"/>
        <v>0.22027713828301054</v>
      </c>
      <c r="P220" s="8">
        <f t="shared" si="25"/>
        <v>-12.729075305269365</v>
      </c>
    </row>
    <row r="221" spans="1:16" x14ac:dyDescent="0.2">
      <c r="A221" s="8">
        <v>109.5</v>
      </c>
      <c r="B221" s="8">
        <v>219</v>
      </c>
      <c r="D221">
        <v>2002.3366627497001</v>
      </c>
      <c r="E221">
        <v>469.36839012925998</v>
      </c>
      <c r="F221">
        <v>142.05971896956001</v>
      </c>
      <c r="G221">
        <v>117.9256440281</v>
      </c>
      <c r="I221" s="9">
        <f t="shared" si="22"/>
        <v>351.44274610115997</v>
      </c>
      <c r="J221" s="9">
        <f t="shared" si="23"/>
        <v>1860.2769437801401</v>
      </c>
      <c r="K221" s="9">
        <f t="shared" si="24"/>
        <v>351.44274610115997</v>
      </c>
      <c r="L221" s="10">
        <f t="shared" si="21"/>
        <v>0.1889195838696025</v>
      </c>
      <c r="M221" s="10">
        <f t="shared" si="20"/>
        <v>0.2206266164771496</v>
      </c>
      <c r="P221" s="8">
        <f t="shared" si="25"/>
        <v>-12.590616610005338</v>
      </c>
    </row>
    <row r="222" spans="1:16" x14ac:dyDescent="0.2">
      <c r="A222" s="8">
        <v>110</v>
      </c>
      <c r="B222" s="8">
        <v>220</v>
      </c>
      <c r="D222">
        <v>1998.9459459459999</v>
      </c>
      <c r="E222">
        <v>465.57520564041999</v>
      </c>
      <c r="F222">
        <v>142.11533957845</v>
      </c>
      <c r="G222">
        <v>117.97482435597</v>
      </c>
      <c r="I222" s="9">
        <f t="shared" si="22"/>
        <v>347.60038128445001</v>
      </c>
      <c r="J222" s="9">
        <f t="shared" si="23"/>
        <v>1856.83060636755</v>
      </c>
      <c r="K222" s="9">
        <f t="shared" si="24"/>
        <v>347.60038128445001</v>
      </c>
      <c r="L222" s="10">
        <f t="shared" si="21"/>
        <v>0.18720091110758239</v>
      </c>
      <c r="M222" s="10">
        <f t="shared" si="20"/>
        <v>0.2190527246859402</v>
      </c>
      <c r="P222" s="8">
        <f t="shared" si="25"/>
        <v>-13.214171977843</v>
      </c>
    </row>
    <row r="223" spans="1:16" x14ac:dyDescent="0.2">
      <c r="A223" s="8">
        <v>110.5</v>
      </c>
      <c r="B223" s="8">
        <v>221</v>
      </c>
      <c r="D223">
        <v>1967.4466076696001</v>
      </c>
      <c r="E223">
        <v>464.35398230088998</v>
      </c>
      <c r="F223">
        <v>142.06791569087</v>
      </c>
      <c r="G223">
        <v>117.79098360656</v>
      </c>
      <c r="I223" s="9">
        <f t="shared" si="22"/>
        <v>346.56299869432996</v>
      </c>
      <c r="J223" s="9">
        <f t="shared" si="23"/>
        <v>1825.3786919787301</v>
      </c>
      <c r="K223" s="9">
        <f t="shared" si="24"/>
        <v>346.56299869432996</v>
      </c>
      <c r="L223" s="10">
        <f t="shared" si="21"/>
        <v>0.18985813750167752</v>
      </c>
      <c r="M223" s="10">
        <f t="shared" si="20"/>
        <v>0.22185473205084605</v>
      </c>
      <c r="P223" s="8">
        <f t="shared" si="25"/>
        <v>-12.104053262651576</v>
      </c>
    </row>
    <row r="224" spans="1:16" x14ac:dyDescent="0.2">
      <c r="A224" s="8">
        <v>111</v>
      </c>
      <c r="B224" s="8">
        <v>222</v>
      </c>
      <c r="D224">
        <v>2019.9693215339</v>
      </c>
      <c r="E224">
        <v>472.05073746313002</v>
      </c>
      <c r="F224">
        <v>142.67740046838</v>
      </c>
      <c r="G224">
        <v>117.66510538642</v>
      </c>
      <c r="I224" s="9">
        <f t="shared" si="22"/>
        <v>354.38563207671001</v>
      </c>
      <c r="J224" s="9">
        <f t="shared" si="23"/>
        <v>1877.29192106552</v>
      </c>
      <c r="K224" s="9">
        <f t="shared" si="24"/>
        <v>354.38563207671001</v>
      </c>
      <c r="L224" s="10">
        <f t="shared" si="21"/>
        <v>0.18877491992591464</v>
      </c>
      <c r="M224" s="10">
        <f t="shared" si="20"/>
        <v>0.22091629544589389</v>
      </c>
      <c r="P224" s="8">
        <f t="shared" si="25"/>
        <v>-12.475849586681973</v>
      </c>
    </row>
    <row r="225" spans="1:16" x14ac:dyDescent="0.2">
      <c r="A225" s="8">
        <v>111.5</v>
      </c>
      <c r="B225" s="8">
        <v>223</v>
      </c>
      <c r="D225">
        <v>2022.5303834808001</v>
      </c>
      <c r="E225">
        <v>479.46666666666999</v>
      </c>
      <c r="F225">
        <v>142.49765807963001</v>
      </c>
      <c r="G225">
        <v>117.5743559719</v>
      </c>
      <c r="I225" s="9">
        <f t="shared" si="22"/>
        <v>361.89231069477</v>
      </c>
      <c r="J225" s="9">
        <f t="shared" si="23"/>
        <v>1880.03272540117</v>
      </c>
      <c r="K225" s="9">
        <f t="shared" si="24"/>
        <v>361.89231069477</v>
      </c>
      <c r="L225" s="10">
        <f t="shared" si="21"/>
        <v>0.19249255920135527</v>
      </c>
      <c r="M225" s="10">
        <f t="shared" si="20"/>
        <v>0.22477871569214525</v>
      </c>
      <c r="P225" s="8">
        <f t="shared" si="25"/>
        <v>-10.945609140136261</v>
      </c>
    </row>
    <row r="226" spans="1:16" x14ac:dyDescent="0.2">
      <c r="A226" s="8">
        <v>112</v>
      </c>
      <c r="B226" s="8">
        <v>224</v>
      </c>
      <c r="D226">
        <v>2030.2450523865</v>
      </c>
      <c r="E226">
        <v>473.99243306170001</v>
      </c>
      <c r="F226">
        <v>142.39519906323</v>
      </c>
      <c r="G226">
        <v>117.67388758782</v>
      </c>
      <c r="I226" s="9">
        <f t="shared" si="22"/>
        <v>356.31854547388002</v>
      </c>
      <c r="J226" s="9">
        <f t="shared" si="23"/>
        <v>1887.8498533232701</v>
      </c>
      <c r="K226" s="9">
        <f t="shared" si="24"/>
        <v>356.31854547388002</v>
      </c>
      <c r="L226" s="10">
        <f t="shared" si="21"/>
        <v>0.18874305329241936</v>
      </c>
      <c r="M226" s="10">
        <f t="shared" si="20"/>
        <v>0.22117399075402006</v>
      </c>
      <c r="P226" s="8">
        <f t="shared" si="25"/>
        <v>-12.373754071891101</v>
      </c>
    </row>
    <row r="227" spans="1:16" x14ac:dyDescent="0.2">
      <c r="A227" s="8">
        <v>112.5</v>
      </c>
      <c r="B227" s="8">
        <v>225</v>
      </c>
      <c r="D227">
        <v>2029.3975552969</v>
      </c>
      <c r="E227">
        <v>472.60535506402999</v>
      </c>
      <c r="F227">
        <v>142.59894613583</v>
      </c>
      <c r="G227">
        <v>117.80152224824</v>
      </c>
      <c r="I227" s="9">
        <f t="shared" si="22"/>
        <v>354.80383281578997</v>
      </c>
      <c r="J227" s="9">
        <f t="shared" si="23"/>
        <v>1886.7986091610701</v>
      </c>
      <c r="K227" s="9">
        <f t="shared" si="24"/>
        <v>354.80383281578997</v>
      </c>
      <c r="L227" s="10">
        <f t="shared" si="21"/>
        <v>0.18804541782736786</v>
      </c>
      <c r="M227" s="10">
        <f t="shared" si="20"/>
        <v>0.22062113625977928</v>
      </c>
      <c r="P227" s="8">
        <f t="shared" si="25"/>
        <v>-12.592787800539062</v>
      </c>
    </row>
    <row r="228" spans="1:16" x14ac:dyDescent="0.2">
      <c r="A228" s="8">
        <v>113</v>
      </c>
      <c r="B228" s="8">
        <v>226</v>
      </c>
      <c r="D228">
        <v>2116.7473806752</v>
      </c>
      <c r="E228">
        <v>478.13504074504999</v>
      </c>
      <c r="F228">
        <v>141.80444964871</v>
      </c>
      <c r="G228">
        <v>117.60362997658</v>
      </c>
      <c r="I228" s="9">
        <f t="shared" si="22"/>
        <v>360.53141076846998</v>
      </c>
      <c r="J228" s="9">
        <f t="shared" si="23"/>
        <v>1974.94293102649</v>
      </c>
      <c r="K228" s="9">
        <f t="shared" si="24"/>
        <v>360.53141076846998</v>
      </c>
      <c r="L228" s="10">
        <f t="shared" si="21"/>
        <v>0.18255282474470355</v>
      </c>
      <c r="M228" s="10">
        <f t="shared" si="20"/>
        <v>0.21527332414792566</v>
      </c>
      <c r="P228" s="8">
        <f t="shared" si="25"/>
        <v>-14.711521100476531</v>
      </c>
    </row>
    <row r="229" spans="1:16" x14ac:dyDescent="0.2">
      <c r="A229" s="8">
        <v>113.5</v>
      </c>
      <c r="B229" s="8">
        <v>227</v>
      </c>
      <c r="D229">
        <v>2024.3615295481</v>
      </c>
      <c r="E229">
        <v>472.36326767091998</v>
      </c>
      <c r="F229">
        <v>142.65749414519999</v>
      </c>
      <c r="G229">
        <v>117.58255269321</v>
      </c>
      <c r="I229" s="9">
        <f t="shared" si="22"/>
        <v>354.78071497770998</v>
      </c>
      <c r="J229" s="9">
        <f t="shared" si="23"/>
        <v>1881.7040354029</v>
      </c>
      <c r="K229" s="9">
        <f t="shared" si="24"/>
        <v>354.78071497770998</v>
      </c>
      <c r="L229" s="10">
        <f t="shared" si="21"/>
        <v>0.18854225122695573</v>
      </c>
      <c r="M229" s="10">
        <f t="shared" si="20"/>
        <v>0.22140753160098858</v>
      </c>
      <c r="P229" s="8">
        <f t="shared" si="25"/>
        <v>-12.281228239079761</v>
      </c>
    </row>
    <row r="230" spans="1:16" x14ac:dyDescent="0.2">
      <c r="A230" s="8">
        <v>114</v>
      </c>
      <c r="B230" s="8">
        <v>228</v>
      </c>
      <c r="D230">
        <v>2068.41599073</v>
      </c>
      <c r="E230">
        <v>474.44495944379997</v>
      </c>
      <c r="F230">
        <v>142.34894613583</v>
      </c>
      <c r="G230">
        <v>117.80503512881</v>
      </c>
      <c r="I230" s="9">
        <f t="shared" si="22"/>
        <v>356.63992431498997</v>
      </c>
      <c r="J230" s="9">
        <f t="shared" si="23"/>
        <v>1926.0670445941701</v>
      </c>
      <c r="K230" s="9">
        <f t="shared" si="24"/>
        <v>356.63992431498997</v>
      </c>
      <c r="L230" s="10">
        <f t="shared" si="21"/>
        <v>0.18516485462744389</v>
      </c>
      <c r="M230" s="10">
        <f t="shared" si="20"/>
        <v>0.21817491597228744</v>
      </c>
      <c r="P230" s="8">
        <f t="shared" si="25"/>
        <v>-13.561948323326224</v>
      </c>
    </row>
    <row r="231" spans="1:16" x14ac:dyDescent="0.2">
      <c r="A231" s="8">
        <v>114.5</v>
      </c>
      <c r="B231" s="8">
        <v>229</v>
      </c>
      <c r="D231">
        <v>2100.1291642314</v>
      </c>
      <c r="E231">
        <v>486.98947983634997</v>
      </c>
      <c r="F231">
        <v>142.24180327869001</v>
      </c>
      <c r="G231">
        <v>117.74180327869</v>
      </c>
      <c r="I231" s="9">
        <f t="shared" si="22"/>
        <v>369.24767655765999</v>
      </c>
      <c r="J231" s="9">
        <f t="shared" si="23"/>
        <v>1957.88736095271</v>
      </c>
      <c r="K231" s="9">
        <f t="shared" si="24"/>
        <v>369.24767655765999</v>
      </c>
      <c r="L231" s="10">
        <f t="shared" si="21"/>
        <v>0.18859495388845235</v>
      </c>
      <c r="M231" s="10">
        <f t="shared" si="20"/>
        <v>0.22174979620410662</v>
      </c>
      <c r="P231" s="8">
        <f t="shared" si="25"/>
        <v>-12.145627474346703</v>
      </c>
    </row>
    <row r="232" spans="1:16" x14ac:dyDescent="0.2">
      <c r="A232" s="8">
        <v>115</v>
      </c>
      <c r="B232" s="8">
        <v>230</v>
      </c>
      <c r="D232">
        <v>2055.6662770309999</v>
      </c>
      <c r="E232">
        <v>481.94213909993999</v>
      </c>
      <c r="F232">
        <v>142.14402810304</v>
      </c>
      <c r="G232">
        <v>117.61182669789</v>
      </c>
      <c r="I232" s="9">
        <f t="shared" si="22"/>
        <v>364.33031240205003</v>
      </c>
      <c r="J232" s="9">
        <f t="shared" si="23"/>
        <v>1913.5222489279599</v>
      </c>
      <c r="K232" s="9">
        <f t="shared" si="24"/>
        <v>364.33031240205003</v>
      </c>
      <c r="L232" s="10">
        <f t="shared" si="21"/>
        <v>0.19039774040054358</v>
      </c>
      <c r="M232" s="10">
        <f t="shared" si="20"/>
        <v>0.22369736368700857</v>
      </c>
      <c r="P232" s="8">
        <f t="shared" si="25"/>
        <v>-11.374026678807624</v>
      </c>
    </row>
    <row r="233" spans="1:16" x14ac:dyDescent="0.2">
      <c r="A233" s="8">
        <v>115.5</v>
      </c>
      <c r="B233" s="8">
        <v>231</v>
      </c>
      <c r="D233">
        <v>2076.9637638807999</v>
      </c>
      <c r="E233">
        <v>485.69900642899</v>
      </c>
      <c r="F233">
        <v>142.02400468383999</v>
      </c>
      <c r="G233">
        <v>117.68793911007</v>
      </c>
      <c r="I233" s="9">
        <f t="shared" si="22"/>
        <v>368.01106731892003</v>
      </c>
      <c r="J233" s="9">
        <f t="shared" si="23"/>
        <v>1934.9397591969598</v>
      </c>
      <c r="K233" s="9">
        <f t="shared" si="24"/>
        <v>368.01106731892003</v>
      </c>
      <c r="L233" s="10">
        <f t="shared" si="21"/>
        <v>0.19019251920879038</v>
      </c>
      <c r="M233" s="10">
        <f t="shared" si="20"/>
        <v>0.22363692346606609</v>
      </c>
      <c r="P233" s="8">
        <f t="shared" si="25"/>
        <v>-11.397972304810935</v>
      </c>
    </row>
    <row r="234" spans="1:16" x14ac:dyDescent="0.2">
      <c r="A234" s="8">
        <v>116</v>
      </c>
      <c r="B234" s="8">
        <v>232</v>
      </c>
      <c r="D234">
        <v>2109.9409701928998</v>
      </c>
      <c r="E234">
        <v>486.88369374634999</v>
      </c>
      <c r="F234">
        <v>141.3337236534</v>
      </c>
      <c r="G234">
        <v>117.52107728337</v>
      </c>
      <c r="I234" s="9">
        <f t="shared" si="22"/>
        <v>369.36261646297999</v>
      </c>
      <c r="J234" s="9">
        <f t="shared" si="23"/>
        <v>1968.6072465394998</v>
      </c>
      <c r="K234" s="9">
        <f t="shared" si="24"/>
        <v>369.36261646297999</v>
      </c>
      <c r="L234" s="10">
        <f t="shared" si="21"/>
        <v>0.18762636229865609</v>
      </c>
      <c r="M234" s="10">
        <f t="shared" si="20"/>
        <v>0.22121554752674252</v>
      </c>
      <c r="P234" s="8">
        <f t="shared" si="25"/>
        <v>-12.357289821396984</v>
      </c>
    </row>
    <row r="235" spans="1:16" x14ac:dyDescent="0.2">
      <c r="A235" s="8">
        <v>116.5</v>
      </c>
      <c r="B235" s="8">
        <v>233</v>
      </c>
      <c r="D235">
        <v>2076.8731735827</v>
      </c>
      <c r="E235">
        <v>482.90531852717999</v>
      </c>
      <c r="F235">
        <v>142.03864168618</v>
      </c>
      <c r="G235">
        <v>117.3700234192</v>
      </c>
      <c r="I235" s="9">
        <f t="shared" si="22"/>
        <v>365.53529510798001</v>
      </c>
      <c r="J235" s="9">
        <f t="shared" si="23"/>
        <v>1934.83453189652</v>
      </c>
      <c r="K235" s="9">
        <f t="shared" si="24"/>
        <v>365.53529510798001</v>
      </c>
      <c r="L235" s="10">
        <f t="shared" si="21"/>
        <v>0.18892328469540143</v>
      </c>
      <c r="M235" s="10">
        <f t="shared" si="20"/>
        <v>0.22265725089429858</v>
      </c>
      <c r="P235" s="8">
        <f t="shared" si="25"/>
        <v>-11.786105780225753</v>
      </c>
    </row>
    <row r="236" spans="1:16" x14ac:dyDescent="0.2">
      <c r="A236" s="8">
        <v>117</v>
      </c>
      <c r="B236" s="8">
        <v>234</v>
      </c>
      <c r="D236">
        <v>2097.0736411455</v>
      </c>
      <c r="E236">
        <v>477.80011689071</v>
      </c>
      <c r="F236">
        <v>141.89344262295</v>
      </c>
      <c r="G236">
        <v>117.69613583138</v>
      </c>
      <c r="I236" s="9">
        <f t="shared" si="22"/>
        <v>360.10398105933001</v>
      </c>
      <c r="J236" s="9">
        <f t="shared" si="23"/>
        <v>1955.18019852255</v>
      </c>
      <c r="K236" s="9">
        <f t="shared" si="24"/>
        <v>360.10398105933001</v>
      </c>
      <c r="L236" s="10">
        <f t="shared" si="21"/>
        <v>0.1841794333491337</v>
      </c>
      <c r="M236" s="10">
        <f t="shared" si="20"/>
        <v>0.21805818051884157</v>
      </c>
      <c r="P236" s="8">
        <f t="shared" si="25"/>
        <v>-13.608197385059498</v>
      </c>
    </row>
    <row r="237" spans="1:16" x14ac:dyDescent="0.2">
      <c r="A237" s="8">
        <v>117.5</v>
      </c>
      <c r="B237" s="8">
        <v>235</v>
      </c>
      <c r="D237">
        <v>2022.6051703877999</v>
      </c>
      <c r="E237">
        <v>462.03172737954998</v>
      </c>
      <c r="F237">
        <v>142.06381733020999</v>
      </c>
      <c r="G237">
        <v>117.34660421546</v>
      </c>
      <c r="I237" s="9">
        <f t="shared" si="22"/>
        <v>344.68512316408999</v>
      </c>
      <c r="J237" s="9">
        <f t="shared" si="23"/>
        <v>1880.54135305759</v>
      </c>
      <c r="K237" s="9">
        <f t="shared" si="24"/>
        <v>344.68512316408999</v>
      </c>
      <c r="L237" s="10">
        <f t="shared" si="21"/>
        <v>0.18329037146865354</v>
      </c>
      <c r="M237" s="10">
        <f t="shared" si="20"/>
        <v>0.21731389960917213</v>
      </c>
      <c r="P237" s="8">
        <f t="shared" si="25"/>
        <v>-13.903071758885954</v>
      </c>
    </row>
    <row r="238" spans="1:16" x14ac:dyDescent="0.2">
      <c r="A238" s="8">
        <v>118</v>
      </c>
      <c r="B238" s="8">
        <v>236</v>
      </c>
      <c r="D238">
        <v>2018.2831962396999</v>
      </c>
      <c r="E238">
        <v>467.11515863689999</v>
      </c>
      <c r="F238">
        <v>141.73829039813</v>
      </c>
      <c r="G238">
        <v>117.43618266979</v>
      </c>
      <c r="I238" s="9">
        <f t="shared" si="22"/>
        <v>349.67897596710998</v>
      </c>
      <c r="J238" s="9">
        <f t="shared" si="23"/>
        <v>1876.54490584157</v>
      </c>
      <c r="K238" s="9">
        <f t="shared" si="24"/>
        <v>349.67897596710998</v>
      </c>
      <c r="L238" s="10">
        <f t="shared" si="21"/>
        <v>0.18634191746681927</v>
      </c>
      <c r="M238" s="10">
        <f t="shared" si="20"/>
        <v>0.22051022657814856</v>
      </c>
      <c r="P238" s="8">
        <f t="shared" si="25"/>
        <v>-12.636728767581564</v>
      </c>
    </row>
    <row r="239" spans="1:16" x14ac:dyDescent="0.2">
      <c r="A239" s="8">
        <v>118.5</v>
      </c>
      <c r="B239" s="8">
        <v>237</v>
      </c>
      <c r="D239">
        <v>2040.6351351351</v>
      </c>
      <c r="E239">
        <v>467.66157461810002</v>
      </c>
      <c r="F239">
        <v>141.63758782201</v>
      </c>
      <c r="G239">
        <v>117.65456674473</v>
      </c>
      <c r="I239" s="9">
        <f t="shared" si="22"/>
        <v>350.00700787337001</v>
      </c>
      <c r="J239" s="9">
        <f t="shared" si="23"/>
        <v>1898.9975473130899</v>
      </c>
      <c r="K239" s="9">
        <f t="shared" si="24"/>
        <v>350.00700787337001</v>
      </c>
      <c r="L239" s="10">
        <f t="shared" si="21"/>
        <v>0.18431145862647286</v>
      </c>
      <c r="M239" s="10">
        <f t="shared" si="20"/>
        <v>0.21862454870861286</v>
      </c>
      <c r="P239" s="8">
        <f t="shared" si="25"/>
        <v>-13.383809706772531</v>
      </c>
    </row>
    <row r="240" spans="1:16" x14ac:dyDescent="0.2">
      <c r="A240" s="8">
        <v>119</v>
      </c>
      <c r="B240" s="8">
        <v>238</v>
      </c>
      <c r="D240">
        <v>2088.6672484002002</v>
      </c>
      <c r="E240">
        <v>483.34147760325999</v>
      </c>
      <c r="F240">
        <v>141.31791569087</v>
      </c>
      <c r="G240">
        <v>117.11768149883</v>
      </c>
      <c r="I240" s="9">
        <f t="shared" si="22"/>
        <v>366.22379610442999</v>
      </c>
      <c r="J240" s="9">
        <f t="shared" si="23"/>
        <v>1947.3493327093302</v>
      </c>
      <c r="K240" s="9">
        <f t="shared" si="24"/>
        <v>366.22379610442999</v>
      </c>
      <c r="L240" s="10">
        <f t="shared" si="21"/>
        <v>0.18806271168353036</v>
      </c>
      <c r="M240" s="10">
        <f t="shared" si="20"/>
        <v>0.22252058273648109</v>
      </c>
      <c r="P240" s="8">
        <f t="shared" si="25"/>
        <v>-11.840251919048992</v>
      </c>
    </row>
    <row r="241" spans="1:16" x14ac:dyDescent="0.2">
      <c r="A241" s="8">
        <v>119.5</v>
      </c>
      <c r="B241" s="8">
        <v>239</v>
      </c>
      <c r="D241">
        <v>2075.4723676556</v>
      </c>
      <c r="E241">
        <v>482.93019197208002</v>
      </c>
      <c r="F241">
        <v>141.94262295082001</v>
      </c>
      <c r="G241">
        <v>117.26288056206</v>
      </c>
      <c r="I241" s="9">
        <f t="shared" si="22"/>
        <v>365.66731141002003</v>
      </c>
      <c r="J241" s="9">
        <f t="shared" si="23"/>
        <v>1933.5297447047801</v>
      </c>
      <c r="K241" s="9">
        <f t="shared" si="24"/>
        <v>365.66731141002003</v>
      </c>
      <c r="L241" s="10">
        <f t="shared" si="21"/>
        <v>0.18911905152297087</v>
      </c>
      <c r="M241" s="10">
        <f t="shared" si="20"/>
        <v>0.22372170354673232</v>
      </c>
      <c r="P241" s="8">
        <f t="shared" si="25"/>
        <v>-11.364383544338072</v>
      </c>
    </row>
    <row r="242" spans="1:16" x14ac:dyDescent="0.2">
      <c r="A242" s="8">
        <v>120</v>
      </c>
      <c r="B242" s="8">
        <v>240</v>
      </c>
      <c r="D242">
        <v>2077.4636416520998</v>
      </c>
      <c r="E242">
        <v>484.62652705060998</v>
      </c>
      <c r="F242">
        <v>141.97658079625</v>
      </c>
      <c r="G242">
        <v>117.4718969555</v>
      </c>
      <c r="I242" s="9">
        <f>E242-G242</f>
        <v>367.15463009510995</v>
      </c>
      <c r="J242" s="9">
        <f>D242-F242</f>
        <v>1935.4870608558499</v>
      </c>
      <c r="K242" s="9">
        <f t="shared" si="24"/>
        <v>367.15463009510995</v>
      </c>
      <c r="L242" s="10">
        <f t="shared" si="21"/>
        <v>0.18969624624241013</v>
      </c>
      <c r="M242" s="10">
        <f>L242+ABS($N$2)*A242</f>
        <v>0.2244436792369823</v>
      </c>
      <c r="O242" s="11"/>
      <c r="P242" s="8">
        <f>(M242-$O$2)/$O$2*100</f>
        <v>-11.078346207071229</v>
      </c>
    </row>
    <row r="243" spans="1:16" x14ac:dyDescent="0.2">
      <c r="A243" s="8">
        <v>120.5</v>
      </c>
      <c r="B243" s="8">
        <v>241</v>
      </c>
      <c r="D243">
        <v>2059.9912739964998</v>
      </c>
      <c r="E243">
        <v>481.64223385689002</v>
      </c>
      <c r="F243">
        <v>142.26814988289999</v>
      </c>
      <c r="G243">
        <v>117.34192037471</v>
      </c>
      <c r="I243" s="9">
        <f t="shared" ref="I243:I274" si="26">E243-G243</f>
        <v>364.30031348218</v>
      </c>
      <c r="J243" s="9">
        <f t="shared" ref="J243:J274" si="27">D243-F243</f>
        <v>1917.7231241135999</v>
      </c>
      <c r="K243" s="9">
        <f t="shared" si="24"/>
        <v>364.30031348218</v>
      </c>
      <c r="L243" s="10">
        <f t="shared" si="21"/>
        <v>0.18996502096754192</v>
      </c>
      <c r="M243" s="10">
        <f t="shared" ref="M243:M274" si="28">L243+ABS($N$2)*A243</f>
        <v>0.22485723493292481</v>
      </c>
      <c r="P243" s="8">
        <f t="shared" ref="P243:P274" si="29">(M243-$O$2)/$O$2*100</f>
        <v>-10.914500842640782</v>
      </c>
    </row>
    <row r="244" spans="1:16" x14ac:dyDescent="0.2">
      <c r="A244" s="8">
        <v>121</v>
      </c>
      <c r="B244" s="8">
        <v>242</v>
      </c>
      <c r="D244">
        <v>2074.1234067207001</v>
      </c>
      <c r="E244">
        <v>481.52201622247998</v>
      </c>
      <c r="F244">
        <v>141.62529274005001</v>
      </c>
      <c r="G244">
        <v>117.08723653396</v>
      </c>
      <c r="I244" s="9">
        <f t="shared" si="26"/>
        <v>364.43477968852</v>
      </c>
      <c r="J244" s="9">
        <f t="shared" si="27"/>
        <v>1932.49811398065</v>
      </c>
      <c r="K244" s="9">
        <f t="shared" si="24"/>
        <v>364.43477968852</v>
      </c>
      <c r="L244" s="10">
        <f t="shared" si="21"/>
        <v>0.18858221752043017</v>
      </c>
      <c r="M244" s="10">
        <f t="shared" si="28"/>
        <v>0.22361921245662378</v>
      </c>
      <c r="N244" s="1"/>
      <c r="P244" s="8">
        <f t="shared" si="29"/>
        <v>-11.404989175392037</v>
      </c>
    </row>
    <row r="245" spans="1:16" x14ac:dyDescent="0.2">
      <c r="A245" s="8">
        <v>121.5</v>
      </c>
      <c r="B245" s="8">
        <v>243</v>
      </c>
      <c r="D245">
        <v>2026.3557358052999</v>
      </c>
      <c r="E245">
        <v>472.98783314021</v>
      </c>
      <c r="F245">
        <v>142.05913348946001</v>
      </c>
      <c r="G245">
        <v>117.56147540984</v>
      </c>
      <c r="I245" s="9">
        <f t="shared" si="26"/>
        <v>355.42635773037</v>
      </c>
      <c r="J245" s="9">
        <f t="shared" si="27"/>
        <v>1884.2966023158399</v>
      </c>
      <c r="K245" s="9">
        <f t="shared" si="24"/>
        <v>355.42635773037</v>
      </c>
      <c r="L245" s="10">
        <f t="shared" si="21"/>
        <v>0.18862548353244579</v>
      </c>
      <c r="M245" s="10">
        <f t="shared" si="28"/>
        <v>0.22380725943945012</v>
      </c>
      <c r="P245" s="8">
        <f t="shared" si="29"/>
        <v>-11.330487417264852</v>
      </c>
    </row>
    <row r="246" spans="1:16" x14ac:dyDescent="0.2">
      <c r="A246" s="8">
        <v>122</v>
      </c>
      <c r="B246" s="8">
        <v>244</v>
      </c>
      <c r="D246">
        <v>2063.3997682503</v>
      </c>
      <c r="E246">
        <v>481.24565469292997</v>
      </c>
      <c r="F246">
        <v>141.39110070257999</v>
      </c>
      <c r="G246">
        <v>117.45199063232</v>
      </c>
      <c r="I246" s="9">
        <f t="shared" si="26"/>
        <v>363.79366406060996</v>
      </c>
      <c r="J246" s="9">
        <f t="shared" si="27"/>
        <v>1922.0086675477201</v>
      </c>
      <c r="K246" s="9">
        <f t="shared" si="24"/>
        <v>363.79366406060996</v>
      </c>
      <c r="L246" s="10">
        <f t="shared" si="21"/>
        <v>0.18927784780740464</v>
      </c>
      <c r="M246" s="10">
        <f t="shared" si="28"/>
        <v>0.22460440468521969</v>
      </c>
      <c r="P246" s="8">
        <f t="shared" si="29"/>
        <v>-11.014668884045401</v>
      </c>
    </row>
    <row r="247" spans="1:16" x14ac:dyDescent="0.2">
      <c r="A247" s="8">
        <v>122.5</v>
      </c>
      <c r="B247" s="8">
        <v>245</v>
      </c>
      <c r="D247">
        <v>2070.3991888760002</v>
      </c>
      <c r="E247">
        <v>474.67033603708001</v>
      </c>
      <c r="F247">
        <v>141.78395784543</v>
      </c>
      <c r="G247">
        <v>117.37470725995</v>
      </c>
      <c r="I247" s="9">
        <f t="shared" si="26"/>
        <v>357.29562877712999</v>
      </c>
      <c r="J247" s="9">
        <f t="shared" si="27"/>
        <v>1928.6152310305702</v>
      </c>
      <c r="K247" s="9">
        <f t="shared" si="24"/>
        <v>357.29562877712999</v>
      </c>
      <c r="L247" s="10">
        <f t="shared" si="21"/>
        <v>0.18526019240561858</v>
      </c>
      <c r="M247" s="10">
        <f t="shared" si="28"/>
        <v>0.22073153025424433</v>
      </c>
      <c r="P247" s="8">
        <f t="shared" si="29"/>
        <v>-12.549051142015145</v>
      </c>
    </row>
    <row r="248" spans="1:16" x14ac:dyDescent="0.2">
      <c r="A248" s="8">
        <v>123</v>
      </c>
      <c r="B248" s="8">
        <v>246</v>
      </c>
      <c r="D248">
        <v>2084.9420625724001</v>
      </c>
      <c r="E248">
        <v>481.25260718423999</v>
      </c>
      <c r="F248">
        <v>141.43559718969999</v>
      </c>
      <c r="G248">
        <v>117.59484777518</v>
      </c>
      <c r="I248" s="9">
        <f t="shared" si="26"/>
        <v>363.65775940905996</v>
      </c>
      <c r="J248" s="9">
        <f t="shared" si="27"/>
        <v>1943.5064653827001</v>
      </c>
      <c r="K248" s="9">
        <f t="shared" si="24"/>
        <v>363.65775940905996</v>
      </c>
      <c r="L248" s="10">
        <f t="shared" si="21"/>
        <v>0.18711425245372226</v>
      </c>
      <c r="M248" s="10">
        <f t="shared" si="28"/>
        <v>0.22273037127315873</v>
      </c>
      <c r="P248" s="8">
        <f t="shared" si="29"/>
        <v>-11.757136441297099</v>
      </c>
    </row>
    <row r="249" spans="1:16" x14ac:dyDescent="0.2">
      <c r="A249" s="8">
        <v>123.5</v>
      </c>
      <c r="B249" s="8">
        <v>247</v>
      </c>
      <c r="D249">
        <v>2052.4807916181999</v>
      </c>
      <c r="E249">
        <v>479.69033760185999</v>
      </c>
      <c r="F249">
        <v>141.79039812645999</v>
      </c>
      <c r="G249">
        <v>117.32494145199</v>
      </c>
      <c r="I249" s="9">
        <f t="shared" si="26"/>
        <v>362.36539614986998</v>
      </c>
      <c r="J249" s="9">
        <f t="shared" si="27"/>
        <v>1910.69039349174</v>
      </c>
      <c r="K249" s="9">
        <f t="shared" si="24"/>
        <v>362.36539614986998</v>
      </c>
      <c r="L249" s="10">
        <f t="shared" si="21"/>
        <v>0.18965155076100848</v>
      </c>
      <c r="M249" s="10">
        <f t="shared" si="28"/>
        <v>0.22541245055125567</v>
      </c>
      <c r="P249" s="8">
        <f t="shared" si="29"/>
        <v>-10.694531667471834</v>
      </c>
    </row>
    <row r="250" spans="1:16" x14ac:dyDescent="0.2">
      <c r="A250" s="8">
        <v>124</v>
      </c>
      <c r="B250" s="8">
        <v>248</v>
      </c>
      <c r="D250">
        <v>2114.5844004657001</v>
      </c>
      <c r="E250">
        <v>489.16414435389999</v>
      </c>
      <c r="F250">
        <v>141.34309133490001</v>
      </c>
      <c r="G250">
        <v>117.40866510539</v>
      </c>
      <c r="I250" s="9">
        <f t="shared" si="26"/>
        <v>371.75547924850997</v>
      </c>
      <c r="J250" s="9">
        <f t="shared" si="27"/>
        <v>1973.2413091308001</v>
      </c>
      <c r="K250" s="9">
        <f t="shared" si="24"/>
        <v>371.75547924850997</v>
      </c>
      <c r="L250" s="10">
        <f t="shared" si="21"/>
        <v>0.18839838671949646</v>
      </c>
      <c r="M250" s="10">
        <f t="shared" si="28"/>
        <v>0.22430406748055437</v>
      </c>
      <c r="P250" s="8">
        <f t="shared" si="29"/>
        <v>-11.133658561211526</v>
      </c>
    </row>
    <row r="251" spans="1:16" x14ac:dyDescent="0.2">
      <c r="A251" s="8">
        <v>124.5</v>
      </c>
      <c r="B251" s="8">
        <v>249</v>
      </c>
      <c r="D251">
        <v>2027.6123759485999</v>
      </c>
      <c r="E251">
        <v>471.28604786924001</v>
      </c>
      <c r="F251">
        <v>141.51229508197</v>
      </c>
      <c r="G251">
        <v>117.13524590164</v>
      </c>
      <c r="I251" s="9">
        <f t="shared" si="26"/>
        <v>354.15080196759999</v>
      </c>
      <c r="J251" s="9">
        <f t="shared" si="27"/>
        <v>1886.1000808666299</v>
      </c>
      <c r="K251" s="9">
        <f t="shared" si="24"/>
        <v>354.15080196759999</v>
      </c>
      <c r="L251" s="10">
        <f t="shared" si="21"/>
        <v>0.18776882815511778</v>
      </c>
      <c r="M251" s="10">
        <f t="shared" si="28"/>
        <v>0.22381928988698641</v>
      </c>
      <c r="P251" s="8">
        <f t="shared" si="29"/>
        <v>-11.325721111105409</v>
      </c>
    </row>
    <row r="252" spans="1:16" x14ac:dyDescent="0.2">
      <c r="A252" s="8">
        <v>125</v>
      </c>
      <c r="B252" s="8">
        <v>250</v>
      </c>
      <c r="D252">
        <v>2138.2761237595</v>
      </c>
      <c r="E252">
        <v>474.41039112668</v>
      </c>
      <c r="F252">
        <v>141.79566744731</v>
      </c>
      <c r="G252">
        <v>117.21838407494</v>
      </c>
      <c r="I252" s="9">
        <f t="shared" si="26"/>
        <v>357.19200705174001</v>
      </c>
      <c r="J252" s="9">
        <f t="shared" si="27"/>
        <v>1996.48045631219</v>
      </c>
      <c r="K252" s="9">
        <f t="shared" si="24"/>
        <v>357.19200705174001</v>
      </c>
      <c r="L252" s="10">
        <f t="shared" si="21"/>
        <v>0.17891084579486904</v>
      </c>
      <c r="M252" s="10">
        <f t="shared" si="28"/>
        <v>0.21510608849754839</v>
      </c>
      <c r="P252" s="8">
        <f t="shared" si="29"/>
        <v>-14.777777680547032</v>
      </c>
    </row>
    <row r="253" spans="1:16" x14ac:dyDescent="0.2">
      <c r="A253" s="8">
        <v>125.5</v>
      </c>
      <c r="B253" s="8">
        <v>251</v>
      </c>
      <c r="D253">
        <v>1972.9196272567999</v>
      </c>
      <c r="E253">
        <v>463.50902737333001</v>
      </c>
      <c r="F253">
        <v>141.64285714286001</v>
      </c>
      <c r="G253">
        <v>117.36007025761</v>
      </c>
      <c r="I253" s="9">
        <f t="shared" si="26"/>
        <v>346.14895711572001</v>
      </c>
      <c r="J253" s="9">
        <f t="shared" si="27"/>
        <v>1831.2767701139398</v>
      </c>
      <c r="K253" s="9">
        <f t="shared" si="24"/>
        <v>346.14895711572001</v>
      </c>
      <c r="L253" s="10">
        <f t="shared" si="21"/>
        <v>0.18902055809629642</v>
      </c>
      <c r="M253" s="10">
        <f t="shared" si="28"/>
        <v>0.22536058176978646</v>
      </c>
      <c r="P253" s="8">
        <f t="shared" si="29"/>
        <v>-10.71508140112504</v>
      </c>
    </row>
    <row r="254" spans="1:16" x14ac:dyDescent="0.2">
      <c r="A254" s="8">
        <v>126</v>
      </c>
      <c r="B254" s="8">
        <v>252</v>
      </c>
      <c r="D254">
        <v>1991.9534071053999</v>
      </c>
      <c r="E254">
        <v>470.15958066395001</v>
      </c>
      <c r="F254">
        <v>140.99882903981</v>
      </c>
      <c r="G254">
        <v>116.9912177986</v>
      </c>
      <c r="I254" s="9">
        <f t="shared" si="26"/>
        <v>353.16836286534999</v>
      </c>
      <c r="J254" s="9">
        <f t="shared" si="27"/>
        <v>1850.9545780655899</v>
      </c>
      <c r="K254" s="9">
        <f t="shared" si="24"/>
        <v>353.16836286534999</v>
      </c>
      <c r="L254" s="10">
        <f t="shared" si="21"/>
        <v>0.19080336549070909</v>
      </c>
      <c r="M254" s="10">
        <f t="shared" si="28"/>
        <v>0.22728817013500985</v>
      </c>
      <c r="P254" s="8">
        <f t="shared" si="29"/>
        <v>-9.9513960710218416</v>
      </c>
    </row>
    <row r="255" spans="1:16" x14ac:dyDescent="0.2">
      <c r="A255" s="8">
        <v>126.5</v>
      </c>
      <c r="B255" s="8">
        <v>253</v>
      </c>
      <c r="D255">
        <v>2026.9982527664999</v>
      </c>
      <c r="E255">
        <v>469.21432731508003</v>
      </c>
      <c r="F255">
        <v>141.76990632319001</v>
      </c>
      <c r="G255">
        <v>117.39285714286</v>
      </c>
      <c r="I255" s="9">
        <f t="shared" si="26"/>
        <v>351.82147017222002</v>
      </c>
      <c r="J255" s="9">
        <f t="shared" si="27"/>
        <v>1885.2283464433099</v>
      </c>
      <c r="K255" s="9">
        <f t="shared" si="24"/>
        <v>351.82147017222002</v>
      </c>
      <c r="L255" s="10">
        <f t="shared" si="21"/>
        <v>0.18662008283292039</v>
      </c>
      <c r="M255" s="10">
        <f t="shared" si="28"/>
        <v>0.22324966844803187</v>
      </c>
      <c r="P255" s="8">
        <f t="shared" si="29"/>
        <v>-11.551397684221392</v>
      </c>
    </row>
    <row r="256" spans="1:16" x14ac:dyDescent="0.2">
      <c r="A256" s="8">
        <v>127</v>
      </c>
      <c r="B256" s="8">
        <v>254</v>
      </c>
      <c r="D256">
        <v>1920.1782178218</v>
      </c>
      <c r="E256">
        <v>456.77344205009001</v>
      </c>
      <c r="F256">
        <v>141.43852459016</v>
      </c>
      <c r="G256">
        <v>117.16920374707</v>
      </c>
      <c r="I256" s="9">
        <f t="shared" si="26"/>
        <v>339.60423830302</v>
      </c>
      <c r="J256" s="9">
        <f t="shared" si="27"/>
        <v>1778.7396932316401</v>
      </c>
      <c r="K256" s="9">
        <f t="shared" si="24"/>
        <v>339.60423830302</v>
      </c>
      <c r="L256" s="10">
        <f t="shared" si="21"/>
        <v>0.19092407933283487</v>
      </c>
      <c r="M256" s="10">
        <f t="shared" si="28"/>
        <v>0.22769844591875707</v>
      </c>
      <c r="P256" s="8">
        <f t="shared" si="29"/>
        <v>-9.7888501649574842</v>
      </c>
    </row>
    <row r="257" spans="1:16" x14ac:dyDescent="0.2">
      <c r="A257" s="8">
        <v>127.5</v>
      </c>
      <c r="B257" s="8">
        <v>255</v>
      </c>
      <c r="D257">
        <v>1948.8928363425</v>
      </c>
      <c r="E257">
        <v>454.78101339545998</v>
      </c>
      <c r="F257">
        <v>141.37119437939</v>
      </c>
      <c r="G257">
        <v>117.13641686183</v>
      </c>
      <c r="I257" s="9">
        <f t="shared" si="26"/>
        <v>337.64459653362997</v>
      </c>
      <c r="J257" s="9">
        <f t="shared" si="27"/>
        <v>1807.5216419631099</v>
      </c>
      <c r="K257" s="9">
        <f t="shared" si="24"/>
        <v>337.64459653362997</v>
      </c>
      <c r="L257" s="10">
        <f t="shared" si="21"/>
        <v>0.18679975315090641</v>
      </c>
      <c r="M257" s="10">
        <f t="shared" si="28"/>
        <v>0.22371890070763933</v>
      </c>
      <c r="P257" s="8">
        <f t="shared" si="29"/>
        <v>-11.365493992573063</v>
      </c>
    </row>
    <row r="258" spans="1:16" x14ac:dyDescent="0.2">
      <c r="A258" s="8">
        <v>128</v>
      </c>
      <c r="B258" s="8">
        <v>256</v>
      </c>
      <c r="D258">
        <v>1938.8932714616999</v>
      </c>
      <c r="E258">
        <v>457.88805104407999</v>
      </c>
      <c r="F258">
        <v>141.13583138172999</v>
      </c>
      <c r="G258">
        <v>117.4906323185</v>
      </c>
      <c r="I258" s="9">
        <f t="shared" si="26"/>
        <v>340.39741872558</v>
      </c>
      <c r="J258" s="9">
        <f t="shared" si="27"/>
        <v>1797.7574400799699</v>
      </c>
      <c r="K258" s="9">
        <f t="shared" si="24"/>
        <v>340.39741872558</v>
      </c>
      <c r="L258" s="10">
        <f t="shared" ref="L258:L321" si="30">K258/J258</f>
        <v>0.18934557640347635</v>
      </c>
      <c r="M258" s="10">
        <f t="shared" si="28"/>
        <v>0.22640950493101999</v>
      </c>
      <c r="P258" s="8">
        <f t="shared" si="29"/>
        <v>-10.299511746788239</v>
      </c>
    </row>
    <row r="259" spans="1:16" x14ac:dyDescent="0.2">
      <c r="A259" s="8">
        <v>128.5</v>
      </c>
      <c r="B259" s="8">
        <v>257</v>
      </c>
      <c r="D259">
        <v>1913.5899071926001</v>
      </c>
      <c r="E259">
        <v>459.20127610208999</v>
      </c>
      <c r="F259">
        <v>141.50234192037999</v>
      </c>
      <c r="G259">
        <v>117.31264637002</v>
      </c>
      <c r="I259" s="9">
        <f t="shared" si="26"/>
        <v>341.88862973207</v>
      </c>
      <c r="J259" s="9">
        <f t="shared" si="27"/>
        <v>1772.0875652722202</v>
      </c>
      <c r="K259" s="9">
        <f t="shared" ref="K259:K322" si="31">I259*1</f>
        <v>341.88862973207</v>
      </c>
      <c r="L259" s="10">
        <f t="shared" si="30"/>
        <v>0.19292987346229168</v>
      </c>
      <c r="M259" s="10">
        <f t="shared" si="28"/>
        <v>0.23013858296064604</v>
      </c>
      <c r="P259" s="8">
        <f t="shared" si="29"/>
        <v>-8.8220997446123874</v>
      </c>
    </row>
    <row r="260" spans="1:16" x14ac:dyDescent="0.2">
      <c r="A260" s="8">
        <v>129</v>
      </c>
      <c r="B260" s="8">
        <v>258</v>
      </c>
      <c r="D260">
        <v>1917.4379350347999</v>
      </c>
      <c r="E260">
        <v>457.69663573086001</v>
      </c>
      <c r="F260">
        <v>140.64227166276001</v>
      </c>
      <c r="G260">
        <v>116.99355971897</v>
      </c>
      <c r="I260" s="9">
        <f t="shared" si="26"/>
        <v>340.70307601189</v>
      </c>
      <c r="J260" s="9">
        <f t="shared" si="27"/>
        <v>1776.7956633720398</v>
      </c>
      <c r="K260" s="9">
        <f t="shared" si="31"/>
        <v>340.70307601189</v>
      </c>
      <c r="L260" s="10">
        <f t="shared" si="30"/>
        <v>0.1917514112823174</v>
      </c>
      <c r="M260" s="10">
        <f t="shared" si="28"/>
        <v>0.22910490175148249</v>
      </c>
      <c r="P260" s="8">
        <f t="shared" si="29"/>
        <v>-9.231630736645565</v>
      </c>
    </row>
    <row r="261" spans="1:16" x14ac:dyDescent="0.2">
      <c r="A261" s="8">
        <v>129.5</v>
      </c>
      <c r="B261" s="8">
        <v>259</v>
      </c>
      <c r="D261">
        <v>1884.3689095128</v>
      </c>
      <c r="E261">
        <v>451.27726218098002</v>
      </c>
      <c r="F261">
        <v>141.30679156909</v>
      </c>
      <c r="G261">
        <v>117.09016393443</v>
      </c>
      <c r="I261" s="9">
        <f t="shared" si="26"/>
        <v>334.18709824655002</v>
      </c>
      <c r="J261" s="9">
        <f t="shared" si="27"/>
        <v>1743.0621179437101</v>
      </c>
      <c r="K261" s="9">
        <f t="shared" si="31"/>
        <v>334.18709824655002</v>
      </c>
      <c r="L261" s="10">
        <f t="shared" si="30"/>
        <v>0.19172414729590387</v>
      </c>
      <c r="M261" s="10">
        <f t="shared" si="28"/>
        <v>0.22922241873587967</v>
      </c>
      <c r="P261" s="8">
        <f t="shared" si="29"/>
        <v>-9.1850720425585646</v>
      </c>
    </row>
    <row r="262" spans="1:16" x14ac:dyDescent="0.2">
      <c r="A262" s="8">
        <v>130</v>
      </c>
      <c r="B262" s="8">
        <v>260</v>
      </c>
      <c r="D262">
        <v>1985.7833140209</v>
      </c>
      <c r="E262">
        <v>464.75144843569001</v>
      </c>
      <c r="F262">
        <v>141.46662763466</v>
      </c>
      <c r="G262">
        <v>117.44496487119</v>
      </c>
      <c r="I262" s="9">
        <f t="shared" si="26"/>
        <v>347.30648356450001</v>
      </c>
      <c r="J262" s="9">
        <f t="shared" si="27"/>
        <v>1844.31668638624</v>
      </c>
      <c r="K262" s="9">
        <f t="shared" si="31"/>
        <v>347.30648356450001</v>
      </c>
      <c r="L262" s="10">
        <f t="shared" si="30"/>
        <v>0.18831173958796277</v>
      </c>
      <c r="M262" s="10">
        <f t="shared" si="28"/>
        <v>0.22595479199874929</v>
      </c>
      <c r="P262" s="8">
        <f t="shared" si="29"/>
        <v>-10.479663070612556</v>
      </c>
    </row>
    <row r="263" spans="1:16" x14ac:dyDescent="0.2">
      <c r="A263" s="8">
        <v>130.5</v>
      </c>
      <c r="B263" s="8">
        <v>261</v>
      </c>
      <c r="D263">
        <v>2006.0376593279</v>
      </c>
      <c r="E263">
        <v>474.17439165701001</v>
      </c>
      <c r="F263">
        <v>141.62529274005001</v>
      </c>
      <c r="G263">
        <v>117.30620608899</v>
      </c>
      <c r="I263" s="9">
        <f t="shared" si="26"/>
        <v>356.86818556802001</v>
      </c>
      <c r="J263" s="9">
        <f t="shared" si="27"/>
        <v>1864.4123665878499</v>
      </c>
      <c r="K263" s="9">
        <f t="shared" si="31"/>
        <v>356.86818556802001</v>
      </c>
      <c r="L263" s="10">
        <f t="shared" si="30"/>
        <v>0.19141054412825073</v>
      </c>
      <c r="M263" s="10">
        <f t="shared" si="28"/>
        <v>0.22919837750984795</v>
      </c>
      <c r="P263" s="8">
        <f t="shared" si="29"/>
        <v>-9.1945968622604077</v>
      </c>
    </row>
    <row r="264" spans="1:16" x14ac:dyDescent="0.2">
      <c r="A264" s="8">
        <v>131</v>
      </c>
      <c r="B264" s="8">
        <v>262</v>
      </c>
      <c r="D264">
        <v>2006.3650057937</v>
      </c>
      <c r="E264">
        <v>475.59675550406001</v>
      </c>
      <c r="F264">
        <v>141.51580796253</v>
      </c>
      <c r="G264">
        <v>117.42740046838</v>
      </c>
      <c r="I264" s="9">
        <f t="shared" si="26"/>
        <v>358.16935503568004</v>
      </c>
      <c r="J264" s="9">
        <f t="shared" si="27"/>
        <v>1864.8491978311699</v>
      </c>
      <c r="K264" s="9">
        <f t="shared" si="31"/>
        <v>358.16935503568004</v>
      </c>
      <c r="L264" s="10">
        <f t="shared" si="30"/>
        <v>0.19206344161888961</v>
      </c>
      <c r="M264" s="10">
        <f t="shared" si="28"/>
        <v>0.22999605597129755</v>
      </c>
      <c r="P264" s="8">
        <f t="shared" si="29"/>
        <v>-8.8785670759539563</v>
      </c>
    </row>
    <row r="265" spans="1:16" x14ac:dyDescent="0.2">
      <c r="A265" s="8">
        <v>131.5</v>
      </c>
      <c r="B265" s="8">
        <v>263</v>
      </c>
      <c r="D265">
        <v>2002.1332560834001</v>
      </c>
      <c r="E265">
        <v>472.18134414832002</v>
      </c>
      <c r="F265">
        <v>140.83021077282999</v>
      </c>
      <c r="G265">
        <v>117.36241217799</v>
      </c>
      <c r="I265" s="9">
        <f t="shared" si="26"/>
        <v>354.81893197033003</v>
      </c>
      <c r="J265" s="9">
        <f t="shared" si="27"/>
        <v>1861.30304531057</v>
      </c>
      <c r="K265" s="9">
        <f t="shared" si="31"/>
        <v>354.81893197033003</v>
      </c>
      <c r="L265" s="10">
        <f t="shared" si="30"/>
        <v>0.19062931899470797</v>
      </c>
      <c r="M265" s="10">
        <f t="shared" si="28"/>
        <v>0.22870671431792663</v>
      </c>
      <c r="P265" s="8">
        <f t="shared" si="29"/>
        <v>-9.3893873962749197</v>
      </c>
    </row>
    <row r="266" spans="1:16" x14ac:dyDescent="0.2">
      <c r="A266" s="8">
        <v>132</v>
      </c>
      <c r="B266" s="8">
        <v>264</v>
      </c>
      <c r="D266">
        <v>2025.0225955968001</v>
      </c>
      <c r="E266">
        <v>479.11587485515997</v>
      </c>
      <c r="F266">
        <v>141.59484777518</v>
      </c>
      <c r="G266">
        <v>117.1855971897</v>
      </c>
      <c r="I266" s="9">
        <f t="shared" si="26"/>
        <v>361.93027766545998</v>
      </c>
      <c r="J266" s="9">
        <f t="shared" si="27"/>
        <v>1883.4277478216202</v>
      </c>
      <c r="K266" s="9">
        <f t="shared" si="31"/>
        <v>361.93027766545998</v>
      </c>
      <c r="L266" s="10">
        <f t="shared" si="30"/>
        <v>0.1921657350987156</v>
      </c>
      <c r="M266" s="10">
        <f t="shared" si="28"/>
        <v>0.23038791139274498</v>
      </c>
      <c r="P266" s="8">
        <f t="shared" si="29"/>
        <v>-8.7233190768065203</v>
      </c>
    </row>
    <row r="267" spans="1:16" x14ac:dyDescent="0.2">
      <c r="A267" s="8">
        <v>132.5</v>
      </c>
      <c r="B267" s="8">
        <v>265</v>
      </c>
      <c r="D267">
        <v>1963.0816444702</v>
      </c>
      <c r="E267">
        <v>461.21945570353</v>
      </c>
      <c r="F267">
        <v>141.15632318501</v>
      </c>
      <c r="G267">
        <v>117.0925058548</v>
      </c>
      <c r="I267" s="9">
        <f t="shared" si="26"/>
        <v>344.12694984873002</v>
      </c>
      <c r="J267" s="9">
        <f t="shared" si="27"/>
        <v>1821.92532128519</v>
      </c>
      <c r="K267" s="9">
        <f t="shared" si="31"/>
        <v>344.12694984873002</v>
      </c>
      <c r="L267" s="10">
        <f t="shared" si="30"/>
        <v>0.1888809304247345</v>
      </c>
      <c r="M267" s="10">
        <f t="shared" si="28"/>
        <v>0.2272478876895746</v>
      </c>
      <c r="P267" s="8">
        <f t="shared" si="29"/>
        <v>-9.9673554496913699</v>
      </c>
    </row>
    <row r="268" spans="1:16" x14ac:dyDescent="0.2">
      <c r="A268" s="8">
        <v>133</v>
      </c>
      <c r="B268" s="8">
        <v>266</v>
      </c>
      <c r="D268">
        <v>1963.9698899826001</v>
      </c>
      <c r="E268">
        <v>460.67921250723998</v>
      </c>
      <c r="F268">
        <v>140.84192037471001</v>
      </c>
      <c r="G268">
        <v>117.42857142857</v>
      </c>
      <c r="I268" s="9">
        <f t="shared" si="26"/>
        <v>343.25064107867001</v>
      </c>
      <c r="J268" s="9">
        <f t="shared" si="27"/>
        <v>1823.12796960789</v>
      </c>
      <c r="K268" s="9">
        <f t="shared" si="31"/>
        <v>343.25064107867001</v>
      </c>
      <c r="L268" s="10">
        <f t="shared" si="30"/>
        <v>0.18827567060610384</v>
      </c>
      <c r="M268" s="10">
        <f t="shared" si="28"/>
        <v>0.22678740884175466</v>
      </c>
      <c r="P268" s="8">
        <f t="shared" si="29"/>
        <v>-10.149791153935809</v>
      </c>
    </row>
    <row r="269" spans="1:16" x14ac:dyDescent="0.2">
      <c r="A269" s="8">
        <v>133.5</v>
      </c>
      <c r="B269" s="8">
        <v>267</v>
      </c>
      <c r="D269">
        <v>2104.7104806021998</v>
      </c>
      <c r="E269">
        <v>458.67342211928002</v>
      </c>
      <c r="F269">
        <v>141.12060889930001</v>
      </c>
      <c r="G269">
        <v>117.24355971897</v>
      </c>
      <c r="I269" s="9">
        <f t="shared" si="26"/>
        <v>341.42986240031001</v>
      </c>
      <c r="J269" s="9">
        <f t="shared" si="27"/>
        <v>1963.5898717028999</v>
      </c>
      <c r="K269" s="9">
        <f t="shared" si="31"/>
        <v>341.42986240031001</v>
      </c>
      <c r="L269" s="10">
        <f t="shared" si="30"/>
        <v>0.1738804356859964</v>
      </c>
      <c r="M269" s="10">
        <f t="shared" si="28"/>
        <v>0.21253695489245794</v>
      </c>
      <c r="P269" s="8">
        <f t="shared" si="29"/>
        <v>-15.795634854142987</v>
      </c>
    </row>
    <row r="270" spans="1:16" x14ac:dyDescent="0.2">
      <c r="A270" s="8">
        <v>134</v>
      </c>
      <c r="B270" s="8">
        <v>268</v>
      </c>
      <c r="D270">
        <v>1986.3572254334999</v>
      </c>
      <c r="E270">
        <v>457.05375722542999</v>
      </c>
      <c r="F270">
        <v>141.04683840748999</v>
      </c>
      <c r="G270">
        <v>117.17037470726</v>
      </c>
      <c r="I270" s="9">
        <f t="shared" si="26"/>
        <v>339.88338251816998</v>
      </c>
      <c r="J270" s="9">
        <f t="shared" si="27"/>
        <v>1845.3103870260099</v>
      </c>
      <c r="K270" s="9">
        <f t="shared" si="31"/>
        <v>339.88338251816998</v>
      </c>
      <c r="L270" s="10">
        <f t="shared" si="30"/>
        <v>0.18418764935580414</v>
      </c>
      <c r="M270" s="10">
        <f t="shared" si="28"/>
        <v>0.22298894953307641</v>
      </c>
      <c r="P270" s="8">
        <f t="shared" si="29"/>
        <v>-11.654691112540482</v>
      </c>
    </row>
    <row r="271" spans="1:16" x14ac:dyDescent="0.2">
      <c r="A271" s="8">
        <v>134.5</v>
      </c>
      <c r="B271" s="8">
        <v>269</v>
      </c>
      <c r="D271">
        <v>1909.6699421965</v>
      </c>
      <c r="E271">
        <v>451.87514450867002</v>
      </c>
      <c r="F271">
        <v>141.28805620609</v>
      </c>
      <c r="G271">
        <v>117.22365339579</v>
      </c>
      <c r="I271" s="9">
        <f t="shared" si="26"/>
        <v>334.65149111288002</v>
      </c>
      <c r="J271" s="9">
        <f t="shared" si="27"/>
        <v>1768.38188599041</v>
      </c>
      <c r="K271" s="9">
        <f t="shared" si="31"/>
        <v>334.65149111288002</v>
      </c>
      <c r="L271" s="10">
        <f t="shared" si="30"/>
        <v>0.18924164161829402</v>
      </c>
      <c r="M271" s="10">
        <f t="shared" si="28"/>
        <v>0.228187722766377</v>
      </c>
      <c r="P271" s="8">
        <f t="shared" si="29"/>
        <v>-9.5950050693822284</v>
      </c>
    </row>
    <row r="272" spans="1:16" x14ac:dyDescent="0.2">
      <c r="A272" s="8">
        <v>135</v>
      </c>
      <c r="B272" s="8">
        <v>270</v>
      </c>
      <c r="D272">
        <v>1976.1359906212999</v>
      </c>
      <c r="E272">
        <v>461.65357561548001</v>
      </c>
      <c r="F272">
        <v>141.25526932084</v>
      </c>
      <c r="G272">
        <v>117.32669789227</v>
      </c>
      <c r="I272" s="9">
        <f t="shared" si="26"/>
        <v>344.32687772321003</v>
      </c>
      <c r="J272" s="9">
        <f t="shared" si="27"/>
        <v>1834.88072130046</v>
      </c>
      <c r="K272" s="9">
        <f t="shared" si="31"/>
        <v>344.32687772321003</v>
      </c>
      <c r="L272" s="10">
        <f t="shared" si="30"/>
        <v>0.18765627308960472</v>
      </c>
      <c r="M272" s="10">
        <f t="shared" si="28"/>
        <v>0.2267471352084984</v>
      </c>
      <c r="P272" s="8">
        <f t="shared" si="29"/>
        <v>-10.165747041335136</v>
      </c>
    </row>
    <row r="273" spans="1:16" x14ac:dyDescent="0.2">
      <c r="A273" s="8">
        <v>135.5</v>
      </c>
      <c r="B273" s="8">
        <v>271</v>
      </c>
      <c r="D273">
        <v>1967.0984759672001</v>
      </c>
      <c r="E273">
        <v>464.24912075028999</v>
      </c>
      <c r="F273">
        <v>140.75936768150001</v>
      </c>
      <c r="G273">
        <v>117.11065573771</v>
      </c>
      <c r="I273" s="9">
        <f t="shared" si="26"/>
        <v>347.13846501258001</v>
      </c>
      <c r="J273" s="9">
        <f t="shared" si="27"/>
        <v>1826.3391082857001</v>
      </c>
      <c r="K273" s="9">
        <f t="shared" si="31"/>
        <v>347.13846501258001</v>
      </c>
      <c r="L273" s="10">
        <f t="shared" si="30"/>
        <v>0.19007338967757351</v>
      </c>
      <c r="M273" s="10">
        <f t="shared" si="28"/>
        <v>0.2293090327672779</v>
      </c>
      <c r="P273" s="8">
        <f t="shared" si="29"/>
        <v>-9.1507566947626877</v>
      </c>
    </row>
    <row r="274" spans="1:16" x14ac:dyDescent="0.2">
      <c r="A274" s="8">
        <v>136</v>
      </c>
      <c r="B274" s="8">
        <v>272</v>
      </c>
      <c r="D274">
        <v>1970.9587209301999</v>
      </c>
      <c r="E274">
        <v>456.48139534884001</v>
      </c>
      <c r="F274">
        <v>141.05679156909</v>
      </c>
      <c r="G274">
        <v>117.64285714286</v>
      </c>
      <c r="I274" s="9">
        <f t="shared" si="26"/>
        <v>338.83853820598</v>
      </c>
      <c r="J274" s="9">
        <f t="shared" si="27"/>
        <v>1829.90192936111</v>
      </c>
      <c r="K274" s="9">
        <f t="shared" si="31"/>
        <v>338.83853820598</v>
      </c>
      <c r="L274" s="10">
        <f t="shared" si="30"/>
        <v>0.18516759437719252</v>
      </c>
      <c r="M274" s="10">
        <f t="shared" si="28"/>
        <v>0.22454801843770764</v>
      </c>
      <c r="P274" s="8">
        <f t="shared" si="29"/>
        <v>-11.037008378732866</v>
      </c>
    </row>
    <row r="275" spans="1:16" x14ac:dyDescent="0.2">
      <c r="A275" s="8">
        <v>136.5</v>
      </c>
      <c r="B275" s="8">
        <v>273</v>
      </c>
      <c r="D275">
        <v>2058.6296511628002</v>
      </c>
      <c r="E275">
        <v>459.41453488372002</v>
      </c>
      <c r="F275">
        <v>141.27049180328001</v>
      </c>
      <c r="G275">
        <v>116.94203747073</v>
      </c>
      <c r="I275" s="9">
        <f>E275-G275</f>
        <v>342.47249741299004</v>
      </c>
      <c r="J275" s="9">
        <f>D275-F275</f>
        <v>1917.3591593595202</v>
      </c>
      <c r="K275" s="9">
        <f t="shared" si="31"/>
        <v>342.47249741299004</v>
      </c>
      <c r="L275" s="10">
        <f t="shared" si="30"/>
        <v>0.17861676866393172</v>
      </c>
      <c r="M275" s="10">
        <f>L275+ABS($N$2)*A275</f>
        <v>0.21814197369525756</v>
      </c>
      <c r="O275" s="11"/>
      <c r="P275" s="8">
        <f>(M275-$O$2)/$O$2*100</f>
        <v>-13.57499962315859</v>
      </c>
    </row>
    <row r="276" spans="1:16" x14ac:dyDescent="0.2">
      <c r="A276" s="8">
        <v>137</v>
      </c>
      <c r="B276" s="8">
        <v>274</v>
      </c>
      <c r="D276">
        <v>1999.4447674419</v>
      </c>
      <c r="E276">
        <v>458.07848837209002</v>
      </c>
      <c r="F276">
        <v>141.24297423888001</v>
      </c>
      <c r="G276">
        <v>117.05971896956</v>
      </c>
      <c r="I276" s="9">
        <f t="shared" ref="I276:I291" si="32">E276-G276</f>
        <v>341.01876940253004</v>
      </c>
      <c r="J276" s="9">
        <f t="shared" ref="J276:J291" si="33">D276-F276</f>
        <v>1858.2017932030201</v>
      </c>
      <c r="K276" s="9">
        <f t="shared" si="31"/>
        <v>341.01876940253004</v>
      </c>
      <c r="L276" s="10">
        <f t="shared" si="30"/>
        <v>0.18352084830071608</v>
      </c>
      <c r="M276" s="10">
        <f t="shared" ref="M276:M291" si="34">L276+ABS($N$2)*A276</f>
        <v>0.22319083430285264</v>
      </c>
      <c r="P276" s="8">
        <f t="shared" ref="P276:P291" si="35">(M276-$O$2)/$O$2*100</f>
        <v>-11.574707003987564</v>
      </c>
    </row>
    <row r="277" spans="1:16" x14ac:dyDescent="0.2">
      <c r="A277" s="8">
        <v>137.5</v>
      </c>
      <c r="B277" s="8">
        <v>275</v>
      </c>
      <c r="D277">
        <v>1958.8837209302001</v>
      </c>
      <c r="E277">
        <v>461.06802325580998</v>
      </c>
      <c r="F277">
        <v>141.31323185011999</v>
      </c>
      <c r="G277">
        <v>117.17681498829</v>
      </c>
      <c r="I277" s="9">
        <f t="shared" si="32"/>
        <v>343.89120826751997</v>
      </c>
      <c r="J277" s="9">
        <f t="shared" si="33"/>
        <v>1817.5704890800801</v>
      </c>
      <c r="K277" s="9">
        <f t="shared" si="31"/>
        <v>343.89120826751997</v>
      </c>
      <c r="L277" s="10">
        <f t="shared" si="30"/>
        <v>0.18920378072465971</v>
      </c>
      <c r="M277" s="10">
        <f t="shared" si="34"/>
        <v>0.22901854769760699</v>
      </c>
      <c r="N277" s="1"/>
      <c r="P277" s="8">
        <f t="shared" si="35"/>
        <v>-9.2658430847430377</v>
      </c>
    </row>
    <row r="278" spans="1:16" x14ac:dyDescent="0.2">
      <c r="A278" s="8">
        <v>138</v>
      </c>
      <c r="B278" s="8">
        <v>276</v>
      </c>
      <c r="D278">
        <v>2028.4523255813999</v>
      </c>
      <c r="E278">
        <v>469.84767441860998</v>
      </c>
      <c r="F278">
        <v>140.61182669789</v>
      </c>
      <c r="G278">
        <v>117.36475409836</v>
      </c>
      <c r="I278" s="9">
        <f t="shared" si="32"/>
        <v>352.48292032025</v>
      </c>
      <c r="J278" s="9">
        <f t="shared" si="33"/>
        <v>1887.84049888351</v>
      </c>
      <c r="K278" s="9">
        <f t="shared" si="31"/>
        <v>352.48292032025</v>
      </c>
      <c r="L278" s="10">
        <f t="shared" si="30"/>
        <v>0.18671223576817658</v>
      </c>
      <c r="M278" s="10">
        <f t="shared" si="34"/>
        <v>0.22667178371193458</v>
      </c>
      <c r="P278" s="8">
        <f t="shared" si="35"/>
        <v>-10.195600319952765</v>
      </c>
    </row>
    <row r="279" spans="1:16" x14ac:dyDescent="0.2">
      <c r="A279" s="8">
        <v>138.5</v>
      </c>
      <c r="B279" s="8">
        <v>277</v>
      </c>
      <c r="D279">
        <v>2098.7116279070001</v>
      </c>
      <c r="E279">
        <v>476.97674418604998</v>
      </c>
      <c r="F279">
        <v>141.40515222482</v>
      </c>
      <c r="G279">
        <v>117.19203747073</v>
      </c>
      <c r="I279" s="9">
        <f t="shared" si="32"/>
        <v>359.78470671532</v>
      </c>
      <c r="J279" s="9">
        <f t="shared" si="33"/>
        <v>1957.30647568218</v>
      </c>
      <c r="K279" s="9">
        <f t="shared" si="31"/>
        <v>359.78470671532</v>
      </c>
      <c r="L279" s="10">
        <f t="shared" si="30"/>
        <v>0.18381623480294482</v>
      </c>
      <c r="M279" s="10">
        <f t="shared" si="34"/>
        <v>0.22392056371751351</v>
      </c>
      <c r="P279" s="8">
        <f t="shared" si="35"/>
        <v>-11.285597742396476</v>
      </c>
    </row>
    <row r="280" spans="1:16" x14ac:dyDescent="0.2">
      <c r="A280" s="8">
        <v>139</v>
      </c>
      <c r="B280" s="8">
        <v>278</v>
      </c>
      <c r="D280">
        <v>2062.5610465116001</v>
      </c>
      <c r="E280">
        <v>479.87151162791002</v>
      </c>
      <c r="F280">
        <v>141.33489461357999</v>
      </c>
      <c r="G280">
        <v>116.93384074942</v>
      </c>
      <c r="I280" s="9">
        <f t="shared" si="32"/>
        <v>362.93767087849005</v>
      </c>
      <c r="J280" s="9">
        <f t="shared" si="33"/>
        <v>1921.2261518980201</v>
      </c>
      <c r="K280" s="9">
        <f t="shared" si="31"/>
        <v>362.93767087849005</v>
      </c>
      <c r="L280" s="10">
        <f t="shared" si="30"/>
        <v>0.18890939545036706</v>
      </c>
      <c r="M280" s="10">
        <f t="shared" si="34"/>
        <v>0.2291585053357465</v>
      </c>
      <c r="P280" s="8">
        <f t="shared" si="35"/>
        <v>-9.2103936967868858</v>
      </c>
    </row>
    <row r="281" spans="1:16" x14ac:dyDescent="0.2">
      <c r="A281" s="8">
        <v>139.5</v>
      </c>
      <c r="B281" s="8">
        <v>279</v>
      </c>
      <c r="D281">
        <v>2091.4876905041001</v>
      </c>
      <c r="E281">
        <v>471.24912075028999</v>
      </c>
      <c r="F281">
        <v>140.74297423888001</v>
      </c>
      <c r="G281">
        <v>117.14754098361</v>
      </c>
      <c r="I281" s="9">
        <f t="shared" si="32"/>
        <v>354.10157976668</v>
      </c>
      <c r="J281" s="9">
        <f t="shared" si="33"/>
        <v>1950.7447162652202</v>
      </c>
      <c r="K281" s="9">
        <f t="shared" si="31"/>
        <v>354.10157976668</v>
      </c>
      <c r="L281" s="10">
        <f t="shared" si="30"/>
        <v>0.18152122972021772</v>
      </c>
      <c r="M281" s="10">
        <f t="shared" si="34"/>
        <v>0.22191512057640786</v>
      </c>
      <c r="P281" s="8">
        <f t="shared" si="35"/>
        <v>-12.08012811768279</v>
      </c>
    </row>
    <row r="282" spans="1:16" x14ac:dyDescent="0.2">
      <c r="A282" s="8">
        <v>140</v>
      </c>
      <c r="B282" s="8">
        <v>280</v>
      </c>
      <c r="D282">
        <v>2078.0844079719</v>
      </c>
      <c r="E282">
        <v>474.48300117232998</v>
      </c>
      <c r="F282">
        <v>141.05971896956001</v>
      </c>
      <c r="G282">
        <v>117.1018735363</v>
      </c>
      <c r="I282" s="9">
        <f t="shared" si="32"/>
        <v>357.38112763602999</v>
      </c>
      <c r="J282" s="9">
        <f t="shared" si="33"/>
        <v>1937.02468900234</v>
      </c>
      <c r="K282" s="9">
        <f t="shared" si="31"/>
        <v>357.38112763602999</v>
      </c>
      <c r="L282" s="10">
        <f t="shared" si="30"/>
        <v>0.18450003743633145</v>
      </c>
      <c r="M282" s="10">
        <f t="shared" si="34"/>
        <v>0.2250387092633323</v>
      </c>
      <c r="P282" s="8">
        <f t="shared" si="35"/>
        <v>-10.842603083543009</v>
      </c>
    </row>
    <row r="283" spans="1:16" x14ac:dyDescent="0.2">
      <c r="A283" s="8">
        <v>140.5</v>
      </c>
      <c r="B283" s="8">
        <v>281</v>
      </c>
      <c r="D283">
        <v>2117.5656506447999</v>
      </c>
      <c r="E283">
        <v>482.17526377490998</v>
      </c>
      <c r="F283">
        <v>140.71955503513001</v>
      </c>
      <c r="G283">
        <v>117.19028103045</v>
      </c>
      <c r="I283" s="9">
        <f t="shared" si="32"/>
        <v>364.98498274446001</v>
      </c>
      <c r="J283" s="9">
        <f t="shared" si="33"/>
        <v>1976.8460956096699</v>
      </c>
      <c r="K283" s="9">
        <f t="shared" si="31"/>
        <v>364.98498274446001</v>
      </c>
      <c r="L283" s="10">
        <f t="shared" si="30"/>
        <v>0.18462994340077682</v>
      </c>
      <c r="M283" s="10">
        <f t="shared" si="34"/>
        <v>0.22531339619858839</v>
      </c>
      <c r="P283" s="8">
        <f t="shared" si="35"/>
        <v>-10.733775708045869</v>
      </c>
    </row>
    <row r="284" spans="1:16" x14ac:dyDescent="0.2">
      <c r="A284" s="8">
        <v>141</v>
      </c>
      <c r="B284" s="8">
        <v>282</v>
      </c>
      <c r="D284">
        <v>2098.0885111371999</v>
      </c>
      <c r="E284">
        <v>481.04044548652001</v>
      </c>
      <c r="F284">
        <v>141.06147540984</v>
      </c>
      <c r="G284">
        <v>117.18149882904</v>
      </c>
      <c r="I284" s="9">
        <f t="shared" si="32"/>
        <v>363.85894665748003</v>
      </c>
      <c r="J284" s="9">
        <f t="shared" si="33"/>
        <v>1957.0270357273598</v>
      </c>
      <c r="K284" s="9">
        <f t="shared" si="31"/>
        <v>363.85894665748003</v>
      </c>
      <c r="L284" s="10">
        <f t="shared" si="30"/>
        <v>0.18592433319258983</v>
      </c>
      <c r="M284" s="10">
        <f t="shared" si="34"/>
        <v>0.22675256696121213</v>
      </c>
      <c r="P284" s="8">
        <f t="shared" si="35"/>
        <v>-10.16359505186526</v>
      </c>
    </row>
    <row r="285" spans="1:16" x14ac:dyDescent="0.2">
      <c r="A285" s="8">
        <v>141.5</v>
      </c>
      <c r="B285" s="8">
        <v>283</v>
      </c>
      <c r="D285">
        <v>2117.1606096131</v>
      </c>
      <c r="E285">
        <v>488.44724501758998</v>
      </c>
      <c r="F285">
        <v>141.33021077282999</v>
      </c>
      <c r="G285">
        <v>117.06967213115</v>
      </c>
      <c r="I285" s="9">
        <f t="shared" si="32"/>
        <v>371.37757288643996</v>
      </c>
      <c r="J285" s="9">
        <f t="shared" si="33"/>
        <v>1975.8303988402699</v>
      </c>
      <c r="K285" s="9">
        <f t="shared" si="31"/>
        <v>371.37757288643996</v>
      </c>
      <c r="L285" s="10">
        <f t="shared" si="30"/>
        <v>0.18796024856405849</v>
      </c>
      <c r="M285" s="10">
        <f t="shared" si="34"/>
        <v>0.22893326330349151</v>
      </c>
      <c r="P285" s="8">
        <f t="shared" si="35"/>
        <v>-9.2996316476166179</v>
      </c>
    </row>
    <row r="286" spans="1:16" x14ac:dyDescent="0.2">
      <c r="A286" s="8">
        <v>142</v>
      </c>
      <c r="B286" s="8">
        <v>284</v>
      </c>
      <c r="D286">
        <v>2040.8546307151</v>
      </c>
      <c r="E286">
        <v>478.54630715123</v>
      </c>
      <c r="F286">
        <v>141.17740046838</v>
      </c>
      <c r="G286">
        <v>116.86885245902</v>
      </c>
      <c r="I286" s="9">
        <f t="shared" si="32"/>
        <v>361.67745469221001</v>
      </c>
      <c r="J286" s="9">
        <f t="shared" si="33"/>
        <v>1899.67723024672</v>
      </c>
      <c r="K286" s="9">
        <f t="shared" si="31"/>
        <v>361.67745469221001</v>
      </c>
      <c r="L286" s="10">
        <f t="shared" si="30"/>
        <v>0.19038889814204765</v>
      </c>
      <c r="M286" s="10">
        <f t="shared" si="34"/>
        <v>0.23150669385229139</v>
      </c>
      <c r="P286" s="8">
        <f t="shared" si="35"/>
        <v>-8.2800720810542092</v>
      </c>
    </row>
    <row r="287" spans="1:16" x14ac:dyDescent="0.2">
      <c r="A287" s="8">
        <v>142.5</v>
      </c>
      <c r="B287" s="8">
        <v>285</v>
      </c>
      <c r="D287">
        <v>2047.1108531631</v>
      </c>
      <c r="E287">
        <v>473.54788160186001</v>
      </c>
      <c r="F287">
        <v>141.24238875878001</v>
      </c>
      <c r="G287">
        <v>117.05269320843</v>
      </c>
      <c r="I287" s="9">
        <f t="shared" si="32"/>
        <v>356.49518839343</v>
      </c>
      <c r="J287" s="9">
        <f t="shared" si="33"/>
        <v>1905.8684644043201</v>
      </c>
      <c r="K287" s="9">
        <f t="shared" si="31"/>
        <v>356.49518839343</v>
      </c>
      <c r="L287" s="10">
        <f t="shared" si="30"/>
        <v>0.18705130760681993</v>
      </c>
      <c r="M287" s="10">
        <f t="shared" si="34"/>
        <v>0.22831388428787436</v>
      </c>
      <c r="P287" s="8">
        <f t="shared" si="35"/>
        <v>-9.5450215226202264</v>
      </c>
    </row>
    <row r="288" spans="1:16" x14ac:dyDescent="0.2">
      <c r="A288" s="8">
        <v>143</v>
      </c>
      <c r="B288" s="8">
        <v>286</v>
      </c>
      <c r="D288">
        <v>1942.9239698201</v>
      </c>
      <c r="E288">
        <v>459.72896111434</v>
      </c>
      <c r="F288">
        <v>141.52517564403001</v>
      </c>
      <c r="G288">
        <v>116.92154566745</v>
      </c>
      <c r="I288" s="9">
        <f t="shared" si="32"/>
        <v>342.80741544688999</v>
      </c>
      <c r="J288" s="9">
        <f t="shared" si="33"/>
        <v>1801.3987941760699</v>
      </c>
      <c r="K288" s="9">
        <f t="shared" si="31"/>
        <v>342.80741544688999</v>
      </c>
      <c r="L288" s="10">
        <f t="shared" si="30"/>
        <v>0.19030067998001765</v>
      </c>
      <c r="M288" s="10">
        <f t="shared" si="34"/>
        <v>0.2317080376318828</v>
      </c>
      <c r="P288" s="8">
        <f t="shared" si="35"/>
        <v>-8.2003023057455309</v>
      </c>
    </row>
    <row r="289" spans="1:16" x14ac:dyDescent="0.2">
      <c r="A289" s="8">
        <v>143.5</v>
      </c>
      <c r="B289" s="8">
        <v>287</v>
      </c>
      <c r="D289">
        <v>1907.1938479395999</v>
      </c>
      <c r="E289">
        <v>454.26697620430002</v>
      </c>
      <c r="F289">
        <v>140.73594847774999</v>
      </c>
      <c r="G289">
        <v>117.29449648712</v>
      </c>
      <c r="I289" s="9">
        <f t="shared" si="32"/>
        <v>336.97247971718002</v>
      </c>
      <c r="J289" s="9">
        <f t="shared" si="33"/>
        <v>1766.4578994618498</v>
      </c>
      <c r="K289" s="9">
        <f t="shared" si="31"/>
        <v>336.97247971718002</v>
      </c>
      <c r="L289" s="10">
        <f t="shared" si="30"/>
        <v>0.19076168179260794</v>
      </c>
      <c r="M289" s="10">
        <f t="shared" si="34"/>
        <v>0.23231382041528381</v>
      </c>
      <c r="P289" s="8">
        <f t="shared" si="35"/>
        <v>-7.960299080337589</v>
      </c>
    </row>
    <row r="290" spans="1:16" x14ac:dyDescent="0.2">
      <c r="A290" s="8">
        <v>144</v>
      </c>
      <c r="B290" s="8">
        <v>288</v>
      </c>
      <c r="D290">
        <v>1930.0389534884</v>
      </c>
      <c r="E290">
        <v>457.23139534884001</v>
      </c>
      <c r="F290">
        <v>141.17915690867</v>
      </c>
      <c r="G290">
        <v>117.11592505855</v>
      </c>
      <c r="I290" s="9">
        <f t="shared" si="32"/>
        <v>340.11547029028998</v>
      </c>
      <c r="J290" s="9">
        <f t="shared" si="33"/>
        <v>1788.8597965797301</v>
      </c>
      <c r="K290" s="9">
        <f t="shared" si="31"/>
        <v>340.11547029028998</v>
      </c>
      <c r="L290" s="10">
        <f t="shared" si="30"/>
        <v>0.19012975244934513</v>
      </c>
      <c r="M290" s="10">
        <f t="shared" si="34"/>
        <v>0.23182667204283172</v>
      </c>
      <c r="P290" s="8">
        <f t="shared" si="35"/>
        <v>-8.1533009018557401</v>
      </c>
    </row>
    <row r="291" spans="1:16" x14ac:dyDescent="0.2">
      <c r="A291" s="8">
        <v>144.5</v>
      </c>
      <c r="B291" s="8">
        <v>289</v>
      </c>
      <c r="D291">
        <v>1852.3872093023001</v>
      </c>
      <c r="E291">
        <v>443.14883720929998</v>
      </c>
      <c r="F291">
        <v>140.75175644027999</v>
      </c>
      <c r="G291">
        <v>117.24941451991</v>
      </c>
      <c r="I291" s="9">
        <f t="shared" si="32"/>
        <v>325.89942268939001</v>
      </c>
      <c r="J291" s="9">
        <f t="shared" si="33"/>
        <v>1711.6354528620202</v>
      </c>
      <c r="K291" s="9">
        <f t="shared" si="31"/>
        <v>325.89942268939001</v>
      </c>
      <c r="L291" s="10">
        <f t="shared" si="30"/>
        <v>0.19040235591314414</v>
      </c>
      <c r="M291" s="10">
        <f t="shared" si="34"/>
        <v>0.23224405647744145</v>
      </c>
      <c r="P291" s="8">
        <f t="shared" si="35"/>
        <v>-7.987938641180377</v>
      </c>
    </row>
    <row r="292" spans="1:16" x14ac:dyDescent="0.2">
      <c r="A292" s="8">
        <v>145</v>
      </c>
      <c r="B292" s="8">
        <v>290</v>
      </c>
      <c r="D292">
        <v>1826.3955659277001</v>
      </c>
      <c r="E292">
        <v>434.14585764293997</v>
      </c>
      <c r="F292">
        <v>141.00936768150001</v>
      </c>
      <c r="G292">
        <v>117.1762295082</v>
      </c>
      <c r="I292" s="9">
        <f>E292-G292</f>
        <v>316.96962813473999</v>
      </c>
      <c r="J292" s="9">
        <f>D292-F292</f>
        <v>1685.3861982462001</v>
      </c>
      <c r="K292" s="9">
        <f t="shared" si="31"/>
        <v>316.96962813473999</v>
      </c>
      <c r="L292" s="10">
        <f t="shared" si="30"/>
        <v>0.18806943385710417</v>
      </c>
      <c r="M292" s="10">
        <f>L292+ABS($N$2)*A292</f>
        <v>0.23005591539221221</v>
      </c>
      <c r="O292" s="11"/>
      <c r="P292" s="8">
        <f>(M292-$O$2)/$O$2*100</f>
        <v>-8.8548515553346459</v>
      </c>
    </row>
    <row r="293" spans="1:16" x14ac:dyDescent="0.2">
      <c r="A293" s="8">
        <v>145.5</v>
      </c>
      <c r="B293" s="8">
        <v>291</v>
      </c>
      <c r="D293">
        <v>1855.3273045507999</v>
      </c>
      <c r="E293">
        <v>437.60501750292002</v>
      </c>
      <c r="F293">
        <v>140.65749414519999</v>
      </c>
      <c r="G293">
        <v>117.23653395785</v>
      </c>
      <c r="I293" s="9">
        <f t="shared" ref="I293:I301" si="36">E293-G293</f>
        <v>320.36848354507003</v>
      </c>
      <c r="J293" s="9">
        <f t="shared" ref="J293:J301" si="37">D293-F293</f>
        <v>1714.6698104055999</v>
      </c>
      <c r="K293" s="9">
        <f t="shared" si="31"/>
        <v>320.36848354507003</v>
      </c>
      <c r="L293" s="10">
        <f t="shared" si="30"/>
        <v>0.18683975282056656</v>
      </c>
      <c r="M293" s="10">
        <f t="shared" ref="M293:M301" si="38">L293+ABS($N$2)*A293</f>
        <v>0.22897101532648531</v>
      </c>
      <c r="P293" s="8">
        <f t="shared" ref="P293:P301" si="39">(M293-$O$2)/$O$2*100</f>
        <v>-9.2846747892633328</v>
      </c>
    </row>
    <row r="294" spans="1:16" x14ac:dyDescent="0.2">
      <c r="A294" s="8">
        <v>146</v>
      </c>
      <c r="B294" s="8">
        <v>292</v>
      </c>
      <c r="D294">
        <v>1840.4562427071</v>
      </c>
      <c r="E294">
        <v>436.11318553092002</v>
      </c>
      <c r="F294">
        <v>141.25175644027999</v>
      </c>
      <c r="G294">
        <v>117.26697892272</v>
      </c>
      <c r="I294" s="9">
        <f t="shared" si="36"/>
        <v>318.84620660820002</v>
      </c>
      <c r="J294" s="9">
        <f t="shared" si="37"/>
        <v>1699.2044862668201</v>
      </c>
      <c r="K294" s="9">
        <f t="shared" si="31"/>
        <v>318.84620660820002</v>
      </c>
      <c r="L294" s="10">
        <f t="shared" si="30"/>
        <v>0.18764440017970427</v>
      </c>
      <c r="M294" s="10">
        <f t="shared" si="38"/>
        <v>0.22992044365643374</v>
      </c>
      <c r="N294" s="1"/>
      <c r="P294" s="8">
        <f t="shared" si="39"/>
        <v>-8.9085236873749523</v>
      </c>
    </row>
    <row r="295" spans="1:16" x14ac:dyDescent="0.2">
      <c r="A295" s="8">
        <v>146.5</v>
      </c>
      <c r="B295" s="8">
        <v>293</v>
      </c>
      <c r="D295">
        <v>1917.8512252042001</v>
      </c>
      <c r="E295">
        <v>440.83722287047999</v>
      </c>
      <c r="F295">
        <v>140.76873536299999</v>
      </c>
      <c r="G295">
        <v>117.01580796253</v>
      </c>
      <c r="I295" s="9">
        <f t="shared" si="36"/>
        <v>323.82141490794999</v>
      </c>
      <c r="J295" s="9">
        <f t="shared" si="37"/>
        <v>1777.0824898412002</v>
      </c>
      <c r="K295" s="9">
        <f t="shared" si="31"/>
        <v>323.82141490794999</v>
      </c>
      <c r="L295" s="10">
        <f t="shared" si="30"/>
        <v>0.18222081234781995</v>
      </c>
      <c r="M295" s="10">
        <f t="shared" si="38"/>
        <v>0.22464163679536014</v>
      </c>
      <c r="P295" s="8">
        <f t="shared" si="39"/>
        <v>-10.999918008372962</v>
      </c>
    </row>
    <row r="296" spans="1:16" x14ac:dyDescent="0.2">
      <c r="A296" s="8">
        <v>147</v>
      </c>
      <c r="B296" s="8">
        <v>294</v>
      </c>
      <c r="D296">
        <v>1906.4401179941001</v>
      </c>
      <c r="E296">
        <v>452.51622418878998</v>
      </c>
      <c r="F296">
        <v>140.46428571429001</v>
      </c>
      <c r="G296">
        <v>116.93793911007</v>
      </c>
      <c r="I296" s="9">
        <f t="shared" si="36"/>
        <v>335.57828507872</v>
      </c>
      <c r="J296" s="9">
        <f t="shared" si="37"/>
        <v>1765.97583227981</v>
      </c>
      <c r="K296" s="9">
        <f t="shared" si="31"/>
        <v>335.57828507872</v>
      </c>
      <c r="L296" s="10">
        <f t="shared" si="30"/>
        <v>0.19002427946338357</v>
      </c>
      <c r="M296" s="10">
        <f t="shared" si="38"/>
        <v>0.23258988488173449</v>
      </c>
      <c r="P296" s="8">
        <f t="shared" si="39"/>
        <v>-7.8509259449759243</v>
      </c>
    </row>
    <row r="297" spans="1:16" x14ac:dyDescent="0.2">
      <c r="A297" s="8">
        <v>147.5</v>
      </c>
      <c r="B297" s="8">
        <v>295</v>
      </c>
      <c r="D297">
        <v>1890.6454277286</v>
      </c>
      <c r="E297">
        <v>451.19882005900001</v>
      </c>
      <c r="F297">
        <v>140.99824355972001</v>
      </c>
      <c r="G297">
        <v>117.09601873536</v>
      </c>
      <c r="I297" s="9">
        <f t="shared" si="36"/>
        <v>334.10280132363999</v>
      </c>
      <c r="J297" s="9">
        <f t="shared" si="37"/>
        <v>1749.6471841688799</v>
      </c>
      <c r="K297" s="9">
        <f t="shared" si="31"/>
        <v>334.10280132363999</v>
      </c>
      <c r="L297" s="10">
        <f t="shared" si="30"/>
        <v>0.19095438460202821</v>
      </c>
      <c r="M297" s="10">
        <f t="shared" si="38"/>
        <v>0.23366477099118982</v>
      </c>
      <c r="P297" s="8">
        <f t="shared" si="39"/>
        <v>-7.4250701097091403</v>
      </c>
    </row>
    <row r="298" spans="1:16" x14ac:dyDescent="0.2">
      <c r="A298" s="8">
        <v>148</v>
      </c>
      <c r="B298" s="8">
        <v>296</v>
      </c>
      <c r="D298">
        <v>1887.6312684366001</v>
      </c>
      <c r="E298">
        <v>453.86725663716999</v>
      </c>
      <c r="F298">
        <v>140.66276346603999</v>
      </c>
      <c r="G298">
        <v>116.89519906323</v>
      </c>
      <c r="I298" s="9">
        <f t="shared" si="36"/>
        <v>336.97205757393999</v>
      </c>
      <c r="J298" s="9">
        <f t="shared" si="37"/>
        <v>1746.9685049705602</v>
      </c>
      <c r="K298" s="9">
        <f t="shared" si="31"/>
        <v>336.97205757393999</v>
      </c>
      <c r="L298" s="10">
        <f t="shared" si="30"/>
        <v>0.19288960082289441</v>
      </c>
      <c r="M298" s="10">
        <f t="shared" si="38"/>
        <v>0.23574476818286674</v>
      </c>
      <c r="P298" s="8">
        <f t="shared" si="39"/>
        <v>-6.6010023934903641</v>
      </c>
    </row>
    <row r="299" spans="1:16" x14ac:dyDescent="0.2">
      <c r="A299" s="8">
        <v>148.5</v>
      </c>
      <c r="B299" s="8">
        <v>297</v>
      </c>
      <c r="D299">
        <v>1905.7032448378</v>
      </c>
      <c r="E299">
        <v>455.79882005899998</v>
      </c>
      <c r="F299">
        <v>140.70960187354001</v>
      </c>
      <c r="G299">
        <v>116.86416861827</v>
      </c>
      <c r="I299" s="9">
        <f t="shared" si="36"/>
        <v>338.93465144072997</v>
      </c>
      <c r="J299" s="9">
        <f t="shared" si="37"/>
        <v>1764.9936429642598</v>
      </c>
      <c r="K299" s="9">
        <f t="shared" si="31"/>
        <v>338.93465144072997</v>
      </c>
      <c r="L299" s="10">
        <f t="shared" si="30"/>
        <v>0.19203165563333036</v>
      </c>
      <c r="M299" s="10">
        <f t="shared" si="38"/>
        <v>0.23503160396411341</v>
      </c>
      <c r="P299" s="8">
        <f t="shared" si="39"/>
        <v>-6.8835487408549989</v>
      </c>
    </row>
    <row r="300" spans="1:16" x14ac:dyDescent="0.2">
      <c r="A300" s="8">
        <v>149</v>
      </c>
      <c r="B300" s="8">
        <v>298</v>
      </c>
      <c r="D300">
        <v>1891.5404129793999</v>
      </c>
      <c r="E300">
        <v>455.85368731563</v>
      </c>
      <c r="F300">
        <v>140.39110070257999</v>
      </c>
      <c r="G300">
        <v>117.16920374707</v>
      </c>
      <c r="I300" s="9">
        <f t="shared" si="36"/>
        <v>338.68448356855998</v>
      </c>
      <c r="J300" s="9">
        <f t="shared" si="37"/>
        <v>1751.14931227682</v>
      </c>
      <c r="K300" s="9">
        <f t="shared" si="31"/>
        <v>338.68448356855998</v>
      </c>
      <c r="L300" s="10">
        <f t="shared" si="30"/>
        <v>0.19340697060732481</v>
      </c>
      <c r="M300" s="10">
        <f t="shared" si="38"/>
        <v>0.23655169990891858</v>
      </c>
      <c r="P300" s="8">
        <f t="shared" si="39"/>
        <v>-6.2813065846244349</v>
      </c>
    </row>
    <row r="301" spans="1:16" x14ac:dyDescent="0.2">
      <c r="A301" s="8">
        <v>149.5</v>
      </c>
      <c r="B301" s="8">
        <v>299</v>
      </c>
      <c r="D301">
        <v>1896.8194690266</v>
      </c>
      <c r="E301">
        <v>460.06253687316001</v>
      </c>
      <c r="F301">
        <v>140.67857142857</v>
      </c>
      <c r="G301">
        <v>116.95901639344</v>
      </c>
      <c r="I301" s="9">
        <f t="shared" si="36"/>
        <v>343.10352047972003</v>
      </c>
      <c r="J301" s="9">
        <f t="shared" si="37"/>
        <v>1756.1408975980301</v>
      </c>
      <c r="K301" s="9">
        <f t="shared" si="31"/>
        <v>343.10352047972003</v>
      </c>
      <c r="L301" s="10">
        <f t="shared" si="30"/>
        <v>0.19537357221678595</v>
      </c>
      <c r="M301" s="10">
        <f t="shared" si="38"/>
        <v>0.23866308248919044</v>
      </c>
      <c r="P301" s="8">
        <f t="shared" si="39"/>
        <v>-5.4448043874334946</v>
      </c>
    </row>
    <row r="302" spans="1:16" x14ac:dyDescent="0.2">
      <c r="A302" s="8">
        <v>150</v>
      </c>
      <c r="B302" s="8">
        <v>300</v>
      </c>
      <c r="D302">
        <v>1932.9663716814</v>
      </c>
      <c r="E302">
        <v>471.92448377581002</v>
      </c>
      <c r="F302">
        <v>140.9724824356</v>
      </c>
      <c r="G302">
        <v>116.86358313817</v>
      </c>
      <c r="I302" s="9">
        <f>E302-G302</f>
        <v>355.06090063764003</v>
      </c>
      <c r="J302" s="9">
        <f>D302-F302</f>
        <v>1791.9938892457999</v>
      </c>
      <c r="K302" s="9">
        <f t="shared" si="31"/>
        <v>355.06090063764003</v>
      </c>
      <c r="L302" s="10">
        <f t="shared" si="30"/>
        <v>0.19813733895436175</v>
      </c>
      <c r="M302" s="10">
        <f>L302+ABS($N$2)*A302</f>
        <v>0.24157163019757696</v>
      </c>
      <c r="O302" s="11"/>
      <c r="P302" s="8">
        <f>(M302-$O$2)/$O$2*100</f>
        <v>-4.2924757798976971</v>
      </c>
    </row>
    <row r="303" spans="1:16" x14ac:dyDescent="0.2">
      <c r="A303" s="8">
        <v>150.5</v>
      </c>
      <c r="B303" s="8">
        <v>301</v>
      </c>
      <c r="D303">
        <v>1933.5421828909</v>
      </c>
      <c r="E303">
        <v>472.90737463126999</v>
      </c>
      <c r="F303">
        <v>140.80210772833999</v>
      </c>
      <c r="G303">
        <v>116.82845433255</v>
      </c>
      <c r="I303" s="9">
        <f t="shared" ref="I303:I309" si="40">E303-G303</f>
        <v>356.07892029871999</v>
      </c>
      <c r="J303" s="9">
        <f t="shared" ref="J303:J309" si="41">D303-F303</f>
        <v>1792.7400751625601</v>
      </c>
      <c r="K303" s="9">
        <f t="shared" si="31"/>
        <v>356.07892029871999</v>
      </c>
      <c r="L303" s="10">
        <f t="shared" si="30"/>
        <v>0.19862272575483753</v>
      </c>
      <c r="M303" s="10">
        <f t="shared" ref="M303:M309" si="42">L303+ABS($N$2)*A303</f>
        <v>0.24220179796886346</v>
      </c>
      <c r="P303" s="8">
        <f t="shared" ref="P303:P309" si="43">(M303-$O$2)/$O$2*100</f>
        <v>-4.0428115408320329</v>
      </c>
    </row>
    <row r="304" spans="1:16" x14ac:dyDescent="0.2">
      <c r="A304" s="8">
        <v>151</v>
      </c>
      <c r="B304" s="8">
        <v>302</v>
      </c>
      <c r="D304">
        <v>1917.4648967552</v>
      </c>
      <c r="E304">
        <v>472.47315634218</v>
      </c>
      <c r="F304">
        <v>140.71545667447</v>
      </c>
      <c r="G304">
        <v>117.05971896956</v>
      </c>
      <c r="I304" s="9">
        <f t="shared" si="40"/>
        <v>355.41343737262002</v>
      </c>
      <c r="J304" s="9">
        <f t="shared" si="41"/>
        <v>1776.74944008073</v>
      </c>
      <c r="K304" s="9">
        <f t="shared" si="31"/>
        <v>355.41343737262002</v>
      </c>
      <c r="L304" s="10">
        <f t="shared" si="30"/>
        <v>0.20003576720219546</v>
      </c>
      <c r="M304" s="10">
        <f t="shared" si="42"/>
        <v>0.24375962038703208</v>
      </c>
      <c r="N304" s="1"/>
      <c r="P304" s="8">
        <f t="shared" si="43"/>
        <v>-3.4256226486779764</v>
      </c>
    </row>
    <row r="305" spans="1:16" x14ac:dyDescent="0.2">
      <c r="A305" s="8">
        <v>151.5</v>
      </c>
      <c r="B305" s="8">
        <v>303</v>
      </c>
      <c r="D305">
        <v>1929.005899705</v>
      </c>
      <c r="E305">
        <v>480.68908554571999</v>
      </c>
      <c r="F305">
        <v>140.85362997658001</v>
      </c>
      <c r="G305">
        <v>117.03220140515</v>
      </c>
      <c r="I305" s="9">
        <f t="shared" si="40"/>
        <v>363.65688414057001</v>
      </c>
      <c r="J305" s="9">
        <f t="shared" si="41"/>
        <v>1788.1522697284199</v>
      </c>
      <c r="K305" s="9">
        <f t="shared" si="31"/>
        <v>363.65688414057001</v>
      </c>
      <c r="L305" s="10">
        <f t="shared" si="30"/>
        <v>0.2033701996730968</v>
      </c>
      <c r="M305" s="10">
        <f t="shared" si="42"/>
        <v>0.24723883382874418</v>
      </c>
      <c r="P305" s="8">
        <f t="shared" si="43"/>
        <v>-2.0472037322380707</v>
      </c>
    </row>
    <row r="306" spans="1:16" x14ac:dyDescent="0.2">
      <c r="A306" s="8">
        <v>152</v>
      </c>
      <c r="B306" s="8">
        <v>304</v>
      </c>
      <c r="D306">
        <v>1939.2086705202</v>
      </c>
      <c r="E306">
        <v>476.67803468208001</v>
      </c>
      <c r="F306">
        <v>141.03688524590001</v>
      </c>
      <c r="G306">
        <v>117.10714285714</v>
      </c>
      <c r="I306" s="9">
        <f t="shared" si="40"/>
        <v>359.57089182494002</v>
      </c>
      <c r="J306" s="9">
        <f t="shared" si="41"/>
        <v>1798.1717852743</v>
      </c>
      <c r="K306" s="9">
        <f t="shared" si="31"/>
        <v>359.57089182494002</v>
      </c>
      <c r="L306" s="10">
        <f t="shared" si="30"/>
        <v>0.19996470569139183</v>
      </c>
      <c r="M306" s="10">
        <f t="shared" si="42"/>
        <v>0.24397812081784992</v>
      </c>
      <c r="P306" s="8">
        <f t="shared" si="43"/>
        <v>-3.3390556322717155</v>
      </c>
    </row>
    <row r="307" spans="1:16" x14ac:dyDescent="0.2">
      <c r="A307" s="8">
        <v>152.5</v>
      </c>
      <c r="B307" s="8">
        <v>305</v>
      </c>
      <c r="D307">
        <v>2080.5046242775002</v>
      </c>
      <c r="E307">
        <v>480.09479768786002</v>
      </c>
      <c r="F307">
        <v>140.85245901638999</v>
      </c>
      <c r="G307">
        <v>116.97892271663</v>
      </c>
      <c r="I307" s="9">
        <f t="shared" si="40"/>
        <v>363.11587497123003</v>
      </c>
      <c r="J307" s="9">
        <f t="shared" si="41"/>
        <v>1939.6521652611102</v>
      </c>
      <c r="K307" s="9">
        <f t="shared" si="31"/>
        <v>363.11587497123003</v>
      </c>
      <c r="L307" s="10">
        <f t="shared" si="30"/>
        <v>0.18720669688853642</v>
      </c>
      <c r="M307" s="10">
        <f t="shared" si="42"/>
        <v>0.2313648929858052</v>
      </c>
      <c r="P307" s="8">
        <f t="shared" si="43"/>
        <v>-8.3362517320031166</v>
      </c>
    </row>
    <row r="308" spans="1:16" x14ac:dyDescent="0.2">
      <c r="A308" s="8">
        <v>153</v>
      </c>
      <c r="B308" s="8">
        <v>306</v>
      </c>
      <c r="D308">
        <v>1969.3648569761001</v>
      </c>
      <c r="E308">
        <v>483.61821366024998</v>
      </c>
      <c r="F308">
        <v>141.11241217799</v>
      </c>
      <c r="G308">
        <v>117.01990632319</v>
      </c>
      <c r="I308" s="9">
        <f t="shared" si="40"/>
        <v>366.59830733705996</v>
      </c>
      <c r="J308" s="9">
        <f t="shared" si="41"/>
        <v>1828.25244479811</v>
      </c>
      <c r="K308" s="9">
        <f t="shared" si="31"/>
        <v>366.59830733705996</v>
      </c>
      <c r="L308" s="10">
        <f t="shared" si="30"/>
        <v>0.20051842861205232</v>
      </c>
      <c r="M308" s="10">
        <f t="shared" si="42"/>
        <v>0.24482140568013183</v>
      </c>
      <c r="P308" s="8">
        <f t="shared" si="43"/>
        <v>-3.0049571857145527</v>
      </c>
    </row>
    <row r="309" spans="1:16" x14ac:dyDescent="0.2">
      <c r="A309" s="8">
        <v>153.5</v>
      </c>
      <c r="B309" s="8">
        <v>307</v>
      </c>
      <c r="D309">
        <v>1948.5545826036</v>
      </c>
      <c r="E309">
        <v>474.71103327496002</v>
      </c>
      <c r="F309">
        <v>140.52693208431</v>
      </c>
      <c r="G309">
        <v>116.79508196721</v>
      </c>
      <c r="I309" s="9">
        <f t="shared" si="40"/>
        <v>357.91595130774999</v>
      </c>
      <c r="J309" s="9">
        <f t="shared" si="41"/>
        <v>1808.0276505192901</v>
      </c>
      <c r="K309" s="9">
        <f t="shared" si="31"/>
        <v>357.91595130774999</v>
      </c>
      <c r="L309" s="10">
        <f t="shared" si="30"/>
        <v>0.19795933497197993</v>
      </c>
      <c r="M309" s="10">
        <f t="shared" si="42"/>
        <v>0.24240709301087016</v>
      </c>
      <c r="P309" s="8">
        <f t="shared" si="43"/>
        <v>-3.9614763269699873</v>
      </c>
    </row>
    <row r="310" spans="1:16" x14ac:dyDescent="0.2">
      <c r="A310" s="8">
        <v>154</v>
      </c>
      <c r="B310" s="8">
        <v>308</v>
      </c>
      <c r="D310">
        <v>1977.3625218914001</v>
      </c>
      <c r="E310">
        <v>478.65323992995002</v>
      </c>
      <c r="F310">
        <v>140.64519906323</v>
      </c>
      <c r="G310">
        <v>116.88524590164</v>
      </c>
      <c r="I310" s="9">
        <f>E310-G310</f>
        <v>361.76799402831</v>
      </c>
      <c r="J310" s="9">
        <f>D310-F310</f>
        <v>1836.7173228281702</v>
      </c>
      <c r="K310" s="9">
        <f t="shared" si="31"/>
        <v>361.76799402831</v>
      </c>
      <c r="L310" s="10">
        <f t="shared" si="30"/>
        <v>0.19696443733173979</v>
      </c>
      <c r="M310" s="10">
        <f>L310+ABS($N$2)*A310</f>
        <v>0.24155697634144074</v>
      </c>
      <c r="O310" s="11"/>
      <c r="P310" s="8">
        <f>(M310-$O$2)/$O$2*100</f>
        <v>-4.2982814462746974</v>
      </c>
    </row>
    <row r="311" spans="1:16" x14ac:dyDescent="0.2">
      <c r="A311" s="8">
        <v>154.5</v>
      </c>
      <c r="B311" s="8">
        <v>309</v>
      </c>
      <c r="D311">
        <v>1909.1476941039</v>
      </c>
      <c r="E311">
        <v>488.33858727378998</v>
      </c>
      <c r="F311">
        <v>140.67857142857</v>
      </c>
      <c r="G311">
        <v>116.81674473068</v>
      </c>
      <c r="I311" s="9">
        <f t="shared" ref="I311:I319" si="44">E311-G311</f>
        <v>371.52184254310998</v>
      </c>
      <c r="J311" s="9">
        <f t="shared" ref="J311:J319" si="45">D311-F311</f>
        <v>1768.46912267533</v>
      </c>
      <c r="K311" s="9">
        <f t="shared" si="31"/>
        <v>371.52184254310998</v>
      </c>
      <c r="L311" s="10">
        <f t="shared" si="30"/>
        <v>0.21008104567925612</v>
      </c>
      <c r="M311" s="10">
        <f t="shared" ref="M311:M319" si="46">L311+ABS($N$2)*A311</f>
        <v>0.25481836565976779</v>
      </c>
      <c r="P311" s="8">
        <f t="shared" ref="P311:P319" si="47">(M311-$O$2)/$O$2*100</f>
        <v>0.955707767350778</v>
      </c>
    </row>
    <row r="312" spans="1:16" x14ac:dyDescent="0.2">
      <c r="A312" s="8">
        <v>155</v>
      </c>
      <c r="B312" s="8">
        <v>310</v>
      </c>
      <c r="D312">
        <v>1987.0175131348999</v>
      </c>
      <c r="E312">
        <v>499.43899591360002</v>
      </c>
      <c r="F312">
        <v>140.69847775176001</v>
      </c>
      <c r="G312">
        <v>117.02283372365</v>
      </c>
      <c r="I312" s="9">
        <f t="shared" si="44"/>
        <v>382.41616218995</v>
      </c>
      <c r="J312" s="9">
        <f t="shared" si="45"/>
        <v>1846.3190353831399</v>
      </c>
      <c r="K312" s="9">
        <f t="shared" si="31"/>
        <v>382.41616218995</v>
      </c>
      <c r="L312" s="10">
        <f t="shared" si="30"/>
        <v>0.20712355495516663</v>
      </c>
      <c r="M312" s="10">
        <f t="shared" si="46"/>
        <v>0.25200565590648899</v>
      </c>
      <c r="N312" s="1"/>
      <c r="P312" s="8">
        <f t="shared" si="47"/>
        <v>-0.1586510943080881</v>
      </c>
    </row>
    <row r="313" spans="1:16" x14ac:dyDescent="0.2">
      <c r="A313" s="8">
        <v>155.5</v>
      </c>
      <c r="B313" s="8">
        <v>311</v>
      </c>
      <c r="D313">
        <v>1953.9410391127001</v>
      </c>
      <c r="E313">
        <v>502.48686514885998</v>
      </c>
      <c r="F313">
        <v>140.60421545667</v>
      </c>
      <c r="G313">
        <v>116.77107728337</v>
      </c>
      <c r="I313" s="9">
        <f t="shared" si="44"/>
        <v>385.71578786548997</v>
      </c>
      <c r="J313" s="9">
        <f t="shared" si="45"/>
        <v>1813.33682365603</v>
      </c>
      <c r="K313" s="9">
        <f t="shared" si="31"/>
        <v>385.71578786548997</v>
      </c>
      <c r="L313" s="10">
        <f t="shared" si="30"/>
        <v>0.21271050299845232</v>
      </c>
      <c r="M313" s="10">
        <f t="shared" si="46"/>
        <v>0.2577373849205854</v>
      </c>
      <c r="P313" s="8">
        <f t="shared" si="47"/>
        <v>2.112185067169277</v>
      </c>
    </row>
    <row r="314" spans="1:16" x14ac:dyDescent="0.2">
      <c r="A314" s="8">
        <v>156</v>
      </c>
      <c r="B314" s="8">
        <v>312</v>
      </c>
      <c r="D314">
        <v>1926.5750145943</v>
      </c>
      <c r="E314">
        <v>507.22066549912</v>
      </c>
      <c r="F314">
        <v>141.10304449649001</v>
      </c>
      <c r="G314">
        <v>116.72072599532</v>
      </c>
      <c r="I314" s="9">
        <f t="shared" si="44"/>
        <v>390.49993950380002</v>
      </c>
      <c r="J314" s="9">
        <f t="shared" si="45"/>
        <v>1785.4719700978101</v>
      </c>
      <c r="K314" s="9">
        <f t="shared" si="31"/>
        <v>390.49993950380002</v>
      </c>
      <c r="L314" s="10">
        <f t="shared" si="30"/>
        <v>0.21870964430901035</v>
      </c>
      <c r="M314" s="10">
        <f t="shared" si="46"/>
        <v>0.26388130720195418</v>
      </c>
      <c r="P314" s="8">
        <f t="shared" si="47"/>
        <v>4.5463268166354665</v>
      </c>
    </row>
    <row r="315" spans="1:16" x14ac:dyDescent="0.2">
      <c r="A315" s="8">
        <v>156.5</v>
      </c>
      <c r="B315" s="8">
        <v>313</v>
      </c>
      <c r="D315">
        <v>1922.7075306480001</v>
      </c>
      <c r="E315">
        <v>517.91418563923003</v>
      </c>
      <c r="F315">
        <v>140.79039812645999</v>
      </c>
      <c r="G315">
        <v>116.93911007026</v>
      </c>
      <c r="I315" s="9">
        <f t="shared" si="44"/>
        <v>400.97507556897006</v>
      </c>
      <c r="J315" s="9">
        <f t="shared" si="45"/>
        <v>1781.9171325215402</v>
      </c>
      <c r="K315" s="9">
        <f t="shared" si="31"/>
        <v>400.97507556897006</v>
      </c>
      <c r="L315" s="10">
        <f t="shared" si="30"/>
        <v>0.22502453579396345</v>
      </c>
      <c r="M315" s="10">
        <f t="shared" si="46"/>
        <v>0.27034097965771797</v>
      </c>
      <c r="P315" s="8">
        <f t="shared" si="47"/>
        <v>7.1055646605341636</v>
      </c>
    </row>
    <row r="316" spans="1:16" x14ac:dyDescent="0.2">
      <c r="A316" s="8">
        <v>157</v>
      </c>
      <c r="B316" s="8">
        <v>314</v>
      </c>
      <c r="D316">
        <v>1967.7151196730999</v>
      </c>
      <c r="E316">
        <v>515.90951546993995</v>
      </c>
      <c r="F316">
        <v>140.57318501171</v>
      </c>
      <c r="G316">
        <v>116.61358313817</v>
      </c>
      <c r="I316" s="9">
        <f t="shared" si="44"/>
        <v>399.29593233176996</v>
      </c>
      <c r="J316" s="9">
        <f t="shared" si="45"/>
        <v>1827.14193466139</v>
      </c>
      <c r="K316" s="9">
        <f t="shared" si="31"/>
        <v>399.29593233176996</v>
      </c>
      <c r="L316" s="10">
        <f t="shared" si="30"/>
        <v>0.2185358043384672</v>
      </c>
      <c r="M316" s="10">
        <f t="shared" si="46"/>
        <v>0.26399702917303247</v>
      </c>
      <c r="P316" s="8">
        <f t="shared" si="47"/>
        <v>4.5921743498938818</v>
      </c>
    </row>
    <row r="317" spans="1:16" x14ac:dyDescent="0.2">
      <c r="A317" s="8">
        <v>157.5</v>
      </c>
      <c r="B317" s="8">
        <v>315</v>
      </c>
      <c r="D317">
        <v>1968.1210526315999</v>
      </c>
      <c r="E317">
        <v>504.96666666666999</v>
      </c>
      <c r="F317">
        <v>140.86358313816999</v>
      </c>
      <c r="G317">
        <v>116.67037470726</v>
      </c>
      <c r="I317" s="9">
        <f t="shared" si="44"/>
        <v>388.29629195940998</v>
      </c>
      <c r="J317" s="9">
        <f t="shared" si="45"/>
        <v>1827.2574694934299</v>
      </c>
      <c r="K317" s="9">
        <f t="shared" si="31"/>
        <v>388.29629195940998</v>
      </c>
      <c r="L317" s="10">
        <f t="shared" si="30"/>
        <v>0.2125022326859374</v>
      </c>
      <c r="M317" s="10">
        <f t="shared" si="46"/>
        <v>0.25810823849131337</v>
      </c>
      <c r="P317" s="8">
        <f t="shared" si="47"/>
        <v>2.2591124074100537</v>
      </c>
    </row>
    <row r="318" spans="1:16" x14ac:dyDescent="0.2">
      <c r="A318" s="8">
        <v>158</v>
      </c>
      <c r="B318" s="8">
        <v>316</v>
      </c>
      <c r="D318">
        <v>2026.3851981352</v>
      </c>
      <c r="E318">
        <v>507.42307692307998</v>
      </c>
      <c r="F318">
        <v>140.86533957845</v>
      </c>
      <c r="G318">
        <v>116.76112412178</v>
      </c>
      <c r="I318" s="9">
        <f t="shared" si="44"/>
        <v>390.6619528013</v>
      </c>
      <c r="J318" s="9">
        <f t="shared" si="45"/>
        <v>1885.51985855675</v>
      </c>
      <c r="K318" s="9">
        <f t="shared" si="31"/>
        <v>390.6619528013</v>
      </c>
      <c r="L318" s="10">
        <f t="shared" si="30"/>
        <v>0.20719057984376138</v>
      </c>
      <c r="M318" s="10">
        <f t="shared" si="46"/>
        <v>0.25294136661994804</v>
      </c>
      <c r="P318" s="8">
        <f t="shared" si="47"/>
        <v>0.21206526712121568</v>
      </c>
    </row>
    <row r="319" spans="1:16" x14ac:dyDescent="0.2">
      <c r="A319" s="8">
        <v>158.5</v>
      </c>
      <c r="B319" s="8">
        <v>317</v>
      </c>
      <c r="D319">
        <v>1985.7645687646</v>
      </c>
      <c r="E319">
        <v>491.96969696970001</v>
      </c>
      <c r="F319">
        <v>140.46487119438001</v>
      </c>
      <c r="G319">
        <v>117.19789227166</v>
      </c>
      <c r="I319" s="9">
        <f t="shared" si="44"/>
        <v>374.77180469804</v>
      </c>
      <c r="J319" s="9">
        <f t="shared" si="45"/>
        <v>1845.2996975702199</v>
      </c>
      <c r="K319" s="9">
        <f t="shared" si="31"/>
        <v>374.77180469804</v>
      </c>
      <c r="L319" s="10">
        <f t="shared" si="30"/>
        <v>0.20309535908531121</v>
      </c>
      <c r="M319" s="10">
        <f t="shared" si="46"/>
        <v>0.24899092683230861</v>
      </c>
      <c r="P319" s="8">
        <f t="shared" si="47"/>
        <v>-1.3530473719180869</v>
      </c>
    </row>
    <row r="320" spans="1:16" x14ac:dyDescent="0.2">
      <c r="A320" s="8">
        <v>159</v>
      </c>
      <c r="B320" s="8">
        <v>318</v>
      </c>
      <c r="D320">
        <v>1947.5850815850999</v>
      </c>
      <c r="E320">
        <v>502.51573426572998</v>
      </c>
      <c r="F320">
        <v>140.38407494145</v>
      </c>
      <c r="G320">
        <v>116.76639344262</v>
      </c>
      <c r="I320" s="9">
        <f>E320-G320</f>
        <v>385.74934082310995</v>
      </c>
      <c r="J320" s="9">
        <f>D320-F320</f>
        <v>1807.2010066436499</v>
      </c>
      <c r="K320" s="9">
        <f t="shared" si="31"/>
        <v>385.74934082310995</v>
      </c>
      <c r="L320" s="10">
        <f t="shared" si="30"/>
        <v>0.21345126491464672</v>
      </c>
      <c r="M320" s="10">
        <f>L320+ABS($N$2)*A320</f>
        <v>0.25949161363245482</v>
      </c>
      <c r="O320" s="11"/>
      <c r="P320" s="8">
        <f>(M320-$O$2)/$O$2*100</f>
        <v>2.8071875672208146</v>
      </c>
    </row>
    <row r="321" spans="1:16" x14ac:dyDescent="0.2">
      <c r="A321" s="8">
        <v>159.5</v>
      </c>
      <c r="B321" s="8">
        <v>319</v>
      </c>
      <c r="D321">
        <v>1976.6919486581</v>
      </c>
      <c r="E321">
        <v>535.70595099183004</v>
      </c>
      <c r="F321">
        <v>140.93559718969999</v>
      </c>
      <c r="G321">
        <v>116.97833723653</v>
      </c>
      <c r="I321" s="9">
        <f t="shared" ref="I321:I322" si="48">E321-G321</f>
        <v>418.72761375530001</v>
      </c>
      <c r="J321" s="9">
        <f t="shared" ref="J321:J322" si="49">D321-F321</f>
        <v>1835.7563514684</v>
      </c>
      <c r="K321" s="9">
        <f t="shared" si="31"/>
        <v>418.72761375530001</v>
      </c>
      <c r="L321" s="10">
        <f t="shared" si="30"/>
        <v>0.22809541877404629</v>
      </c>
      <c r="M321" s="10">
        <f t="shared" ref="M321:M322" si="50">L321+ABS($N$2)*A321</f>
        <v>0.27428054846266514</v>
      </c>
      <c r="P321" s="8">
        <f t="shared" ref="P321:P322" si="51">(M321-$O$2)/$O$2*100</f>
        <v>8.6663703582390692</v>
      </c>
    </row>
    <row r="322" spans="1:16" x14ac:dyDescent="0.2">
      <c r="A322" s="8">
        <v>160</v>
      </c>
      <c r="D322">
        <v>1933.3028004667001</v>
      </c>
      <c r="E322">
        <v>543.77887981330002</v>
      </c>
      <c r="F322">
        <v>140.35714285713999</v>
      </c>
      <c r="G322">
        <v>116.77576112412</v>
      </c>
      <c r="I322" s="9">
        <f t="shared" si="48"/>
        <v>427.00311868918004</v>
      </c>
      <c r="J322" s="9">
        <f t="shared" si="49"/>
        <v>1792.9456576095602</v>
      </c>
      <c r="K322" s="9">
        <f t="shared" si="31"/>
        <v>427.00311868918004</v>
      </c>
      <c r="L322" s="10">
        <f t="shared" ref="L322" si="52">K322/J322</f>
        <v>0.23815731217335431</v>
      </c>
      <c r="M322" s="10">
        <f t="shared" si="50"/>
        <v>0.28448722283278388</v>
      </c>
      <c r="P322" s="8">
        <f t="shared" si="51"/>
        <v>12.710121413302467</v>
      </c>
    </row>
    <row r="323" spans="1:16" x14ac:dyDescent="0.2">
      <c r="I323" s="9"/>
      <c r="J323" s="9"/>
      <c r="K323" s="9"/>
      <c r="L323" s="9"/>
    </row>
    <row r="324" spans="1:16" x14ac:dyDescent="0.2">
      <c r="I324" s="9"/>
      <c r="J324" s="9"/>
      <c r="K324" s="9"/>
      <c r="L324" s="9"/>
    </row>
    <row r="325" spans="1:16" x14ac:dyDescent="0.2">
      <c r="I325" s="9"/>
      <c r="J325" s="9"/>
      <c r="K325" s="9"/>
      <c r="L325" s="9"/>
    </row>
    <row r="326" spans="1:16" x14ac:dyDescent="0.2">
      <c r="I326" s="9"/>
      <c r="J326" s="9"/>
      <c r="K326" s="9"/>
      <c r="L326" s="9"/>
    </row>
    <row r="327" spans="1:16" x14ac:dyDescent="0.2">
      <c r="I327" s="9"/>
      <c r="J327" s="9"/>
      <c r="K327" s="9"/>
      <c r="L327" s="9"/>
    </row>
    <row r="328" spans="1:16" x14ac:dyDescent="0.2">
      <c r="I328" s="9"/>
      <c r="J328" s="9"/>
      <c r="K328" s="9"/>
      <c r="L328" s="9"/>
    </row>
    <row r="329" spans="1:16" x14ac:dyDescent="0.2">
      <c r="I329" s="9"/>
      <c r="J329" s="9"/>
      <c r="K329" s="9"/>
      <c r="L329" s="9"/>
    </row>
    <row r="330" spans="1:16" x14ac:dyDescent="0.2">
      <c r="I330" s="9"/>
      <c r="J330" s="9"/>
      <c r="K330" s="9"/>
      <c r="L330" s="9"/>
    </row>
    <row r="331" spans="1:16" x14ac:dyDescent="0.2">
      <c r="I331" s="9"/>
      <c r="J331" s="9"/>
      <c r="K331" s="9"/>
      <c r="L331" s="9"/>
    </row>
    <row r="332" spans="1:16" x14ac:dyDescent="0.2">
      <c r="I332" s="9"/>
      <c r="J332" s="9"/>
      <c r="K332" s="9"/>
      <c r="L332" s="9"/>
    </row>
    <row r="333" spans="1:16" x14ac:dyDescent="0.2">
      <c r="I333" s="9"/>
      <c r="J333" s="9"/>
      <c r="K333" s="9"/>
      <c r="L333" s="9"/>
    </row>
    <row r="334" spans="1:16" x14ac:dyDescent="0.2">
      <c r="I334" s="9"/>
      <c r="J334" s="9"/>
      <c r="K334" s="9"/>
      <c r="L334" s="9"/>
    </row>
    <row r="335" spans="1:16" x14ac:dyDescent="0.2">
      <c r="I335" s="9"/>
      <c r="J335" s="9"/>
      <c r="K335" s="9"/>
      <c r="L335" s="9"/>
    </row>
    <row r="336" spans="1:16" x14ac:dyDescent="0.2">
      <c r="I336" s="9"/>
      <c r="J336" s="9"/>
      <c r="K336" s="9"/>
      <c r="L336" s="9"/>
    </row>
    <row r="337" spans="9:12" x14ac:dyDescent="0.2">
      <c r="I337" s="9"/>
      <c r="J337" s="9"/>
      <c r="K337" s="9"/>
      <c r="L337" s="9"/>
    </row>
    <row r="338" spans="9:12" x14ac:dyDescent="0.2">
      <c r="I338" s="9"/>
      <c r="J338" s="9"/>
      <c r="K338" s="9"/>
      <c r="L338" s="9"/>
    </row>
    <row r="339" spans="9:12" x14ac:dyDescent="0.2">
      <c r="I339" s="9"/>
      <c r="J339" s="9"/>
      <c r="K339" s="9"/>
      <c r="L339" s="9"/>
    </row>
    <row r="340" spans="9:12" x14ac:dyDescent="0.2">
      <c r="I340" s="9"/>
      <c r="J340" s="9"/>
      <c r="K340" s="9"/>
      <c r="L340" s="9"/>
    </row>
    <row r="341" spans="9:12" x14ac:dyDescent="0.2">
      <c r="I341" s="9"/>
      <c r="J341" s="9"/>
      <c r="K341" s="9"/>
      <c r="L341" s="9"/>
    </row>
    <row r="342" spans="9:12" x14ac:dyDescent="0.2">
      <c r="I342" s="9"/>
      <c r="J342" s="9"/>
      <c r="K342" s="9"/>
      <c r="L342" s="9"/>
    </row>
    <row r="343" spans="9:12" x14ac:dyDescent="0.2">
      <c r="I343" s="9"/>
      <c r="J343" s="9"/>
      <c r="K343" s="9"/>
      <c r="L343" s="9"/>
    </row>
    <row r="344" spans="9:12" x14ac:dyDescent="0.2">
      <c r="I344" s="9"/>
      <c r="J344" s="9"/>
      <c r="K344" s="9"/>
      <c r="L344" s="9"/>
    </row>
    <row r="345" spans="9:12" x14ac:dyDescent="0.2">
      <c r="I345" s="9"/>
      <c r="J345" s="9"/>
      <c r="K345" s="9"/>
      <c r="L345" s="9"/>
    </row>
    <row r="346" spans="9:12" x14ac:dyDescent="0.2">
      <c r="I346" s="9"/>
      <c r="J346" s="9"/>
      <c r="K346" s="9"/>
      <c r="L346" s="9"/>
    </row>
    <row r="347" spans="9:12" x14ac:dyDescent="0.2">
      <c r="I347" s="9"/>
      <c r="J347" s="9"/>
      <c r="K347" s="9"/>
      <c r="L347" s="9"/>
    </row>
    <row r="348" spans="9:12" x14ac:dyDescent="0.2">
      <c r="I348" s="9"/>
      <c r="J348" s="9"/>
      <c r="K348" s="9"/>
      <c r="L348" s="9"/>
    </row>
    <row r="349" spans="9:12" x14ac:dyDescent="0.2">
      <c r="I349" s="9"/>
      <c r="J349" s="9"/>
      <c r="K349" s="9"/>
      <c r="L349" s="9"/>
    </row>
    <row r="350" spans="9:12" x14ac:dyDescent="0.2">
      <c r="I350" s="9"/>
      <c r="J350" s="9"/>
      <c r="K350" s="9"/>
      <c r="L350" s="9"/>
    </row>
    <row r="351" spans="9:12" x14ac:dyDescent="0.2">
      <c r="I351" s="9"/>
      <c r="J351" s="9"/>
      <c r="K351" s="9"/>
      <c r="L351" s="9"/>
    </row>
    <row r="352" spans="9:12" x14ac:dyDescent="0.2">
      <c r="I352" s="9"/>
      <c r="J352" s="9"/>
      <c r="K352" s="9"/>
      <c r="L352" s="9"/>
    </row>
    <row r="353" spans="9:12" x14ac:dyDescent="0.2">
      <c r="I353" s="9"/>
      <c r="J353" s="9"/>
      <c r="K353" s="9"/>
      <c r="L353" s="9"/>
    </row>
    <row r="354" spans="9:12" x14ac:dyDescent="0.2">
      <c r="I354" s="9"/>
      <c r="J354" s="9"/>
      <c r="K354" s="9"/>
      <c r="L354" s="9"/>
    </row>
    <row r="355" spans="9:12" x14ac:dyDescent="0.2">
      <c r="I355" s="9"/>
      <c r="J355" s="9"/>
      <c r="K355" s="9"/>
      <c r="L355" s="9"/>
    </row>
    <row r="356" spans="9:12" x14ac:dyDescent="0.2">
      <c r="I356" s="9"/>
      <c r="J356" s="9"/>
      <c r="K356" s="9"/>
      <c r="L356" s="9"/>
    </row>
    <row r="357" spans="9:12" x14ac:dyDescent="0.2">
      <c r="I357" s="9"/>
      <c r="J357" s="9"/>
      <c r="K357" s="9"/>
      <c r="L357" s="9"/>
    </row>
    <row r="358" spans="9:12" x14ac:dyDescent="0.2">
      <c r="I358" s="9"/>
      <c r="J358" s="9"/>
      <c r="K358" s="9"/>
      <c r="L358" s="9"/>
    </row>
    <row r="359" spans="9:12" x14ac:dyDescent="0.2">
      <c r="I359" s="9"/>
      <c r="J359" s="9"/>
      <c r="K359" s="9"/>
      <c r="L359" s="9"/>
    </row>
    <row r="360" spans="9:12" x14ac:dyDescent="0.2">
      <c r="I360" s="9"/>
      <c r="J360" s="9"/>
      <c r="K360" s="9"/>
      <c r="L360" s="9"/>
    </row>
    <row r="361" spans="9:12" x14ac:dyDescent="0.2">
      <c r="I361" s="9"/>
      <c r="J361" s="9"/>
      <c r="K361" s="9"/>
      <c r="L361" s="9"/>
    </row>
    <row r="362" spans="9:12" x14ac:dyDescent="0.2">
      <c r="I362" s="9"/>
      <c r="J362" s="9"/>
      <c r="K362" s="9"/>
      <c r="L362" s="9"/>
    </row>
    <row r="363" spans="9:12" x14ac:dyDescent="0.2">
      <c r="I363" s="9"/>
      <c r="J363" s="9"/>
      <c r="K363" s="9"/>
      <c r="L363" s="9"/>
    </row>
    <row r="364" spans="9:12" x14ac:dyDescent="0.2">
      <c r="I364" s="9"/>
      <c r="J364" s="9"/>
      <c r="K364" s="9"/>
      <c r="L364" s="9"/>
    </row>
    <row r="365" spans="9:12" x14ac:dyDescent="0.2">
      <c r="I365" s="9"/>
      <c r="J365" s="9"/>
      <c r="K365" s="9"/>
      <c r="L365" s="9"/>
    </row>
    <row r="366" spans="9:12" x14ac:dyDescent="0.2">
      <c r="I366" s="9"/>
      <c r="J366" s="9"/>
      <c r="K366" s="9"/>
      <c r="L366" s="9"/>
    </row>
    <row r="367" spans="9:12" x14ac:dyDescent="0.2">
      <c r="I367" s="9"/>
      <c r="J367" s="9"/>
      <c r="K367" s="9"/>
      <c r="L367" s="9"/>
    </row>
    <row r="368" spans="9:12" x14ac:dyDescent="0.2">
      <c r="I368" s="9"/>
      <c r="J368" s="9"/>
      <c r="K368" s="9"/>
      <c r="L368" s="9"/>
    </row>
    <row r="369" spans="9:12" x14ac:dyDescent="0.2">
      <c r="I369" s="9"/>
      <c r="J369" s="9"/>
      <c r="K369" s="9"/>
      <c r="L369" s="9"/>
    </row>
    <row r="370" spans="9:12" x14ac:dyDescent="0.2">
      <c r="I370" s="9"/>
      <c r="J370" s="9"/>
      <c r="K370" s="9"/>
      <c r="L370" s="9"/>
    </row>
    <row r="371" spans="9:12" x14ac:dyDescent="0.2">
      <c r="I371" s="9"/>
      <c r="J371" s="9"/>
      <c r="K371" s="9"/>
      <c r="L371" s="9"/>
    </row>
    <row r="372" spans="9:12" x14ac:dyDescent="0.2">
      <c r="I372" s="9"/>
      <c r="J372" s="9"/>
      <c r="K372" s="9"/>
      <c r="L372" s="9"/>
    </row>
    <row r="373" spans="9:12" x14ac:dyDescent="0.2">
      <c r="I373" s="9"/>
      <c r="J373" s="9"/>
      <c r="K373" s="9"/>
      <c r="L373" s="9"/>
    </row>
    <row r="374" spans="9:12" x14ac:dyDescent="0.2">
      <c r="I374" s="9"/>
      <c r="J374" s="9"/>
      <c r="K374" s="9"/>
      <c r="L374" s="9"/>
    </row>
    <row r="375" spans="9:12" x14ac:dyDescent="0.2">
      <c r="I375" s="9"/>
      <c r="J375" s="9"/>
      <c r="K375" s="9"/>
      <c r="L375" s="9"/>
    </row>
    <row r="376" spans="9:12" x14ac:dyDescent="0.2">
      <c r="I376" s="9"/>
      <c r="J376" s="9"/>
      <c r="K376" s="9"/>
      <c r="L376" s="9"/>
    </row>
    <row r="377" spans="9:12" x14ac:dyDescent="0.2">
      <c r="I377" s="9"/>
      <c r="J377" s="9"/>
      <c r="K377" s="9"/>
      <c r="L377" s="9"/>
    </row>
    <row r="378" spans="9:12" x14ac:dyDescent="0.2">
      <c r="I378" s="9"/>
      <c r="J378" s="9"/>
      <c r="K378" s="9"/>
      <c r="L378" s="9"/>
    </row>
    <row r="379" spans="9:12" x14ac:dyDescent="0.2">
      <c r="I379" s="9"/>
      <c r="J379" s="9"/>
      <c r="K379" s="9"/>
      <c r="L379" s="9"/>
    </row>
    <row r="380" spans="9:12" x14ac:dyDescent="0.2">
      <c r="I380" s="9"/>
      <c r="J380" s="9"/>
      <c r="K380" s="9"/>
      <c r="L380" s="9"/>
    </row>
    <row r="381" spans="9:12" x14ac:dyDescent="0.2">
      <c r="I381" s="9"/>
      <c r="J381" s="9"/>
      <c r="K381" s="9"/>
      <c r="L381" s="9"/>
    </row>
    <row r="382" spans="9:12" x14ac:dyDescent="0.2">
      <c r="I382" s="9"/>
      <c r="J382" s="9"/>
      <c r="K382" s="9"/>
      <c r="L382" s="9"/>
    </row>
    <row r="383" spans="9:12" x14ac:dyDescent="0.2">
      <c r="I383" s="9"/>
      <c r="J383" s="9"/>
      <c r="K383" s="9"/>
      <c r="L383" s="9"/>
    </row>
    <row r="384" spans="9:12" x14ac:dyDescent="0.2">
      <c r="I384" s="9"/>
      <c r="J384" s="9"/>
      <c r="K384" s="9"/>
      <c r="L384" s="9"/>
    </row>
    <row r="385" spans="9:12" x14ac:dyDescent="0.2">
      <c r="I385" s="9"/>
      <c r="J385" s="9"/>
      <c r="K385" s="9"/>
      <c r="L385" s="9"/>
    </row>
    <row r="386" spans="9:12" x14ac:dyDescent="0.2">
      <c r="I386" s="9"/>
      <c r="J386" s="9"/>
      <c r="K386" s="9"/>
      <c r="L386" s="9"/>
    </row>
    <row r="387" spans="9:12" x14ac:dyDescent="0.2">
      <c r="I387" s="9"/>
      <c r="J387" s="9"/>
      <c r="K387" s="9"/>
      <c r="L387" s="9"/>
    </row>
    <row r="388" spans="9:12" x14ac:dyDescent="0.2">
      <c r="I388" s="9"/>
      <c r="J388" s="9"/>
      <c r="K388" s="9"/>
      <c r="L388" s="9"/>
    </row>
    <row r="389" spans="9:12" x14ac:dyDescent="0.2">
      <c r="I389" s="9"/>
      <c r="J389" s="9"/>
      <c r="K389" s="9"/>
      <c r="L389" s="9"/>
    </row>
    <row r="390" spans="9:12" x14ac:dyDescent="0.2">
      <c r="I390" s="9"/>
      <c r="J390" s="9"/>
      <c r="K390" s="9"/>
      <c r="L390" s="9"/>
    </row>
    <row r="391" spans="9:12" x14ac:dyDescent="0.2">
      <c r="I391" s="9"/>
      <c r="J391" s="9"/>
      <c r="K391" s="9"/>
      <c r="L391" s="9"/>
    </row>
    <row r="392" spans="9:12" x14ac:dyDescent="0.2">
      <c r="I392" s="9"/>
      <c r="J392" s="9"/>
      <c r="K392" s="9"/>
      <c r="L392" s="9"/>
    </row>
    <row r="393" spans="9:12" x14ac:dyDescent="0.2">
      <c r="I393" s="9"/>
      <c r="J393" s="9"/>
      <c r="K393" s="9"/>
      <c r="L393" s="9"/>
    </row>
    <row r="394" spans="9:12" x14ac:dyDescent="0.2">
      <c r="I394" s="9"/>
      <c r="J394" s="9"/>
      <c r="K394" s="9"/>
      <c r="L394" s="9"/>
    </row>
    <row r="395" spans="9:12" x14ac:dyDescent="0.2">
      <c r="I395" s="9"/>
      <c r="J395" s="9"/>
      <c r="K395" s="9"/>
      <c r="L395" s="9"/>
    </row>
    <row r="396" spans="9:12" x14ac:dyDescent="0.2">
      <c r="I396" s="9"/>
      <c r="J396" s="9"/>
      <c r="K396" s="9"/>
      <c r="L396" s="9"/>
    </row>
    <row r="397" spans="9:12" x14ac:dyDescent="0.2">
      <c r="I397" s="9"/>
      <c r="J397" s="9"/>
      <c r="K397" s="9"/>
      <c r="L397" s="9"/>
    </row>
    <row r="398" spans="9:12" x14ac:dyDescent="0.2">
      <c r="I398" s="9"/>
      <c r="J398" s="9"/>
      <c r="K398" s="9"/>
      <c r="L398" s="9"/>
    </row>
    <row r="399" spans="9:12" x14ac:dyDescent="0.2">
      <c r="I399" s="9"/>
      <c r="J399" s="9"/>
      <c r="K399" s="9"/>
      <c r="L399" s="9"/>
    </row>
    <row r="400" spans="9:12" x14ac:dyDescent="0.2">
      <c r="I400" s="9"/>
      <c r="J400" s="9"/>
      <c r="K400" s="9"/>
      <c r="L400" s="9"/>
    </row>
    <row r="401" spans="9:12" x14ac:dyDescent="0.2">
      <c r="I401" s="9"/>
      <c r="J401" s="9"/>
      <c r="K401" s="9"/>
      <c r="L401" s="9"/>
    </row>
    <row r="402" spans="9:12" x14ac:dyDescent="0.2">
      <c r="I402" s="9"/>
      <c r="J402" s="9"/>
      <c r="K402" s="9"/>
      <c r="L402" s="9"/>
    </row>
    <row r="403" spans="9:12" x14ac:dyDescent="0.2">
      <c r="I403" s="9"/>
      <c r="J403" s="9"/>
      <c r="K403" s="9"/>
      <c r="L403" s="9"/>
    </row>
    <row r="404" spans="9:12" x14ac:dyDescent="0.2">
      <c r="I404" s="9"/>
      <c r="J404" s="9"/>
      <c r="K404" s="9"/>
      <c r="L404" s="9"/>
    </row>
    <row r="405" spans="9:12" x14ac:dyDescent="0.2">
      <c r="I405" s="9"/>
      <c r="J405" s="9"/>
      <c r="K405" s="9"/>
      <c r="L405" s="9"/>
    </row>
    <row r="406" spans="9:12" x14ac:dyDescent="0.2">
      <c r="I406" s="9"/>
      <c r="J406" s="9"/>
      <c r="K406" s="9"/>
      <c r="L406" s="9"/>
    </row>
    <row r="407" spans="9:12" x14ac:dyDescent="0.2">
      <c r="I407" s="9"/>
      <c r="J407" s="9"/>
      <c r="K407" s="9"/>
      <c r="L407" s="9"/>
    </row>
    <row r="408" spans="9:12" x14ac:dyDescent="0.2">
      <c r="I408" s="9"/>
      <c r="J408" s="9"/>
      <c r="K408" s="9"/>
      <c r="L408" s="9"/>
    </row>
    <row r="409" spans="9:12" x14ac:dyDescent="0.2">
      <c r="I409" s="9"/>
      <c r="J409" s="9"/>
      <c r="K409" s="9"/>
      <c r="L409" s="9"/>
    </row>
    <row r="410" spans="9:12" x14ac:dyDescent="0.2">
      <c r="I410" s="9"/>
      <c r="J410" s="9"/>
      <c r="K410" s="9"/>
      <c r="L410" s="9"/>
    </row>
    <row r="411" spans="9:12" x14ac:dyDescent="0.2">
      <c r="I411" s="9"/>
      <c r="J411" s="9"/>
      <c r="K411" s="9"/>
      <c r="L411" s="9"/>
    </row>
    <row r="412" spans="9:12" x14ac:dyDescent="0.2">
      <c r="I412" s="9"/>
      <c r="J412" s="9"/>
      <c r="K412" s="9"/>
      <c r="L412" s="9"/>
    </row>
    <row r="413" spans="9:12" x14ac:dyDescent="0.2">
      <c r="I413" s="9"/>
      <c r="J413" s="9"/>
      <c r="K413" s="9"/>
      <c r="L413" s="9"/>
    </row>
    <row r="414" spans="9:12" x14ac:dyDescent="0.2">
      <c r="I414" s="9"/>
      <c r="J414" s="9"/>
      <c r="K414" s="9"/>
      <c r="L414" s="9"/>
    </row>
    <row r="415" spans="9:12" x14ac:dyDescent="0.2">
      <c r="I415" s="9"/>
      <c r="J415" s="9"/>
      <c r="K415" s="9"/>
      <c r="L415" s="9"/>
    </row>
    <row r="416" spans="9:12" x14ac:dyDescent="0.2">
      <c r="I416" s="9"/>
      <c r="J416" s="9"/>
      <c r="K416" s="9"/>
      <c r="L416" s="9"/>
    </row>
    <row r="417" spans="9:12" x14ac:dyDescent="0.2">
      <c r="I417" s="9"/>
      <c r="J417" s="9"/>
      <c r="K417" s="9"/>
      <c r="L417" s="9"/>
    </row>
    <row r="418" spans="9:12" x14ac:dyDescent="0.2">
      <c r="I418" s="9"/>
      <c r="J418" s="9"/>
      <c r="K418" s="9"/>
      <c r="L418" s="9"/>
    </row>
    <row r="419" spans="9:12" x14ac:dyDescent="0.2">
      <c r="I419" s="9"/>
      <c r="J419" s="9"/>
      <c r="K419" s="9"/>
      <c r="L419" s="9"/>
    </row>
    <row r="420" spans="9:12" x14ac:dyDescent="0.2">
      <c r="I420" s="9"/>
      <c r="J420" s="9"/>
      <c r="K420" s="9"/>
      <c r="L420" s="9"/>
    </row>
    <row r="421" spans="9:12" x14ac:dyDescent="0.2">
      <c r="I421" s="9"/>
      <c r="J421" s="9"/>
      <c r="K421" s="9"/>
      <c r="L421" s="9"/>
    </row>
    <row r="422" spans="9:12" x14ac:dyDescent="0.2">
      <c r="I422" s="9"/>
      <c r="J422" s="9"/>
      <c r="K422" s="9"/>
      <c r="L422" s="9"/>
    </row>
    <row r="423" spans="9:12" x14ac:dyDescent="0.2">
      <c r="I423" s="9"/>
      <c r="J423" s="9"/>
      <c r="K423" s="9"/>
      <c r="L423" s="9"/>
    </row>
    <row r="424" spans="9:12" x14ac:dyDescent="0.2">
      <c r="I424" s="9"/>
      <c r="J424" s="9"/>
      <c r="K424" s="9"/>
      <c r="L424" s="9"/>
    </row>
    <row r="425" spans="9:12" x14ac:dyDescent="0.2">
      <c r="I425" s="9"/>
      <c r="J425" s="9"/>
      <c r="K425" s="9"/>
      <c r="L425" s="9"/>
    </row>
    <row r="426" spans="9:12" x14ac:dyDescent="0.2">
      <c r="I426" s="9"/>
      <c r="J426" s="9"/>
      <c r="K426" s="9"/>
      <c r="L426" s="9"/>
    </row>
    <row r="427" spans="9:12" x14ac:dyDescent="0.2">
      <c r="I427" s="9"/>
      <c r="J427" s="9"/>
      <c r="K427" s="9"/>
      <c r="L427" s="9"/>
    </row>
    <row r="428" spans="9:12" x14ac:dyDescent="0.2">
      <c r="I428" s="9"/>
      <c r="J428" s="9"/>
      <c r="K428" s="9"/>
      <c r="L428" s="9"/>
    </row>
    <row r="429" spans="9:12" x14ac:dyDescent="0.2">
      <c r="I429" s="9"/>
      <c r="J429" s="9"/>
      <c r="K429" s="9"/>
      <c r="L429" s="9"/>
    </row>
    <row r="430" spans="9:12" x14ac:dyDescent="0.2">
      <c r="I430" s="9"/>
      <c r="J430" s="9"/>
      <c r="K430" s="9"/>
      <c r="L430" s="9"/>
    </row>
    <row r="431" spans="9:12" x14ac:dyDescent="0.2">
      <c r="I431" s="9"/>
      <c r="J431" s="9"/>
      <c r="K431" s="9"/>
      <c r="L431" s="9"/>
    </row>
    <row r="432" spans="9:12" x14ac:dyDescent="0.2">
      <c r="I432" s="9"/>
      <c r="J432" s="9"/>
      <c r="K432" s="9"/>
      <c r="L432" s="9"/>
    </row>
    <row r="433" spans="9:12" x14ac:dyDescent="0.2">
      <c r="I433" s="9"/>
      <c r="J433" s="9"/>
      <c r="K433" s="9"/>
      <c r="L433" s="9"/>
    </row>
    <row r="434" spans="9:12" x14ac:dyDescent="0.2">
      <c r="I434" s="9"/>
      <c r="J434" s="9"/>
      <c r="K434" s="9"/>
      <c r="L434" s="9"/>
    </row>
    <row r="435" spans="9:12" x14ac:dyDescent="0.2">
      <c r="I435" s="9"/>
      <c r="J435" s="9"/>
      <c r="K435" s="9"/>
      <c r="L435" s="9"/>
    </row>
    <row r="436" spans="9:12" x14ac:dyDescent="0.2">
      <c r="I436" s="9"/>
      <c r="J436" s="9"/>
      <c r="K436" s="9"/>
      <c r="L436" s="9"/>
    </row>
    <row r="437" spans="9:12" x14ac:dyDescent="0.2">
      <c r="I437" s="9"/>
      <c r="J437" s="9"/>
      <c r="K437" s="9"/>
      <c r="L437" s="9"/>
    </row>
    <row r="438" spans="9:12" x14ac:dyDescent="0.2">
      <c r="I438" s="9"/>
      <c r="J438" s="9"/>
      <c r="K438" s="9"/>
      <c r="L438" s="9"/>
    </row>
    <row r="439" spans="9:12" x14ac:dyDescent="0.2">
      <c r="I439" s="9"/>
      <c r="J439" s="9"/>
      <c r="K439" s="9"/>
      <c r="L439" s="9"/>
    </row>
    <row r="440" spans="9:12" x14ac:dyDescent="0.2">
      <c r="I440" s="9"/>
      <c r="J440" s="9"/>
      <c r="K440" s="9"/>
      <c r="L440" s="9"/>
    </row>
    <row r="441" spans="9:12" x14ac:dyDescent="0.2">
      <c r="I441" s="9"/>
      <c r="J441" s="9"/>
      <c r="K441" s="9"/>
      <c r="L441" s="9"/>
    </row>
    <row r="442" spans="9:12" x14ac:dyDescent="0.2">
      <c r="I442" s="9"/>
      <c r="J442" s="9"/>
      <c r="K442" s="9"/>
      <c r="L442" s="9"/>
    </row>
    <row r="443" spans="9:12" x14ac:dyDescent="0.2">
      <c r="I443" s="9"/>
      <c r="J443" s="9"/>
      <c r="K443" s="9"/>
      <c r="L443" s="9"/>
    </row>
    <row r="444" spans="9:12" x14ac:dyDescent="0.2">
      <c r="I444" s="9"/>
      <c r="J444" s="9"/>
      <c r="K444" s="9"/>
      <c r="L444" s="9"/>
    </row>
    <row r="445" spans="9:12" x14ac:dyDescent="0.2">
      <c r="I445" s="9"/>
      <c r="J445" s="9"/>
      <c r="K445" s="9"/>
      <c r="L445" s="9"/>
    </row>
    <row r="446" spans="9:12" x14ac:dyDescent="0.2">
      <c r="I446" s="9"/>
      <c r="J446" s="9"/>
      <c r="K446" s="9"/>
      <c r="L446" s="9"/>
    </row>
    <row r="447" spans="9:12" x14ac:dyDescent="0.2">
      <c r="I447" s="9"/>
      <c r="J447" s="9"/>
      <c r="K447" s="9"/>
      <c r="L447" s="9"/>
    </row>
    <row r="448" spans="9:12" x14ac:dyDescent="0.2">
      <c r="I448" s="9"/>
      <c r="J448" s="9"/>
      <c r="K448" s="9"/>
      <c r="L448" s="9"/>
    </row>
    <row r="449" spans="9:12" x14ac:dyDescent="0.2">
      <c r="I449" s="9"/>
      <c r="J449" s="9"/>
      <c r="K449" s="9"/>
      <c r="L449" s="9"/>
    </row>
    <row r="450" spans="9:12" x14ac:dyDescent="0.2">
      <c r="I450" s="9"/>
      <c r="J450" s="9"/>
      <c r="K450" s="9"/>
      <c r="L450" s="9"/>
    </row>
    <row r="451" spans="9:12" x14ac:dyDescent="0.2">
      <c r="I451" s="9"/>
      <c r="J451" s="9"/>
      <c r="K451" s="9"/>
      <c r="L451" s="9"/>
    </row>
    <row r="452" spans="9:12" x14ac:dyDescent="0.2">
      <c r="I452" s="9"/>
      <c r="J452" s="9"/>
      <c r="K452" s="9"/>
      <c r="L452" s="9"/>
    </row>
    <row r="453" spans="9:12" x14ac:dyDescent="0.2">
      <c r="I453" s="9"/>
      <c r="J453" s="9"/>
      <c r="K453" s="9"/>
      <c r="L453" s="9"/>
    </row>
    <row r="454" spans="9:12" x14ac:dyDescent="0.2">
      <c r="I454" s="9"/>
      <c r="J454" s="9"/>
      <c r="K454" s="9"/>
      <c r="L454" s="9"/>
    </row>
    <row r="455" spans="9:12" x14ac:dyDescent="0.2">
      <c r="I455" s="9"/>
      <c r="J455" s="9"/>
      <c r="K455" s="9"/>
      <c r="L455" s="9"/>
    </row>
    <row r="456" spans="9:12" x14ac:dyDescent="0.2">
      <c r="I456" s="9"/>
      <c r="J456" s="9"/>
      <c r="K456" s="9"/>
      <c r="L456" s="9"/>
    </row>
    <row r="457" spans="9:12" x14ac:dyDescent="0.2">
      <c r="I457" s="9"/>
      <c r="J457" s="9"/>
      <c r="K457" s="9"/>
      <c r="L457" s="9"/>
    </row>
    <row r="458" spans="9:12" x14ac:dyDescent="0.2">
      <c r="I458" s="9"/>
      <c r="J458" s="9"/>
      <c r="K458" s="9"/>
      <c r="L458" s="9"/>
    </row>
    <row r="459" spans="9:12" x14ac:dyDescent="0.2">
      <c r="I459" s="9"/>
      <c r="J459" s="9"/>
      <c r="K459" s="9"/>
      <c r="L459" s="9"/>
    </row>
    <row r="460" spans="9:12" x14ac:dyDescent="0.2">
      <c r="I460" s="9"/>
      <c r="J460" s="9"/>
      <c r="K460" s="9"/>
      <c r="L460" s="9"/>
    </row>
    <row r="461" spans="9:12" x14ac:dyDescent="0.2">
      <c r="I461" s="9"/>
      <c r="J461" s="9"/>
      <c r="K461" s="9"/>
      <c r="L461" s="9"/>
    </row>
    <row r="462" spans="9:12" x14ac:dyDescent="0.2">
      <c r="I462" s="9"/>
      <c r="J462" s="9"/>
      <c r="K462" s="9"/>
      <c r="L462" s="9"/>
    </row>
    <row r="463" spans="9:12" x14ac:dyDescent="0.2">
      <c r="I463" s="9"/>
      <c r="J463" s="9"/>
      <c r="K463" s="9"/>
      <c r="L463" s="9"/>
    </row>
    <row r="464" spans="9:12" x14ac:dyDescent="0.2">
      <c r="I464" s="9"/>
      <c r="J464" s="9"/>
      <c r="K464" s="9"/>
      <c r="L464" s="9"/>
    </row>
    <row r="465" spans="9:12" x14ac:dyDescent="0.2">
      <c r="I465" s="9"/>
      <c r="J465" s="9"/>
      <c r="K465" s="9"/>
      <c r="L465" s="9"/>
    </row>
    <row r="466" spans="9:12" x14ac:dyDescent="0.2">
      <c r="I466" s="9"/>
      <c r="J466" s="9"/>
      <c r="K466" s="9"/>
      <c r="L466" s="9"/>
    </row>
    <row r="467" spans="9:12" x14ac:dyDescent="0.2">
      <c r="I467" s="9"/>
      <c r="J467" s="9"/>
      <c r="K467" s="9"/>
      <c r="L467" s="9"/>
    </row>
    <row r="468" spans="9:12" x14ac:dyDescent="0.2">
      <c r="I468" s="9"/>
      <c r="J468" s="9"/>
      <c r="K468" s="9"/>
      <c r="L468" s="9"/>
    </row>
    <row r="469" spans="9:12" x14ac:dyDescent="0.2">
      <c r="I469" s="9"/>
      <c r="J469" s="9"/>
      <c r="K469" s="9"/>
      <c r="L469" s="9"/>
    </row>
    <row r="470" spans="9:12" x14ac:dyDescent="0.2">
      <c r="I470" s="9"/>
      <c r="J470" s="9"/>
      <c r="K470" s="9"/>
      <c r="L470" s="9"/>
    </row>
    <row r="471" spans="9:12" x14ac:dyDescent="0.2">
      <c r="I471" s="9"/>
      <c r="J471" s="9"/>
      <c r="K471" s="9"/>
      <c r="L471" s="9"/>
    </row>
    <row r="472" spans="9:12" x14ac:dyDescent="0.2">
      <c r="I472" s="9"/>
      <c r="J472" s="9"/>
      <c r="K472" s="9"/>
      <c r="L472" s="9"/>
    </row>
    <row r="473" spans="9:12" x14ac:dyDescent="0.2">
      <c r="I473" s="9"/>
      <c r="J473" s="9"/>
      <c r="K473" s="9"/>
      <c r="L473" s="9"/>
    </row>
    <row r="474" spans="9:12" x14ac:dyDescent="0.2">
      <c r="I474" s="9"/>
      <c r="J474" s="9"/>
      <c r="K474" s="9"/>
      <c r="L474" s="9"/>
    </row>
    <row r="475" spans="9:12" x14ac:dyDescent="0.2">
      <c r="I475" s="9"/>
      <c r="J475" s="9"/>
      <c r="K475" s="9"/>
      <c r="L475" s="9"/>
    </row>
    <row r="476" spans="9:12" x14ac:dyDescent="0.2">
      <c r="I476" s="9"/>
      <c r="J476" s="9"/>
      <c r="K476" s="9"/>
      <c r="L476" s="9"/>
    </row>
    <row r="477" spans="9:12" x14ac:dyDescent="0.2">
      <c r="I477" s="9"/>
      <c r="J477" s="9"/>
      <c r="K477" s="9"/>
      <c r="L477" s="9"/>
    </row>
    <row r="478" spans="9:12" x14ac:dyDescent="0.2">
      <c r="I478" s="9"/>
      <c r="J478" s="9"/>
      <c r="K478" s="9"/>
      <c r="L478" s="9"/>
    </row>
    <row r="479" spans="9:12" x14ac:dyDescent="0.2">
      <c r="I479" s="9"/>
      <c r="J479" s="9"/>
      <c r="K479" s="9"/>
      <c r="L479" s="9"/>
    </row>
    <row r="480" spans="9:12" x14ac:dyDescent="0.2">
      <c r="I480" s="9"/>
      <c r="J480" s="9"/>
      <c r="K480" s="9"/>
      <c r="L480" s="9"/>
    </row>
    <row r="481" spans="9:12" x14ac:dyDescent="0.2">
      <c r="I481" s="9"/>
      <c r="J481" s="9"/>
      <c r="K481" s="9"/>
      <c r="L481" s="9"/>
    </row>
    <row r="482" spans="9:12" x14ac:dyDescent="0.2">
      <c r="I482" s="9"/>
      <c r="J482" s="9"/>
      <c r="K482" s="9"/>
      <c r="L482" s="9"/>
    </row>
    <row r="483" spans="9:12" x14ac:dyDescent="0.2">
      <c r="I483" s="9"/>
      <c r="J483" s="9"/>
      <c r="K483" s="9"/>
      <c r="L483" s="9"/>
    </row>
    <row r="484" spans="9:12" x14ac:dyDescent="0.2">
      <c r="I484" s="9"/>
      <c r="J484" s="9"/>
      <c r="K484" s="9"/>
      <c r="L484" s="9"/>
    </row>
    <row r="485" spans="9:12" x14ac:dyDescent="0.2">
      <c r="I485" s="9"/>
      <c r="J485" s="9"/>
      <c r="K485" s="9"/>
      <c r="L485" s="9"/>
    </row>
    <row r="486" spans="9:12" x14ac:dyDescent="0.2">
      <c r="I486" s="9"/>
      <c r="J486" s="9"/>
      <c r="K486" s="9"/>
      <c r="L486" s="9"/>
    </row>
    <row r="487" spans="9:12" x14ac:dyDescent="0.2">
      <c r="I487" s="9"/>
      <c r="J487" s="9"/>
      <c r="K487" s="9"/>
      <c r="L487" s="9"/>
    </row>
    <row r="488" spans="9:12" x14ac:dyDescent="0.2">
      <c r="I488" s="9"/>
      <c r="J488" s="9"/>
      <c r="K488" s="9"/>
      <c r="L488" s="9"/>
    </row>
    <row r="489" spans="9:12" x14ac:dyDescent="0.2">
      <c r="I489" s="9"/>
      <c r="J489" s="9"/>
      <c r="K489" s="9"/>
      <c r="L489" s="9"/>
    </row>
    <row r="490" spans="9:12" x14ac:dyDescent="0.2">
      <c r="I490" s="9"/>
      <c r="J490" s="9"/>
      <c r="K490" s="9"/>
      <c r="L490" s="9"/>
    </row>
    <row r="491" spans="9:12" x14ac:dyDescent="0.2">
      <c r="I491" s="9"/>
      <c r="J491" s="9"/>
      <c r="K491" s="9"/>
      <c r="L491" s="9"/>
    </row>
    <row r="492" spans="9:12" x14ac:dyDescent="0.2">
      <c r="I492" s="9"/>
      <c r="J492" s="9"/>
      <c r="K492" s="9"/>
      <c r="L492" s="9"/>
    </row>
    <row r="493" spans="9:12" x14ac:dyDescent="0.2">
      <c r="I493" s="9"/>
      <c r="J493" s="9"/>
      <c r="K493" s="9"/>
      <c r="L493" s="9"/>
    </row>
    <row r="494" spans="9:12" x14ac:dyDescent="0.2">
      <c r="I494" s="9"/>
      <c r="J494" s="9"/>
      <c r="K494" s="9"/>
      <c r="L494" s="9"/>
    </row>
    <row r="495" spans="9:12" x14ac:dyDescent="0.2">
      <c r="I495" s="9"/>
      <c r="J495" s="9"/>
      <c r="K495" s="9"/>
      <c r="L495" s="9"/>
    </row>
    <row r="496" spans="9:12" x14ac:dyDescent="0.2">
      <c r="I496" s="9"/>
      <c r="J496" s="9"/>
      <c r="K496" s="9"/>
      <c r="L496" s="9"/>
    </row>
    <row r="497" spans="9:12" x14ac:dyDescent="0.2">
      <c r="I497" s="9"/>
      <c r="J497" s="9"/>
      <c r="K497" s="9"/>
      <c r="L497" s="9"/>
    </row>
    <row r="498" spans="9:12" x14ac:dyDescent="0.2">
      <c r="I498" s="9"/>
      <c r="J498" s="9"/>
      <c r="K498" s="9"/>
      <c r="L498" s="9"/>
    </row>
    <row r="499" spans="9:12" x14ac:dyDescent="0.2">
      <c r="I499" s="9"/>
      <c r="J499" s="9"/>
      <c r="K499" s="9"/>
      <c r="L499" s="9"/>
    </row>
    <row r="500" spans="9:12" x14ac:dyDescent="0.2">
      <c r="I500" s="9"/>
      <c r="J500" s="9"/>
      <c r="K500" s="9"/>
      <c r="L500" s="9"/>
    </row>
    <row r="501" spans="9:12" x14ac:dyDescent="0.2">
      <c r="I501" s="9"/>
      <c r="J501" s="9"/>
      <c r="K501" s="9"/>
      <c r="L501" s="9"/>
    </row>
    <row r="502" spans="9:12" x14ac:dyDescent="0.2">
      <c r="I502" s="9"/>
      <c r="J502" s="9"/>
      <c r="K502" s="9"/>
      <c r="L502" s="9"/>
    </row>
    <row r="503" spans="9:12" x14ac:dyDescent="0.2">
      <c r="I503" s="9"/>
      <c r="J503" s="9"/>
      <c r="K503" s="9"/>
      <c r="L503" s="9"/>
    </row>
    <row r="504" spans="9:12" x14ac:dyDescent="0.2">
      <c r="I504" s="9"/>
      <c r="J504" s="9"/>
      <c r="K504" s="9"/>
      <c r="L504" s="9"/>
    </row>
    <row r="505" spans="9:12" x14ac:dyDescent="0.2">
      <c r="I505" s="9"/>
      <c r="J505" s="9"/>
      <c r="K505" s="9"/>
      <c r="L505" s="9"/>
    </row>
    <row r="506" spans="9:12" x14ac:dyDescent="0.2">
      <c r="I506" s="9"/>
      <c r="J506" s="9"/>
      <c r="K506" s="9"/>
      <c r="L506" s="9"/>
    </row>
    <row r="507" spans="9:12" x14ac:dyDescent="0.2">
      <c r="I507" s="9"/>
      <c r="J507" s="9"/>
      <c r="K507" s="9"/>
      <c r="L507" s="9"/>
    </row>
    <row r="508" spans="9:12" x14ac:dyDescent="0.2">
      <c r="I508" s="9"/>
      <c r="J508" s="9"/>
      <c r="K508" s="9"/>
      <c r="L508" s="9"/>
    </row>
    <row r="509" spans="9:12" x14ac:dyDescent="0.2">
      <c r="I509" s="9"/>
      <c r="J509" s="9"/>
      <c r="K509" s="9"/>
      <c r="L509" s="9"/>
    </row>
    <row r="510" spans="9:12" x14ac:dyDescent="0.2">
      <c r="I510" s="9"/>
      <c r="J510" s="9"/>
      <c r="K510" s="9"/>
      <c r="L510" s="9"/>
    </row>
    <row r="511" spans="9:12" x14ac:dyDescent="0.2">
      <c r="I511" s="9"/>
      <c r="J511" s="9"/>
      <c r="K511" s="9"/>
      <c r="L511" s="9"/>
    </row>
    <row r="512" spans="9:12" x14ac:dyDescent="0.2">
      <c r="I512" s="9"/>
      <c r="J512" s="9"/>
      <c r="K512" s="9"/>
      <c r="L512" s="9"/>
    </row>
    <row r="513" spans="9:12" x14ac:dyDescent="0.2">
      <c r="I513" s="9"/>
      <c r="J513" s="9"/>
      <c r="K513" s="9"/>
      <c r="L513" s="9"/>
    </row>
    <row r="514" spans="9:12" x14ac:dyDescent="0.2">
      <c r="I514" s="9"/>
      <c r="J514" s="9"/>
      <c r="K514" s="9"/>
      <c r="L514" s="9"/>
    </row>
    <row r="515" spans="9:12" x14ac:dyDescent="0.2">
      <c r="I515" s="9"/>
      <c r="J515" s="9"/>
      <c r="K515" s="9"/>
      <c r="L515" s="9"/>
    </row>
    <row r="516" spans="9:12" x14ac:dyDescent="0.2">
      <c r="I516" s="9"/>
      <c r="J516" s="9"/>
      <c r="K516" s="9"/>
      <c r="L516" s="9"/>
    </row>
    <row r="517" spans="9:12" x14ac:dyDescent="0.2">
      <c r="I517" s="9"/>
      <c r="J517" s="9"/>
      <c r="K517" s="9"/>
      <c r="L517" s="9"/>
    </row>
    <row r="518" spans="9:12" x14ac:dyDescent="0.2">
      <c r="I518" s="9"/>
      <c r="J518" s="9"/>
      <c r="K518" s="9"/>
      <c r="L518" s="9"/>
    </row>
    <row r="519" spans="9:12" x14ac:dyDescent="0.2">
      <c r="I519" s="9"/>
      <c r="J519" s="9"/>
      <c r="K519" s="9"/>
      <c r="L519" s="9"/>
    </row>
    <row r="520" spans="9:12" x14ac:dyDescent="0.2">
      <c r="I520" s="9"/>
      <c r="J520" s="9"/>
      <c r="K520" s="9"/>
      <c r="L520" s="9"/>
    </row>
    <row r="521" spans="9:12" x14ac:dyDescent="0.2">
      <c r="I521" s="9"/>
      <c r="J521" s="9"/>
      <c r="K521" s="9"/>
      <c r="L521" s="9"/>
    </row>
    <row r="522" spans="9:12" x14ac:dyDescent="0.2">
      <c r="I522" s="9"/>
      <c r="J522" s="9"/>
      <c r="K522" s="9"/>
      <c r="L522" s="9"/>
    </row>
    <row r="523" spans="9:12" x14ac:dyDescent="0.2">
      <c r="I523" s="9"/>
      <c r="J523" s="9"/>
      <c r="K523" s="9"/>
      <c r="L523" s="9"/>
    </row>
    <row r="524" spans="9:12" x14ac:dyDescent="0.2">
      <c r="I524" s="9"/>
      <c r="J524" s="9"/>
      <c r="K524" s="9"/>
      <c r="L524" s="9"/>
    </row>
    <row r="525" spans="9:12" x14ac:dyDescent="0.2">
      <c r="I525" s="9"/>
      <c r="J525" s="9"/>
      <c r="K525" s="9"/>
      <c r="L525" s="9"/>
    </row>
    <row r="526" spans="9:12" x14ac:dyDescent="0.2">
      <c r="I526" s="9"/>
      <c r="J526" s="9"/>
      <c r="K526" s="9"/>
      <c r="L526" s="9"/>
    </row>
    <row r="527" spans="9:12" x14ac:dyDescent="0.2">
      <c r="I527" s="9"/>
      <c r="J527" s="9"/>
      <c r="K527" s="9"/>
      <c r="L527" s="9"/>
    </row>
    <row r="528" spans="9:12" x14ac:dyDescent="0.2">
      <c r="I528" s="9"/>
      <c r="J528" s="9"/>
      <c r="K528" s="9"/>
      <c r="L528" s="9"/>
    </row>
    <row r="529" spans="9:12" x14ac:dyDescent="0.2">
      <c r="I529" s="9"/>
      <c r="J529" s="9"/>
      <c r="K529" s="9"/>
      <c r="L529" s="9"/>
    </row>
    <row r="530" spans="9:12" x14ac:dyDescent="0.2">
      <c r="I530" s="9"/>
      <c r="J530" s="9"/>
      <c r="K530" s="9"/>
      <c r="L530" s="9"/>
    </row>
    <row r="531" spans="9:12" x14ac:dyDescent="0.2">
      <c r="I531" s="9"/>
      <c r="J531" s="9"/>
      <c r="K531" s="9"/>
      <c r="L531" s="9"/>
    </row>
    <row r="532" spans="9:12" x14ac:dyDescent="0.2">
      <c r="I532" s="9"/>
      <c r="J532" s="9"/>
      <c r="K532" s="9"/>
      <c r="L532" s="9"/>
    </row>
    <row r="533" spans="9:12" x14ac:dyDescent="0.2">
      <c r="I533" s="9"/>
      <c r="J533" s="9"/>
      <c r="K533" s="9"/>
      <c r="L533" s="9"/>
    </row>
    <row r="534" spans="9:12" x14ac:dyDescent="0.2">
      <c r="I534" s="9"/>
      <c r="J534" s="9"/>
      <c r="K534" s="9"/>
      <c r="L534" s="9"/>
    </row>
    <row r="535" spans="9:12" x14ac:dyDescent="0.2">
      <c r="I535" s="9"/>
      <c r="J535" s="9"/>
      <c r="K535" s="9"/>
      <c r="L535" s="9"/>
    </row>
    <row r="536" spans="9:12" x14ac:dyDescent="0.2">
      <c r="I536" s="9"/>
      <c r="J536" s="9"/>
      <c r="K536" s="9"/>
      <c r="L536" s="9"/>
    </row>
    <row r="537" spans="9:12" x14ac:dyDescent="0.2">
      <c r="I537" s="9"/>
      <c r="J537" s="9"/>
      <c r="K537" s="9"/>
      <c r="L537" s="9"/>
    </row>
    <row r="538" spans="9:12" x14ac:dyDescent="0.2">
      <c r="I538" s="9"/>
      <c r="J538" s="9"/>
      <c r="K538" s="9"/>
      <c r="L538" s="9"/>
    </row>
    <row r="539" spans="9:12" x14ac:dyDescent="0.2">
      <c r="I539" s="9"/>
      <c r="J539" s="9"/>
      <c r="K539" s="9"/>
      <c r="L539" s="9"/>
    </row>
    <row r="540" spans="9:12" x14ac:dyDescent="0.2">
      <c r="I540" s="9"/>
      <c r="J540" s="9"/>
      <c r="K540" s="9"/>
      <c r="L540" s="9"/>
    </row>
    <row r="541" spans="9:12" x14ac:dyDescent="0.2">
      <c r="I541" s="9"/>
      <c r="J541" s="9"/>
      <c r="K541" s="9"/>
      <c r="L541" s="9"/>
    </row>
    <row r="542" spans="9:12" x14ac:dyDescent="0.2">
      <c r="I542" s="9"/>
      <c r="J542" s="9"/>
      <c r="K542" s="9"/>
      <c r="L542" s="9"/>
    </row>
    <row r="543" spans="9:12" x14ac:dyDescent="0.2">
      <c r="I543" s="9"/>
      <c r="J543" s="9"/>
      <c r="K543" s="9"/>
      <c r="L543" s="9"/>
    </row>
    <row r="544" spans="9:12" x14ac:dyDescent="0.2">
      <c r="I544" s="9"/>
      <c r="J544" s="9"/>
      <c r="K544" s="9"/>
      <c r="L544" s="9"/>
    </row>
    <row r="545" spans="9:12" x14ac:dyDescent="0.2">
      <c r="I545" s="9"/>
      <c r="J545" s="9"/>
      <c r="K545" s="9"/>
      <c r="L545" s="9"/>
    </row>
    <row r="546" spans="9:12" x14ac:dyDescent="0.2">
      <c r="I546" s="9"/>
      <c r="J546" s="9"/>
      <c r="K546" s="9"/>
      <c r="L546" s="9"/>
    </row>
    <row r="547" spans="9:12" x14ac:dyDescent="0.2">
      <c r="I547" s="9"/>
      <c r="J547" s="9"/>
      <c r="K547" s="9"/>
      <c r="L547" s="9"/>
    </row>
    <row r="548" spans="9:12" x14ac:dyDescent="0.2">
      <c r="I548" s="9"/>
      <c r="J548" s="9"/>
      <c r="K548" s="9"/>
      <c r="L548" s="9"/>
    </row>
    <row r="549" spans="9:12" x14ac:dyDescent="0.2">
      <c r="I549" s="9"/>
      <c r="J549" s="9"/>
      <c r="K549" s="9"/>
      <c r="L549" s="9"/>
    </row>
    <row r="550" spans="9:12" x14ac:dyDescent="0.2">
      <c r="I550" s="9"/>
      <c r="J550" s="9"/>
      <c r="K550" s="9"/>
      <c r="L550" s="9"/>
    </row>
    <row r="551" spans="9:12" x14ac:dyDescent="0.2">
      <c r="I551" s="9"/>
      <c r="J551" s="9"/>
      <c r="K551" s="9"/>
      <c r="L551" s="9"/>
    </row>
    <row r="552" spans="9:12" x14ac:dyDescent="0.2">
      <c r="I552" s="9"/>
      <c r="J552" s="9"/>
      <c r="K552" s="9"/>
      <c r="L552" s="9"/>
    </row>
    <row r="553" spans="9:12" x14ac:dyDescent="0.2">
      <c r="I553" s="9"/>
      <c r="J553" s="9"/>
      <c r="K553" s="9"/>
      <c r="L553" s="9"/>
    </row>
    <row r="554" spans="9:12" x14ac:dyDescent="0.2">
      <c r="I554" s="9"/>
      <c r="J554" s="9"/>
      <c r="K554" s="9"/>
      <c r="L554" s="9"/>
    </row>
    <row r="555" spans="9:12" x14ac:dyDescent="0.2">
      <c r="I555" s="9"/>
      <c r="J555" s="9"/>
      <c r="K555" s="9"/>
      <c r="L555" s="9"/>
    </row>
    <row r="556" spans="9:12" x14ac:dyDescent="0.2">
      <c r="I556" s="9"/>
      <c r="J556" s="9"/>
      <c r="K556" s="9"/>
      <c r="L556" s="9"/>
    </row>
    <row r="557" spans="9:12" x14ac:dyDescent="0.2">
      <c r="I557" s="9"/>
      <c r="J557" s="9"/>
      <c r="K557" s="9"/>
      <c r="L557" s="9"/>
    </row>
    <row r="558" spans="9:12" x14ac:dyDescent="0.2">
      <c r="I558" s="9"/>
      <c r="J558" s="9"/>
      <c r="K558" s="9"/>
      <c r="L558" s="9"/>
    </row>
    <row r="559" spans="9:12" x14ac:dyDescent="0.2">
      <c r="I559" s="9"/>
      <c r="J559" s="9"/>
      <c r="K559" s="9"/>
      <c r="L559" s="9"/>
    </row>
    <row r="560" spans="9:12" x14ac:dyDescent="0.2">
      <c r="I560" s="9"/>
      <c r="J560" s="9"/>
      <c r="K560" s="9"/>
      <c r="L560" s="9"/>
    </row>
    <row r="561" spans="9:12" x14ac:dyDescent="0.2">
      <c r="I561" s="9"/>
      <c r="J561" s="9"/>
      <c r="K561" s="9"/>
      <c r="L561" s="9"/>
    </row>
    <row r="562" spans="9:12" x14ac:dyDescent="0.2">
      <c r="I562" s="9"/>
      <c r="J562" s="9"/>
      <c r="K562" s="9"/>
      <c r="L562" s="9"/>
    </row>
    <row r="563" spans="9:12" x14ac:dyDescent="0.2">
      <c r="I563" s="9"/>
      <c r="J563" s="9"/>
      <c r="K563" s="9"/>
      <c r="L563" s="9"/>
    </row>
    <row r="564" spans="9:12" x14ac:dyDescent="0.2">
      <c r="I564" s="9"/>
      <c r="J564" s="9"/>
      <c r="K564" s="9"/>
      <c r="L564" s="9"/>
    </row>
    <row r="565" spans="9:12" x14ac:dyDescent="0.2">
      <c r="I565" s="9"/>
      <c r="J565" s="9"/>
      <c r="K565" s="9"/>
      <c r="L565" s="9"/>
    </row>
    <row r="566" spans="9:12" x14ac:dyDescent="0.2">
      <c r="I566" s="9"/>
      <c r="J566" s="9"/>
      <c r="K566" s="9"/>
      <c r="L566" s="9"/>
    </row>
    <row r="567" spans="9:12" x14ac:dyDescent="0.2">
      <c r="I567" s="9"/>
      <c r="J567" s="9"/>
      <c r="K567" s="9"/>
      <c r="L567" s="9"/>
    </row>
    <row r="568" spans="9:12" x14ac:dyDescent="0.2">
      <c r="I568" s="9"/>
      <c r="J568" s="9"/>
      <c r="K568" s="9"/>
      <c r="L568" s="9"/>
    </row>
    <row r="569" spans="9:12" x14ac:dyDescent="0.2">
      <c r="I569" s="9"/>
      <c r="J569" s="9"/>
      <c r="K569" s="9"/>
      <c r="L569" s="9"/>
    </row>
    <row r="570" spans="9:12" x14ac:dyDescent="0.2">
      <c r="I570" s="9"/>
      <c r="J570" s="9"/>
      <c r="K570" s="9"/>
      <c r="L570" s="9"/>
    </row>
    <row r="571" spans="9:12" x14ac:dyDescent="0.2">
      <c r="I571" s="9"/>
      <c r="J571" s="9"/>
      <c r="K571" s="9"/>
      <c r="L571" s="9"/>
    </row>
    <row r="572" spans="9:12" x14ac:dyDescent="0.2">
      <c r="I572" s="9"/>
      <c r="J572" s="9"/>
      <c r="K572" s="9"/>
      <c r="L572" s="9"/>
    </row>
    <row r="573" spans="9:12" x14ac:dyDescent="0.2">
      <c r="I573" s="9"/>
      <c r="J573" s="9"/>
      <c r="K573" s="9"/>
      <c r="L573" s="9"/>
    </row>
    <row r="574" spans="9:12" x14ac:dyDescent="0.2">
      <c r="I574" s="9"/>
      <c r="J574" s="9"/>
      <c r="K574" s="9"/>
      <c r="L574" s="9"/>
    </row>
    <row r="575" spans="9:12" x14ac:dyDescent="0.2">
      <c r="I575" s="9"/>
      <c r="J575" s="9"/>
      <c r="K575" s="9"/>
      <c r="L575" s="9"/>
    </row>
    <row r="576" spans="9:12" x14ac:dyDescent="0.2">
      <c r="I576" s="9"/>
      <c r="J576" s="9"/>
      <c r="K576" s="9"/>
      <c r="L576" s="9"/>
    </row>
    <row r="577" spans="9:12" x14ac:dyDescent="0.2">
      <c r="I577" s="9"/>
      <c r="J577" s="9"/>
      <c r="K577" s="9"/>
      <c r="L577" s="9"/>
    </row>
    <row r="578" spans="9:12" x14ac:dyDescent="0.2">
      <c r="I578" s="9"/>
      <c r="J578" s="9"/>
      <c r="K578" s="9"/>
      <c r="L578" s="9"/>
    </row>
    <row r="579" spans="9:12" x14ac:dyDescent="0.2">
      <c r="I579" s="9"/>
      <c r="J579" s="9"/>
      <c r="K579" s="9"/>
      <c r="L579" s="9"/>
    </row>
    <row r="580" spans="9:12" x14ac:dyDescent="0.2">
      <c r="I580" s="9"/>
      <c r="J580" s="9"/>
      <c r="K580" s="9"/>
      <c r="L580" s="9"/>
    </row>
    <row r="581" spans="9:12" x14ac:dyDescent="0.2">
      <c r="I581" s="9"/>
      <c r="J581" s="9"/>
      <c r="K581" s="9"/>
      <c r="L581" s="9"/>
    </row>
    <row r="582" spans="9:12" x14ac:dyDescent="0.2">
      <c r="I582" s="9"/>
      <c r="J582" s="9"/>
      <c r="K582" s="9"/>
      <c r="L582" s="9"/>
    </row>
    <row r="583" spans="9:12" x14ac:dyDescent="0.2">
      <c r="I583" s="9"/>
      <c r="J583" s="9"/>
      <c r="K583" s="9"/>
      <c r="L583" s="9"/>
    </row>
    <row r="584" spans="9:12" x14ac:dyDescent="0.2">
      <c r="I584" s="9"/>
      <c r="J584" s="9"/>
      <c r="K584" s="9"/>
      <c r="L584" s="9"/>
    </row>
    <row r="585" spans="9:12" x14ac:dyDescent="0.2">
      <c r="I585" s="9"/>
      <c r="J585" s="9"/>
      <c r="K585" s="9"/>
      <c r="L585" s="9"/>
    </row>
    <row r="586" spans="9:12" x14ac:dyDescent="0.2">
      <c r="I586" s="9"/>
      <c r="J586" s="9"/>
      <c r="K586" s="9"/>
      <c r="L586" s="9"/>
    </row>
    <row r="587" spans="9:12" x14ac:dyDescent="0.2">
      <c r="I587" s="9"/>
      <c r="J587" s="9"/>
      <c r="K587" s="9"/>
      <c r="L587" s="9"/>
    </row>
    <row r="588" spans="9:12" x14ac:dyDescent="0.2">
      <c r="I588" s="9"/>
      <c r="J588" s="9"/>
      <c r="K588" s="9"/>
      <c r="L588" s="9"/>
    </row>
    <row r="589" spans="9:12" x14ac:dyDescent="0.2">
      <c r="I589" s="9"/>
      <c r="J589" s="9"/>
      <c r="K589" s="9"/>
      <c r="L589" s="9"/>
    </row>
    <row r="590" spans="9:12" x14ac:dyDescent="0.2">
      <c r="I590" s="9"/>
      <c r="J590" s="9"/>
      <c r="K590" s="9"/>
      <c r="L590" s="9"/>
    </row>
    <row r="591" spans="9:12" x14ac:dyDescent="0.2">
      <c r="I591" s="9"/>
      <c r="J591" s="9"/>
      <c r="K591" s="9"/>
      <c r="L591" s="9"/>
    </row>
    <row r="592" spans="9:12" x14ac:dyDescent="0.2">
      <c r="I592" s="9"/>
      <c r="J592" s="9"/>
      <c r="K592" s="9"/>
      <c r="L592" s="9"/>
    </row>
    <row r="593" spans="9:12" x14ac:dyDescent="0.2">
      <c r="I593" s="9"/>
      <c r="J593" s="9"/>
      <c r="K593" s="9"/>
      <c r="L593" s="9"/>
    </row>
    <row r="594" spans="9:12" x14ac:dyDescent="0.2">
      <c r="I594" s="9"/>
      <c r="J594" s="9"/>
      <c r="K594" s="9"/>
      <c r="L594" s="9"/>
    </row>
    <row r="595" spans="9:12" x14ac:dyDescent="0.2">
      <c r="I595" s="9"/>
      <c r="J595" s="9"/>
      <c r="K595" s="9"/>
      <c r="L595" s="9"/>
    </row>
    <row r="596" spans="9:12" x14ac:dyDescent="0.2">
      <c r="I596" s="9"/>
      <c r="J596" s="9"/>
      <c r="K596" s="9"/>
      <c r="L596" s="9"/>
    </row>
    <row r="597" spans="9:12" x14ac:dyDescent="0.2">
      <c r="I597" s="9"/>
      <c r="J597" s="9"/>
      <c r="K597" s="9"/>
      <c r="L597" s="9"/>
    </row>
    <row r="598" spans="9:12" x14ac:dyDescent="0.2">
      <c r="I598" s="9"/>
      <c r="J598" s="9"/>
      <c r="K598" s="9"/>
      <c r="L598" s="9"/>
    </row>
    <row r="599" spans="9:12" x14ac:dyDescent="0.2">
      <c r="I599" s="9"/>
      <c r="J599" s="9"/>
      <c r="K599" s="9"/>
      <c r="L599" s="9"/>
    </row>
    <row r="600" spans="9:12" x14ac:dyDescent="0.2">
      <c r="I600" s="9"/>
      <c r="J600" s="9"/>
      <c r="K600" s="9"/>
      <c r="L600" s="9"/>
    </row>
    <row r="601" spans="9:12" x14ac:dyDescent="0.2">
      <c r="I601" s="9"/>
      <c r="J601" s="9"/>
      <c r="K601" s="9"/>
      <c r="L601" s="9"/>
    </row>
    <row r="602" spans="9:12" x14ac:dyDescent="0.2">
      <c r="I602" s="9"/>
      <c r="J602" s="9"/>
      <c r="K602" s="9"/>
      <c r="L602" s="9"/>
    </row>
    <row r="603" spans="9:12" x14ac:dyDescent="0.2">
      <c r="I603" s="9"/>
      <c r="J603" s="9"/>
      <c r="K603" s="9"/>
      <c r="L603" s="9"/>
    </row>
    <row r="604" spans="9:12" x14ac:dyDescent="0.2">
      <c r="I604" s="9"/>
      <c r="J604" s="9"/>
      <c r="K604" s="9"/>
      <c r="L604" s="9"/>
    </row>
    <row r="605" spans="9:12" x14ac:dyDescent="0.2">
      <c r="I605" s="9"/>
      <c r="J605" s="9"/>
      <c r="K605" s="9"/>
      <c r="L605" s="9"/>
    </row>
    <row r="606" spans="9:12" x14ac:dyDescent="0.2">
      <c r="I606" s="9"/>
      <c r="J606" s="9"/>
      <c r="K606" s="9"/>
      <c r="L606" s="9"/>
    </row>
    <row r="607" spans="9:12" x14ac:dyDescent="0.2">
      <c r="I607" s="9"/>
      <c r="J607" s="9"/>
      <c r="K607" s="9"/>
      <c r="L607" s="9"/>
    </row>
    <row r="608" spans="9:12" x14ac:dyDescent="0.2">
      <c r="I608" s="9"/>
      <c r="J608" s="9"/>
      <c r="K608" s="9"/>
      <c r="L608" s="9"/>
    </row>
    <row r="609" spans="9:12" x14ac:dyDescent="0.2">
      <c r="I609" s="9"/>
      <c r="J609" s="9"/>
      <c r="K609" s="9"/>
      <c r="L609" s="9"/>
    </row>
    <row r="610" spans="9:12" x14ac:dyDescent="0.2">
      <c r="I610" s="9"/>
      <c r="J610" s="9"/>
      <c r="K610" s="9"/>
      <c r="L610" s="9"/>
    </row>
    <row r="611" spans="9:12" x14ac:dyDescent="0.2">
      <c r="I611" s="9"/>
      <c r="J611" s="9"/>
      <c r="K611" s="9"/>
      <c r="L611" s="9"/>
    </row>
    <row r="612" spans="9:12" x14ac:dyDescent="0.2">
      <c r="I612" s="9"/>
      <c r="J612" s="9"/>
      <c r="K612" s="9"/>
      <c r="L612" s="9"/>
    </row>
    <row r="613" spans="9:12" x14ac:dyDescent="0.2">
      <c r="I613" s="9"/>
      <c r="J613" s="9"/>
      <c r="K613" s="9"/>
      <c r="L613" s="9"/>
    </row>
    <row r="614" spans="9:12" x14ac:dyDescent="0.2">
      <c r="I614" s="9"/>
      <c r="J614" s="9"/>
      <c r="K614" s="9"/>
      <c r="L614" s="9"/>
    </row>
    <row r="615" spans="9:12" x14ac:dyDescent="0.2">
      <c r="I615" s="9"/>
      <c r="J615" s="9"/>
      <c r="K615" s="9"/>
      <c r="L615" s="9"/>
    </row>
    <row r="616" spans="9:12" x14ac:dyDescent="0.2">
      <c r="I616" s="9"/>
      <c r="J616" s="9"/>
      <c r="K616" s="9"/>
      <c r="L616" s="9"/>
    </row>
    <row r="617" spans="9:12" x14ac:dyDescent="0.2">
      <c r="I617" s="9"/>
      <c r="J617" s="9"/>
      <c r="K617" s="9"/>
      <c r="L617" s="9"/>
    </row>
    <row r="618" spans="9:12" x14ac:dyDescent="0.2">
      <c r="I618" s="9"/>
      <c r="J618" s="9"/>
      <c r="K618" s="9"/>
      <c r="L618" s="9"/>
    </row>
    <row r="619" spans="9:12" x14ac:dyDescent="0.2">
      <c r="I619" s="9"/>
      <c r="J619" s="9"/>
      <c r="K619" s="9"/>
      <c r="L619" s="9"/>
    </row>
    <row r="620" spans="9:12" x14ac:dyDescent="0.2">
      <c r="I620" s="9"/>
      <c r="J620" s="9"/>
      <c r="K620" s="9"/>
      <c r="L620" s="9"/>
    </row>
    <row r="621" spans="9:12" x14ac:dyDescent="0.2">
      <c r="I621" s="9"/>
      <c r="J621" s="9"/>
      <c r="K621" s="9"/>
      <c r="L621" s="9"/>
    </row>
    <row r="622" spans="9:12" x14ac:dyDescent="0.2">
      <c r="I622" s="9"/>
      <c r="J622" s="9"/>
      <c r="K622" s="9"/>
      <c r="L622" s="9"/>
    </row>
    <row r="623" spans="9:12" x14ac:dyDescent="0.2">
      <c r="I623" s="9"/>
      <c r="J623" s="9"/>
      <c r="K623" s="9"/>
      <c r="L623" s="9"/>
    </row>
    <row r="624" spans="9:12" x14ac:dyDescent="0.2">
      <c r="I624" s="9"/>
      <c r="J624" s="9"/>
      <c r="K624" s="9"/>
      <c r="L624" s="9"/>
    </row>
    <row r="625" spans="9:12" x14ac:dyDescent="0.2">
      <c r="I625" s="9"/>
      <c r="J625" s="9"/>
      <c r="K625" s="9"/>
      <c r="L625" s="9"/>
    </row>
    <row r="626" spans="9:12" x14ac:dyDescent="0.2">
      <c r="I626" s="9"/>
      <c r="J626" s="9"/>
      <c r="K626" s="9"/>
      <c r="L626" s="9"/>
    </row>
    <row r="627" spans="9:12" x14ac:dyDescent="0.2">
      <c r="I627" s="9"/>
      <c r="J627" s="9"/>
      <c r="K627" s="9"/>
      <c r="L627" s="9"/>
    </row>
    <row r="628" spans="9:12" x14ac:dyDescent="0.2">
      <c r="I628" s="9"/>
      <c r="J628" s="9"/>
      <c r="K628" s="9"/>
      <c r="L628" s="9"/>
    </row>
    <row r="629" spans="9:12" x14ac:dyDescent="0.2">
      <c r="I629" s="9"/>
      <c r="J629" s="9"/>
      <c r="K629" s="9"/>
      <c r="L629" s="9"/>
    </row>
    <row r="630" spans="9:12" x14ac:dyDescent="0.2">
      <c r="I630" s="9"/>
      <c r="J630" s="9"/>
      <c r="K630" s="9"/>
      <c r="L630" s="9"/>
    </row>
    <row r="631" spans="9:12" x14ac:dyDescent="0.2">
      <c r="I631" s="9"/>
      <c r="J631" s="9"/>
      <c r="K631" s="9"/>
      <c r="L631" s="9"/>
    </row>
    <row r="632" spans="9:12" x14ac:dyDescent="0.2">
      <c r="I632" s="9"/>
      <c r="J632" s="9"/>
      <c r="K632" s="9"/>
      <c r="L632" s="9"/>
    </row>
    <row r="633" spans="9:12" x14ac:dyDescent="0.2">
      <c r="I633" s="9"/>
      <c r="J633" s="9"/>
      <c r="K633" s="9"/>
      <c r="L633" s="9"/>
    </row>
    <row r="634" spans="9:12" x14ac:dyDescent="0.2">
      <c r="I634" s="9"/>
      <c r="J634" s="9"/>
      <c r="K634" s="9"/>
      <c r="L634" s="9"/>
    </row>
    <row r="635" spans="9:12" x14ac:dyDescent="0.2">
      <c r="I635" s="9"/>
      <c r="J635" s="9"/>
      <c r="K635" s="9"/>
      <c r="L635" s="9"/>
    </row>
    <row r="636" spans="9:12" x14ac:dyDescent="0.2">
      <c r="I636" s="9"/>
      <c r="J636" s="9"/>
      <c r="K636" s="9"/>
      <c r="L636" s="9"/>
    </row>
    <row r="637" spans="9:12" x14ac:dyDescent="0.2">
      <c r="I637" s="9"/>
      <c r="J637" s="9"/>
      <c r="K637" s="9"/>
      <c r="L637" s="9"/>
    </row>
    <row r="638" spans="9:12" x14ac:dyDescent="0.2">
      <c r="I638" s="9"/>
      <c r="J638" s="9"/>
      <c r="K638" s="9"/>
      <c r="L638" s="9"/>
    </row>
    <row r="639" spans="9:12" x14ac:dyDescent="0.2">
      <c r="I639" s="9"/>
      <c r="J639" s="9"/>
      <c r="K639" s="9"/>
      <c r="L639" s="9"/>
    </row>
    <row r="640" spans="9:12" x14ac:dyDescent="0.2">
      <c r="I640" s="9"/>
      <c r="J640" s="9"/>
      <c r="K640" s="9"/>
      <c r="L640" s="9"/>
    </row>
    <row r="641" spans="9:12" x14ac:dyDescent="0.2">
      <c r="I641" s="9"/>
      <c r="J641" s="9"/>
      <c r="K641" s="9"/>
      <c r="L641" s="9"/>
    </row>
    <row r="642" spans="9:12" x14ac:dyDescent="0.2">
      <c r="I642" s="9"/>
      <c r="J642" s="9"/>
      <c r="K642" s="9"/>
      <c r="L642" s="9"/>
    </row>
    <row r="643" spans="9:12" x14ac:dyDescent="0.2">
      <c r="I643" s="9"/>
      <c r="J643" s="9"/>
      <c r="K643" s="9"/>
      <c r="L643" s="9"/>
    </row>
    <row r="644" spans="9:12" x14ac:dyDescent="0.2">
      <c r="I644" s="9"/>
      <c r="J644" s="9"/>
      <c r="K644" s="9"/>
      <c r="L644" s="9"/>
    </row>
    <row r="645" spans="9:12" x14ac:dyDescent="0.2">
      <c r="I645" s="9"/>
      <c r="J645" s="9"/>
      <c r="K645" s="9"/>
      <c r="L645" s="9"/>
    </row>
    <row r="646" spans="9:12" x14ac:dyDescent="0.2">
      <c r="I646" s="9"/>
      <c r="J646" s="9"/>
      <c r="K646" s="9"/>
      <c r="L646" s="9"/>
    </row>
    <row r="647" spans="9:12" x14ac:dyDescent="0.2">
      <c r="I647" s="9"/>
      <c r="J647" s="9"/>
      <c r="K647" s="9"/>
      <c r="L647" s="9"/>
    </row>
    <row r="648" spans="9:12" x14ac:dyDescent="0.2">
      <c r="I648" s="9"/>
      <c r="J648" s="9"/>
      <c r="K648" s="9"/>
      <c r="L648" s="9"/>
    </row>
    <row r="649" spans="9:12" x14ac:dyDescent="0.2">
      <c r="I649" s="9"/>
      <c r="J649" s="9"/>
      <c r="K649" s="9"/>
      <c r="L649" s="9"/>
    </row>
    <row r="650" spans="9:12" x14ac:dyDescent="0.2">
      <c r="I650" s="9"/>
      <c r="J650" s="9"/>
      <c r="K650" s="9"/>
      <c r="L650" s="9"/>
    </row>
    <row r="651" spans="9:12" x14ac:dyDescent="0.2">
      <c r="I651" s="9"/>
      <c r="J651" s="9"/>
      <c r="K651" s="9"/>
      <c r="L651" s="9"/>
    </row>
    <row r="652" spans="9:12" x14ac:dyDescent="0.2">
      <c r="I652" s="9"/>
      <c r="J652" s="9"/>
      <c r="K652" s="9"/>
      <c r="L652" s="9"/>
    </row>
    <row r="653" spans="9:12" x14ac:dyDescent="0.2">
      <c r="I653" s="9"/>
      <c r="J653" s="9"/>
      <c r="K653" s="9"/>
      <c r="L653" s="9"/>
    </row>
    <row r="654" spans="9:12" x14ac:dyDescent="0.2">
      <c r="I654" s="9"/>
      <c r="J654" s="9"/>
      <c r="K654" s="9"/>
      <c r="L654" s="9"/>
    </row>
    <row r="655" spans="9:12" x14ac:dyDescent="0.2">
      <c r="I655" s="9"/>
      <c r="J655" s="9"/>
      <c r="K655" s="9"/>
      <c r="L655" s="9"/>
    </row>
    <row r="656" spans="9:12" x14ac:dyDescent="0.2">
      <c r="I656" s="9"/>
      <c r="J656" s="9"/>
      <c r="K656" s="9"/>
      <c r="L656" s="9"/>
    </row>
    <row r="657" spans="9:12" x14ac:dyDescent="0.2">
      <c r="I657" s="9"/>
      <c r="J657" s="9"/>
      <c r="K657" s="9"/>
      <c r="L657" s="9"/>
    </row>
    <row r="658" spans="9:12" x14ac:dyDescent="0.2">
      <c r="I658" s="9"/>
      <c r="J658" s="9"/>
      <c r="K658" s="9"/>
      <c r="L658" s="9"/>
    </row>
    <row r="659" spans="9:12" x14ac:dyDescent="0.2">
      <c r="I659" s="9"/>
      <c r="J659" s="9"/>
      <c r="K659" s="9"/>
      <c r="L659" s="9"/>
    </row>
    <row r="660" spans="9:12" x14ac:dyDescent="0.2">
      <c r="I660" s="9"/>
      <c r="J660" s="9"/>
      <c r="K660" s="9"/>
      <c r="L660" s="9"/>
    </row>
    <row r="661" spans="9:12" x14ac:dyDescent="0.2">
      <c r="I661" s="9"/>
      <c r="J661" s="9"/>
      <c r="K661" s="9"/>
      <c r="L661" s="9"/>
    </row>
    <row r="662" spans="9:12" x14ac:dyDescent="0.2">
      <c r="I662" s="9"/>
      <c r="J662" s="9"/>
      <c r="K662" s="9"/>
      <c r="L662" s="9"/>
    </row>
    <row r="663" spans="9:12" x14ac:dyDescent="0.2">
      <c r="I663" s="9"/>
      <c r="J663" s="9"/>
      <c r="K663" s="9"/>
      <c r="L663" s="9"/>
    </row>
    <row r="664" spans="9:12" x14ac:dyDescent="0.2">
      <c r="I664" s="9"/>
      <c r="J664" s="9"/>
      <c r="K664" s="9"/>
      <c r="L664" s="9"/>
    </row>
    <row r="665" spans="9:12" x14ac:dyDescent="0.2">
      <c r="I665" s="9"/>
      <c r="J665" s="9"/>
      <c r="K665" s="9"/>
      <c r="L665" s="9"/>
    </row>
    <row r="666" spans="9:12" x14ac:dyDescent="0.2">
      <c r="I666" s="9"/>
      <c r="J666" s="9"/>
      <c r="K666" s="9"/>
      <c r="L666" s="9"/>
    </row>
    <row r="667" spans="9:12" x14ac:dyDescent="0.2">
      <c r="I667" s="9"/>
      <c r="J667" s="9"/>
      <c r="K667" s="9"/>
      <c r="L667" s="9"/>
    </row>
    <row r="668" spans="9:12" x14ac:dyDescent="0.2">
      <c r="I668" s="9"/>
      <c r="J668" s="9"/>
      <c r="K668" s="9"/>
      <c r="L668" s="9"/>
    </row>
    <row r="669" spans="9:12" x14ac:dyDescent="0.2">
      <c r="I669" s="9"/>
      <c r="J669" s="9"/>
      <c r="K669" s="9"/>
      <c r="L669" s="9"/>
    </row>
    <row r="670" spans="9:12" x14ac:dyDescent="0.2">
      <c r="I670" s="9"/>
      <c r="J670" s="9"/>
      <c r="K670" s="9"/>
      <c r="L670" s="9"/>
    </row>
    <row r="671" spans="9:12" x14ac:dyDescent="0.2">
      <c r="I671" s="9"/>
      <c r="J671" s="9"/>
      <c r="K671" s="9"/>
      <c r="L671" s="9"/>
    </row>
    <row r="672" spans="9:12" x14ac:dyDescent="0.2">
      <c r="I672" s="9"/>
      <c r="J672" s="9"/>
      <c r="K672" s="9"/>
      <c r="L672" s="9"/>
    </row>
    <row r="673" spans="9:12" x14ac:dyDescent="0.2">
      <c r="I673" s="9"/>
      <c r="J673" s="9"/>
      <c r="K673" s="9"/>
      <c r="L673" s="9"/>
    </row>
    <row r="674" spans="9:12" x14ac:dyDescent="0.2">
      <c r="I674" s="9"/>
      <c r="J674" s="9"/>
      <c r="K674" s="9"/>
      <c r="L674" s="9"/>
    </row>
    <row r="675" spans="9:12" x14ac:dyDescent="0.2">
      <c r="I675" s="9"/>
      <c r="J675" s="9"/>
      <c r="K675" s="9"/>
      <c r="L675" s="9"/>
    </row>
    <row r="676" spans="9:12" x14ac:dyDescent="0.2">
      <c r="I676" s="9"/>
      <c r="J676" s="9"/>
      <c r="K676" s="9"/>
      <c r="L676" s="9"/>
    </row>
    <row r="677" spans="9:12" x14ac:dyDescent="0.2">
      <c r="I677" s="9"/>
      <c r="J677" s="9"/>
      <c r="K677" s="9"/>
      <c r="L677" s="9"/>
    </row>
    <row r="678" spans="9:12" x14ac:dyDescent="0.2">
      <c r="I678" s="9"/>
      <c r="J678" s="9"/>
      <c r="K678" s="9"/>
      <c r="L678" s="9"/>
    </row>
    <row r="679" spans="9:12" x14ac:dyDescent="0.2">
      <c r="I679" s="9"/>
      <c r="J679" s="9"/>
      <c r="K679" s="9"/>
      <c r="L679" s="9"/>
    </row>
    <row r="680" spans="9:12" x14ac:dyDescent="0.2">
      <c r="I680" s="9"/>
      <c r="J680" s="9"/>
      <c r="K680" s="9"/>
      <c r="L680" s="9"/>
    </row>
    <row r="681" spans="9:12" x14ac:dyDescent="0.2">
      <c r="I681" s="9"/>
      <c r="J681" s="9"/>
      <c r="K681" s="9"/>
      <c r="L681" s="9"/>
    </row>
    <row r="682" spans="9:12" x14ac:dyDescent="0.2">
      <c r="I682" s="9"/>
      <c r="J682" s="9"/>
      <c r="K682" s="9"/>
      <c r="L682" s="9"/>
    </row>
    <row r="683" spans="9:12" x14ac:dyDescent="0.2">
      <c r="I683" s="9"/>
      <c r="J683" s="9"/>
      <c r="K683" s="9"/>
      <c r="L683" s="9"/>
    </row>
    <row r="684" spans="9:12" x14ac:dyDescent="0.2">
      <c r="I684" s="9"/>
      <c r="J684" s="9"/>
      <c r="K684" s="9"/>
      <c r="L684" s="9"/>
    </row>
    <row r="685" spans="9:12" x14ac:dyDescent="0.2">
      <c r="I685" s="9"/>
      <c r="J685" s="9"/>
      <c r="K685" s="9"/>
      <c r="L685" s="9"/>
    </row>
    <row r="686" spans="9:12" x14ac:dyDescent="0.2">
      <c r="I686" s="9"/>
      <c r="J686" s="9"/>
      <c r="K686" s="9"/>
      <c r="L686" s="9"/>
    </row>
    <row r="687" spans="9:12" x14ac:dyDescent="0.2">
      <c r="I687" s="9"/>
      <c r="J687" s="9"/>
      <c r="K687" s="9"/>
      <c r="L687" s="9"/>
    </row>
    <row r="688" spans="9:12" x14ac:dyDescent="0.2">
      <c r="I688" s="9"/>
      <c r="J688" s="9"/>
      <c r="K688" s="9"/>
      <c r="L688" s="9"/>
    </row>
    <row r="689" spans="9:12" x14ac:dyDescent="0.2">
      <c r="I689" s="9"/>
      <c r="J689" s="9"/>
      <c r="K689" s="9"/>
      <c r="L689" s="9"/>
    </row>
    <row r="690" spans="9:12" x14ac:dyDescent="0.2">
      <c r="I690" s="9"/>
      <c r="J690" s="9"/>
      <c r="K690" s="9"/>
      <c r="L690" s="9"/>
    </row>
    <row r="691" spans="9:12" x14ac:dyDescent="0.2">
      <c r="I691" s="9"/>
      <c r="J691" s="9"/>
      <c r="K691" s="9"/>
      <c r="L691" s="9"/>
    </row>
    <row r="692" spans="9:12" x14ac:dyDescent="0.2">
      <c r="I692" s="9"/>
      <c r="J692" s="9"/>
      <c r="K692" s="9"/>
      <c r="L692" s="9"/>
    </row>
    <row r="693" spans="9:12" x14ac:dyDescent="0.2">
      <c r="I693" s="9"/>
      <c r="J693" s="9"/>
      <c r="K693" s="9"/>
      <c r="L693" s="9"/>
    </row>
    <row r="694" spans="9:12" x14ac:dyDescent="0.2">
      <c r="I694" s="9"/>
      <c r="J694" s="9"/>
      <c r="K694" s="9"/>
      <c r="L694" s="9"/>
    </row>
    <row r="695" spans="9:12" x14ac:dyDescent="0.2">
      <c r="I695" s="9"/>
      <c r="J695" s="9"/>
      <c r="K695" s="9"/>
      <c r="L695" s="9"/>
    </row>
    <row r="696" spans="9:12" x14ac:dyDescent="0.2">
      <c r="I696" s="9"/>
      <c r="J696" s="9"/>
      <c r="K696" s="9"/>
      <c r="L696" s="9"/>
    </row>
    <row r="697" spans="9:12" x14ac:dyDescent="0.2">
      <c r="I697" s="9"/>
      <c r="J697" s="9"/>
      <c r="K697" s="9"/>
      <c r="L697" s="9"/>
    </row>
    <row r="698" spans="9:12" x14ac:dyDescent="0.2">
      <c r="I698" s="9"/>
      <c r="J698" s="9"/>
      <c r="K698" s="9"/>
      <c r="L698" s="9"/>
    </row>
    <row r="699" spans="9:12" x14ac:dyDescent="0.2">
      <c r="I699" s="9"/>
      <c r="J699" s="9"/>
      <c r="K699" s="9"/>
      <c r="L699" s="9"/>
    </row>
    <row r="700" spans="9:12" x14ac:dyDescent="0.2">
      <c r="I700" s="9"/>
      <c r="J700" s="9"/>
      <c r="K700" s="9"/>
      <c r="L700" s="9"/>
    </row>
    <row r="701" spans="9:12" x14ac:dyDescent="0.2">
      <c r="I701" s="9"/>
      <c r="J701" s="9"/>
      <c r="K701" s="9"/>
      <c r="L701" s="9"/>
    </row>
    <row r="702" spans="9:12" x14ac:dyDescent="0.2">
      <c r="I702" s="9"/>
      <c r="J702" s="9"/>
      <c r="K702" s="9"/>
      <c r="L702" s="9"/>
    </row>
    <row r="703" spans="9:12" x14ac:dyDescent="0.2">
      <c r="I703" s="9"/>
      <c r="J703" s="9"/>
      <c r="K703" s="9"/>
      <c r="L703" s="9"/>
    </row>
    <row r="704" spans="9:12" x14ac:dyDescent="0.2">
      <c r="I704" s="9"/>
      <c r="J704" s="9"/>
      <c r="K704" s="9"/>
      <c r="L704" s="9"/>
    </row>
    <row r="705" spans="9:12" x14ac:dyDescent="0.2">
      <c r="I705" s="9"/>
      <c r="J705" s="9"/>
      <c r="K705" s="9"/>
      <c r="L705" s="9"/>
    </row>
    <row r="706" spans="9:12" x14ac:dyDescent="0.2">
      <c r="I706" s="9"/>
      <c r="J706" s="9"/>
      <c r="K706" s="9"/>
      <c r="L706" s="9"/>
    </row>
    <row r="707" spans="9:12" x14ac:dyDescent="0.2">
      <c r="I707" s="9"/>
      <c r="J707" s="9"/>
      <c r="K707" s="9"/>
      <c r="L707" s="9"/>
    </row>
    <row r="708" spans="9:12" x14ac:dyDescent="0.2">
      <c r="I708" s="9"/>
      <c r="J708" s="9"/>
      <c r="K708" s="9"/>
      <c r="L708" s="9"/>
    </row>
    <row r="709" spans="9:12" x14ac:dyDescent="0.2">
      <c r="I709" s="9"/>
      <c r="J709" s="9"/>
      <c r="K709" s="9"/>
      <c r="L709" s="9"/>
    </row>
    <row r="710" spans="9:12" x14ac:dyDescent="0.2">
      <c r="I710" s="9"/>
      <c r="J710" s="9"/>
      <c r="K710" s="9"/>
      <c r="L710" s="9"/>
    </row>
    <row r="711" spans="9:12" x14ac:dyDescent="0.2">
      <c r="I711" s="9"/>
      <c r="J711" s="9"/>
      <c r="K711" s="9"/>
      <c r="L711" s="9"/>
    </row>
    <row r="712" spans="9:12" x14ac:dyDescent="0.2">
      <c r="I712" s="9"/>
      <c r="J712" s="9"/>
      <c r="K712" s="9"/>
      <c r="L712" s="9"/>
    </row>
    <row r="713" spans="9:12" x14ac:dyDescent="0.2">
      <c r="I713" s="9"/>
      <c r="J713" s="9"/>
      <c r="K713" s="9"/>
      <c r="L713" s="9"/>
    </row>
    <row r="714" spans="9:12" x14ac:dyDescent="0.2">
      <c r="I714" s="9"/>
      <c r="J714" s="9"/>
      <c r="K714" s="9"/>
      <c r="L714" s="9"/>
    </row>
    <row r="715" spans="9:12" x14ac:dyDescent="0.2">
      <c r="I715" s="9"/>
      <c r="J715" s="9"/>
      <c r="K715" s="9"/>
      <c r="L715" s="9"/>
    </row>
    <row r="716" spans="9:12" x14ac:dyDescent="0.2">
      <c r="I716" s="9"/>
      <c r="J716" s="9"/>
      <c r="K716" s="9"/>
      <c r="L716" s="9"/>
    </row>
    <row r="717" spans="9:12" x14ac:dyDescent="0.2">
      <c r="I717" s="9"/>
      <c r="J717" s="9"/>
      <c r="K717" s="9"/>
      <c r="L717" s="9"/>
    </row>
    <row r="718" spans="9:12" x14ac:dyDescent="0.2">
      <c r="I718" s="9"/>
      <c r="J718" s="9"/>
      <c r="K718" s="9"/>
      <c r="L718" s="9"/>
    </row>
    <row r="719" spans="9:12" x14ac:dyDescent="0.2">
      <c r="I719" s="9"/>
      <c r="J719" s="9"/>
      <c r="K719" s="9"/>
      <c r="L719" s="9"/>
    </row>
    <row r="720" spans="9:12" x14ac:dyDescent="0.2">
      <c r="I720" s="9"/>
      <c r="J720" s="9"/>
      <c r="K720" s="9"/>
      <c r="L720" s="9"/>
    </row>
    <row r="721" spans="9:12" x14ac:dyDescent="0.2">
      <c r="I721" s="9"/>
      <c r="J721" s="9"/>
      <c r="K721" s="9"/>
      <c r="L721" s="9"/>
    </row>
    <row r="722" spans="9:12" x14ac:dyDescent="0.2">
      <c r="I722" s="9"/>
      <c r="J722" s="9"/>
      <c r="K722" s="9"/>
      <c r="L722" s="9"/>
    </row>
    <row r="723" spans="9:12" x14ac:dyDescent="0.2">
      <c r="I723" s="9"/>
      <c r="J723" s="9"/>
      <c r="K723" s="9"/>
      <c r="L723" s="9"/>
    </row>
    <row r="724" spans="9:12" x14ac:dyDescent="0.2">
      <c r="I724" s="9"/>
      <c r="J724" s="9"/>
      <c r="K724" s="9"/>
      <c r="L724" s="9"/>
    </row>
    <row r="725" spans="9:12" x14ac:dyDescent="0.2">
      <c r="I725" s="9"/>
      <c r="J725" s="9"/>
      <c r="K725" s="9"/>
      <c r="L725" s="9"/>
    </row>
    <row r="726" spans="9:12" x14ac:dyDescent="0.2">
      <c r="I726" s="9"/>
      <c r="J726" s="9"/>
      <c r="K726" s="9"/>
      <c r="L726" s="9"/>
    </row>
    <row r="727" spans="9:12" x14ac:dyDescent="0.2">
      <c r="I727" s="9"/>
      <c r="J727" s="9"/>
      <c r="K727" s="9"/>
      <c r="L727" s="9"/>
    </row>
    <row r="728" spans="9:12" x14ac:dyDescent="0.2">
      <c r="I728" s="9"/>
      <c r="J728" s="9"/>
      <c r="K728" s="9"/>
      <c r="L728" s="9"/>
    </row>
    <row r="729" spans="9:12" x14ac:dyDescent="0.2">
      <c r="I729" s="9"/>
      <c r="J729" s="9"/>
      <c r="K729" s="9"/>
      <c r="L729" s="9"/>
    </row>
    <row r="730" spans="9:12" x14ac:dyDescent="0.2">
      <c r="I730" s="9"/>
      <c r="J730" s="9"/>
      <c r="K730" s="9"/>
      <c r="L730" s="9"/>
    </row>
    <row r="731" spans="9:12" x14ac:dyDescent="0.2">
      <c r="I731" s="9"/>
      <c r="J731" s="9"/>
      <c r="K731" s="9"/>
      <c r="L731" s="9"/>
    </row>
    <row r="732" spans="9:12" x14ac:dyDescent="0.2">
      <c r="I732" s="9"/>
      <c r="J732" s="9"/>
      <c r="K732" s="9"/>
      <c r="L732" s="9"/>
    </row>
    <row r="733" spans="9:12" x14ac:dyDescent="0.2">
      <c r="I733" s="9"/>
      <c r="J733" s="9"/>
      <c r="K733" s="9"/>
      <c r="L733" s="9"/>
    </row>
    <row r="734" spans="9:12" x14ac:dyDescent="0.2">
      <c r="I734" s="9"/>
      <c r="J734" s="9"/>
      <c r="K734" s="9"/>
      <c r="L734" s="9"/>
    </row>
    <row r="735" spans="9:12" x14ac:dyDescent="0.2">
      <c r="I735" s="9"/>
      <c r="J735" s="9"/>
      <c r="K735" s="9"/>
      <c r="L735" s="9"/>
    </row>
    <row r="736" spans="9:12" x14ac:dyDescent="0.2">
      <c r="I736" s="9"/>
      <c r="J736" s="9"/>
      <c r="K736" s="9"/>
      <c r="L736" s="9"/>
    </row>
    <row r="737" spans="9:12" x14ac:dyDescent="0.2">
      <c r="I737" s="9"/>
      <c r="J737" s="9"/>
      <c r="K737" s="9"/>
      <c r="L737" s="9"/>
    </row>
    <row r="738" spans="9:12" x14ac:dyDescent="0.2">
      <c r="I738" s="9"/>
      <c r="J738" s="9"/>
      <c r="K738" s="9"/>
      <c r="L738" s="9"/>
    </row>
    <row r="739" spans="9:12" x14ac:dyDescent="0.2">
      <c r="I739" s="9"/>
      <c r="J739" s="9"/>
      <c r="K739" s="9"/>
      <c r="L739" s="9"/>
    </row>
    <row r="740" spans="9:12" x14ac:dyDescent="0.2">
      <c r="I740" s="9"/>
      <c r="J740" s="9"/>
      <c r="K740" s="9"/>
      <c r="L740" s="9"/>
    </row>
    <row r="741" spans="9:12" x14ac:dyDescent="0.2">
      <c r="I741" s="9"/>
      <c r="J741" s="9"/>
      <c r="K741" s="9"/>
      <c r="L741" s="9"/>
    </row>
    <row r="742" spans="9:12" x14ac:dyDescent="0.2">
      <c r="I742" s="9"/>
      <c r="J742" s="9"/>
      <c r="K742" s="9"/>
      <c r="L742" s="9"/>
    </row>
    <row r="743" spans="9:12" x14ac:dyDescent="0.2">
      <c r="I743" s="9"/>
      <c r="J743" s="9"/>
      <c r="K743" s="9"/>
      <c r="L743" s="9"/>
    </row>
    <row r="744" spans="9:12" x14ac:dyDescent="0.2">
      <c r="I744" s="9"/>
      <c r="J744" s="9"/>
      <c r="K744" s="9"/>
      <c r="L744" s="9"/>
    </row>
    <row r="745" spans="9:12" x14ac:dyDescent="0.2">
      <c r="I745" s="9"/>
      <c r="J745" s="9"/>
      <c r="K745" s="9"/>
      <c r="L745" s="9"/>
    </row>
    <row r="746" spans="9:12" x14ac:dyDescent="0.2">
      <c r="I746" s="9"/>
      <c r="J746" s="9"/>
      <c r="K746" s="9"/>
      <c r="L746" s="9"/>
    </row>
    <row r="747" spans="9:12" x14ac:dyDescent="0.2">
      <c r="I747" s="9"/>
      <c r="J747" s="9"/>
      <c r="K747" s="9"/>
      <c r="L747" s="9"/>
    </row>
    <row r="748" spans="9:12" x14ac:dyDescent="0.2">
      <c r="I748" s="9"/>
      <c r="J748" s="9"/>
      <c r="K748" s="9"/>
      <c r="L748" s="9"/>
    </row>
    <row r="749" spans="9:12" x14ac:dyDescent="0.2">
      <c r="I749" s="9"/>
      <c r="J749" s="9"/>
      <c r="K749" s="9"/>
      <c r="L749" s="9"/>
    </row>
    <row r="750" spans="9:12" x14ac:dyDescent="0.2">
      <c r="I750" s="9"/>
      <c r="J750" s="9"/>
      <c r="K750" s="9"/>
      <c r="L750" s="9"/>
    </row>
    <row r="751" spans="9:12" x14ac:dyDescent="0.2">
      <c r="I751" s="9"/>
      <c r="J751" s="9"/>
      <c r="K751" s="9"/>
      <c r="L751" s="9"/>
    </row>
    <row r="752" spans="9:12" x14ac:dyDescent="0.2">
      <c r="I752" s="9"/>
      <c r="J752" s="9"/>
      <c r="K752" s="9"/>
      <c r="L752" s="9"/>
    </row>
    <row r="753" spans="9:12" x14ac:dyDescent="0.2">
      <c r="I753" s="9"/>
      <c r="J753" s="9"/>
      <c r="K753" s="9"/>
      <c r="L753" s="9"/>
    </row>
    <row r="754" spans="9:12" x14ac:dyDescent="0.2">
      <c r="I754" s="9"/>
      <c r="J754" s="9"/>
      <c r="K754" s="9"/>
      <c r="L754" s="9"/>
    </row>
    <row r="755" spans="9:12" x14ac:dyDescent="0.2">
      <c r="I755" s="9"/>
      <c r="J755" s="9"/>
      <c r="K755" s="9"/>
      <c r="L755" s="9"/>
    </row>
    <row r="756" spans="9:12" x14ac:dyDescent="0.2">
      <c r="I756" s="9"/>
      <c r="J756" s="9"/>
      <c r="K756" s="9"/>
      <c r="L756" s="9"/>
    </row>
    <row r="757" spans="9:12" x14ac:dyDescent="0.2">
      <c r="I757" s="9"/>
      <c r="J757" s="9"/>
      <c r="K757" s="9"/>
      <c r="L757" s="9"/>
    </row>
    <row r="758" spans="9:12" x14ac:dyDescent="0.2">
      <c r="I758" s="9"/>
      <c r="J758" s="9"/>
      <c r="K758" s="9"/>
      <c r="L758" s="9"/>
    </row>
    <row r="759" spans="9:12" x14ac:dyDescent="0.2">
      <c r="I759" s="9"/>
      <c r="J759" s="9"/>
      <c r="K759" s="9"/>
      <c r="L759" s="9"/>
    </row>
    <row r="760" spans="9:12" x14ac:dyDescent="0.2">
      <c r="I760" s="9"/>
      <c r="J760" s="9"/>
      <c r="K760" s="9"/>
      <c r="L760" s="9"/>
    </row>
    <row r="761" spans="9:12" x14ac:dyDescent="0.2">
      <c r="I761" s="9"/>
      <c r="J761" s="9"/>
      <c r="K761" s="9"/>
      <c r="L761" s="9"/>
    </row>
    <row r="762" spans="9:12" x14ac:dyDescent="0.2">
      <c r="I762" s="9"/>
      <c r="J762" s="9"/>
      <c r="K762" s="9"/>
      <c r="L762" s="9"/>
    </row>
    <row r="763" spans="9:12" x14ac:dyDescent="0.2">
      <c r="I763" s="9"/>
      <c r="J763" s="9"/>
      <c r="K763" s="9"/>
      <c r="L763" s="9"/>
    </row>
    <row r="764" spans="9:12" x14ac:dyDescent="0.2">
      <c r="I764" s="9"/>
      <c r="J764" s="9"/>
      <c r="K764" s="9"/>
      <c r="L764" s="9"/>
    </row>
    <row r="765" spans="9:12" x14ac:dyDescent="0.2">
      <c r="I765" s="9"/>
      <c r="J765" s="9"/>
      <c r="K765" s="9"/>
      <c r="L765" s="9"/>
    </row>
    <row r="766" spans="9:12" x14ac:dyDescent="0.2">
      <c r="I766" s="9"/>
      <c r="J766" s="9"/>
      <c r="K766" s="9"/>
      <c r="L766" s="9"/>
    </row>
    <row r="767" spans="9:12" x14ac:dyDescent="0.2">
      <c r="I767" s="9"/>
      <c r="J767" s="9"/>
      <c r="K767" s="9"/>
      <c r="L767" s="9"/>
    </row>
    <row r="768" spans="9:12" x14ac:dyDescent="0.2">
      <c r="I768" s="9"/>
      <c r="J768" s="9"/>
      <c r="K768" s="9"/>
      <c r="L768" s="9"/>
    </row>
    <row r="769" spans="9:12" x14ac:dyDescent="0.2">
      <c r="I769" s="9"/>
      <c r="J769" s="9"/>
      <c r="K769" s="9"/>
      <c r="L769" s="9"/>
    </row>
    <row r="770" spans="9:12" x14ac:dyDescent="0.2">
      <c r="I770" s="9"/>
      <c r="J770" s="9"/>
      <c r="K770" s="9"/>
      <c r="L770" s="9"/>
    </row>
    <row r="771" spans="9:12" x14ac:dyDescent="0.2">
      <c r="I771" s="9"/>
      <c r="J771" s="9"/>
      <c r="K771" s="9"/>
      <c r="L771" s="9"/>
    </row>
    <row r="772" spans="9:12" x14ac:dyDescent="0.2">
      <c r="I772" s="9"/>
      <c r="J772" s="9"/>
      <c r="K772" s="9"/>
      <c r="L772" s="9"/>
    </row>
    <row r="773" spans="9:12" x14ac:dyDescent="0.2">
      <c r="I773" s="9"/>
      <c r="J773" s="9"/>
      <c r="K773" s="9"/>
      <c r="L773" s="9"/>
    </row>
    <row r="774" spans="9:12" x14ac:dyDescent="0.2">
      <c r="I774" s="9"/>
      <c r="J774" s="9"/>
      <c r="K774" s="9"/>
      <c r="L774" s="9"/>
    </row>
    <row r="775" spans="9:12" x14ac:dyDescent="0.2">
      <c r="I775" s="9"/>
      <c r="J775" s="9"/>
      <c r="K775" s="9"/>
      <c r="L775" s="9"/>
    </row>
    <row r="776" spans="9:12" x14ac:dyDescent="0.2">
      <c r="I776" s="9"/>
      <c r="J776" s="9"/>
      <c r="K776" s="9"/>
      <c r="L776" s="9"/>
    </row>
    <row r="777" spans="9:12" x14ac:dyDescent="0.2">
      <c r="I777" s="9"/>
      <c r="J777" s="9"/>
      <c r="K777" s="9"/>
      <c r="L777" s="9"/>
    </row>
    <row r="778" spans="9:12" x14ac:dyDescent="0.2">
      <c r="I778" s="9"/>
      <c r="J778" s="9"/>
      <c r="K778" s="9"/>
      <c r="L778" s="9"/>
    </row>
    <row r="779" spans="9:12" x14ac:dyDescent="0.2">
      <c r="I779" s="9"/>
      <c r="J779" s="9"/>
      <c r="K779" s="9"/>
      <c r="L779" s="9"/>
    </row>
    <row r="780" spans="9:12" x14ac:dyDescent="0.2">
      <c r="I780" s="9"/>
      <c r="J780" s="9"/>
      <c r="K780" s="9"/>
      <c r="L780" s="9"/>
    </row>
    <row r="781" spans="9:12" x14ac:dyDescent="0.2">
      <c r="I781" s="9"/>
      <c r="J781" s="9"/>
      <c r="K781" s="9"/>
      <c r="L781" s="9"/>
    </row>
    <row r="782" spans="9:12" x14ac:dyDescent="0.2">
      <c r="I782" s="9"/>
      <c r="J782" s="9"/>
      <c r="K782" s="9"/>
      <c r="L782" s="9"/>
    </row>
    <row r="783" spans="9:12" x14ac:dyDescent="0.2">
      <c r="I783" s="9"/>
      <c r="J783" s="9"/>
      <c r="K783" s="9"/>
      <c r="L783" s="9"/>
    </row>
    <row r="784" spans="9:12" x14ac:dyDescent="0.2">
      <c r="I784" s="9"/>
      <c r="J784" s="9"/>
      <c r="K784" s="9"/>
      <c r="L784" s="9"/>
    </row>
    <row r="785" spans="9:12" x14ac:dyDescent="0.2">
      <c r="I785" s="9"/>
      <c r="J785" s="9"/>
      <c r="K785" s="9"/>
      <c r="L785" s="9"/>
    </row>
    <row r="786" spans="9:12" x14ac:dyDescent="0.2">
      <c r="I786" s="9"/>
      <c r="J786" s="9"/>
      <c r="K786" s="9"/>
      <c r="L786" s="9"/>
    </row>
    <row r="787" spans="9:12" x14ac:dyDescent="0.2">
      <c r="I787" s="9"/>
      <c r="J787" s="9"/>
      <c r="K787" s="9"/>
      <c r="L787" s="9"/>
    </row>
    <row r="788" spans="9:12" x14ac:dyDescent="0.2">
      <c r="I788" s="9"/>
      <c r="J788" s="9"/>
      <c r="K788" s="9"/>
      <c r="L788" s="9"/>
    </row>
    <row r="789" spans="9:12" x14ac:dyDescent="0.2">
      <c r="I789" s="9"/>
      <c r="J789" s="9"/>
      <c r="K789" s="9"/>
      <c r="L789" s="9"/>
    </row>
    <row r="790" spans="9:12" x14ac:dyDescent="0.2">
      <c r="I790" s="9"/>
      <c r="J790" s="9"/>
      <c r="K790" s="9"/>
      <c r="L790" s="9"/>
    </row>
    <row r="791" spans="9:12" x14ac:dyDescent="0.2">
      <c r="I791" s="9"/>
      <c r="J791" s="9"/>
      <c r="K791" s="9"/>
      <c r="L791" s="9"/>
    </row>
    <row r="792" spans="9:12" x14ac:dyDescent="0.2">
      <c r="I792" s="9"/>
      <c r="J792" s="9"/>
      <c r="K792" s="9"/>
      <c r="L792" s="9"/>
    </row>
    <row r="793" spans="9:12" x14ac:dyDescent="0.2">
      <c r="I793" s="9"/>
      <c r="J793" s="9"/>
      <c r="K793" s="9"/>
      <c r="L793" s="9"/>
    </row>
    <row r="794" spans="9:12" x14ac:dyDescent="0.2">
      <c r="I794" s="9"/>
      <c r="J794" s="9"/>
      <c r="K794" s="9"/>
      <c r="L794" s="9"/>
    </row>
    <row r="795" spans="9:12" x14ac:dyDescent="0.2">
      <c r="I795" s="9"/>
      <c r="J795" s="9"/>
      <c r="K795" s="9"/>
      <c r="L795" s="9"/>
    </row>
    <row r="796" spans="9:12" x14ac:dyDescent="0.2">
      <c r="I796" s="9"/>
      <c r="J796" s="9"/>
      <c r="K796" s="9"/>
      <c r="L796" s="9"/>
    </row>
    <row r="797" spans="9:12" x14ac:dyDescent="0.2">
      <c r="I797" s="9"/>
      <c r="J797" s="9"/>
      <c r="K797" s="9"/>
      <c r="L797" s="9"/>
    </row>
    <row r="798" spans="9:12" x14ac:dyDescent="0.2">
      <c r="I798" s="9"/>
      <c r="J798" s="9"/>
      <c r="K798" s="9"/>
      <c r="L798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240816B014</vt:lpstr>
      <vt:lpstr>240816B015</vt:lpstr>
      <vt:lpstr>240816B016</vt:lpstr>
      <vt:lpstr>240816B017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Breanna Walsh</cp:lastModifiedBy>
  <dcterms:created xsi:type="dcterms:W3CDTF">2024-07-26T18:06:04Z</dcterms:created>
  <dcterms:modified xsi:type="dcterms:W3CDTF">2024-08-17T20:43:55Z</dcterms:modified>
</cp:coreProperties>
</file>