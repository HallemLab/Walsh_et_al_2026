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eannawalsh/Documents/UCLA :: 2019-2027/Hallem Lab/Data/Calcium Imaging Data/Ss iL3s - BAG/2024-0821/"/>
    </mc:Choice>
  </mc:AlternateContent>
  <xr:revisionPtr revIDLastSave="0" documentId="13_ncr:1_{5EDDE1B4-1864-4D4B-90B9-C57265CF4E68}" xr6:coauthVersionLast="47" xr6:coauthVersionMax="47" xr10:uidLastSave="{00000000-0000-0000-0000-000000000000}"/>
  <bookViews>
    <workbookView xWindow="740" yWindow="500" windowWidth="28060" windowHeight="15620" activeTab="4" xr2:uid="{703F31A7-3FB6-4B05-8EA8-379C6E25ED1D}"/>
  </bookViews>
  <sheets>
    <sheet name="240821B001" sheetId="1" r:id="rId1"/>
    <sheet name="240821B002" sheetId="9" r:id="rId2"/>
    <sheet name="240821B003" sheetId="16" r:id="rId3"/>
    <sheet name="240821B004" sheetId="18" r:id="rId4"/>
    <sheet name="240821B005" sheetId="17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2" i="18" l="1"/>
  <c r="I322" i="18"/>
  <c r="K322" i="18" s="1"/>
  <c r="L322" i="18" s="1"/>
  <c r="J321" i="18"/>
  <c r="I321" i="18"/>
  <c r="K321" i="18" s="1"/>
  <c r="J320" i="18"/>
  <c r="I320" i="18"/>
  <c r="K320" i="18" s="1"/>
  <c r="J319" i="18"/>
  <c r="I319" i="18"/>
  <c r="K319" i="18" s="1"/>
  <c r="L319" i="18" s="1"/>
  <c r="J318" i="18"/>
  <c r="I318" i="18"/>
  <c r="K318" i="18" s="1"/>
  <c r="L318" i="18" s="1"/>
  <c r="V100" i="18" s="1"/>
  <c r="J317" i="18"/>
  <c r="I317" i="18"/>
  <c r="K317" i="18" s="1"/>
  <c r="K316" i="18"/>
  <c r="L316" i="18" s="1"/>
  <c r="V98" i="18" s="1"/>
  <c r="J316" i="18"/>
  <c r="I316" i="18"/>
  <c r="J315" i="18"/>
  <c r="I315" i="18"/>
  <c r="K315" i="18" s="1"/>
  <c r="J314" i="18"/>
  <c r="I314" i="18"/>
  <c r="K314" i="18" s="1"/>
  <c r="J313" i="18"/>
  <c r="I313" i="18"/>
  <c r="K313" i="18" s="1"/>
  <c r="J312" i="18"/>
  <c r="I312" i="18"/>
  <c r="K312" i="18" s="1"/>
  <c r="L312" i="18" s="1"/>
  <c r="V94" i="18" s="1"/>
  <c r="J311" i="18"/>
  <c r="I311" i="18"/>
  <c r="K311" i="18" s="1"/>
  <c r="L311" i="18" s="1"/>
  <c r="V93" i="18" s="1"/>
  <c r="J310" i="18"/>
  <c r="I310" i="18"/>
  <c r="K310" i="18" s="1"/>
  <c r="J309" i="18"/>
  <c r="I309" i="18"/>
  <c r="K309" i="18" s="1"/>
  <c r="J308" i="18"/>
  <c r="I308" i="18"/>
  <c r="K308" i="18" s="1"/>
  <c r="J307" i="18"/>
  <c r="I307" i="18"/>
  <c r="K307" i="18" s="1"/>
  <c r="J306" i="18"/>
  <c r="I306" i="18"/>
  <c r="K306" i="18" s="1"/>
  <c r="L306" i="18" s="1"/>
  <c r="V88" i="18" s="1"/>
  <c r="J305" i="18"/>
  <c r="I305" i="18"/>
  <c r="K305" i="18" s="1"/>
  <c r="J304" i="18"/>
  <c r="I304" i="18"/>
  <c r="K304" i="18" s="1"/>
  <c r="J303" i="18"/>
  <c r="I303" i="18"/>
  <c r="K303" i="18" s="1"/>
  <c r="J302" i="18"/>
  <c r="I302" i="18"/>
  <c r="K302" i="18" s="1"/>
  <c r="L302" i="18" s="1"/>
  <c r="J301" i="18"/>
  <c r="I301" i="18"/>
  <c r="K301" i="18" s="1"/>
  <c r="J300" i="18"/>
  <c r="I300" i="18"/>
  <c r="K300" i="18" s="1"/>
  <c r="L300" i="18" s="1"/>
  <c r="J299" i="18"/>
  <c r="I299" i="18"/>
  <c r="K299" i="18" s="1"/>
  <c r="J298" i="18"/>
  <c r="I298" i="18"/>
  <c r="K298" i="18" s="1"/>
  <c r="J297" i="18"/>
  <c r="I297" i="18"/>
  <c r="K297" i="18" s="1"/>
  <c r="J296" i="18"/>
  <c r="I296" i="18"/>
  <c r="K296" i="18" s="1"/>
  <c r="J295" i="18"/>
  <c r="I295" i="18"/>
  <c r="K295" i="18" s="1"/>
  <c r="L295" i="18" s="1"/>
  <c r="J294" i="18"/>
  <c r="I294" i="18"/>
  <c r="K294" i="18" s="1"/>
  <c r="J293" i="18"/>
  <c r="I293" i="18"/>
  <c r="K293" i="18" s="1"/>
  <c r="J292" i="18"/>
  <c r="I292" i="18"/>
  <c r="K292" i="18" s="1"/>
  <c r="J291" i="18"/>
  <c r="I291" i="18"/>
  <c r="K291" i="18" s="1"/>
  <c r="J290" i="18"/>
  <c r="I290" i="18"/>
  <c r="K290" i="18" s="1"/>
  <c r="L290" i="18" s="1"/>
  <c r="J289" i="18"/>
  <c r="I289" i="18"/>
  <c r="K289" i="18" s="1"/>
  <c r="L289" i="18" s="1"/>
  <c r="J288" i="18"/>
  <c r="I288" i="18"/>
  <c r="K288" i="18" s="1"/>
  <c r="J287" i="18"/>
  <c r="I287" i="18"/>
  <c r="K287" i="18" s="1"/>
  <c r="J286" i="18"/>
  <c r="I286" i="18"/>
  <c r="K286" i="18" s="1"/>
  <c r="L286" i="18" s="1"/>
  <c r="J285" i="18"/>
  <c r="I285" i="18"/>
  <c r="K285" i="18" s="1"/>
  <c r="L285" i="18" s="1"/>
  <c r="J284" i="18"/>
  <c r="I284" i="18"/>
  <c r="K284" i="18" s="1"/>
  <c r="L284" i="18" s="1"/>
  <c r="J283" i="18"/>
  <c r="I283" i="18"/>
  <c r="K283" i="18" s="1"/>
  <c r="J282" i="18"/>
  <c r="I282" i="18"/>
  <c r="K282" i="18" s="1"/>
  <c r="J281" i="18"/>
  <c r="I281" i="18"/>
  <c r="K281" i="18" s="1"/>
  <c r="J280" i="18"/>
  <c r="I280" i="18"/>
  <c r="K280" i="18" s="1"/>
  <c r="L280" i="18" s="1"/>
  <c r="J279" i="18"/>
  <c r="I279" i="18"/>
  <c r="K279" i="18" s="1"/>
  <c r="L279" i="18" s="1"/>
  <c r="J278" i="18"/>
  <c r="I278" i="18"/>
  <c r="K278" i="18" s="1"/>
  <c r="J277" i="18"/>
  <c r="I277" i="18"/>
  <c r="K277" i="18" s="1"/>
  <c r="L277" i="18" s="1"/>
  <c r="J276" i="18"/>
  <c r="I276" i="18"/>
  <c r="K276" i="18" s="1"/>
  <c r="J275" i="18"/>
  <c r="I275" i="18"/>
  <c r="K275" i="18" s="1"/>
  <c r="J274" i="18"/>
  <c r="I274" i="18"/>
  <c r="K274" i="18" s="1"/>
  <c r="J273" i="18"/>
  <c r="I273" i="18"/>
  <c r="K273" i="18" s="1"/>
  <c r="L273" i="18" s="1"/>
  <c r="J272" i="18"/>
  <c r="I272" i="18"/>
  <c r="K272" i="18" s="1"/>
  <c r="J271" i="18"/>
  <c r="I271" i="18"/>
  <c r="K271" i="18" s="1"/>
  <c r="J270" i="18"/>
  <c r="I270" i="18"/>
  <c r="K270" i="18" s="1"/>
  <c r="J269" i="18"/>
  <c r="I269" i="18"/>
  <c r="K269" i="18" s="1"/>
  <c r="L269" i="18" s="1"/>
  <c r="J268" i="18"/>
  <c r="I268" i="18"/>
  <c r="K268" i="18" s="1"/>
  <c r="J267" i="18"/>
  <c r="I267" i="18"/>
  <c r="K267" i="18" s="1"/>
  <c r="L267" i="18" s="1"/>
  <c r="J266" i="18"/>
  <c r="I266" i="18"/>
  <c r="K266" i="18" s="1"/>
  <c r="J265" i="18"/>
  <c r="I265" i="18"/>
  <c r="K265" i="18" s="1"/>
  <c r="K264" i="18"/>
  <c r="J264" i="18"/>
  <c r="I264" i="18"/>
  <c r="J263" i="18"/>
  <c r="I263" i="18"/>
  <c r="K263" i="18" s="1"/>
  <c r="J262" i="18"/>
  <c r="I262" i="18"/>
  <c r="K262" i="18" s="1"/>
  <c r="L262" i="18" s="1"/>
  <c r="J261" i="18"/>
  <c r="I261" i="18"/>
  <c r="K261" i="18" s="1"/>
  <c r="J260" i="18"/>
  <c r="I260" i="18"/>
  <c r="K260" i="18" s="1"/>
  <c r="J259" i="18"/>
  <c r="I259" i="18"/>
  <c r="K259" i="18" s="1"/>
  <c r="J258" i="18"/>
  <c r="I258" i="18"/>
  <c r="K258" i="18" s="1"/>
  <c r="J257" i="18"/>
  <c r="I257" i="18"/>
  <c r="K257" i="18" s="1"/>
  <c r="J256" i="18"/>
  <c r="I256" i="18"/>
  <c r="K256" i="18" s="1"/>
  <c r="J255" i="18"/>
  <c r="I255" i="18"/>
  <c r="K255" i="18" s="1"/>
  <c r="J254" i="18"/>
  <c r="I254" i="18"/>
  <c r="K254" i="18" s="1"/>
  <c r="J253" i="18"/>
  <c r="I253" i="18"/>
  <c r="K253" i="18" s="1"/>
  <c r="L253" i="18" s="1"/>
  <c r="J252" i="18"/>
  <c r="I252" i="18"/>
  <c r="K252" i="18" s="1"/>
  <c r="L252" i="18" s="1"/>
  <c r="J251" i="18"/>
  <c r="I251" i="18"/>
  <c r="K251" i="18" s="1"/>
  <c r="J250" i="18"/>
  <c r="I250" i="18"/>
  <c r="K250" i="18" s="1"/>
  <c r="J249" i="18"/>
  <c r="I249" i="18"/>
  <c r="K249" i="18" s="1"/>
  <c r="L249" i="18" s="1"/>
  <c r="J248" i="18"/>
  <c r="I248" i="18"/>
  <c r="K248" i="18" s="1"/>
  <c r="L248" i="18" s="1"/>
  <c r="J247" i="18"/>
  <c r="I247" i="18"/>
  <c r="K247" i="18" s="1"/>
  <c r="J246" i="18"/>
  <c r="I246" i="18"/>
  <c r="K246" i="18" s="1"/>
  <c r="J245" i="18"/>
  <c r="I245" i="18"/>
  <c r="K245" i="18" s="1"/>
  <c r="J244" i="18"/>
  <c r="I244" i="18"/>
  <c r="K244" i="18" s="1"/>
  <c r="L244" i="18" s="1"/>
  <c r="J243" i="18"/>
  <c r="I243" i="18"/>
  <c r="K243" i="18" s="1"/>
  <c r="J242" i="18"/>
  <c r="I242" i="18"/>
  <c r="K242" i="18" s="1"/>
  <c r="J241" i="18"/>
  <c r="I241" i="18"/>
  <c r="K241" i="18" s="1"/>
  <c r="L241" i="18" s="1"/>
  <c r="J240" i="18"/>
  <c r="I240" i="18"/>
  <c r="K240" i="18" s="1"/>
  <c r="L240" i="18" s="1"/>
  <c r="J239" i="18"/>
  <c r="I239" i="18"/>
  <c r="K239" i="18" s="1"/>
  <c r="J238" i="18"/>
  <c r="I238" i="18"/>
  <c r="K238" i="18" s="1"/>
  <c r="J237" i="18"/>
  <c r="I237" i="18"/>
  <c r="K237" i="18" s="1"/>
  <c r="L237" i="18" s="1"/>
  <c r="J236" i="18"/>
  <c r="I236" i="18"/>
  <c r="K236" i="18" s="1"/>
  <c r="J235" i="18"/>
  <c r="I235" i="18"/>
  <c r="K235" i="18" s="1"/>
  <c r="L235" i="18" s="1"/>
  <c r="J234" i="18"/>
  <c r="I234" i="18"/>
  <c r="K234" i="18" s="1"/>
  <c r="J233" i="18"/>
  <c r="I233" i="18"/>
  <c r="K233" i="18" s="1"/>
  <c r="K232" i="18"/>
  <c r="L232" i="18" s="1"/>
  <c r="J232" i="18"/>
  <c r="I232" i="18"/>
  <c r="J231" i="18"/>
  <c r="I231" i="18"/>
  <c r="K231" i="18" s="1"/>
  <c r="J230" i="18"/>
  <c r="I230" i="18"/>
  <c r="K230" i="18" s="1"/>
  <c r="L230" i="18" s="1"/>
  <c r="J229" i="18"/>
  <c r="I229" i="18"/>
  <c r="K229" i="18" s="1"/>
  <c r="L229" i="18" s="1"/>
  <c r="J228" i="18"/>
  <c r="I228" i="18"/>
  <c r="K228" i="18" s="1"/>
  <c r="J227" i="18"/>
  <c r="I227" i="18"/>
  <c r="K227" i="18" s="1"/>
  <c r="J226" i="18"/>
  <c r="I226" i="18"/>
  <c r="K226" i="18" s="1"/>
  <c r="J225" i="18"/>
  <c r="I225" i="18"/>
  <c r="K225" i="18" s="1"/>
  <c r="J224" i="18"/>
  <c r="I224" i="18"/>
  <c r="K224" i="18" s="1"/>
  <c r="J223" i="18"/>
  <c r="I223" i="18"/>
  <c r="K223" i="18" s="1"/>
  <c r="J222" i="18"/>
  <c r="I222" i="18"/>
  <c r="K222" i="18" s="1"/>
  <c r="J221" i="18"/>
  <c r="I221" i="18"/>
  <c r="K221" i="18" s="1"/>
  <c r="J220" i="18"/>
  <c r="I220" i="18"/>
  <c r="K220" i="18" s="1"/>
  <c r="L220" i="18" s="1"/>
  <c r="J219" i="18"/>
  <c r="I219" i="18"/>
  <c r="K219" i="18" s="1"/>
  <c r="J218" i="18"/>
  <c r="I218" i="18"/>
  <c r="K218" i="18" s="1"/>
  <c r="J217" i="18"/>
  <c r="I217" i="18"/>
  <c r="K217" i="18" s="1"/>
  <c r="J216" i="18"/>
  <c r="I216" i="18"/>
  <c r="K216" i="18" s="1"/>
  <c r="L216" i="18" s="1"/>
  <c r="J215" i="18"/>
  <c r="I215" i="18"/>
  <c r="K215" i="18" s="1"/>
  <c r="J214" i="18"/>
  <c r="I214" i="18"/>
  <c r="K214" i="18" s="1"/>
  <c r="J213" i="18"/>
  <c r="I213" i="18"/>
  <c r="K213" i="18" s="1"/>
  <c r="J212" i="18"/>
  <c r="I212" i="18"/>
  <c r="K212" i="18" s="1"/>
  <c r="L212" i="18" s="1"/>
  <c r="J211" i="18"/>
  <c r="I211" i="18"/>
  <c r="K211" i="18" s="1"/>
  <c r="J210" i="18"/>
  <c r="I210" i="18"/>
  <c r="K210" i="18" s="1"/>
  <c r="J209" i="18"/>
  <c r="I209" i="18"/>
  <c r="K209" i="18" s="1"/>
  <c r="J208" i="18"/>
  <c r="I208" i="18"/>
  <c r="K208" i="18" s="1"/>
  <c r="L208" i="18" s="1"/>
  <c r="J207" i="18"/>
  <c r="I207" i="18"/>
  <c r="K207" i="18" s="1"/>
  <c r="J206" i="18"/>
  <c r="I206" i="18"/>
  <c r="K206" i="18" s="1"/>
  <c r="J205" i="18"/>
  <c r="I205" i="18"/>
  <c r="K205" i="18" s="1"/>
  <c r="J204" i="18"/>
  <c r="I204" i="18"/>
  <c r="K204" i="18" s="1"/>
  <c r="J203" i="18"/>
  <c r="I203" i="18"/>
  <c r="K203" i="18" s="1"/>
  <c r="L203" i="18" s="1"/>
  <c r="J202" i="18"/>
  <c r="I202" i="18"/>
  <c r="K202" i="18" s="1"/>
  <c r="L202" i="18" s="1"/>
  <c r="J201" i="18"/>
  <c r="I201" i="18"/>
  <c r="K201" i="18" s="1"/>
  <c r="K200" i="18"/>
  <c r="L200" i="18" s="1"/>
  <c r="J200" i="18"/>
  <c r="I200" i="18"/>
  <c r="J199" i="18"/>
  <c r="I199" i="18"/>
  <c r="K199" i="18" s="1"/>
  <c r="J198" i="18"/>
  <c r="I198" i="18"/>
  <c r="K198" i="18" s="1"/>
  <c r="J197" i="18"/>
  <c r="I197" i="18"/>
  <c r="K197" i="18" s="1"/>
  <c r="L197" i="18" s="1"/>
  <c r="J196" i="18"/>
  <c r="I196" i="18"/>
  <c r="K196" i="18" s="1"/>
  <c r="J195" i="18"/>
  <c r="I195" i="18"/>
  <c r="K195" i="18" s="1"/>
  <c r="J194" i="18"/>
  <c r="I194" i="18"/>
  <c r="K194" i="18" s="1"/>
  <c r="J193" i="18"/>
  <c r="I193" i="18"/>
  <c r="K193" i="18" s="1"/>
  <c r="J192" i="18"/>
  <c r="I192" i="18"/>
  <c r="K192" i="18" s="1"/>
  <c r="L192" i="18" s="1"/>
  <c r="J191" i="18"/>
  <c r="I191" i="18"/>
  <c r="K191" i="18" s="1"/>
  <c r="L191" i="18" s="1"/>
  <c r="J190" i="18"/>
  <c r="I190" i="18"/>
  <c r="K190" i="18" s="1"/>
  <c r="J189" i="18"/>
  <c r="I189" i="18"/>
  <c r="K189" i="18" s="1"/>
  <c r="J188" i="18"/>
  <c r="I188" i="18"/>
  <c r="K188" i="18" s="1"/>
  <c r="L188" i="18" s="1"/>
  <c r="J187" i="18"/>
  <c r="I187" i="18"/>
  <c r="K187" i="18" s="1"/>
  <c r="L187" i="18" s="1"/>
  <c r="J186" i="18"/>
  <c r="I186" i="18"/>
  <c r="K186" i="18" s="1"/>
  <c r="J185" i="18"/>
  <c r="I185" i="18"/>
  <c r="K185" i="18" s="1"/>
  <c r="J184" i="18"/>
  <c r="I184" i="18"/>
  <c r="K184" i="18" s="1"/>
  <c r="L184" i="18" s="1"/>
  <c r="J183" i="18"/>
  <c r="I183" i="18"/>
  <c r="K183" i="18" s="1"/>
  <c r="L183" i="18" s="1"/>
  <c r="J182" i="18"/>
  <c r="I182" i="18"/>
  <c r="K182" i="18" s="1"/>
  <c r="J181" i="18"/>
  <c r="I181" i="18"/>
  <c r="K181" i="18" s="1"/>
  <c r="J180" i="18"/>
  <c r="I180" i="18"/>
  <c r="K180" i="18" s="1"/>
  <c r="J179" i="18"/>
  <c r="I179" i="18"/>
  <c r="K179" i="18" s="1"/>
  <c r="L179" i="18" s="1"/>
  <c r="J178" i="18"/>
  <c r="I178" i="18"/>
  <c r="K178" i="18" s="1"/>
  <c r="J177" i="18"/>
  <c r="I177" i="18"/>
  <c r="K177" i="18" s="1"/>
  <c r="K176" i="18"/>
  <c r="L176" i="18" s="1"/>
  <c r="J176" i="18"/>
  <c r="I176" i="18"/>
  <c r="J175" i="18"/>
  <c r="I175" i="18"/>
  <c r="K175" i="18" s="1"/>
  <c r="K174" i="18"/>
  <c r="J174" i="18"/>
  <c r="I174" i="18"/>
  <c r="J173" i="18"/>
  <c r="I173" i="18"/>
  <c r="K173" i="18" s="1"/>
  <c r="J172" i="18"/>
  <c r="I172" i="18"/>
  <c r="K172" i="18" s="1"/>
  <c r="L172" i="18" s="1"/>
  <c r="J171" i="18"/>
  <c r="I171" i="18"/>
  <c r="K171" i="18" s="1"/>
  <c r="L171" i="18" s="1"/>
  <c r="J170" i="18"/>
  <c r="I170" i="18"/>
  <c r="K170" i="18" s="1"/>
  <c r="L170" i="18" s="1"/>
  <c r="J169" i="18"/>
  <c r="I169" i="18"/>
  <c r="K169" i="18" s="1"/>
  <c r="K168" i="18"/>
  <c r="L168" i="18" s="1"/>
  <c r="J168" i="18"/>
  <c r="I168" i="18"/>
  <c r="J167" i="18"/>
  <c r="I167" i="18"/>
  <c r="K167" i="18" s="1"/>
  <c r="L167" i="18" s="1"/>
  <c r="J166" i="18"/>
  <c r="I166" i="18"/>
  <c r="K166" i="18" s="1"/>
  <c r="J165" i="18"/>
  <c r="I165" i="18"/>
  <c r="K165" i="18" s="1"/>
  <c r="K164" i="18"/>
  <c r="J164" i="18"/>
  <c r="I164" i="18"/>
  <c r="J163" i="18"/>
  <c r="I163" i="18"/>
  <c r="K163" i="18" s="1"/>
  <c r="J162" i="18"/>
  <c r="I162" i="18"/>
  <c r="K162" i="18" s="1"/>
  <c r="L162" i="18" s="1"/>
  <c r="J161" i="18"/>
  <c r="I161" i="18"/>
  <c r="K161" i="18" s="1"/>
  <c r="J160" i="18"/>
  <c r="I160" i="18"/>
  <c r="K160" i="18" s="1"/>
  <c r="J159" i="18"/>
  <c r="I159" i="18"/>
  <c r="K159" i="18" s="1"/>
  <c r="J158" i="18"/>
  <c r="I158" i="18"/>
  <c r="K158" i="18" s="1"/>
  <c r="L158" i="18" s="1"/>
  <c r="J157" i="18"/>
  <c r="I157" i="18"/>
  <c r="K157" i="18" s="1"/>
  <c r="L157" i="18" s="1"/>
  <c r="J156" i="18"/>
  <c r="I156" i="18"/>
  <c r="K156" i="18" s="1"/>
  <c r="J155" i="18"/>
  <c r="I155" i="18"/>
  <c r="K155" i="18" s="1"/>
  <c r="J154" i="18"/>
  <c r="I154" i="18"/>
  <c r="K154" i="18" s="1"/>
  <c r="L154" i="18" s="1"/>
  <c r="J153" i="18"/>
  <c r="I153" i="18"/>
  <c r="K153" i="18" s="1"/>
  <c r="J152" i="18"/>
  <c r="I152" i="18"/>
  <c r="K152" i="18" s="1"/>
  <c r="J151" i="18"/>
  <c r="I151" i="18"/>
  <c r="K151" i="18" s="1"/>
  <c r="J150" i="18"/>
  <c r="I150" i="18"/>
  <c r="K150" i="18" s="1"/>
  <c r="J149" i="18"/>
  <c r="I149" i="18"/>
  <c r="K149" i="18" s="1"/>
  <c r="L149" i="18" s="1"/>
  <c r="J148" i="18"/>
  <c r="I148" i="18"/>
  <c r="K148" i="18" s="1"/>
  <c r="L148" i="18" s="1"/>
  <c r="J147" i="18"/>
  <c r="I147" i="18"/>
  <c r="K147" i="18" s="1"/>
  <c r="J146" i="18"/>
  <c r="I146" i="18"/>
  <c r="K146" i="18" s="1"/>
  <c r="J145" i="18"/>
  <c r="I145" i="18"/>
  <c r="K145" i="18" s="1"/>
  <c r="L145" i="18" s="1"/>
  <c r="J144" i="18"/>
  <c r="I144" i="18"/>
  <c r="K144" i="18" s="1"/>
  <c r="L144" i="18" s="1"/>
  <c r="J143" i="18"/>
  <c r="I143" i="18"/>
  <c r="K143" i="18" s="1"/>
  <c r="L143" i="18" s="1"/>
  <c r="J142" i="18"/>
  <c r="I142" i="18"/>
  <c r="K142" i="18" s="1"/>
  <c r="L142" i="18" s="1"/>
  <c r="J141" i="18"/>
  <c r="I141" i="18"/>
  <c r="K141" i="18" s="1"/>
  <c r="J140" i="18"/>
  <c r="I140" i="18"/>
  <c r="K140" i="18" s="1"/>
  <c r="J139" i="18"/>
  <c r="I139" i="18"/>
  <c r="K139" i="18" s="1"/>
  <c r="J138" i="18"/>
  <c r="I138" i="18"/>
  <c r="K138" i="18" s="1"/>
  <c r="L138" i="18" s="1"/>
  <c r="J137" i="18"/>
  <c r="I137" i="18"/>
  <c r="K137" i="18" s="1"/>
  <c r="J136" i="18"/>
  <c r="I136" i="18"/>
  <c r="K136" i="18" s="1"/>
  <c r="J135" i="18"/>
  <c r="I135" i="18"/>
  <c r="K135" i="18" s="1"/>
  <c r="K134" i="18"/>
  <c r="J134" i="18"/>
  <c r="I134" i="18"/>
  <c r="J133" i="18"/>
  <c r="I133" i="18"/>
  <c r="K133" i="18" s="1"/>
  <c r="J132" i="18"/>
  <c r="I132" i="18"/>
  <c r="K132" i="18" s="1"/>
  <c r="L132" i="18" s="1"/>
  <c r="J131" i="18"/>
  <c r="I131" i="18"/>
  <c r="K131" i="18" s="1"/>
  <c r="L131" i="18" s="1"/>
  <c r="J130" i="18"/>
  <c r="I130" i="18"/>
  <c r="K130" i="18" s="1"/>
  <c r="J129" i="18"/>
  <c r="I129" i="18"/>
  <c r="K129" i="18" s="1"/>
  <c r="J128" i="18"/>
  <c r="I128" i="18"/>
  <c r="K128" i="18" s="1"/>
  <c r="L128" i="18" s="1"/>
  <c r="J127" i="18"/>
  <c r="I127" i="18"/>
  <c r="K127" i="18" s="1"/>
  <c r="L127" i="18" s="1"/>
  <c r="J126" i="18"/>
  <c r="I126" i="18"/>
  <c r="K126" i="18" s="1"/>
  <c r="L126" i="18" s="1"/>
  <c r="J125" i="18"/>
  <c r="I125" i="18"/>
  <c r="K125" i="18" s="1"/>
  <c r="J124" i="18"/>
  <c r="I124" i="18"/>
  <c r="K124" i="18" s="1"/>
  <c r="K123" i="18"/>
  <c r="J123" i="18"/>
  <c r="I123" i="18"/>
  <c r="J122" i="18"/>
  <c r="I122" i="18"/>
  <c r="K122" i="18" s="1"/>
  <c r="J121" i="18"/>
  <c r="I121" i="18"/>
  <c r="K121" i="18" s="1"/>
  <c r="J120" i="18"/>
  <c r="I120" i="18"/>
  <c r="K120" i="18" s="1"/>
  <c r="J119" i="18"/>
  <c r="I119" i="18"/>
  <c r="K119" i="18" s="1"/>
  <c r="K118" i="18"/>
  <c r="J118" i="18"/>
  <c r="I118" i="18"/>
  <c r="J117" i="18"/>
  <c r="I117" i="18"/>
  <c r="K117" i="18" s="1"/>
  <c r="J116" i="18"/>
  <c r="I116" i="18"/>
  <c r="K116" i="18" s="1"/>
  <c r="L116" i="18" s="1"/>
  <c r="J115" i="18"/>
  <c r="I115" i="18"/>
  <c r="K115" i="18" s="1"/>
  <c r="L115" i="18" s="1"/>
  <c r="J114" i="18"/>
  <c r="I114" i="18"/>
  <c r="K114" i="18" s="1"/>
  <c r="J113" i="18"/>
  <c r="I113" i="18"/>
  <c r="K113" i="18" s="1"/>
  <c r="J112" i="18"/>
  <c r="I112" i="18"/>
  <c r="K112" i="18" s="1"/>
  <c r="L112" i="18" s="1"/>
  <c r="J111" i="18"/>
  <c r="I111" i="18"/>
  <c r="K111" i="18" s="1"/>
  <c r="L111" i="18" s="1"/>
  <c r="J110" i="18"/>
  <c r="I110" i="18"/>
  <c r="K110" i="18" s="1"/>
  <c r="L110" i="18" s="1"/>
  <c r="J109" i="18"/>
  <c r="I109" i="18"/>
  <c r="K109" i="18" s="1"/>
  <c r="L109" i="18" s="1"/>
  <c r="J108" i="18"/>
  <c r="I108" i="18"/>
  <c r="K108" i="18" s="1"/>
  <c r="J107" i="18"/>
  <c r="I107" i="18"/>
  <c r="K107" i="18" s="1"/>
  <c r="J106" i="18"/>
  <c r="I106" i="18"/>
  <c r="K106" i="18" s="1"/>
  <c r="J105" i="18"/>
  <c r="I105" i="18"/>
  <c r="K105" i="18" s="1"/>
  <c r="J104" i="18"/>
  <c r="I104" i="18"/>
  <c r="K104" i="18" s="1"/>
  <c r="J103" i="18"/>
  <c r="I103" i="18"/>
  <c r="K103" i="18" s="1"/>
  <c r="K102" i="18"/>
  <c r="J102" i="18"/>
  <c r="I102" i="18"/>
  <c r="V101" i="18"/>
  <c r="J101" i="18"/>
  <c r="I101" i="18"/>
  <c r="K101" i="18" s="1"/>
  <c r="K100" i="18"/>
  <c r="L100" i="18" s="1"/>
  <c r="J100" i="18"/>
  <c r="I100" i="18"/>
  <c r="J99" i="18"/>
  <c r="I99" i="18"/>
  <c r="K99" i="18" s="1"/>
  <c r="L99" i="18" s="1"/>
  <c r="J98" i="18"/>
  <c r="I98" i="18"/>
  <c r="K98" i="18" s="1"/>
  <c r="J97" i="18"/>
  <c r="I97" i="18"/>
  <c r="K97" i="18" s="1"/>
  <c r="J96" i="18"/>
  <c r="I96" i="18"/>
  <c r="K96" i="18" s="1"/>
  <c r="L96" i="18" s="1"/>
  <c r="J95" i="18"/>
  <c r="I95" i="18"/>
  <c r="K95" i="18" s="1"/>
  <c r="L95" i="18" s="1"/>
  <c r="J94" i="18"/>
  <c r="I94" i="18"/>
  <c r="K94" i="18" s="1"/>
  <c r="L94" i="18" s="1"/>
  <c r="J93" i="18"/>
  <c r="L93" i="18" s="1"/>
  <c r="I93" i="18"/>
  <c r="K93" i="18" s="1"/>
  <c r="J92" i="18"/>
  <c r="I92" i="18"/>
  <c r="K92" i="18" s="1"/>
  <c r="K91" i="18"/>
  <c r="J91" i="18"/>
  <c r="I91" i="18"/>
  <c r="J90" i="18"/>
  <c r="I90" i="18"/>
  <c r="K90" i="18" s="1"/>
  <c r="J89" i="18"/>
  <c r="I89" i="18"/>
  <c r="K89" i="18" s="1"/>
  <c r="J88" i="18"/>
  <c r="I88" i="18"/>
  <c r="K88" i="18" s="1"/>
  <c r="L88" i="18" s="1"/>
  <c r="J87" i="18"/>
  <c r="I87" i="18"/>
  <c r="K87" i="18" s="1"/>
  <c r="L87" i="18" s="1"/>
  <c r="J86" i="18"/>
  <c r="I86" i="18"/>
  <c r="K86" i="18" s="1"/>
  <c r="L86" i="18" s="1"/>
  <c r="J85" i="18"/>
  <c r="I85" i="18"/>
  <c r="K85" i="18" s="1"/>
  <c r="J84" i="18"/>
  <c r="I84" i="18"/>
  <c r="K84" i="18" s="1"/>
  <c r="L84" i="18" s="1"/>
  <c r="J83" i="18"/>
  <c r="I83" i="18"/>
  <c r="K83" i="18" s="1"/>
  <c r="L83" i="18" s="1"/>
  <c r="J82" i="18"/>
  <c r="I82" i="18"/>
  <c r="K82" i="18" s="1"/>
  <c r="J81" i="18"/>
  <c r="I81" i="18"/>
  <c r="K81" i="18" s="1"/>
  <c r="J80" i="18"/>
  <c r="I80" i="18"/>
  <c r="K80" i="18" s="1"/>
  <c r="L80" i="18" s="1"/>
  <c r="V82" i="18" s="1"/>
  <c r="J79" i="18"/>
  <c r="I79" i="18"/>
  <c r="K79" i="18" s="1"/>
  <c r="J78" i="18"/>
  <c r="I78" i="18"/>
  <c r="K78" i="18" s="1"/>
  <c r="J77" i="18"/>
  <c r="I77" i="18"/>
  <c r="K77" i="18" s="1"/>
  <c r="J76" i="18"/>
  <c r="I76" i="18"/>
  <c r="K76" i="18" s="1"/>
  <c r="L76" i="18" s="1"/>
  <c r="J75" i="18"/>
  <c r="I75" i="18"/>
  <c r="K75" i="18" s="1"/>
  <c r="J74" i="18"/>
  <c r="I74" i="18"/>
  <c r="K74" i="18" s="1"/>
  <c r="J73" i="18"/>
  <c r="I73" i="18"/>
  <c r="K73" i="18" s="1"/>
  <c r="J72" i="18"/>
  <c r="I72" i="18"/>
  <c r="K72" i="18" s="1"/>
  <c r="L72" i="18" s="1"/>
  <c r="V74" i="18" s="1"/>
  <c r="J71" i="18"/>
  <c r="I71" i="18"/>
  <c r="K71" i="18" s="1"/>
  <c r="L71" i="18" s="1"/>
  <c r="J70" i="18"/>
  <c r="I70" i="18"/>
  <c r="K70" i="18" s="1"/>
  <c r="J69" i="18"/>
  <c r="I69" i="18"/>
  <c r="K69" i="18" s="1"/>
  <c r="J68" i="18"/>
  <c r="I68" i="18"/>
  <c r="K68" i="18" s="1"/>
  <c r="L68" i="18" s="1"/>
  <c r="J67" i="18"/>
  <c r="I67" i="18"/>
  <c r="K67" i="18" s="1"/>
  <c r="J66" i="18"/>
  <c r="I66" i="18"/>
  <c r="K66" i="18" s="1"/>
  <c r="J65" i="18"/>
  <c r="I65" i="18"/>
  <c r="K65" i="18" s="1"/>
  <c r="J64" i="18"/>
  <c r="I64" i="18"/>
  <c r="K64" i="18" s="1"/>
  <c r="J63" i="18"/>
  <c r="I63" i="18"/>
  <c r="K63" i="18" s="1"/>
  <c r="J62" i="18"/>
  <c r="I62" i="18"/>
  <c r="K62" i="18" s="1"/>
  <c r="L62" i="18" s="1"/>
  <c r="J61" i="18"/>
  <c r="I61" i="18"/>
  <c r="K61" i="18" s="1"/>
  <c r="J60" i="18"/>
  <c r="I60" i="18"/>
  <c r="K60" i="18" s="1"/>
  <c r="J59" i="18"/>
  <c r="I59" i="18"/>
  <c r="K59" i="18" s="1"/>
  <c r="J58" i="18"/>
  <c r="I58" i="18"/>
  <c r="K58" i="18" s="1"/>
  <c r="L58" i="18" s="1"/>
  <c r="J57" i="18"/>
  <c r="I57" i="18"/>
  <c r="K57" i="18" s="1"/>
  <c r="L57" i="18" s="1"/>
  <c r="J56" i="18"/>
  <c r="I56" i="18"/>
  <c r="K56" i="18" s="1"/>
  <c r="J55" i="18"/>
  <c r="I55" i="18"/>
  <c r="K55" i="18" s="1"/>
  <c r="J54" i="18"/>
  <c r="I54" i="18"/>
  <c r="K54" i="18" s="1"/>
  <c r="J53" i="18"/>
  <c r="I53" i="18"/>
  <c r="K53" i="18" s="1"/>
  <c r="L53" i="18" s="1"/>
  <c r="J52" i="18"/>
  <c r="I52" i="18"/>
  <c r="K52" i="18" s="1"/>
  <c r="L52" i="18" s="1"/>
  <c r="K51" i="18"/>
  <c r="J51" i="18"/>
  <c r="I51" i="18"/>
  <c r="J50" i="18"/>
  <c r="I50" i="18"/>
  <c r="K50" i="18" s="1"/>
  <c r="L50" i="18" s="1"/>
  <c r="J49" i="18"/>
  <c r="I49" i="18"/>
  <c r="K49" i="18" s="1"/>
  <c r="K48" i="18"/>
  <c r="J48" i="18"/>
  <c r="L48" i="18" s="1"/>
  <c r="I48" i="18"/>
  <c r="J47" i="18"/>
  <c r="I47" i="18"/>
  <c r="K47" i="18" s="1"/>
  <c r="J46" i="18"/>
  <c r="I46" i="18"/>
  <c r="K46" i="18" s="1"/>
  <c r="L46" i="18" s="1"/>
  <c r="J45" i="18"/>
  <c r="I45" i="18"/>
  <c r="K45" i="18" s="1"/>
  <c r="J44" i="18"/>
  <c r="I44" i="18"/>
  <c r="K44" i="18" s="1"/>
  <c r="J43" i="18"/>
  <c r="I43" i="18"/>
  <c r="K43" i="18" s="1"/>
  <c r="J42" i="18"/>
  <c r="I42" i="18"/>
  <c r="K42" i="18" s="1"/>
  <c r="L42" i="18" s="1"/>
  <c r="J41" i="18"/>
  <c r="I41" i="18"/>
  <c r="K41" i="18" s="1"/>
  <c r="J40" i="18"/>
  <c r="I40" i="18"/>
  <c r="K40" i="18" s="1"/>
  <c r="J39" i="18"/>
  <c r="I39" i="18"/>
  <c r="K39" i="18" s="1"/>
  <c r="L39" i="18" s="1"/>
  <c r="J38" i="18"/>
  <c r="I38" i="18"/>
  <c r="K38" i="18" s="1"/>
  <c r="L38" i="18" s="1"/>
  <c r="J37" i="18"/>
  <c r="I37" i="18"/>
  <c r="K37" i="18" s="1"/>
  <c r="J36" i="18"/>
  <c r="I36" i="18"/>
  <c r="K36" i="18" s="1"/>
  <c r="K35" i="18"/>
  <c r="J35" i="18"/>
  <c r="I35" i="18"/>
  <c r="J34" i="18"/>
  <c r="I34" i="18"/>
  <c r="K34" i="18" s="1"/>
  <c r="J33" i="18"/>
  <c r="I33" i="18"/>
  <c r="K33" i="18" s="1"/>
  <c r="L33" i="18" s="1"/>
  <c r="J32" i="18"/>
  <c r="I32" i="18"/>
  <c r="K32" i="18" s="1"/>
  <c r="L32" i="18" s="1"/>
  <c r="J31" i="18"/>
  <c r="I31" i="18"/>
  <c r="K31" i="18" s="1"/>
  <c r="L31" i="18" s="1"/>
  <c r="J30" i="18"/>
  <c r="I30" i="18"/>
  <c r="K30" i="18" s="1"/>
  <c r="J29" i="18"/>
  <c r="I29" i="18"/>
  <c r="K29" i="18" s="1"/>
  <c r="J28" i="18"/>
  <c r="I28" i="18"/>
  <c r="K28" i="18" s="1"/>
  <c r="L28" i="18" s="1"/>
  <c r="J27" i="18"/>
  <c r="I27" i="18"/>
  <c r="K27" i="18" s="1"/>
  <c r="L27" i="18" s="1"/>
  <c r="J26" i="18"/>
  <c r="I26" i="18"/>
  <c r="K26" i="18" s="1"/>
  <c r="J25" i="18"/>
  <c r="I25" i="18"/>
  <c r="K25" i="18" s="1"/>
  <c r="J24" i="18"/>
  <c r="I24" i="18"/>
  <c r="K24" i="18" s="1"/>
  <c r="J23" i="18"/>
  <c r="I23" i="18"/>
  <c r="K23" i="18" s="1"/>
  <c r="L23" i="18" s="1"/>
  <c r="J22" i="18"/>
  <c r="I22" i="18"/>
  <c r="K22" i="18" s="1"/>
  <c r="J21" i="18"/>
  <c r="I21" i="18"/>
  <c r="K21" i="18" s="1"/>
  <c r="J20" i="18"/>
  <c r="I20" i="18"/>
  <c r="K20" i="18" s="1"/>
  <c r="L20" i="18" s="1"/>
  <c r="J19" i="18"/>
  <c r="I19" i="18"/>
  <c r="K19" i="18" s="1"/>
  <c r="L19" i="18" s="1"/>
  <c r="J18" i="18"/>
  <c r="I18" i="18"/>
  <c r="K18" i="18" s="1"/>
  <c r="J17" i="18"/>
  <c r="I17" i="18"/>
  <c r="K17" i="18" s="1"/>
  <c r="J16" i="18"/>
  <c r="I16" i="18"/>
  <c r="K16" i="18" s="1"/>
  <c r="L16" i="18" s="1"/>
  <c r="J15" i="18"/>
  <c r="I15" i="18"/>
  <c r="K15" i="18" s="1"/>
  <c r="J14" i="18"/>
  <c r="I14" i="18"/>
  <c r="K14" i="18" s="1"/>
  <c r="L14" i="18" s="1"/>
  <c r="J13" i="18"/>
  <c r="I13" i="18"/>
  <c r="K13" i="18" s="1"/>
  <c r="J12" i="18"/>
  <c r="I12" i="18"/>
  <c r="K12" i="18" s="1"/>
  <c r="K11" i="18"/>
  <c r="L11" i="18" s="1"/>
  <c r="J11" i="18"/>
  <c r="I11" i="18"/>
  <c r="J10" i="18"/>
  <c r="I10" i="18"/>
  <c r="K10" i="18" s="1"/>
  <c r="J9" i="18"/>
  <c r="I9" i="18"/>
  <c r="K9" i="18" s="1"/>
  <c r="L9" i="18" s="1"/>
  <c r="J8" i="18"/>
  <c r="I8" i="18"/>
  <c r="K8" i="18" s="1"/>
  <c r="L8" i="18" s="1"/>
  <c r="J7" i="18"/>
  <c r="I7" i="18"/>
  <c r="K7" i="18" s="1"/>
  <c r="J6" i="18"/>
  <c r="I6" i="18"/>
  <c r="K6" i="18" s="1"/>
  <c r="J5" i="18"/>
  <c r="I5" i="18"/>
  <c r="K5" i="18" s="1"/>
  <c r="L5" i="18" s="1"/>
  <c r="J4" i="18"/>
  <c r="I4" i="18"/>
  <c r="K4" i="18" s="1"/>
  <c r="L4" i="18" s="1"/>
  <c r="J3" i="18"/>
  <c r="I3" i="18"/>
  <c r="K3" i="18" s="1"/>
  <c r="J2" i="18"/>
  <c r="I2" i="18"/>
  <c r="K2" i="18" s="1"/>
  <c r="J322" i="17"/>
  <c r="I322" i="17"/>
  <c r="K322" i="17" s="1"/>
  <c r="L322" i="17" s="1"/>
  <c r="J321" i="17"/>
  <c r="I321" i="17"/>
  <c r="K321" i="17" s="1"/>
  <c r="J320" i="17"/>
  <c r="I320" i="17"/>
  <c r="K320" i="17" s="1"/>
  <c r="J319" i="17"/>
  <c r="I319" i="17"/>
  <c r="K319" i="17" s="1"/>
  <c r="J318" i="17"/>
  <c r="I318" i="17"/>
  <c r="K318" i="17" s="1"/>
  <c r="J317" i="17"/>
  <c r="I317" i="17"/>
  <c r="K317" i="17" s="1"/>
  <c r="J316" i="17"/>
  <c r="I316" i="17"/>
  <c r="K316" i="17" s="1"/>
  <c r="J315" i="17"/>
  <c r="I315" i="17"/>
  <c r="K315" i="17" s="1"/>
  <c r="J314" i="17"/>
  <c r="I314" i="17"/>
  <c r="K314" i="17" s="1"/>
  <c r="L314" i="17" s="1"/>
  <c r="V96" i="17" s="1"/>
  <c r="J313" i="17"/>
  <c r="I313" i="17"/>
  <c r="K313" i="17" s="1"/>
  <c r="J312" i="17"/>
  <c r="I312" i="17"/>
  <c r="K312" i="17" s="1"/>
  <c r="J311" i="17"/>
  <c r="I311" i="17"/>
  <c r="K311" i="17" s="1"/>
  <c r="J310" i="17"/>
  <c r="I310" i="17"/>
  <c r="K310" i="17" s="1"/>
  <c r="L310" i="17" s="1"/>
  <c r="J309" i="17"/>
  <c r="I309" i="17"/>
  <c r="K309" i="17" s="1"/>
  <c r="J308" i="17"/>
  <c r="I308" i="17"/>
  <c r="K308" i="17" s="1"/>
  <c r="J307" i="17"/>
  <c r="I307" i="17"/>
  <c r="K307" i="17" s="1"/>
  <c r="J306" i="17"/>
  <c r="I306" i="17"/>
  <c r="K306" i="17" s="1"/>
  <c r="J305" i="17"/>
  <c r="I305" i="17"/>
  <c r="K305" i="17" s="1"/>
  <c r="J304" i="17"/>
  <c r="I304" i="17"/>
  <c r="K304" i="17" s="1"/>
  <c r="J303" i="17"/>
  <c r="I303" i="17"/>
  <c r="K303" i="17" s="1"/>
  <c r="J302" i="17"/>
  <c r="I302" i="17"/>
  <c r="K302" i="17" s="1"/>
  <c r="J301" i="17"/>
  <c r="I301" i="17"/>
  <c r="K301" i="17" s="1"/>
  <c r="J300" i="17"/>
  <c r="I300" i="17"/>
  <c r="K300" i="17" s="1"/>
  <c r="J299" i="17"/>
  <c r="I299" i="17"/>
  <c r="K299" i="17" s="1"/>
  <c r="J298" i="17"/>
  <c r="I298" i="17"/>
  <c r="K298" i="17" s="1"/>
  <c r="J297" i="17"/>
  <c r="I297" i="17"/>
  <c r="K297" i="17" s="1"/>
  <c r="J296" i="17"/>
  <c r="I296" i="17"/>
  <c r="K296" i="17" s="1"/>
  <c r="J295" i="17"/>
  <c r="I295" i="17"/>
  <c r="K295" i="17" s="1"/>
  <c r="J294" i="17"/>
  <c r="I294" i="17"/>
  <c r="K294" i="17" s="1"/>
  <c r="L294" i="17" s="1"/>
  <c r="J293" i="17"/>
  <c r="I293" i="17"/>
  <c r="K293" i="17" s="1"/>
  <c r="J292" i="17"/>
  <c r="I292" i="17"/>
  <c r="K292" i="17" s="1"/>
  <c r="J291" i="17"/>
  <c r="I291" i="17"/>
  <c r="K291" i="17" s="1"/>
  <c r="J290" i="17"/>
  <c r="I290" i="17"/>
  <c r="K290" i="17" s="1"/>
  <c r="L290" i="17" s="1"/>
  <c r="J289" i="17"/>
  <c r="I289" i="17"/>
  <c r="K289" i="17" s="1"/>
  <c r="J288" i="17"/>
  <c r="I288" i="17"/>
  <c r="K288" i="17" s="1"/>
  <c r="J287" i="17"/>
  <c r="I287" i="17"/>
  <c r="K287" i="17" s="1"/>
  <c r="J286" i="17"/>
  <c r="I286" i="17"/>
  <c r="K286" i="17" s="1"/>
  <c r="L286" i="17" s="1"/>
  <c r="J285" i="17"/>
  <c r="I285" i="17"/>
  <c r="K285" i="17" s="1"/>
  <c r="J284" i="17"/>
  <c r="I284" i="17"/>
  <c r="K284" i="17" s="1"/>
  <c r="J283" i="17"/>
  <c r="I283" i="17"/>
  <c r="K283" i="17" s="1"/>
  <c r="J282" i="17"/>
  <c r="I282" i="17"/>
  <c r="K282" i="17" s="1"/>
  <c r="J281" i="17"/>
  <c r="I281" i="17"/>
  <c r="K281" i="17" s="1"/>
  <c r="J280" i="17"/>
  <c r="I280" i="17"/>
  <c r="K280" i="17" s="1"/>
  <c r="J279" i="17"/>
  <c r="I279" i="17"/>
  <c r="K279" i="17" s="1"/>
  <c r="J278" i="17"/>
  <c r="I278" i="17"/>
  <c r="K278" i="17" s="1"/>
  <c r="J277" i="17"/>
  <c r="I277" i="17"/>
  <c r="K277" i="17" s="1"/>
  <c r="J276" i="17"/>
  <c r="I276" i="17"/>
  <c r="K276" i="17" s="1"/>
  <c r="J275" i="17"/>
  <c r="I275" i="17"/>
  <c r="K275" i="17" s="1"/>
  <c r="J274" i="17"/>
  <c r="I274" i="17"/>
  <c r="K274" i="17" s="1"/>
  <c r="J273" i="17"/>
  <c r="I273" i="17"/>
  <c r="K273" i="17" s="1"/>
  <c r="J272" i="17"/>
  <c r="I272" i="17"/>
  <c r="K272" i="17" s="1"/>
  <c r="J271" i="17"/>
  <c r="I271" i="17"/>
  <c r="K271" i="17" s="1"/>
  <c r="J270" i="17"/>
  <c r="I270" i="17"/>
  <c r="K270" i="17" s="1"/>
  <c r="J269" i="17"/>
  <c r="I269" i="17"/>
  <c r="K269" i="17" s="1"/>
  <c r="J268" i="17"/>
  <c r="I268" i="17"/>
  <c r="K268" i="17" s="1"/>
  <c r="J267" i="17"/>
  <c r="I267" i="17"/>
  <c r="K267" i="17" s="1"/>
  <c r="J266" i="17"/>
  <c r="I266" i="17"/>
  <c r="K266" i="17" s="1"/>
  <c r="J265" i="17"/>
  <c r="I265" i="17"/>
  <c r="K265" i="17" s="1"/>
  <c r="J264" i="17"/>
  <c r="I264" i="17"/>
  <c r="K264" i="17" s="1"/>
  <c r="J263" i="17"/>
  <c r="I263" i="17"/>
  <c r="K263" i="17" s="1"/>
  <c r="J262" i="17"/>
  <c r="I262" i="17"/>
  <c r="K262" i="17" s="1"/>
  <c r="L262" i="17" s="1"/>
  <c r="J261" i="17"/>
  <c r="I261" i="17"/>
  <c r="K261" i="17" s="1"/>
  <c r="J260" i="17"/>
  <c r="I260" i="17"/>
  <c r="K260" i="17" s="1"/>
  <c r="J259" i="17"/>
  <c r="I259" i="17"/>
  <c r="K259" i="17" s="1"/>
  <c r="J258" i="17"/>
  <c r="I258" i="17"/>
  <c r="K258" i="17" s="1"/>
  <c r="J257" i="17"/>
  <c r="I257" i="17"/>
  <c r="K257" i="17" s="1"/>
  <c r="J256" i="17"/>
  <c r="I256" i="17"/>
  <c r="K256" i="17" s="1"/>
  <c r="J255" i="17"/>
  <c r="I255" i="17"/>
  <c r="K255" i="17" s="1"/>
  <c r="J254" i="17"/>
  <c r="I254" i="17"/>
  <c r="K254" i="17" s="1"/>
  <c r="L254" i="17" s="1"/>
  <c r="J253" i="17"/>
  <c r="I253" i="17"/>
  <c r="K253" i="17" s="1"/>
  <c r="J252" i="17"/>
  <c r="I252" i="17"/>
  <c r="K252" i="17" s="1"/>
  <c r="J251" i="17"/>
  <c r="I251" i="17"/>
  <c r="K251" i="17" s="1"/>
  <c r="J250" i="17"/>
  <c r="I250" i="17"/>
  <c r="K250" i="17" s="1"/>
  <c r="J249" i="17"/>
  <c r="I249" i="17"/>
  <c r="K249" i="17" s="1"/>
  <c r="J248" i="17"/>
  <c r="I248" i="17"/>
  <c r="K248" i="17" s="1"/>
  <c r="J247" i="17"/>
  <c r="I247" i="17"/>
  <c r="K247" i="17" s="1"/>
  <c r="J246" i="17"/>
  <c r="I246" i="17"/>
  <c r="K246" i="17" s="1"/>
  <c r="J245" i="17"/>
  <c r="I245" i="17"/>
  <c r="K245" i="17" s="1"/>
  <c r="J244" i="17"/>
  <c r="I244" i="17"/>
  <c r="K244" i="17" s="1"/>
  <c r="J243" i="17"/>
  <c r="I243" i="17"/>
  <c r="K243" i="17" s="1"/>
  <c r="J242" i="17"/>
  <c r="I242" i="17"/>
  <c r="K242" i="17" s="1"/>
  <c r="J241" i="17"/>
  <c r="I241" i="17"/>
  <c r="K241" i="17" s="1"/>
  <c r="J240" i="17"/>
  <c r="I240" i="17"/>
  <c r="K240" i="17" s="1"/>
  <c r="J239" i="17"/>
  <c r="I239" i="17"/>
  <c r="K239" i="17" s="1"/>
  <c r="J238" i="17"/>
  <c r="I238" i="17"/>
  <c r="K238" i="17" s="1"/>
  <c r="J237" i="17"/>
  <c r="I237" i="17"/>
  <c r="K237" i="17" s="1"/>
  <c r="J236" i="17"/>
  <c r="I236" i="17"/>
  <c r="K236" i="17" s="1"/>
  <c r="J235" i="17"/>
  <c r="I235" i="17"/>
  <c r="K235" i="17" s="1"/>
  <c r="J234" i="17"/>
  <c r="I234" i="17"/>
  <c r="K234" i="17" s="1"/>
  <c r="J233" i="17"/>
  <c r="I233" i="17"/>
  <c r="K233" i="17" s="1"/>
  <c r="J232" i="17"/>
  <c r="I232" i="17"/>
  <c r="K232" i="17" s="1"/>
  <c r="J231" i="17"/>
  <c r="I231" i="17"/>
  <c r="K231" i="17" s="1"/>
  <c r="J230" i="17"/>
  <c r="I230" i="17"/>
  <c r="K230" i="17" s="1"/>
  <c r="J229" i="17"/>
  <c r="I229" i="17"/>
  <c r="K229" i="17" s="1"/>
  <c r="J228" i="17"/>
  <c r="I228" i="17"/>
  <c r="K228" i="17" s="1"/>
  <c r="J227" i="17"/>
  <c r="I227" i="17"/>
  <c r="K227" i="17" s="1"/>
  <c r="J226" i="17"/>
  <c r="I226" i="17"/>
  <c r="K226" i="17" s="1"/>
  <c r="J225" i="17"/>
  <c r="I225" i="17"/>
  <c r="K225" i="17" s="1"/>
  <c r="J224" i="17"/>
  <c r="I224" i="17"/>
  <c r="K224" i="17" s="1"/>
  <c r="J223" i="17"/>
  <c r="I223" i="17"/>
  <c r="K223" i="17" s="1"/>
  <c r="L223" i="17" s="1"/>
  <c r="J222" i="17"/>
  <c r="I222" i="17"/>
  <c r="K222" i="17" s="1"/>
  <c r="J221" i="17"/>
  <c r="I221" i="17"/>
  <c r="K221" i="17" s="1"/>
  <c r="J220" i="17"/>
  <c r="I220" i="17"/>
  <c r="K220" i="17" s="1"/>
  <c r="J219" i="17"/>
  <c r="I219" i="17"/>
  <c r="K219" i="17" s="1"/>
  <c r="L219" i="17" s="1"/>
  <c r="J218" i="17"/>
  <c r="I218" i="17"/>
  <c r="K218" i="17" s="1"/>
  <c r="J217" i="17"/>
  <c r="I217" i="17"/>
  <c r="K217" i="17" s="1"/>
  <c r="J216" i="17"/>
  <c r="I216" i="17"/>
  <c r="K216" i="17" s="1"/>
  <c r="J215" i="17"/>
  <c r="I215" i="17"/>
  <c r="K215" i="17" s="1"/>
  <c r="J214" i="17"/>
  <c r="I214" i="17"/>
  <c r="K214" i="17" s="1"/>
  <c r="J213" i="17"/>
  <c r="I213" i="17"/>
  <c r="K213" i="17" s="1"/>
  <c r="J212" i="17"/>
  <c r="I212" i="17"/>
  <c r="K212" i="17" s="1"/>
  <c r="J211" i="17"/>
  <c r="I211" i="17"/>
  <c r="K211" i="17" s="1"/>
  <c r="J210" i="17"/>
  <c r="I210" i="17"/>
  <c r="K210" i="17" s="1"/>
  <c r="J209" i="17"/>
  <c r="I209" i="17"/>
  <c r="K209" i="17" s="1"/>
  <c r="J208" i="17"/>
  <c r="I208" i="17"/>
  <c r="K208" i="17" s="1"/>
  <c r="J207" i="17"/>
  <c r="I207" i="17"/>
  <c r="K207" i="17" s="1"/>
  <c r="L207" i="17" s="1"/>
  <c r="J206" i="17"/>
  <c r="I206" i="17"/>
  <c r="K206" i="17" s="1"/>
  <c r="L206" i="17" s="1"/>
  <c r="J205" i="17"/>
  <c r="I205" i="17"/>
  <c r="K205" i="17" s="1"/>
  <c r="J204" i="17"/>
  <c r="I204" i="17"/>
  <c r="K204" i="17" s="1"/>
  <c r="L204" i="17" s="1"/>
  <c r="J203" i="17"/>
  <c r="I203" i="17"/>
  <c r="K203" i="17" s="1"/>
  <c r="J202" i="17"/>
  <c r="I202" i="17"/>
  <c r="K202" i="17" s="1"/>
  <c r="J201" i="17"/>
  <c r="I201" i="17"/>
  <c r="K201" i="17" s="1"/>
  <c r="J200" i="17"/>
  <c r="I200" i="17"/>
  <c r="K200" i="17" s="1"/>
  <c r="L200" i="17" s="1"/>
  <c r="J199" i="17"/>
  <c r="I199" i="17"/>
  <c r="K199" i="17" s="1"/>
  <c r="J198" i="17"/>
  <c r="I198" i="17"/>
  <c r="K198" i="17" s="1"/>
  <c r="J197" i="17"/>
  <c r="I197" i="17"/>
  <c r="K197" i="17" s="1"/>
  <c r="J196" i="17"/>
  <c r="I196" i="17"/>
  <c r="K196" i="17" s="1"/>
  <c r="L196" i="17" s="1"/>
  <c r="J195" i="17"/>
  <c r="I195" i="17"/>
  <c r="K195" i="17" s="1"/>
  <c r="J194" i="17"/>
  <c r="I194" i="17"/>
  <c r="K194" i="17" s="1"/>
  <c r="J193" i="17"/>
  <c r="I193" i="17"/>
  <c r="K193" i="17" s="1"/>
  <c r="J192" i="17"/>
  <c r="I192" i="17"/>
  <c r="K192" i="17" s="1"/>
  <c r="J191" i="17"/>
  <c r="I191" i="17"/>
  <c r="K191" i="17" s="1"/>
  <c r="J190" i="17"/>
  <c r="I190" i="17"/>
  <c r="K190" i="17" s="1"/>
  <c r="J189" i="17"/>
  <c r="I189" i="17"/>
  <c r="K189" i="17" s="1"/>
  <c r="J188" i="17"/>
  <c r="I188" i="17"/>
  <c r="K188" i="17" s="1"/>
  <c r="J187" i="17"/>
  <c r="I187" i="17"/>
  <c r="K187" i="17" s="1"/>
  <c r="J186" i="17"/>
  <c r="I186" i="17"/>
  <c r="K186" i="17" s="1"/>
  <c r="J185" i="17"/>
  <c r="I185" i="17"/>
  <c r="K185" i="17" s="1"/>
  <c r="J184" i="17"/>
  <c r="I184" i="17"/>
  <c r="K184" i="17" s="1"/>
  <c r="L184" i="17" s="1"/>
  <c r="J183" i="17"/>
  <c r="I183" i="17"/>
  <c r="K183" i="17" s="1"/>
  <c r="J182" i="17"/>
  <c r="I182" i="17"/>
  <c r="K182" i="17" s="1"/>
  <c r="J181" i="17"/>
  <c r="I181" i="17"/>
  <c r="K181" i="17" s="1"/>
  <c r="J180" i="17"/>
  <c r="I180" i="17"/>
  <c r="K180" i="17" s="1"/>
  <c r="L180" i="17" s="1"/>
  <c r="J179" i="17"/>
  <c r="I179" i="17"/>
  <c r="K179" i="17" s="1"/>
  <c r="J178" i="17"/>
  <c r="I178" i="17"/>
  <c r="K178" i="17" s="1"/>
  <c r="J177" i="17"/>
  <c r="I177" i="17"/>
  <c r="K177" i="17" s="1"/>
  <c r="J176" i="17"/>
  <c r="I176" i="17"/>
  <c r="K176" i="17" s="1"/>
  <c r="L176" i="17" s="1"/>
  <c r="J175" i="17"/>
  <c r="I175" i="17"/>
  <c r="K175" i="17" s="1"/>
  <c r="J174" i="17"/>
  <c r="I174" i="17"/>
  <c r="K174" i="17" s="1"/>
  <c r="J173" i="17"/>
  <c r="I173" i="17"/>
  <c r="K173" i="17" s="1"/>
  <c r="J172" i="17"/>
  <c r="I172" i="17"/>
  <c r="K172" i="17" s="1"/>
  <c r="L172" i="17" s="1"/>
  <c r="J171" i="17"/>
  <c r="I171" i="17"/>
  <c r="K171" i="17" s="1"/>
  <c r="J170" i="17"/>
  <c r="I170" i="17"/>
  <c r="K170" i="17" s="1"/>
  <c r="J169" i="17"/>
  <c r="I169" i="17"/>
  <c r="K169" i="17" s="1"/>
  <c r="J168" i="17"/>
  <c r="I168" i="17"/>
  <c r="K168" i="17" s="1"/>
  <c r="L168" i="17" s="1"/>
  <c r="J167" i="17"/>
  <c r="I167" i="17"/>
  <c r="K167" i="17" s="1"/>
  <c r="J166" i="17"/>
  <c r="I166" i="17"/>
  <c r="K166" i="17" s="1"/>
  <c r="J165" i="17"/>
  <c r="I165" i="17"/>
  <c r="K165" i="17" s="1"/>
  <c r="J164" i="17"/>
  <c r="I164" i="17"/>
  <c r="K164" i="17" s="1"/>
  <c r="J163" i="17"/>
  <c r="I163" i="17"/>
  <c r="K163" i="17" s="1"/>
  <c r="J162" i="17"/>
  <c r="I162" i="17"/>
  <c r="K162" i="17" s="1"/>
  <c r="J161" i="17"/>
  <c r="I161" i="17"/>
  <c r="K161" i="17" s="1"/>
  <c r="J160" i="17"/>
  <c r="I160" i="17"/>
  <c r="K160" i="17" s="1"/>
  <c r="L160" i="17" s="1"/>
  <c r="J159" i="17"/>
  <c r="I159" i="17"/>
  <c r="K159" i="17" s="1"/>
  <c r="J158" i="17"/>
  <c r="I158" i="17"/>
  <c r="K158" i="17" s="1"/>
  <c r="J157" i="17"/>
  <c r="I157" i="17"/>
  <c r="K157" i="17" s="1"/>
  <c r="J156" i="17"/>
  <c r="I156" i="17"/>
  <c r="K156" i="17" s="1"/>
  <c r="J155" i="17"/>
  <c r="I155" i="17"/>
  <c r="K155" i="17" s="1"/>
  <c r="J154" i="17"/>
  <c r="I154" i="17"/>
  <c r="K154" i="17" s="1"/>
  <c r="J153" i="17"/>
  <c r="I153" i="17"/>
  <c r="K153" i="17" s="1"/>
  <c r="J152" i="17"/>
  <c r="I152" i="17"/>
  <c r="K152" i="17" s="1"/>
  <c r="J151" i="17"/>
  <c r="I151" i="17"/>
  <c r="K151" i="17" s="1"/>
  <c r="J150" i="17"/>
  <c r="I150" i="17"/>
  <c r="K150" i="17" s="1"/>
  <c r="J149" i="17"/>
  <c r="I149" i="17"/>
  <c r="K149" i="17" s="1"/>
  <c r="J148" i="17"/>
  <c r="I148" i="17"/>
  <c r="K148" i="17" s="1"/>
  <c r="J147" i="17"/>
  <c r="I147" i="17"/>
  <c r="K147" i="17" s="1"/>
  <c r="J146" i="17"/>
  <c r="I146" i="17"/>
  <c r="K146" i="17" s="1"/>
  <c r="L146" i="17" s="1"/>
  <c r="J145" i="17"/>
  <c r="I145" i="17"/>
  <c r="K145" i="17" s="1"/>
  <c r="J144" i="17"/>
  <c r="I144" i="17"/>
  <c r="K144" i="17" s="1"/>
  <c r="J143" i="17"/>
  <c r="I143" i="17"/>
  <c r="K143" i="17" s="1"/>
  <c r="J142" i="17"/>
  <c r="I142" i="17"/>
  <c r="K142" i="17" s="1"/>
  <c r="L142" i="17" s="1"/>
  <c r="J141" i="17"/>
  <c r="I141" i="17"/>
  <c r="K141" i="17" s="1"/>
  <c r="J140" i="17"/>
  <c r="I140" i="17"/>
  <c r="K140" i="17" s="1"/>
  <c r="J139" i="17"/>
  <c r="I139" i="17"/>
  <c r="K139" i="17" s="1"/>
  <c r="J138" i="17"/>
  <c r="I138" i="17"/>
  <c r="K138" i="17" s="1"/>
  <c r="J137" i="17"/>
  <c r="I137" i="17"/>
  <c r="K137" i="17" s="1"/>
  <c r="J136" i="17"/>
  <c r="I136" i="17"/>
  <c r="K136" i="17" s="1"/>
  <c r="J135" i="17"/>
  <c r="I135" i="17"/>
  <c r="K135" i="17" s="1"/>
  <c r="J134" i="17"/>
  <c r="I134" i="17"/>
  <c r="K134" i="17" s="1"/>
  <c r="J133" i="17"/>
  <c r="I133" i="17"/>
  <c r="K133" i="17" s="1"/>
  <c r="J132" i="17"/>
  <c r="I132" i="17"/>
  <c r="K132" i="17" s="1"/>
  <c r="J131" i="17"/>
  <c r="I131" i="17"/>
  <c r="K131" i="17" s="1"/>
  <c r="J130" i="17"/>
  <c r="I130" i="17"/>
  <c r="K130" i="17" s="1"/>
  <c r="J129" i="17"/>
  <c r="I129" i="17"/>
  <c r="K129" i="17" s="1"/>
  <c r="J128" i="17"/>
  <c r="I128" i="17"/>
  <c r="K128" i="17" s="1"/>
  <c r="J127" i="17"/>
  <c r="I127" i="17"/>
  <c r="K127" i="17" s="1"/>
  <c r="L127" i="17" s="1"/>
  <c r="J126" i="17"/>
  <c r="I126" i="17"/>
  <c r="K126" i="17" s="1"/>
  <c r="J125" i="17"/>
  <c r="I125" i="17"/>
  <c r="K125" i="17" s="1"/>
  <c r="J124" i="17"/>
  <c r="I124" i="17"/>
  <c r="K124" i="17" s="1"/>
  <c r="J123" i="17"/>
  <c r="I123" i="17"/>
  <c r="K123" i="17" s="1"/>
  <c r="J122" i="17"/>
  <c r="I122" i="17"/>
  <c r="K122" i="17" s="1"/>
  <c r="J121" i="17"/>
  <c r="I121" i="17"/>
  <c r="K121" i="17" s="1"/>
  <c r="J120" i="17"/>
  <c r="I120" i="17"/>
  <c r="K120" i="17" s="1"/>
  <c r="J119" i="17"/>
  <c r="I119" i="17"/>
  <c r="K119" i="17" s="1"/>
  <c r="J118" i="17"/>
  <c r="I118" i="17"/>
  <c r="K118" i="17" s="1"/>
  <c r="J117" i="17"/>
  <c r="I117" i="17"/>
  <c r="K117" i="17" s="1"/>
  <c r="J116" i="17"/>
  <c r="I116" i="17"/>
  <c r="K116" i="17" s="1"/>
  <c r="J115" i="17"/>
  <c r="I115" i="17"/>
  <c r="K115" i="17" s="1"/>
  <c r="L115" i="17" s="1"/>
  <c r="J114" i="17"/>
  <c r="I114" i="17"/>
  <c r="K114" i="17" s="1"/>
  <c r="L114" i="17" s="1"/>
  <c r="J113" i="17"/>
  <c r="I113" i="17"/>
  <c r="K113" i="17" s="1"/>
  <c r="J112" i="17"/>
  <c r="I112" i="17"/>
  <c r="K112" i="17" s="1"/>
  <c r="J111" i="17"/>
  <c r="I111" i="17"/>
  <c r="K111" i="17" s="1"/>
  <c r="J110" i="17"/>
  <c r="I110" i="17"/>
  <c r="K110" i="17" s="1"/>
  <c r="J109" i="17"/>
  <c r="I109" i="17"/>
  <c r="K109" i="17" s="1"/>
  <c r="J108" i="17"/>
  <c r="I108" i="17"/>
  <c r="K108" i="17" s="1"/>
  <c r="J107" i="17"/>
  <c r="I107" i="17"/>
  <c r="K107" i="17" s="1"/>
  <c r="J106" i="17"/>
  <c r="I106" i="17"/>
  <c r="K106" i="17" s="1"/>
  <c r="J105" i="17"/>
  <c r="I105" i="17"/>
  <c r="K105" i="17" s="1"/>
  <c r="J104" i="17"/>
  <c r="I104" i="17"/>
  <c r="K104" i="17" s="1"/>
  <c r="J103" i="17"/>
  <c r="I103" i="17"/>
  <c r="K103" i="17" s="1"/>
  <c r="J102" i="17"/>
  <c r="I102" i="17"/>
  <c r="K102" i="17" s="1"/>
  <c r="J101" i="17"/>
  <c r="I101" i="17"/>
  <c r="K101" i="17" s="1"/>
  <c r="J100" i="17"/>
  <c r="I100" i="17"/>
  <c r="K100" i="17" s="1"/>
  <c r="J99" i="17"/>
  <c r="I99" i="17"/>
  <c r="K99" i="17" s="1"/>
  <c r="J98" i="17"/>
  <c r="I98" i="17"/>
  <c r="K98" i="17" s="1"/>
  <c r="J97" i="17"/>
  <c r="I97" i="17"/>
  <c r="K97" i="17" s="1"/>
  <c r="J96" i="17"/>
  <c r="I96" i="17"/>
  <c r="K96" i="17" s="1"/>
  <c r="J95" i="17"/>
  <c r="I95" i="17"/>
  <c r="K95" i="17" s="1"/>
  <c r="J94" i="17"/>
  <c r="I94" i="17"/>
  <c r="K94" i="17" s="1"/>
  <c r="J93" i="17"/>
  <c r="I93" i="17"/>
  <c r="K93" i="17" s="1"/>
  <c r="J92" i="17"/>
  <c r="I92" i="17"/>
  <c r="K92" i="17" s="1"/>
  <c r="J91" i="17"/>
  <c r="I91" i="17"/>
  <c r="K91" i="17" s="1"/>
  <c r="J90" i="17"/>
  <c r="I90" i="17"/>
  <c r="K90" i="17" s="1"/>
  <c r="J89" i="17"/>
  <c r="I89" i="17"/>
  <c r="K89" i="17" s="1"/>
  <c r="J88" i="17"/>
  <c r="I88" i="17"/>
  <c r="K88" i="17" s="1"/>
  <c r="J87" i="17"/>
  <c r="I87" i="17"/>
  <c r="K87" i="17" s="1"/>
  <c r="J86" i="17"/>
  <c r="I86" i="17"/>
  <c r="K86" i="17" s="1"/>
  <c r="J85" i="17"/>
  <c r="I85" i="17"/>
  <c r="K85" i="17" s="1"/>
  <c r="J84" i="17"/>
  <c r="I84" i="17"/>
  <c r="K84" i="17" s="1"/>
  <c r="J83" i="17"/>
  <c r="I83" i="17"/>
  <c r="K83" i="17" s="1"/>
  <c r="J82" i="17"/>
  <c r="I82" i="17"/>
  <c r="K82" i="17" s="1"/>
  <c r="J81" i="17"/>
  <c r="I81" i="17"/>
  <c r="K81" i="17" s="1"/>
  <c r="J80" i="17"/>
  <c r="I80" i="17"/>
  <c r="K80" i="17" s="1"/>
  <c r="J79" i="17"/>
  <c r="I79" i="17"/>
  <c r="K79" i="17" s="1"/>
  <c r="J78" i="17"/>
  <c r="I78" i="17"/>
  <c r="K78" i="17" s="1"/>
  <c r="L78" i="17" s="1"/>
  <c r="J77" i="17"/>
  <c r="I77" i="17"/>
  <c r="K77" i="17" s="1"/>
  <c r="J76" i="17"/>
  <c r="I76" i="17"/>
  <c r="K76" i="17" s="1"/>
  <c r="J75" i="17"/>
  <c r="I75" i="17"/>
  <c r="K75" i="17" s="1"/>
  <c r="J74" i="17"/>
  <c r="I74" i="17"/>
  <c r="K74" i="17" s="1"/>
  <c r="L74" i="17" s="1"/>
  <c r="J73" i="17"/>
  <c r="I73" i="17"/>
  <c r="K73" i="17" s="1"/>
  <c r="J72" i="17"/>
  <c r="I72" i="17"/>
  <c r="K72" i="17" s="1"/>
  <c r="J71" i="17"/>
  <c r="I71" i="17"/>
  <c r="K71" i="17" s="1"/>
  <c r="J70" i="17"/>
  <c r="I70" i="17"/>
  <c r="K70" i="17" s="1"/>
  <c r="J69" i="17"/>
  <c r="I69" i="17"/>
  <c r="K69" i="17" s="1"/>
  <c r="J68" i="17"/>
  <c r="I68" i="17"/>
  <c r="K68" i="17" s="1"/>
  <c r="J67" i="17"/>
  <c r="I67" i="17"/>
  <c r="K67" i="17" s="1"/>
  <c r="J66" i="17"/>
  <c r="I66" i="17"/>
  <c r="K66" i="17" s="1"/>
  <c r="J65" i="17"/>
  <c r="I65" i="17"/>
  <c r="K65" i="17" s="1"/>
  <c r="J64" i="17"/>
  <c r="I64" i="17"/>
  <c r="K64" i="17" s="1"/>
  <c r="J63" i="17"/>
  <c r="I63" i="17"/>
  <c r="K63" i="17" s="1"/>
  <c r="J62" i="17"/>
  <c r="I62" i="17"/>
  <c r="K62" i="17" s="1"/>
  <c r="J61" i="17"/>
  <c r="I61" i="17"/>
  <c r="K61" i="17" s="1"/>
  <c r="J60" i="17"/>
  <c r="I60" i="17"/>
  <c r="K60" i="17" s="1"/>
  <c r="J59" i="17"/>
  <c r="I59" i="17"/>
  <c r="K59" i="17" s="1"/>
  <c r="J58" i="17"/>
  <c r="I58" i="17"/>
  <c r="K58" i="17" s="1"/>
  <c r="J57" i="17"/>
  <c r="I57" i="17"/>
  <c r="K57" i="17" s="1"/>
  <c r="J56" i="17"/>
  <c r="I56" i="17"/>
  <c r="K56" i="17" s="1"/>
  <c r="J55" i="17"/>
  <c r="I55" i="17"/>
  <c r="K55" i="17" s="1"/>
  <c r="L55" i="17" s="1"/>
  <c r="J54" i="17"/>
  <c r="I54" i="17"/>
  <c r="K54" i="17" s="1"/>
  <c r="J53" i="17"/>
  <c r="I53" i="17"/>
  <c r="K53" i="17" s="1"/>
  <c r="J52" i="17"/>
  <c r="I52" i="17"/>
  <c r="K52" i="17" s="1"/>
  <c r="J51" i="17"/>
  <c r="I51" i="17"/>
  <c r="K51" i="17" s="1"/>
  <c r="J50" i="17"/>
  <c r="I50" i="17"/>
  <c r="K50" i="17" s="1"/>
  <c r="J49" i="17"/>
  <c r="I49" i="17"/>
  <c r="K49" i="17" s="1"/>
  <c r="J48" i="17"/>
  <c r="I48" i="17"/>
  <c r="K48" i="17" s="1"/>
  <c r="J47" i="17"/>
  <c r="I47" i="17"/>
  <c r="K47" i="17" s="1"/>
  <c r="J46" i="17"/>
  <c r="I46" i="17"/>
  <c r="K46" i="17" s="1"/>
  <c r="J45" i="17"/>
  <c r="I45" i="17"/>
  <c r="K45" i="17" s="1"/>
  <c r="J44" i="17"/>
  <c r="I44" i="17"/>
  <c r="K44" i="17" s="1"/>
  <c r="J43" i="17"/>
  <c r="I43" i="17"/>
  <c r="K43" i="17" s="1"/>
  <c r="J42" i="17"/>
  <c r="I42" i="17"/>
  <c r="K42" i="17" s="1"/>
  <c r="J41" i="17"/>
  <c r="I41" i="17"/>
  <c r="K41" i="17" s="1"/>
  <c r="J40" i="17"/>
  <c r="I40" i="17"/>
  <c r="K40" i="17" s="1"/>
  <c r="J39" i="17"/>
  <c r="I39" i="17"/>
  <c r="K39" i="17" s="1"/>
  <c r="J38" i="17"/>
  <c r="I38" i="17"/>
  <c r="K38" i="17" s="1"/>
  <c r="J37" i="17"/>
  <c r="I37" i="17"/>
  <c r="K37" i="17" s="1"/>
  <c r="J36" i="17"/>
  <c r="I36" i="17"/>
  <c r="K36" i="17" s="1"/>
  <c r="J35" i="17"/>
  <c r="I35" i="17"/>
  <c r="K35" i="17" s="1"/>
  <c r="L35" i="17" s="1"/>
  <c r="J34" i="17"/>
  <c r="I34" i="17"/>
  <c r="K34" i="17" s="1"/>
  <c r="J33" i="17"/>
  <c r="I33" i="17"/>
  <c r="K33" i="17" s="1"/>
  <c r="J32" i="17"/>
  <c r="I32" i="17"/>
  <c r="K32" i="17" s="1"/>
  <c r="J31" i="17"/>
  <c r="I31" i="17"/>
  <c r="K31" i="17" s="1"/>
  <c r="L31" i="17" s="1"/>
  <c r="J30" i="17"/>
  <c r="I30" i="17"/>
  <c r="K30" i="17" s="1"/>
  <c r="J29" i="17"/>
  <c r="I29" i="17"/>
  <c r="K29" i="17" s="1"/>
  <c r="J28" i="17"/>
  <c r="I28" i="17"/>
  <c r="K28" i="17" s="1"/>
  <c r="J27" i="17"/>
  <c r="I27" i="17"/>
  <c r="K27" i="17" s="1"/>
  <c r="J26" i="17"/>
  <c r="I26" i="17"/>
  <c r="K26" i="17" s="1"/>
  <c r="J25" i="17"/>
  <c r="I25" i="17"/>
  <c r="K25" i="17" s="1"/>
  <c r="J24" i="17"/>
  <c r="I24" i="17"/>
  <c r="K24" i="17" s="1"/>
  <c r="J23" i="17"/>
  <c r="I23" i="17"/>
  <c r="K23" i="17" s="1"/>
  <c r="J22" i="17"/>
  <c r="I22" i="17"/>
  <c r="K22" i="17" s="1"/>
  <c r="L22" i="17" s="1"/>
  <c r="J21" i="17"/>
  <c r="I21" i="17"/>
  <c r="K21" i="17" s="1"/>
  <c r="J20" i="17"/>
  <c r="I20" i="17"/>
  <c r="K20" i="17" s="1"/>
  <c r="L20" i="17" s="1"/>
  <c r="J19" i="17"/>
  <c r="I19" i="17"/>
  <c r="K19" i="17" s="1"/>
  <c r="J18" i="17"/>
  <c r="I18" i="17"/>
  <c r="K18" i="17" s="1"/>
  <c r="L18" i="17" s="1"/>
  <c r="J17" i="17"/>
  <c r="I17" i="17"/>
  <c r="K17" i="17" s="1"/>
  <c r="J16" i="17"/>
  <c r="I16" i="17"/>
  <c r="K16" i="17" s="1"/>
  <c r="J15" i="17"/>
  <c r="I15" i="17"/>
  <c r="K15" i="17" s="1"/>
  <c r="J14" i="17"/>
  <c r="I14" i="17"/>
  <c r="K14" i="17" s="1"/>
  <c r="J13" i="17"/>
  <c r="I13" i="17"/>
  <c r="K13" i="17" s="1"/>
  <c r="J12" i="17"/>
  <c r="I12" i="17"/>
  <c r="K12" i="17" s="1"/>
  <c r="J11" i="17"/>
  <c r="I11" i="17"/>
  <c r="K11" i="17" s="1"/>
  <c r="J10" i="17"/>
  <c r="I10" i="17"/>
  <c r="K10" i="17" s="1"/>
  <c r="J9" i="17"/>
  <c r="I9" i="17"/>
  <c r="K9" i="17" s="1"/>
  <c r="J8" i="17"/>
  <c r="I8" i="17"/>
  <c r="K8" i="17" s="1"/>
  <c r="J7" i="17"/>
  <c r="I7" i="17"/>
  <c r="K7" i="17" s="1"/>
  <c r="J6" i="17"/>
  <c r="I6" i="17"/>
  <c r="K6" i="17" s="1"/>
  <c r="J5" i="17"/>
  <c r="I5" i="17"/>
  <c r="K5" i="17" s="1"/>
  <c r="J4" i="17"/>
  <c r="I4" i="17"/>
  <c r="K4" i="17" s="1"/>
  <c r="J3" i="17"/>
  <c r="I3" i="17"/>
  <c r="K3" i="17" s="1"/>
  <c r="J2" i="17"/>
  <c r="I2" i="17"/>
  <c r="K2" i="17" s="1"/>
  <c r="J322" i="16"/>
  <c r="I322" i="16"/>
  <c r="K322" i="16" s="1"/>
  <c r="J321" i="16"/>
  <c r="I321" i="16"/>
  <c r="K321" i="16" s="1"/>
  <c r="J320" i="16"/>
  <c r="I320" i="16"/>
  <c r="K320" i="16" s="1"/>
  <c r="J319" i="16"/>
  <c r="I319" i="16"/>
  <c r="K319" i="16" s="1"/>
  <c r="J318" i="16"/>
  <c r="I318" i="16"/>
  <c r="K318" i="16" s="1"/>
  <c r="J317" i="16"/>
  <c r="I317" i="16"/>
  <c r="K317" i="16" s="1"/>
  <c r="J316" i="16"/>
  <c r="I316" i="16"/>
  <c r="K316" i="16" s="1"/>
  <c r="J315" i="16"/>
  <c r="I315" i="16"/>
  <c r="K315" i="16" s="1"/>
  <c r="J314" i="16"/>
  <c r="I314" i="16"/>
  <c r="K314" i="16" s="1"/>
  <c r="J313" i="16"/>
  <c r="I313" i="16"/>
  <c r="K313" i="16" s="1"/>
  <c r="J312" i="16"/>
  <c r="I312" i="16"/>
  <c r="K312" i="16" s="1"/>
  <c r="J311" i="16"/>
  <c r="I311" i="16"/>
  <c r="K311" i="16" s="1"/>
  <c r="J310" i="16"/>
  <c r="I310" i="16"/>
  <c r="K310" i="16" s="1"/>
  <c r="J309" i="16"/>
  <c r="I309" i="16"/>
  <c r="K309" i="16" s="1"/>
  <c r="J308" i="16"/>
  <c r="I308" i="16"/>
  <c r="K308" i="16" s="1"/>
  <c r="J307" i="16"/>
  <c r="I307" i="16"/>
  <c r="K307" i="16" s="1"/>
  <c r="J306" i="16"/>
  <c r="I306" i="16"/>
  <c r="K306" i="16" s="1"/>
  <c r="J305" i="16"/>
  <c r="I305" i="16"/>
  <c r="K305" i="16" s="1"/>
  <c r="J304" i="16"/>
  <c r="I304" i="16"/>
  <c r="K304" i="16" s="1"/>
  <c r="J303" i="16"/>
  <c r="I303" i="16"/>
  <c r="K303" i="16" s="1"/>
  <c r="J302" i="16"/>
  <c r="I302" i="16"/>
  <c r="K302" i="16" s="1"/>
  <c r="J301" i="16"/>
  <c r="I301" i="16"/>
  <c r="K301" i="16" s="1"/>
  <c r="J300" i="16"/>
  <c r="I300" i="16"/>
  <c r="K300" i="16" s="1"/>
  <c r="J299" i="16"/>
  <c r="I299" i="16"/>
  <c r="K299" i="16" s="1"/>
  <c r="J298" i="16"/>
  <c r="I298" i="16"/>
  <c r="K298" i="16" s="1"/>
  <c r="J297" i="16"/>
  <c r="I297" i="16"/>
  <c r="K297" i="16" s="1"/>
  <c r="J296" i="16"/>
  <c r="I296" i="16"/>
  <c r="K296" i="16" s="1"/>
  <c r="J295" i="16"/>
  <c r="I295" i="16"/>
  <c r="K295" i="16" s="1"/>
  <c r="J294" i="16"/>
  <c r="I294" i="16"/>
  <c r="K294" i="16" s="1"/>
  <c r="J293" i="16"/>
  <c r="I293" i="16"/>
  <c r="K293" i="16" s="1"/>
  <c r="J292" i="16"/>
  <c r="I292" i="16"/>
  <c r="K292" i="16" s="1"/>
  <c r="J291" i="16"/>
  <c r="I291" i="16"/>
  <c r="K291" i="16" s="1"/>
  <c r="J290" i="16"/>
  <c r="I290" i="16"/>
  <c r="K290" i="16" s="1"/>
  <c r="J289" i="16"/>
  <c r="I289" i="16"/>
  <c r="K289" i="16" s="1"/>
  <c r="J288" i="16"/>
  <c r="I288" i="16"/>
  <c r="K288" i="16" s="1"/>
  <c r="J287" i="16"/>
  <c r="I287" i="16"/>
  <c r="K287" i="16" s="1"/>
  <c r="J286" i="16"/>
  <c r="I286" i="16"/>
  <c r="K286" i="16" s="1"/>
  <c r="J285" i="16"/>
  <c r="I285" i="16"/>
  <c r="K285" i="16" s="1"/>
  <c r="J284" i="16"/>
  <c r="I284" i="16"/>
  <c r="K284" i="16" s="1"/>
  <c r="J283" i="16"/>
  <c r="I283" i="16"/>
  <c r="K283" i="16" s="1"/>
  <c r="J282" i="16"/>
  <c r="I282" i="16"/>
  <c r="K282" i="16" s="1"/>
  <c r="J281" i="16"/>
  <c r="I281" i="16"/>
  <c r="K281" i="16" s="1"/>
  <c r="J280" i="16"/>
  <c r="I280" i="16"/>
  <c r="K280" i="16" s="1"/>
  <c r="J279" i="16"/>
  <c r="I279" i="16"/>
  <c r="K279" i="16" s="1"/>
  <c r="J278" i="16"/>
  <c r="I278" i="16"/>
  <c r="K278" i="16" s="1"/>
  <c r="J277" i="16"/>
  <c r="I277" i="16"/>
  <c r="K277" i="16" s="1"/>
  <c r="J276" i="16"/>
  <c r="I276" i="16"/>
  <c r="K276" i="16" s="1"/>
  <c r="J275" i="16"/>
  <c r="I275" i="16"/>
  <c r="K275" i="16" s="1"/>
  <c r="J274" i="16"/>
  <c r="I274" i="16"/>
  <c r="K274" i="16" s="1"/>
  <c r="J273" i="16"/>
  <c r="I273" i="16"/>
  <c r="K273" i="16" s="1"/>
  <c r="J272" i="16"/>
  <c r="I272" i="16"/>
  <c r="K272" i="16" s="1"/>
  <c r="J271" i="16"/>
  <c r="I271" i="16"/>
  <c r="K271" i="16" s="1"/>
  <c r="J270" i="16"/>
  <c r="I270" i="16"/>
  <c r="K270" i="16" s="1"/>
  <c r="J269" i="16"/>
  <c r="I269" i="16"/>
  <c r="K269" i="16" s="1"/>
  <c r="J268" i="16"/>
  <c r="I268" i="16"/>
  <c r="K268" i="16" s="1"/>
  <c r="J267" i="16"/>
  <c r="I267" i="16"/>
  <c r="K267" i="16" s="1"/>
  <c r="J266" i="16"/>
  <c r="I266" i="16"/>
  <c r="K266" i="16" s="1"/>
  <c r="J265" i="16"/>
  <c r="I265" i="16"/>
  <c r="K265" i="16" s="1"/>
  <c r="J264" i="16"/>
  <c r="I264" i="16"/>
  <c r="K264" i="16" s="1"/>
  <c r="J263" i="16"/>
  <c r="I263" i="16"/>
  <c r="K263" i="16" s="1"/>
  <c r="J262" i="16"/>
  <c r="I262" i="16"/>
  <c r="K262" i="16" s="1"/>
  <c r="J261" i="16"/>
  <c r="I261" i="16"/>
  <c r="K261" i="16" s="1"/>
  <c r="J260" i="16"/>
  <c r="I260" i="16"/>
  <c r="K260" i="16" s="1"/>
  <c r="J259" i="16"/>
  <c r="I259" i="16"/>
  <c r="K259" i="16" s="1"/>
  <c r="J258" i="16"/>
  <c r="I258" i="16"/>
  <c r="K258" i="16" s="1"/>
  <c r="L258" i="16" s="1"/>
  <c r="J257" i="16"/>
  <c r="I257" i="16"/>
  <c r="K257" i="16" s="1"/>
  <c r="J256" i="16"/>
  <c r="I256" i="16"/>
  <c r="K256" i="16" s="1"/>
  <c r="J255" i="16"/>
  <c r="I255" i="16"/>
  <c r="K255" i="16" s="1"/>
  <c r="J254" i="16"/>
  <c r="I254" i="16"/>
  <c r="K254" i="16" s="1"/>
  <c r="J253" i="16"/>
  <c r="I253" i="16"/>
  <c r="K253" i="16" s="1"/>
  <c r="J252" i="16"/>
  <c r="I252" i="16"/>
  <c r="K252" i="16" s="1"/>
  <c r="J251" i="16"/>
  <c r="I251" i="16"/>
  <c r="K251" i="16" s="1"/>
  <c r="J250" i="16"/>
  <c r="I250" i="16"/>
  <c r="K250" i="16" s="1"/>
  <c r="L250" i="16" s="1"/>
  <c r="J249" i="16"/>
  <c r="I249" i="16"/>
  <c r="K249" i="16" s="1"/>
  <c r="J248" i="16"/>
  <c r="I248" i="16"/>
  <c r="K248" i="16" s="1"/>
  <c r="J247" i="16"/>
  <c r="I247" i="16"/>
  <c r="K247" i="16" s="1"/>
  <c r="J246" i="16"/>
  <c r="I246" i="16"/>
  <c r="K246" i="16" s="1"/>
  <c r="J245" i="16"/>
  <c r="I245" i="16"/>
  <c r="K245" i="16" s="1"/>
  <c r="J244" i="16"/>
  <c r="I244" i="16"/>
  <c r="K244" i="16" s="1"/>
  <c r="J243" i="16"/>
  <c r="I243" i="16"/>
  <c r="K243" i="16" s="1"/>
  <c r="J242" i="16"/>
  <c r="I242" i="16"/>
  <c r="K242" i="16" s="1"/>
  <c r="L242" i="16" s="1"/>
  <c r="J241" i="16"/>
  <c r="I241" i="16"/>
  <c r="K241" i="16" s="1"/>
  <c r="J240" i="16"/>
  <c r="I240" i="16"/>
  <c r="K240" i="16" s="1"/>
  <c r="J239" i="16"/>
  <c r="I239" i="16"/>
  <c r="K239" i="16" s="1"/>
  <c r="J238" i="16"/>
  <c r="I238" i="16"/>
  <c r="K238" i="16" s="1"/>
  <c r="L238" i="16" s="1"/>
  <c r="J237" i="16"/>
  <c r="I237" i="16"/>
  <c r="K237" i="16" s="1"/>
  <c r="J236" i="16"/>
  <c r="I236" i="16"/>
  <c r="K236" i="16" s="1"/>
  <c r="J235" i="16"/>
  <c r="I235" i="16"/>
  <c r="K235" i="16" s="1"/>
  <c r="J234" i="16"/>
  <c r="I234" i="16"/>
  <c r="K234" i="16" s="1"/>
  <c r="L234" i="16" s="1"/>
  <c r="J233" i="16"/>
  <c r="I233" i="16"/>
  <c r="K233" i="16" s="1"/>
  <c r="J232" i="16"/>
  <c r="I232" i="16"/>
  <c r="K232" i="16" s="1"/>
  <c r="J231" i="16"/>
  <c r="I231" i="16"/>
  <c r="K231" i="16" s="1"/>
  <c r="J230" i="16"/>
  <c r="I230" i="16"/>
  <c r="K230" i="16" s="1"/>
  <c r="J229" i="16"/>
  <c r="I229" i="16"/>
  <c r="K229" i="16" s="1"/>
  <c r="J228" i="16"/>
  <c r="I228" i="16"/>
  <c r="K228" i="16" s="1"/>
  <c r="J227" i="16"/>
  <c r="I227" i="16"/>
  <c r="K227" i="16" s="1"/>
  <c r="J226" i="16"/>
  <c r="I226" i="16"/>
  <c r="K226" i="16" s="1"/>
  <c r="J225" i="16"/>
  <c r="I225" i="16"/>
  <c r="K225" i="16" s="1"/>
  <c r="J224" i="16"/>
  <c r="I224" i="16"/>
  <c r="K224" i="16" s="1"/>
  <c r="J223" i="16"/>
  <c r="I223" i="16"/>
  <c r="K223" i="16" s="1"/>
  <c r="J222" i="16"/>
  <c r="I222" i="16"/>
  <c r="K222" i="16" s="1"/>
  <c r="J221" i="16"/>
  <c r="I221" i="16"/>
  <c r="K221" i="16" s="1"/>
  <c r="J220" i="16"/>
  <c r="I220" i="16"/>
  <c r="K220" i="16" s="1"/>
  <c r="J219" i="16"/>
  <c r="I219" i="16"/>
  <c r="K219" i="16" s="1"/>
  <c r="J218" i="16"/>
  <c r="I218" i="16"/>
  <c r="K218" i="16" s="1"/>
  <c r="L218" i="16" s="1"/>
  <c r="J217" i="16"/>
  <c r="I217" i="16"/>
  <c r="K217" i="16" s="1"/>
  <c r="J216" i="16"/>
  <c r="I216" i="16"/>
  <c r="K216" i="16" s="1"/>
  <c r="J215" i="16"/>
  <c r="I215" i="16"/>
  <c r="K215" i="16" s="1"/>
  <c r="J214" i="16"/>
  <c r="I214" i="16"/>
  <c r="K214" i="16" s="1"/>
  <c r="J213" i="16"/>
  <c r="I213" i="16"/>
  <c r="K213" i="16" s="1"/>
  <c r="J212" i="16"/>
  <c r="I212" i="16"/>
  <c r="K212" i="16" s="1"/>
  <c r="J211" i="16"/>
  <c r="I211" i="16"/>
  <c r="K211" i="16" s="1"/>
  <c r="J210" i="16"/>
  <c r="I210" i="16"/>
  <c r="K210" i="16" s="1"/>
  <c r="J209" i="16"/>
  <c r="I209" i="16"/>
  <c r="K209" i="16" s="1"/>
  <c r="J208" i="16"/>
  <c r="I208" i="16"/>
  <c r="K208" i="16" s="1"/>
  <c r="J207" i="16"/>
  <c r="I207" i="16"/>
  <c r="K207" i="16" s="1"/>
  <c r="J206" i="16"/>
  <c r="I206" i="16"/>
  <c r="K206" i="16" s="1"/>
  <c r="L206" i="16" s="1"/>
  <c r="J205" i="16"/>
  <c r="I205" i="16"/>
  <c r="K205" i="16" s="1"/>
  <c r="J204" i="16"/>
  <c r="I204" i="16"/>
  <c r="K204" i="16" s="1"/>
  <c r="J203" i="16"/>
  <c r="I203" i="16"/>
  <c r="K203" i="16" s="1"/>
  <c r="J202" i="16"/>
  <c r="I202" i="16"/>
  <c r="K202" i="16" s="1"/>
  <c r="L202" i="16" s="1"/>
  <c r="J201" i="16"/>
  <c r="I201" i="16"/>
  <c r="K201" i="16" s="1"/>
  <c r="J200" i="16"/>
  <c r="I200" i="16"/>
  <c r="K200" i="16" s="1"/>
  <c r="J199" i="16"/>
  <c r="I199" i="16"/>
  <c r="K199" i="16" s="1"/>
  <c r="J198" i="16"/>
  <c r="I198" i="16"/>
  <c r="K198" i="16" s="1"/>
  <c r="J197" i="16"/>
  <c r="I197" i="16"/>
  <c r="K197" i="16" s="1"/>
  <c r="J196" i="16"/>
  <c r="I196" i="16"/>
  <c r="K196" i="16" s="1"/>
  <c r="J195" i="16"/>
  <c r="I195" i="16"/>
  <c r="K195" i="16" s="1"/>
  <c r="J194" i="16"/>
  <c r="I194" i="16"/>
  <c r="K194" i="16" s="1"/>
  <c r="L194" i="16" s="1"/>
  <c r="J193" i="16"/>
  <c r="I193" i="16"/>
  <c r="K193" i="16" s="1"/>
  <c r="J192" i="16"/>
  <c r="I192" i="16"/>
  <c r="K192" i="16" s="1"/>
  <c r="J191" i="16"/>
  <c r="I191" i="16"/>
  <c r="K191" i="16" s="1"/>
  <c r="J190" i="16"/>
  <c r="I190" i="16"/>
  <c r="K190" i="16" s="1"/>
  <c r="J189" i="16"/>
  <c r="I189" i="16"/>
  <c r="K189" i="16" s="1"/>
  <c r="J188" i="16"/>
  <c r="I188" i="16"/>
  <c r="K188" i="16" s="1"/>
  <c r="J187" i="16"/>
  <c r="I187" i="16"/>
  <c r="K187" i="16" s="1"/>
  <c r="J186" i="16"/>
  <c r="I186" i="16"/>
  <c r="K186" i="16" s="1"/>
  <c r="L186" i="16" s="1"/>
  <c r="J185" i="16"/>
  <c r="I185" i="16"/>
  <c r="K185" i="16" s="1"/>
  <c r="J184" i="16"/>
  <c r="I184" i="16"/>
  <c r="K184" i="16" s="1"/>
  <c r="J183" i="16"/>
  <c r="I183" i="16"/>
  <c r="K183" i="16" s="1"/>
  <c r="J182" i="16"/>
  <c r="I182" i="16"/>
  <c r="K182" i="16" s="1"/>
  <c r="L182" i="16" s="1"/>
  <c r="J181" i="16"/>
  <c r="I181" i="16"/>
  <c r="K181" i="16" s="1"/>
  <c r="J180" i="16"/>
  <c r="I180" i="16"/>
  <c r="K180" i="16" s="1"/>
  <c r="J179" i="16"/>
  <c r="I179" i="16"/>
  <c r="K179" i="16" s="1"/>
  <c r="J178" i="16"/>
  <c r="I178" i="16"/>
  <c r="K178" i="16" s="1"/>
  <c r="J177" i="16"/>
  <c r="I177" i="16"/>
  <c r="K177" i="16" s="1"/>
  <c r="J176" i="16"/>
  <c r="I176" i="16"/>
  <c r="K176" i="16" s="1"/>
  <c r="J175" i="16"/>
  <c r="I175" i="16"/>
  <c r="K175" i="16" s="1"/>
  <c r="J174" i="16"/>
  <c r="I174" i="16"/>
  <c r="K174" i="16" s="1"/>
  <c r="L174" i="16" s="1"/>
  <c r="J173" i="16"/>
  <c r="I173" i="16"/>
  <c r="K173" i="16" s="1"/>
  <c r="J172" i="16"/>
  <c r="I172" i="16"/>
  <c r="K172" i="16" s="1"/>
  <c r="J171" i="16"/>
  <c r="I171" i="16"/>
  <c r="K171" i="16" s="1"/>
  <c r="J170" i="16"/>
  <c r="I170" i="16"/>
  <c r="K170" i="16" s="1"/>
  <c r="J169" i="16"/>
  <c r="I169" i="16"/>
  <c r="K169" i="16" s="1"/>
  <c r="J168" i="16"/>
  <c r="I168" i="16"/>
  <c r="K168" i="16" s="1"/>
  <c r="J167" i="16"/>
  <c r="I167" i="16"/>
  <c r="K167" i="16" s="1"/>
  <c r="J166" i="16"/>
  <c r="I166" i="16"/>
  <c r="K166" i="16" s="1"/>
  <c r="L166" i="16" s="1"/>
  <c r="J165" i="16"/>
  <c r="I165" i="16"/>
  <c r="K165" i="16" s="1"/>
  <c r="J164" i="16"/>
  <c r="I164" i="16"/>
  <c r="K164" i="16" s="1"/>
  <c r="J163" i="16"/>
  <c r="I163" i="16"/>
  <c r="K163" i="16" s="1"/>
  <c r="J162" i="16"/>
  <c r="I162" i="16"/>
  <c r="K162" i="16" s="1"/>
  <c r="J161" i="16"/>
  <c r="I161" i="16"/>
  <c r="K161" i="16" s="1"/>
  <c r="J160" i="16"/>
  <c r="I160" i="16"/>
  <c r="K160" i="16" s="1"/>
  <c r="J159" i="16"/>
  <c r="I159" i="16"/>
  <c r="K159" i="16" s="1"/>
  <c r="J158" i="16"/>
  <c r="I158" i="16"/>
  <c r="K158" i="16" s="1"/>
  <c r="J157" i="16"/>
  <c r="I157" i="16"/>
  <c r="K157" i="16" s="1"/>
  <c r="J156" i="16"/>
  <c r="I156" i="16"/>
  <c r="K156" i="16" s="1"/>
  <c r="J155" i="16"/>
  <c r="I155" i="16"/>
  <c r="K155" i="16" s="1"/>
  <c r="J154" i="16"/>
  <c r="I154" i="16"/>
  <c r="K154" i="16" s="1"/>
  <c r="J153" i="16"/>
  <c r="I153" i="16"/>
  <c r="K153" i="16" s="1"/>
  <c r="J152" i="16"/>
  <c r="I152" i="16"/>
  <c r="K152" i="16" s="1"/>
  <c r="J151" i="16"/>
  <c r="I151" i="16"/>
  <c r="K151" i="16" s="1"/>
  <c r="J150" i="16"/>
  <c r="I150" i="16"/>
  <c r="K150" i="16" s="1"/>
  <c r="J149" i="16"/>
  <c r="I149" i="16"/>
  <c r="K149" i="16" s="1"/>
  <c r="J148" i="16"/>
  <c r="I148" i="16"/>
  <c r="K148" i="16" s="1"/>
  <c r="J147" i="16"/>
  <c r="I147" i="16"/>
  <c r="K147" i="16" s="1"/>
  <c r="J146" i="16"/>
  <c r="I146" i="16"/>
  <c r="K146" i="16" s="1"/>
  <c r="J145" i="16"/>
  <c r="I145" i="16"/>
  <c r="K145" i="16" s="1"/>
  <c r="J144" i="16"/>
  <c r="I144" i="16"/>
  <c r="K144" i="16" s="1"/>
  <c r="J143" i="16"/>
  <c r="I143" i="16"/>
  <c r="K143" i="16" s="1"/>
  <c r="J142" i="16"/>
  <c r="I142" i="16"/>
  <c r="K142" i="16" s="1"/>
  <c r="L142" i="16" s="1"/>
  <c r="J141" i="16"/>
  <c r="I141" i="16"/>
  <c r="K141" i="16" s="1"/>
  <c r="J140" i="16"/>
  <c r="I140" i="16"/>
  <c r="K140" i="16" s="1"/>
  <c r="J139" i="16"/>
  <c r="I139" i="16"/>
  <c r="K139" i="16" s="1"/>
  <c r="J138" i="16"/>
  <c r="I138" i="16"/>
  <c r="K138" i="16" s="1"/>
  <c r="J137" i="16"/>
  <c r="I137" i="16"/>
  <c r="K137" i="16" s="1"/>
  <c r="J136" i="16"/>
  <c r="I136" i="16"/>
  <c r="K136" i="16" s="1"/>
  <c r="J135" i="16"/>
  <c r="I135" i="16"/>
  <c r="K135" i="16" s="1"/>
  <c r="J134" i="16"/>
  <c r="I134" i="16"/>
  <c r="K134" i="16" s="1"/>
  <c r="L134" i="16" s="1"/>
  <c r="J133" i="16"/>
  <c r="I133" i="16"/>
  <c r="K133" i="16" s="1"/>
  <c r="J132" i="16"/>
  <c r="I132" i="16"/>
  <c r="K132" i="16" s="1"/>
  <c r="J131" i="16"/>
  <c r="I131" i="16"/>
  <c r="K131" i="16" s="1"/>
  <c r="J130" i="16"/>
  <c r="I130" i="16"/>
  <c r="K130" i="16" s="1"/>
  <c r="L130" i="16" s="1"/>
  <c r="J129" i="16"/>
  <c r="I129" i="16"/>
  <c r="K129" i="16" s="1"/>
  <c r="J128" i="16"/>
  <c r="I128" i="16"/>
  <c r="K128" i="16" s="1"/>
  <c r="J127" i="16"/>
  <c r="I127" i="16"/>
  <c r="K127" i="16" s="1"/>
  <c r="L127" i="16" s="1"/>
  <c r="J126" i="16"/>
  <c r="I126" i="16"/>
  <c r="K126" i="16" s="1"/>
  <c r="J125" i="16"/>
  <c r="I125" i="16"/>
  <c r="K125" i="16" s="1"/>
  <c r="J124" i="16"/>
  <c r="I124" i="16"/>
  <c r="K124" i="16" s="1"/>
  <c r="J123" i="16"/>
  <c r="I123" i="16"/>
  <c r="K123" i="16" s="1"/>
  <c r="L123" i="16" s="1"/>
  <c r="J122" i="16"/>
  <c r="I122" i="16"/>
  <c r="K122" i="16" s="1"/>
  <c r="J121" i="16"/>
  <c r="I121" i="16"/>
  <c r="K121" i="16" s="1"/>
  <c r="J120" i="16"/>
  <c r="I120" i="16"/>
  <c r="K120" i="16" s="1"/>
  <c r="J119" i="16"/>
  <c r="I119" i="16"/>
  <c r="K119" i="16" s="1"/>
  <c r="J118" i="16"/>
  <c r="I118" i="16"/>
  <c r="K118" i="16" s="1"/>
  <c r="J117" i="16"/>
  <c r="I117" i="16"/>
  <c r="K117" i="16" s="1"/>
  <c r="J116" i="16"/>
  <c r="I116" i="16"/>
  <c r="K116" i="16" s="1"/>
  <c r="J115" i="16"/>
  <c r="I115" i="16"/>
  <c r="K115" i="16" s="1"/>
  <c r="L115" i="16" s="1"/>
  <c r="J114" i="16"/>
  <c r="I114" i="16"/>
  <c r="K114" i="16" s="1"/>
  <c r="J113" i="16"/>
  <c r="I113" i="16"/>
  <c r="K113" i="16" s="1"/>
  <c r="J112" i="16"/>
  <c r="I112" i="16"/>
  <c r="K112" i="16" s="1"/>
  <c r="J111" i="16"/>
  <c r="I111" i="16"/>
  <c r="K111" i="16" s="1"/>
  <c r="L111" i="16" s="1"/>
  <c r="J110" i="16"/>
  <c r="I110" i="16"/>
  <c r="K110" i="16" s="1"/>
  <c r="J109" i="16"/>
  <c r="I109" i="16"/>
  <c r="K109" i="16" s="1"/>
  <c r="J108" i="16"/>
  <c r="I108" i="16"/>
  <c r="K108" i="16" s="1"/>
  <c r="J107" i="16"/>
  <c r="I107" i="16"/>
  <c r="K107" i="16" s="1"/>
  <c r="L107" i="16" s="1"/>
  <c r="J106" i="16"/>
  <c r="I106" i="16"/>
  <c r="K106" i="16" s="1"/>
  <c r="J105" i="16"/>
  <c r="I105" i="16"/>
  <c r="K105" i="16" s="1"/>
  <c r="J104" i="16"/>
  <c r="I104" i="16"/>
  <c r="K104" i="16" s="1"/>
  <c r="J103" i="16"/>
  <c r="I103" i="16"/>
  <c r="K103" i="16" s="1"/>
  <c r="J102" i="16"/>
  <c r="I102" i="16"/>
  <c r="K102" i="16" s="1"/>
  <c r="J101" i="16"/>
  <c r="I101" i="16"/>
  <c r="K101" i="16" s="1"/>
  <c r="J100" i="16"/>
  <c r="I100" i="16"/>
  <c r="K100" i="16" s="1"/>
  <c r="J99" i="16"/>
  <c r="I99" i="16"/>
  <c r="K99" i="16" s="1"/>
  <c r="J98" i="16"/>
  <c r="I98" i="16"/>
  <c r="K98" i="16" s="1"/>
  <c r="J97" i="16"/>
  <c r="I97" i="16"/>
  <c r="K97" i="16" s="1"/>
  <c r="J96" i="16"/>
  <c r="I96" i="16"/>
  <c r="K96" i="16" s="1"/>
  <c r="J95" i="16"/>
  <c r="I95" i="16"/>
  <c r="K95" i="16" s="1"/>
  <c r="L95" i="16" s="1"/>
  <c r="J94" i="16"/>
  <c r="I94" i="16"/>
  <c r="K94" i="16" s="1"/>
  <c r="J93" i="16"/>
  <c r="I93" i="16"/>
  <c r="K93" i="16" s="1"/>
  <c r="J92" i="16"/>
  <c r="I92" i="16"/>
  <c r="K92" i="16" s="1"/>
  <c r="J91" i="16"/>
  <c r="I91" i="16"/>
  <c r="K91" i="16" s="1"/>
  <c r="J90" i="16"/>
  <c r="I90" i="16"/>
  <c r="K90" i="16" s="1"/>
  <c r="J89" i="16"/>
  <c r="I89" i="16"/>
  <c r="K89" i="16" s="1"/>
  <c r="J88" i="16"/>
  <c r="I88" i="16"/>
  <c r="K88" i="16" s="1"/>
  <c r="J87" i="16"/>
  <c r="I87" i="16"/>
  <c r="K87" i="16" s="1"/>
  <c r="J86" i="16"/>
  <c r="I86" i="16"/>
  <c r="K86" i="16" s="1"/>
  <c r="J85" i="16"/>
  <c r="I85" i="16"/>
  <c r="K85" i="16" s="1"/>
  <c r="J84" i="16"/>
  <c r="I84" i="16"/>
  <c r="K84" i="16" s="1"/>
  <c r="J83" i="16"/>
  <c r="I83" i="16"/>
  <c r="K83" i="16" s="1"/>
  <c r="L83" i="16" s="1"/>
  <c r="J82" i="16"/>
  <c r="I82" i="16"/>
  <c r="K82" i="16" s="1"/>
  <c r="J81" i="16"/>
  <c r="I81" i="16"/>
  <c r="K81" i="16" s="1"/>
  <c r="J80" i="16"/>
  <c r="I80" i="16"/>
  <c r="K80" i="16" s="1"/>
  <c r="J79" i="16"/>
  <c r="I79" i="16"/>
  <c r="K79" i="16" s="1"/>
  <c r="L79" i="16" s="1"/>
  <c r="J78" i="16"/>
  <c r="I78" i="16"/>
  <c r="K78" i="16" s="1"/>
  <c r="J77" i="16"/>
  <c r="I77" i="16"/>
  <c r="K77" i="16" s="1"/>
  <c r="J76" i="16"/>
  <c r="I76" i="16"/>
  <c r="K76" i="16" s="1"/>
  <c r="J75" i="16"/>
  <c r="I75" i="16"/>
  <c r="K75" i="16" s="1"/>
  <c r="J74" i="16"/>
  <c r="I74" i="16"/>
  <c r="K74" i="16" s="1"/>
  <c r="J73" i="16"/>
  <c r="I73" i="16"/>
  <c r="K73" i="16" s="1"/>
  <c r="J72" i="16"/>
  <c r="I72" i="16"/>
  <c r="K72" i="16" s="1"/>
  <c r="J71" i="16"/>
  <c r="I71" i="16"/>
  <c r="K71" i="16" s="1"/>
  <c r="L71" i="16" s="1"/>
  <c r="J70" i="16"/>
  <c r="I70" i="16"/>
  <c r="K70" i="16" s="1"/>
  <c r="J69" i="16"/>
  <c r="I69" i="16"/>
  <c r="K69" i="16" s="1"/>
  <c r="J68" i="16"/>
  <c r="I68" i="16"/>
  <c r="K68" i="16" s="1"/>
  <c r="J67" i="16"/>
  <c r="I67" i="16"/>
  <c r="K67" i="16" s="1"/>
  <c r="L67" i="16" s="1"/>
  <c r="J66" i="16"/>
  <c r="I66" i="16"/>
  <c r="K66" i="16" s="1"/>
  <c r="J65" i="16"/>
  <c r="I65" i="16"/>
  <c r="K65" i="16" s="1"/>
  <c r="J64" i="16"/>
  <c r="I64" i="16"/>
  <c r="K64" i="16" s="1"/>
  <c r="J63" i="16"/>
  <c r="I63" i="16"/>
  <c r="K63" i="16" s="1"/>
  <c r="L63" i="16" s="1"/>
  <c r="V65" i="16" s="1"/>
  <c r="J62" i="16"/>
  <c r="I62" i="16"/>
  <c r="K62" i="16" s="1"/>
  <c r="J61" i="16"/>
  <c r="I61" i="16"/>
  <c r="K61" i="16" s="1"/>
  <c r="L61" i="16" s="1"/>
  <c r="J60" i="16"/>
  <c r="I60" i="16"/>
  <c r="K60" i="16" s="1"/>
  <c r="J59" i="16"/>
  <c r="I59" i="16"/>
  <c r="K59" i="16" s="1"/>
  <c r="L59" i="16" s="1"/>
  <c r="J58" i="16"/>
  <c r="I58" i="16"/>
  <c r="K58" i="16" s="1"/>
  <c r="J57" i="16"/>
  <c r="I57" i="16"/>
  <c r="K57" i="16" s="1"/>
  <c r="L57" i="16" s="1"/>
  <c r="J56" i="16"/>
  <c r="I56" i="16"/>
  <c r="K56" i="16" s="1"/>
  <c r="J55" i="16"/>
  <c r="I55" i="16"/>
  <c r="K55" i="16" s="1"/>
  <c r="L55" i="16" s="1"/>
  <c r="J54" i="16"/>
  <c r="I54" i="16"/>
  <c r="K54" i="16" s="1"/>
  <c r="J53" i="16"/>
  <c r="I53" i="16"/>
  <c r="K53" i="16" s="1"/>
  <c r="J52" i="16"/>
  <c r="I52" i="16"/>
  <c r="K52" i="16" s="1"/>
  <c r="J51" i="16"/>
  <c r="I51" i="16"/>
  <c r="K51" i="16" s="1"/>
  <c r="J50" i="16"/>
  <c r="I50" i="16"/>
  <c r="K50" i="16" s="1"/>
  <c r="J49" i="16"/>
  <c r="I49" i="16"/>
  <c r="K49" i="16" s="1"/>
  <c r="L49" i="16" s="1"/>
  <c r="J48" i="16"/>
  <c r="I48" i="16"/>
  <c r="K48" i="16" s="1"/>
  <c r="J47" i="16"/>
  <c r="I47" i="16"/>
  <c r="K47" i="16" s="1"/>
  <c r="L47" i="16" s="1"/>
  <c r="J46" i="16"/>
  <c r="I46" i="16"/>
  <c r="K46" i="16" s="1"/>
  <c r="J45" i="16"/>
  <c r="I45" i="16"/>
  <c r="K45" i="16" s="1"/>
  <c r="L45" i="16" s="1"/>
  <c r="J44" i="16"/>
  <c r="I44" i="16"/>
  <c r="K44" i="16" s="1"/>
  <c r="J43" i="16"/>
  <c r="I43" i="16"/>
  <c r="K43" i="16" s="1"/>
  <c r="J42" i="16"/>
  <c r="I42" i="16"/>
  <c r="K42" i="16" s="1"/>
  <c r="J41" i="16"/>
  <c r="I41" i="16"/>
  <c r="K41" i="16" s="1"/>
  <c r="J40" i="16"/>
  <c r="I40" i="16"/>
  <c r="K40" i="16" s="1"/>
  <c r="J39" i="16"/>
  <c r="I39" i="16"/>
  <c r="K39" i="16" s="1"/>
  <c r="J38" i="16"/>
  <c r="I38" i="16"/>
  <c r="K38" i="16" s="1"/>
  <c r="J37" i="16"/>
  <c r="I37" i="16"/>
  <c r="K37" i="16" s="1"/>
  <c r="L37" i="16" s="1"/>
  <c r="J36" i="16"/>
  <c r="I36" i="16"/>
  <c r="K36" i="16" s="1"/>
  <c r="J35" i="16"/>
  <c r="I35" i="16"/>
  <c r="K35" i="16" s="1"/>
  <c r="L35" i="16" s="1"/>
  <c r="J34" i="16"/>
  <c r="I34" i="16"/>
  <c r="K34" i="16" s="1"/>
  <c r="J33" i="16"/>
  <c r="I33" i="16"/>
  <c r="K33" i="16" s="1"/>
  <c r="J32" i="16"/>
  <c r="I32" i="16"/>
  <c r="K32" i="16" s="1"/>
  <c r="J31" i="16"/>
  <c r="I31" i="16"/>
  <c r="K31" i="16" s="1"/>
  <c r="J30" i="16"/>
  <c r="I30" i="16"/>
  <c r="K30" i="16" s="1"/>
  <c r="J29" i="16"/>
  <c r="I29" i="16"/>
  <c r="K29" i="16" s="1"/>
  <c r="J28" i="16"/>
  <c r="I28" i="16"/>
  <c r="K28" i="16" s="1"/>
  <c r="J27" i="16"/>
  <c r="I27" i="16"/>
  <c r="K27" i="16" s="1"/>
  <c r="J26" i="16"/>
  <c r="I26" i="16"/>
  <c r="K26" i="16" s="1"/>
  <c r="J25" i="16"/>
  <c r="I25" i="16"/>
  <c r="K25" i="16" s="1"/>
  <c r="J24" i="16"/>
  <c r="I24" i="16"/>
  <c r="K24" i="16" s="1"/>
  <c r="J23" i="16"/>
  <c r="I23" i="16"/>
  <c r="K23" i="16" s="1"/>
  <c r="J22" i="16"/>
  <c r="I22" i="16"/>
  <c r="K22" i="16" s="1"/>
  <c r="J21" i="16"/>
  <c r="I21" i="16"/>
  <c r="K21" i="16" s="1"/>
  <c r="J20" i="16"/>
  <c r="I20" i="16"/>
  <c r="K20" i="16" s="1"/>
  <c r="J19" i="16"/>
  <c r="I19" i="16"/>
  <c r="K19" i="16" s="1"/>
  <c r="J18" i="16"/>
  <c r="I18" i="16"/>
  <c r="K18" i="16" s="1"/>
  <c r="J17" i="16"/>
  <c r="I17" i="16"/>
  <c r="K17" i="16" s="1"/>
  <c r="J16" i="16"/>
  <c r="I16" i="16"/>
  <c r="K16" i="16" s="1"/>
  <c r="J15" i="16"/>
  <c r="I15" i="16"/>
  <c r="K15" i="16" s="1"/>
  <c r="J14" i="16"/>
  <c r="I14" i="16"/>
  <c r="K14" i="16" s="1"/>
  <c r="J13" i="16"/>
  <c r="I13" i="16"/>
  <c r="K13" i="16" s="1"/>
  <c r="J12" i="16"/>
  <c r="I12" i="16"/>
  <c r="K12" i="16" s="1"/>
  <c r="J11" i="16"/>
  <c r="I11" i="16"/>
  <c r="K11" i="16" s="1"/>
  <c r="J10" i="16"/>
  <c r="I10" i="16"/>
  <c r="K10" i="16" s="1"/>
  <c r="J9" i="16"/>
  <c r="I9" i="16"/>
  <c r="K9" i="16" s="1"/>
  <c r="J8" i="16"/>
  <c r="I8" i="16"/>
  <c r="K8" i="16" s="1"/>
  <c r="J7" i="16"/>
  <c r="I7" i="16"/>
  <c r="K7" i="16" s="1"/>
  <c r="J6" i="16"/>
  <c r="I6" i="16"/>
  <c r="K6" i="16" s="1"/>
  <c r="J5" i="16"/>
  <c r="I5" i="16"/>
  <c r="K5" i="16" s="1"/>
  <c r="J4" i="16"/>
  <c r="I4" i="16"/>
  <c r="K4" i="16" s="1"/>
  <c r="J3" i="16"/>
  <c r="I3" i="16"/>
  <c r="K3" i="16" s="1"/>
  <c r="J2" i="16"/>
  <c r="I2" i="16"/>
  <c r="K2" i="16" s="1"/>
  <c r="I322" i="9"/>
  <c r="K322" i="9" s="1"/>
  <c r="J322" i="9"/>
  <c r="I322" i="1"/>
  <c r="K322" i="1" s="1"/>
  <c r="J322" i="1"/>
  <c r="L56" i="17" l="1"/>
  <c r="L64" i="17"/>
  <c r="L68" i="17"/>
  <c r="V70" i="17" s="1"/>
  <c r="L72" i="17"/>
  <c r="L53" i="17"/>
  <c r="L57" i="17"/>
  <c r="L82" i="17"/>
  <c r="L117" i="17"/>
  <c r="L185" i="17"/>
  <c r="L253" i="17"/>
  <c r="L257" i="17"/>
  <c r="L261" i="17"/>
  <c r="L265" i="17"/>
  <c r="L269" i="17"/>
  <c r="L309" i="17"/>
  <c r="V91" i="17" s="1"/>
  <c r="L313" i="17"/>
  <c r="V95" i="17" s="1"/>
  <c r="L317" i="17"/>
  <c r="V99" i="17" s="1"/>
  <c r="L227" i="17"/>
  <c r="L100" i="17"/>
  <c r="L108" i="17"/>
  <c r="L112" i="17"/>
  <c r="L252" i="17"/>
  <c r="L264" i="17"/>
  <c r="L268" i="17"/>
  <c r="L272" i="17"/>
  <c r="L276" i="17"/>
  <c r="L280" i="17"/>
  <c r="L284" i="17"/>
  <c r="L292" i="17"/>
  <c r="L296" i="17"/>
  <c r="L300" i="17"/>
  <c r="L304" i="17"/>
  <c r="V86" i="17" s="1"/>
  <c r="L35" i="18"/>
  <c r="L65" i="18"/>
  <c r="L102" i="18"/>
  <c r="L106" i="18"/>
  <c r="L120" i="18"/>
  <c r="L161" i="18"/>
  <c r="L164" i="18"/>
  <c r="L174" i="18"/>
  <c r="L178" i="18"/>
  <c r="L181" i="18"/>
  <c r="L196" i="18"/>
  <c r="L207" i="18"/>
  <c r="L215" i="18"/>
  <c r="L223" i="18"/>
  <c r="L234" i="18"/>
  <c r="L261" i="18"/>
  <c r="L264" i="18"/>
  <c r="L272" i="18"/>
  <c r="L276" i="18"/>
  <c r="L301" i="18"/>
  <c r="L305" i="18"/>
  <c r="V87" i="18" s="1"/>
  <c r="L309" i="18"/>
  <c r="V91" i="18" s="1"/>
  <c r="L2" i="18"/>
  <c r="L21" i="18"/>
  <c r="L25" i="18"/>
  <c r="L40" i="18"/>
  <c r="L54" i="18"/>
  <c r="L69" i="18"/>
  <c r="L73" i="18"/>
  <c r="V75" i="18" s="1"/>
  <c r="L81" i="18"/>
  <c r="V83" i="18" s="1"/>
  <c r="L103" i="18"/>
  <c r="L113" i="18"/>
  <c r="L117" i="18"/>
  <c r="L135" i="18"/>
  <c r="L146" i="18"/>
  <c r="L165" i="18"/>
  <c r="L175" i="18"/>
  <c r="L189" i="18"/>
  <c r="L227" i="18"/>
  <c r="L242" i="18"/>
  <c r="L246" i="18"/>
  <c r="L254" i="18"/>
  <c r="L287" i="18"/>
  <c r="L291" i="18"/>
  <c r="L298" i="18"/>
  <c r="L320" i="18"/>
  <c r="V102" i="18" s="1"/>
  <c r="L3" i="18"/>
  <c r="L7" i="18"/>
  <c r="L18" i="18"/>
  <c r="L26" i="18"/>
  <c r="L30" i="18"/>
  <c r="L37" i="18"/>
  <c r="L41" i="18"/>
  <c r="L51" i="18"/>
  <c r="L55" i="18"/>
  <c r="L70" i="18"/>
  <c r="V72" i="18" s="1"/>
  <c r="L78" i="18"/>
  <c r="V80" i="18" s="1"/>
  <c r="L82" i="18"/>
  <c r="L101" i="18"/>
  <c r="L114" i="18"/>
  <c r="L125" i="18"/>
  <c r="L136" i="18"/>
  <c r="L147" i="18"/>
  <c r="L166" i="18"/>
  <c r="L169" i="18"/>
  <c r="L186" i="18"/>
  <c r="L190" i="18"/>
  <c r="L201" i="18"/>
  <c r="L228" i="18"/>
  <c r="L239" i="18"/>
  <c r="L247" i="18"/>
  <c r="L251" i="18"/>
  <c r="L255" i="18"/>
  <c r="L266" i="18"/>
  <c r="L288" i="18"/>
  <c r="L292" i="18"/>
  <c r="L317" i="18"/>
  <c r="V99" i="18" s="1"/>
  <c r="L321" i="18"/>
  <c r="V103" i="18" s="1"/>
  <c r="L34" i="18"/>
  <c r="L59" i="18"/>
  <c r="L63" i="18"/>
  <c r="V65" i="18" s="1"/>
  <c r="L89" i="18"/>
  <c r="L92" i="18"/>
  <c r="L104" i="18"/>
  <c r="L122" i="18"/>
  <c r="L129" i="18"/>
  <c r="L133" i="18"/>
  <c r="L151" i="18"/>
  <c r="L159" i="18"/>
  <c r="L163" i="18"/>
  <c r="L194" i="18"/>
  <c r="L198" i="18"/>
  <c r="L205" i="18"/>
  <c r="L209" i="18"/>
  <c r="L217" i="18"/>
  <c r="L221" i="18"/>
  <c r="L259" i="18"/>
  <c r="L274" i="18"/>
  <c r="L303" i="18"/>
  <c r="V85" i="18" s="1"/>
  <c r="L307" i="18"/>
  <c r="V89" i="18" s="1"/>
  <c r="L314" i="18"/>
  <c r="V96" i="18" s="1"/>
  <c r="L12" i="18"/>
  <c r="L49" i="18"/>
  <c r="L60" i="18"/>
  <c r="L64" i="18"/>
  <c r="L119" i="18"/>
  <c r="L130" i="18"/>
  <c r="L141" i="18"/>
  <c r="L156" i="18"/>
  <c r="L160" i="18"/>
  <c r="L195" i="18"/>
  <c r="L210" i="18"/>
  <c r="L214" i="18"/>
  <c r="L222" i="18"/>
  <c r="L233" i="18"/>
  <c r="L260" i="18"/>
  <c r="L271" i="18"/>
  <c r="L275" i="18"/>
  <c r="L282" i="18"/>
  <c r="L304" i="18"/>
  <c r="V86" i="18" s="1"/>
  <c r="L308" i="18"/>
  <c r="V90" i="18" s="1"/>
  <c r="L15" i="18"/>
  <c r="L118" i="18"/>
  <c r="L134" i="18"/>
  <c r="L150" i="18"/>
  <c r="L180" i="18"/>
  <c r="L204" i="18"/>
  <c r="L219" i="18"/>
  <c r="L226" i="18"/>
  <c r="L236" i="18"/>
  <c r="L258" i="18"/>
  <c r="L265" i="18"/>
  <c r="L268" i="18"/>
  <c r="L278" i="18"/>
  <c r="L294" i="18"/>
  <c r="L310" i="18"/>
  <c r="V92" i="18" s="1"/>
  <c r="L44" i="18"/>
  <c r="L6" i="18"/>
  <c r="L13" i="18"/>
  <c r="L10" i="18"/>
  <c r="L17" i="18"/>
  <c r="L24" i="18"/>
  <c r="L45" i="18"/>
  <c r="L56" i="18"/>
  <c r="L79" i="18"/>
  <c r="V81" i="18" s="1"/>
  <c r="L85" i="18"/>
  <c r="L97" i="18"/>
  <c r="L155" i="18"/>
  <c r="L173" i="18"/>
  <c r="L185" i="18"/>
  <c r="L199" i="18"/>
  <c r="L206" i="18"/>
  <c r="L213" i="18"/>
  <c r="L231" i="18"/>
  <c r="L238" i="18"/>
  <c r="L245" i="18"/>
  <c r="L263" i="18"/>
  <c r="L270" i="18"/>
  <c r="L283" i="18"/>
  <c r="L299" i="18"/>
  <c r="L315" i="18"/>
  <c r="V97" i="18" s="1"/>
  <c r="L152" i="18"/>
  <c r="L293" i="18"/>
  <c r="L107" i="18"/>
  <c r="L123" i="18"/>
  <c r="L139" i="18"/>
  <c r="L224" i="18"/>
  <c r="L256" i="18"/>
  <c r="L296" i="18"/>
  <c r="L22" i="18"/>
  <c r="L29" i="18"/>
  <c r="L36" i="18"/>
  <c r="L43" i="18"/>
  <c r="L61" i="18"/>
  <c r="L74" i="18"/>
  <c r="V76" i="18" s="1"/>
  <c r="L77" i="18"/>
  <c r="L98" i="18"/>
  <c r="L105" i="18"/>
  <c r="L108" i="18"/>
  <c r="L121" i="18"/>
  <c r="L124" i="18"/>
  <c r="L137" i="18"/>
  <c r="L140" i="18"/>
  <c r="L153" i="18"/>
  <c r="L177" i="18"/>
  <c r="L193" i="18"/>
  <c r="L211" i="18"/>
  <c r="L218" i="18"/>
  <c r="L225" i="18"/>
  <c r="L243" i="18"/>
  <c r="L250" i="18"/>
  <c r="L257" i="18"/>
  <c r="L281" i="18"/>
  <c r="L297" i="18"/>
  <c r="L313" i="18"/>
  <c r="V95" i="18" s="1"/>
  <c r="V73" i="18"/>
  <c r="V70" i="18"/>
  <c r="V78" i="18"/>
  <c r="V71" i="18"/>
  <c r="V79" i="18"/>
  <c r="V66" i="18"/>
  <c r="V64" i="18"/>
  <c r="L75" i="18"/>
  <c r="V67" i="18"/>
  <c r="L67" i="18"/>
  <c r="L91" i="18"/>
  <c r="V84" i="18"/>
  <c r="L47" i="18"/>
  <c r="L66" i="18"/>
  <c r="L90" i="18"/>
  <c r="L182" i="18"/>
  <c r="L36" i="16"/>
  <c r="L40" i="16"/>
  <c r="L48" i="16"/>
  <c r="L60" i="16"/>
  <c r="L64" i="16"/>
  <c r="L72" i="16"/>
  <c r="V74" i="16" s="1"/>
  <c r="L204" i="16"/>
  <c r="L208" i="16"/>
  <c r="L212" i="16"/>
  <c r="L216" i="16"/>
  <c r="L220" i="16"/>
  <c r="L224" i="16"/>
  <c r="L228" i="16"/>
  <c r="L232" i="16"/>
  <c r="L236" i="16"/>
  <c r="L240" i="16"/>
  <c r="L244" i="16"/>
  <c r="L252" i="16"/>
  <c r="L256" i="16"/>
  <c r="L264" i="16"/>
  <c r="L3" i="16"/>
  <c r="L15" i="16"/>
  <c r="L19" i="16"/>
  <c r="L4" i="16"/>
  <c r="L13" i="16"/>
  <c r="L17" i="16"/>
  <c r="L308" i="17"/>
  <c r="L26" i="17"/>
  <c r="L84" i="17"/>
  <c r="L16" i="17"/>
  <c r="L74" i="16"/>
  <c r="V76" i="16" s="1"/>
  <c r="L102" i="16"/>
  <c r="L119" i="16"/>
  <c r="L112" i="16"/>
  <c r="L268" i="16"/>
  <c r="L300" i="16"/>
  <c r="L304" i="16"/>
  <c r="V86" i="16" s="1"/>
  <c r="L308" i="16"/>
  <c r="V90" i="16" s="1"/>
  <c r="L312" i="16"/>
  <c r="V94" i="16" s="1"/>
  <c r="L316" i="16"/>
  <c r="V98" i="16" s="1"/>
  <c r="L320" i="16"/>
  <c r="V102" i="16" s="1"/>
  <c r="L8" i="16"/>
  <c r="L12" i="16"/>
  <c r="L20" i="16"/>
  <c r="L311" i="16"/>
  <c r="V93" i="16" s="1"/>
  <c r="L120" i="16"/>
  <c r="L14" i="16"/>
  <c r="L18" i="16"/>
  <c r="L133" i="16"/>
  <c r="L149" i="16"/>
  <c r="L153" i="16"/>
  <c r="L165" i="16"/>
  <c r="L201" i="16"/>
  <c r="L281" i="16"/>
  <c r="L289" i="16"/>
  <c r="L9" i="17"/>
  <c r="L75" i="17"/>
  <c r="V77" i="17" s="1"/>
  <c r="L79" i="17"/>
  <c r="V81" i="17" s="1"/>
  <c r="L83" i="17"/>
  <c r="L101" i="17"/>
  <c r="L105" i="17"/>
  <c r="L116" i="17"/>
  <c r="L233" i="17"/>
  <c r="L237" i="17"/>
  <c r="L91" i="17"/>
  <c r="L222" i="17"/>
  <c r="L50" i="17"/>
  <c r="L2" i="17"/>
  <c r="L6" i="17"/>
  <c r="L14" i="17"/>
  <c r="L25" i="17"/>
  <c r="L29" i="17"/>
  <c r="L37" i="17"/>
  <c r="L41" i="17"/>
  <c r="L95" i="17"/>
  <c r="L102" i="17"/>
  <c r="L133" i="17"/>
  <c r="L137" i="17"/>
  <c r="L230" i="17"/>
  <c r="L238" i="17"/>
  <c r="L246" i="17"/>
  <c r="L250" i="17"/>
  <c r="L38" i="17"/>
  <c r="L46" i="17"/>
  <c r="L96" i="17"/>
  <c r="L126" i="17"/>
  <c r="L130" i="17"/>
  <c r="L134" i="17"/>
  <c r="L152" i="17"/>
  <c r="L156" i="17"/>
  <c r="L209" i="17"/>
  <c r="L213" i="17"/>
  <c r="L217" i="17"/>
  <c r="L10" i="17"/>
  <c r="L67" i="17"/>
  <c r="V69" i="17" s="1"/>
  <c r="L138" i="17"/>
  <c r="L226" i="17"/>
  <c r="L316" i="17"/>
  <c r="V98" i="17" s="1"/>
  <c r="L87" i="17"/>
  <c r="L97" i="17"/>
  <c r="L150" i="17"/>
  <c r="L34" i="17"/>
  <c r="L161" i="17"/>
  <c r="L61" i="17"/>
  <c r="L88" i="17"/>
  <c r="L98" i="17"/>
  <c r="L173" i="17"/>
  <c r="L181" i="17"/>
  <c r="L192" i="17"/>
  <c r="L302" i="17"/>
  <c r="V84" i="17" s="1"/>
  <c r="L306" i="17"/>
  <c r="V88" i="17" s="1"/>
  <c r="L13" i="17"/>
  <c r="L69" i="17"/>
  <c r="L121" i="17"/>
  <c r="L132" i="17"/>
  <c r="L136" i="17"/>
  <c r="L155" i="17"/>
  <c r="L162" i="17"/>
  <c r="L255" i="17"/>
  <c r="L58" i="17"/>
  <c r="L62" i="17"/>
  <c r="V64" i="17" s="1"/>
  <c r="L73" i="17"/>
  <c r="V75" i="17" s="1"/>
  <c r="L77" i="17"/>
  <c r="V79" i="17" s="1"/>
  <c r="L85" i="17"/>
  <c r="L92" i="17"/>
  <c r="L144" i="17"/>
  <c r="L159" i="17"/>
  <c r="L166" i="17"/>
  <c r="L170" i="17"/>
  <c r="L178" i="17"/>
  <c r="L182" i="17"/>
  <c r="L193" i="17"/>
  <c r="L232" i="17"/>
  <c r="L236" i="17"/>
  <c r="L240" i="17"/>
  <c r="L244" i="17"/>
  <c r="L248" i="17"/>
  <c r="L259" i="17"/>
  <c r="L291" i="17"/>
  <c r="L299" i="17"/>
  <c r="L303" i="17"/>
  <c r="V85" i="17" s="1"/>
  <c r="L198" i="16"/>
  <c r="L70" i="16"/>
  <c r="V72" i="16" s="1"/>
  <c r="L101" i="16"/>
  <c r="L109" i="16"/>
  <c r="L136" i="16"/>
  <c r="L211" i="16"/>
  <c r="L231" i="16"/>
  <c r="L235" i="16"/>
  <c r="L243" i="16"/>
  <c r="L251" i="16"/>
  <c r="L259" i="16"/>
  <c r="L27" i="16"/>
  <c r="L31" i="16"/>
  <c r="L173" i="16"/>
  <c r="L200" i="16"/>
  <c r="L276" i="16"/>
  <c r="L131" i="16"/>
  <c r="L209" i="16"/>
  <c r="L213" i="16"/>
  <c r="L217" i="16"/>
  <c r="L233" i="16"/>
  <c r="L249" i="16"/>
  <c r="L257" i="16"/>
  <c r="L24" i="16"/>
  <c r="L87" i="16"/>
  <c r="L97" i="16"/>
  <c r="L139" i="16"/>
  <c r="L143" i="16"/>
  <c r="L21" i="16"/>
  <c r="L25" i="16"/>
  <c r="L29" i="16"/>
  <c r="L88" i="16"/>
  <c r="L92" i="16"/>
  <c r="L98" i="16"/>
  <c r="L125" i="16"/>
  <c r="L147" i="16"/>
  <c r="L151" i="16"/>
  <c r="L159" i="16"/>
  <c r="L167" i="16"/>
  <c r="L179" i="16"/>
  <c r="L183" i="16"/>
  <c r="L187" i="16"/>
  <c r="L191" i="16"/>
  <c r="L266" i="16"/>
  <c r="L274" i="16"/>
  <c r="L293" i="16"/>
  <c r="L313" i="16"/>
  <c r="V95" i="16" s="1"/>
  <c r="L26" i="16"/>
  <c r="L30" i="16"/>
  <c r="L73" i="16"/>
  <c r="V75" i="16" s="1"/>
  <c r="L85" i="16"/>
  <c r="L89" i="16"/>
  <c r="L99" i="16"/>
  <c r="L122" i="16"/>
  <c r="L126" i="16"/>
  <c r="L156" i="16"/>
  <c r="L160" i="16"/>
  <c r="L164" i="16"/>
  <c r="L168" i="16"/>
  <c r="L172" i="16"/>
  <c r="L176" i="16"/>
  <c r="L180" i="16"/>
  <c r="L184" i="16"/>
  <c r="L188" i="16"/>
  <c r="L192" i="16"/>
  <c r="L196" i="16"/>
  <c r="L314" i="16"/>
  <c r="V96" i="16" s="1"/>
  <c r="L318" i="16"/>
  <c r="V100" i="16" s="1"/>
  <c r="L322" i="9"/>
  <c r="L5" i="17"/>
  <c r="L43" i="17"/>
  <c r="L106" i="17"/>
  <c r="L149" i="17"/>
  <c r="L186" i="17"/>
  <c r="L212" i="17"/>
  <c r="L231" i="17"/>
  <c r="L281" i="17"/>
  <c r="L12" i="17"/>
  <c r="L19" i="17"/>
  <c r="L40" i="17"/>
  <c r="L54" i="17"/>
  <c r="L76" i="17"/>
  <c r="V78" i="17" s="1"/>
  <c r="L103" i="17"/>
  <c r="L110" i="17"/>
  <c r="L120" i="17"/>
  <c r="L124" i="17"/>
  <c r="L135" i="17"/>
  <c r="L153" i="17"/>
  <c r="L171" i="17"/>
  <c r="L175" i="17"/>
  <c r="L179" i="17"/>
  <c r="L183" i="17"/>
  <c r="L190" i="17"/>
  <c r="L205" i="17"/>
  <c r="L216" i="17"/>
  <c r="L220" i="17"/>
  <c r="L224" i="17"/>
  <c r="L243" i="17"/>
  <c r="L247" i="17"/>
  <c r="L258" i="17"/>
  <c r="L285" i="17"/>
  <c r="L274" i="17"/>
  <c r="L278" i="17"/>
  <c r="L282" i="17"/>
  <c r="L289" i="17"/>
  <c r="L293" i="17"/>
  <c r="L301" i="17"/>
  <c r="L305" i="17"/>
  <c r="V87" i="17" s="1"/>
  <c r="L320" i="17"/>
  <c r="V102" i="17" s="1"/>
  <c r="L47" i="17"/>
  <c r="L157" i="17"/>
  <c r="L194" i="17"/>
  <c r="L228" i="17"/>
  <c r="L3" i="17"/>
  <c r="L7" i="17"/>
  <c r="L27" i="17"/>
  <c r="L70" i="17"/>
  <c r="V72" i="17" s="1"/>
  <c r="L118" i="17"/>
  <c r="L129" i="17"/>
  <c r="L140" i="17"/>
  <c r="L147" i="17"/>
  <c r="L154" i="17"/>
  <c r="L158" i="17"/>
  <c r="L169" i="17"/>
  <c r="L195" i="17"/>
  <c r="L199" i="17"/>
  <c r="L203" i="17"/>
  <c r="L214" i="17"/>
  <c r="L229" i="17"/>
  <c r="L263" i="17"/>
  <c r="L267" i="17"/>
  <c r="L271" i="17"/>
  <c r="L275" i="17"/>
  <c r="L279" i="17"/>
  <c r="L321" i="17"/>
  <c r="V103" i="17" s="1"/>
  <c r="L287" i="17"/>
  <c r="L4" i="17"/>
  <c r="L21" i="17"/>
  <c r="L24" i="17"/>
  <c r="L28" i="17"/>
  <c r="L42" i="17"/>
  <c r="L60" i="17"/>
  <c r="L63" i="17"/>
  <c r="V65" i="17" s="1"/>
  <c r="L71" i="17"/>
  <c r="V73" i="17" s="1"/>
  <c r="L122" i="17"/>
  <c r="L256" i="17"/>
  <c r="L307" i="17"/>
  <c r="V89" i="17" s="1"/>
  <c r="L148" i="17"/>
  <c r="L311" i="17"/>
  <c r="V93" i="17" s="1"/>
  <c r="L48" i="17"/>
  <c r="L288" i="17"/>
  <c r="L312" i="17"/>
  <c r="V94" i="17" s="1"/>
  <c r="L15" i="17"/>
  <c r="L99" i="17"/>
  <c r="L208" i="17"/>
  <c r="L260" i="17"/>
  <c r="L125" i="17"/>
  <c r="L23" i="17"/>
  <c r="L93" i="17"/>
  <c r="L89" i="17"/>
  <c r="L8" i="17"/>
  <c r="L44" i="17"/>
  <c r="L163" i="17"/>
  <c r="L187" i="17"/>
  <c r="L197" i="17"/>
  <c r="L241" i="17"/>
  <c r="L297" i="17"/>
  <c r="L318" i="17"/>
  <c r="V100" i="17" s="1"/>
  <c r="L45" i="17"/>
  <c r="L94" i="17"/>
  <c r="L164" i="17"/>
  <c r="L11" i="17"/>
  <c r="L80" i="17"/>
  <c r="V82" i="17" s="1"/>
  <c r="L104" i="17"/>
  <c r="L167" i="17"/>
  <c r="L191" i="17"/>
  <c r="L201" i="17"/>
  <c r="L211" i="17"/>
  <c r="L235" i="17"/>
  <c r="L245" i="17"/>
  <c r="L266" i="17"/>
  <c r="L273" i="17"/>
  <c r="L188" i="17"/>
  <c r="L215" i="17"/>
  <c r="L32" i="17"/>
  <c r="L39" i="17"/>
  <c r="L51" i="17"/>
  <c r="L81" i="17"/>
  <c r="V83" i="17" s="1"/>
  <c r="L128" i="17"/>
  <c r="L174" i="17"/>
  <c r="L177" i="17"/>
  <c r="L198" i="17"/>
  <c r="L218" i="17"/>
  <c r="L225" i="17"/>
  <c r="L239" i="17"/>
  <c r="L242" i="17"/>
  <c r="L249" i="17"/>
  <c r="L270" i="17"/>
  <c r="L277" i="17"/>
  <c r="L295" i="17"/>
  <c r="L298" i="17"/>
  <c r="L319" i="17"/>
  <c r="V101" i="17" s="1"/>
  <c r="V80" i="17"/>
  <c r="V76" i="17"/>
  <c r="L141" i="17"/>
  <c r="L17" i="17"/>
  <c r="V74" i="17"/>
  <c r="L210" i="17"/>
  <c r="L33" i="17"/>
  <c r="L36" i="17"/>
  <c r="V66" i="17"/>
  <c r="V71" i="17"/>
  <c r="L202" i="17"/>
  <c r="L66" i="17"/>
  <c r="L131" i="17"/>
  <c r="L49" i="17"/>
  <c r="L52" i="17"/>
  <c r="L65" i="17"/>
  <c r="L86" i="17"/>
  <c r="L90" i="17"/>
  <c r="L113" i="17"/>
  <c r="L145" i="17"/>
  <c r="L59" i="17"/>
  <c r="L109" i="17"/>
  <c r="L30" i="17"/>
  <c r="L107" i="17"/>
  <c r="L139" i="17"/>
  <c r="L221" i="17"/>
  <c r="L251" i="17"/>
  <c r="L315" i="17"/>
  <c r="L111" i="17"/>
  <c r="L143" i="17"/>
  <c r="L165" i="17"/>
  <c r="L234" i="17"/>
  <c r="V90" i="17"/>
  <c r="L119" i="17"/>
  <c r="L151" i="17"/>
  <c r="L123" i="17"/>
  <c r="L189" i="17"/>
  <c r="L283" i="17"/>
  <c r="V92" i="17"/>
  <c r="L11" i="16"/>
  <c r="L94" i="16"/>
  <c r="L292" i="16"/>
  <c r="L52" i="16"/>
  <c r="L77" i="16"/>
  <c r="V79" i="16" s="1"/>
  <c r="L175" i="16"/>
  <c r="L225" i="16"/>
  <c r="L267" i="16"/>
  <c r="L275" i="16"/>
  <c r="L282" i="16"/>
  <c r="L286" i="16"/>
  <c r="L305" i="16"/>
  <c r="V87" i="16" s="1"/>
  <c r="L53" i="16"/>
  <c r="L138" i="16"/>
  <c r="L210" i="16"/>
  <c r="L241" i="16"/>
  <c r="L279" i="16"/>
  <c r="L321" i="16"/>
  <c r="V103" i="16" s="1"/>
  <c r="L90" i="16"/>
  <c r="L93" i="16"/>
  <c r="L117" i="16"/>
  <c r="L157" i="16"/>
  <c r="L226" i="16"/>
  <c r="L245" i="16"/>
  <c r="L272" i="16"/>
  <c r="L291" i="16"/>
  <c r="L298" i="16"/>
  <c r="L306" i="16"/>
  <c r="V88" i="16" s="1"/>
  <c r="L46" i="16"/>
  <c r="L50" i="16"/>
  <c r="L54" i="16"/>
  <c r="L65" i="16"/>
  <c r="V67" i="16" s="1"/>
  <c r="L68" i="16"/>
  <c r="V70" i="16" s="1"/>
  <c r="L110" i="16"/>
  <c r="L135" i="16"/>
  <c r="L260" i="16"/>
  <c r="L2" i="16"/>
  <c r="L10" i="16"/>
  <c r="L34" i="16"/>
  <c r="L62" i="16"/>
  <c r="V64" i="16" s="1"/>
  <c r="L69" i="16"/>
  <c r="L76" i="16"/>
  <c r="V78" i="16" s="1"/>
  <c r="L80" i="16"/>
  <c r="V82" i="16" s="1"/>
  <c r="L84" i="16"/>
  <c r="L96" i="16"/>
  <c r="L114" i="16"/>
  <c r="L132" i="16"/>
  <c r="L146" i="16"/>
  <c r="L150" i="16"/>
  <c r="L154" i="16"/>
  <c r="L158" i="16"/>
  <c r="L181" i="16"/>
  <c r="L227" i="16"/>
  <c r="L265" i="16"/>
  <c r="L273" i="16"/>
  <c r="L284" i="16"/>
  <c r="L288" i="16"/>
  <c r="L299" i="16"/>
  <c r="L307" i="16"/>
  <c r="L103" i="16"/>
  <c r="L129" i="16"/>
  <c r="L189" i="16"/>
  <c r="L248" i="16"/>
  <c r="L263" i="16"/>
  <c r="L270" i="16"/>
  <c r="L277" i="16"/>
  <c r="L280" i="16"/>
  <c r="L295" i="16"/>
  <c r="L302" i="16"/>
  <c r="V84" i="16" s="1"/>
  <c r="L309" i="16"/>
  <c r="V91" i="16" s="1"/>
  <c r="L9" i="16"/>
  <c r="L28" i="16"/>
  <c r="L44" i="16"/>
  <c r="L148" i="16"/>
  <c r="L193" i="16"/>
  <c r="L6" i="16"/>
  <c r="L16" i="16"/>
  <c r="L38" i="16"/>
  <c r="L41" i="16"/>
  <c r="L51" i="16"/>
  <c r="L58" i="16"/>
  <c r="L104" i="16"/>
  <c r="L118" i="16"/>
  <c r="L124" i="16"/>
  <c r="L145" i="16"/>
  <c r="L152" i="16"/>
  <c r="L162" i="16"/>
  <c r="L169" i="16"/>
  <c r="L190" i="16"/>
  <c r="L197" i="16"/>
  <c r="L207" i="16"/>
  <c r="L214" i="16"/>
  <c r="L221" i="16"/>
  <c r="L239" i="16"/>
  <c r="L246" i="16"/>
  <c r="L253" i="16"/>
  <c r="L271" i="16"/>
  <c r="L278" i="16"/>
  <c r="L285" i="16"/>
  <c r="L303" i="16"/>
  <c r="V85" i="16" s="1"/>
  <c r="L310" i="16"/>
  <c r="V92" i="16" s="1"/>
  <c r="L317" i="16"/>
  <c r="V99" i="16" s="1"/>
  <c r="L7" i="16"/>
  <c r="L22" i="16"/>
  <c r="L39" i="16"/>
  <c r="L42" i="16"/>
  <c r="L78" i="16"/>
  <c r="V80" i="16" s="1"/>
  <c r="L140" i="16"/>
  <c r="L163" i="16"/>
  <c r="L170" i="16"/>
  <c r="L177" i="16"/>
  <c r="L215" i="16"/>
  <c r="L222" i="16"/>
  <c r="L229" i="16"/>
  <c r="L247" i="16"/>
  <c r="L254" i="16"/>
  <c r="L261" i="16"/>
  <c r="L296" i="16"/>
  <c r="L195" i="16"/>
  <c r="L283" i="16"/>
  <c r="L290" i="16"/>
  <c r="L297" i="16"/>
  <c r="L315" i="16"/>
  <c r="V97" i="16" s="1"/>
  <c r="L322" i="16"/>
  <c r="L23" i="16"/>
  <c r="L75" i="16"/>
  <c r="V77" i="16" s="1"/>
  <c r="L82" i="16"/>
  <c r="L100" i="16"/>
  <c r="L106" i="16"/>
  <c r="L116" i="16"/>
  <c r="L141" i="16"/>
  <c r="L171" i="16"/>
  <c r="L178" i="16"/>
  <c r="L185" i="16"/>
  <c r="L199" i="16"/>
  <c r="L205" i="16"/>
  <c r="L223" i="16"/>
  <c r="L230" i="16"/>
  <c r="L237" i="16"/>
  <c r="L255" i="16"/>
  <c r="L262" i="16"/>
  <c r="L269" i="16"/>
  <c r="L287" i="16"/>
  <c r="L294" i="16"/>
  <c r="L301" i="16"/>
  <c r="L319" i="16"/>
  <c r="V101" i="16" s="1"/>
  <c r="L5" i="16"/>
  <c r="L43" i="16"/>
  <c r="V73" i="16"/>
  <c r="L137" i="16"/>
  <c r="L66" i="16"/>
  <c r="L81" i="16"/>
  <c r="L121" i="16"/>
  <c r="V71" i="16"/>
  <c r="L86" i="16"/>
  <c r="L113" i="16"/>
  <c r="L203" i="16"/>
  <c r="L32" i="16"/>
  <c r="V66" i="16"/>
  <c r="V81" i="16"/>
  <c r="V89" i="16"/>
  <c r="L56" i="16"/>
  <c r="L91" i="16"/>
  <c r="L144" i="16"/>
  <c r="V69" i="16"/>
  <c r="L105" i="16"/>
  <c r="L128" i="16"/>
  <c r="L219" i="16"/>
  <c r="L33" i="16"/>
  <c r="L108" i="16"/>
  <c r="L155" i="16"/>
  <c r="L161" i="16"/>
  <c r="L322" i="1"/>
  <c r="V69" i="18" l="1"/>
  <c r="V77" i="18"/>
  <c r="V68" i="18"/>
  <c r="N5" i="18" s="1"/>
  <c r="N2" i="18"/>
  <c r="V97" i="17"/>
  <c r="V68" i="17"/>
  <c r="V67" i="17"/>
  <c r="N2" i="17" s="1"/>
  <c r="V83" i="16"/>
  <c r="V68" i="16"/>
  <c r="N5" i="16" s="1"/>
  <c r="M313" i="18" l="1"/>
  <c r="M281" i="18"/>
  <c r="M269" i="18"/>
  <c r="M253" i="18"/>
  <c r="M237" i="18"/>
  <c r="M221" i="18"/>
  <c r="M205" i="18"/>
  <c r="M301" i="18"/>
  <c r="M189" i="18"/>
  <c r="M184" i="18"/>
  <c r="M317" i="18"/>
  <c r="M285" i="18"/>
  <c r="M185" i="18"/>
  <c r="M209" i="18"/>
  <c r="M257" i="18"/>
  <c r="M80" i="18"/>
  <c r="M70" i="18"/>
  <c r="M59" i="18"/>
  <c r="M139" i="18"/>
  <c r="M107" i="18"/>
  <c r="M305" i="18"/>
  <c r="M225" i="18"/>
  <c r="M273" i="18"/>
  <c r="M193" i="18"/>
  <c r="M241" i="18"/>
  <c r="M88" i="18"/>
  <c r="M72" i="18"/>
  <c r="M143" i="18"/>
  <c r="M111" i="18"/>
  <c r="M20" i="18"/>
  <c r="M64" i="18"/>
  <c r="M78" i="18"/>
  <c r="M68" i="18"/>
  <c r="M55" i="18"/>
  <c r="M10" i="18"/>
  <c r="M85" i="18"/>
  <c r="M14" i="18"/>
  <c r="M13" i="18"/>
  <c r="M46" i="18"/>
  <c r="M22" i="18"/>
  <c r="M98" i="18"/>
  <c r="M121" i="18"/>
  <c r="M183" i="18"/>
  <c r="M100" i="18"/>
  <c r="M197" i="18"/>
  <c r="M104" i="18"/>
  <c r="M191" i="18"/>
  <c r="M110" i="18"/>
  <c r="M302" i="18"/>
  <c r="M122" i="18"/>
  <c r="M233" i="18"/>
  <c r="M134" i="18"/>
  <c r="M188" i="18"/>
  <c r="M120" i="18"/>
  <c r="M265" i="18"/>
  <c r="M226" i="18"/>
  <c r="M271" i="18"/>
  <c r="M294" i="18"/>
  <c r="M220" i="18"/>
  <c r="M262" i="18"/>
  <c r="M275" i="18"/>
  <c r="M208" i="18"/>
  <c r="M250" i="18"/>
  <c r="M319" i="18"/>
  <c r="M278" i="18"/>
  <c r="M212" i="18"/>
  <c r="M254" i="18"/>
  <c r="M322" i="18"/>
  <c r="M79" i="18"/>
  <c r="M259" i="18"/>
  <c r="M4" i="18"/>
  <c r="M2" i="18"/>
  <c r="M9" i="18"/>
  <c r="M84" i="18"/>
  <c r="M17" i="18"/>
  <c r="M92" i="18"/>
  <c r="M21" i="18"/>
  <c r="M41" i="18"/>
  <c r="M48" i="18"/>
  <c r="M29" i="18"/>
  <c r="M109" i="18"/>
  <c r="M138" i="18"/>
  <c r="M245" i="18"/>
  <c r="M118" i="18"/>
  <c r="M249" i="18"/>
  <c r="M113" i="18"/>
  <c r="M201" i="18"/>
  <c r="M116" i="18"/>
  <c r="M128" i="18"/>
  <c r="M309" i="18"/>
  <c r="M140" i="18"/>
  <c r="M261" i="18"/>
  <c r="M129" i="18"/>
  <c r="M291" i="18"/>
  <c r="M232" i="18"/>
  <c r="M282" i="18"/>
  <c r="M300" i="18"/>
  <c r="M227" i="18"/>
  <c r="M268" i="18"/>
  <c r="M286" i="18"/>
  <c r="M215" i="18"/>
  <c r="M256" i="18"/>
  <c r="M162" i="18"/>
  <c r="M284" i="18"/>
  <c r="M219" i="18"/>
  <c r="M260" i="18"/>
  <c r="M52" i="18"/>
  <c r="M76" i="18"/>
  <c r="M7" i="18"/>
  <c r="M112" i="18"/>
  <c r="M96" i="18"/>
  <c r="M89" i="18"/>
  <c r="M179" i="18"/>
  <c r="M223" i="18"/>
  <c r="M202" i="18"/>
  <c r="M190" i="18"/>
  <c r="M251" i="18"/>
  <c r="M8" i="18"/>
  <c r="M71" i="18"/>
  <c r="M5" i="18"/>
  <c r="M16" i="18"/>
  <c r="M87" i="18"/>
  <c r="M24" i="18"/>
  <c r="M94" i="18"/>
  <c r="M28" i="18"/>
  <c r="M51" i="18"/>
  <c r="M36" i="18"/>
  <c r="M126" i="18"/>
  <c r="M144" i="18"/>
  <c r="M132" i="18"/>
  <c r="M124" i="18"/>
  <c r="M289" i="18"/>
  <c r="M130" i="18"/>
  <c r="M276" i="18"/>
  <c r="M125" i="18"/>
  <c r="M308" i="18"/>
  <c r="M137" i="18"/>
  <c r="M63" i="18"/>
  <c r="M149" i="18"/>
  <c r="M297" i="18"/>
  <c r="M146" i="18"/>
  <c r="M194" i="18"/>
  <c r="M239" i="18"/>
  <c r="M288" i="18"/>
  <c r="M315" i="18"/>
  <c r="M230" i="18"/>
  <c r="M274" i="18"/>
  <c r="M292" i="18"/>
  <c r="M218" i="18"/>
  <c r="M263" i="18"/>
  <c r="M166" i="18"/>
  <c r="M299" i="18"/>
  <c r="M222" i="18"/>
  <c r="M267" i="18"/>
  <c r="M105" i="18"/>
  <c r="M283" i="18"/>
  <c r="M304" i="18"/>
  <c r="M11" i="18"/>
  <c r="M86" i="18"/>
  <c r="M12" i="18"/>
  <c r="M19" i="18"/>
  <c r="M115" i="18"/>
  <c r="M27" i="18"/>
  <c r="M119" i="18"/>
  <c r="M31" i="18"/>
  <c r="M69" i="18"/>
  <c r="M57" i="18"/>
  <c r="M39" i="18"/>
  <c r="M141" i="18"/>
  <c r="M153" i="18"/>
  <c r="M62" i="18"/>
  <c r="M133" i="18"/>
  <c r="M136" i="18"/>
  <c r="M321" i="18"/>
  <c r="M142" i="18"/>
  <c r="M61" i="18"/>
  <c r="M154" i="18"/>
  <c r="M155" i="18"/>
  <c r="M152" i="18"/>
  <c r="M200" i="18"/>
  <c r="M242" i="18"/>
  <c r="M303" i="18"/>
  <c r="M195" i="18"/>
  <c r="M236" i="18"/>
  <c r="M280" i="18"/>
  <c r="M307" i="18"/>
  <c r="M224" i="18"/>
  <c r="M266" i="18"/>
  <c r="M170" i="18"/>
  <c r="M310" i="18"/>
  <c r="M228" i="18"/>
  <c r="M270" i="18"/>
  <c r="M50" i="18"/>
  <c r="M214" i="18"/>
  <c r="M26" i="18"/>
  <c r="M93" i="18"/>
  <c r="M15" i="18"/>
  <c r="M34" i="18"/>
  <c r="M131" i="18"/>
  <c r="M45" i="18"/>
  <c r="M135" i="18"/>
  <c r="M42" i="18"/>
  <c r="M18" i="18"/>
  <c r="M123" i="18"/>
  <c r="M43" i="18"/>
  <c r="M217" i="18"/>
  <c r="M156" i="18"/>
  <c r="M150" i="18"/>
  <c r="M145" i="18"/>
  <c r="M148" i="18"/>
  <c r="M82" i="18"/>
  <c r="M157" i="18"/>
  <c r="M74" i="18"/>
  <c r="M158" i="18"/>
  <c r="M161" i="18"/>
  <c r="M207" i="18"/>
  <c r="M248" i="18"/>
  <c r="M314" i="18"/>
  <c r="M198" i="18"/>
  <c r="M243" i="18"/>
  <c r="M295" i="18"/>
  <c r="M318" i="18"/>
  <c r="M231" i="18"/>
  <c r="M272" i="18"/>
  <c r="M174" i="18"/>
  <c r="M316" i="18"/>
  <c r="M235" i="18"/>
  <c r="M279" i="18"/>
  <c r="M53" i="18"/>
  <c r="M33" i="18"/>
  <c r="M102" i="18"/>
  <c r="M30" i="18"/>
  <c r="M40" i="18"/>
  <c r="M147" i="18"/>
  <c r="M56" i="18"/>
  <c r="M151" i="18"/>
  <c r="M60" i="18"/>
  <c r="M25" i="18"/>
  <c r="M38" i="18"/>
  <c r="M54" i="18"/>
  <c r="M164" i="18"/>
  <c r="M81" i="18"/>
  <c r="M159" i="18"/>
  <c r="M73" i="18"/>
  <c r="M165" i="18"/>
  <c r="M65" i="18"/>
  <c r="M229" i="18"/>
  <c r="M97" i="18"/>
  <c r="M160" i="18"/>
  <c r="M95" i="18"/>
  <c r="M163" i="18"/>
  <c r="M169" i="18"/>
  <c r="M210" i="18"/>
  <c r="M255" i="18"/>
  <c r="M320" i="18"/>
  <c r="M204" i="18"/>
  <c r="M246" i="18"/>
  <c r="M306" i="18"/>
  <c r="M192" i="18"/>
  <c r="M234" i="18"/>
  <c r="M287" i="18"/>
  <c r="M178" i="18"/>
  <c r="M196" i="18"/>
  <c r="M238" i="18"/>
  <c r="M290" i="18"/>
  <c r="M58" i="18"/>
  <c r="M176" i="18"/>
  <c r="M264" i="18"/>
  <c r="M247" i="18"/>
  <c r="M311" i="18"/>
  <c r="M49" i="18"/>
  <c r="M127" i="18"/>
  <c r="M37" i="18"/>
  <c r="M44" i="18"/>
  <c r="M3" i="18"/>
  <c r="M6" i="18"/>
  <c r="M32" i="18"/>
  <c r="M101" i="18"/>
  <c r="M106" i="18"/>
  <c r="M172" i="18"/>
  <c r="M83" i="18"/>
  <c r="M167" i="18"/>
  <c r="M173" i="18"/>
  <c r="M277" i="18"/>
  <c r="M99" i="18"/>
  <c r="M168" i="18"/>
  <c r="M108" i="18"/>
  <c r="M171" i="18"/>
  <c r="M103" i="18"/>
  <c r="M177" i="18"/>
  <c r="M216" i="18"/>
  <c r="M258" i="18"/>
  <c r="M186" i="18"/>
  <c r="M211" i="18"/>
  <c r="M252" i="18"/>
  <c r="M312" i="18"/>
  <c r="M199" i="18"/>
  <c r="M240" i="18"/>
  <c r="M298" i="18"/>
  <c r="M187" i="18"/>
  <c r="M203" i="18"/>
  <c r="M244" i="18"/>
  <c r="M296" i="18"/>
  <c r="M23" i="18"/>
  <c r="M35" i="18"/>
  <c r="M77" i="18"/>
  <c r="M180" i="18"/>
  <c r="M175" i="18"/>
  <c r="M181" i="18"/>
  <c r="M293" i="18"/>
  <c r="M117" i="18"/>
  <c r="M114" i="18"/>
  <c r="M213" i="18"/>
  <c r="M206" i="18"/>
  <c r="M67" i="18"/>
  <c r="M66" i="18"/>
  <c r="M90" i="18"/>
  <c r="M75" i="18"/>
  <c r="M91" i="18"/>
  <c r="M47" i="18"/>
  <c r="M182" i="18"/>
  <c r="N5" i="17"/>
  <c r="M261" i="17"/>
  <c r="M285" i="17"/>
  <c r="M317" i="17"/>
  <c r="M309" i="17"/>
  <c r="M245" i="17"/>
  <c r="M211" i="17"/>
  <c r="M269" i="17"/>
  <c r="M293" i="17"/>
  <c r="M253" i="17"/>
  <c r="M101" i="17"/>
  <c r="M179" i="17"/>
  <c r="M41" i="17"/>
  <c r="M301" i="17"/>
  <c r="M277" i="17"/>
  <c r="M181" i="17"/>
  <c r="M171" i="17"/>
  <c r="M34" i="17"/>
  <c r="M88" i="17"/>
  <c r="M235" i="17"/>
  <c r="M240" i="17"/>
  <c r="M6" i="17"/>
  <c r="M2" i="17"/>
  <c r="M12" i="17"/>
  <c r="M92" i="17"/>
  <c r="M27" i="17"/>
  <c r="M25" i="17"/>
  <c r="M8" i="17"/>
  <c r="M83" i="17"/>
  <c r="M80" i="17"/>
  <c r="M133" i="17"/>
  <c r="M238" i="17"/>
  <c r="M286" i="17"/>
  <c r="M51" i="17"/>
  <c r="M144" i="17"/>
  <c r="M320" i="17"/>
  <c r="M26" i="17"/>
  <c r="M197" i="17"/>
  <c r="M292" i="17"/>
  <c r="M233" i="17"/>
  <c r="M130" i="17"/>
  <c r="M280" i="17"/>
  <c r="M264" i="17"/>
  <c r="M203" i="17"/>
  <c r="M194" i="17"/>
  <c r="M229" i="17"/>
  <c r="M20" i="17"/>
  <c r="M138" i="17"/>
  <c r="M304" i="17"/>
  <c r="M198" i="17"/>
  <c r="M275" i="17"/>
  <c r="M193" i="17"/>
  <c r="M318" i="17"/>
  <c r="M117" i="17"/>
  <c r="M307" i="17"/>
  <c r="M217" i="17"/>
  <c r="M313" i="17"/>
  <c r="M287" i="17"/>
  <c r="M266" i="17"/>
  <c r="M68" i="17"/>
  <c r="M316" i="17"/>
  <c r="M274" i="17"/>
  <c r="M23" i="17"/>
  <c r="M254" i="17"/>
  <c r="M244" i="17"/>
  <c r="M149" i="17"/>
  <c r="M222" i="17"/>
  <c r="M249" i="17"/>
  <c r="M311" i="17"/>
  <c r="M290" i="17"/>
  <c r="M72" i="17"/>
  <c r="M178" i="17"/>
  <c r="M160" i="17"/>
  <c r="M185" i="17"/>
  <c r="M214" i="17"/>
  <c r="M196" i="17"/>
  <c r="M91" i="17"/>
  <c r="M105" i="17"/>
  <c r="M57" i="17"/>
  <c r="M28" i="17"/>
  <c r="M38" i="17"/>
  <c r="M110" i="17"/>
  <c r="M118" i="17"/>
  <c r="M148" i="17"/>
  <c r="M289" i="17"/>
  <c r="M163" i="17"/>
  <c r="M48" i="17"/>
  <c r="M69" i="17"/>
  <c r="M200" i="17"/>
  <c r="M136" i="17"/>
  <c r="M272" i="17"/>
  <c r="M134" i="17"/>
  <c r="M63" i="17"/>
  <c r="M99" i="17"/>
  <c r="M248" i="17"/>
  <c r="M204" i="17"/>
  <c r="M46" i="17"/>
  <c r="M161" i="17"/>
  <c r="M302" i="17"/>
  <c r="M206" i="17"/>
  <c r="M132" i="17"/>
  <c r="M267" i="17"/>
  <c r="M188" i="17"/>
  <c r="M177" i="17"/>
  <c r="M230" i="17"/>
  <c r="M295" i="17"/>
  <c r="M84" i="17"/>
  <c r="M7" i="17"/>
  <c r="M122" i="17"/>
  <c r="M219" i="17"/>
  <c r="M296" i="17"/>
  <c r="M279" i="17"/>
  <c r="M232" i="17"/>
  <c r="M114" i="17"/>
  <c r="M40" i="17"/>
  <c r="M31" i="17"/>
  <c r="M44" i="17"/>
  <c r="M142" i="17"/>
  <c r="M150" i="17"/>
  <c r="M4" i="17"/>
  <c r="M61" i="17"/>
  <c r="M85" i="17"/>
  <c r="M62" i="17"/>
  <c r="M169" i="17"/>
  <c r="M32" i="17"/>
  <c r="M3" i="17"/>
  <c r="M231" i="17"/>
  <c r="M162" i="17"/>
  <c r="M14" i="17"/>
  <c r="M140" i="17"/>
  <c r="M29" i="17"/>
  <c r="M218" i="17"/>
  <c r="M124" i="17"/>
  <c r="M173" i="17"/>
  <c r="M305" i="17"/>
  <c r="M228" i="17"/>
  <c r="M236" i="17"/>
  <c r="M321" i="17"/>
  <c r="M147" i="17"/>
  <c r="M294" i="17"/>
  <c r="M209" i="17"/>
  <c r="M220" i="17"/>
  <c r="M246" i="17"/>
  <c r="M303" i="17"/>
  <c r="M282" i="17"/>
  <c r="M182" i="17"/>
  <c r="M129" i="17"/>
  <c r="M268" i="17"/>
  <c r="M115" i="17"/>
  <c r="M322" i="17"/>
  <c r="M15" i="17"/>
  <c r="M120" i="17"/>
  <c r="M43" i="17"/>
  <c r="M37" i="17"/>
  <c r="M53" i="17"/>
  <c r="M11" i="17"/>
  <c r="M176" i="17"/>
  <c r="M121" i="17"/>
  <c r="M175" i="17"/>
  <c r="M126" i="17"/>
  <c r="M73" i="17"/>
  <c r="M256" i="17"/>
  <c r="M56" i="17"/>
  <c r="M157" i="17"/>
  <c r="M81" i="17"/>
  <c r="M186" i="17"/>
  <c r="M16" i="17"/>
  <c r="M225" i="17"/>
  <c r="M239" i="17"/>
  <c r="M297" i="17"/>
  <c r="M247" i="17"/>
  <c r="M116" i="17"/>
  <c r="M192" i="17"/>
  <c r="M13" i="17"/>
  <c r="M64" i="17"/>
  <c r="M89" i="17"/>
  <c r="M106" i="17"/>
  <c r="M9" i="17"/>
  <c r="M137" i="17"/>
  <c r="M87" i="17"/>
  <c r="M95" i="17"/>
  <c r="M67" i="17"/>
  <c r="M47" i="17"/>
  <c r="M24" i="17"/>
  <c r="M70" i="17"/>
  <c r="M74" i="17"/>
  <c r="M153" i="17"/>
  <c r="M77" i="17"/>
  <c r="M187" i="17"/>
  <c r="M35" i="17"/>
  <c r="M75" i="17"/>
  <c r="M55" i="17"/>
  <c r="M262" i="17"/>
  <c r="M94" i="17"/>
  <c r="M167" i="17"/>
  <c r="M223" i="17"/>
  <c r="M39" i="17"/>
  <c r="M125" i="17"/>
  <c r="M237" i="17"/>
  <c r="M183" i="17"/>
  <c r="M19" i="17"/>
  <c r="M195" i="17"/>
  <c r="M278" i="17"/>
  <c r="M257" i="17"/>
  <c r="M308" i="17"/>
  <c r="M170" i="17"/>
  <c r="M300" i="17"/>
  <c r="M243" i="17"/>
  <c r="M158" i="17"/>
  <c r="M252" i="17"/>
  <c r="M255" i="17"/>
  <c r="M319" i="17"/>
  <c r="M298" i="17"/>
  <c r="M184" i="17"/>
  <c r="M215" i="17"/>
  <c r="M172" i="17"/>
  <c r="M18" i="17"/>
  <c r="M146" i="17"/>
  <c r="M103" i="17"/>
  <c r="M159" i="17"/>
  <c r="M50" i="17"/>
  <c r="M154" i="17"/>
  <c r="M213" i="17"/>
  <c r="M100" i="17"/>
  <c r="M190" i="17"/>
  <c r="M104" i="17"/>
  <c r="M96" i="17"/>
  <c r="M93" i="17"/>
  <c r="M312" i="17"/>
  <c r="M98" i="17"/>
  <c r="M191" i="17"/>
  <c r="M97" i="17"/>
  <c r="M265" i="17"/>
  <c r="M128" i="17"/>
  <c r="M10" i="17"/>
  <c r="M212" i="17"/>
  <c r="M205" i="17"/>
  <c r="M155" i="17"/>
  <c r="M281" i="17"/>
  <c r="M260" i="17"/>
  <c r="M82" i="17"/>
  <c r="M180" i="17"/>
  <c r="M241" i="17"/>
  <c r="M270" i="17"/>
  <c r="M166" i="17"/>
  <c r="M263" i="17"/>
  <c r="M242" i="17"/>
  <c r="M306" i="17"/>
  <c r="M168" i="17"/>
  <c r="M224" i="17"/>
  <c r="M258" i="17"/>
  <c r="M22" i="17"/>
  <c r="M152" i="17"/>
  <c r="M60" i="17"/>
  <c r="M21" i="17"/>
  <c r="M71" i="17"/>
  <c r="M54" i="17"/>
  <c r="M5" i="17"/>
  <c r="M78" i="17"/>
  <c r="M174" i="17"/>
  <c r="M227" i="17"/>
  <c r="M112" i="17"/>
  <c r="M156" i="17"/>
  <c r="M42" i="17"/>
  <c r="M127" i="17"/>
  <c r="M199" i="17"/>
  <c r="M108" i="17"/>
  <c r="M207" i="17"/>
  <c r="M135" i="17"/>
  <c r="M79" i="17"/>
  <c r="M76" i="17"/>
  <c r="M259" i="17"/>
  <c r="M45" i="17"/>
  <c r="M288" i="17"/>
  <c r="M164" i="17"/>
  <c r="M284" i="17"/>
  <c r="M291" i="17"/>
  <c r="M102" i="17"/>
  <c r="M201" i="17"/>
  <c r="M273" i="17"/>
  <c r="M310" i="17"/>
  <c r="M271" i="17"/>
  <c r="M250" i="17"/>
  <c r="M314" i="17"/>
  <c r="M208" i="17"/>
  <c r="M216" i="17"/>
  <c r="M226" i="17"/>
  <c r="M58" i="17"/>
  <c r="M299" i="17"/>
  <c r="M276" i="17"/>
  <c r="M189" i="17"/>
  <c r="M143" i="17"/>
  <c r="M119" i="17"/>
  <c r="M221" i="17"/>
  <c r="M113" i="17"/>
  <c r="M165" i="17"/>
  <c r="M202" i="17"/>
  <c r="M86" i="17"/>
  <c r="M151" i="17"/>
  <c r="M145" i="17"/>
  <c r="M49" i="17"/>
  <c r="M66" i="17"/>
  <c r="M234" i="17"/>
  <c r="M36" i="17"/>
  <c r="M283" i="17"/>
  <c r="M30" i="17"/>
  <c r="M139" i="17"/>
  <c r="M33" i="17"/>
  <c r="M251" i="17"/>
  <c r="M52" i="17"/>
  <c r="M210" i="17"/>
  <c r="M141" i="17"/>
  <c r="M59" i="17"/>
  <c r="M17" i="17"/>
  <c r="M65" i="17"/>
  <c r="M131" i="17"/>
  <c r="M107" i="17"/>
  <c r="M315" i="17"/>
  <c r="M111" i="17"/>
  <c r="M90" i="17"/>
  <c r="M123" i="17"/>
  <c r="M109" i="17"/>
  <c r="N2" i="16"/>
  <c r="P153" i="18" l="1"/>
  <c r="O2" i="18"/>
  <c r="P180" i="18" s="1"/>
  <c r="P35" i="18"/>
  <c r="O2" i="17"/>
  <c r="P299" i="17" s="1"/>
  <c r="M197" i="16"/>
  <c r="M181" i="16"/>
  <c r="M165" i="16"/>
  <c r="M139" i="16"/>
  <c r="M123" i="16"/>
  <c r="M189" i="16"/>
  <c r="M100" i="16"/>
  <c r="M54" i="16"/>
  <c r="M114" i="16"/>
  <c r="M173" i="16"/>
  <c r="M47" i="16"/>
  <c r="M117" i="16"/>
  <c r="M78" i="16"/>
  <c r="M31" i="16"/>
  <c r="M157" i="16"/>
  <c r="M124" i="16"/>
  <c r="M38" i="16"/>
  <c r="M57" i="16"/>
  <c r="M200" i="16"/>
  <c r="M140" i="16"/>
  <c r="M147" i="16"/>
  <c r="M131" i="16"/>
  <c r="M73" i="16"/>
  <c r="M8" i="16"/>
  <c r="M168" i="16"/>
  <c r="M34" i="16"/>
  <c r="M25" i="16"/>
  <c r="M10" i="16"/>
  <c r="M4" i="16"/>
  <c r="M109" i="16"/>
  <c r="M227" i="16"/>
  <c r="M162" i="16"/>
  <c r="M280" i="16"/>
  <c r="M58" i="16"/>
  <c r="M178" i="16"/>
  <c r="M36" i="16"/>
  <c r="M74" i="16"/>
  <c r="M163" i="16"/>
  <c r="M256" i="16"/>
  <c r="M62" i="16"/>
  <c r="M110" i="16"/>
  <c r="M167" i="16"/>
  <c r="M292" i="16"/>
  <c r="M130" i="16"/>
  <c r="M247" i="16"/>
  <c r="M244" i="16"/>
  <c r="M72" i="16"/>
  <c r="M107" i="16"/>
  <c r="M251" i="16"/>
  <c r="M171" i="16"/>
  <c r="M255" i="16"/>
  <c r="M158" i="16"/>
  <c r="M169" i="16"/>
  <c r="M241" i="16"/>
  <c r="M305" i="16"/>
  <c r="M226" i="16"/>
  <c r="M198" i="16"/>
  <c r="M266" i="16"/>
  <c r="M298" i="16"/>
  <c r="M2" i="16"/>
  <c r="M12" i="16"/>
  <c r="M41" i="16"/>
  <c r="M77" i="16"/>
  <c r="M21" i="16"/>
  <c r="M11" i="16"/>
  <c r="M184" i="16"/>
  <c r="M85" i="16"/>
  <c r="M308" i="16"/>
  <c r="M269" i="16"/>
  <c r="M174" i="16"/>
  <c r="M313" i="16"/>
  <c r="M238" i="16"/>
  <c r="M270" i="16"/>
  <c r="M304" i="16"/>
  <c r="M213" i="16"/>
  <c r="M295" i="16"/>
  <c r="M61" i="16"/>
  <c r="M220" i="16"/>
  <c r="M259" i="16"/>
  <c r="M194" i="16"/>
  <c r="M271" i="16"/>
  <c r="M320" i="16"/>
  <c r="M64" i="16"/>
  <c r="M116" i="16"/>
  <c r="M179" i="16"/>
  <c r="M307" i="16"/>
  <c r="M136" i="16"/>
  <c r="M261" i="16"/>
  <c r="M80" i="16"/>
  <c r="M120" i="16"/>
  <c r="M268" i="16"/>
  <c r="M70" i="16"/>
  <c r="M176" i="16"/>
  <c r="M164" i="16"/>
  <c r="M249" i="16"/>
  <c r="M234" i="16"/>
  <c r="M302" i="16"/>
  <c r="M166" i="16"/>
  <c r="M18" i="16"/>
  <c r="M71" i="16"/>
  <c r="M276" i="16"/>
  <c r="M151" i="16"/>
  <c r="M101" i="16"/>
  <c r="M35" i="16"/>
  <c r="M67" i="16"/>
  <c r="M133" i="16"/>
  <c r="M225" i="16"/>
  <c r="M258" i="16"/>
  <c r="M88" i="16"/>
  <c r="M277" i="16"/>
  <c r="M154" i="16"/>
  <c r="M152" i="16"/>
  <c r="M150" i="16"/>
  <c r="M233" i="16"/>
  <c r="M294" i="16"/>
  <c r="M9" i="16"/>
  <c r="M60" i="16"/>
  <c r="M83" i="16"/>
  <c r="M29" i="16"/>
  <c r="M14" i="16"/>
  <c r="M20" i="16"/>
  <c r="M94" i="16"/>
  <c r="M216" i="16"/>
  <c r="M309" i="16"/>
  <c r="M235" i="16"/>
  <c r="M19" i="16"/>
  <c r="M95" i="16"/>
  <c r="M285" i="16"/>
  <c r="M13" i="16"/>
  <c r="M135" i="16"/>
  <c r="M201" i="16"/>
  <c r="M264" i="16"/>
  <c r="M45" i="16"/>
  <c r="M283" i="16"/>
  <c r="M186" i="16"/>
  <c r="M272" i="16"/>
  <c r="M180" i="16"/>
  <c r="M185" i="16"/>
  <c r="M257" i="16"/>
  <c r="M321" i="16"/>
  <c r="M242" i="16"/>
  <c r="M274" i="16"/>
  <c r="M306" i="16"/>
  <c r="M196" i="16"/>
  <c r="M310" i="16"/>
  <c r="M188" i="16"/>
  <c r="M53" i="16"/>
  <c r="M145" i="16"/>
  <c r="M299" i="16"/>
  <c r="M260" i="16"/>
  <c r="M311" i="16"/>
  <c r="M210" i="16"/>
  <c r="M103" i="16"/>
  <c r="M156" i="16"/>
  <c r="M316" i="16"/>
  <c r="M104" i="16"/>
  <c r="M232" i="16"/>
  <c r="M291" i="16"/>
  <c r="M230" i="16"/>
  <c r="M193" i="16"/>
  <c r="M15" i="16"/>
  <c r="M126" i="16"/>
  <c r="M96" i="16"/>
  <c r="M149" i="16"/>
  <c r="M3" i="16"/>
  <c r="M26" i="16"/>
  <c r="M17" i="16"/>
  <c r="M55" i="16"/>
  <c r="M112" i="16"/>
  <c r="M231" i="16"/>
  <c r="M68" i="16"/>
  <c r="M252" i="16"/>
  <c r="M39" i="16"/>
  <c r="M207" i="16"/>
  <c r="M288" i="16"/>
  <c r="M40" i="16"/>
  <c r="M138" i="16"/>
  <c r="M211" i="16"/>
  <c r="M90" i="16"/>
  <c r="M97" i="16"/>
  <c r="M183" i="16"/>
  <c r="M279" i="16"/>
  <c r="M52" i="16"/>
  <c r="M84" i="16"/>
  <c r="M160" i="16"/>
  <c r="M300" i="16"/>
  <c r="M75" i="16"/>
  <c r="M205" i="16"/>
  <c r="M287" i="16"/>
  <c r="M190" i="16"/>
  <c r="M265" i="16"/>
  <c r="M172" i="16"/>
  <c r="M246" i="16"/>
  <c r="M278" i="16"/>
  <c r="M175" i="16"/>
  <c r="M49" i="16"/>
  <c r="M263" i="16"/>
  <c r="M229" i="16"/>
  <c r="M237" i="16"/>
  <c r="M289" i="16"/>
  <c r="M290" i="16"/>
  <c r="M50" i="16"/>
  <c r="M153" i="16"/>
  <c r="M253" i="16"/>
  <c r="M275" i="16"/>
  <c r="M297" i="16"/>
  <c r="M28" i="16"/>
  <c r="M6" i="16"/>
  <c r="M142" i="16"/>
  <c r="M159" i="16"/>
  <c r="M7" i="16"/>
  <c r="M30" i="16"/>
  <c r="M23" i="16"/>
  <c r="M63" i="16"/>
  <c r="M118" i="16"/>
  <c r="M245" i="16"/>
  <c r="M312" i="16"/>
  <c r="M267" i="16"/>
  <c r="M51" i="16"/>
  <c r="M115" i="16"/>
  <c r="M221" i="16"/>
  <c r="M303" i="16"/>
  <c r="M87" i="16"/>
  <c r="M79" i="16"/>
  <c r="M141" i="16"/>
  <c r="M228" i="16"/>
  <c r="M111" i="16"/>
  <c r="M119" i="16"/>
  <c r="M195" i="16"/>
  <c r="M293" i="16"/>
  <c r="M65" i="16"/>
  <c r="M89" i="16"/>
  <c r="M199" i="16"/>
  <c r="M315" i="16"/>
  <c r="M208" i="16"/>
  <c r="M301" i="16"/>
  <c r="M206" i="16"/>
  <c r="M209" i="16"/>
  <c r="M273" i="16"/>
  <c r="M250" i="16"/>
  <c r="M282" i="16"/>
  <c r="M314" i="16"/>
  <c r="M170" i="16"/>
  <c r="M322" i="16"/>
  <c r="M191" i="16"/>
  <c r="M92" i="16"/>
  <c r="M48" i="16"/>
  <c r="M148" i="16"/>
  <c r="M59" i="16"/>
  <c r="M42" i="16"/>
  <c r="M240" i="16"/>
  <c r="M218" i="16"/>
  <c r="M37" i="16"/>
  <c r="M16" i="16"/>
  <c r="M27" i="16"/>
  <c r="M93" i="16"/>
  <c r="M22" i="16"/>
  <c r="M46" i="16"/>
  <c r="M82" i="16"/>
  <c r="M248" i="16"/>
  <c r="M134" i="16"/>
  <c r="M284" i="16"/>
  <c r="M69" i="16"/>
  <c r="M132" i="16"/>
  <c r="M224" i="16"/>
  <c r="M192" i="16"/>
  <c r="M99" i="16"/>
  <c r="M143" i="16"/>
  <c r="M243" i="16"/>
  <c r="M212" i="16"/>
  <c r="M122" i="16"/>
  <c r="M215" i="16"/>
  <c r="M296" i="16"/>
  <c r="M98" i="16"/>
  <c r="M204" i="16"/>
  <c r="M223" i="16"/>
  <c r="M214" i="16"/>
  <c r="M217" i="16"/>
  <c r="M281" i="16"/>
  <c r="M202" i="16"/>
  <c r="M177" i="16"/>
  <c r="M254" i="16"/>
  <c r="M286" i="16"/>
  <c r="M318" i="16"/>
  <c r="M44" i="16"/>
  <c r="M106" i="16"/>
  <c r="M129" i="16"/>
  <c r="M239" i="16"/>
  <c r="M146" i="16"/>
  <c r="M125" i="16"/>
  <c r="M102" i="16"/>
  <c r="M187" i="16"/>
  <c r="M222" i="16"/>
  <c r="M182" i="16"/>
  <c r="M24" i="16"/>
  <c r="M76" i="16"/>
  <c r="M317" i="16"/>
  <c r="M127" i="16"/>
  <c r="M236" i="16"/>
  <c r="M319" i="16"/>
  <c r="M262" i="16"/>
  <c r="M108" i="16"/>
  <c r="M113" i="16"/>
  <c r="M66" i="16"/>
  <c r="M81" i="16"/>
  <c r="M86" i="16"/>
  <c r="M121" i="16"/>
  <c r="M219" i="16"/>
  <c r="M43" i="16"/>
  <c r="M128" i="16"/>
  <c r="M161" i="16"/>
  <c r="M137" i="16"/>
  <c r="M155" i="16"/>
  <c r="M144" i="16"/>
  <c r="M33" i="16"/>
  <c r="M56" i="16"/>
  <c r="M105" i="16"/>
  <c r="M91" i="16"/>
  <c r="M5" i="16"/>
  <c r="M32" i="16"/>
  <c r="M203" i="16"/>
  <c r="P27" i="17" l="1"/>
  <c r="P38" i="17"/>
  <c r="P19" i="18"/>
  <c r="P277" i="18"/>
  <c r="P208" i="18"/>
  <c r="P320" i="18"/>
  <c r="P91" i="18"/>
  <c r="P62" i="18"/>
  <c r="P240" i="18"/>
  <c r="P197" i="18"/>
  <c r="P310" i="18"/>
  <c r="P80" i="18"/>
  <c r="P29" i="18"/>
  <c r="P51" i="18"/>
  <c r="P224" i="18"/>
  <c r="P302" i="18"/>
  <c r="P40" i="18"/>
  <c r="P121" i="18"/>
  <c r="P143" i="18"/>
  <c r="P136" i="18"/>
  <c r="P202" i="18"/>
  <c r="P288" i="18"/>
  <c r="P26" i="18"/>
  <c r="P198" i="18"/>
  <c r="P300" i="18"/>
  <c r="P164" i="18"/>
  <c r="P122" i="18"/>
  <c r="P261" i="18"/>
  <c r="P60" i="18"/>
  <c r="P250" i="18"/>
  <c r="P150" i="18"/>
  <c r="P141" i="18"/>
  <c r="P147" i="18"/>
  <c r="P68" i="18"/>
  <c r="P174" i="18"/>
  <c r="P7" i="18"/>
  <c r="P219" i="18"/>
  <c r="P103" i="18"/>
  <c r="P260" i="18"/>
  <c r="P283" i="18"/>
  <c r="P203" i="18"/>
  <c r="P36" i="18"/>
  <c r="P127" i="18"/>
  <c r="P154" i="18"/>
  <c r="P98" i="18"/>
  <c r="P255" i="18"/>
  <c r="P179" i="18"/>
  <c r="P199" i="18"/>
  <c r="P223" i="18"/>
  <c r="P243" i="18"/>
  <c r="P298" i="18"/>
  <c r="P228" i="18"/>
  <c r="P268" i="18"/>
  <c r="P70" i="18"/>
  <c r="P109" i="18"/>
  <c r="P315" i="18"/>
  <c r="P145" i="18"/>
  <c r="P37" i="18"/>
  <c r="P17" i="18"/>
  <c r="P59" i="18"/>
  <c r="P138" i="18"/>
  <c r="P230" i="18"/>
  <c r="P148" i="18"/>
  <c r="P44" i="18"/>
  <c r="P254" i="18"/>
  <c r="P253" i="18"/>
  <c r="P322" i="18"/>
  <c r="P289" i="18"/>
  <c r="P93" i="18"/>
  <c r="P234" i="18"/>
  <c r="P293" i="18"/>
  <c r="P305" i="18"/>
  <c r="P249" i="18"/>
  <c r="P218" i="18"/>
  <c r="P74" i="18"/>
  <c r="P32" i="18"/>
  <c r="P27" i="18"/>
  <c r="P13" i="18"/>
  <c r="P256" i="18"/>
  <c r="P69" i="18"/>
  <c r="P33" i="18"/>
  <c r="P211" i="18"/>
  <c r="P46" i="18"/>
  <c r="P162" i="18"/>
  <c r="P57" i="18"/>
  <c r="P102" i="18"/>
  <c r="P252" i="18"/>
  <c r="P56" i="18"/>
  <c r="P226" i="18"/>
  <c r="P5" i="18"/>
  <c r="P236" i="18"/>
  <c r="P97" i="18"/>
  <c r="P114" i="18"/>
  <c r="P241" i="18"/>
  <c r="P128" i="18"/>
  <c r="P222" i="18"/>
  <c r="P248" i="18"/>
  <c r="P83" i="18"/>
  <c r="P24" i="18"/>
  <c r="P88" i="18"/>
  <c r="P309" i="18"/>
  <c r="P267" i="18"/>
  <c r="P314" i="18"/>
  <c r="P167" i="18"/>
  <c r="P140" i="18"/>
  <c r="P285" i="18"/>
  <c r="P92" i="18"/>
  <c r="P297" i="18"/>
  <c r="P123" i="18"/>
  <c r="P264" i="18"/>
  <c r="P233" i="18"/>
  <c r="P111" i="18"/>
  <c r="P129" i="18"/>
  <c r="P304" i="18"/>
  <c r="P295" i="18"/>
  <c r="P99" i="18"/>
  <c r="P82" i="18"/>
  <c r="P104" i="18"/>
  <c r="P112" i="18"/>
  <c r="P321" i="18"/>
  <c r="P25" i="18"/>
  <c r="P244" i="18"/>
  <c r="P191" i="18"/>
  <c r="P96" i="18"/>
  <c r="P142" i="18"/>
  <c r="P38" i="18"/>
  <c r="P296" i="18"/>
  <c r="P173" i="18"/>
  <c r="P319" i="18"/>
  <c r="P126" i="18"/>
  <c r="P270" i="18"/>
  <c r="P204" i="18"/>
  <c r="P47" i="18"/>
  <c r="P55" i="18"/>
  <c r="P227" i="18"/>
  <c r="P115" i="18"/>
  <c r="P316" i="18"/>
  <c r="P177" i="18"/>
  <c r="P149" i="18"/>
  <c r="P107" i="18"/>
  <c r="P118" i="18"/>
  <c r="P292" i="18"/>
  <c r="P157" i="18"/>
  <c r="P6" i="18"/>
  <c r="P274" i="18"/>
  <c r="P14" i="18"/>
  <c r="P215" i="18"/>
  <c r="P31" i="18"/>
  <c r="P53" i="18"/>
  <c r="P186" i="18"/>
  <c r="P163" i="18"/>
  <c r="P120" i="18"/>
  <c r="P8" i="18"/>
  <c r="P303" i="18"/>
  <c r="P65" i="18"/>
  <c r="P75" i="18"/>
  <c r="P265" i="18"/>
  <c r="P71" i="18"/>
  <c r="P195" i="18"/>
  <c r="P229" i="18"/>
  <c r="P117" i="18"/>
  <c r="P301" i="18"/>
  <c r="P2" i="18"/>
  <c r="P308" i="18"/>
  <c r="P45" i="18"/>
  <c r="P238" i="18"/>
  <c r="P139" i="18"/>
  <c r="P155" i="18"/>
  <c r="P81" i="18"/>
  <c r="P77" i="18"/>
  <c r="P235" i="18"/>
  <c r="P85" i="18"/>
  <c r="P286" i="18"/>
  <c r="P119" i="18"/>
  <c r="P279" i="18"/>
  <c r="P258" i="18"/>
  <c r="P159" i="18"/>
  <c r="P188" i="18"/>
  <c r="P251" i="18"/>
  <c r="P242" i="18"/>
  <c r="P165" i="18"/>
  <c r="P181" i="18"/>
  <c r="P221" i="18"/>
  <c r="P259" i="18"/>
  <c r="P276" i="18"/>
  <c r="P34" i="18"/>
  <c r="P178" i="18"/>
  <c r="P205" i="18"/>
  <c r="P4" i="18"/>
  <c r="P125" i="18"/>
  <c r="P131" i="18"/>
  <c r="P196" i="18"/>
  <c r="P10" i="18"/>
  <c r="P193" i="18"/>
  <c r="P116" i="18"/>
  <c r="P299" i="18"/>
  <c r="P207" i="18"/>
  <c r="P172" i="18"/>
  <c r="P105" i="18"/>
  <c r="P271" i="18"/>
  <c r="P16" i="18"/>
  <c r="P280" i="18"/>
  <c r="P160" i="18"/>
  <c r="P213" i="18"/>
  <c r="P176" i="18"/>
  <c r="P294" i="18"/>
  <c r="P87" i="18"/>
  <c r="P307" i="18"/>
  <c r="P95" i="18"/>
  <c r="P206" i="18"/>
  <c r="P3" i="18"/>
  <c r="P100" i="18"/>
  <c r="P76" i="18"/>
  <c r="P133" i="18"/>
  <c r="P151" i="18"/>
  <c r="P187" i="18"/>
  <c r="P216" i="18"/>
  <c r="P275" i="18"/>
  <c r="P28" i="18"/>
  <c r="P170" i="18"/>
  <c r="P210" i="18"/>
  <c r="P90" i="18"/>
  <c r="P209" i="18"/>
  <c r="P41" i="18"/>
  <c r="P194" i="18"/>
  <c r="P217" i="18"/>
  <c r="P311" i="18"/>
  <c r="P257" i="18"/>
  <c r="P48" i="18"/>
  <c r="P239" i="18"/>
  <c r="P156" i="18"/>
  <c r="P49" i="18"/>
  <c r="P245" i="18"/>
  <c r="P78" i="18"/>
  <c r="P282" i="18"/>
  <c r="P12" i="18"/>
  <c r="P272" i="18"/>
  <c r="P171" i="18"/>
  <c r="P18" i="18"/>
  <c r="P313" i="18"/>
  <c r="P278" i="18"/>
  <c r="P144" i="18"/>
  <c r="P50" i="18"/>
  <c r="P246" i="18"/>
  <c r="P182" i="18"/>
  <c r="P281" i="18"/>
  <c r="P212" i="18"/>
  <c r="P132" i="18"/>
  <c r="P214" i="18"/>
  <c r="P306" i="18"/>
  <c r="P317" i="18"/>
  <c r="P67" i="18"/>
  <c r="P134" i="18"/>
  <c r="P190" i="18"/>
  <c r="P200" i="18"/>
  <c r="P73" i="18"/>
  <c r="P175" i="18"/>
  <c r="P237" i="18"/>
  <c r="P79" i="18"/>
  <c r="P130" i="18"/>
  <c r="P15" i="18"/>
  <c r="P287" i="18"/>
  <c r="P183" i="18"/>
  <c r="P225" i="18"/>
  <c r="P113" i="18"/>
  <c r="P263" i="18"/>
  <c r="P158" i="18"/>
  <c r="P101" i="18"/>
  <c r="P273" i="18"/>
  <c r="P201" i="18"/>
  <c r="P166" i="18"/>
  <c r="P161" i="18"/>
  <c r="P106" i="18"/>
  <c r="P124" i="18"/>
  <c r="P22" i="18"/>
  <c r="P284" i="18"/>
  <c r="P39" i="18"/>
  <c r="P30" i="18"/>
  <c r="P312" i="18"/>
  <c r="P192" i="18"/>
  <c r="P189" i="18"/>
  <c r="P9" i="18"/>
  <c r="P137" i="18"/>
  <c r="P135" i="18"/>
  <c r="P290" i="18"/>
  <c r="P72" i="18"/>
  <c r="P184" i="18"/>
  <c r="P84" i="18"/>
  <c r="P63" i="18"/>
  <c r="P42" i="18"/>
  <c r="P58" i="18"/>
  <c r="P220" i="18"/>
  <c r="P269" i="18"/>
  <c r="P262" i="18"/>
  <c r="P94" i="18"/>
  <c r="P266" i="18"/>
  <c r="P169" i="18"/>
  <c r="P66" i="18"/>
  <c r="P185" i="18"/>
  <c r="P21" i="18"/>
  <c r="P146" i="18"/>
  <c r="P43" i="18"/>
  <c r="P247" i="18"/>
  <c r="P52" i="18"/>
  <c r="P20" i="18"/>
  <c r="P291" i="18"/>
  <c r="P11" i="18"/>
  <c r="P318" i="18"/>
  <c r="P168" i="18"/>
  <c r="P64" i="18"/>
  <c r="P232" i="18"/>
  <c r="P86" i="18"/>
  <c r="P231" i="18"/>
  <c r="P108" i="18"/>
  <c r="P152" i="18"/>
  <c r="P110" i="18"/>
  <c r="P89" i="18"/>
  <c r="P61" i="18"/>
  <c r="P54" i="18"/>
  <c r="P23" i="18"/>
  <c r="P302" i="17"/>
  <c r="P7" i="17"/>
  <c r="P173" i="17"/>
  <c r="P35" i="17"/>
  <c r="P50" i="17"/>
  <c r="P129" i="17"/>
  <c r="P146" i="17"/>
  <c r="P53" i="17"/>
  <c r="P311" i="17"/>
  <c r="P15" i="17"/>
  <c r="P295" i="17"/>
  <c r="P288" i="17"/>
  <c r="P255" i="17"/>
  <c r="P124" i="17"/>
  <c r="P233" i="17"/>
  <c r="P136" i="17"/>
  <c r="P49" i="17"/>
  <c r="P271" i="17"/>
  <c r="P203" i="17"/>
  <c r="P209" i="17"/>
  <c r="P177" i="17"/>
  <c r="P110" i="17"/>
  <c r="P298" i="17"/>
  <c r="P133" i="17"/>
  <c r="P48" i="17"/>
  <c r="P34" i="17"/>
  <c r="P286" i="17"/>
  <c r="P206" i="17"/>
  <c r="P3" i="17"/>
  <c r="P279" i="17"/>
  <c r="P182" i="17"/>
  <c r="P25" i="17"/>
  <c r="P103" i="17"/>
  <c r="P157" i="17"/>
  <c r="P107" i="17"/>
  <c r="P227" i="17"/>
  <c r="P60" i="17"/>
  <c r="P175" i="17"/>
  <c r="P225" i="17"/>
  <c r="P37" i="17"/>
  <c r="P144" i="17"/>
  <c r="P164" i="17"/>
  <c r="P116" i="17"/>
  <c r="P244" i="17"/>
  <c r="P59" i="17"/>
  <c r="P112" i="17"/>
  <c r="P215" i="17"/>
  <c r="P89" i="17"/>
  <c r="P252" i="17"/>
  <c r="P272" i="17"/>
  <c r="P250" i="17"/>
  <c r="P93" i="17"/>
  <c r="P123" i="17"/>
  <c r="P245" i="17"/>
  <c r="P226" i="17"/>
  <c r="P213" i="17"/>
  <c r="P97" i="17"/>
  <c r="P160" i="17"/>
  <c r="P143" i="17"/>
  <c r="P309" i="17"/>
  <c r="P274" i="17"/>
  <c r="P92" i="17"/>
  <c r="P200" i="17"/>
  <c r="P260" i="17"/>
  <c r="P320" i="17"/>
  <c r="P145" i="17"/>
  <c r="P316" i="17"/>
  <c r="P290" i="17"/>
  <c r="P2" i="17"/>
  <c r="P282" i="17"/>
  <c r="P165" i="17"/>
  <c r="P14" i="17"/>
  <c r="P212" i="17"/>
  <c r="P61" i="17"/>
  <c r="P208" i="17"/>
  <c r="P125" i="17"/>
  <c r="P248" i="17"/>
  <c r="P138" i="17"/>
  <c r="P36" i="17"/>
  <c r="P51" i="17"/>
  <c r="P161" i="17"/>
  <c r="P256" i="17"/>
  <c r="P104" i="17"/>
  <c r="P276" i="17"/>
  <c r="P236" i="17"/>
  <c r="P264" i="17"/>
  <c r="P84" i="17"/>
  <c r="P56" i="17"/>
  <c r="P96" i="17"/>
  <c r="P189" i="17"/>
  <c r="P262" i="17"/>
  <c r="P193" i="17"/>
  <c r="P31" i="17"/>
  <c r="P87" i="17"/>
  <c r="P270" i="17"/>
  <c r="P33" i="17"/>
  <c r="P205" i="17"/>
  <c r="P216" i="17"/>
  <c r="P73" i="17"/>
  <c r="P41" i="17"/>
  <c r="P91" i="17"/>
  <c r="P115" i="17"/>
  <c r="P251" i="17"/>
  <c r="P301" i="17"/>
  <c r="P105" i="17"/>
  <c r="P220" i="17"/>
  <c r="P170" i="17"/>
  <c r="P79" i="17"/>
  <c r="P232" i="17"/>
  <c r="P292" i="17"/>
  <c r="P188" i="17"/>
  <c r="P16" i="17"/>
  <c r="P191" i="17"/>
  <c r="P158" i="17"/>
  <c r="P217" i="17"/>
  <c r="P4" i="17"/>
  <c r="P24" i="17"/>
  <c r="P306" i="17"/>
  <c r="P141" i="17"/>
  <c r="P280" i="17"/>
  <c r="P297" i="17"/>
  <c r="P128" i="17"/>
  <c r="P86" i="17"/>
  <c r="P19" i="17"/>
  <c r="P275" i="17"/>
  <c r="P40" i="17"/>
  <c r="P247" i="17"/>
  <c r="P10" i="17"/>
  <c r="P151" i="17"/>
  <c r="P45" i="17"/>
  <c r="P68" i="17"/>
  <c r="P169" i="17"/>
  <c r="P77" i="17"/>
  <c r="P22" i="17"/>
  <c r="P131" i="17"/>
  <c r="P166" i="17"/>
  <c r="P281" i="17"/>
  <c r="P70" i="17"/>
  <c r="P240" i="17"/>
  <c r="P289" i="17"/>
  <c r="P176" i="17"/>
  <c r="P242" i="17"/>
  <c r="P6" i="17"/>
  <c r="P163" i="17"/>
  <c r="P322" i="17"/>
  <c r="P184" i="17"/>
  <c r="P102" i="17"/>
  <c r="P106" i="17"/>
  <c r="P20" i="17"/>
  <c r="P296" i="17"/>
  <c r="P64" i="17"/>
  <c r="P21" i="17"/>
  <c r="P310" i="17"/>
  <c r="P254" i="17"/>
  <c r="P162" i="17"/>
  <c r="P55" i="17"/>
  <c r="P71" i="17"/>
  <c r="P313" i="17"/>
  <c r="P198" i="17"/>
  <c r="P9" i="17"/>
  <c r="P180" i="17"/>
  <c r="P127" i="17"/>
  <c r="P137" i="17"/>
  <c r="P241" i="17"/>
  <c r="P139" i="17"/>
  <c r="P317" i="17"/>
  <c r="P249" i="17"/>
  <c r="P218" i="17"/>
  <c r="P223" i="17"/>
  <c r="P174" i="17"/>
  <c r="P132" i="17"/>
  <c r="P152" i="17"/>
  <c r="P234" i="17"/>
  <c r="P190" i="17"/>
  <c r="P83" i="17"/>
  <c r="P81" i="17"/>
  <c r="P171" i="17"/>
  <c r="P80" i="17"/>
  <c r="P99" i="17"/>
  <c r="P121" i="17"/>
  <c r="P154" i="17"/>
  <c r="P221" i="17"/>
  <c r="P265" i="17"/>
  <c r="P307" i="17"/>
  <c r="P150" i="17"/>
  <c r="P47" i="17"/>
  <c r="P201" i="17"/>
  <c r="P269" i="17"/>
  <c r="P178" i="17"/>
  <c r="P228" i="17"/>
  <c r="P183" i="17"/>
  <c r="P42" i="17"/>
  <c r="P46" i="17"/>
  <c r="P287" i="17"/>
  <c r="P85" i="17"/>
  <c r="P74" i="17"/>
  <c r="P224" i="17"/>
  <c r="P17" i="17"/>
  <c r="P285" i="17"/>
  <c r="P222" i="17"/>
  <c r="P62" i="17"/>
  <c r="P153" i="17"/>
  <c r="P258" i="17"/>
  <c r="P65" i="17"/>
  <c r="P179" i="17"/>
  <c r="P196" i="17"/>
  <c r="P294" i="17"/>
  <c r="P257" i="17"/>
  <c r="P207" i="17"/>
  <c r="P192" i="17"/>
  <c r="P135" i="17"/>
  <c r="P111" i="17"/>
  <c r="P168" i="17"/>
  <c r="P26" i="17"/>
  <c r="P122" i="17"/>
  <c r="P95" i="17"/>
  <c r="P230" i="17"/>
  <c r="P197" i="17"/>
  <c r="P267" i="17"/>
  <c r="P186" i="17"/>
  <c r="P98" i="17"/>
  <c r="P66" i="17"/>
  <c r="P283" i="17"/>
  <c r="P23" i="17"/>
  <c r="P231" i="17"/>
  <c r="P75" i="17"/>
  <c r="P113" i="17"/>
  <c r="P181" i="17"/>
  <c r="P28" i="17"/>
  <c r="P303" i="17"/>
  <c r="P243" i="17"/>
  <c r="P259" i="17"/>
  <c r="P43" i="17"/>
  <c r="P266" i="17"/>
  <c r="P149" i="17"/>
  <c r="P101" i="17"/>
  <c r="P29" i="17"/>
  <c r="P78" i="17"/>
  <c r="P76" i="17"/>
  <c r="P235" i="17"/>
  <c r="P148" i="17"/>
  <c r="P268" i="17"/>
  <c r="P319" i="17"/>
  <c r="P284" i="17"/>
  <c r="P187" i="17"/>
  <c r="P291" i="17"/>
  <c r="P90" i="17"/>
  <c r="P54" i="17"/>
  <c r="P194" i="17"/>
  <c r="P44" i="17"/>
  <c r="P308" i="17"/>
  <c r="P229" i="17"/>
  <c r="P219" i="17"/>
  <c r="P13" i="17"/>
  <c r="P155" i="17"/>
  <c r="P52" i="17"/>
  <c r="P211" i="17"/>
  <c r="P72" i="17"/>
  <c r="P305" i="17"/>
  <c r="P237" i="17"/>
  <c r="P210" i="17"/>
  <c r="P12" i="17"/>
  <c r="P69" i="17"/>
  <c r="P120" i="17"/>
  <c r="P172" i="17"/>
  <c r="P273" i="17"/>
  <c r="P18" i="17"/>
  <c r="P114" i="17"/>
  <c r="P30" i="17"/>
  <c r="P63" i="17"/>
  <c r="P261" i="17"/>
  <c r="P140" i="17"/>
  <c r="P94" i="17"/>
  <c r="P5" i="17"/>
  <c r="P109" i="17"/>
  <c r="P214" i="17"/>
  <c r="P167" i="17"/>
  <c r="P239" i="17"/>
  <c r="P253" i="17"/>
  <c r="P185" i="17"/>
  <c r="P321" i="17"/>
  <c r="P195" i="17"/>
  <c r="P199" i="17"/>
  <c r="P156" i="17"/>
  <c r="P88" i="17"/>
  <c r="P118" i="17"/>
  <c r="P147" i="17"/>
  <c r="P278" i="17"/>
  <c r="P108" i="17"/>
  <c r="P130" i="17"/>
  <c r="P8" i="17"/>
  <c r="P134" i="17"/>
  <c r="P11" i="17"/>
  <c r="P159" i="17"/>
  <c r="P314" i="17"/>
  <c r="P39" i="17"/>
  <c r="P119" i="17"/>
  <c r="P293" i="17"/>
  <c r="P202" i="17"/>
  <c r="P318" i="17"/>
  <c r="P32" i="17"/>
  <c r="P312" i="17"/>
  <c r="P82" i="17"/>
  <c r="P117" i="17"/>
  <c r="P142" i="17"/>
  <c r="P67" i="17"/>
  <c r="P263" i="17"/>
  <c r="P315" i="17"/>
  <c r="P277" i="17"/>
  <c r="P57" i="17"/>
  <c r="P246" i="17"/>
  <c r="P300" i="17"/>
  <c r="P304" i="17"/>
  <c r="P238" i="17"/>
  <c r="P204" i="17"/>
  <c r="P126" i="17"/>
  <c r="P100" i="17"/>
  <c r="P58" i="17"/>
  <c r="O2" i="16"/>
  <c r="P204" i="16" s="1"/>
  <c r="P256" i="16" l="1"/>
  <c r="P317" i="16"/>
  <c r="P155" i="16"/>
  <c r="P17" i="16"/>
  <c r="P166" i="16"/>
  <c r="P156" i="16"/>
  <c r="P280" i="16"/>
  <c r="P253" i="16"/>
  <c r="P302" i="16"/>
  <c r="P187" i="16"/>
  <c r="P67" i="16"/>
  <c r="P4" i="16"/>
  <c r="P282" i="16"/>
  <c r="P212" i="16"/>
  <c r="P270" i="16"/>
  <c r="P211" i="16"/>
  <c r="P124" i="16"/>
  <c r="P228" i="16"/>
  <c r="P281" i="16"/>
  <c r="P310" i="16"/>
  <c r="P42" i="16"/>
  <c r="P173" i="16"/>
  <c r="P240" i="16"/>
  <c r="P114" i="16"/>
  <c r="P138" i="16"/>
  <c r="P34" i="16"/>
  <c r="P117" i="16"/>
  <c r="P220" i="16"/>
  <c r="P40" i="16"/>
  <c r="P298" i="16"/>
  <c r="P242" i="16"/>
  <c r="P64" i="16"/>
  <c r="P195" i="16"/>
  <c r="P112" i="16"/>
  <c r="P33" i="16"/>
  <c r="P168" i="16"/>
  <c r="P141" i="16"/>
  <c r="P320" i="16"/>
  <c r="P71" i="16"/>
  <c r="P279" i="16"/>
  <c r="P116" i="16"/>
  <c r="P205" i="16"/>
  <c r="P223" i="16"/>
  <c r="P78" i="16"/>
  <c r="P276" i="16"/>
  <c r="P275" i="16"/>
  <c r="P43" i="16"/>
  <c r="P41" i="16"/>
  <c r="P260" i="16"/>
  <c r="P16" i="16"/>
  <c r="P99" i="16"/>
  <c r="P29" i="16"/>
  <c r="P273" i="16"/>
  <c r="P286" i="16"/>
  <c r="P14" i="16"/>
  <c r="P38" i="16"/>
  <c r="P271" i="16"/>
  <c r="P15" i="16"/>
  <c r="P199" i="16"/>
  <c r="P81" i="16"/>
  <c r="P213" i="16"/>
  <c r="P57" i="16"/>
  <c r="P120" i="16"/>
  <c r="P126" i="16"/>
  <c r="P314" i="16"/>
  <c r="P139" i="16"/>
  <c r="P70" i="16"/>
  <c r="P49" i="16"/>
  <c r="P318" i="16"/>
  <c r="P147" i="16"/>
  <c r="P88" i="16"/>
  <c r="P221" i="16"/>
  <c r="P25" i="16"/>
  <c r="P174" i="16"/>
  <c r="P291" i="16"/>
  <c r="P284" i="16"/>
  <c r="P73" i="16"/>
  <c r="P95" i="16"/>
  <c r="P27" i="16"/>
  <c r="P54" i="16"/>
  <c r="P285" i="16"/>
  <c r="P225" i="16"/>
  <c r="P300" i="16"/>
  <c r="P140" i="16"/>
  <c r="P56" i="16"/>
  <c r="P206" i="16"/>
  <c r="P190" i="16"/>
  <c r="P288" i="16"/>
  <c r="P110" i="16"/>
  <c r="P150" i="16"/>
  <c r="P160" i="16"/>
  <c r="P22" i="16"/>
  <c r="P46" i="16"/>
  <c r="P316" i="16"/>
  <c r="P171" i="16"/>
  <c r="P94" i="16"/>
  <c r="P278" i="16"/>
  <c r="P127" i="16"/>
  <c r="P10" i="16"/>
  <c r="P264" i="16"/>
  <c r="P115" i="16"/>
  <c r="P105" i="16"/>
  <c r="P169" i="16"/>
  <c r="P232" i="16"/>
  <c r="P191" i="16"/>
  <c r="P189" i="16"/>
  <c r="P164" i="16"/>
  <c r="P229" i="16"/>
  <c r="P128" i="16"/>
  <c r="P77" i="16"/>
  <c r="P52" i="16"/>
  <c r="P113" i="16"/>
  <c r="P107" i="16"/>
  <c r="P250" i="16"/>
  <c r="P203" i="16"/>
  <c r="P233" i="16"/>
  <c r="P309" i="16"/>
  <c r="P247" i="16"/>
  <c r="P121" i="16"/>
  <c r="P217" i="16"/>
  <c r="P24" i="16"/>
  <c r="P251" i="16"/>
  <c r="P20" i="16"/>
  <c r="P224" i="16"/>
  <c r="P125" i="16"/>
  <c r="P170" i="16"/>
  <c r="P266" i="16"/>
  <c r="P135" i="16"/>
  <c r="P50" i="16"/>
  <c r="P144" i="16"/>
  <c r="P36" i="16"/>
  <c r="P321" i="16"/>
  <c r="P218" i="16"/>
  <c r="P292" i="16"/>
  <c r="P61" i="16"/>
  <c r="P3" i="16"/>
  <c r="P243" i="16"/>
  <c r="P31" i="16"/>
  <c r="P83" i="16"/>
  <c r="P63" i="16"/>
  <c r="P178" i="16"/>
  <c r="P136" i="16"/>
  <c r="P265" i="16"/>
  <c r="P161" i="16"/>
  <c r="P226" i="16"/>
  <c r="P148" i="16"/>
  <c r="P198" i="16"/>
  <c r="P13" i="16"/>
  <c r="P290" i="16"/>
  <c r="P296" i="16"/>
  <c r="P165" i="16"/>
  <c r="P236" i="16"/>
  <c r="P184" i="16"/>
  <c r="P185" i="16"/>
  <c r="P159" i="16"/>
  <c r="P47" i="16"/>
  <c r="P2" i="16"/>
  <c r="P104" i="16"/>
  <c r="P248" i="16"/>
  <c r="P68" i="16"/>
  <c r="P179" i="16"/>
  <c r="P39" i="16"/>
  <c r="P214" i="16"/>
  <c r="P131" i="16"/>
  <c r="P283" i="16"/>
  <c r="P303" i="16"/>
  <c r="P257" i="16"/>
  <c r="P101" i="16"/>
  <c r="P118" i="16"/>
  <c r="P5" i="16"/>
  <c r="P21" i="16"/>
  <c r="P93" i="16"/>
  <c r="P59" i="16"/>
  <c r="P58" i="16"/>
  <c r="P254" i="16"/>
  <c r="P30" i="16"/>
  <c r="P299" i="16"/>
  <c r="P307" i="16"/>
  <c r="P305" i="16"/>
  <c r="P172" i="16"/>
  <c r="P246" i="16"/>
  <c r="P197" i="16"/>
  <c r="P11" i="16"/>
  <c r="P180" i="16"/>
  <c r="P142" i="16"/>
  <c r="P146" i="16"/>
  <c r="P200" i="16"/>
  <c r="P181" i="16"/>
  <c r="P304" i="16"/>
  <c r="P188" i="16"/>
  <c r="P267" i="16"/>
  <c r="P18" i="16"/>
  <c r="P295" i="16"/>
  <c r="P149" i="16"/>
  <c r="P143" i="16"/>
  <c r="P208" i="16"/>
  <c r="P176" i="16"/>
  <c r="P183" i="16"/>
  <c r="P222" i="16"/>
  <c r="P241" i="16"/>
  <c r="P274" i="16"/>
  <c r="P92" i="16"/>
  <c r="P7" i="16"/>
  <c r="P154" i="16"/>
  <c r="P65" i="16"/>
  <c r="P294" i="16"/>
  <c r="P152" i="16"/>
  <c r="P32" i="16"/>
  <c r="P272" i="16"/>
  <c r="P132" i="16"/>
  <c r="P66" i="16"/>
  <c r="P84" i="16"/>
  <c r="P137" i="16"/>
  <c r="P80" i="16"/>
  <c r="P103" i="16"/>
  <c r="P312" i="16"/>
  <c r="P177" i="16"/>
  <c r="P86" i="16"/>
  <c r="P175" i="16"/>
  <c r="P167" i="16"/>
  <c r="P133" i="16"/>
  <c r="P231" i="16"/>
  <c r="P315" i="16"/>
  <c r="P53" i="16"/>
  <c r="P308" i="16"/>
  <c r="P145" i="16"/>
  <c r="P119" i="16"/>
  <c r="P44" i="16"/>
  <c r="P74" i="16"/>
  <c r="P60" i="16"/>
  <c r="P23" i="16"/>
  <c r="P262" i="16"/>
  <c r="P109" i="16"/>
  <c r="P19" i="16"/>
  <c r="P297" i="16"/>
  <c r="P106" i="16"/>
  <c r="P72" i="16"/>
  <c r="P311" i="16"/>
  <c r="P48" i="16"/>
  <c r="P51" i="16"/>
  <c r="P238" i="16"/>
  <c r="P289" i="16"/>
  <c r="P85" i="16"/>
  <c r="P192" i="16"/>
  <c r="P153" i="16"/>
  <c r="P130" i="16"/>
  <c r="P258" i="16"/>
  <c r="P252" i="16"/>
  <c r="P301" i="16"/>
  <c r="P319" i="16"/>
  <c r="P102" i="16"/>
  <c r="P12" i="16"/>
  <c r="P235" i="16"/>
  <c r="P287" i="16"/>
  <c r="P37" i="16"/>
  <c r="P201" i="16"/>
  <c r="P163" i="16"/>
  <c r="P151" i="16"/>
  <c r="P26" i="16"/>
  <c r="P293" i="16"/>
  <c r="P182" i="16"/>
  <c r="P100" i="16"/>
  <c r="P313" i="16"/>
  <c r="P186" i="16"/>
  <c r="P237" i="16"/>
  <c r="P69" i="16"/>
  <c r="P255" i="16"/>
  <c r="P8" i="16"/>
  <c r="P194" i="16"/>
  <c r="P196" i="16"/>
  <c r="P6" i="16"/>
  <c r="P215" i="16"/>
  <c r="P216" i="16"/>
  <c r="P98" i="16"/>
  <c r="P82" i="16"/>
  <c r="P158" i="16"/>
  <c r="P9" i="16"/>
  <c r="P97" i="16"/>
  <c r="P322" i="16"/>
  <c r="P219" i="16"/>
  <c r="P123" i="16"/>
  <c r="P269" i="16"/>
  <c r="P45" i="16"/>
  <c r="P263" i="16"/>
  <c r="P134" i="16"/>
  <c r="P75" i="16"/>
  <c r="P244" i="16"/>
  <c r="P277" i="16"/>
  <c r="P207" i="16"/>
  <c r="P209" i="16"/>
  <c r="P108" i="16"/>
  <c r="P157" i="16"/>
  <c r="P259" i="16"/>
  <c r="P306" i="16"/>
  <c r="P28" i="16"/>
  <c r="P122" i="16"/>
  <c r="P268" i="16"/>
  <c r="P162" i="16"/>
  <c r="P261" i="16"/>
  <c r="P210" i="16"/>
  <c r="P245" i="16"/>
  <c r="P202" i="16"/>
  <c r="P90" i="16"/>
  <c r="P234" i="16"/>
  <c r="P193" i="16"/>
  <c r="P79" i="16"/>
  <c r="P239" i="16"/>
  <c r="P111" i="16"/>
  <c r="P91" i="16"/>
  <c r="P227" i="16"/>
  <c r="P249" i="16"/>
  <c r="P230" i="16"/>
  <c r="P87" i="16"/>
  <c r="P129" i="16"/>
  <c r="P96" i="16"/>
  <c r="P62" i="16"/>
  <c r="P35" i="16"/>
  <c r="P55" i="16"/>
  <c r="P89" i="16"/>
  <c r="P76" i="16"/>
  <c r="J321" i="9" l="1"/>
  <c r="I321" i="9"/>
  <c r="K321" i="9" s="1"/>
  <c r="J320" i="9"/>
  <c r="I320" i="9"/>
  <c r="K320" i="9" s="1"/>
  <c r="J319" i="9"/>
  <c r="I319" i="9"/>
  <c r="K319" i="9" s="1"/>
  <c r="J318" i="9"/>
  <c r="I318" i="9"/>
  <c r="K318" i="9" s="1"/>
  <c r="J317" i="9"/>
  <c r="I317" i="9"/>
  <c r="K317" i="9" s="1"/>
  <c r="J316" i="9"/>
  <c r="I316" i="9"/>
  <c r="K316" i="9" s="1"/>
  <c r="J315" i="9"/>
  <c r="I315" i="9"/>
  <c r="K315" i="9" s="1"/>
  <c r="J314" i="9"/>
  <c r="I314" i="9"/>
  <c r="K314" i="9" s="1"/>
  <c r="J313" i="9"/>
  <c r="I313" i="9"/>
  <c r="K313" i="9" s="1"/>
  <c r="J312" i="9"/>
  <c r="I312" i="9"/>
  <c r="K312" i="9" s="1"/>
  <c r="J311" i="9"/>
  <c r="I311" i="9"/>
  <c r="K311" i="9" s="1"/>
  <c r="J310" i="9"/>
  <c r="I310" i="9"/>
  <c r="K310" i="9" s="1"/>
  <c r="J309" i="9"/>
  <c r="I309" i="9"/>
  <c r="K309" i="9" s="1"/>
  <c r="J308" i="9"/>
  <c r="I308" i="9"/>
  <c r="K308" i="9" s="1"/>
  <c r="J307" i="9"/>
  <c r="I307" i="9"/>
  <c r="K307" i="9" s="1"/>
  <c r="J306" i="9"/>
  <c r="I306" i="9"/>
  <c r="K306" i="9" s="1"/>
  <c r="J305" i="9"/>
  <c r="I305" i="9"/>
  <c r="K305" i="9" s="1"/>
  <c r="J304" i="9"/>
  <c r="I304" i="9"/>
  <c r="K304" i="9" s="1"/>
  <c r="J303" i="9"/>
  <c r="I303" i="9"/>
  <c r="K303" i="9" s="1"/>
  <c r="J302" i="9"/>
  <c r="I302" i="9"/>
  <c r="K302" i="9" s="1"/>
  <c r="J301" i="9"/>
  <c r="I301" i="9"/>
  <c r="K301" i="9" s="1"/>
  <c r="J300" i="9"/>
  <c r="I300" i="9"/>
  <c r="K300" i="9" s="1"/>
  <c r="J299" i="9"/>
  <c r="I299" i="9"/>
  <c r="K299" i="9" s="1"/>
  <c r="J298" i="9"/>
  <c r="I298" i="9"/>
  <c r="K298" i="9" s="1"/>
  <c r="J297" i="9"/>
  <c r="I297" i="9"/>
  <c r="K297" i="9" s="1"/>
  <c r="J296" i="9"/>
  <c r="I296" i="9"/>
  <c r="K296" i="9" s="1"/>
  <c r="J295" i="9"/>
  <c r="I295" i="9"/>
  <c r="K295" i="9" s="1"/>
  <c r="J294" i="9"/>
  <c r="I294" i="9"/>
  <c r="K294" i="9" s="1"/>
  <c r="J293" i="9"/>
  <c r="I293" i="9"/>
  <c r="K293" i="9" s="1"/>
  <c r="J292" i="9"/>
  <c r="I292" i="9"/>
  <c r="K292" i="9" s="1"/>
  <c r="J291" i="9"/>
  <c r="I291" i="9"/>
  <c r="K291" i="9" s="1"/>
  <c r="J290" i="9"/>
  <c r="I290" i="9"/>
  <c r="K290" i="9" s="1"/>
  <c r="J289" i="9"/>
  <c r="I289" i="9"/>
  <c r="K289" i="9" s="1"/>
  <c r="J288" i="9"/>
  <c r="I288" i="9"/>
  <c r="K288" i="9" s="1"/>
  <c r="J287" i="9"/>
  <c r="I287" i="9"/>
  <c r="K287" i="9" s="1"/>
  <c r="J286" i="9"/>
  <c r="I286" i="9"/>
  <c r="K286" i="9" s="1"/>
  <c r="J285" i="9"/>
  <c r="I285" i="9"/>
  <c r="K285" i="9" s="1"/>
  <c r="J284" i="9"/>
  <c r="I284" i="9"/>
  <c r="K284" i="9" s="1"/>
  <c r="J283" i="9"/>
  <c r="I283" i="9"/>
  <c r="K283" i="9" s="1"/>
  <c r="J282" i="9"/>
  <c r="I282" i="9"/>
  <c r="K282" i="9" s="1"/>
  <c r="J281" i="9"/>
  <c r="I281" i="9"/>
  <c r="K281" i="9" s="1"/>
  <c r="J280" i="9"/>
  <c r="I280" i="9"/>
  <c r="K280" i="9" s="1"/>
  <c r="J279" i="9"/>
  <c r="I279" i="9"/>
  <c r="K279" i="9" s="1"/>
  <c r="J278" i="9"/>
  <c r="I278" i="9"/>
  <c r="K278" i="9" s="1"/>
  <c r="J277" i="9"/>
  <c r="I277" i="9"/>
  <c r="K277" i="9" s="1"/>
  <c r="J276" i="9"/>
  <c r="I276" i="9"/>
  <c r="K276" i="9" s="1"/>
  <c r="J275" i="9"/>
  <c r="I275" i="9"/>
  <c r="K275" i="9" s="1"/>
  <c r="J274" i="9"/>
  <c r="I274" i="9"/>
  <c r="K274" i="9" s="1"/>
  <c r="J273" i="9"/>
  <c r="I273" i="9"/>
  <c r="K273" i="9" s="1"/>
  <c r="J272" i="9"/>
  <c r="I272" i="9"/>
  <c r="K272" i="9" s="1"/>
  <c r="J271" i="9"/>
  <c r="I271" i="9"/>
  <c r="K271" i="9" s="1"/>
  <c r="J270" i="9"/>
  <c r="I270" i="9"/>
  <c r="K270" i="9" s="1"/>
  <c r="J269" i="9"/>
  <c r="I269" i="9"/>
  <c r="K269" i="9" s="1"/>
  <c r="J268" i="9"/>
  <c r="I268" i="9"/>
  <c r="K268" i="9" s="1"/>
  <c r="J267" i="9"/>
  <c r="I267" i="9"/>
  <c r="K267" i="9" s="1"/>
  <c r="J266" i="9"/>
  <c r="I266" i="9"/>
  <c r="K266" i="9" s="1"/>
  <c r="J265" i="9"/>
  <c r="I265" i="9"/>
  <c r="K265" i="9" s="1"/>
  <c r="J264" i="9"/>
  <c r="I264" i="9"/>
  <c r="K264" i="9" s="1"/>
  <c r="J263" i="9"/>
  <c r="I263" i="9"/>
  <c r="K263" i="9" s="1"/>
  <c r="J262" i="9"/>
  <c r="I262" i="9"/>
  <c r="K262" i="9" s="1"/>
  <c r="J261" i="9"/>
  <c r="I261" i="9"/>
  <c r="K261" i="9" s="1"/>
  <c r="J260" i="9"/>
  <c r="I260" i="9"/>
  <c r="K260" i="9" s="1"/>
  <c r="J259" i="9"/>
  <c r="I259" i="9"/>
  <c r="K259" i="9" s="1"/>
  <c r="J258" i="9"/>
  <c r="I258" i="9"/>
  <c r="K258" i="9" s="1"/>
  <c r="J257" i="9"/>
  <c r="I257" i="9"/>
  <c r="K257" i="9" s="1"/>
  <c r="J256" i="9"/>
  <c r="I256" i="9"/>
  <c r="K256" i="9" s="1"/>
  <c r="J255" i="9"/>
  <c r="I255" i="9"/>
  <c r="K255" i="9" s="1"/>
  <c r="J254" i="9"/>
  <c r="I254" i="9"/>
  <c r="K254" i="9" s="1"/>
  <c r="J253" i="9"/>
  <c r="I253" i="9"/>
  <c r="K253" i="9" s="1"/>
  <c r="J252" i="9"/>
  <c r="I252" i="9"/>
  <c r="K252" i="9" s="1"/>
  <c r="J251" i="9"/>
  <c r="I251" i="9"/>
  <c r="K251" i="9" s="1"/>
  <c r="J250" i="9"/>
  <c r="I250" i="9"/>
  <c r="K250" i="9" s="1"/>
  <c r="J249" i="9"/>
  <c r="I249" i="9"/>
  <c r="K249" i="9" s="1"/>
  <c r="J248" i="9"/>
  <c r="I248" i="9"/>
  <c r="K248" i="9" s="1"/>
  <c r="J247" i="9"/>
  <c r="I247" i="9"/>
  <c r="K247" i="9" s="1"/>
  <c r="J246" i="9"/>
  <c r="I246" i="9"/>
  <c r="K246" i="9" s="1"/>
  <c r="J245" i="9"/>
  <c r="I245" i="9"/>
  <c r="K245" i="9" s="1"/>
  <c r="J244" i="9"/>
  <c r="I244" i="9"/>
  <c r="K244" i="9" s="1"/>
  <c r="J243" i="9"/>
  <c r="I243" i="9"/>
  <c r="K243" i="9" s="1"/>
  <c r="J242" i="9"/>
  <c r="I242" i="9"/>
  <c r="K242" i="9" s="1"/>
  <c r="J241" i="9"/>
  <c r="I241" i="9"/>
  <c r="K241" i="9" s="1"/>
  <c r="J240" i="9"/>
  <c r="I240" i="9"/>
  <c r="K240" i="9" s="1"/>
  <c r="J239" i="9"/>
  <c r="I239" i="9"/>
  <c r="K239" i="9" s="1"/>
  <c r="J238" i="9"/>
  <c r="I238" i="9"/>
  <c r="K238" i="9" s="1"/>
  <c r="J237" i="9"/>
  <c r="I237" i="9"/>
  <c r="K237" i="9" s="1"/>
  <c r="J236" i="9"/>
  <c r="I236" i="9"/>
  <c r="K236" i="9" s="1"/>
  <c r="J235" i="9"/>
  <c r="I235" i="9"/>
  <c r="K235" i="9" s="1"/>
  <c r="J234" i="9"/>
  <c r="I234" i="9"/>
  <c r="K234" i="9" s="1"/>
  <c r="J233" i="9"/>
  <c r="I233" i="9"/>
  <c r="K233" i="9" s="1"/>
  <c r="J232" i="9"/>
  <c r="I232" i="9"/>
  <c r="K232" i="9" s="1"/>
  <c r="J231" i="9"/>
  <c r="I231" i="9"/>
  <c r="K231" i="9" s="1"/>
  <c r="J230" i="9"/>
  <c r="I230" i="9"/>
  <c r="K230" i="9" s="1"/>
  <c r="J229" i="9"/>
  <c r="I229" i="9"/>
  <c r="K229" i="9" s="1"/>
  <c r="J228" i="9"/>
  <c r="I228" i="9"/>
  <c r="K228" i="9" s="1"/>
  <c r="J227" i="9"/>
  <c r="I227" i="9"/>
  <c r="K227" i="9" s="1"/>
  <c r="J226" i="9"/>
  <c r="I226" i="9"/>
  <c r="K226" i="9" s="1"/>
  <c r="J225" i="9"/>
  <c r="I225" i="9"/>
  <c r="K225" i="9" s="1"/>
  <c r="J224" i="9"/>
  <c r="I224" i="9"/>
  <c r="K224" i="9" s="1"/>
  <c r="J223" i="9"/>
  <c r="I223" i="9"/>
  <c r="K223" i="9" s="1"/>
  <c r="J222" i="9"/>
  <c r="I222" i="9"/>
  <c r="K222" i="9" s="1"/>
  <c r="J221" i="9"/>
  <c r="I221" i="9"/>
  <c r="K221" i="9" s="1"/>
  <c r="J220" i="9"/>
  <c r="I220" i="9"/>
  <c r="K220" i="9" s="1"/>
  <c r="J219" i="9"/>
  <c r="I219" i="9"/>
  <c r="K219" i="9" s="1"/>
  <c r="J218" i="9"/>
  <c r="I218" i="9"/>
  <c r="K218" i="9" s="1"/>
  <c r="J217" i="9"/>
  <c r="I217" i="9"/>
  <c r="K217" i="9" s="1"/>
  <c r="J216" i="9"/>
  <c r="I216" i="9"/>
  <c r="K216" i="9" s="1"/>
  <c r="J215" i="9"/>
  <c r="I215" i="9"/>
  <c r="K215" i="9" s="1"/>
  <c r="J214" i="9"/>
  <c r="I214" i="9"/>
  <c r="K214" i="9" s="1"/>
  <c r="J213" i="9"/>
  <c r="I213" i="9"/>
  <c r="K213" i="9" s="1"/>
  <c r="J212" i="9"/>
  <c r="I212" i="9"/>
  <c r="K212" i="9" s="1"/>
  <c r="J211" i="9"/>
  <c r="I211" i="9"/>
  <c r="K211" i="9" s="1"/>
  <c r="J210" i="9"/>
  <c r="I210" i="9"/>
  <c r="K210" i="9" s="1"/>
  <c r="J209" i="9"/>
  <c r="I209" i="9"/>
  <c r="K209" i="9" s="1"/>
  <c r="J208" i="9"/>
  <c r="I208" i="9"/>
  <c r="K208" i="9" s="1"/>
  <c r="J207" i="9"/>
  <c r="I207" i="9"/>
  <c r="K207" i="9" s="1"/>
  <c r="J206" i="9"/>
  <c r="I206" i="9"/>
  <c r="K206" i="9" s="1"/>
  <c r="J205" i="9"/>
  <c r="I205" i="9"/>
  <c r="K205" i="9" s="1"/>
  <c r="J204" i="9"/>
  <c r="I204" i="9"/>
  <c r="K204" i="9" s="1"/>
  <c r="J203" i="9"/>
  <c r="I203" i="9"/>
  <c r="K203" i="9" s="1"/>
  <c r="J202" i="9"/>
  <c r="I202" i="9"/>
  <c r="K202" i="9" s="1"/>
  <c r="J201" i="9"/>
  <c r="I201" i="9"/>
  <c r="K201" i="9" s="1"/>
  <c r="J200" i="9"/>
  <c r="I200" i="9"/>
  <c r="K200" i="9" s="1"/>
  <c r="J199" i="9"/>
  <c r="I199" i="9"/>
  <c r="K199" i="9" s="1"/>
  <c r="J198" i="9"/>
  <c r="I198" i="9"/>
  <c r="K198" i="9" s="1"/>
  <c r="J197" i="9"/>
  <c r="I197" i="9"/>
  <c r="K197" i="9" s="1"/>
  <c r="J196" i="9"/>
  <c r="I196" i="9"/>
  <c r="K196" i="9" s="1"/>
  <c r="J195" i="9"/>
  <c r="I195" i="9"/>
  <c r="K195" i="9" s="1"/>
  <c r="J194" i="9"/>
  <c r="I194" i="9"/>
  <c r="K194" i="9" s="1"/>
  <c r="J193" i="9"/>
  <c r="I193" i="9"/>
  <c r="K193" i="9" s="1"/>
  <c r="J192" i="9"/>
  <c r="I192" i="9"/>
  <c r="K192" i="9" s="1"/>
  <c r="J191" i="9"/>
  <c r="I191" i="9"/>
  <c r="K191" i="9" s="1"/>
  <c r="J190" i="9"/>
  <c r="I190" i="9"/>
  <c r="K190" i="9" s="1"/>
  <c r="J189" i="9"/>
  <c r="I189" i="9"/>
  <c r="K189" i="9" s="1"/>
  <c r="J188" i="9"/>
  <c r="I188" i="9"/>
  <c r="K188" i="9" s="1"/>
  <c r="J187" i="9"/>
  <c r="I187" i="9"/>
  <c r="K187" i="9" s="1"/>
  <c r="J186" i="9"/>
  <c r="I186" i="9"/>
  <c r="K186" i="9" s="1"/>
  <c r="J185" i="9"/>
  <c r="I185" i="9"/>
  <c r="K185" i="9" s="1"/>
  <c r="J184" i="9"/>
  <c r="I184" i="9"/>
  <c r="K184" i="9" s="1"/>
  <c r="J183" i="9"/>
  <c r="I183" i="9"/>
  <c r="K183" i="9" s="1"/>
  <c r="J182" i="9"/>
  <c r="I182" i="9"/>
  <c r="K182" i="9" s="1"/>
  <c r="J181" i="9"/>
  <c r="I181" i="9"/>
  <c r="K181" i="9" s="1"/>
  <c r="J180" i="9"/>
  <c r="I180" i="9"/>
  <c r="K180" i="9" s="1"/>
  <c r="J179" i="9"/>
  <c r="I179" i="9"/>
  <c r="K179" i="9" s="1"/>
  <c r="J178" i="9"/>
  <c r="I178" i="9"/>
  <c r="K178" i="9" s="1"/>
  <c r="J177" i="9"/>
  <c r="I177" i="9"/>
  <c r="K177" i="9" s="1"/>
  <c r="J176" i="9"/>
  <c r="I176" i="9"/>
  <c r="K176" i="9" s="1"/>
  <c r="J175" i="9"/>
  <c r="I175" i="9"/>
  <c r="K175" i="9" s="1"/>
  <c r="J174" i="9"/>
  <c r="I174" i="9"/>
  <c r="K174" i="9" s="1"/>
  <c r="J173" i="9"/>
  <c r="I173" i="9"/>
  <c r="K173" i="9" s="1"/>
  <c r="J172" i="9"/>
  <c r="I172" i="9"/>
  <c r="K172" i="9" s="1"/>
  <c r="J171" i="9"/>
  <c r="I171" i="9"/>
  <c r="K171" i="9" s="1"/>
  <c r="J170" i="9"/>
  <c r="I170" i="9"/>
  <c r="K170" i="9" s="1"/>
  <c r="J169" i="9"/>
  <c r="I169" i="9"/>
  <c r="K169" i="9" s="1"/>
  <c r="J168" i="9"/>
  <c r="I168" i="9"/>
  <c r="K168" i="9" s="1"/>
  <c r="J167" i="9"/>
  <c r="I167" i="9"/>
  <c r="K167" i="9" s="1"/>
  <c r="J166" i="9"/>
  <c r="I166" i="9"/>
  <c r="K166" i="9" s="1"/>
  <c r="J165" i="9"/>
  <c r="I165" i="9"/>
  <c r="K165" i="9" s="1"/>
  <c r="J164" i="9"/>
  <c r="I164" i="9"/>
  <c r="K164" i="9" s="1"/>
  <c r="J163" i="9"/>
  <c r="I163" i="9"/>
  <c r="K163" i="9" s="1"/>
  <c r="J162" i="9"/>
  <c r="I162" i="9"/>
  <c r="K162" i="9" s="1"/>
  <c r="J161" i="9"/>
  <c r="I161" i="9"/>
  <c r="K161" i="9" s="1"/>
  <c r="J160" i="9"/>
  <c r="I160" i="9"/>
  <c r="K160" i="9" s="1"/>
  <c r="J159" i="9"/>
  <c r="I159" i="9"/>
  <c r="K159" i="9" s="1"/>
  <c r="J158" i="9"/>
  <c r="I158" i="9"/>
  <c r="K158" i="9" s="1"/>
  <c r="J157" i="9"/>
  <c r="I157" i="9"/>
  <c r="K157" i="9" s="1"/>
  <c r="J156" i="9"/>
  <c r="I156" i="9"/>
  <c r="K156" i="9" s="1"/>
  <c r="J155" i="9"/>
  <c r="I155" i="9"/>
  <c r="K155" i="9" s="1"/>
  <c r="J154" i="9"/>
  <c r="I154" i="9"/>
  <c r="K154" i="9" s="1"/>
  <c r="J153" i="9"/>
  <c r="I153" i="9"/>
  <c r="K153" i="9" s="1"/>
  <c r="J152" i="9"/>
  <c r="I152" i="9"/>
  <c r="K152" i="9" s="1"/>
  <c r="J151" i="9"/>
  <c r="I151" i="9"/>
  <c r="K151" i="9" s="1"/>
  <c r="J150" i="9"/>
  <c r="I150" i="9"/>
  <c r="K150" i="9" s="1"/>
  <c r="J149" i="9"/>
  <c r="I149" i="9"/>
  <c r="K149" i="9" s="1"/>
  <c r="J148" i="9"/>
  <c r="I148" i="9"/>
  <c r="K148" i="9" s="1"/>
  <c r="J147" i="9"/>
  <c r="I147" i="9"/>
  <c r="K147" i="9" s="1"/>
  <c r="J146" i="9"/>
  <c r="I146" i="9"/>
  <c r="K146" i="9" s="1"/>
  <c r="J145" i="9"/>
  <c r="I145" i="9"/>
  <c r="K145" i="9" s="1"/>
  <c r="J144" i="9"/>
  <c r="I144" i="9"/>
  <c r="K144" i="9" s="1"/>
  <c r="J143" i="9"/>
  <c r="I143" i="9"/>
  <c r="K143" i="9" s="1"/>
  <c r="J142" i="9"/>
  <c r="I142" i="9"/>
  <c r="K142" i="9" s="1"/>
  <c r="J141" i="9"/>
  <c r="I141" i="9"/>
  <c r="K141" i="9" s="1"/>
  <c r="J140" i="9"/>
  <c r="I140" i="9"/>
  <c r="K140" i="9" s="1"/>
  <c r="J139" i="9"/>
  <c r="I139" i="9"/>
  <c r="K139" i="9" s="1"/>
  <c r="J138" i="9"/>
  <c r="I138" i="9"/>
  <c r="K138" i="9" s="1"/>
  <c r="J137" i="9"/>
  <c r="I137" i="9"/>
  <c r="K137" i="9" s="1"/>
  <c r="J136" i="9"/>
  <c r="I136" i="9"/>
  <c r="K136" i="9" s="1"/>
  <c r="J135" i="9"/>
  <c r="I135" i="9"/>
  <c r="K135" i="9" s="1"/>
  <c r="J134" i="9"/>
  <c r="I134" i="9"/>
  <c r="K134" i="9" s="1"/>
  <c r="J133" i="9"/>
  <c r="I133" i="9"/>
  <c r="K133" i="9" s="1"/>
  <c r="J132" i="9"/>
  <c r="I132" i="9"/>
  <c r="K132" i="9" s="1"/>
  <c r="J131" i="9"/>
  <c r="I131" i="9"/>
  <c r="K131" i="9" s="1"/>
  <c r="J130" i="9"/>
  <c r="I130" i="9"/>
  <c r="K130" i="9" s="1"/>
  <c r="J129" i="9"/>
  <c r="I129" i="9"/>
  <c r="K129" i="9" s="1"/>
  <c r="J128" i="9"/>
  <c r="I128" i="9"/>
  <c r="K128" i="9" s="1"/>
  <c r="J127" i="9"/>
  <c r="I127" i="9"/>
  <c r="K127" i="9" s="1"/>
  <c r="J126" i="9"/>
  <c r="I126" i="9"/>
  <c r="K126" i="9" s="1"/>
  <c r="J125" i="9"/>
  <c r="I125" i="9"/>
  <c r="K125" i="9" s="1"/>
  <c r="J124" i="9"/>
  <c r="I124" i="9"/>
  <c r="K124" i="9" s="1"/>
  <c r="J123" i="9"/>
  <c r="I123" i="9"/>
  <c r="K123" i="9" s="1"/>
  <c r="J122" i="9"/>
  <c r="I122" i="9"/>
  <c r="K122" i="9" s="1"/>
  <c r="J121" i="9"/>
  <c r="I121" i="9"/>
  <c r="K121" i="9" s="1"/>
  <c r="J120" i="9"/>
  <c r="I120" i="9"/>
  <c r="K120" i="9" s="1"/>
  <c r="J119" i="9"/>
  <c r="I119" i="9"/>
  <c r="K119" i="9" s="1"/>
  <c r="J118" i="9"/>
  <c r="I118" i="9"/>
  <c r="K118" i="9" s="1"/>
  <c r="J117" i="9"/>
  <c r="I117" i="9"/>
  <c r="K117" i="9" s="1"/>
  <c r="J116" i="9"/>
  <c r="I116" i="9"/>
  <c r="K116" i="9" s="1"/>
  <c r="J115" i="9"/>
  <c r="I115" i="9"/>
  <c r="K115" i="9" s="1"/>
  <c r="J114" i="9"/>
  <c r="I114" i="9"/>
  <c r="K114" i="9" s="1"/>
  <c r="J113" i="9"/>
  <c r="I113" i="9"/>
  <c r="K113" i="9" s="1"/>
  <c r="J112" i="9"/>
  <c r="I112" i="9"/>
  <c r="K112" i="9" s="1"/>
  <c r="J111" i="9"/>
  <c r="I111" i="9"/>
  <c r="K111" i="9" s="1"/>
  <c r="J110" i="9"/>
  <c r="I110" i="9"/>
  <c r="K110" i="9" s="1"/>
  <c r="J109" i="9"/>
  <c r="I109" i="9"/>
  <c r="K109" i="9" s="1"/>
  <c r="J108" i="9"/>
  <c r="I108" i="9"/>
  <c r="K108" i="9" s="1"/>
  <c r="J107" i="9"/>
  <c r="I107" i="9"/>
  <c r="K107" i="9" s="1"/>
  <c r="J106" i="9"/>
  <c r="I106" i="9"/>
  <c r="K106" i="9" s="1"/>
  <c r="J105" i="9"/>
  <c r="I105" i="9"/>
  <c r="K105" i="9" s="1"/>
  <c r="J104" i="9"/>
  <c r="I104" i="9"/>
  <c r="K104" i="9" s="1"/>
  <c r="J103" i="9"/>
  <c r="I103" i="9"/>
  <c r="K103" i="9" s="1"/>
  <c r="J102" i="9"/>
  <c r="I102" i="9"/>
  <c r="K102" i="9" s="1"/>
  <c r="J101" i="9"/>
  <c r="I101" i="9"/>
  <c r="K101" i="9" s="1"/>
  <c r="J100" i="9"/>
  <c r="I100" i="9"/>
  <c r="K100" i="9" s="1"/>
  <c r="J99" i="9"/>
  <c r="I99" i="9"/>
  <c r="K99" i="9" s="1"/>
  <c r="J98" i="9"/>
  <c r="I98" i="9"/>
  <c r="K98" i="9" s="1"/>
  <c r="J97" i="9"/>
  <c r="I97" i="9"/>
  <c r="K97" i="9" s="1"/>
  <c r="J96" i="9"/>
  <c r="I96" i="9"/>
  <c r="K96" i="9" s="1"/>
  <c r="J95" i="9"/>
  <c r="I95" i="9"/>
  <c r="K95" i="9" s="1"/>
  <c r="J94" i="9"/>
  <c r="I94" i="9"/>
  <c r="K94" i="9" s="1"/>
  <c r="J93" i="9"/>
  <c r="I93" i="9"/>
  <c r="K93" i="9" s="1"/>
  <c r="J92" i="9"/>
  <c r="I92" i="9"/>
  <c r="K92" i="9" s="1"/>
  <c r="J91" i="9"/>
  <c r="I91" i="9"/>
  <c r="K91" i="9" s="1"/>
  <c r="J90" i="9"/>
  <c r="I90" i="9"/>
  <c r="K90" i="9" s="1"/>
  <c r="J89" i="9"/>
  <c r="I89" i="9"/>
  <c r="K89" i="9" s="1"/>
  <c r="J88" i="9"/>
  <c r="I88" i="9"/>
  <c r="K88" i="9" s="1"/>
  <c r="J87" i="9"/>
  <c r="I87" i="9"/>
  <c r="K87" i="9" s="1"/>
  <c r="J86" i="9"/>
  <c r="I86" i="9"/>
  <c r="K86" i="9" s="1"/>
  <c r="J85" i="9"/>
  <c r="I85" i="9"/>
  <c r="K85" i="9" s="1"/>
  <c r="J84" i="9"/>
  <c r="I84" i="9"/>
  <c r="K84" i="9" s="1"/>
  <c r="J83" i="9"/>
  <c r="I83" i="9"/>
  <c r="K83" i="9" s="1"/>
  <c r="J82" i="9"/>
  <c r="I82" i="9"/>
  <c r="K82" i="9" s="1"/>
  <c r="J81" i="9"/>
  <c r="I81" i="9"/>
  <c r="K81" i="9" s="1"/>
  <c r="J80" i="9"/>
  <c r="I80" i="9"/>
  <c r="K80" i="9" s="1"/>
  <c r="J79" i="9"/>
  <c r="I79" i="9"/>
  <c r="K79" i="9" s="1"/>
  <c r="J78" i="9"/>
  <c r="I78" i="9"/>
  <c r="K78" i="9" s="1"/>
  <c r="J77" i="9"/>
  <c r="I77" i="9"/>
  <c r="K77" i="9" s="1"/>
  <c r="J76" i="9"/>
  <c r="I76" i="9"/>
  <c r="K76" i="9" s="1"/>
  <c r="J75" i="9"/>
  <c r="I75" i="9"/>
  <c r="K75" i="9" s="1"/>
  <c r="J74" i="9"/>
  <c r="I74" i="9"/>
  <c r="K74" i="9" s="1"/>
  <c r="J73" i="9"/>
  <c r="I73" i="9"/>
  <c r="K73" i="9" s="1"/>
  <c r="J72" i="9"/>
  <c r="I72" i="9"/>
  <c r="K72" i="9" s="1"/>
  <c r="J71" i="9"/>
  <c r="I71" i="9"/>
  <c r="K71" i="9" s="1"/>
  <c r="J70" i="9"/>
  <c r="I70" i="9"/>
  <c r="K70" i="9" s="1"/>
  <c r="J69" i="9"/>
  <c r="I69" i="9"/>
  <c r="K69" i="9" s="1"/>
  <c r="J68" i="9"/>
  <c r="I68" i="9"/>
  <c r="K68" i="9" s="1"/>
  <c r="J67" i="9"/>
  <c r="I67" i="9"/>
  <c r="K67" i="9" s="1"/>
  <c r="J66" i="9"/>
  <c r="I66" i="9"/>
  <c r="K66" i="9" s="1"/>
  <c r="J65" i="9"/>
  <c r="I65" i="9"/>
  <c r="K65" i="9" s="1"/>
  <c r="J64" i="9"/>
  <c r="I64" i="9"/>
  <c r="K64" i="9" s="1"/>
  <c r="J63" i="9"/>
  <c r="I63" i="9"/>
  <c r="K63" i="9" s="1"/>
  <c r="J62" i="9"/>
  <c r="I62" i="9"/>
  <c r="K62" i="9" s="1"/>
  <c r="J61" i="9"/>
  <c r="I61" i="9"/>
  <c r="K61" i="9" s="1"/>
  <c r="J60" i="9"/>
  <c r="I60" i="9"/>
  <c r="K60" i="9" s="1"/>
  <c r="J59" i="9"/>
  <c r="I59" i="9"/>
  <c r="K59" i="9" s="1"/>
  <c r="J58" i="9"/>
  <c r="I58" i="9"/>
  <c r="K58" i="9" s="1"/>
  <c r="J57" i="9"/>
  <c r="I57" i="9"/>
  <c r="K57" i="9" s="1"/>
  <c r="J56" i="9"/>
  <c r="I56" i="9"/>
  <c r="K56" i="9" s="1"/>
  <c r="J55" i="9"/>
  <c r="I55" i="9"/>
  <c r="K55" i="9" s="1"/>
  <c r="J54" i="9"/>
  <c r="I54" i="9"/>
  <c r="K54" i="9" s="1"/>
  <c r="J53" i="9"/>
  <c r="I53" i="9"/>
  <c r="K53" i="9" s="1"/>
  <c r="J52" i="9"/>
  <c r="I52" i="9"/>
  <c r="K52" i="9" s="1"/>
  <c r="J51" i="9"/>
  <c r="I51" i="9"/>
  <c r="K51" i="9" s="1"/>
  <c r="J50" i="9"/>
  <c r="I50" i="9"/>
  <c r="K50" i="9" s="1"/>
  <c r="J49" i="9"/>
  <c r="I49" i="9"/>
  <c r="K49" i="9" s="1"/>
  <c r="J48" i="9"/>
  <c r="I48" i="9"/>
  <c r="K48" i="9" s="1"/>
  <c r="J47" i="9"/>
  <c r="I47" i="9"/>
  <c r="K47" i="9" s="1"/>
  <c r="J46" i="9"/>
  <c r="I46" i="9"/>
  <c r="K46" i="9" s="1"/>
  <c r="J45" i="9"/>
  <c r="I45" i="9"/>
  <c r="K45" i="9" s="1"/>
  <c r="J44" i="9"/>
  <c r="I44" i="9"/>
  <c r="K44" i="9" s="1"/>
  <c r="J43" i="9"/>
  <c r="I43" i="9"/>
  <c r="K43" i="9" s="1"/>
  <c r="J42" i="9"/>
  <c r="I42" i="9"/>
  <c r="K42" i="9" s="1"/>
  <c r="J41" i="9"/>
  <c r="I41" i="9"/>
  <c r="K41" i="9" s="1"/>
  <c r="J40" i="9"/>
  <c r="I40" i="9"/>
  <c r="K40" i="9" s="1"/>
  <c r="J39" i="9"/>
  <c r="I39" i="9"/>
  <c r="K39" i="9" s="1"/>
  <c r="J38" i="9"/>
  <c r="I38" i="9"/>
  <c r="K38" i="9" s="1"/>
  <c r="J37" i="9"/>
  <c r="I37" i="9"/>
  <c r="K37" i="9" s="1"/>
  <c r="J36" i="9"/>
  <c r="I36" i="9"/>
  <c r="K36" i="9" s="1"/>
  <c r="J35" i="9"/>
  <c r="I35" i="9"/>
  <c r="K35" i="9" s="1"/>
  <c r="J34" i="9"/>
  <c r="I34" i="9"/>
  <c r="K34" i="9" s="1"/>
  <c r="L34" i="9" s="1"/>
  <c r="J33" i="9"/>
  <c r="I33" i="9"/>
  <c r="K33" i="9" s="1"/>
  <c r="J32" i="9"/>
  <c r="I32" i="9"/>
  <c r="K32" i="9" s="1"/>
  <c r="J31" i="9"/>
  <c r="I31" i="9"/>
  <c r="K31" i="9" s="1"/>
  <c r="J30" i="9"/>
  <c r="I30" i="9"/>
  <c r="K30" i="9" s="1"/>
  <c r="J29" i="9"/>
  <c r="I29" i="9"/>
  <c r="K29" i="9" s="1"/>
  <c r="J28" i="9"/>
  <c r="I28" i="9"/>
  <c r="K28" i="9" s="1"/>
  <c r="J27" i="9"/>
  <c r="I27" i="9"/>
  <c r="K27" i="9" s="1"/>
  <c r="J26" i="9"/>
  <c r="I26" i="9"/>
  <c r="K26" i="9" s="1"/>
  <c r="L26" i="9" s="1"/>
  <c r="J25" i="9"/>
  <c r="I25" i="9"/>
  <c r="K25" i="9" s="1"/>
  <c r="J24" i="9"/>
  <c r="I24" i="9"/>
  <c r="K24" i="9" s="1"/>
  <c r="J23" i="9"/>
  <c r="I23" i="9"/>
  <c r="K23" i="9" s="1"/>
  <c r="J22" i="9"/>
  <c r="I22" i="9"/>
  <c r="K22" i="9" s="1"/>
  <c r="L22" i="9" s="1"/>
  <c r="J21" i="9"/>
  <c r="I21" i="9"/>
  <c r="K21" i="9" s="1"/>
  <c r="J20" i="9"/>
  <c r="I20" i="9"/>
  <c r="K20" i="9" s="1"/>
  <c r="J19" i="9"/>
  <c r="I19" i="9"/>
  <c r="K19" i="9" s="1"/>
  <c r="J18" i="9"/>
  <c r="I18" i="9"/>
  <c r="K18" i="9" s="1"/>
  <c r="J17" i="9"/>
  <c r="I17" i="9"/>
  <c r="K17" i="9" s="1"/>
  <c r="J16" i="9"/>
  <c r="I16" i="9"/>
  <c r="K16" i="9" s="1"/>
  <c r="J15" i="9"/>
  <c r="I15" i="9"/>
  <c r="K15" i="9" s="1"/>
  <c r="J14" i="9"/>
  <c r="I14" i="9"/>
  <c r="K14" i="9" s="1"/>
  <c r="L14" i="9" s="1"/>
  <c r="J13" i="9"/>
  <c r="I13" i="9"/>
  <c r="K13" i="9" s="1"/>
  <c r="J12" i="9"/>
  <c r="I12" i="9"/>
  <c r="K12" i="9" s="1"/>
  <c r="J11" i="9"/>
  <c r="I11" i="9"/>
  <c r="K11" i="9" s="1"/>
  <c r="J10" i="9"/>
  <c r="I10" i="9"/>
  <c r="K10" i="9" s="1"/>
  <c r="L10" i="9" s="1"/>
  <c r="J9" i="9"/>
  <c r="I9" i="9"/>
  <c r="K9" i="9" s="1"/>
  <c r="J8" i="9"/>
  <c r="I8" i="9"/>
  <c r="K8" i="9" s="1"/>
  <c r="J7" i="9"/>
  <c r="I7" i="9"/>
  <c r="K7" i="9" s="1"/>
  <c r="J6" i="9"/>
  <c r="I6" i="9"/>
  <c r="K6" i="9" s="1"/>
  <c r="J5" i="9"/>
  <c r="I5" i="9"/>
  <c r="K5" i="9" s="1"/>
  <c r="J4" i="9"/>
  <c r="I4" i="9"/>
  <c r="K4" i="9" s="1"/>
  <c r="J3" i="9"/>
  <c r="I3" i="9"/>
  <c r="K3" i="9" s="1"/>
  <c r="J2" i="9"/>
  <c r="I2" i="9"/>
  <c r="K2" i="9" s="1"/>
  <c r="L278" i="9" l="1"/>
  <c r="L282" i="9"/>
  <c r="L290" i="9"/>
  <c r="L294" i="9"/>
  <c r="L252" i="9"/>
  <c r="L302" i="9"/>
  <c r="V84" i="9" s="1"/>
  <c r="L83" i="9"/>
  <c r="L179" i="9"/>
  <c r="L183" i="9"/>
  <c r="L187" i="9"/>
  <c r="L191" i="9"/>
  <c r="L195" i="9"/>
  <c r="L199" i="9"/>
  <c r="L203" i="9"/>
  <c r="L207" i="9"/>
  <c r="L211" i="9"/>
  <c r="L219" i="9"/>
  <c r="L223" i="9"/>
  <c r="L227" i="9"/>
  <c r="L231" i="9"/>
  <c r="L235" i="9"/>
  <c r="L239" i="9"/>
  <c r="L243" i="9"/>
  <c r="L251" i="9"/>
  <c r="L255" i="9"/>
  <c r="L259" i="9"/>
  <c r="L263" i="9"/>
  <c r="L267" i="9"/>
  <c r="L271" i="9"/>
  <c r="L275" i="9"/>
  <c r="L283" i="9"/>
  <c r="L8" i="9"/>
  <c r="L16" i="9"/>
  <c r="L32" i="9"/>
  <c r="L40" i="9"/>
  <c r="L44" i="9"/>
  <c r="L52" i="9"/>
  <c r="L88" i="9"/>
  <c r="L108" i="9"/>
  <c r="L116" i="9"/>
  <c r="L120" i="9"/>
  <c r="L128" i="9"/>
  <c r="L132" i="9"/>
  <c r="L136" i="9"/>
  <c r="L144" i="9"/>
  <c r="L164" i="9"/>
  <c r="L168" i="9"/>
  <c r="L172" i="9"/>
  <c r="L180" i="9"/>
  <c r="L188" i="9"/>
  <c r="L192" i="9"/>
  <c r="L196" i="9"/>
  <c r="L200" i="9"/>
  <c r="L208" i="9"/>
  <c r="L220" i="9"/>
  <c r="L232" i="9"/>
  <c r="L240" i="9"/>
  <c r="L287" i="9"/>
  <c r="L291" i="9"/>
  <c r="L295" i="9"/>
  <c r="L299" i="9"/>
  <c r="L303" i="9"/>
  <c r="V85" i="9" s="1"/>
  <c r="L307" i="9"/>
  <c r="V89" i="9" s="1"/>
  <c r="L315" i="9"/>
  <c r="V97" i="9" s="1"/>
  <c r="L319" i="9"/>
  <c r="V101" i="9" s="1"/>
  <c r="L256" i="9"/>
  <c r="L260" i="9"/>
  <c r="L264" i="9"/>
  <c r="L272" i="9"/>
  <c r="L284" i="9"/>
  <c r="L292" i="9"/>
  <c r="L296" i="9"/>
  <c r="L304" i="9"/>
  <c r="V86" i="9" s="1"/>
  <c r="L308" i="9"/>
  <c r="V90" i="9" s="1"/>
  <c r="L316" i="9"/>
  <c r="V98" i="9" s="1"/>
  <c r="L5" i="9"/>
  <c r="L9" i="9"/>
  <c r="L13" i="9"/>
  <c r="L17" i="9"/>
  <c r="L21" i="9"/>
  <c r="L25" i="9"/>
  <c r="L53" i="9"/>
  <c r="L57" i="9"/>
  <c r="L61" i="9"/>
  <c r="L97" i="9"/>
  <c r="L101" i="9"/>
  <c r="L157" i="9"/>
  <c r="L165" i="9"/>
  <c r="L169" i="9"/>
  <c r="L173" i="9"/>
  <c r="L51" i="9"/>
  <c r="L63" i="9"/>
  <c r="L67" i="9"/>
  <c r="V69" i="9" s="1"/>
  <c r="L75" i="9"/>
  <c r="V77" i="9" s="1"/>
  <c r="L79" i="9"/>
  <c r="V81" i="9" s="1"/>
  <c r="L56" i="9"/>
  <c r="L60" i="9"/>
  <c r="L64" i="9"/>
  <c r="V66" i="9" s="1"/>
  <c r="L72" i="9"/>
  <c r="L76" i="9"/>
  <c r="V78" i="9" s="1"/>
  <c r="L80" i="9"/>
  <c r="V82" i="9" s="1"/>
  <c r="L73" i="9"/>
  <c r="V75" i="9" s="1"/>
  <c r="L77" i="9"/>
  <c r="V79" i="9" s="1"/>
  <c r="L81" i="9"/>
  <c r="V83" i="9" s="1"/>
  <c r="L176" i="9"/>
  <c r="L47" i="9"/>
  <c r="L86" i="9"/>
  <c r="L90" i="9"/>
  <c r="L94" i="9"/>
  <c r="L134" i="9"/>
  <c r="L138" i="9"/>
  <c r="L146" i="9"/>
  <c r="L162" i="9"/>
  <c r="L166" i="9"/>
  <c r="L170" i="9"/>
  <c r="L174" i="9"/>
  <c r="L181" i="9"/>
  <c r="L189" i="9"/>
  <c r="L193" i="9"/>
  <c r="L201" i="9"/>
  <c r="L205" i="9"/>
  <c r="L209" i="9"/>
  <c r="L221" i="9"/>
  <c r="L225" i="9"/>
  <c r="L233" i="9"/>
  <c r="L237" i="9"/>
  <c r="L245" i="9"/>
  <c r="L249" i="9"/>
  <c r="L253" i="9"/>
  <c r="L257" i="9"/>
  <c r="L265" i="9"/>
  <c r="L269" i="9"/>
  <c r="L82" i="9"/>
  <c r="L37" i="9"/>
  <c r="L41" i="9"/>
  <c r="L45" i="9"/>
  <c r="L84" i="9"/>
  <c r="L95" i="9"/>
  <c r="L99" i="9"/>
  <c r="L106" i="9"/>
  <c r="L110" i="9"/>
  <c r="L114" i="9"/>
  <c r="L276" i="9"/>
  <c r="L38" i="9"/>
  <c r="L49" i="9"/>
  <c r="L96" i="9"/>
  <c r="L115" i="9"/>
  <c r="L19" i="9"/>
  <c r="L23" i="9"/>
  <c r="L31" i="9"/>
  <c r="L50" i="9"/>
  <c r="L54" i="9"/>
  <c r="L66" i="9"/>
  <c r="V68" i="9" s="1"/>
  <c r="L74" i="9"/>
  <c r="V76" i="9" s="1"/>
  <c r="L85" i="9"/>
  <c r="L89" i="9"/>
  <c r="L100" i="9"/>
  <c r="L131" i="9"/>
  <c r="L135" i="9"/>
  <c r="L143" i="9"/>
  <c r="L163" i="9"/>
  <c r="L167" i="9"/>
  <c r="L171" i="9"/>
  <c r="L194" i="9"/>
  <c r="L198" i="9"/>
  <c r="L202" i="9"/>
  <c r="L206" i="9"/>
  <c r="L214" i="9"/>
  <c r="L218" i="9"/>
  <c r="L226" i="9"/>
  <c r="L230" i="9"/>
  <c r="L238" i="9"/>
  <c r="L242" i="9"/>
  <c r="L250" i="9"/>
  <c r="L258" i="9"/>
  <c r="L262" i="9"/>
  <c r="L270" i="9"/>
  <c r="L285" i="9"/>
  <c r="L289" i="9"/>
  <c r="L297" i="9"/>
  <c r="L301" i="9"/>
  <c r="L309" i="9"/>
  <c r="V91" i="9" s="1"/>
  <c r="L317" i="9"/>
  <c r="V99" i="9" s="1"/>
  <c r="L321" i="9"/>
  <c r="V103" i="9" s="1"/>
  <c r="L139" i="9"/>
  <c r="L154" i="9"/>
  <c r="L158" i="9"/>
  <c r="L184" i="9"/>
  <c r="L246" i="9"/>
  <c r="L277" i="9"/>
  <c r="L36" i="9"/>
  <c r="L3" i="9"/>
  <c r="L28" i="9"/>
  <c r="L42" i="9"/>
  <c r="L58" i="9"/>
  <c r="L68" i="9"/>
  <c r="V70" i="9" s="1"/>
  <c r="L98" i="9"/>
  <c r="L104" i="9"/>
  <c r="L111" i="9"/>
  <c r="L118" i="9"/>
  <c r="L122" i="9"/>
  <c r="L151" i="9"/>
  <c r="L155" i="9"/>
  <c r="L159" i="9"/>
  <c r="L185" i="9"/>
  <c r="L212" i="9"/>
  <c r="L4" i="9"/>
  <c r="L7" i="9"/>
  <c r="L29" i="9"/>
  <c r="L46" i="9"/>
  <c r="L69" i="9"/>
  <c r="V71" i="9" s="1"/>
  <c r="L112" i="9"/>
  <c r="L119" i="9"/>
  <c r="L123" i="9"/>
  <c r="L130" i="9"/>
  <c r="L148" i="9"/>
  <c r="L152" i="9"/>
  <c r="L160" i="9"/>
  <c r="L178" i="9"/>
  <c r="L182" i="9"/>
  <c r="L186" i="9"/>
  <c r="L213" i="9"/>
  <c r="L244" i="9"/>
  <c r="L310" i="9"/>
  <c r="V92" i="9" s="1"/>
  <c r="L140" i="9"/>
  <c r="L215" i="9"/>
  <c r="L43" i="9"/>
  <c r="L103" i="9"/>
  <c r="L216" i="9"/>
  <c r="L234" i="9"/>
  <c r="L241" i="9"/>
  <c r="L248" i="9"/>
  <c r="L266" i="9"/>
  <c r="L273" i="9"/>
  <c r="L280" i="9"/>
  <c r="L298" i="9"/>
  <c r="L305" i="9"/>
  <c r="V87" i="9" s="1"/>
  <c r="L312" i="9"/>
  <c r="V94" i="9" s="1"/>
  <c r="L33" i="9"/>
  <c r="L2" i="9"/>
  <c r="L55" i="9"/>
  <c r="L78" i="9"/>
  <c r="V80" i="9" s="1"/>
  <c r="L35" i="9"/>
  <c r="L91" i="9"/>
  <c r="L107" i="9"/>
  <c r="L142" i="9"/>
  <c r="L177" i="9"/>
  <c r="L210" i="9"/>
  <c r="L217" i="9"/>
  <c r="L224" i="9"/>
  <c r="L274" i="9"/>
  <c r="L281" i="9"/>
  <c r="L288" i="9"/>
  <c r="L306" i="9"/>
  <c r="V88" i="9" s="1"/>
  <c r="L313" i="9"/>
  <c r="V95" i="9" s="1"/>
  <c r="L320" i="9"/>
  <c r="V102" i="9" s="1"/>
  <c r="L124" i="9"/>
  <c r="L147" i="9"/>
  <c r="L175" i="9"/>
  <c r="L311" i="9"/>
  <c r="V93" i="9" s="1"/>
  <c r="L20" i="9"/>
  <c r="L149" i="9"/>
  <c r="L228" i="9"/>
  <c r="L48" i="9"/>
  <c r="L247" i="9"/>
  <c r="L279" i="9"/>
  <c r="L15" i="9"/>
  <c r="L59" i="9"/>
  <c r="L70" i="9"/>
  <c r="V72" i="9" s="1"/>
  <c r="L314" i="9"/>
  <c r="V96" i="9" s="1"/>
  <c r="L6" i="9"/>
  <c r="L12" i="9"/>
  <c r="L18" i="9"/>
  <c r="L24" i="9"/>
  <c r="L30" i="9"/>
  <c r="L39" i="9"/>
  <c r="L62" i="9"/>
  <c r="V64" i="9" s="1"/>
  <c r="L65" i="9"/>
  <c r="V67" i="9" s="1"/>
  <c r="L71" i="9"/>
  <c r="V73" i="9" s="1"/>
  <c r="L87" i="9"/>
  <c r="L92" i="9"/>
  <c r="L102" i="9"/>
  <c r="L127" i="9"/>
  <c r="L150" i="9"/>
  <c r="L190" i="9"/>
  <c r="L197" i="9"/>
  <c r="L204" i="9"/>
  <c r="L222" i="9"/>
  <c r="L229" i="9"/>
  <c r="L236" i="9"/>
  <c r="L254" i="9"/>
  <c r="L261" i="9"/>
  <c r="L268" i="9"/>
  <c r="L286" i="9"/>
  <c r="L293" i="9"/>
  <c r="L300" i="9"/>
  <c r="L318" i="9"/>
  <c r="V100" i="9" s="1"/>
  <c r="V65" i="9"/>
  <c r="V74" i="9"/>
  <c r="L126" i="9"/>
  <c r="L27" i="9"/>
  <c r="L93" i="9"/>
  <c r="L161" i="9"/>
  <c r="L11" i="9"/>
  <c r="L117" i="9"/>
  <c r="L156" i="9"/>
  <c r="L133" i="9"/>
  <c r="L105" i="9"/>
  <c r="L121" i="9"/>
  <c r="L137" i="9"/>
  <c r="L153" i="9"/>
  <c r="L109" i="9"/>
  <c r="L125" i="9"/>
  <c r="L141" i="9"/>
  <c r="L113" i="9"/>
  <c r="L129" i="9"/>
  <c r="L145" i="9"/>
  <c r="J321" i="1"/>
  <c r="I321" i="1"/>
  <c r="K321" i="1" s="1"/>
  <c r="J320" i="1"/>
  <c r="I320" i="1"/>
  <c r="K320" i="1" s="1"/>
  <c r="J319" i="1"/>
  <c r="I319" i="1"/>
  <c r="K319" i="1" s="1"/>
  <c r="J318" i="1"/>
  <c r="I318" i="1"/>
  <c r="K318" i="1" s="1"/>
  <c r="J317" i="1"/>
  <c r="I317" i="1"/>
  <c r="K317" i="1" s="1"/>
  <c r="J316" i="1"/>
  <c r="I316" i="1"/>
  <c r="K316" i="1" s="1"/>
  <c r="J315" i="1"/>
  <c r="I315" i="1"/>
  <c r="K315" i="1" s="1"/>
  <c r="J314" i="1"/>
  <c r="I314" i="1"/>
  <c r="K314" i="1" s="1"/>
  <c r="J313" i="1"/>
  <c r="I313" i="1"/>
  <c r="J312" i="1"/>
  <c r="I312" i="1"/>
  <c r="K312" i="1" s="1"/>
  <c r="J311" i="1"/>
  <c r="I311" i="1"/>
  <c r="K311" i="1" s="1"/>
  <c r="J310" i="1"/>
  <c r="I310" i="1"/>
  <c r="K310" i="1" s="1"/>
  <c r="J309" i="1"/>
  <c r="I309" i="1"/>
  <c r="K309" i="1" s="1"/>
  <c r="J308" i="1"/>
  <c r="I308" i="1"/>
  <c r="K308" i="1" s="1"/>
  <c r="J307" i="1"/>
  <c r="I307" i="1"/>
  <c r="K307" i="1" s="1"/>
  <c r="J306" i="1"/>
  <c r="I306" i="1"/>
  <c r="K306" i="1" s="1"/>
  <c r="J305" i="1"/>
  <c r="I305" i="1"/>
  <c r="K305" i="1" s="1"/>
  <c r="J304" i="1"/>
  <c r="I304" i="1"/>
  <c r="K304" i="1" s="1"/>
  <c r="J303" i="1"/>
  <c r="I303" i="1"/>
  <c r="K303" i="1" s="1"/>
  <c r="J302" i="1"/>
  <c r="I302" i="1"/>
  <c r="K302" i="1" s="1"/>
  <c r="J301" i="1"/>
  <c r="I301" i="1"/>
  <c r="K301" i="1" s="1"/>
  <c r="J300" i="1"/>
  <c r="I300" i="1"/>
  <c r="K300" i="1" s="1"/>
  <c r="J299" i="1"/>
  <c r="I299" i="1"/>
  <c r="K299" i="1" s="1"/>
  <c r="J298" i="1"/>
  <c r="I298" i="1"/>
  <c r="K298" i="1" s="1"/>
  <c r="J297" i="1"/>
  <c r="I297" i="1"/>
  <c r="K297" i="1" s="1"/>
  <c r="J296" i="1"/>
  <c r="I296" i="1"/>
  <c r="K296" i="1" s="1"/>
  <c r="J295" i="1"/>
  <c r="I295" i="1"/>
  <c r="K295" i="1" s="1"/>
  <c r="J294" i="1"/>
  <c r="I294" i="1"/>
  <c r="K294" i="1" s="1"/>
  <c r="J293" i="1"/>
  <c r="I293" i="1"/>
  <c r="K293" i="1" s="1"/>
  <c r="J292" i="1"/>
  <c r="I292" i="1"/>
  <c r="K292" i="1" s="1"/>
  <c r="J291" i="1"/>
  <c r="I291" i="1"/>
  <c r="K291" i="1" s="1"/>
  <c r="J290" i="1"/>
  <c r="I290" i="1"/>
  <c r="K290" i="1" s="1"/>
  <c r="J289" i="1"/>
  <c r="I289" i="1"/>
  <c r="K289" i="1" s="1"/>
  <c r="J288" i="1"/>
  <c r="I288" i="1"/>
  <c r="K288" i="1" s="1"/>
  <c r="J287" i="1"/>
  <c r="I287" i="1"/>
  <c r="K287" i="1" s="1"/>
  <c r="J286" i="1"/>
  <c r="I286" i="1"/>
  <c r="K286" i="1" s="1"/>
  <c r="J285" i="1"/>
  <c r="I285" i="1"/>
  <c r="K285" i="1" s="1"/>
  <c r="J284" i="1"/>
  <c r="I284" i="1"/>
  <c r="K284" i="1" s="1"/>
  <c r="J283" i="1"/>
  <c r="I283" i="1"/>
  <c r="J282" i="1"/>
  <c r="I282" i="1"/>
  <c r="K282" i="1" s="1"/>
  <c r="J281" i="1"/>
  <c r="I281" i="1"/>
  <c r="K281" i="1" s="1"/>
  <c r="J280" i="1"/>
  <c r="I280" i="1"/>
  <c r="K280" i="1" s="1"/>
  <c r="J279" i="1"/>
  <c r="I279" i="1"/>
  <c r="K279" i="1" s="1"/>
  <c r="J278" i="1"/>
  <c r="I278" i="1"/>
  <c r="K278" i="1" s="1"/>
  <c r="J277" i="1"/>
  <c r="I277" i="1"/>
  <c r="K277" i="1" s="1"/>
  <c r="J276" i="1"/>
  <c r="I276" i="1"/>
  <c r="K276" i="1" s="1"/>
  <c r="J275" i="1"/>
  <c r="I275" i="1"/>
  <c r="K275" i="1" s="1"/>
  <c r="J274" i="1"/>
  <c r="I274" i="1"/>
  <c r="K274" i="1" s="1"/>
  <c r="J273" i="1"/>
  <c r="I273" i="1"/>
  <c r="K273" i="1" s="1"/>
  <c r="J272" i="1"/>
  <c r="I272" i="1"/>
  <c r="K272" i="1" s="1"/>
  <c r="J271" i="1"/>
  <c r="I271" i="1"/>
  <c r="K271" i="1" s="1"/>
  <c r="J270" i="1"/>
  <c r="I270" i="1"/>
  <c r="K270" i="1" s="1"/>
  <c r="J269" i="1"/>
  <c r="I269" i="1"/>
  <c r="J268" i="1"/>
  <c r="I268" i="1"/>
  <c r="K268" i="1" s="1"/>
  <c r="J267" i="1"/>
  <c r="I267" i="1"/>
  <c r="K267" i="1" s="1"/>
  <c r="J266" i="1"/>
  <c r="I266" i="1"/>
  <c r="K266" i="1" s="1"/>
  <c r="J265" i="1"/>
  <c r="I265" i="1"/>
  <c r="J264" i="1"/>
  <c r="I264" i="1"/>
  <c r="K264" i="1" s="1"/>
  <c r="J263" i="1"/>
  <c r="I263" i="1"/>
  <c r="J262" i="1"/>
  <c r="I262" i="1"/>
  <c r="K262" i="1" s="1"/>
  <c r="J261" i="1"/>
  <c r="I261" i="1"/>
  <c r="K261" i="1" s="1"/>
  <c r="J260" i="1"/>
  <c r="I260" i="1"/>
  <c r="K260" i="1" s="1"/>
  <c r="J259" i="1"/>
  <c r="I259" i="1"/>
  <c r="K259" i="1" s="1"/>
  <c r="J258" i="1"/>
  <c r="I258" i="1"/>
  <c r="K258" i="1" s="1"/>
  <c r="J257" i="1"/>
  <c r="I257" i="1"/>
  <c r="J256" i="1"/>
  <c r="I256" i="1"/>
  <c r="K256" i="1" s="1"/>
  <c r="J255" i="1"/>
  <c r="I255" i="1"/>
  <c r="K255" i="1" s="1"/>
  <c r="J254" i="1"/>
  <c r="I254" i="1"/>
  <c r="K254" i="1" s="1"/>
  <c r="J253" i="1"/>
  <c r="I253" i="1"/>
  <c r="K253" i="1" s="1"/>
  <c r="J252" i="1"/>
  <c r="I252" i="1"/>
  <c r="K252" i="1" s="1"/>
  <c r="J251" i="1"/>
  <c r="I251" i="1"/>
  <c r="K251" i="1" s="1"/>
  <c r="J250" i="1"/>
  <c r="I250" i="1"/>
  <c r="J249" i="1"/>
  <c r="I249" i="1"/>
  <c r="J248" i="1"/>
  <c r="I248" i="1"/>
  <c r="K248" i="1" s="1"/>
  <c r="J247" i="1"/>
  <c r="I247" i="1"/>
  <c r="K247" i="1" s="1"/>
  <c r="J246" i="1"/>
  <c r="I246" i="1"/>
  <c r="K246" i="1" s="1"/>
  <c r="J245" i="1"/>
  <c r="I245" i="1"/>
  <c r="J244" i="1"/>
  <c r="I244" i="1"/>
  <c r="K244" i="1" s="1"/>
  <c r="J243" i="1"/>
  <c r="I243" i="1"/>
  <c r="K243" i="1" s="1"/>
  <c r="J242" i="1"/>
  <c r="I242" i="1"/>
  <c r="K242" i="1" s="1"/>
  <c r="J241" i="1"/>
  <c r="I241" i="1"/>
  <c r="K241" i="1" s="1"/>
  <c r="J240" i="1"/>
  <c r="I240" i="1"/>
  <c r="K240" i="1" s="1"/>
  <c r="J239" i="1"/>
  <c r="I239" i="1"/>
  <c r="K239" i="1" s="1"/>
  <c r="J238" i="1"/>
  <c r="I238" i="1"/>
  <c r="K238" i="1" s="1"/>
  <c r="J237" i="1"/>
  <c r="I237" i="1"/>
  <c r="K237" i="1" s="1"/>
  <c r="J236" i="1"/>
  <c r="I236" i="1"/>
  <c r="K236" i="1" s="1"/>
  <c r="J235" i="1"/>
  <c r="I235" i="1"/>
  <c r="K235" i="1" s="1"/>
  <c r="J234" i="1"/>
  <c r="I234" i="1"/>
  <c r="K234" i="1" s="1"/>
  <c r="J233" i="1"/>
  <c r="I233" i="1"/>
  <c r="J232" i="1"/>
  <c r="I232" i="1"/>
  <c r="K232" i="1" s="1"/>
  <c r="J231" i="1"/>
  <c r="I231" i="1"/>
  <c r="J230" i="1"/>
  <c r="I230" i="1"/>
  <c r="J229" i="1"/>
  <c r="I229" i="1"/>
  <c r="J228" i="1"/>
  <c r="I228" i="1"/>
  <c r="K228" i="1" s="1"/>
  <c r="J227" i="1"/>
  <c r="I227" i="1"/>
  <c r="K227" i="1" s="1"/>
  <c r="J226" i="1"/>
  <c r="I226" i="1"/>
  <c r="K226" i="1" s="1"/>
  <c r="J225" i="1"/>
  <c r="I225" i="1"/>
  <c r="K225" i="1" s="1"/>
  <c r="J224" i="1"/>
  <c r="I224" i="1"/>
  <c r="K224" i="1" s="1"/>
  <c r="J223" i="1"/>
  <c r="I223" i="1"/>
  <c r="K223" i="1" s="1"/>
  <c r="J222" i="1"/>
  <c r="I222" i="1"/>
  <c r="K222" i="1" s="1"/>
  <c r="J221" i="1"/>
  <c r="I221" i="1"/>
  <c r="K221" i="1" s="1"/>
  <c r="J220" i="1"/>
  <c r="I220" i="1"/>
  <c r="J219" i="1"/>
  <c r="I219" i="1"/>
  <c r="K219" i="1" s="1"/>
  <c r="J218" i="1"/>
  <c r="I218" i="1"/>
  <c r="K218" i="1" s="1"/>
  <c r="J217" i="1"/>
  <c r="I217" i="1"/>
  <c r="K217" i="1" s="1"/>
  <c r="J216" i="1"/>
  <c r="I216" i="1"/>
  <c r="K216" i="1" s="1"/>
  <c r="J215" i="1"/>
  <c r="I215" i="1"/>
  <c r="K215" i="1" s="1"/>
  <c r="J214" i="1"/>
  <c r="I214" i="1"/>
  <c r="K214" i="1" s="1"/>
  <c r="J213" i="1"/>
  <c r="I213" i="1"/>
  <c r="K213" i="1" s="1"/>
  <c r="J212" i="1"/>
  <c r="I212" i="1"/>
  <c r="K212" i="1" s="1"/>
  <c r="J211" i="1"/>
  <c r="I211" i="1"/>
  <c r="J210" i="1"/>
  <c r="I210" i="1"/>
  <c r="K210" i="1" s="1"/>
  <c r="J209" i="1"/>
  <c r="I209" i="1"/>
  <c r="K209" i="1" s="1"/>
  <c r="J208" i="1"/>
  <c r="I208" i="1"/>
  <c r="K208" i="1" s="1"/>
  <c r="J207" i="1"/>
  <c r="I207" i="1"/>
  <c r="K207" i="1" s="1"/>
  <c r="J206" i="1"/>
  <c r="I206" i="1"/>
  <c r="K206" i="1" s="1"/>
  <c r="J205" i="1"/>
  <c r="I205" i="1"/>
  <c r="J204" i="1"/>
  <c r="I204" i="1"/>
  <c r="K204" i="1" s="1"/>
  <c r="J203" i="1"/>
  <c r="I203" i="1"/>
  <c r="K203" i="1" s="1"/>
  <c r="J202" i="1"/>
  <c r="I202" i="1"/>
  <c r="K202" i="1" s="1"/>
  <c r="J201" i="1"/>
  <c r="I201" i="1"/>
  <c r="K201" i="1" s="1"/>
  <c r="J200" i="1"/>
  <c r="I200" i="1"/>
  <c r="K200" i="1" s="1"/>
  <c r="J199" i="1"/>
  <c r="I199" i="1"/>
  <c r="K199" i="1" s="1"/>
  <c r="J198" i="1"/>
  <c r="I198" i="1"/>
  <c r="K198" i="1" s="1"/>
  <c r="J197" i="1"/>
  <c r="I197" i="1"/>
  <c r="K197" i="1" s="1"/>
  <c r="J196" i="1"/>
  <c r="I196" i="1"/>
  <c r="K196" i="1" s="1"/>
  <c r="J195" i="1"/>
  <c r="I195" i="1"/>
  <c r="J194" i="1"/>
  <c r="I194" i="1"/>
  <c r="K194" i="1" s="1"/>
  <c r="J193" i="1"/>
  <c r="I193" i="1"/>
  <c r="K193" i="1" s="1"/>
  <c r="J192" i="1"/>
  <c r="I192" i="1"/>
  <c r="J191" i="1"/>
  <c r="I191" i="1"/>
  <c r="K191" i="1" s="1"/>
  <c r="J190" i="1"/>
  <c r="I190" i="1"/>
  <c r="K190" i="1" s="1"/>
  <c r="J189" i="1"/>
  <c r="I189" i="1"/>
  <c r="K189" i="1" s="1"/>
  <c r="J188" i="1"/>
  <c r="I188" i="1"/>
  <c r="K188" i="1" s="1"/>
  <c r="J187" i="1"/>
  <c r="I187" i="1"/>
  <c r="K187" i="1" s="1"/>
  <c r="J186" i="1"/>
  <c r="I186" i="1"/>
  <c r="K186" i="1" s="1"/>
  <c r="J185" i="1"/>
  <c r="I185" i="1"/>
  <c r="K185" i="1" s="1"/>
  <c r="J184" i="1"/>
  <c r="I184" i="1"/>
  <c r="J183" i="1"/>
  <c r="I183" i="1"/>
  <c r="K183" i="1" s="1"/>
  <c r="J182" i="1"/>
  <c r="I182" i="1"/>
  <c r="K182" i="1" s="1"/>
  <c r="J181" i="1"/>
  <c r="I181" i="1"/>
  <c r="K181" i="1" s="1"/>
  <c r="J180" i="1"/>
  <c r="I180" i="1"/>
  <c r="K180" i="1" s="1"/>
  <c r="J179" i="1"/>
  <c r="I179" i="1"/>
  <c r="K179" i="1" s="1"/>
  <c r="J178" i="1"/>
  <c r="I178" i="1"/>
  <c r="K178" i="1" s="1"/>
  <c r="J177" i="1"/>
  <c r="I177" i="1"/>
  <c r="K177" i="1" s="1"/>
  <c r="J176" i="1"/>
  <c r="I176" i="1"/>
  <c r="K176" i="1" s="1"/>
  <c r="J175" i="1"/>
  <c r="I175" i="1"/>
  <c r="J174" i="1"/>
  <c r="I174" i="1"/>
  <c r="K174" i="1" s="1"/>
  <c r="J173" i="1"/>
  <c r="I173" i="1"/>
  <c r="K173" i="1" s="1"/>
  <c r="J172" i="1"/>
  <c r="I172" i="1"/>
  <c r="K172" i="1" s="1"/>
  <c r="J171" i="1"/>
  <c r="I171" i="1"/>
  <c r="K171" i="1" s="1"/>
  <c r="J170" i="1"/>
  <c r="I170" i="1"/>
  <c r="K170" i="1" s="1"/>
  <c r="J169" i="1"/>
  <c r="I169" i="1"/>
  <c r="K169" i="1" s="1"/>
  <c r="J168" i="1"/>
  <c r="I168" i="1"/>
  <c r="J167" i="1"/>
  <c r="I167" i="1"/>
  <c r="K167" i="1" s="1"/>
  <c r="J166" i="1"/>
  <c r="I166" i="1"/>
  <c r="K166" i="1" s="1"/>
  <c r="J165" i="1"/>
  <c r="I165" i="1"/>
  <c r="K165" i="1" s="1"/>
  <c r="J164" i="1"/>
  <c r="I164" i="1"/>
  <c r="K164" i="1" s="1"/>
  <c r="J163" i="1"/>
  <c r="I163" i="1"/>
  <c r="K163" i="1" s="1"/>
  <c r="J162" i="1"/>
  <c r="I162" i="1"/>
  <c r="K162" i="1" s="1"/>
  <c r="J161" i="1"/>
  <c r="I161" i="1"/>
  <c r="K161" i="1" s="1"/>
  <c r="J160" i="1"/>
  <c r="I160" i="1"/>
  <c r="K160" i="1" s="1"/>
  <c r="J159" i="1"/>
  <c r="I159" i="1"/>
  <c r="K159" i="1" s="1"/>
  <c r="J158" i="1"/>
  <c r="I158" i="1"/>
  <c r="K158" i="1" s="1"/>
  <c r="J157" i="1"/>
  <c r="I157" i="1"/>
  <c r="K157" i="1" s="1"/>
  <c r="J156" i="1"/>
  <c r="I156" i="1"/>
  <c r="K156" i="1" s="1"/>
  <c r="J155" i="1"/>
  <c r="I155" i="1"/>
  <c r="J154" i="1"/>
  <c r="I154" i="1"/>
  <c r="K154" i="1" s="1"/>
  <c r="J153" i="1"/>
  <c r="I153" i="1"/>
  <c r="K153" i="1" s="1"/>
  <c r="J152" i="1"/>
  <c r="I152" i="1"/>
  <c r="K152" i="1" s="1"/>
  <c r="J151" i="1"/>
  <c r="I151" i="1"/>
  <c r="K151" i="1" s="1"/>
  <c r="J150" i="1"/>
  <c r="I150" i="1"/>
  <c r="J149" i="1"/>
  <c r="I149" i="1"/>
  <c r="J148" i="1"/>
  <c r="I148" i="1"/>
  <c r="K148" i="1" s="1"/>
  <c r="J147" i="1"/>
  <c r="I147" i="1"/>
  <c r="J146" i="1"/>
  <c r="I146" i="1"/>
  <c r="K146" i="1" s="1"/>
  <c r="J145" i="1"/>
  <c r="I145" i="1"/>
  <c r="J144" i="1"/>
  <c r="I144" i="1"/>
  <c r="K144" i="1" s="1"/>
  <c r="J143" i="1"/>
  <c r="I143" i="1"/>
  <c r="J142" i="1"/>
  <c r="I142" i="1"/>
  <c r="K142" i="1" s="1"/>
  <c r="J141" i="1"/>
  <c r="I141" i="1"/>
  <c r="K141" i="1" s="1"/>
  <c r="J140" i="1"/>
  <c r="I140" i="1"/>
  <c r="K140" i="1" s="1"/>
  <c r="J139" i="1"/>
  <c r="I139" i="1"/>
  <c r="K139" i="1" s="1"/>
  <c r="J138" i="1"/>
  <c r="I138" i="1"/>
  <c r="K138" i="1" s="1"/>
  <c r="J137" i="1"/>
  <c r="I137" i="1"/>
  <c r="K137" i="1" s="1"/>
  <c r="J136" i="1"/>
  <c r="I136" i="1"/>
  <c r="K136" i="1" s="1"/>
  <c r="J135" i="1"/>
  <c r="I135" i="1"/>
  <c r="K135" i="1" s="1"/>
  <c r="J134" i="1"/>
  <c r="I134" i="1"/>
  <c r="K134" i="1" s="1"/>
  <c r="J133" i="1"/>
  <c r="I133" i="1"/>
  <c r="K133" i="1" s="1"/>
  <c r="J132" i="1"/>
  <c r="I132" i="1"/>
  <c r="K132" i="1" s="1"/>
  <c r="J131" i="1"/>
  <c r="I131" i="1"/>
  <c r="K131" i="1" s="1"/>
  <c r="J130" i="1"/>
  <c r="I130" i="1"/>
  <c r="J129" i="1"/>
  <c r="I129" i="1"/>
  <c r="J128" i="1"/>
  <c r="I128" i="1"/>
  <c r="K128" i="1" s="1"/>
  <c r="J127" i="1"/>
  <c r="I127" i="1"/>
  <c r="K127" i="1" s="1"/>
  <c r="J126" i="1"/>
  <c r="I126" i="1"/>
  <c r="K126" i="1" s="1"/>
  <c r="J125" i="1"/>
  <c r="I125" i="1"/>
  <c r="K125" i="1" s="1"/>
  <c r="J124" i="1"/>
  <c r="I124" i="1"/>
  <c r="J123" i="1"/>
  <c r="I123" i="1"/>
  <c r="K123" i="1" s="1"/>
  <c r="J122" i="1"/>
  <c r="I122" i="1"/>
  <c r="K122" i="1" s="1"/>
  <c r="J121" i="1"/>
  <c r="I121" i="1"/>
  <c r="K121" i="1" s="1"/>
  <c r="J120" i="1"/>
  <c r="I120" i="1"/>
  <c r="K120" i="1" s="1"/>
  <c r="J119" i="1"/>
  <c r="I119" i="1"/>
  <c r="K119" i="1" s="1"/>
  <c r="J118" i="1"/>
  <c r="I118" i="1"/>
  <c r="K118" i="1" s="1"/>
  <c r="J117" i="1"/>
  <c r="I117" i="1"/>
  <c r="K117" i="1" s="1"/>
  <c r="J116" i="1"/>
  <c r="I116" i="1"/>
  <c r="K116" i="1" s="1"/>
  <c r="J115" i="1"/>
  <c r="I115" i="1"/>
  <c r="K115" i="1" s="1"/>
  <c r="J114" i="1"/>
  <c r="I114" i="1"/>
  <c r="K114" i="1" s="1"/>
  <c r="J113" i="1"/>
  <c r="I113" i="1"/>
  <c r="K113" i="1" s="1"/>
  <c r="J112" i="1"/>
  <c r="I112" i="1"/>
  <c r="K112" i="1" s="1"/>
  <c r="J111" i="1"/>
  <c r="I111" i="1"/>
  <c r="J110" i="1"/>
  <c r="I110" i="1"/>
  <c r="J109" i="1"/>
  <c r="I109" i="1"/>
  <c r="J108" i="1"/>
  <c r="I108" i="1"/>
  <c r="K108" i="1" s="1"/>
  <c r="J107" i="1"/>
  <c r="I107" i="1"/>
  <c r="K107" i="1" s="1"/>
  <c r="J106" i="1"/>
  <c r="I106" i="1"/>
  <c r="K106" i="1" s="1"/>
  <c r="J105" i="1"/>
  <c r="I105" i="1"/>
  <c r="J104" i="1"/>
  <c r="I104" i="1"/>
  <c r="K104" i="1" s="1"/>
  <c r="J103" i="1"/>
  <c r="I103" i="1"/>
  <c r="J102" i="1"/>
  <c r="I102" i="1"/>
  <c r="K102" i="1" s="1"/>
  <c r="J101" i="1"/>
  <c r="I101" i="1"/>
  <c r="K101" i="1" s="1"/>
  <c r="J100" i="1"/>
  <c r="I100" i="1"/>
  <c r="K100" i="1" s="1"/>
  <c r="J99" i="1"/>
  <c r="I99" i="1"/>
  <c r="K99" i="1" s="1"/>
  <c r="J98" i="1"/>
  <c r="I98" i="1"/>
  <c r="K98" i="1" s="1"/>
  <c r="J97" i="1"/>
  <c r="I97" i="1"/>
  <c r="K97" i="1" s="1"/>
  <c r="J96" i="1"/>
  <c r="I96" i="1"/>
  <c r="K96" i="1" s="1"/>
  <c r="J95" i="1"/>
  <c r="I95" i="1"/>
  <c r="K95" i="1" s="1"/>
  <c r="J94" i="1"/>
  <c r="I94" i="1"/>
  <c r="K94" i="1" s="1"/>
  <c r="J93" i="1"/>
  <c r="I93" i="1"/>
  <c r="K93" i="1" s="1"/>
  <c r="J92" i="1"/>
  <c r="I92" i="1"/>
  <c r="K92" i="1" s="1"/>
  <c r="J91" i="1"/>
  <c r="I91" i="1"/>
  <c r="K91" i="1" s="1"/>
  <c r="J90" i="1"/>
  <c r="I90" i="1"/>
  <c r="K90" i="1" s="1"/>
  <c r="J89" i="1"/>
  <c r="I89" i="1"/>
  <c r="K89" i="1" s="1"/>
  <c r="J88" i="1"/>
  <c r="I88" i="1"/>
  <c r="K88" i="1" s="1"/>
  <c r="J87" i="1"/>
  <c r="I87" i="1"/>
  <c r="K87" i="1" s="1"/>
  <c r="J86" i="1"/>
  <c r="I86" i="1"/>
  <c r="K86" i="1" s="1"/>
  <c r="J85" i="1"/>
  <c r="I85" i="1"/>
  <c r="K85" i="1" s="1"/>
  <c r="J84" i="1"/>
  <c r="I84" i="1"/>
  <c r="K84" i="1" s="1"/>
  <c r="J83" i="1"/>
  <c r="I83" i="1"/>
  <c r="K83" i="1" s="1"/>
  <c r="J82" i="1"/>
  <c r="I82" i="1"/>
  <c r="K82" i="1" s="1"/>
  <c r="J81" i="1"/>
  <c r="I81" i="1"/>
  <c r="K81" i="1" s="1"/>
  <c r="J80" i="1"/>
  <c r="I80" i="1"/>
  <c r="K80" i="1" s="1"/>
  <c r="J79" i="1"/>
  <c r="I79" i="1"/>
  <c r="K79" i="1" s="1"/>
  <c r="J78" i="1"/>
  <c r="I78" i="1"/>
  <c r="K78" i="1" s="1"/>
  <c r="J77" i="1"/>
  <c r="I77" i="1"/>
  <c r="K77" i="1" s="1"/>
  <c r="L77" i="1" s="1"/>
  <c r="J76" i="1"/>
  <c r="I76" i="1"/>
  <c r="K76" i="1" s="1"/>
  <c r="J75" i="1"/>
  <c r="I75" i="1"/>
  <c r="K75" i="1" s="1"/>
  <c r="J74" i="1"/>
  <c r="I74" i="1"/>
  <c r="K74" i="1" s="1"/>
  <c r="J73" i="1"/>
  <c r="I73" i="1"/>
  <c r="K73" i="1" s="1"/>
  <c r="J72" i="1"/>
  <c r="I72" i="1"/>
  <c r="J71" i="1"/>
  <c r="I71" i="1"/>
  <c r="K71" i="1" s="1"/>
  <c r="J70" i="1"/>
  <c r="I70" i="1"/>
  <c r="K70" i="1" s="1"/>
  <c r="J69" i="1"/>
  <c r="I69" i="1"/>
  <c r="K69" i="1" s="1"/>
  <c r="J68" i="1"/>
  <c r="I68" i="1"/>
  <c r="K68" i="1" s="1"/>
  <c r="J67" i="1"/>
  <c r="I67" i="1"/>
  <c r="K67" i="1" s="1"/>
  <c r="J66" i="1"/>
  <c r="I66" i="1"/>
  <c r="K66" i="1" s="1"/>
  <c r="J65" i="1"/>
  <c r="I65" i="1"/>
  <c r="K65" i="1" s="1"/>
  <c r="J64" i="1"/>
  <c r="I64" i="1"/>
  <c r="K64" i="1" s="1"/>
  <c r="J63" i="1"/>
  <c r="I63" i="1"/>
  <c r="J62" i="1"/>
  <c r="I62" i="1"/>
  <c r="K62" i="1" s="1"/>
  <c r="J61" i="1"/>
  <c r="I61" i="1"/>
  <c r="K61" i="1" s="1"/>
  <c r="J60" i="1"/>
  <c r="I60" i="1"/>
  <c r="J59" i="1"/>
  <c r="I59" i="1"/>
  <c r="K59" i="1" s="1"/>
  <c r="J58" i="1"/>
  <c r="I58" i="1"/>
  <c r="K58" i="1" s="1"/>
  <c r="J57" i="1"/>
  <c r="I57" i="1"/>
  <c r="K57" i="1" s="1"/>
  <c r="J56" i="1"/>
  <c r="I56" i="1"/>
  <c r="K56" i="1" s="1"/>
  <c r="J55" i="1"/>
  <c r="I55" i="1"/>
  <c r="K55" i="1" s="1"/>
  <c r="J54" i="1"/>
  <c r="I54" i="1"/>
  <c r="K54" i="1" s="1"/>
  <c r="J53" i="1"/>
  <c r="I53" i="1"/>
  <c r="K53" i="1" s="1"/>
  <c r="J52" i="1"/>
  <c r="I52" i="1"/>
  <c r="J51" i="1"/>
  <c r="I51" i="1"/>
  <c r="K51" i="1" s="1"/>
  <c r="J50" i="1"/>
  <c r="I50" i="1"/>
  <c r="K50" i="1" s="1"/>
  <c r="J49" i="1"/>
  <c r="I49" i="1"/>
  <c r="K49" i="1" s="1"/>
  <c r="J48" i="1"/>
  <c r="I48" i="1"/>
  <c r="K48" i="1" s="1"/>
  <c r="J47" i="1"/>
  <c r="I47" i="1"/>
  <c r="K47" i="1" s="1"/>
  <c r="J46" i="1"/>
  <c r="I46" i="1"/>
  <c r="K46" i="1" s="1"/>
  <c r="J45" i="1"/>
  <c r="I45" i="1"/>
  <c r="K45" i="1" s="1"/>
  <c r="J44" i="1"/>
  <c r="I44" i="1"/>
  <c r="K44" i="1" s="1"/>
  <c r="J43" i="1"/>
  <c r="I43" i="1"/>
  <c r="J42" i="1"/>
  <c r="I42" i="1"/>
  <c r="K42" i="1" s="1"/>
  <c r="J41" i="1"/>
  <c r="I41" i="1"/>
  <c r="K41" i="1" s="1"/>
  <c r="J40" i="1"/>
  <c r="I40" i="1"/>
  <c r="K40" i="1" s="1"/>
  <c r="J39" i="1"/>
  <c r="I39" i="1"/>
  <c r="K39" i="1" s="1"/>
  <c r="J38" i="1"/>
  <c r="I38" i="1"/>
  <c r="K38" i="1" s="1"/>
  <c r="J37" i="1"/>
  <c r="I37" i="1"/>
  <c r="K37" i="1" s="1"/>
  <c r="J36" i="1"/>
  <c r="I36" i="1"/>
  <c r="K36" i="1" s="1"/>
  <c r="J35" i="1"/>
  <c r="I35" i="1"/>
  <c r="K35" i="1" s="1"/>
  <c r="J34" i="1"/>
  <c r="I34" i="1"/>
  <c r="K34" i="1" s="1"/>
  <c r="J33" i="1"/>
  <c r="I33" i="1"/>
  <c r="K33" i="1" s="1"/>
  <c r="J32" i="1"/>
  <c r="I32" i="1"/>
  <c r="K32" i="1" s="1"/>
  <c r="J31" i="1"/>
  <c r="I31" i="1"/>
  <c r="K31" i="1" s="1"/>
  <c r="J30" i="1"/>
  <c r="I30" i="1"/>
  <c r="J29" i="1"/>
  <c r="I29" i="1"/>
  <c r="K29" i="1" s="1"/>
  <c r="J28" i="1"/>
  <c r="I28" i="1"/>
  <c r="K28" i="1" s="1"/>
  <c r="J27" i="1"/>
  <c r="I27" i="1"/>
  <c r="K27" i="1" s="1"/>
  <c r="J26" i="1"/>
  <c r="I26" i="1"/>
  <c r="K26" i="1" s="1"/>
  <c r="J25" i="1"/>
  <c r="I25" i="1"/>
  <c r="K25" i="1" s="1"/>
  <c r="J24" i="1"/>
  <c r="I24" i="1"/>
  <c r="K24" i="1" s="1"/>
  <c r="J23" i="1"/>
  <c r="I23" i="1"/>
  <c r="J22" i="1"/>
  <c r="I22" i="1"/>
  <c r="K22" i="1" s="1"/>
  <c r="J21" i="1"/>
  <c r="I21" i="1"/>
  <c r="K21" i="1" s="1"/>
  <c r="J20" i="1"/>
  <c r="I20" i="1"/>
  <c r="K20" i="1" s="1"/>
  <c r="J19" i="1"/>
  <c r="I19" i="1"/>
  <c r="K19" i="1" s="1"/>
  <c r="J18" i="1"/>
  <c r="I18" i="1"/>
  <c r="K18" i="1" s="1"/>
  <c r="J17" i="1"/>
  <c r="I17" i="1"/>
  <c r="K17" i="1" s="1"/>
  <c r="J16" i="1"/>
  <c r="I16" i="1"/>
  <c r="K16" i="1" s="1"/>
  <c r="J15" i="1"/>
  <c r="I15" i="1"/>
  <c r="K15" i="1" s="1"/>
  <c r="J14" i="1"/>
  <c r="I14" i="1"/>
  <c r="K14" i="1" s="1"/>
  <c r="J13" i="1"/>
  <c r="I13" i="1"/>
  <c r="K13" i="1" s="1"/>
  <c r="J12" i="1"/>
  <c r="I12" i="1"/>
  <c r="K12" i="1" s="1"/>
  <c r="J11" i="1"/>
  <c r="I11" i="1"/>
  <c r="J10" i="1"/>
  <c r="I10" i="1"/>
  <c r="K10" i="1" s="1"/>
  <c r="J9" i="1"/>
  <c r="I9" i="1"/>
  <c r="K9" i="1" s="1"/>
  <c r="J8" i="1"/>
  <c r="I8" i="1"/>
  <c r="K8" i="1" s="1"/>
  <c r="J7" i="1"/>
  <c r="I7" i="1"/>
  <c r="K7" i="1" s="1"/>
  <c r="J6" i="1"/>
  <c r="I6" i="1"/>
  <c r="K6" i="1" s="1"/>
  <c r="J5" i="1"/>
  <c r="I5" i="1"/>
  <c r="K5" i="1" s="1"/>
  <c r="J4" i="1"/>
  <c r="I4" i="1"/>
  <c r="J3" i="1"/>
  <c r="I3" i="1"/>
  <c r="J2" i="1"/>
  <c r="I2" i="1"/>
  <c r="K2" i="1" s="1"/>
  <c r="L95" i="1" l="1"/>
  <c r="L44" i="1"/>
  <c r="L80" i="1"/>
  <c r="V82" i="1" s="1"/>
  <c r="L100" i="1"/>
  <c r="L144" i="1"/>
  <c r="L188" i="1"/>
  <c r="L208" i="1"/>
  <c r="L232" i="1"/>
  <c r="L252" i="1"/>
  <c r="L272" i="1"/>
  <c r="L292" i="1"/>
  <c r="L97" i="1"/>
  <c r="N2" i="9"/>
  <c r="N5" i="9"/>
  <c r="L14" i="1"/>
  <c r="L70" i="1"/>
  <c r="V72" i="1" s="1"/>
  <c r="L82" i="1"/>
  <c r="L154" i="1"/>
  <c r="L178" i="1"/>
  <c r="L198" i="1"/>
  <c r="L238" i="1"/>
  <c r="L242" i="1"/>
  <c r="L262" i="1"/>
  <c r="L282" i="1"/>
  <c r="L302" i="1"/>
  <c r="V84" i="1" s="1"/>
  <c r="L42" i="1"/>
  <c r="L73" i="1"/>
  <c r="V75" i="1" s="1"/>
  <c r="L93" i="1"/>
  <c r="L46" i="1"/>
  <c r="L56" i="1"/>
  <c r="L106" i="1"/>
  <c r="L116" i="1"/>
  <c r="L126" i="1"/>
  <c r="L136" i="1"/>
  <c r="L216" i="1"/>
  <c r="L236" i="1"/>
  <c r="L246" i="1"/>
  <c r="L256" i="1"/>
  <c r="L276" i="1"/>
  <c r="L286" i="1"/>
  <c r="L296" i="1"/>
  <c r="L316" i="1"/>
  <c r="V98" i="1" s="1"/>
  <c r="L176" i="1"/>
  <c r="L258" i="1"/>
  <c r="L319" i="1"/>
  <c r="V101" i="1" s="1"/>
  <c r="L161" i="1"/>
  <c r="L212" i="1"/>
  <c r="L222" i="1"/>
  <c r="L318" i="1"/>
  <c r="V100" i="1" s="1"/>
  <c r="L6" i="1"/>
  <c r="L16" i="1"/>
  <c r="L26" i="1"/>
  <c r="L36" i="1"/>
  <c r="L85" i="1"/>
  <c r="L206" i="1"/>
  <c r="L76" i="1"/>
  <c r="V78" i="1" s="1"/>
  <c r="L166" i="1"/>
  <c r="L186" i="1"/>
  <c r="L196" i="1"/>
  <c r="L156" i="1"/>
  <c r="L306" i="1"/>
  <c r="V88" i="1" s="1"/>
  <c r="L218" i="1"/>
  <c r="L228" i="1"/>
  <c r="L248" i="1"/>
  <c r="L268" i="1"/>
  <c r="L278" i="1"/>
  <c r="L288" i="1"/>
  <c r="L298" i="1"/>
  <c r="L308" i="1"/>
  <c r="V90" i="1" s="1"/>
  <c r="L201" i="1"/>
  <c r="L12" i="1"/>
  <c r="L79" i="1"/>
  <c r="V81" i="1" s="1"/>
  <c r="L202" i="1"/>
  <c r="L267" i="1"/>
  <c r="L285" i="1"/>
  <c r="L41" i="1"/>
  <c r="L22" i="1"/>
  <c r="L32" i="1"/>
  <c r="L61" i="1"/>
  <c r="L89" i="1"/>
  <c r="L98" i="1"/>
  <c r="L165" i="1"/>
  <c r="L193" i="1"/>
  <c r="L239" i="1"/>
  <c r="L295" i="1"/>
  <c r="K220" i="1"/>
  <c r="L220" i="1" s="1"/>
  <c r="K60" i="1"/>
  <c r="L60" i="1" s="1"/>
  <c r="L221" i="1"/>
  <c r="L305" i="1"/>
  <c r="V87" i="1" s="1"/>
  <c r="L20" i="1"/>
  <c r="L62" i="1"/>
  <c r="V64" i="1" s="1"/>
  <c r="L240" i="1"/>
  <c r="L315" i="1"/>
  <c r="V97" i="1" s="1"/>
  <c r="L58" i="1"/>
  <c r="L59" i="1"/>
  <c r="L99" i="1"/>
  <c r="L5" i="1"/>
  <c r="L81" i="1"/>
  <c r="V83" i="1" s="1"/>
  <c r="L118" i="1"/>
  <c r="L185" i="1"/>
  <c r="L259" i="1"/>
  <c r="K257" i="1"/>
  <c r="L257" i="1" s="1"/>
  <c r="L138" i="1"/>
  <c r="L241" i="1"/>
  <c r="L15" i="1"/>
  <c r="L119" i="1"/>
  <c r="L158" i="1"/>
  <c r="L260" i="1"/>
  <c r="K195" i="1"/>
  <c r="L195" i="1" s="1"/>
  <c r="K175" i="1"/>
  <c r="L175" i="1" s="1"/>
  <c r="K155" i="1"/>
  <c r="L155" i="1" s="1"/>
  <c r="L35" i="1"/>
  <c r="L317" i="1"/>
  <c r="V99" i="1" s="1"/>
  <c r="L34" i="1"/>
  <c r="L215" i="1"/>
  <c r="L279" i="1"/>
  <c r="K313" i="1"/>
  <c r="L313" i="1" s="1"/>
  <c r="V95" i="1" s="1"/>
  <c r="K233" i="1"/>
  <c r="L233" i="1" s="1"/>
  <c r="L139" i="1"/>
  <c r="L45" i="1"/>
  <c r="L65" i="1"/>
  <c r="V67" i="1" s="1"/>
  <c r="L140" i="1"/>
  <c r="L197" i="1"/>
  <c r="L224" i="1"/>
  <c r="L261" i="1"/>
  <c r="L289" i="1"/>
  <c r="L299" i="1"/>
  <c r="K192" i="1"/>
  <c r="L192" i="1" s="1"/>
  <c r="K72" i="1"/>
  <c r="L72" i="1" s="1"/>
  <c r="V74" i="1" s="1"/>
  <c r="K52" i="1"/>
  <c r="L52" i="1" s="1"/>
  <c r="L92" i="1"/>
  <c r="L101" i="1"/>
  <c r="L83" i="1"/>
  <c r="L102" i="1"/>
  <c r="L121" i="1"/>
  <c r="L169" i="1"/>
  <c r="L234" i="1"/>
  <c r="L243" i="1"/>
  <c r="K231" i="1"/>
  <c r="L231" i="1" s="1"/>
  <c r="K211" i="1"/>
  <c r="L211" i="1" s="1"/>
  <c r="K111" i="1"/>
  <c r="L111" i="1" s="1"/>
  <c r="K11" i="1"/>
  <c r="L11" i="1" s="1"/>
  <c r="L25" i="1"/>
  <c r="L55" i="1"/>
  <c r="L159" i="1"/>
  <c r="L27" i="1"/>
  <c r="L66" i="1"/>
  <c r="V68" i="1" s="1"/>
  <c r="L75" i="1"/>
  <c r="V77" i="1" s="1"/>
  <c r="L112" i="1"/>
  <c r="L141" i="1"/>
  <c r="L225" i="1"/>
  <c r="L309" i="1"/>
  <c r="V91" i="1" s="1"/>
  <c r="K250" i="1"/>
  <c r="L250" i="1" s="1"/>
  <c r="K230" i="1"/>
  <c r="L230" i="1" s="1"/>
  <c r="K150" i="1"/>
  <c r="L150" i="1" s="1"/>
  <c r="K130" i="1"/>
  <c r="L130" i="1" s="1"/>
  <c r="K110" i="1"/>
  <c r="L110" i="1" s="1"/>
  <c r="K30" i="1"/>
  <c r="L30" i="1" s="1"/>
  <c r="L37" i="1"/>
  <c r="L122" i="1"/>
  <c r="L179" i="1"/>
  <c r="K269" i="1"/>
  <c r="L269" i="1" s="1"/>
  <c r="K249" i="1"/>
  <c r="L249" i="1" s="1"/>
  <c r="K229" i="1"/>
  <c r="L229" i="1" s="1"/>
  <c r="K149" i="1"/>
  <c r="L149" i="1" s="1"/>
  <c r="K129" i="1"/>
  <c r="L129" i="1" s="1"/>
  <c r="K109" i="1"/>
  <c r="L109" i="1" s="1"/>
  <c r="L18" i="1"/>
  <c r="L132" i="1"/>
  <c r="L170" i="1"/>
  <c r="L235" i="1"/>
  <c r="L9" i="1"/>
  <c r="L38" i="1"/>
  <c r="L113" i="1"/>
  <c r="L152" i="1"/>
  <c r="L189" i="1"/>
  <c r="K168" i="1"/>
  <c r="L168" i="1" s="1"/>
  <c r="L19" i="1"/>
  <c r="L29" i="1"/>
  <c r="L48" i="1"/>
  <c r="L133" i="1"/>
  <c r="L199" i="1"/>
  <c r="L273" i="1"/>
  <c r="K147" i="1"/>
  <c r="L147" i="1" s="1"/>
  <c r="L114" i="1"/>
  <c r="L162" i="1"/>
  <c r="L190" i="1"/>
  <c r="L209" i="1"/>
  <c r="L255" i="1"/>
  <c r="L320" i="1"/>
  <c r="V102" i="1" s="1"/>
  <c r="L266" i="1"/>
  <c r="L226" i="1"/>
  <c r="L146" i="1"/>
  <c r="L49" i="1"/>
  <c r="L172" i="1"/>
  <c r="L181" i="1"/>
  <c r="L237" i="1"/>
  <c r="K265" i="1"/>
  <c r="L265" i="1" s="1"/>
  <c r="K245" i="1"/>
  <c r="L245" i="1" s="1"/>
  <c r="K205" i="1"/>
  <c r="L205" i="1" s="1"/>
  <c r="K145" i="1"/>
  <c r="L145" i="1" s="1"/>
  <c r="K105" i="1"/>
  <c r="L105" i="1" s="1"/>
  <c r="L39" i="1"/>
  <c r="L293" i="1"/>
  <c r="K184" i="1"/>
  <c r="L184" i="1" s="1"/>
  <c r="K124" i="1"/>
  <c r="L124" i="1" s="1"/>
  <c r="L24" i="1"/>
  <c r="K4" i="1"/>
  <c r="L4" i="1" s="1"/>
  <c r="L69" i="1"/>
  <c r="V71" i="1" s="1"/>
  <c r="L87" i="1"/>
  <c r="L115" i="1"/>
  <c r="L21" i="1"/>
  <c r="L50" i="1"/>
  <c r="L78" i="1"/>
  <c r="V80" i="1" s="1"/>
  <c r="L96" i="1"/>
  <c r="L125" i="1"/>
  <c r="L135" i="1"/>
  <c r="L219" i="1"/>
  <c r="L247" i="1"/>
  <c r="L275" i="1"/>
  <c r="L321" i="1"/>
  <c r="V103" i="1" s="1"/>
  <c r="K283" i="1"/>
  <c r="L283" i="1" s="1"/>
  <c r="K263" i="1"/>
  <c r="L263" i="1" s="1"/>
  <c r="K143" i="1"/>
  <c r="L143" i="1" s="1"/>
  <c r="K103" i="1"/>
  <c r="L103" i="1" s="1"/>
  <c r="K63" i="1"/>
  <c r="L63" i="1" s="1"/>
  <c r="V65" i="1" s="1"/>
  <c r="K43" i="1"/>
  <c r="L43" i="1" s="1"/>
  <c r="K23" i="1"/>
  <c r="L23" i="1" s="1"/>
  <c r="K3" i="1"/>
  <c r="L3" i="1" s="1"/>
  <c r="L71" i="1"/>
  <c r="V73" i="1" s="1"/>
  <c r="L107" i="1"/>
  <c r="L163" i="1"/>
  <c r="L287" i="1"/>
  <c r="L53" i="1"/>
  <c r="L90" i="1"/>
  <c r="L117" i="1"/>
  <c r="L173" i="1"/>
  <c r="L182" i="1"/>
  <c r="L191" i="1"/>
  <c r="L200" i="1"/>
  <c r="L244" i="1"/>
  <c r="L270" i="1"/>
  <c r="L314" i="1"/>
  <c r="V96" i="1" s="1"/>
  <c r="L164" i="1"/>
  <c r="L8" i="1"/>
  <c r="L54" i="1"/>
  <c r="L91" i="1"/>
  <c r="L137" i="1"/>
  <c r="L174" i="1"/>
  <c r="L183" i="1"/>
  <c r="L210" i="1"/>
  <c r="L297" i="1"/>
  <c r="L217" i="1"/>
  <c r="L7" i="1"/>
  <c r="L108" i="1"/>
  <c r="L127" i="1"/>
  <c r="L227" i="1"/>
  <c r="L253" i="1"/>
  <c r="L17" i="1"/>
  <c r="L64" i="1"/>
  <c r="V66" i="1" s="1"/>
  <c r="L128" i="1"/>
  <c r="L254" i="1"/>
  <c r="L271" i="1"/>
  <c r="L280" i="1"/>
  <c r="L74" i="1"/>
  <c r="V76" i="1" s="1"/>
  <c r="L307" i="1"/>
  <c r="V89" i="1" s="1"/>
  <c r="L10" i="1"/>
  <c r="L28" i="1"/>
  <c r="L120" i="1"/>
  <c r="L148" i="1"/>
  <c r="L157" i="1"/>
  <c r="L194" i="1"/>
  <c r="L203" i="1"/>
  <c r="L264" i="1"/>
  <c r="L281" i="1"/>
  <c r="L290" i="1"/>
  <c r="L84" i="1"/>
  <c r="L167" i="1"/>
  <c r="L204" i="1"/>
  <c r="L47" i="1"/>
  <c r="L57" i="1"/>
  <c r="L67" i="1"/>
  <c r="V69" i="1" s="1"/>
  <c r="L94" i="1"/>
  <c r="L131" i="1"/>
  <c r="L177" i="1"/>
  <c r="L213" i="1"/>
  <c r="L274" i="1"/>
  <c r="L291" i="1"/>
  <c r="L300" i="1"/>
  <c r="L68" i="1"/>
  <c r="V70" i="1" s="1"/>
  <c r="L187" i="1"/>
  <c r="L214" i="1"/>
  <c r="L13" i="1"/>
  <c r="L31" i="1"/>
  <c r="L40" i="1"/>
  <c r="L86" i="1"/>
  <c r="L104" i="1"/>
  <c r="L123" i="1"/>
  <c r="L142" i="1"/>
  <c r="L151" i="1"/>
  <c r="L160" i="1"/>
  <c r="L223" i="1"/>
  <c r="L284" i="1"/>
  <c r="L301" i="1"/>
  <c r="L310" i="1"/>
  <c r="V92" i="1" s="1"/>
  <c r="L134" i="1"/>
  <c r="L207" i="1"/>
  <c r="L294" i="1"/>
  <c r="L311" i="1"/>
  <c r="V93" i="1" s="1"/>
  <c r="L33" i="1"/>
  <c r="L51" i="1"/>
  <c r="L88" i="1"/>
  <c r="L153" i="1"/>
  <c r="L171" i="1"/>
  <c r="L180" i="1"/>
  <c r="L251" i="1"/>
  <c r="L277" i="1"/>
  <c r="L303" i="1"/>
  <c r="V85" i="1" s="1"/>
  <c r="L312" i="1"/>
  <c r="V94" i="1" s="1"/>
  <c r="L304" i="1"/>
  <c r="V86" i="1" s="1"/>
  <c r="L2" i="1"/>
  <c r="V79" i="1"/>
  <c r="M154" i="9" l="1"/>
  <c r="M322" i="9"/>
  <c r="M153" i="9"/>
  <c r="M48" i="9"/>
  <c r="M216" i="9"/>
  <c r="M197" i="9"/>
  <c r="M93" i="9"/>
  <c r="M109" i="9"/>
  <c r="M185" i="9"/>
  <c r="M187" i="9"/>
  <c r="M68" i="9"/>
  <c r="M207" i="9"/>
  <c r="M253" i="9"/>
  <c r="M33" i="9"/>
  <c r="M133" i="9"/>
  <c r="M6" i="9"/>
  <c r="M50" i="9"/>
  <c r="M218" i="9"/>
  <c r="M191" i="9"/>
  <c r="M300" i="9"/>
  <c r="M40" i="9"/>
  <c r="M104" i="9"/>
  <c r="M280" i="9"/>
  <c r="M124" i="9"/>
  <c r="M38" i="9"/>
  <c r="M145" i="9"/>
  <c r="M65" i="9"/>
  <c r="M117" i="9"/>
  <c r="M299" i="9"/>
  <c r="M92" i="9"/>
  <c r="M320" i="9"/>
  <c r="M95" i="9"/>
  <c r="M265" i="9"/>
  <c r="M167" i="9"/>
  <c r="M210" i="9"/>
  <c r="M35" i="9"/>
  <c r="M4" i="9"/>
  <c r="M297" i="9"/>
  <c r="M149" i="9"/>
  <c r="M279" i="9"/>
  <c r="M220" i="9"/>
  <c r="M190" i="9"/>
  <c r="M163" i="9"/>
  <c r="M287" i="9"/>
  <c r="M90" i="9"/>
  <c r="M47" i="9"/>
  <c r="M204" i="9"/>
  <c r="M55" i="9"/>
  <c r="M9" i="9"/>
  <c r="M302" i="9"/>
  <c r="M230" i="9"/>
  <c r="M41" i="9"/>
  <c r="M59" i="9"/>
  <c r="M318" i="9"/>
  <c r="M97" i="9"/>
  <c r="M86" i="9"/>
  <c r="M289" i="9"/>
  <c r="M274" i="9"/>
  <c r="M235" i="9"/>
  <c r="M268" i="9"/>
  <c r="M71" i="9"/>
  <c r="M244" i="9"/>
  <c r="M166" i="9"/>
  <c r="M175" i="9"/>
  <c r="M310" i="9"/>
  <c r="M2" i="9"/>
  <c r="M202" i="9"/>
  <c r="M186" i="9"/>
  <c r="M58" i="9"/>
  <c r="M54" i="9"/>
  <c r="M45" i="9"/>
  <c r="M168" i="9"/>
  <c r="M243" i="9"/>
  <c r="M307" i="9"/>
  <c r="M26" i="9"/>
  <c r="M284" i="9"/>
  <c r="M170" i="9"/>
  <c r="M217" i="9"/>
  <c r="M51" i="9"/>
  <c r="M128" i="9"/>
  <c r="M232" i="9"/>
  <c r="M142" i="9"/>
  <c r="M157" i="9"/>
  <c r="M306" i="9"/>
  <c r="M121" i="9"/>
  <c r="M200" i="9"/>
  <c r="M272" i="9"/>
  <c r="M213" i="9"/>
  <c r="M15" i="9"/>
  <c r="M295" i="9"/>
  <c r="M44" i="9"/>
  <c r="M164" i="9"/>
  <c r="M43" i="9"/>
  <c r="M252" i="9"/>
  <c r="M7" i="9"/>
  <c r="M205" i="9"/>
  <c r="M129" i="9"/>
  <c r="M242" i="9"/>
  <c r="M96" i="9"/>
  <c r="M31" i="9"/>
  <c r="M67" i="9"/>
  <c r="M172" i="9"/>
  <c r="M221" i="9"/>
  <c r="M180" i="9"/>
  <c r="M286" i="9"/>
  <c r="M136" i="9"/>
  <c r="M27" i="9"/>
  <c r="M263" i="9"/>
  <c r="M62" i="9"/>
  <c r="M158" i="9"/>
  <c r="M49" i="9"/>
  <c r="M155" i="9"/>
  <c r="M251" i="9"/>
  <c r="M315" i="9"/>
  <c r="M24" i="9"/>
  <c r="M308" i="9"/>
  <c r="M254" i="9"/>
  <c r="M249" i="9"/>
  <c r="M17" i="9"/>
  <c r="M77" i="9"/>
  <c r="M285" i="9"/>
  <c r="M294" i="9"/>
  <c r="M209" i="9"/>
  <c r="M262" i="9"/>
  <c r="M110" i="9"/>
  <c r="M214" i="9"/>
  <c r="M138" i="9"/>
  <c r="M226" i="9"/>
  <c r="M281" i="9"/>
  <c r="M152" i="9"/>
  <c r="M174" i="9"/>
  <c r="M140" i="9"/>
  <c r="M256" i="9"/>
  <c r="M260" i="9"/>
  <c r="M273" i="9"/>
  <c r="M206" i="9"/>
  <c r="M29" i="9"/>
  <c r="M304" i="9"/>
  <c r="M247" i="9"/>
  <c r="M63" i="9"/>
  <c r="M61" i="9"/>
  <c r="M116" i="9"/>
  <c r="M222" i="9"/>
  <c r="M269" i="9"/>
  <c r="M198" i="9"/>
  <c r="M282" i="9"/>
  <c r="M194" i="9"/>
  <c r="M28" i="9"/>
  <c r="M179" i="9"/>
  <c r="M236" i="9"/>
  <c r="M82" i="9"/>
  <c r="M19" i="9"/>
  <c r="M229" i="9"/>
  <c r="M20" i="9"/>
  <c r="M270" i="9"/>
  <c r="M156" i="9"/>
  <c r="M34" i="9"/>
  <c r="M46" i="9"/>
  <c r="M14" i="9"/>
  <c r="M203" i="9"/>
  <c r="M267" i="9"/>
  <c r="M60" i="9"/>
  <c r="M144" i="9"/>
  <c r="M88" i="9"/>
  <c r="M159" i="9"/>
  <c r="M313" i="9"/>
  <c r="M94" i="9"/>
  <c r="M292" i="9"/>
  <c r="M75" i="9"/>
  <c r="M139" i="9"/>
  <c r="M245" i="9"/>
  <c r="M261" i="9"/>
  <c r="M277" i="9"/>
  <c r="M85" i="9"/>
  <c r="M257" i="9"/>
  <c r="M188" i="9"/>
  <c r="M53" i="9"/>
  <c r="M176" i="9"/>
  <c r="M161" i="9"/>
  <c r="M189" i="9"/>
  <c r="M73" i="9"/>
  <c r="M101" i="9"/>
  <c r="M123" i="9"/>
  <c r="M231" i="9"/>
  <c r="M169" i="9"/>
  <c r="M148" i="9"/>
  <c r="M305" i="9"/>
  <c r="M178" i="9"/>
  <c r="M127" i="9"/>
  <c r="M225" i="9"/>
  <c r="M316" i="9"/>
  <c r="M119" i="9"/>
  <c r="M181" i="9"/>
  <c r="M162" i="9"/>
  <c r="M303" i="9"/>
  <c r="M301" i="9"/>
  <c r="M311" i="9"/>
  <c r="M271" i="9"/>
  <c r="M228" i="9"/>
  <c r="M111" i="9"/>
  <c r="M258" i="9"/>
  <c r="M208" i="9"/>
  <c r="M56" i="9"/>
  <c r="M118" i="9"/>
  <c r="M72" i="9"/>
  <c r="M12" i="9"/>
  <c r="M212" i="9"/>
  <c r="M16" i="9"/>
  <c r="M42" i="9"/>
  <c r="M74" i="9"/>
  <c r="M21" i="9"/>
  <c r="M211" i="9"/>
  <c r="M275" i="9"/>
  <c r="M64" i="9"/>
  <c r="M99" i="9"/>
  <c r="M196" i="9"/>
  <c r="M224" i="9"/>
  <c r="M147" i="9"/>
  <c r="M160" i="9"/>
  <c r="M173" i="9"/>
  <c r="M314" i="9"/>
  <c r="M66" i="9"/>
  <c r="M131" i="9"/>
  <c r="M319" i="9"/>
  <c r="M112" i="9"/>
  <c r="M83" i="9"/>
  <c r="M248" i="9"/>
  <c r="M32" i="9"/>
  <c r="M259" i="9"/>
  <c r="M199" i="9"/>
  <c r="M10" i="9"/>
  <c r="M276" i="9"/>
  <c r="M107" i="9"/>
  <c r="M201" i="9"/>
  <c r="M23" i="9"/>
  <c r="M239" i="9"/>
  <c r="M296" i="9"/>
  <c r="M150" i="9"/>
  <c r="M321" i="9"/>
  <c r="M132" i="9"/>
  <c r="M36" i="9"/>
  <c r="M76" i="9"/>
  <c r="M146" i="9"/>
  <c r="M137" i="9"/>
  <c r="M290" i="9"/>
  <c r="M141" i="9"/>
  <c r="M240" i="9"/>
  <c r="M81" i="9"/>
  <c r="M103" i="9"/>
  <c r="M114" i="9"/>
  <c r="M113" i="9"/>
  <c r="M298" i="9"/>
  <c r="M165" i="9"/>
  <c r="M135" i="9"/>
  <c r="M87" i="9"/>
  <c r="M130" i="9"/>
  <c r="M184" i="9"/>
  <c r="M171" i="9"/>
  <c r="M5" i="9"/>
  <c r="M30" i="9"/>
  <c r="M219" i="9"/>
  <c r="M283" i="9"/>
  <c r="M57" i="9"/>
  <c r="M234" i="9"/>
  <c r="M278" i="9"/>
  <c r="M288" i="9"/>
  <c r="M106" i="9"/>
  <c r="M108" i="9"/>
  <c r="M250" i="9"/>
  <c r="M312" i="9"/>
  <c r="M192" i="9"/>
  <c r="M78" i="9"/>
  <c r="M52" i="9"/>
  <c r="M237" i="9"/>
  <c r="M91" i="9"/>
  <c r="M317" i="9"/>
  <c r="M115" i="9"/>
  <c r="M98" i="9"/>
  <c r="M195" i="9"/>
  <c r="M89" i="9"/>
  <c r="M39" i="9"/>
  <c r="M25" i="9"/>
  <c r="M238" i="9"/>
  <c r="M100" i="9"/>
  <c r="M233" i="9"/>
  <c r="M122" i="9"/>
  <c r="M182" i="9"/>
  <c r="M183" i="9"/>
  <c r="M215" i="9"/>
  <c r="M80" i="9"/>
  <c r="M70" i="9"/>
  <c r="M8" i="9"/>
  <c r="M177" i="9"/>
  <c r="M246" i="9"/>
  <c r="M264" i="9"/>
  <c r="M241" i="9"/>
  <c r="M151" i="9"/>
  <c r="M193" i="9"/>
  <c r="M105" i="9"/>
  <c r="M3" i="9"/>
  <c r="M255" i="9"/>
  <c r="M309" i="9"/>
  <c r="M102" i="9"/>
  <c r="M223" i="9"/>
  <c r="M22" i="9"/>
  <c r="M126" i="9"/>
  <c r="M69" i="9"/>
  <c r="M18" i="9"/>
  <c r="M120" i="9"/>
  <c r="M37" i="9"/>
  <c r="M84" i="9"/>
  <c r="M227" i="9"/>
  <c r="M291" i="9"/>
  <c r="M143" i="9"/>
  <c r="M134" i="9"/>
  <c r="M11" i="9"/>
  <c r="M125" i="9"/>
  <c r="M13" i="9"/>
  <c r="M266" i="9"/>
  <c r="M79" i="9"/>
  <c r="M293" i="9"/>
  <c r="N2" i="1"/>
  <c r="M322" i="1" s="1"/>
  <c r="N5" i="1"/>
  <c r="O2" i="9" l="1"/>
  <c r="P211" i="9" s="1"/>
  <c r="M107" i="1"/>
  <c r="M305" i="1"/>
  <c r="M65" i="1"/>
  <c r="M165" i="1"/>
  <c r="M193" i="1"/>
  <c r="M156" i="1"/>
  <c r="M290" i="1"/>
  <c r="M208" i="1"/>
  <c r="M41" i="1"/>
  <c r="M49" i="1"/>
  <c r="M95" i="1"/>
  <c r="M215" i="1"/>
  <c r="M258" i="1"/>
  <c r="M276" i="1"/>
  <c r="M161" i="1"/>
  <c r="M135" i="1"/>
  <c r="M64" i="1"/>
  <c r="M314" i="1"/>
  <c r="M73" i="1"/>
  <c r="M201" i="1"/>
  <c r="M202" i="1"/>
  <c r="M220" i="1"/>
  <c r="M298" i="1"/>
  <c r="M58" i="1"/>
  <c r="M11" i="1"/>
  <c r="M59" i="1"/>
  <c r="M14" i="1"/>
  <c r="M104" i="1"/>
  <c r="M241" i="1"/>
  <c r="M285" i="1"/>
  <c r="M294" i="1"/>
  <c r="M171" i="1"/>
  <c r="M162" i="1"/>
  <c r="M97" i="1"/>
  <c r="M219" i="1"/>
  <c r="M211" i="1"/>
  <c r="M228" i="1"/>
  <c r="M68" i="1"/>
  <c r="M4" i="1"/>
  <c r="M69" i="1"/>
  <c r="M33" i="1"/>
  <c r="M123" i="1"/>
  <c r="M267" i="1"/>
  <c r="M180" i="1"/>
  <c r="M198" i="1"/>
  <c r="M106" i="1"/>
  <c r="M89" i="1"/>
  <c r="M81" i="1"/>
  <c r="M28" i="1"/>
  <c r="M118" i="1"/>
  <c r="M236" i="1"/>
  <c r="M237" i="1"/>
  <c r="M255" i="1"/>
  <c r="M316" i="1"/>
  <c r="M112" i="1"/>
  <c r="M50" i="1"/>
  <c r="M142" i="1"/>
  <c r="M293" i="1"/>
  <c r="M319" i="1"/>
  <c r="M302" i="1"/>
  <c r="M189" i="1"/>
  <c r="M216" i="1"/>
  <c r="M144" i="1"/>
  <c r="M72" i="1"/>
  <c r="M36" i="1"/>
  <c r="M137" i="1"/>
  <c r="M254" i="1"/>
  <c r="M263" i="1"/>
  <c r="M307" i="1"/>
  <c r="M10" i="1"/>
  <c r="M131" i="1"/>
  <c r="M85" i="1"/>
  <c r="M86" i="1"/>
  <c r="M151" i="1"/>
  <c r="M57" i="1"/>
  <c r="M235" i="1"/>
  <c r="M311" i="1"/>
  <c r="M225" i="1"/>
  <c r="M234" i="1"/>
  <c r="M172" i="1"/>
  <c r="M259" i="1"/>
  <c r="M117" i="1"/>
  <c r="M45" i="1"/>
  <c r="M174" i="1"/>
  <c r="M262" i="1"/>
  <c r="M289" i="1"/>
  <c r="M22" i="1"/>
  <c r="M76" i="1"/>
  <c r="M177" i="1"/>
  <c r="M103" i="1"/>
  <c r="M113" i="1"/>
  <c r="M160" i="1"/>
  <c r="M51" i="1"/>
  <c r="M13" i="1"/>
  <c r="M251" i="1"/>
  <c r="M242" i="1"/>
  <c r="M181" i="1"/>
  <c r="M114" i="1"/>
  <c r="M126" i="1"/>
  <c r="M55" i="1"/>
  <c r="M183" i="1"/>
  <c r="M271" i="1"/>
  <c r="M306" i="1"/>
  <c r="M98" i="1"/>
  <c r="M31" i="1"/>
  <c r="M94" i="1"/>
  <c r="M213" i="1"/>
  <c r="M122" i="1"/>
  <c r="M132" i="1"/>
  <c r="M169" i="1"/>
  <c r="M133" i="1"/>
  <c r="M87" i="1"/>
  <c r="M320" i="1"/>
  <c r="M277" i="1"/>
  <c r="M260" i="1"/>
  <c r="M190" i="1"/>
  <c r="M265" i="1"/>
  <c r="M154" i="1"/>
  <c r="M91" i="1"/>
  <c r="M192" i="1"/>
  <c r="M280" i="1"/>
  <c r="M47" i="1"/>
  <c r="M48" i="1"/>
  <c r="M102" i="1"/>
  <c r="M239" i="1"/>
  <c r="M141" i="1"/>
  <c r="M187" i="1"/>
  <c r="M196" i="1"/>
  <c r="M43" i="1"/>
  <c r="M178" i="1"/>
  <c r="M303" i="1"/>
  <c r="M268" i="1"/>
  <c r="M199" i="1"/>
  <c r="M153" i="1"/>
  <c r="M173" i="1"/>
  <c r="M99" i="1"/>
  <c r="M210" i="1"/>
  <c r="M288" i="1"/>
  <c r="M44" i="1"/>
  <c r="M120" i="1"/>
  <c r="M84" i="1"/>
  <c r="M121" i="1"/>
  <c r="M256" i="1"/>
  <c r="M150" i="1"/>
  <c r="M214" i="1"/>
  <c r="M223" i="1"/>
  <c r="M61" i="1"/>
  <c r="M25" i="1"/>
  <c r="M287" i="1"/>
  <c r="M295" i="1"/>
  <c r="M217" i="1"/>
  <c r="M250" i="1"/>
  <c r="M182" i="1"/>
  <c r="M108" i="1"/>
  <c r="M218" i="1"/>
  <c r="M163" i="1"/>
  <c r="M29" i="1"/>
  <c r="M139" i="1"/>
  <c r="M93" i="1"/>
  <c r="M140" i="1"/>
  <c r="M274" i="1"/>
  <c r="M159" i="1"/>
  <c r="M222" i="1"/>
  <c r="M249" i="1"/>
  <c r="M96" i="1"/>
  <c r="M52" i="1"/>
  <c r="M21" i="1"/>
  <c r="M145" i="1"/>
  <c r="M243" i="1"/>
  <c r="M129" i="1"/>
  <c r="M191" i="1"/>
  <c r="M127" i="1"/>
  <c r="M245" i="1"/>
  <c r="M19" i="1"/>
  <c r="M46" i="1"/>
  <c r="M148" i="1"/>
  <c r="M111" i="1"/>
  <c r="M149" i="1"/>
  <c r="M282" i="1"/>
  <c r="M168" i="1"/>
  <c r="M240" i="1"/>
  <c r="M266" i="1"/>
  <c r="M105" i="1"/>
  <c r="M70" i="1"/>
  <c r="M40" i="1"/>
  <c r="M312" i="1"/>
  <c r="M20" i="1"/>
  <c r="M269" i="1"/>
  <c r="M77" i="1"/>
  <c r="M200" i="1"/>
  <c r="M136" i="1"/>
  <c r="M297" i="1"/>
  <c r="M38" i="1"/>
  <c r="M3" i="1"/>
  <c r="M157" i="1"/>
  <c r="M130" i="1"/>
  <c r="M158" i="1"/>
  <c r="M291" i="1"/>
  <c r="M186" i="1"/>
  <c r="M248" i="1"/>
  <c r="M284" i="1"/>
  <c r="M124" i="1"/>
  <c r="M197" i="1"/>
  <c r="M39" i="1"/>
  <c r="M101" i="1"/>
  <c r="M286" i="1"/>
  <c r="M209" i="1"/>
  <c r="M155" i="1"/>
  <c r="M66" i="1"/>
  <c r="M12" i="1"/>
  <c r="M185" i="1"/>
  <c r="M166" i="1"/>
  <c r="M167" i="1"/>
  <c r="M300" i="1"/>
  <c r="M205" i="1"/>
  <c r="M275" i="1"/>
  <c r="M292" i="1"/>
  <c r="M143" i="1"/>
  <c r="M79" i="1"/>
  <c r="M8" i="1"/>
  <c r="M6" i="1"/>
  <c r="M42" i="1"/>
  <c r="M304" i="1"/>
  <c r="M67" i="1"/>
  <c r="M226" i="1"/>
  <c r="M164" i="1"/>
  <c r="M315" i="1"/>
  <c r="M30" i="1"/>
  <c r="M194" i="1"/>
  <c r="M221" i="1"/>
  <c r="M176" i="1"/>
  <c r="M308" i="1"/>
  <c r="M231" i="1"/>
  <c r="M301" i="1"/>
  <c r="M152" i="1"/>
  <c r="M88" i="1"/>
  <c r="M34" i="1"/>
  <c r="M78" i="1"/>
  <c r="M9" i="1"/>
  <c r="M32" i="1"/>
  <c r="M244" i="1"/>
  <c r="M227" i="1"/>
  <c r="M80" i="1"/>
  <c r="M82" i="1"/>
  <c r="M56" i="1"/>
  <c r="M203" i="1"/>
  <c r="M247" i="1"/>
  <c r="M195" i="1"/>
  <c r="M257" i="1"/>
  <c r="M318" i="1"/>
  <c r="M170" i="1"/>
  <c r="M115" i="1"/>
  <c r="M18" i="1"/>
  <c r="M281" i="1"/>
  <c r="M252" i="1"/>
  <c r="M253" i="1"/>
  <c r="M119" i="1"/>
  <c r="M75" i="1"/>
  <c r="M229" i="1"/>
  <c r="M273" i="1"/>
  <c r="M204" i="1"/>
  <c r="M90" i="1"/>
  <c r="M283" i="1"/>
  <c r="M27" i="1"/>
  <c r="M310" i="1"/>
  <c r="M179" i="1"/>
  <c r="M134" i="1"/>
  <c r="M62" i="1"/>
  <c r="M7" i="1"/>
  <c r="M26" i="1"/>
  <c r="M313" i="1"/>
  <c r="M261" i="1"/>
  <c r="M279" i="1"/>
  <c r="M92" i="1"/>
  <c r="M138" i="1"/>
  <c r="M246" i="1"/>
  <c r="M299" i="1"/>
  <c r="M212" i="1"/>
  <c r="M37" i="1"/>
  <c r="M83" i="1"/>
  <c r="M54" i="1"/>
  <c r="M206" i="1"/>
  <c r="M188" i="1"/>
  <c r="M71" i="1"/>
  <c r="M16" i="1"/>
  <c r="M35" i="1"/>
  <c r="M321" i="1"/>
  <c r="M184" i="1"/>
  <c r="M270" i="1"/>
  <c r="M296" i="1"/>
  <c r="M109" i="1"/>
  <c r="M147" i="1"/>
  <c r="M100" i="1"/>
  <c r="M264" i="1"/>
  <c r="M317" i="1"/>
  <c r="M230" i="1"/>
  <c r="M23" i="1"/>
  <c r="M309" i="1"/>
  <c r="M15" i="1"/>
  <c r="M2" i="1"/>
  <c r="M224" i="1"/>
  <c r="M207" i="1"/>
  <c r="M17" i="1"/>
  <c r="M63" i="1"/>
  <c r="M146" i="1"/>
  <c r="M278" i="1"/>
  <c r="M116" i="1"/>
  <c r="M128" i="1"/>
  <c r="M175" i="1"/>
  <c r="M110" i="1"/>
  <c r="M272" i="1"/>
  <c r="M238" i="1"/>
  <c r="M5" i="1"/>
  <c r="M74" i="1"/>
  <c r="M60" i="1"/>
  <c r="M24" i="1"/>
  <c r="M232" i="1"/>
  <c r="M233" i="1"/>
  <c r="M125" i="1"/>
  <c r="M53" i="1"/>
  <c r="P285" i="9" l="1"/>
  <c r="P217" i="9"/>
  <c r="P322" i="9"/>
  <c r="P45" i="9"/>
  <c r="P304" i="9"/>
  <c r="P155" i="9"/>
  <c r="P33" i="9"/>
  <c r="P209" i="9"/>
  <c r="P225" i="9"/>
  <c r="P142" i="9"/>
  <c r="P276" i="9"/>
  <c r="P9" i="9"/>
  <c r="P227" i="9"/>
  <c r="P288" i="9"/>
  <c r="P289" i="9"/>
  <c r="P237" i="9"/>
  <c r="P189" i="9"/>
  <c r="P36" i="9"/>
  <c r="P174" i="9"/>
  <c r="P30" i="9"/>
  <c r="P37" i="9"/>
  <c r="P97" i="9"/>
  <c r="P275" i="9"/>
  <c r="P40" i="9"/>
  <c r="P32" i="9"/>
  <c r="P27" i="9"/>
  <c r="P139" i="9"/>
  <c r="P91" i="9"/>
  <c r="P164" i="9"/>
  <c r="P226" i="9"/>
  <c r="P214" i="9"/>
  <c r="P89" i="9"/>
  <c r="P282" i="9"/>
  <c r="P161" i="9"/>
  <c r="P80" i="9"/>
  <c r="P48" i="9"/>
  <c r="P238" i="9"/>
  <c r="P188" i="9"/>
  <c r="P16" i="9"/>
  <c r="P118" i="9"/>
  <c r="P29" i="9"/>
  <c r="P103" i="9"/>
  <c r="P302" i="9"/>
  <c r="P149" i="9"/>
  <c r="P208" i="9"/>
  <c r="P260" i="9"/>
  <c r="P181" i="9"/>
  <c r="P75" i="9"/>
  <c r="P50" i="9"/>
  <c r="P117" i="9"/>
  <c r="P206" i="9"/>
  <c r="P187" i="9"/>
  <c r="P70" i="9"/>
  <c r="P230" i="9"/>
  <c r="P256" i="9"/>
  <c r="P264" i="9"/>
  <c r="P241" i="9"/>
  <c r="P66" i="9"/>
  <c r="P76" i="9"/>
  <c r="P244" i="9"/>
  <c r="P305" i="9"/>
  <c r="P144" i="9"/>
  <c r="P157" i="9"/>
  <c r="P105" i="9"/>
  <c r="P184" i="9"/>
  <c r="P203" i="9"/>
  <c r="P177" i="9"/>
  <c r="P47" i="9"/>
  <c r="P74" i="9"/>
  <c r="P102" i="9"/>
  <c r="P223" i="9"/>
  <c r="P291" i="9"/>
  <c r="P266" i="9"/>
  <c r="P44" i="9"/>
  <c r="P21" i="9"/>
  <c r="P314" i="9"/>
  <c r="P252" i="9"/>
  <c r="P69" i="9"/>
  <c r="P19" i="9"/>
  <c r="P286" i="9"/>
  <c r="P292" i="9"/>
  <c r="P309" i="9"/>
  <c r="P299" i="9"/>
  <c r="P160" i="9"/>
  <c r="P127" i="9"/>
  <c r="P79" i="9"/>
  <c r="P293" i="9"/>
  <c r="P100" i="9"/>
  <c r="P96" i="9"/>
  <c r="P173" i="9"/>
  <c r="P239" i="9"/>
  <c r="P172" i="9"/>
  <c r="P88" i="9"/>
  <c r="P77" i="9"/>
  <c r="P198" i="9"/>
  <c r="P13" i="9"/>
  <c r="P245" i="9"/>
  <c r="P101" i="9"/>
  <c r="P59" i="9"/>
  <c r="P68" i="9"/>
  <c r="P233" i="9"/>
  <c r="P270" i="9"/>
  <c r="P83" i="9"/>
  <c r="P106" i="9"/>
  <c r="P24" i="9"/>
  <c r="P152" i="9"/>
  <c r="P154" i="9"/>
  <c r="P205" i="9"/>
  <c r="P254" i="9"/>
  <c r="P112" i="9"/>
  <c r="P53" i="9"/>
  <c r="P34" i="9"/>
  <c r="P58" i="9"/>
  <c r="P99" i="9"/>
  <c r="P150" i="9"/>
  <c r="P135" i="9"/>
  <c r="P312" i="9"/>
  <c r="P215" i="9"/>
  <c r="P153" i="9"/>
  <c r="P183" i="9"/>
  <c r="P86" i="9"/>
  <c r="P41" i="9"/>
  <c r="P14" i="9"/>
  <c r="P132" i="9"/>
  <c r="P128" i="9"/>
  <c r="P104" i="9"/>
  <c r="P133" i="9"/>
  <c r="P228" i="9"/>
  <c r="P290" i="9"/>
  <c r="P265" i="9"/>
  <c r="P258" i="9"/>
  <c r="P51" i="9"/>
  <c r="P94" i="9"/>
  <c r="P303" i="9"/>
  <c r="P308" i="9"/>
  <c r="P64" i="9"/>
  <c r="P300" i="9"/>
  <c r="P221" i="9"/>
  <c r="P249" i="9"/>
  <c r="P46" i="9"/>
  <c r="P170" i="9"/>
  <c r="P196" i="9"/>
  <c r="P273" i="9"/>
  <c r="P321" i="9"/>
  <c r="P87" i="9"/>
  <c r="P185" i="9"/>
  <c r="P123" i="9"/>
  <c r="P320" i="9"/>
  <c r="P163" i="9"/>
  <c r="P259" i="9"/>
  <c r="P224" i="9"/>
  <c r="P130" i="9"/>
  <c r="P120" i="9"/>
  <c r="P231" i="9"/>
  <c r="P235" i="9"/>
  <c r="P162" i="9"/>
  <c r="P124" i="9"/>
  <c r="P199" i="9"/>
  <c r="P240" i="9"/>
  <c r="P12" i="9"/>
  <c r="P131" i="9"/>
  <c r="P7" i="9"/>
  <c r="P78" i="9"/>
  <c r="P116" i="9"/>
  <c r="P180" i="9"/>
  <c r="P17" i="9"/>
  <c r="P277" i="9"/>
  <c r="P121" i="9"/>
  <c r="P246" i="9"/>
  <c r="P219" i="9"/>
  <c r="P111" i="9"/>
  <c r="P236" i="9"/>
  <c r="P190" i="9"/>
  <c r="P49" i="9"/>
  <c r="P82" i="9"/>
  <c r="P81" i="9"/>
  <c r="P253" i="9"/>
  <c r="P156" i="9"/>
  <c r="P122" i="9"/>
  <c r="P280" i="9"/>
  <c r="P138" i="9"/>
  <c r="P281" i="9"/>
  <c r="P93" i="9"/>
  <c r="P269" i="9"/>
  <c r="P200" i="9"/>
  <c r="P145" i="9"/>
  <c r="P272" i="9"/>
  <c r="P158" i="9"/>
  <c r="P257" i="9"/>
  <c r="P220" i="9"/>
  <c r="P316" i="9"/>
  <c r="P216" i="9"/>
  <c r="P213" i="9"/>
  <c r="P175" i="9"/>
  <c r="P10" i="9"/>
  <c r="P166" i="9"/>
  <c r="P126" i="9"/>
  <c r="P62" i="9"/>
  <c r="P39" i="9"/>
  <c r="P179" i="9"/>
  <c r="P159" i="9"/>
  <c r="P90" i="9"/>
  <c r="P311" i="9"/>
  <c r="P141" i="9"/>
  <c r="P283" i="9"/>
  <c r="P169" i="9"/>
  <c r="P318" i="9"/>
  <c r="P210" i="9"/>
  <c r="P35" i="9"/>
  <c r="P243" i="9"/>
  <c r="P313" i="9"/>
  <c r="P57" i="9"/>
  <c r="P192" i="9"/>
  <c r="P287" i="9"/>
  <c r="P248" i="9"/>
  <c r="P42" i="9"/>
  <c r="P255" i="9"/>
  <c r="P274" i="9"/>
  <c r="P202" i="9"/>
  <c r="P250" i="9"/>
  <c r="P38" i="9"/>
  <c r="P72" i="9"/>
  <c r="P234" i="9"/>
  <c r="P268" i="9"/>
  <c r="P98" i="9"/>
  <c r="P165" i="9"/>
  <c r="P182" i="9"/>
  <c r="P73" i="9"/>
  <c r="P125" i="9"/>
  <c r="P110" i="9"/>
  <c r="P296" i="9"/>
  <c r="P167" i="9"/>
  <c r="P193" i="9"/>
  <c r="P134" i="9"/>
  <c r="P317" i="9"/>
  <c r="P108" i="9"/>
  <c r="P222" i="9"/>
  <c r="P148" i="9"/>
  <c r="P204" i="9"/>
  <c r="P151" i="9"/>
  <c r="P25" i="9"/>
  <c r="P195" i="9"/>
  <c r="P143" i="9"/>
  <c r="P186" i="9"/>
  <c r="P3" i="9"/>
  <c r="P297" i="9"/>
  <c r="P262" i="9"/>
  <c r="P84" i="9"/>
  <c r="P218" i="9"/>
  <c r="P23" i="9"/>
  <c r="P11" i="9"/>
  <c r="P115" i="9"/>
  <c r="P212" i="9"/>
  <c r="P278" i="9"/>
  <c r="P295" i="9"/>
  <c r="P61" i="9"/>
  <c r="P201" i="9"/>
  <c r="P95" i="9"/>
  <c r="P119" i="9"/>
  <c r="P137" i="9"/>
  <c r="P191" i="9"/>
  <c r="P22" i="9"/>
  <c r="P315" i="9"/>
  <c r="P20" i="9"/>
  <c r="P31" i="9"/>
  <c r="P301" i="9"/>
  <c r="P284" i="9"/>
  <c r="P2" i="9"/>
  <c r="P26" i="9"/>
  <c r="P306" i="9"/>
  <c r="P15" i="9"/>
  <c r="P176" i="9"/>
  <c r="P147" i="9"/>
  <c r="P319" i="9"/>
  <c r="P178" i="9"/>
  <c r="P242" i="9"/>
  <c r="P229" i="9"/>
  <c r="P114" i="9"/>
  <c r="P310" i="9"/>
  <c r="P55" i="9"/>
  <c r="P92" i="9"/>
  <c r="P298" i="9"/>
  <c r="P279" i="9"/>
  <c r="P263" i="9"/>
  <c r="P232" i="9"/>
  <c r="P4" i="9"/>
  <c r="P60" i="9"/>
  <c r="P146" i="9"/>
  <c r="P85" i="9"/>
  <c r="P6" i="9"/>
  <c r="P43" i="9"/>
  <c r="P307" i="9"/>
  <c r="P194" i="9"/>
  <c r="P63" i="9"/>
  <c r="P18" i="9"/>
  <c r="P129" i="9"/>
  <c r="P65" i="9"/>
  <c r="P168" i="9"/>
  <c r="P271" i="9"/>
  <c r="P107" i="9"/>
  <c r="P251" i="9"/>
  <c r="P267" i="9"/>
  <c r="P171" i="9"/>
  <c r="P140" i="9"/>
  <c r="P5" i="9"/>
  <c r="P197" i="9"/>
  <c r="P247" i="9"/>
  <c r="P136" i="9"/>
  <c r="P52" i="9"/>
  <c r="P207" i="9"/>
  <c r="P261" i="9"/>
  <c r="P109" i="9"/>
  <c r="P113" i="9"/>
  <c r="P71" i="9"/>
  <c r="P54" i="9"/>
  <c r="P67" i="9"/>
  <c r="P294" i="9"/>
  <c r="P56" i="9"/>
  <c r="P28" i="9"/>
  <c r="P8" i="9"/>
  <c r="O2" i="1"/>
  <c r="P55" i="1" l="1"/>
  <c r="P322" i="1"/>
  <c r="P216" i="1"/>
  <c r="P259" i="1"/>
  <c r="P117" i="1"/>
  <c r="P121" i="1"/>
  <c r="P159" i="1"/>
  <c r="P48" i="1"/>
  <c r="P256" i="1"/>
  <c r="P105" i="1"/>
  <c r="P304" i="1"/>
  <c r="P273" i="1"/>
  <c r="P146" i="1"/>
  <c r="P156" i="1"/>
  <c r="P22" i="1"/>
  <c r="P155" i="1"/>
  <c r="P243" i="1"/>
  <c r="P221" i="1"/>
  <c r="P201" i="1"/>
  <c r="P202" i="1"/>
  <c r="P97" i="1"/>
  <c r="P33" i="1"/>
  <c r="P75" i="1"/>
  <c r="P189" i="1"/>
  <c r="P116" i="1"/>
  <c r="P183" i="1"/>
  <c r="P137" i="1"/>
  <c r="P280" i="1"/>
  <c r="P254" i="1"/>
  <c r="P213" i="1"/>
  <c r="P271" i="1"/>
  <c r="P21" i="1"/>
  <c r="P47" i="1"/>
  <c r="P145" i="1"/>
  <c r="P222" i="1"/>
  <c r="P109" i="1"/>
  <c r="P27" i="1"/>
  <c r="P112" i="1"/>
  <c r="P71" i="1"/>
  <c r="P99" i="1"/>
  <c r="P63" i="1"/>
  <c r="P292" i="1"/>
  <c r="P269" i="1"/>
  <c r="P77" i="1"/>
  <c r="P318" i="1"/>
  <c r="P272" i="1"/>
  <c r="P258" i="1"/>
  <c r="P316" i="1"/>
  <c r="P57" i="1"/>
  <c r="P163" i="1"/>
  <c r="P34" i="1"/>
  <c r="P212" i="1"/>
  <c r="P66" i="1"/>
  <c r="P26" i="1"/>
  <c r="P238" i="1"/>
  <c r="P162" i="1"/>
  <c r="P151" i="1"/>
  <c r="P251" i="1"/>
  <c r="P148" i="1"/>
  <c r="P119" i="1"/>
  <c r="P309" i="1"/>
  <c r="P16" i="1"/>
  <c r="P59" i="1"/>
  <c r="P187" i="1"/>
  <c r="P30" i="1"/>
  <c r="P194" i="1"/>
  <c r="P296" i="1"/>
  <c r="P125" i="1"/>
  <c r="P255" i="1"/>
  <c r="P13" i="1"/>
  <c r="P260" i="1"/>
  <c r="P130" i="1"/>
  <c r="P299" i="1"/>
  <c r="P168" i="1"/>
  <c r="P197" i="1"/>
  <c r="P35" i="1"/>
  <c r="P106" i="1"/>
  <c r="P61" i="1"/>
  <c r="P195" i="1"/>
  <c r="P257" i="1"/>
  <c r="P110" i="1"/>
  <c r="P302" i="1"/>
  <c r="P86" i="1"/>
  <c r="P277" i="1"/>
  <c r="P173" i="1"/>
  <c r="P275" i="1"/>
  <c r="P23" i="1"/>
  <c r="P73" i="1"/>
  <c r="P7" i="1"/>
  <c r="P32" i="1"/>
  <c r="P215" i="1"/>
  <c r="P51" i="1"/>
  <c r="P153" i="1"/>
  <c r="P218" i="1"/>
  <c r="P88" i="1"/>
  <c r="P232" i="1"/>
  <c r="P4" i="1"/>
  <c r="P84" i="1"/>
  <c r="P266" i="1"/>
  <c r="P283" i="1"/>
  <c r="P193" i="1"/>
  <c r="P289" i="1"/>
  <c r="P20" i="1"/>
  <c r="P62" i="1"/>
  <c r="P270" i="1"/>
  <c r="P95" i="1"/>
  <c r="P171" i="1"/>
  <c r="P320" i="1"/>
  <c r="P108" i="1"/>
  <c r="P46" i="1"/>
  <c r="P253" i="1"/>
  <c r="P233" i="1"/>
  <c r="P319" i="1"/>
  <c r="P274" i="1"/>
  <c r="P124" i="1"/>
  <c r="P165" i="1"/>
  <c r="P11" i="1"/>
  <c r="P94" i="1"/>
  <c r="P209" i="1"/>
  <c r="P184" i="1"/>
  <c r="P140" i="1"/>
  <c r="P294" i="1"/>
  <c r="P237" i="1"/>
  <c r="P199" i="1"/>
  <c r="P19" i="1"/>
  <c r="P157" i="1"/>
  <c r="P246" i="1"/>
  <c r="P69" i="1"/>
  <c r="P234" i="1"/>
  <c r="P240" i="1"/>
  <c r="P42" i="1"/>
  <c r="P58" i="1"/>
  <c r="P198" i="1"/>
  <c r="P141" i="1"/>
  <c r="P315" i="1"/>
  <c r="P128" i="1"/>
  <c r="P83" i="1"/>
  <c r="P236" i="1"/>
  <c r="P85" i="1"/>
  <c r="P182" i="1"/>
  <c r="P3" i="1"/>
  <c r="P205" i="1"/>
  <c r="P230" i="1"/>
  <c r="P314" i="1"/>
  <c r="P126" i="1"/>
  <c r="P284" i="1"/>
  <c r="P227" i="1"/>
  <c r="P180" i="1"/>
  <c r="P36" i="1"/>
  <c r="P223" i="1"/>
  <c r="P247" i="1"/>
  <c r="P175" i="1"/>
  <c r="P49" i="1"/>
  <c r="P131" i="1"/>
  <c r="P160" i="1"/>
  <c r="P245" i="1"/>
  <c r="P300" i="1"/>
  <c r="P152" i="1"/>
  <c r="P172" i="1"/>
  <c r="P68" i="1"/>
  <c r="P91" i="1"/>
  <c r="P6" i="1"/>
  <c r="P90" i="1"/>
  <c r="P72" i="1"/>
  <c r="P262" i="1"/>
  <c r="P52" i="1"/>
  <c r="P134" i="1"/>
  <c r="P248" i="1"/>
  <c r="P285" i="1"/>
  <c r="P113" i="1"/>
  <c r="P87" i="1"/>
  <c r="P38" i="1"/>
  <c r="P301" i="1"/>
  <c r="P252" i="1"/>
  <c r="P64" i="1"/>
  <c r="P293" i="1"/>
  <c r="P44" i="1"/>
  <c r="P244" i="1"/>
  <c r="P206" i="1"/>
  <c r="P174" i="1"/>
  <c r="P31" i="1"/>
  <c r="P312" i="1"/>
  <c r="P321" i="1"/>
  <c r="P2" i="1"/>
  <c r="P118" i="1"/>
  <c r="P133" i="1"/>
  <c r="P268" i="1"/>
  <c r="P167" i="1"/>
  <c r="P281" i="1"/>
  <c r="P138" i="1"/>
  <c r="P228" i="1"/>
  <c r="P225" i="1"/>
  <c r="P93" i="1"/>
  <c r="P204" i="1"/>
  <c r="P188" i="1"/>
  <c r="P98" i="1"/>
  <c r="P239" i="1"/>
  <c r="P286" i="1"/>
  <c r="P208" i="1"/>
  <c r="P41" i="1"/>
  <c r="P10" i="1"/>
  <c r="P303" i="1"/>
  <c r="P250" i="1"/>
  <c r="P231" i="1"/>
  <c r="P92" i="1"/>
  <c r="P317" i="1"/>
  <c r="P142" i="1"/>
  <c r="P114" i="1"/>
  <c r="P282" i="1"/>
  <c r="P54" i="1"/>
  <c r="P17" i="1"/>
  <c r="P102" i="1"/>
  <c r="P214" i="1"/>
  <c r="P164" i="1"/>
  <c r="P104" i="1"/>
  <c r="P241" i="1"/>
  <c r="P103" i="1"/>
  <c r="P217" i="1"/>
  <c r="P127" i="1"/>
  <c r="P18" i="1"/>
  <c r="P264" i="1"/>
  <c r="P120" i="1"/>
  <c r="P311" i="1"/>
  <c r="P154" i="1"/>
  <c r="P186" i="1"/>
  <c r="P224" i="1"/>
  <c r="P65" i="1"/>
  <c r="P150" i="1"/>
  <c r="P96" i="1"/>
  <c r="P203" i="1"/>
  <c r="P81" i="1"/>
  <c r="P28" i="1"/>
  <c r="P169" i="1"/>
  <c r="P191" i="1"/>
  <c r="P297" i="1"/>
  <c r="P279" i="1"/>
  <c r="P74" i="1"/>
  <c r="P135" i="1"/>
  <c r="P181" i="1"/>
  <c r="P288" i="1"/>
  <c r="P79" i="1"/>
  <c r="P207" i="1"/>
  <c r="P298" i="1"/>
  <c r="P249" i="1"/>
  <c r="P40" i="1"/>
  <c r="P179" i="1"/>
  <c r="P263" i="1"/>
  <c r="P307" i="1"/>
  <c r="P178" i="1"/>
  <c r="P136" i="1"/>
  <c r="P166" i="1"/>
  <c r="P100" i="1"/>
  <c r="P60" i="1"/>
  <c r="P211" i="1"/>
  <c r="P265" i="1"/>
  <c r="P139" i="1"/>
  <c r="P9" i="1"/>
  <c r="P80" i="1"/>
  <c r="P267" i="1"/>
  <c r="P70" i="1"/>
  <c r="P101" i="1"/>
  <c r="P278" i="1"/>
  <c r="P76" i="1"/>
  <c r="P177" i="1"/>
  <c r="P295" i="1"/>
  <c r="P185" i="1"/>
  <c r="P308" i="1"/>
  <c r="P5" i="1"/>
  <c r="P24" i="1"/>
  <c r="P50" i="1"/>
  <c r="P210" i="1"/>
  <c r="P149" i="1"/>
  <c r="P229" i="1"/>
  <c r="P305" i="1"/>
  <c r="P144" i="1"/>
  <c r="P39" i="1"/>
  <c r="P226" i="1"/>
  <c r="P290" i="1"/>
  <c r="P122" i="1"/>
  <c r="P132" i="1"/>
  <c r="P129" i="1"/>
  <c r="P176" i="1"/>
  <c r="P115" i="1"/>
  <c r="P8" i="1"/>
  <c r="P192" i="1"/>
  <c r="P235" i="1"/>
  <c r="P29" i="1"/>
  <c r="P291" i="1"/>
  <c r="P37" i="1"/>
  <c r="P220" i="1"/>
  <c r="P45" i="1"/>
  <c r="P67" i="1"/>
  <c r="P56" i="1"/>
  <c r="P14" i="1"/>
  <c r="P196" i="1"/>
  <c r="P43" i="1"/>
  <c r="P200" i="1"/>
  <c r="P170" i="1"/>
  <c r="P261" i="1"/>
  <c r="P53" i="1"/>
  <c r="P161" i="1"/>
  <c r="P242" i="1"/>
  <c r="P111" i="1"/>
  <c r="P143" i="1"/>
  <c r="P15" i="1"/>
  <c r="P107" i="1"/>
  <c r="P123" i="1"/>
  <c r="P306" i="1"/>
  <c r="P82" i="1"/>
  <c r="P310" i="1"/>
  <c r="P89" i="1"/>
  <c r="P25" i="1"/>
  <c r="P287" i="1"/>
  <c r="P12" i="1"/>
  <c r="P313" i="1"/>
  <c r="P147" i="1"/>
  <c r="P276" i="1"/>
  <c r="P219" i="1"/>
  <c r="P190" i="1"/>
  <c r="P158" i="1"/>
  <c r="P78" i="1"/>
</calcChain>
</file>

<file path=xl/sharedStrings.xml><?xml version="1.0" encoding="utf-8"?>
<sst xmlns="http://schemas.openxmlformats.org/spreadsheetml/2006/main" count="105" uniqueCount="19">
  <si>
    <t>Time (s)</t>
  </si>
  <si>
    <t>Image #</t>
  </si>
  <si>
    <t>Markers</t>
  </si>
  <si>
    <t>Slope of linear trendline</t>
  </si>
  <si>
    <r>
      <t>R</t>
    </r>
    <r>
      <rPr>
        <b/>
        <vertAlign val="subscript"/>
        <sz val="10"/>
        <rFont val="Arial"/>
        <family val="2"/>
      </rPr>
      <t>0</t>
    </r>
  </si>
  <si>
    <r>
      <rPr>
        <b/>
        <sz val="10"/>
        <rFont val="Symbol"/>
        <family val="1"/>
      </rPr>
      <t>D</t>
    </r>
    <r>
      <rPr>
        <b/>
        <sz val="10"/>
        <rFont val="Arial"/>
        <family val="2"/>
      </rPr>
      <t>R/R</t>
    </r>
    <r>
      <rPr>
        <b/>
        <vertAlign val="subscript"/>
        <sz val="10"/>
        <rFont val="Arial"/>
        <family val="2"/>
      </rPr>
      <t>0</t>
    </r>
  </si>
  <si>
    <t>21% O2</t>
  </si>
  <si>
    <r>
      <t>R</t>
    </r>
    <r>
      <rPr>
        <b/>
        <vertAlign val="superscript"/>
        <sz val="10"/>
        <rFont val="Arial"/>
        <family val="2"/>
      </rPr>
      <t>2</t>
    </r>
  </si>
  <si>
    <t>For baseline correction:</t>
  </si>
  <si>
    <t>For O2 pulse line:</t>
  </si>
  <si>
    <t>R1_DensMeanChannel0::R1_mScarlet</t>
  </si>
  <si>
    <t>R1_DensMeanChannel1::R1_eGFP</t>
  </si>
  <si>
    <t>R2_DensMeanChannel0::R2_mScarlet</t>
  </si>
  <si>
    <t>R2_DensMeanChannel1::R2_eGFP</t>
  </si>
  <si>
    <t>GFP</t>
  </si>
  <si>
    <t>mScarlet</t>
  </si>
  <si>
    <t>GFP/mScarlet ratio</t>
  </si>
  <si>
    <t>GFP/mScarlet, baseline-adjusted</t>
  </si>
  <si>
    <t>GFP adjust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</si>
</sst>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vertAlign val="subscript"/>
      <sz val="10"/>
      <name val="Arial"/>
      <family val="2"/>
    </font>
    <font>
      <b/>
      <sz val="10"/>
      <name val="Symbol"/>
      <family val="1"/>
    </font>
    <font>
      <b/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1" applyFont="1"/>
    <xf numFmtId="0" fontId="1" fillId="0" borderId="0" xfId="0" applyFont="1"/>
    <xf numFmtId="0" fontId="2" fillId="0" borderId="0" xfId="1" applyFont="1" applyAlignment="1">
      <alignment wrapText="1"/>
    </xf>
    <xf numFmtId="0" fontId="1" fillId="2" borderId="0" xfId="1" applyFill="1"/>
    <xf numFmtId="164" fontId="1" fillId="2" borderId="0" xfId="1" applyNumberFormat="1" applyFill="1"/>
    <xf numFmtId="2" fontId="1" fillId="2" borderId="0" xfId="1" applyNumberFormat="1" applyFill="1"/>
    <xf numFmtId="165" fontId="1" fillId="2" borderId="0" xfId="1" applyNumberFormat="1" applyFill="1"/>
    <xf numFmtId="0" fontId="1" fillId="0" borderId="0" xfId="1"/>
    <xf numFmtId="164" fontId="1" fillId="0" borderId="0" xfId="1" applyNumberFormat="1"/>
    <xf numFmtId="2" fontId="1" fillId="0" borderId="0" xfId="1" applyNumberFormat="1"/>
    <xf numFmtId="165" fontId="1" fillId="0" borderId="0" xfId="1" applyNumberFormat="1"/>
    <xf numFmtId="0" fontId="1" fillId="0" borderId="0" xfId="1" quotePrefix="1"/>
    <xf numFmtId="0" fontId="1" fillId="3" borderId="0" xfId="1" applyFill="1"/>
    <xf numFmtId="164" fontId="1" fillId="3" borderId="0" xfId="1" applyNumberFormat="1" applyFill="1"/>
    <xf numFmtId="2" fontId="1" fillId="3" borderId="0" xfId="1" applyNumberFormat="1" applyFill="1"/>
  </cellXfs>
  <cellStyles count="2">
    <cellStyle name="Normal" xfId="0" builtinId="0"/>
    <cellStyle name="Normal 2" xfId="1" xr:uid="{1D49C091-8A5D-49A2-90C3-7E5CC801D3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'240821B001'!$A$2:$A$321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'240821B001'!$J$2:$J$321</c:f>
              <c:numCache>
                <c:formatCode>0.0</c:formatCode>
                <c:ptCount val="320"/>
                <c:pt idx="0">
                  <c:v>4695.0167391260102</c:v>
                </c:pt>
                <c:pt idx="1">
                  <c:v>4666.9180419254099</c:v>
                </c:pt>
                <c:pt idx="2">
                  <c:v>4687.0978550555701</c:v>
                </c:pt>
                <c:pt idx="3">
                  <c:v>4631.0998203668805</c:v>
                </c:pt>
                <c:pt idx="4">
                  <c:v>4720.3419301928598</c:v>
                </c:pt>
                <c:pt idx="5">
                  <c:v>4918.1360522310606</c:v>
                </c:pt>
                <c:pt idx="6">
                  <c:v>4889.89824305211</c:v>
                </c:pt>
                <c:pt idx="7">
                  <c:v>5310.16662400325</c:v>
                </c:pt>
                <c:pt idx="8">
                  <c:v>5698.27713460223</c:v>
                </c:pt>
                <c:pt idx="9">
                  <c:v>5928.62681758914</c:v>
                </c:pt>
                <c:pt idx="10">
                  <c:v>6087.4940028606106</c:v>
                </c:pt>
                <c:pt idx="11">
                  <c:v>6016.9401275333903</c:v>
                </c:pt>
                <c:pt idx="12">
                  <c:v>5799.0670220663596</c:v>
                </c:pt>
                <c:pt idx="13">
                  <c:v>5556.7384948292702</c:v>
                </c:pt>
                <c:pt idx="14">
                  <c:v>5422.0358550158298</c:v>
                </c:pt>
                <c:pt idx="15">
                  <c:v>5378.1564595588607</c:v>
                </c:pt>
                <c:pt idx="16">
                  <c:v>5213.6671758751008</c:v>
                </c:pt>
                <c:pt idx="17">
                  <c:v>5170.8782744165101</c:v>
                </c:pt>
                <c:pt idx="18">
                  <c:v>5264.59315062307</c:v>
                </c:pt>
                <c:pt idx="19">
                  <c:v>5326.4741356999202</c:v>
                </c:pt>
                <c:pt idx="20">
                  <c:v>5147.3198618762399</c:v>
                </c:pt>
                <c:pt idx="21">
                  <c:v>5151.0116087235801</c:v>
                </c:pt>
                <c:pt idx="22">
                  <c:v>5191.3015955711007</c:v>
                </c:pt>
                <c:pt idx="23">
                  <c:v>5193.3412869679105</c:v>
                </c:pt>
                <c:pt idx="24">
                  <c:v>5171.7597558155794</c:v>
                </c:pt>
                <c:pt idx="25">
                  <c:v>5141.7939869718703</c:v>
                </c:pt>
                <c:pt idx="26">
                  <c:v>4986.5644612934602</c:v>
                </c:pt>
                <c:pt idx="27">
                  <c:v>5011.8999653593301</c:v>
                </c:pt>
                <c:pt idx="28">
                  <c:v>5357.7499407056093</c:v>
                </c:pt>
                <c:pt idx="29">
                  <c:v>5135.2480785405896</c:v>
                </c:pt>
                <c:pt idx="30">
                  <c:v>5144.8072267218495</c:v>
                </c:pt>
                <c:pt idx="31">
                  <c:v>4944.6370074526503</c:v>
                </c:pt>
                <c:pt idx="32">
                  <c:v>4914.6813851462803</c:v>
                </c:pt>
                <c:pt idx="33">
                  <c:v>4924.6793434977999</c:v>
                </c:pt>
                <c:pt idx="34">
                  <c:v>5183.5813277750194</c:v>
                </c:pt>
                <c:pt idx="35">
                  <c:v>5082.5790499813393</c:v>
                </c:pt>
                <c:pt idx="36">
                  <c:v>4911.1905942880794</c:v>
                </c:pt>
                <c:pt idx="37">
                  <c:v>4525.0354429912495</c:v>
                </c:pt>
                <c:pt idx="38">
                  <c:v>4177.6438522937897</c:v>
                </c:pt>
                <c:pt idx="39">
                  <c:v>4576.99986015786</c:v>
                </c:pt>
                <c:pt idx="40">
                  <c:v>4840.5572942041108</c:v>
                </c:pt>
                <c:pt idx="41">
                  <c:v>4846.05966271137</c:v>
                </c:pt>
                <c:pt idx="42">
                  <c:v>4943.9843439055794</c:v>
                </c:pt>
                <c:pt idx="43">
                  <c:v>4965.8088321511104</c:v>
                </c:pt>
                <c:pt idx="44">
                  <c:v>4907.6294421552702</c:v>
                </c:pt>
                <c:pt idx="45">
                  <c:v>5006.52968409811</c:v>
                </c:pt>
                <c:pt idx="46">
                  <c:v>4990.2926627195902</c:v>
                </c:pt>
                <c:pt idx="47">
                  <c:v>4829.6963714083504</c:v>
                </c:pt>
                <c:pt idx="48">
                  <c:v>4979.4968305243601</c:v>
                </c:pt>
                <c:pt idx="49">
                  <c:v>5096.5659413195699</c:v>
                </c:pt>
                <c:pt idx="50">
                  <c:v>5316.3529872169702</c:v>
                </c:pt>
                <c:pt idx="51">
                  <c:v>5565.3631123919704</c:v>
                </c:pt>
                <c:pt idx="52">
                  <c:v>5325.4630163304801</c:v>
                </c:pt>
                <c:pt idx="53">
                  <c:v>5260.2804995197102</c:v>
                </c:pt>
                <c:pt idx="54">
                  <c:v>5282.2843419788396</c:v>
                </c:pt>
                <c:pt idx="55">
                  <c:v>5078.0393852065499</c:v>
                </c:pt>
                <c:pt idx="56">
                  <c:v>5096.0240153698196</c:v>
                </c:pt>
                <c:pt idx="57">
                  <c:v>5133.7214217098699</c:v>
                </c:pt>
                <c:pt idx="58">
                  <c:v>5324.5571565801902</c:v>
                </c:pt>
                <c:pt idx="59">
                  <c:v>5624.9606147935101</c:v>
                </c:pt>
                <c:pt idx="60">
                  <c:v>5868.5482950236501</c:v>
                </c:pt>
                <c:pt idx="61">
                  <c:v>6066.5850945372404</c:v>
                </c:pt>
                <c:pt idx="62">
                  <c:v>6074.7590907517197</c:v>
                </c:pt>
                <c:pt idx="63">
                  <c:v>6026.0773932888505</c:v>
                </c:pt>
                <c:pt idx="64">
                  <c:v>5770.1763613165704</c:v>
                </c:pt>
                <c:pt idx="65">
                  <c:v>5173.3173121396294</c:v>
                </c:pt>
                <c:pt idx="66">
                  <c:v>5182.5264497483704</c:v>
                </c:pt>
                <c:pt idx="67">
                  <c:v>5249.0403430845599</c:v>
                </c:pt>
                <c:pt idx="68">
                  <c:v>5299.8048006769995</c:v>
                </c:pt>
                <c:pt idx="69">
                  <c:v>5234.8480182018802</c:v>
                </c:pt>
                <c:pt idx="70">
                  <c:v>5163.0592861581199</c:v>
                </c:pt>
                <c:pt idx="71">
                  <c:v>5121.4858802531508</c:v>
                </c:pt>
                <c:pt idx="72">
                  <c:v>5050.0050169536498</c:v>
                </c:pt>
                <c:pt idx="73">
                  <c:v>5090.0398120440095</c:v>
                </c:pt>
                <c:pt idx="74">
                  <c:v>4981.0305497629397</c:v>
                </c:pt>
                <c:pt idx="75">
                  <c:v>5095.8850916064102</c:v>
                </c:pt>
                <c:pt idx="76">
                  <c:v>5087.26863514857</c:v>
                </c:pt>
                <c:pt idx="77">
                  <c:v>5075.1509428951595</c:v>
                </c:pt>
                <c:pt idx="78">
                  <c:v>5069.4570127169</c:v>
                </c:pt>
                <c:pt idx="79">
                  <c:v>5108.3308773096196</c:v>
                </c:pt>
                <c:pt idx="80">
                  <c:v>5100.4046669944801</c:v>
                </c:pt>
                <c:pt idx="81">
                  <c:v>5074.2362004342394</c:v>
                </c:pt>
                <c:pt idx="82">
                  <c:v>5074.88138467721</c:v>
                </c:pt>
                <c:pt idx="83">
                  <c:v>5095.2863181530993</c:v>
                </c:pt>
                <c:pt idx="84">
                  <c:v>5016.3877381428802</c:v>
                </c:pt>
                <c:pt idx="85">
                  <c:v>5037.6505292574302</c:v>
                </c:pt>
                <c:pt idx="86">
                  <c:v>4983.6244703979301</c:v>
                </c:pt>
                <c:pt idx="87">
                  <c:v>5012.0330846766201</c:v>
                </c:pt>
                <c:pt idx="88">
                  <c:v>4995.0165455557099</c:v>
                </c:pt>
                <c:pt idx="89">
                  <c:v>4905.9589784294603</c:v>
                </c:pt>
                <c:pt idx="90">
                  <c:v>4957.0888181487699</c:v>
                </c:pt>
                <c:pt idx="91">
                  <c:v>4892.1611011853993</c:v>
                </c:pt>
                <c:pt idx="92">
                  <c:v>4783.4229341711607</c:v>
                </c:pt>
                <c:pt idx="93">
                  <c:v>4708.0047256348198</c:v>
                </c:pt>
                <c:pt idx="94">
                  <c:v>4759.5848890315101</c:v>
                </c:pt>
                <c:pt idx="95">
                  <c:v>5018.8260162511806</c:v>
                </c:pt>
                <c:pt idx="96">
                  <c:v>4993.9193774994601</c:v>
                </c:pt>
                <c:pt idx="97">
                  <c:v>4990.6346188240395</c:v>
                </c:pt>
                <c:pt idx="98">
                  <c:v>5067.17939619557</c:v>
                </c:pt>
                <c:pt idx="99">
                  <c:v>5112.8020497417992</c:v>
                </c:pt>
                <c:pt idx="100">
                  <c:v>5208.0345240531806</c:v>
                </c:pt>
                <c:pt idx="101">
                  <c:v>5167.5477016230998</c:v>
                </c:pt>
                <c:pt idx="102">
                  <c:v>5069.5684963874601</c:v>
                </c:pt>
                <c:pt idx="103">
                  <c:v>4982.4428323888096</c:v>
                </c:pt>
                <c:pt idx="104">
                  <c:v>5114.0749500158499</c:v>
                </c:pt>
                <c:pt idx="105">
                  <c:v>5168.2324264945901</c:v>
                </c:pt>
                <c:pt idx="106">
                  <c:v>5185.1809623614199</c:v>
                </c:pt>
                <c:pt idx="107">
                  <c:v>5184.8909219603793</c:v>
                </c:pt>
                <c:pt idx="108">
                  <c:v>5281.4369035724394</c:v>
                </c:pt>
                <c:pt idx="109">
                  <c:v>5023.4371045033295</c:v>
                </c:pt>
                <c:pt idx="110">
                  <c:v>4990.0610912473803</c:v>
                </c:pt>
                <c:pt idx="111">
                  <c:v>5028.2589751423302</c:v>
                </c:pt>
                <c:pt idx="112">
                  <c:v>5077.7595435290905</c:v>
                </c:pt>
                <c:pt idx="113">
                  <c:v>5056.3934914906795</c:v>
                </c:pt>
                <c:pt idx="114">
                  <c:v>4963.2997338353998</c:v>
                </c:pt>
                <c:pt idx="115">
                  <c:v>5092.7711682936797</c:v>
                </c:pt>
                <c:pt idx="116">
                  <c:v>5104.1933044044999</c:v>
                </c:pt>
                <c:pt idx="117">
                  <c:v>4994.6156685105807</c:v>
                </c:pt>
                <c:pt idx="118">
                  <c:v>5043.9843320414402</c:v>
                </c:pt>
                <c:pt idx="119">
                  <c:v>4862.1398771075301</c:v>
                </c:pt>
                <c:pt idx="120">
                  <c:v>4894.41438934709</c:v>
                </c:pt>
                <c:pt idx="121">
                  <c:v>4922.0359485243298</c:v>
                </c:pt>
                <c:pt idx="122">
                  <c:v>4907.0134982940899</c:v>
                </c:pt>
                <c:pt idx="123">
                  <c:v>4907.4006453785805</c:v>
                </c:pt>
                <c:pt idx="124">
                  <c:v>4894.4115875540201</c:v>
                </c:pt>
                <c:pt idx="125">
                  <c:v>4912.8820679717701</c:v>
                </c:pt>
                <c:pt idx="126">
                  <c:v>4619.5241736529706</c:v>
                </c:pt>
                <c:pt idx="127">
                  <c:v>4550.6547272072803</c:v>
                </c:pt>
                <c:pt idx="128">
                  <c:v>5215.2483736080703</c:v>
                </c:pt>
                <c:pt idx="129">
                  <c:v>4967.9969969307695</c:v>
                </c:pt>
                <c:pt idx="130">
                  <c:v>4934.83736681341</c:v>
                </c:pt>
                <c:pt idx="131">
                  <c:v>4979.3219960583601</c:v>
                </c:pt>
                <c:pt idx="132">
                  <c:v>4865.1247017594596</c:v>
                </c:pt>
                <c:pt idx="133">
                  <c:v>4965.5732794801397</c:v>
                </c:pt>
                <c:pt idx="134">
                  <c:v>5006.9841985295197</c:v>
                </c:pt>
                <c:pt idx="135">
                  <c:v>5022.0713504919595</c:v>
                </c:pt>
                <c:pt idx="136">
                  <c:v>4969.9112231828803</c:v>
                </c:pt>
                <c:pt idx="137">
                  <c:v>5006.6246066447602</c:v>
                </c:pt>
                <c:pt idx="138">
                  <c:v>5236.8259163663206</c:v>
                </c:pt>
                <c:pt idx="139">
                  <c:v>5351.0552247589603</c:v>
                </c:pt>
                <c:pt idx="140">
                  <c:v>5006.9372937564203</c:v>
                </c:pt>
                <c:pt idx="141">
                  <c:v>4750.3149883353899</c:v>
                </c:pt>
                <c:pt idx="142">
                  <c:v>4792.5123644846808</c:v>
                </c:pt>
                <c:pt idx="143">
                  <c:v>5096.2277097456699</c:v>
                </c:pt>
                <c:pt idx="144">
                  <c:v>4944.0956045679895</c:v>
                </c:pt>
                <c:pt idx="145">
                  <c:v>5006.4371402855204</c:v>
                </c:pt>
                <c:pt idx="146">
                  <c:v>5086.3512299448003</c:v>
                </c:pt>
                <c:pt idx="147">
                  <c:v>5119.84840177365</c:v>
                </c:pt>
                <c:pt idx="148">
                  <c:v>5177.8136297201499</c:v>
                </c:pt>
                <c:pt idx="149">
                  <c:v>5390.5696668476203</c:v>
                </c:pt>
                <c:pt idx="150">
                  <c:v>5341.7310027983003</c:v>
                </c:pt>
                <c:pt idx="151">
                  <c:v>4877.8674351585096</c:v>
                </c:pt>
                <c:pt idx="152">
                  <c:v>5006.4899135446503</c:v>
                </c:pt>
                <c:pt idx="153">
                  <c:v>4942.4284341978801</c:v>
                </c:pt>
                <c:pt idx="154">
                  <c:v>4999.6429326522402</c:v>
                </c:pt>
                <c:pt idx="155">
                  <c:v>5174.0185262736204</c:v>
                </c:pt>
                <c:pt idx="156">
                  <c:v>5214.25190500603</c:v>
                </c:pt>
                <c:pt idx="157">
                  <c:v>5044.68259279419</c:v>
                </c:pt>
                <c:pt idx="158">
                  <c:v>4827.8389479611797</c:v>
                </c:pt>
                <c:pt idx="159">
                  <c:v>4860.0910568971594</c:v>
                </c:pt>
                <c:pt idx="160">
                  <c:v>5058.7493485485702</c:v>
                </c:pt>
                <c:pt idx="161">
                  <c:v>5473.3224875041897</c:v>
                </c:pt>
                <c:pt idx="162">
                  <c:v>5588.2442223461903</c:v>
                </c:pt>
                <c:pt idx="163">
                  <c:v>5539.6674157446996</c:v>
                </c:pt>
                <c:pt idx="164">
                  <c:v>5475.9751522194592</c:v>
                </c:pt>
                <c:pt idx="165">
                  <c:v>5497.2135605109797</c:v>
                </c:pt>
                <c:pt idx="166">
                  <c:v>5477.7335791188498</c:v>
                </c:pt>
                <c:pt idx="167">
                  <c:v>5488.8169081024498</c:v>
                </c:pt>
                <c:pt idx="168">
                  <c:v>5430.8168174437806</c:v>
                </c:pt>
                <c:pt idx="169">
                  <c:v>5418.5877173425497</c:v>
                </c:pt>
                <c:pt idx="170">
                  <c:v>5471.9682474147403</c:v>
                </c:pt>
                <c:pt idx="171">
                  <c:v>5402.8933304708098</c:v>
                </c:pt>
                <c:pt idx="172">
                  <c:v>5446.1244780613597</c:v>
                </c:pt>
                <c:pt idx="173">
                  <c:v>5429.0738132003498</c:v>
                </c:pt>
                <c:pt idx="174">
                  <c:v>5446.2998714592395</c:v>
                </c:pt>
                <c:pt idx="175">
                  <c:v>5434.4840204894299</c:v>
                </c:pt>
                <c:pt idx="176">
                  <c:v>5439.9520380723106</c:v>
                </c:pt>
                <c:pt idx="177">
                  <c:v>5438.8498303097604</c:v>
                </c:pt>
                <c:pt idx="178">
                  <c:v>5435.7570195068502</c:v>
                </c:pt>
                <c:pt idx="179">
                  <c:v>5432.9260574332402</c:v>
                </c:pt>
                <c:pt idx="180">
                  <c:v>5417.4049445513601</c:v>
                </c:pt>
                <c:pt idx="181">
                  <c:v>5344.0849634884198</c:v>
                </c:pt>
                <c:pt idx="182">
                  <c:v>5275.9329964300105</c:v>
                </c:pt>
                <c:pt idx="183">
                  <c:v>5367.0806476030002</c:v>
                </c:pt>
                <c:pt idx="184">
                  <c:v>5388.2492864200995</c:v>
                </c:pt>
                <c:pt idx="185">
                  <c:v>5363.5298299794003</c:v>
                </c:pt>
                <c:pt idx="186">
                  <c:v>5399.8600530127305</c:v>
                </c:pt>
                <c:pt idx="187">
                  <c:v>5385.011656744</c:v>
                </c:pt>
                <c:pt idx="188">
                  <c:v>5414.7896941721501</c:v>
                </c:pt>
                <c:pt idx="189">
                  <c:v>5348.2092653912205</c:v>
                </c:pt>
                <c:pt idx="190">
                  <c:v>5359.3986523867898</c:v>
                </c:pt>
                <c:pt idx="191">
                  <c:v>5382.3243877801497</c:v>
                </c:pt>
                <c:pt idx="192">
                  <c:v>5293.9100958137096</c:v>
                </c:pt>
                <c:pt idx="193">
                  <c:v>5164.49141078508</c:v>
                </c:pt>
                <c:pt idx="194">
                  <c:v>5211.4382060954194</c:v>
                </c:pt>
                <c:pt idx="195">
                  <c:v>4930.5945090078503</c:v>
                </c:pt>
                <c:pt idx="196">
                  <c:v>4904.9599040122994</c:v>
                </c:pt>
                <c:pt idx="197">
                  <c:v>5368.25652264782</c:v>
                </c:pt>
                <c:pt idx="198">
                  <c:v>5042.4910863141704</c:v>
                </c:pt>
                <c:pt idx="199">
                  <c:v>5133.44288294752</c:v>
                </c:pt>
                <c:pt idx="200">
                  <c:v>5206.4315063267295</c:v>
                </c:pt>
                <c:pt idx="201">
                  <c:v>5023.42259237296</c:v>
                </c:pt>
                <c:pt idx="202">
                  <c:v>5131.6235346027897</c:v>
                </c:pt>
                <c:pt idx="203">
                  <c:v>5052.7305902955104</c:v>
                </c:pt>
                <c:pt idx="204">
                  <c:v>4725.6845120398602</c:v>
                </c:pt>
                <c:pt idx="205">
                  <c:v>5474.0506917530802</c:v>
                </c:pt>
                <c:pt idx="206">
                  <c:v>5360.3549057604196</c:v>
                </c:pt>
                <c:pt idx="207">
                  <c:v>5040.0663359935306</c:v>
                </c:pt>
                <c:pt idx="208">
                  <c:v>5187.6116418806296</c:v>
                </c:pt>
                <c:pt idx="209">
                  <c:v>5216.3086188340903</c:v>
                </c:pt>
                <c:pt idx="210">
                  <c:v>5290.0676228774901</c:v>
                </c:pt>
                <c:pt idx="211">
                  <c:v>5278.5712685344997</c:v>
                </c:pt>
                <c:pt idx="212">
                  <c:v>4937.0488757503699</c:v>
                </c:pt>
                <c:pt idx="213">
                  <c:v>5192.0883052010004</c:v>
                </c:pt>
                <c:pt idx="214">
                  <c:v>5055.5888660520795</c:v>
                </c:pt>
                <c:pt idx="215">
                  <c:v>5252.1033726212099</c:v>
                </c:pt>
                <c:pt idx="216">
                  <c:v>5452.2461100605997</c:v>
                </c:pt>
                <c:pt idx="217">
                  <c:v>5198.9156373055694</c:v>
                </c:pt>
                <c:pt idx="218">
                  <c:v>5121.2885510848801</c:v>
                </c:pt>
                <c:pt idx="219">
                  <c:v>5069.6868844915798</c:v>
                </c:pt>
                <c:pt idx="220">
                  <c:v>4923.55218393207</c:v>
                </c:pt>
                <c:pt idx="221">
                  <c:v>4948.5870318836096</c:v>
                </c:pt>
                <c:pt idx="222">
                  <c:v>5332.2963698678805</c:v>
                </c:pt>
                <c:pt idx="223">
                  <c:v>5602.8582259058503</c:v>
                </c:pt>
                <c:pt idx="224">
                  <c:v>5214.3100375008798</c:v>
                </c:pt>
                <c:pt idx="225">
                  <c:v>5395.5473095917405</c:v>
                </c:pt>
                <c:pt idx="226">
                  <c:v>5355.7716685484902</c:v>
                </c:pt>
                <c:pt idx="227">
                  <c:v>4836.3477480601596</c:v>
                </c:pt>
                <c:pt idx="228">
                  <c:v>4650.7994489539396</c:v>
                </c:pt>
                <c:pt idx="229">
                  <c:v>5234.8617373405204</c:v>
                </c:pt>
                <c:pt idx="230">
                  <c:v>5438.5112552958799</c:v>
                </c:pt>
                <c:pt idx="231">
                  <c:v>5108.4693773069394</c:v>
                </c:pt>
                <c:pt idx="232">
                  <c:v>5223.0038644790493</c:v>
                </c:pt>
                <c:pt idx="233">
                  <c:v>5022.2389101188801</c:v>
                </c:pt>
                <c:pt idx="234">
                  <c:v>5030.99092956194</c:v>
                </c:pt>
                <c:pt idx="235">
                  <c:v>5092.22505217448</c:v>
                </c:pt>
                <c:pt idx="236">
                  <c:v>5157.2097620074701</c:v>
                </c:pt>
                <c:pt idx="237">
                  <c:v>5238.9260692906701</c:v>
                </c:pt>
                <c:pt idx="238">
                  <c:v>5399.98110577644</c:v>
                </c:pt>
                <c:pt idx="239">
                  <c:v>5396.0689293669402</c:v>
                </c:pt>
                <c:pt idx="240">
                  <c:v>5774.4452929875106</c:v>
                </c:pt>
                <c:pt idx="241">
                  <c:v>6002.1769478164406</c:v>
                </c:pt>
                <c:pt idx="242">
                  <c:v>5544.1207469813908</c:v>
                </c:pt>
                <c:pt idx="243">
                  <c:v>4987.3053182961694</c:v>
                </c:pt>
                <c:pt idx="244">
                  <c:v>5228.8303772429699</c:v>
                </c:pt>
                <c:pt idx="245">
                  <c:v>5074.0477154233795</c:v>
                </c:pt>
                <c:pt idx="246">
                  <c:v>5185.8853390308004</c:v>
                </c:pt>
                <c:pt idx="247">
                  <c:v>5141.9043912241495</c:v>
                </c:pt>
                <c:pt idx="248">
                  <c:v>4949.4215797347406</c:v>
                </c:pt>
                <c:pt idx="249">
                  <c:v>4956.7496214370794</c:v>
                </c:pt>
                <c:pt idx="250">
                  <c:v>4993.0441213674203</c:v>
                </c:pt>
                <c:pt idx="251">
                  <c:v>4982.9974133063197</c:v>
                </c:pt>
                <c:pt idx="252">
                  <c:v>4936.5322163436995</c:v>
                </c:pt>
                <c:pt idx="253">
                  <c:v>4902.1722763289099</c:v>
                </c:pt>
                <c:pt idx="254">
                  <c:v>4891.1091610205103</c:v>
                </c:pt>
                <c:pt idx="255">
                  <c:v>4898.2299897741204</c:v>
                </c:pt>
                <c:pt idx="256">
                  <c:v>4801.1537120769399</c:v>
                </c:pt>
                <c:pt idx="257">
                  <c:v>4794.5628946769493</c:v>
                </c:pt>
                <c:pt idx="258">
                  <c:v>4820.5087977142502</c:v>
                </c:pt>
                <c:pt idx="259">
                  <c:v>4804.0731712444895</c:v>
                </c:pt>
                <c:pt idx="260">
                  <c:v>4791.2682683615703</c:v>
                </c:pt>
                <c:pt idx="261">
                  <c:v>4833.3649714694202</c:v>
                </c:pt>
                <c:pt idx="262">
                  <c:v>4835.4109349058799</c:v>
                </c:pt>
                <c:pt idx="263">
                  <c:v>4846.59569500205</c:v>
                </c:pt>
                <c:pt idx="264">
                  <c:v>4820.8093262925204</c:v>
                </c:pt>
                <c:pt idx="265">
                  <c:v>5046.0626939702697</c:v>
                </c:pt>
                <c:pt idx="266">
                  <c:v>5151.7307500016095</c:v>
                </c:pt>
                <c:pt idx="267">
                  <c:v>5286.5040651971203</c:v>
                </c:pt>
                <c:pt idx="268">
                  <c:v>5209.1068289812001</c:v>
                </c:pt>
                <c:pt idx="269">
                  <c:v>5161.0642576134496</c:v>
                </c:pt>
                <c:pt idx="270">
                  <c:v>4943.8188651584096</c:v>
                </c:pt>
                <c:pt idx="271">
                  <c:v>5023.4649476140103</c:v>
                </c:pt>
                <c:pt idx="272">
                  <c:v>4999.6095480174499</c:v>
                </c:pt>
                <c:pt idx="273">
                  <c:v>5115.2330779281401</c:v>
                </c:pt>
                <c:pt idx="274">
                  <c:v>5251.0687954982805</c:v>
                </c:pt>
                <c:pt idx="275">
                  <c:v>5222.9011102490504</c:v>
                </c:pt>
                <c:pt idx="276">
                  <c:v>5240.1831362981202</c:v>
                </c:pt>
                <c:pt idx="277">
                  <c:v>5244.0660177058598</c:v>
                </c:pt>
                <c:pt idx="278">
                  <c:v>5184.3889998690292</c:v>
                </c:pt>
                <c:pt idx="279">
                  <c:v>5253.06976464938</c:v>
                </c:pt>
                <c:pt idx="280">
                  <c:v>5133.1010310234597</c:v>
                </c:pt>
                <c:pt idx="281">
                  <c:v>5078.6240366561797</c:v>
                </c:pt>
                <c:pt idx="282">
                  <c:v>5101.0266488735106</c:v>
                </c:pt>
                <c:pt idx="283">
                  <c:v>5197.1876118897699</c:v>
                </c:pt>
                <c:pt idx="284">
                  <c:v>4977.62560724578</c:v>
                </c:pt>
                <c:pt idx="285">
                  <c:v>4991.4610484424802</c:v>
                </c:pt>
                <c:pt idx="286">
                  <c:v>4839.4999890215595</c:v>
                </c:pt>
                <c:pt idx="287">
                  <c:v>5458.9134307907098</c:v>
                </c:pt>
                <c:pt idx="288">
                  <c:v>5298.7647990698697</c:v>
                </c:pt>
                <c:pt idx="289">
                  <c:v>5324.9233164397301</c:v>
                </c:pt>
                <c:pt idx="290">
                  <c:v>5436.3414212682301</c:v>
                </c:pt>
                <c:pt idx="291">
                  <c:v>5661.3133094835803</c:v>
                </c:pt>
                <c:pt idx="292">
                  <c:v>5658.4192255457101</c:v>
                </c:pt>
                <c:pt idx="293">
                  <c:v>5589.2117493126507</c:v>
                </c:pt>
                <c:pt idx="294">
                  <c:v>5770.0832907917802</c:v>
                </c:pt>
                <c:pt idx="295">
                  <c:v>5953.1352058453404</c:v>
                </c:pt>
                <c:pt idx="296">
                  <c:v>5431.6485981342303</c:v>
                </c:pt>
                <c:pt idx="297">
                  <c:v>5179.0058432068599</c:v>
                </c:pt>
                <c:pt idx="298">
                  <c:v>5371.6377431127403</c:v>
                </c:pt>
                <c:pt idx="299">
                  <c:v>5443.0001069380796</c:v>
                </c:pt>
                <c:pt idx="300">
                  <c:v>5485.7192265407502</c:v>
                </c:pt>
                <c:pt idx="301">
                  <c:v>5467.0949483715594</c:v>
                </c:pt>
                <c:pt idx="302">
                  <c:v>5789.1497549340402</c:v>
                </c:pt>
                <c:pt idx="303">
                  <c:v>5865.8304720931601</c:v>
                </c:pt>
                <c:pt idx="304">
                  <c:v>5757.3484600115698</c:v>
                </c:pt>
                <c:pt idx="305">
                  <c:v>5741.0376165288799</c:v>
                </c:pt>
                <c:pt idx="306">
                  <c:v>5466.6550070438907</c:v>
                </c:pt>
                <c:pt idx="307">
                  <c:v>5145.1404544960205</c:v>
                </c:pt>
                <c:pt idx="308">
                  <c:v>5163.96642176977</c:v>
                </c:pt>
                <c:pt idx="309">
                  <c:v>5073.9302849701198</c:v>
                </c:pt>
                <c:pt idx="310">
                  <c:v>5093.6064684466401</c:v>
                </c:pt>
                <c:pt idx="311">
                  <c:v>5186.1438993648799</c:v>
                </c:pt>
                <c:pt idx="312">
                  <c:v>5533.4308892039107</c:v>
                </c:pt>
                <c:pt idx="313">
                  <c:v>5305.9165377420704</c:v>
                </c:pt>
                <c:pt idx="314">
                  <c:v>5620.0458495356297</c:v>
                </c:pt>
                <c:pt idx="315">
                  <c:v>5880.1977993188093</c:v>
                </c:pt>
                <c:pt idx="316">
                  <c:v>5850.0059659234994</c:v>
                </c:pt>
                <c:pt idx="317">
                  <c:v>5853.4696165354299</c:v>
                </c:pt>
                <c:pt idx="318">
                  <c:v>5689.2024500287207</c:v>
                </c:pt>
                <c:pt idx="319">
                  <c:v>5659.7801381367499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FD-4FB3-8BB3-55D8E2731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96-4070-A8B2-8F61A25880E1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'240821B001'!$A$2:$A$321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'240821B001'!$P$2:$P$321</c:f>
              <c:numCache>
                <c:formatCode>General</c:formatCode>
                <c:ptCount val="320"/>
                <c:pt idx="0">
                  <c:v>4.2226789893197179</c:v>
                </c:pt>
                <c:pt idx="1">
                  <c:v>5.5555483176301292</c:v>
                </c:pt>
                <c:pt idx="2">
                  <c:v>5.7477752497079244</c:v>
                </c:pt>
                <c:pt idx="3">
                  <c:v>5.2505541748573057</c:v>
                </c:pt>
                <c:pt idx="4">
                  <c:v>4.6253699648894582</c:v>
                </c:pt>
                <c:pt idx="5">
                  <c:v>5.2299481424221863</c:v>
                </c:pt>
                <c:pt idx="6">
                  <c:v>5.7787727786621401</c:v>
                </c:pt>
                <c:pt idx="7">
                  <c:v>4.1035445608939511</c:v>
                </c:pt>
                <c:pt idx="8">
                  <c:v>3.7819477328437641</c:v>
                </c:pt>
                <c:pt idx="9">
                  <c:v>4.9260026695682475</c:v>
                </c:pt>
                <c:pt idx="10">
                  <c:v>4.7894818203262233</c:v>
                </c:pt>
                <c:pt idx="11">
                  <c:v>4.4662089804898679</c:v>
                </c:pt>
                <c:pt idx="12">
                  <c:v>5.0199816779993611</c:v>
                </c:pt>
                <c:pt idx="13">
                  <c:v>3.8046201200009357</c:v>
                </c:pt>
                <c:pt idx="14">
                  <c:v>4.8919015651338675</c:v>
                </c:pt>
                <c:pt idx="15">
                  <c:v>3.7324044055266308</c:v>
                </c:pt>
                <c:pt idx="16">
                  <c:v>3.6070512276601274</c:v>
                </c:pt>
                <c:pt idx="17">
                  <c:v>3.7338732498503364</c:v>
                </c:pt>
                <c:pt idx="18">
                  <c:v>2.9556613332904296</c:v>
                </c:pt>
                <c:pt idx="19">
                  <c:v>2.0341681068487909</c:v>
                </c:pt>
                <c:pt idx="20">
                  <c:v>2.540178452465462</c:v>
                </c:pt>
                <c:pt idx="21">
                  <c:v>2.8876894186393463</c:v>
                </c:pt>
                <c:pt idx="22">
                  <c:v>2.5597080736255107</c:v>
                </c:pt>
                <c:pt idx="23">
                  <c:v>2.4201725081062837</c:v>
                </c:pt>
                <c:pt idx="24">
                  <c:v>2.1896185685693625</c:v>
                </c:pt>
                <c:pt idx="25">
                  <c:v>2.0394504841300747</c:v>
                </c:pt>
                <c:pt idx="26">
                  <c:v>2.0929036347562544</c:v>
                </c:pt>
                <c:pt idx="27">
                  <c:v>3.3298020429360031</c:v>
                </c:pt>
                <c:pt idx="28">
                  <c:v>2.7244598777312867</c:v>
                </c:pt>
                <c:pt idx="29">
                  <c:v>0.81776071911300507</c:v>
                </c:pt>
                <c:pt idx="30">
                  <c:v>2.2510729965976939</c:v>
                </c:pt>
                <c:pt idx="31">
                  <c:v>1.1480115060440421</c:v>
                </c:pt>
                <c:pt idx="32">
                  <c:v>0.97610522839902314</c:v>
                </c:pt>
                <c:pt idx="33">
                  <c:v>2.2345660921545152</c:v>
                </c:pt>
                <c:pt idx="34">
                  <c:v>2.41491797165446</c:v>
                </c:pt>
                <c:pt idx="35">
                  <c:v>2.2733942846056681</c:v>
                </c:pt>
                <c:pt idx="36">
                  <c:v>0.75766180896077029</c:v>
                </c:pt>
                <c:pt idx="37">
                  <c:v>-0.74972762549070415</c:v>
                </c:pt>
                <c:pt idx="38">
                  <c:v>0.65984281597988326</c:v>
                </c:pt>
                <c:pt idx="39">
                  <c:v>0.89787189702313053</c:v>
                </c:pt>
                <c:pt idx="40">
                  <c:v>1.4840383355327107</c:v>
                </c:pt>
                <c:pt idx="41">
                  <c:v>0.1140110350027832</c:v>
                </c:pt>
                <c:pt idx="42">
                  <c:v>0.41618892002683822</c:v>
                </c:pt>
                <c:pt idx="43">
                  <c:v>1.2910778329767285</c:v>
                </c:pt>
                <c:pt idx="44">
                  <c:v>2.5491844184660022</c:v>
                </c:pt>
                <c:pt idx="45">
                  <c:v>1.5862173233563279</c:v>
                </c:pt>
                <c:pt idx="46">
                  <c:v>1.0082879738903678</c:v>
                </c:pt>
                <c:pt idx="47">
                  <c:v>-0.98057552970506978</c:v>
                </c:pt>
                <c:pt idx="48">
                  <c:v>-0.73387581148113201</c:v>
                </c:pt>
                <c:pt idx="49">
                  <c:v>-1.8510313418075207E-2</c:v>
                </c:pt>
                <c:pt idx="50">
                  <c:v>-0.94610842234579051</c:v>
                </c:pt>
                <c:pt idx="51">
                  <c:v>-1.554257625939369</c:v>
                </c:pt>
                <c:pt idx="52">
                  <c:v>0.44824351896274384</c:v>
                </c:pt>
                <c:pt idx="53">
                  <c:v>1.0468714917746818</c:v>
                </c:pt>
                <c:pt idx="54">
                  <c:v>0.67960010838795493</c:v>
                </c:pt>
                <c:pt idx="55">
                  <c:v>0.89252869929077761</c:v>
                </c:pt>
                <c:pt idx="56">
                  <c:v>0.499267513196547</c:v>
                </c:pt>
                <c:pt idx="57">
                  <c:v>1.0089838106377476</c:v>
                </c:pt>
                <c:pt idx="58">
                  <c:v>-0.74786012593381224</c:v>
                </c:pt>
                <c:pt idx="59">
                  <c:v>-1.2834454250659955</c:v>
                </c:pt>
                <c:pt idx="60">
                  <c:v>1.5375444154375859</c:v>
                </c:pt>
                <c:pt idx="61">
                  <c:v>0.5821222547885383</c:v>
                </c:pt>
                <c:pt idx="62">
                  <c:v>1.3244430072224127</c:v>
                </c:pt>
                <c:pt idx="63">
                  <c:v>1.545225520920106</c:v>
                </c:pt>
                <c:pt idx="64">
                  <c:v>-7.4458891863916007E-2</c:v>
                </c:pt>
                <c:pt idx="65">
                  <c:v>-0.95758142580879535</c:v>
                </c:pt>
                <c:pt idx="66">
                  <c:v>0.32577519580392084</c:v>
                </c:pt>
                <c:pt idx="67">
                  <c:v>0.69823302344904226</c:v>
                </c:pt>
                <c:pt idx="68">
                  <c:v>0.42037806220596607</c:v>
                </c:pt>
                <c:pt idx="69">
                  <c:v>0.28342477011865719</c:v>
                </c:pt>
                <c:pt idx="70">
                  <c:v>0.58896982071442572</c:v>
                </c:pt>
                <c:pt idx="71">
                  <c:v>-8.7360904919983343E-2</c:v>
                </c:pt>
                <c:pt idx="72">
                  <c:v>-0.56656994550071271</c:v>
                </c:pt>
                <c:pt idx="73">
                  <c:v>-0.35302678342616584</c:v>
                </c:pt>
                <c:pt idx="74">
                  <c:v>-1.0960646035538824</c:v>
                </c:pt>
                <c:pt idx="75">
                  <c:v>-0.12493032493237956</c:v>
                </c:pt>
                <c:pt idx="76">
                  <c:v>-1.0394831034603618</c:v>
                </c:pt>
                <c:pt idx="77">
                  <c:v>-1.6255764981103797</c:v>
                </c:pt>
                <c:pt idx="78">
                  <c:v>-0.58945616470326012</c:v>
                </c:pt>
                <c:pt idx="79">
                  <c:v>-0.79160742438042675</c:v>
                </c:pt>
                <c:pt idx="80">
                  <c:v>-2.0630747377988046</c:v>
                </c:pt>
                <c:pt idx="81">
                  <c:v>-0.92876062139411286</c:v>
                </c:pt>
                <c:pt idx="82">
                  <c:v>0.77736194701365935</c:v>
                </c:pt>
                <c:pt idx="83">
                  <c:v>0.8601805737652124</c:v>
                </c:pt>
                <c:pt idx="84">
                  <c:v>0.25266048999456953</c:v>
                </c:pt>
                <c:pt idx="85">
                  <c:v>-2.3365090673733192E-2</c:v>
                </c:pt>
                <c:pt idx="86">
                  <c:v>-0.48690159275873418</c:v>
                </c:pt>
                <c:pt idx="87">
                  <c:v>-1.1148792212974628</c:v>
                </c:pt>
                <c:pt idx="88">
                  <c:v>-0.65681191588002752</c:v>
                </c:pt>
                <c:pt idx="89">
                  <c:v>0.18741492239914836</c:v>
                </c:pt>
                <c:pt idx="90">
                  <c:v>-0.55199351479437275</c:v>
                </c:pt>
                <c:pt idx="91">
                  <c:v>-0.52577630821177668</c:v>
                </c:pt>
                <c:pt idx="92">
                  <c:v>-1.1946317071686199</c:v>
                </c:pt>
                <c:pt idx="93">
                  <c:v>-1.8309809200046125</c:v>
                </c:pt>
                <c:pt idx="94">
                  <c:v>-1.6438415623633758</c:v>
                </c:pt>
                <c:pt idx="95">
                  <c:v>-0.53681197596768637</c:v>
                </c:pt>
                <c:pt idx="96">
                  <c:v>-0.30355983318221547</c:v>
                </c:pt>
                <c:pt idx="97">
                  <c:v>-3.6191294809476464E-2</c:v>
                </c:pt>
                <c:pt idx="98">
                  <c:v>-0.89248003989055802</c:v>
                </c:pt>
                <c:pt idx="99">
                  <c:v>-0.6689863153010136</c:v>
                </c:pt>
                <c:pt idx="100">
                  <c:v>-0.54807250881536762</c:v>
                </c:pt>
                <c:pt idx="101">
                  <c:v>-0.31536085617627213</c:v>
                </c:pt>
                <c:pt idx="102">
                  <c:v>0.77781145950783881</c:v>
                </c:pt>
                <c:pt idx="103">
                  <c:v>1.1843358203836569</c:v>
                </c:pt>
                <c:pt idx="104">
                  <c:v>0.32204400315782111</c:v>
                </c:pt>
                <c:pt idx="105">
                  <c:v>-9.3120146586151226E-2</c:v>
                </c:pt>
                <c:pt idx="106">
                  <c:v>-0.57978437054914522</c:v>
                </c:pt>
                <c:pt idx="107">
                  <c:v>-0.61202268997181175</c:v>
                </c:pt>
                <c:pt idx="108">
                  <c:v>-1.2025849278994758</c:v>
                </c:pt>
                <c:pt idx="109">
                  <c:v>0.45560730007213779</c:v>
                </c:pt>
                <c:pt idx="110">
                  <c:v>0.66375089868993609</c:v>
                </c:pt>
                <c:pt idx="111">
                  <c:v>0.49399930158091943</c:v>
                </c:pt>
                <c:pt idx="112">
                  <c:v>-0.16665179402379332</c:v>
                </c:pt>
                <c:pt idx="113">
                  <c:v>-0.57727788976088412</c:v>
                </c:pt>
                <c:pt idx="114">
                  <c:v>0.6421029422611142</c:v>
                </c:pt>
                <c:pt idx="115">
                  <c:v>1.6432244299892123</c:v>
                </c:pt>
                <c:pt idx="116">
                  <c:v>1.9351709809841799</c:v>
                </c:pt>
                <c:pt idx="117">
                  <c:v>0.20998034600529489</c:v>
                </c:pt>
                <c:pt idx="118">
                  <c:v>-0.46591552290974447</c:v>
                </c:pt>
                <c:pt idx="119">
                  <c:v>-0.12901613805496562</c:v>
                </c:pt>
                <c:pt idx="120">
                  <c:v>0.66357469921944134</c:v>
                </c:pt>
                <c:pt idx="121">
                  <c:v>0.2977384678602954</c:v>
                </c:pt>
                <c:pt idx="122">
                  <c:v>0.58783247611375899</c:v>
                </c:pt>
                <c:pt idx="123">
                  <c:v>0.93209673803817084</c:v>
                </c:pt>
                <c:pt idx="124">
                  <c:v>-0.23931505221901189</c:v>
                </c:pt>
                <c:pt idx="125">
                  <c:v>-0.12410862311625967</c:v>
                </c:pt>
                <c:pt idx="126">
                  <c:v>-1.1662140617850421</c:v>
                </c:pt>
                <c:pt idx="127">
                  <c:v>-1.5469024973947727</c:v>
                </c:pt>
                <c:pt idx="128">
                  <c:v>0.89578165686950917</c:v>
                </c:pt>
                <c:pt idx="129">
                  <c:v>-0.65324097589674035</c:v>
                </c:pt>
                <c:pt idx="130">
                  <c:v>0.50071452133510552</c:v>
                </c:pt>
                <c:pt idx="131">
                  <c:v>-0.40753705169710502</c:v>
                </c:pt>
                <c:pt idx="132">
                  <c:v>-2.4795459225747916</c:v>
                </c:pt>
                <c:pt idx="133">
                  <c:v>-0.46296197182888277</c:v>
                </c:pt>
                <c:pt idx="134">
                  <c:v>-0.31699081582448596</c:v>
                </c:pt>
                <c:pt idx="135">
                  <c:v>-0.56554042295556439</c:v>
                </c:pt>
                <c:pt idx="136">
                  <c:v>-0.39029499746065038</c:v>
                </c:pt>
                <c:pt idx="137">
                  <c:v>-6.5503626962425496E-2</c:v>
                </c:pt>
                <c:pt idx="138">
                  <c:v>-1.5586166184044814</c:v>
                </c:pt>
                <c:pt idx="139">
                  <c:v>-0.83526433499042829</c:v>
                </c:pt>
                <c:pt idx="140">
                  <c:v>-1.77565893844879</c:v>
                </c:pt>
                <c:pt idx="141">
                  <c:v>-0.96949426147390494</c:v>
                </c:pt>
                <c:pt idx="142">
                  <c:v>-2.022911928914862</c:v>
                </c:pt>
                <c:pt idx="143">
                  <c:v>-1.5916413943890244</c:v>
                </c:pt>
                <c:pt idx="144">
                  <c:v>-2.6476941277636148</c:v>
                </c:pt>
                <c:pt idx="145">
                  <c:v>-1.581292219809683</c:v>
                </c:pt>
                <c:pt idx="146">
                  <c:v>-1.6091149665716935</c:v>
                </c:pt>
                <c:pt idx="147">
                  <c:v>-2.6981675363636421</c:v>
                </c:pt>
                <c:pt idx="148">
                  <c:v>-3.0074329163327107</c:v>
                </c:pt>
                <c:pt idx="149">
                  <c:v>1.5178897482128775</c:v>
                </c:pt>
                <c:pt idx="150">
                  <c:v>-9.6008543627773793E-2</c:v>
                </c:pt>
                <c:pt idx="151">
                  <c:v>-1.8075263476843684</c:v>
                </c:pt>
                <c:pt idx="152">
                  <c:v>-3.1347610384974698</c:v>
                </c:pt>
                <c:pt idx="153">
                  <c:v>-1.4337372230683094</c:v>
                </c:pt>
                <c:pt idx="154">
                  <c:v>-2.146294847760613</c:v>
                </c:pt>
                <c:pt idx="155">
                  <c:v>-0.86978910770703732</c:v>
                </c:pt>
                <c:pt idx="156">
                  <c:v>1.0071223450172826</c:v>
                </c:pt>
                <c:pt idx="157">
                  <c:v>-2.1098734998970952</c:v>
                </c:pt>
                <c:pt idx="158">
                  <c:v>-1.8531045979366594</c:v>
                </c:pt>
                <c:pt idx="159">
                  <c:v>-1.3594025734561528</c:v>
                </c:pt>
                <c:pt idx="160">
                  <c:v>-2.3592905454053659</c:v>
                </c:pt>
                <c:pt idx="161">
                  <c:v>-1.3647676865779073</c:v>
                </c:pt>
                <c:pt idx="162">
                  <c:v>-1.332776395365435</c:v>
                </c:pt>
                <c:pt idx="163">
                  <c:v>-1.0184280294975341</c:v>
                </c:pt>
                <c:pt idx="164">
                  <c:v>-1.7038445084087996</c:v>
                </c:pt>
                <c:pt idx="165">
                  <c:v>-1.523271761632043</c:v>
                </c:pt>
                <c:pt idx="166">
                  <c:v>-1.0356117670981229</c:v>
                </c:pt>
                <c:pt idx="167">
                  <c:v>-0.47835813135973582</c:v>
                </c:pt>
                <c:pt idx="168">
                  <c:v>-0.9656623455499378</c:v>
                </c:pt>
                <c:pt idx="169">
                  <c:v>-1.1016932918672833</c:v>
                </c:pt>
                <c:pt idx="170">
                  <c:v>-3.1609945250390452</c:v>
                </c:pt>
                <c:pt idx="171">
                  <c:v>-3.027022903527834</c:v>
                </c:pt>
                <c:pt idx="172">
                  <c:v>-3.7414120565840419</c:v>
                </c:pt>
                <c:pt idx="173">
                  <c:v>-3.1712150365807252</c:v>
                </c:pt>
                <c:pt idx="174">
                  <c:v>-2.7315152516744878</c:v>
                </c:pt>
                <c:pt idx="175">
                  <c:v>-2.5535571553081673</c:v>
                </c:pt>
                <c:pt idx="176">
                  <c:v>-3.0860488667648527</c:v>
                </c:pt>
                <c:pt idx="177">
                  <c:v>-2.4466409047603781</c:v>
                </c:pt>
                <c:pt idx="178">
                  <c:v>-2.657987478481207</c:v>
                </c:pt>
                <c:pt idx="179">
                  <c:v>-2.9251444133071844</c:v>
                </c:pt>
                <c:pt idx="180">
                  <c:v>-2.9938813358132905</c:v>
                </c:pt>
                <c:pt idx="181">
                  <c:v>-2.0423627733273926</c:v>
                </c:pt>
                <c:pt idx="182">
                  <c:v>-1.2116995462734927</c:v>
                </c:pt>
                <c:pt idx="183">
                  <c:v>-1.9830798525219746</c:v>
                </c:pt>
                <c:pt idx="184">
                  <c:v>-2.1807681813449316</c:v>
                </c:pt>
                <c:pt idx="185">
                  <c:v>-2.1306847234846487</c:v>
                </c:pt>
                <c:pt idx="186">
                  <c:v>-2.9759750098023776</c:v>
                </c:pt>
                <c:pt idx="187">
                  <c:v>-2.7093299257894721</c:v>
                </c:pt>
                <c:pt idx="188">
                  <c:v>-3.3020440856471178</c:v>
                </c:pt>
                <c:pt idx="189">
                  <c:v>-3.6177203316285107</c:v>
                </c:pt>
                <c:pt idx="190">
                  <c:v>-3.2235938386452485</c:v>
                </c:pt>
                <c:pt idx="191">
                  <c:v>-2.8050426522368364</c:v>
                </c:pt>
                <c:pt idx="192">
                  <c:v>-2.053892381843557</c:v>
                </c:pt>
                <c:pt idx="193">
                  <c:v>-2.2993648063202174</c:v>
                </c:pt>
                <c:pt idx="194">
                  <c:v>-2.096873613767865</c:v>
                </c:pt>
                <c:pt idx="195">
                  <c:v>-1.8286749791108166</c:v>
                </c:pt>
                <c:pt idx="196">
                  <c:v>-1.5836241454276363</c:v>
                </c:pt>
                <c:pt idx="197">
                  <c:v>1.034289402529686</c:v>
                </c:pt>
                <c:pt idx="198">
                  <c:v>-1.3914419142787122</c:v>
                </c:pt>
                <c:pt idx="199">
                  <c:v>6.695274237085512E-2</c:v>
                </c:pt>
                <c:pt idx="200">
                  <c:v>-0.98018684637648479</c:v>
                </c:pt>
                <c:pt idx="201">
                  <c:v>0.18079619522047186</c:v>
                </c:pt>
                <c:pt idx="202">
                  <c:v>-0.62991774122495592</c:v>
                </c:pt>
                <c:pt idx="203">
                  <c:v>-0.35231017246109331</c:v>
                </c:pt>
                <c:pt idx="204">
                  <c:v>-1.1360629774183093</c:v>
                </c:pt>
                <c:pt idx="205">
                  <c:v>-1.2048855812235451</c:v>
                </c:pt>
                <c:pt idx="206">
                  <c:v>0.4110924586113911</c:v>
                </c:pt>
                <c:pt idx="207">
                  <c:v>-1.214692795962482</c:v>
                </c:pt>
                <c:pt idx="208">
                  <c:v>-2.8169549858571727</c:v>
                </c:pt>
                <c:pt idx="209">
                  <c:v>-3.0019668417104328</c:v>
                </c:pt>
                <c:pt idx="210">
                  <c:v>-3.7886541944036414</c:v>
                </c:pt>
                <c:pt idx="211">
                  <c:v>-2.3841559664523317</c:v>
                </c:pt>
                <c:pt idx="212">
                  <c:v>-3.1540208134165395</c:v>
                </c:pt>
                <c:pt idx="213">
                  <c:v>-1.9570243094218298</c:v>
                </c:pt>
                <c:pt idx="214">
                  <c:v>-4.0553141692461265</c:v>
                </c:pt>
                <c:pt idx="215">
                  <c:v>-3.8654525519425693</c:v>
                </c:pt>
                <c:pt idx="216">
                  <c:v>-2.6519815076628381</c:v>
                </c:pt>
                <c:pt idx="217">
                  <c:v>-5.1126332508487966</c:v>
                </c:pt>
                <c:pt idx="218">
                  <c:v>-3.6232539152157974</c:v>
                </c:pt>
                <c:pt idx="219">
                  <c:v>-3.3088254016763767</c:v>
                </c:pt>
                <c:pt idx="220">
                  <c:v>-3.2363948149748496</c:v>
                </c:pt>
                <c:pt idx="221">
                  <c:v>-3.8785927159906906</c:v>
                </c:pt>
                <c:pt idx="222">
                  <c:v>-1.0985730329403887</c:v>
                </c:pt>
                <c:pt idx="223">
                  <c:v>-2.6759922939966261</c:v>
                </c:pt>
                <c:pt idx="224">
                  <c:v>-3.7153949759464773</c:v>
                </c:pt>
                <c:pt idx="225">
                  <c:v>-3.4260907641598748</c:v>
                </c:pt>
                <c:pt idx="226">
                  <c:v>-4.048718975768737</c:v>
                </c:pt>
                <c:pt idx="227">
                  <c:v>-4.7822266199311958</c:v>
                </c:pt>
                <c:pt idx="228">
                  <c:v>-4.5977379344904197</c:v>
                </c:pt>
                <c:pt idx="229">
                  <c:v>-1.4124443666100308</c:v>
                </c:pt>
                <c:pt idx="230">
                  <c:v>1.9408446283603262E-2</c:v>
                </c:pt>
                <c:pt idx="231">
                  <c:v>-3.5637030917051007</c:v>
                </c:pt>
                <c:pt idx="232">
                  <c:v>-2.8930883428855401</c:v>
                </c:pt>
                <c:pt idx="233">
                  <c:v>-2.634014975924031</c:v>
                </c:pt>
                <c:pt idx="234">
                  <c:v>-1.8725046625117658</c:v>
                </c:pt>
                <c:pt idx="235">
                  <c:v>-1.4420353850784833</c:v>
                </c:pt>
                <c:pt idx="236">
                  <c:v>-2.1988115349579438</c:v>
                </c:pt>
                <c:pt idx="237">
                  <c:v>-2.7662159653942182</c:v>
                </c:pt>
                <c:pt idx="238">
                  <c:v>-3.1091681437412357</c:v>
                </c:pt>
                <c:pt idx="239">
                  <c:v>-3.7557927900817445</c:v>
                </c:pt>
                <c:pt idx="240">
                  <c:v>-1.6293827902677389</c:v>
                </c:pt>
                <c:pt idx="241">
                  <c:v>-1.182820141347221</c:v>
                </c:pt>
                <c:pt idx="242">
                  <c:v>-0.13170477582723183</c:v>
                </c:pt>
                <c:pt idx="243">
                  <c:v>-2.675062737300566</c:v>
                </c:pt>
                <c:pt idx="244">
                  <c:v>-1.6701727936782929</c:v>
                </c:pt>
                <c:pt idx="245">
                  <c:v>-0.88139434302500608</c:v>
                </c:pt>
                <c:pt idx="246">
                  <c:v>0.17295745070666574</c:v>
                </c:pt>
                <c:pt idx="247">
                  <c:v>-0.18045725390706155</c:v>
                </c:pt>
                <c:pt idx="248">
                  <c:v>-0.3647622327124837</c:v>
                </c:pt>
                <c:pt idx="249">
                  <c:v>-0.13972416104099752</c:v>
                </c:pt>
                <c:pt idx="250">
                  <c:v>-0.44142745155691343</c:v>
                </c:pt>
                <c:pt idx="251">
                  <c:v>-0.82857691947285905</c:v>
                </c:pt>
                <c:pt idx="252">
                  <c:v>-0.51564636429535871</c:v>
                </c:pt>
                <c:pt idx="253">
                  <c:v>-1.1451353050080897</c:v>
                </c:pt>
                <c:pt idx="254">
                  <c:v>-1.5777476760423368</c:v>
                </c:pt>
                <c:pt idx="255">
                  <c:v>-2.3639648236993058</c:v>
                </c:pt>
                <c:pt idx="256">
                  <c:v>-3.7960339268915138</c:v>
                </c:pt>
                <c:pt idx="257">
                  <c:v>-3.2987418115759004</c:v>
                </c:pt>
                <c:pt idx="258">
                  <c:v>-3.1713576387626361</c:v>
                </c:pt>
                <c:pt idx="259">
                  <c:v>-2.8778423747707467</c:v>
                </c:pt>
                <c:pt idx="260">
                  <c:v>-2.4620616166426714</c:v>
                </c:pt>
                <c:pt idx="261">
                  <c:v>-3.2607094642355734</c:v>
                </c:pt>
                <c:pt idx="262">
                  <c:v>-3.0258930745865165</c:v>
                </c:pt>
                <c:pt idx="263">
                  <c:v>-0.90924612063575205</c:v>
                </c:pt>
                <c:pt idx="264">
                  <c:v>-1.7278483113142877</c:v>
                </c:pt>
                <c:pt idx="265">
                  <c:v>1.7841925025463505</c:v>
                </c:pt>
                <c:pt idx="266">
                  <c:v>2.0250851190134496</c:v>
                </c:pt>
                <c:pt idx="267">
                  <c:v>0.67558717413255032</c:v>
                </c:pt>
                <c:pt idx="268">
                  <c:v>-0.89179813677913355</c:v>
                </c:pt>
                <c:pt idx="269">
                  <c:v>-0.34346655525249237</c:v>
                </c:pt>
                <c:pt idx="270">
                  <c:v>-2.4366773612407906</c:v>
                </c:pt>
                <c:pt idx="271">
                  <c:v>-2.2688692455321435</c:v>
                </c:pt>
                <c:pt idx="272">
                  <c:v>-0.55629220827673098</c:v>
                </c:pt>
                <c:pt idx="273">
                  <c:v>1.1070301977959973</c:v>
                </c:pt>
                <c:pt idx="274">
                  <c:v>2.5880482646697405</c:v>
                </c:pt>
                <c:pt idx="275">
                  <c:v>0.34287631856095757</c:v>
                </c:pt>
                <c:pt idx="276">
                  <c:v>0.81723209442311695</c:v>
                </c:pt>
                <c:pt idx="277">
                  <c:v>0.87769651665262127</c:v>
                </c:pt>
                <c:pt idx="278">
                  <c:v>1.5009492038892647</c:v>
                </c:pt>
                <c:pt idx="279">
                  <c:v>1.2785028689948195</c:v>
                </c:pt>
                <c:pt idx="280">
                  <c:v>1.7803831500044065</c:v>
                </c:pt>
                <c:pt idx="281">
                  <c:v>2.0512756246712924</c:v>
                </c:pt>
                <c:pt idx="282">
                  <c:v>2.0175938103037616</c:v>
                </c:pt>
                <c:pt idx="283">
                  <c:v>1.2598547545776695</c:v>
                </c:pt>
                <c:pt idx="284">
                  <c:v>2.337339638249976</c:v>
                </c:pt>
                <c:pt idx="285">
                  <c:v>2.480450066921184</c:v>
                </c:pt>
                <c:pt idx="286">
                  <c:v>1.9848594603546894</c:v>
                </c:pt>
                <c:pt idx="287">
                  <c:v>2.4953072251367723</c:v>
                </c:pt>
                <c:pt idx="288">
                  <c:v>0.63019678617816444</c:v>
                </c:pt>
                <c:pt idx="289">
                  <c:v>1.4150187336561484</c:v>
                </c:pt>
                <c:pt idx="290">
                  <c:v>2.0793641173274735</c:v>
                </c:pt>
                <c:pt idx="291">
                  <c:v>3.9373922131080694</c:v>
                </c:pt>
                <c:pt idx="292">
                  <c:v>3.4655840856373112</c:v>
                </c:pt>
                <c:pt idx="293">
                  <c:v>4.7021943364824326</c:v>
                </c:pt>
                <c:pt idx="294">
                  <c:v>3.6780067108146111</c:v>
                </c:pt>
                <c:pt idx="295">
                  <c:v>5.8348141880744473</c:v>
                </c:pt>
                <c:pt idx="296">
                  <c:v>3.4514379339136134</c:v>
                </c:pt>
                <c:pt idx="297">
                  <c:v>2.4828631606455871</c:v>
                </c:pt>
                <c:pt idx="298">
                  <c:v>4.1183037462481105</c:v>
                </c:pt>
                <c:pt idx="299">
                  <c:v>6.1609403321259544</c:v>
                </c:pt>
                <c:pt idx="300">
                  <c:v>6.2538122259202789</c:v>
                </c:pt>
                <c:pt idx="301">
                  <c:v>6.6419279844322068</c:v>
                </c:pt>
                <c:pt idx="302">
                  <c:v>6.1548946851609152</c:v>
                </c:pt>
                <c:pt idx="303">
                  <c:v>6.5876459377009811</c:v>
                </c:pt>
                <c:pt idx="304">
                  <c:v>5.4794577510054339</c:v>
                </c:pt>
                <c:pt idx="305">
                  <c:v>5.4256913194352814</c:v>
                </c:pt>
                <c:pt idx="306">
                  <c:v>4.0293617505874142</c:v>
                </c:pt>
                <c:pt idx="307">
                  <c:v>3.1671403786823893</c:v>
                </c:pt>
                <c:pt idx="308">
                  <c:v>3.7210379204595481</c:v>
                </c:pt>
                <c:pt idx="309">
                  <c:v>3.6077075537666641</c:v>
                </c:pt>
                <c:pt idx="310">
                  <c:v>2.8259554899859136</c:v>
                </c:pt>
                <c:pt idx="311">
                  <c:v>3.8022811540285488</c:v>
                </c:pt>
                <c:pt idx="312">
                  <c:v>5.637060398581208</c:v>
                </c:pt>
                <c:pt idx="313">
                  <c:v>2.3579019159088985</c:v>
                </c:pt>
                <c:pt idx="314">
                  <c:v>4.2441850033098687</c:v>
                </c:pt>
                <c:pt idx="315">
                  <c:v>3.4657283504455378</c:v>
                </c:pt>
                <c:pt idx="316">
                  <c:v>3.0982363572321323</c:v>
                </c:pt>
                <c:pt idx="317">
                  <c:v>3.8691637465655231</c:v>
                </c:pt>
                <c:pt idx="318">
                  <c:v>2.6821421854647367</c:v>
                </c:pt>
                <c:pt idx="319">
                  <c:v>4.5667798837377065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96-4070-A8B2-8F61A2588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'240821B002'!$A$2:$A$321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'240821B002'!$J$2:$J$321</c:f>
              <c:numCache>
                <c:formatCode>0.0</c:formatCode>
                <c:ptCount val="320"/>
                <c:pt idx="0">
                  <c:v>2364.4242158986899</c:v>
                </c:pt>
                <c:pt idx="1">
                  <c:v>2340.9825039810603</c:v>
                </c:pt>
                <c:pt idx="2">
                  <c:v>2266.5691690652202</c:v>
                </c:pt>
                <c:pt idx="3">
                  <c:v>2150.0201289774</c:v>
                </c:pt>
                <c:pt idx="4">
                  <c:v>2294.7928706368602</c:v>
                </c:pt>
                <c:pt idx="5">
                  <c:v>1771.0229716229801</c:v>
                </c:pt>
                <c:pt idx="6">
                  <c:v>1800.6559202001602</c:v>
                </c:pt>
                <c:pt idx="7">
                  <c:v>1824.2122924146399</c:v>
                </c:pt>
                <c:pt idx="8">
                  <c:v>3476.11906263114</c:v>
                </c:pt>
                <c:pt idx="9">
                  <c:v>3443.9835210737601</c:v>
                </c:pt>
                <c:pt idx="10">
                  <c:v>4042.5349823753004</c:v>
                </c:pt>
                <c:pt idx="11">
                  <c:v>4480.1656477718507</c:v>
                </c:pt>
                <c:pt idx="12">
                  <c:v>5052.9973324234197</c:v>
                </c:pt>
                <c:pt idx="13">
                  <c:v>4978.1041620921096</c:v>
                </c:pt>
                <c:pt idx="14">
                  <c:v>4919.2316934216096</c:v>
                </c:pt>
                <c:pt idx="15">
                  <c:v>5094.5427465060093</c:v>
                </c:pt>
                <c:pt idx="16">
                  <c:v>5319.3533115227901</c:v>
                </c:pt>
                <c:pt idx="17">
                  <c:v>5233.97564367011</c:v>
                </c:pt>
                <c:pt idx="18">
                  <c:v>5205.7795036297202</c:v>
                </c:pt>
                <c:pt idx="19">
                  <c:v>5286.0549618545301</c:v>
                </c:pt>
                <c:pt idx="20">
                  <c:v>5277.3543184243999</c:v>
                </c:pt>
                <c:pt idx="21">
                  <c:v>5349.0848609833201</c:v>
                </c:pt>
                <c:pt idx="22">
                  <c:v>5291.7357190191797</c:v>
                </c:pt>
                <c:pt idx="23">
                  <c:v>5107.5165781430806</c:v>
                </c:pt>
                <c:pt idx="24">
                  <c:v>5011.8330860607202</c:v>
                </c:pt>
                <c:pt idx="25">
                  <c:v>5236.8922175607504</c:v>
                </c:pt>
                <c:pt idx="26">
                  <c:v>5538.0039761430999</c:v>
                </c:pt>
                <c:pt idx="27">
                  <c:v>5498.3536571497698</c:v>
                </c:pt>
                <c:pt idx="28">
                  <c:v>5483.81851298525</c:v>
                </c:pt>
                <c:pt idx="29">
                  <c:v>5524.7738603069001</c:v>
                </c:pt>
                <c:pt idx="30">
                  <c:v>5638.5738069107801</c:v>
                </c:pt>
                <c:pt idx="31">
                  <c:v>5666.1258987207093</c:v>
                </c:pt>
                <c:pt idx="32">
                  <c:v>5588.2136083400801</c:v>
                </c:pt>
                <c:pt idx="33">
                  <c:v>5662.5962218813502</c:v>
                </c:pt>
                <c:pt idx="34">
                  <c:v>5628.9855238646896</c:v>
                </c:pt>
                <c:pt idx="35">
                  <c:v>5629.0767474753402</c:v>
                </c:pt>
                <c:pt idx="36">
                  <c:v>5534.37955550281</c:v>
                </c:pt>
                <c:pt idx="37">
                  <c:v>5608.4771421322994</c:v>
                </c:pt>
                <c:pt idx="38">
                  <c:v>5318.6431079860595</c:v>
                </c:pt>
                <c:pt idx="39">
                  <c:v>5298.6861061306399</c:v>
                </c:pt>
                <c:pt idx="40">
                  <c:v>5158.1268268699596</c:v>
                </c:pt>
                <c:pt idx="41">
                  <c:v>5337.60945129225</c:v>
                </c:pt>
                <c:pt idx="42">
                  <c:v>5387.7376282306204</c:v>
                </c:pt>
                <c:pt idx="43">
                  <c:v>5276.2196819085093</c:v>
                </c:pt>
                <c:pt idx="44">
                  <c:v>5293.6093439364304</c:v>
                </c:pt>
                <c:pt idx="45">
                  <c:v>5234.6053677932705</c:v>
                </c:pt>
                <c:pt idx="46">
                  <c:v>5098.3667992047995</c:v>
                </c:pt>
                <c:pt idx="47">
                  <c:v>5165.3177163434802</c:v>
                </c:pt>
                <c:pt idx="48">
                  <c:v>5574.6209614211402</c:v>
                </c:pt>
                <c:pt idx="49">
                  <c:v>5444.4014502853506</c:v>
                </c:pt>
                <c:pt idx="50">
                  <c:v>5349.1277335984096</c:v>
                </c:pt>
                <c:pt idx="51">
                  <c:v>5349.5948318028295</c:v>
                </c:pt>
                <c:pt idx="52">
                  <c:v>5467.7091932531894</c:v>
                </c:pt>
                <c:pt idx="53">
                  <c:v>5599.5981432831304</c:v>
                </c:pt>
                <c:pt idx="54">
                  <c:v>5311.7401168386195</c:v>
                </c:pt>
                <c:pt idx="55">
                  <c:v>5356.3005397326797</c:v>
                </c:pt>
                <c:pt idx="56">
                  <c:v>5348.5754794615805</c:v>
                </c:pt>
                <c:pt idx="57">
                  <c:v>5376.5769868351999</c:v>
                </c:pt>
                <c:pt idx="58">
                  <c:v>5184.6081125189703</c:v>
                </c:pt>
                <c:pt idx="59">
                  <c:v>5120.7303769423306</c:v>
                </c:pt>
                <c:pt idx="60">
                  <c:v>5096.2399519795499</c:v>
                </c:pt>
                <c:pt idx="61">
                  <c:v>5162.9806969392803</c:v>
                </c:pt>
                <c:pt idx="62">
                  <c:v>5441.64632265402</c:v>
                </c:pt>
                <c:pt idx="63">
                  <c:v>5636.6272365804907</c:v>
                </c:pt>
                <c:pt idx="64">
                  <c:v>5620.2851263816901</c:v>
                </c:pt>
                <c:pt idx="65">
                  <c:v>5407.3993743595802</c:v>
                </c:pt>
                <c:pt idx="66">
                  <c:v>5430.4209252923001</c:v>
                </c:pt>
                <c:pt idx="67">
                  <c:v>5651.6136072014597</c:v>
                </c:pt>
                <c:pt idx="68">
                  <c:v>5557.41921502477</c:v>
                </c:pt>
                <c:pt idx="69">
                  <c:v>5330.5023402889401</c:v>
                </c:pt>
                <c:pt idx="70">
                  <c:v>5487.92408840604</c:v>
                </c:pt>
                <c:pt idx="71">
                  <c:v>5589.7670307519602</c:v>
                </c:pt>
                <c:pt idx="72">
                  <c:v>5623.6411609239995</c:v>
                </c:pt>
                <c:pt idx="73">
                  <c:v>5700.2159948674498</c:v>
                </c:pt>
                <c:pt idx="74">
                  <c:v>5732.0399495457104</c:v>
                </c:pt>
                <c:pt idx="75">
                  <c:v>5721.22486396365</c:v>
                </c:pt>
                <c:pt idx="76">
                  <c:v>5680.7397388576601</c:v>
                </c:pt>
                <c:pt idx="77">
                  <c:v>5669.1462757320696</c:v>
                </c:pt>
                <c:pt idx="78">
                  <c:v>5624.6098966202808</c:v>
                </c:pt>
                <c:pt idx="79">
                  <c:v>5586.69969660891</c:v>
                </c:pt>
                <c:pt idx="80">
                  <c:v>5660.7018317108796</c:v>
                </c:pt>
                <c:pt idx="81">
                  <c:v>5619.1169225920803</c:v>
                </c:pt>
                <c:pt idx="82">
                  <c:v>5610.8104543229701</c:v>
                </c:pt>
                <c:pt idx="83">
                  <c:v>5670.1040794118999</c:v>
                </c:pt>
                <c:pt idx="84">
                  <c:v>5656.03061392361</c:v>
                </c:pt>
                <c:pt idx="85">
                  <c:v>5663.60331833701</c:v>
                </c:pt>
                <c:pt idx="86">
                  <c:v>5538.7111850807196</c:v>
                </c:pt>
                <c:pt idx="87">
                  <c:v>5487.4533397226296</c:v>
                </c:pt>
                <c:pt idx="88">
                  <c:v>5439.6084310868</c:v>
                </c:pt>
                <c:pt idx="89">
                  <c:v>5410.2761617545702</c:v>
                </c:pt>
                <c:pt idx="90">
                  <c:v>5490.5735249855607</c:v>
                </c:pt>
                <c:pt idx="91">
                  <c:v>5561.9004974139398</c:v>
                </c:pt>
                <c:pt idx="92">
                  <c:v>5740.2796052371496</c:v>
                </c:pt>
                <c:pt idx="93">
                  <c:v>5487.7953355564196</c:v>
                </c:pt>
                <c:pt idx="94">
                  <c:v>5526.7063965413499</c:v>
                </c:pt>
                <c:pt idx="95">
                  <c:v>5647.6109730506305</c:v>
                </c:pt>
                <c:pt idx="96">
                  <c:v>5593.8124756411798</c:v>
                </c:pt>
                <c:pt idx="97">
                  <c:v>5628.3139735842797</c:v>
                </c:pt>
                <c:pt idx="98">
                  <c:v>5678.0202350254804</c:v>
                </c:pt>
                <c:pt idx="99">
                  <c:v>5595.2480759010405</c:v>
                </c:pt>
                <c:pt idx="100">
                  <c:v>5649.8367301143398</c:v>
                </c:pt>
                <c:pt idx="101">
                  <c:v>5594.3427451166008</c:v>
                </c:pt>
                <c:pt idx="102">
                  <c:v>5666.2623288049408</c:v>
                </c:pt>
                <c:pt idx="103">
                  <c:v>5575.7736537126602</c:v>
                </c:pt>
                <c:pt idx="104">
                  <c:v>5455.2078008141698</c:v>
                </c:pt>
                <c:pt idx="105">
                  <c:v>5601.3289348485796</c:v>
                </c:pt>
                <c:pt idx="106">
                  <c:v>5626.3585244750902</c:v>
                </c:pt>
                <c:pt idx="107">
                  <c:v>5569.18663640053</c:v>
                </c:pt>
                <c:pt idx="108">
                  <c:v>5597.4328605481705</c:v>
                </c:pt>
                <c:pt idx="109">
                  <c:v>5563.5311068909796</c:v>
                </c:pt>
                <c:pt idx="110">
                  <c:v>5533.6120389217995</c:v>
                </c:pt>
                <c:pt idx="111">
                  <c:v>5477.9828004087103</c:v>
                </c:pt>
                <c:pt idx="112">
                  <c:v>5526.4374826737203</c:v>
                </c:pt>
                <c:pt idx="113">
                  <c:v>5431.7156384403106</c:v>
                </c:pt>
                <c:pt idx="114">
                  <c:v>5359.8282258639902</c:v>
                </c:pt>
                <c:pt idx="115">
                  <c:v>5573.1428322494903</c:v>
                </c:pt>
                <c:pt idx="116">
                  <c:v>5638.5339655295502</c:v>
                </c:pt>
                <c:pt idx="117">
                  <c:v>5536.6175021583895</c:v>
                </c:pt>
                <c:pt idx="118">
                  <c:v>5505.0808525214097</c:v>
                </c:pt>
                <c:pt idx="119">
                  <c:v>5345.3360212739099</c:v>
                </c:pt>
                <c:pt idx="120">
                  <c:v>5468.0268389662206</c:v>
                </c:pt>
                <c:pt idx="121">
                  <c:v>5668.0675944334407</c:v>
                </c:pt>
                <c:pt idx="122">
                  <c:v>5794.9062055528002</c:v>
                </c:pt>
                <c:pt idx="123">
                  <c:v>5624.7420224919397</c:v>
                </c:pt>
                <c:pt idx="124">
                  <c:v>5688.0807656533407</c:v>
                </c:pt>
                <c:pt idx="125">
                  <c:v>5637.7658008427898</c:v>
                </c:pt>
                <c:pt idx="126">
                  <c:v>5526.2703777336201</c:v>
                </c:pt>
                <c:pt idx="127">
                  <c:v>5376.0085898949201</c:v>
                </c:pt>
                <c:pt idx="128">
                  <c:v>5329.2908920976097</c:v>
                </c:pt>
                <c:pt idx="129">
                  <c:v>5356.7148840944201</c:v>
                </c:pt>
                <c:pt idx="130">
                  <c:v>5348.2297231390394</c:v>
                </c:pt>
                <c:pt idx="131">
                  <c:v>5128.4540649801693</c:v>
                </c:pt>
                <c:pt idx="132">
                  <c:v>4987.9621385857899</c:v>
                </c:pt>
                <c:pt idx="133">
                  <c:v>4883.71862329958</c:v>
                </c:pt>
                <c:pt idx="134">
                  <c:v>4837.3992384276708</c:v>
                </c:pt>
                <c:pt idx="135">
                  <c:v>4812.6650236376599</c:v>
                </c:pt>
                <c:pt idx="136">
                  <c:v>4775.3439989981398</c:v>
                </c:pt>
                <c:pt idx="137">
                  <c:v>4762.8461083890406</c:v>
                </c:pt>
                <c:pt idx="138">
                  <c:v>4768.3813203457003</c:v>
                </c:pt>
                <c:pt idx="139">
                  <c:v>4983.3323005475304</c:v>
                </c:pt>
                <c:pt idx="140">
                  <c:v>5248.4133906876395</c:v>
                </c:pt>
                <c:pt idx="141">
                  <c:v>5355.3645527628305</c:v>
                </c:pt>
                <c:pt idx="142">
                  <c:v>5400.1654832907298</c:v>
                </c:pt>
                <c:pt idx="143">
                  <c:v>5488.9989606014497</c:v>
                </c:pt>
                <c:pt idx="144">
                  <c:v>5533.4436436933702</c:v>
                </c:pt>
                <c:pt idx="145">
                  <c:v>5597.6708937695703</c:v>
                </c:pt>
                <c:pt idx="146">
                  <c:v>5386.9313389877998</c:v>
                </c:pt>
                <c:pt idx="147">
                  <c:v>5218.1287498445599</c:v>
                </c:pt>
                <c:pt idx="148">
                  <c:v>5160.9725292732101</c:v>
                </c:pt>
                <c:pt idx="149">
                  <c:v>5238.0058181200893</c:v>
                </c:pt>
                <c:pt idx="150">
                  <c:v>5341.3760821368196</c:v>
                </c:pt>
                <c:pt idx="151">
                  <c:v>5317.4323058668897</c:v>
                </c:pt>
                <c:pt idx="152">
                  <c:v>5250.5266989471502</c:v>
                </c:pt>
                <c:pt idx="153">
                  <c:v>5226.7534594608105</c:v>
                </c:pt>
                <c:pt idx="154">
                  <c:v>5093.1778967628998</c:v>
                </c:pt>
                <c:pt idx="155">
                  <c:v>4972.9019034308903</c:v>
                </c:pt>
                <c:pt idx="156">
                  <c:v>4890.9689644312803</c:v>
                </c:pt>
                <c:pt idx="157">
                  <c:v>5016.5534462547803</c:v>
                </c:pt>
                <c:pt idx="158">
                  <c:v>4872.6160372414706</c:v>
                </c:pt>
                <c:pt idx="159">
                  <c:v>4850.3950482691398</c:v>
                </c:pt>
                <c:pt idx="160">
                  <c:v>4795.9486977444594</c:v>
                </c:pt>
                <c:pt idx="161">
                  <c:v>4741.0392266342997</c:v>
                </c:pt>
                <c:pt idx="162">
                  <c:v>4688.4063067141306</c:v>
                </c:pt>
                <c:pt idx="163">
                  <c:v>4671.9396194826895</c:v>
                </c:pt>
                <c:pt idx="164">
                  <c:v>4869.1778689775902</c:v>
                </c:pt>
                <c:pt idx="165">
                  <c:v>4882.4252352286894</c:v>
                </c:pt>
                <c:pt idx="166">
                  <c:v>4903.8039291559598</c:v>
                </c:pt>
                <c:pt idx="167">
                  <c:v>5127.9597765936696</c:v>
                </c:pt>
                <c:pt idx="168">
                  <c:v>5315.4940979742596</c:v>
                </c:pt>
                <c:pt idx="169">
                  <c:v>5322.3197725267401</c:v>
                </c:pt>
                <c:pt idx="170">
                  <c:v>5428.5291432770991</c:v>
                </c:pt>
                <c:pt idx="171">
                  <c:v>5377.0361074386701</c:v>
                </c:pt>
                <c:pt idx="172">
                  <c:v>5486.00651393917</c:v>
                </c:pt>
                <c:pt idx="173">
                  <c:v>5483.6293527240805</c:v>
                </c:pt>
                <c:pt idx="174">
                  <c:v>5463.9394111052598</c:v>
                </c:pt>
                <c:pt idx="175">
                  <c:v>5547.7960093052297</c:v>
                </c:pt>
                <c:pt idx="176">
                  <c:v>5580.9714836598596</c:v>
                </c:pt>
                <c:pt idx="177">
                  <c:v>5410.0084763426894</c:v>
                </c:pt>
                <c:pt idx="178">
                  <c:v>5291.5609223000101</c:v>
                </c:pt>
                <c:pt idx="179">
                  <c:v>5298.0048315448803</c:v>
                </c:pt>
                <c:pt idx="180">
                  <c:v>5165.7592358804204</c:v>
                </c:pt>
                <c:pt idx="181">
                  <c:v>5407.9120951835603</c:v>
                </c:pt>
                <c:pt idx="182">
                  <c:v>5326.3256071877395</c:v>
                </c:pt>
                <c:pt idx="183">
                  <c:v>5291.91960403751</c:v>
                </c:pt>
                <c:pt idx="184">
                  <c:v>5275.28487236814</c:v>
                </c:pt>
                <c:pt idx="185">
                  <c:v>5281.3617631501202</c:v>
                </c:pt>
                <c:pt idx="186">
                  <c:v>5376.3941307643599</c:v>
                </c:pt>
                <c:pt idx="187">
                  <c:v>5536.5479152778898</c:v>
                </c:pt>
                <c:pt idx="188">
                  <c:v>5434.5884898324894</c:v>
                </c:pt>
                <c:pt idx="189">
                  <c:v>5339.5556660040202</c:v>
                </c:pt>
                <c:pt idx="190">
                  <c:v>5292.9025844930402</c:v>
                </c:pt>
                <c:pt idx="191">
                  <c:v>5171.6385881753904</c:v>
                </c:pt>
                <c:pt idx="192">
                  <c:v>5195.2593042728495</c:v>
                </c:pt>
                <c:pt idx="193">
                  <c:v>5131.9621414371304</c:v>
                </c:pt>
                <c:pt idx="194">
                  <c:v>5156.4245674467902</c:v>
                </c:pt>
                <c:pt idx="195">
                  <c:v>5359.17057222737</c:v>
                </c:pt>
                <c:pt idx="196">
                  <c:v>5408.1083902126402</c:v>
                </c:pt>
                <c:pt idx="197">
                  <c:v>5384.64613604228</c:v>
                </c:pt>
                <c:pt idx="198">
                  <c:v>5541.0924453280704</c:v>
                </c:pt>
                <c:pt idx="199">
                  <c:v>5357.34691848902</c:v>
                </c:pt>
                <c:pt idx="200">
                  <c:v>5288.28727634199</c:v>
                </c:pt>
                <c:pt idx="201">
                  <c:v>5463.6030216709396</c:v>
                </c:pt>
                <c:pt idx="202">
                  <c:v>5495.0070967231595</c:v>
                </c:pt>
                <c:pt idx="203">
                  <c:v>5558.0888905373595</c:v>
                </c:pt>
                <c:pt idx="204">
                  <c:v>5268.7742055132303</c:v>
                </c:pt>
                <c:pt idx="205">
                  <c:v>5298.0434705201797</c:v>
                </c:pt>
                <c:pt idx="206">
                  <c:v>5369.4446425922097</c:v>
                </c:pt>
                <c:pt idx="207">
                  <c:v>5435.10654085439</c:v>
                </c:pt>
                <c:pt idx="208">
                  <c:v>5247.8797216699904</c:v>
                </c:pt>
                <c:pt idx="209">
                  <c:v>5187.9075546720196</c:v>
                </c:pt>
                <c:pt idx="210">
                  <c:v>4871.5864811132806</c:v>
                </c:pt>
                <c:pt idx="211">
                  <c:v>4756.9274823962296</c:v>
                </c:pt>
                <c:pt idx="212">
                  <c:v>4716.0847435229798</c:v>
                </c:pt>
                <c:pt idx="213">
                  <c:v>4987.6110493995093</c:v>
                </c:pt>
                <c:pt idx="214">
                  <c:v>5221.2625429687496</c:v>
                </c:pt>
                <c:pt idx="215">
                  <c:v>5217.8659364012901</c:v>
                </c:pt>
                <c:pt idx="216">
                  <c:v>5314.5279162463603</c:v>
                </c:pt>
                <c:pt idx="217">
                  <c:v>5277.5844950004002</c:v>
                </c:pt>
                <c:pt idx="218">
                  <c:v>5367.1730346981703</c:v>
                </c:pt>
                <c:pt idx="219">
                  <c:v>5295.2864478155298</c:v>
                </c:pt>
                <c:pt idx="220">
                  <c:v>5435.0129224652501</c:v>
                </c:pt>
                <c:pt idx="221">
                  <c:v>5228.2286282306004</c:v>
                </c:pt>
                <c:pt idx="222">
                  <c:v>5294.5742589240299</c:v>
                </c:pt>
                <c:pt idx="223">
                  <c:v>5207.5109343936901</c:v>
                </c:pt>
                <c:pt idx="224">
                  <c:v>4995.26821729723</c:v>
                </c:pt>
                <c:pt idx="225">
                  <c:v>5054.8044987724497</c:v>
                </c:pt>
                <c:pt idx="226">
                  <c:v>5009.5094448118707</c:v>
                </c:pt>
                <c:pt idx="227">
                  <c:v>5106.3038141084598</c:v>
                </c:pt>
                <c:pt idx="228">
                  <c:v>5203.8526309993704</c:v>
                </c:pt>
                <c:pt idx="229">
                  <c:v>5202.7922357054504</c:v>
                </c:pt>
                <c:pt idx="230">
                  <c:v>5037.7588357098002</c:v>
                </c:pt>
                <c:pt idx="231">
                  <c:v>5014.9603182094097</c:v>
                </c:pt>
                <c:pt idx="232">
                  <c:v>4867.1765647459997</c:v>
                </c:pt>
                <c:pt idx="233">
                  <c:v>4977.0689847069798</c:v>
                </c:pt>
                <c:pt idx="234">
                  <c:v>5213.55824294991</c:v>
                </c:pt>
                <c:pt idx="235">
                  <c:v>5235.8866024631297</c:v>
                </c:pt>
                <c:pt idx="236">
                  <c:v>5271.7675515339797</c:v>
                </c:pt>
                <c:pt idx="237">
                  <c:v>5221.5114269428395</c:v>
                </c:pt>
                <c:pt idx="238">
                  <c:v>5179.06661032804</c:v>
                </c:pt>
                <c:pt idx="239">
                  <c:v>5112.5677661572308</c:v>
                </c:pt>
                <c:pt idx="240">
                  <c:v>5098.26764094603</c:v>
                </c:pt>
                <c:pt idx="241">
                  <c:v>4961.6360700554997</c:v>
                </c:pt>
                <c:pt idx="242">
                  <c:v>4802.0512910678599</c:v>
                </c:pt>
                <c:pt idx="243">
                  <c:v>4686.9358512953704</c:v>
                </c:pt>
                <c:pt idx="244">
                  <c:v>4675.0201282423895</c:v>
                </c:pt>
                <c:pt idx="245">
                  <c:v>4625.4571975262807</c:v>
                </c:pt>
                <c:pt idx="246">
                  <c:v>4619.8091588807201</c:v>
                </c:pt>
                <c:pt idx="247">
                  <c:v>4635.5255659717795</c:v>
                </c:pt>
                <c:pt idx="248">
                  <c:v>4556.86078391312</c:v>
                </c:pt>
                <c:pt idx="249">
                  <c:v>4599.7940872551098</c:v>
                </c:pt>
                <c:pt idx="250">
                  <c:v>4556.8301338215606</c:v>
                </c:pt>
                <c:pt idx="251">
                  <c:v>4589.2410359974801</c:v>
                </c:pt>
                <c:pt idx="252">
                  <c:v>4616.5671229539803</c:v>
                </c:pt>
                <c:pt idx="253">
                  <c:v>4647.3439501332105</c:v>
                </c:pt>
                <c:pt idx="254">
                  <c:v>4585.9334644308201</c:v>
                </c:pt>
                <c:pt idx="255">
                  <c:v>4604.7024552291496</c:v>
                </c:pt>
                <c:pt idx="256">
                  <c:v>4829.6491764408302</c:v>
                </c:pt>
                <c:pt idx="257">
                  <c:v>4834.5859212315199</c:v>
                </c:pt>
                <c:pt idx="258">
                  <c:v>4941.5491144044599</c:v>
                </c:pt>
                <c:pt idx="259">
                  <c:v>5133.0173104797095</c:v>
                </c:pt>
                <c:pt idx="260">
                  <c:v>5143.2913138697504</c:v>
                </c:pt>
                <c:pt idx="261">
                  <c:v>5217.2682312499492</c:v>
                </c:pt>
                <c:pt idx="262">
                  <c:v>5212.7707702199705</c:v>
                </c:pt>
                <c:pt idx="263">
                  <c:v>5194.4430105872907</c:v>
                </c:pt>
                <c:pt idx="264">
                  <c:v>5218.2747956704397</c:v>
                </c:pt>
                <c:pt idx="265">
                  <c:v>5273.7696696803805</c:v>
                </c:pt>
                <c:pt idx="266">
                  <c:v>5263.5708309665606</c:v>
                </c:pt>
                <c:pt idx="267">
                  <c:v>5229.7403574584296</c:v>
                </c:pt>
                <c:pt idx="268">
                  <c:v>5364.6355248094906</c:v>
                </c:pt>
                <c:pt idx="269">
                  <c:v>5426.0346454474802</c:v>
                </c:pt>
                <c:pt idx="270">
                  <c:v>5404.89075063985</c:v>
                </c:pt>
                <c:pt idx="271">
                  <c:v>5393.8112327028693</c:v>
                </c:pt>
                <c:pt idx="272">
                  <c:v>5393.0072114389995</c:v>
                </c:pt>
                <c:pt idx="273">
                  <c:v>5205.0155193713499</c:v>
                </c:pt>
                <c:pt idx="274">
                  <c:v>5157.3084919619796</c:v>
                </c:pt>
                <c:pt idx="275">
                  <c:v>5171.6328544036405</c:v>
                </c:pt>
                <c:pt idx="276">
                  <c:v>5219.01591536661</c:v>
                </c:pt>
                <c:pt idx="277">
                  <c:v>5305.1544749273098</c:v>
                </c:pt>
                <c:pt idx="278">
                  <c:v>5236.1824178325596</c:v>
                </c:pt>
                <c:pt idx="279">
                  <c:v>4873.7571147645494</c:v>
                </c:pt>
                <c:pt idx="280">
                  <c:v>4646.6370678009398</c:v>
                </c:pt>
                <c:pt idx="281">
                  <c:v>4583.1040699423202</c:v>
                </c:pt>
                <c:pt idx="282">
                  <c:v>4546.4515803301401</c:v>
                </c:pt>
                <c:pt idx="283">
                  <c:v>4645.8300198806801</c:v>
                </c:pt>
                <c:pt idx="284">
                  <c:v>4920.5313308269197</c:v>
                </c:pt>
                <c:pt idx="285">
                  <c:v>5059.7620060729805</c:v>
                </c:pt>
                <c:pt idx="286">
                  <c:v>5021.61391847922</c:v>
                </c:pt>
                <c:pt idx="287">
                  <c:v>5155.35668575614</c:v>
                </c:pt>
                <c:pt idx="288">
                  <c:v>5171.7269210607201</c:v>
                </c:pt>
                <c:pt idx="289">
                  <c:v>5169.9483415091099</c:v>
                </c:pt>
                <c:pt idx="290">
                  <c:v>5179.4616894294695</c:v>
                </c:pt>
                <c:pt idx="291">
                  <c:v>5251.3834485653297</c:v>
                </c:pt>
                <c:pt idx="292">
                  <c:v>5307.0161892864799</c:v>
                </c:pt>
                <c:pt idx="293">
                  <c:v>5301.8978351018804</c:v>
                </c:pt>
                <c:pt idx="294">
                  <c:v>5262.7137186750797</c:v>
                </c:pt>
                <c:pt idx="295">
                  <c:v>5277.5999010870901</c:v>
                </c:pt>
                <c:pt idx="296">
                  <c:v>5209.5805777379301</c:v>
                </c:pt>
                <c:pt idx="297">
                  <c:v>5325.6352244740301</c:v>
                </c:pt>
                <c:pt idx="298">
                  <c:v>5313.0424675825607</c:v>
                </c:pt>
                <c:pt idx="299">
                  <c:v>5342.6095848554105</c:v>
                </c:pt>
                <c:pt idx="300">
                  <c:v>5296.5932508740198</c:v>
                </c:pt>
                <c:pt idx="301">
                  <c:v>5308.2376578849899</c:v>
                </c:pt>
                <c:pt idx="302">
                  <c:v>5335.1250798601204</c:v>
                </c:pt>
                <c:pt idx="303">
                  <c:v>5391.6014908552697</c:v>
                </c:pt>
                <c:pt idx="304">
                  <c:v>5316.6739007075203</c:v>
                </c:pt>
                <c:pt idx="305">
                  <c:v>5366.1406868171798</c:v>
                </c:pt>
                <c:pt idx="306">
                  <c:v>5287.3692852862905</c:v>
                </c:pt>
                <c:pt idx="307">
                  <c:v>5337.9668350812599</c:v>
                </c:pt>
                <c:pt idx="308">
                  <c:v>5169.19183503166</c:v>
                </c:pt>
                <c:pt idx="309">
                  <c:v>4973.7982975165396</c:v>
                </c:pt>
                <c:pt idx="310">
                  <c:v>4905.4778195904501</c:v>
                </c:pt>
                <c:pt idx="311">
                  <c:v>4711.2362570608093</c:v>
                </c:pt>
                <c:pt idx="312">
                  <c:v>4748.0351442929496</c:v>
                </c:pt>
                <c:pt idx="313">
                  <c:v>4704.5285331660598</c:v>
                </c:pt>
                <c:pt idx="314">
                  <c:v>4669.8028022342396</c:v>
                </c:pt>
                <c:pt idx="315">
                  <c:v>4687.0608610243198</c:v>
                </c:pt>
                <c:pt idx="316">
                  <c:v>4680.3874276552297</c:v>
                </c:pt>
                <c:pt idx="317">
                  <c:v>4616.9988684806704</c:v>
                </c:pt>
                <c:pt idx="318">
                  <c:v>4607.6527333511604</c:v>
                </c:pt>
                <c:pt idx="319">
                  <c:v>4548.0568489559701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5D-094B-9B31-057E7585D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DD-2D40-BB2E-D7AA7BE01C93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'240821B002'!$A$2:$A$321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'240821B002'!$P$2:$P$321</c:f>
              <c:numCache>
                <c:formatCode>General</c:formatCode>
                <c:ptCount val="320"/>
                <c:pt idx="0">
                  <c:v>9.7851596282126287</c:v>
                </c:pt>
                <c:pt idx="1">
                  <c:v>10.665458128936557</c:v>
                </c:pt>
                <c:pt idx="2">
                  <c:v>12.679114862660324</c:v>
                </c:pt>
                <c:pt idx="3">
                  <c:v>14.430165658913024</c:v>
                </c:pt>
                <c:pt idx="4">
                  <c:v>13.977346794551405</c:v>
                </c:pt>
                <c:pt idx="5">
                  <c:v>25.689629712312801</c:v>
                </c:pt>
                <c:pt idx="6">
                  <c:v>24.797080314192151</c:v>
                </c:pt>
                <c:pt idx="7">
                  <c:v>24.164348571099246</c:v>
                </c:pt>
                <c:pt idx="8">
                  <c:v>3.4882687588798018</c:v>
                </c:pt>
                <c:pt idx="9">
                  <c:v>3.4941454415960536</c:v>
                </c:pt>
                <c:pt idx="10">
                  <c:v>-1.6858424672140846</c:v>
                </c:pt>
                <c:pt idx="11">
                  <c:v>-8.0349524860314298E-2</c:v>
                </c:pt>
                <c:pt idx="12">
                  <c:v>-0.80713818149495165</c:v>
                </c:pt>
                <c:pt idx="13">
                  <c:v>6.4325983180193794E-2</c:v>
                </c:pt>
                <c:pt idx="14">
                  <c:v>0.17273228981003458</c:v>
                </c:pt>
                <c:pt idx="15">
                  <c:v>-0.15279009187715775</c:v>
                </c:pt>
                <c:pt idx="16">
                  <c:v>-0.55800975551781995</c:v>
                </c:pt>
                <c:pt idx="17">
                  <c:v>-0.748759407018741</c:v>
                </c:pt>
                <c:pt idx="18">
                  <c:v>-1.2143153809168339</c:v>
                </c:pt>
                <c:pt idx="19">
                  <c:v>-1.3913557003618218</c:v>
                </c:pt>
                <c:pt idx="20">
                  <c:v>-1.6416364280438234</c:v>
                </c:pt>
                <c:pt idx="21">
                  <c:v>-0.79878426177535777</c:v>
                </c:pt>
                <c:pt idx="22">
                  <c:v>0.98783685258532106</c:v>
                </c:pt>
                <c:pt idx="23">
                  <c:v>8.361598781770061</c:v>
                </c:pt>
                <c:pt idx="24">
                  <c:v>8.4339602193839216</c:v>
                </c:pt>
                <c:pt idx="25">
                  <c:v>6.6448833816681043</c:v>
                </c:pt>
                <c:pt idx="26">
                  <c:v>4.1377058670806619</c:v>
                </c:pt>
                <c:pt idx="27">
                  <c:v>4.6181333707698009</c:v>
                </c:pt>
                <c:pt idx="28">
                  <c:v>2.9379800846124167</c:v>
                </c:pt>
                <c:pt idx="29">
                  <c:v>3.3643067109757063</c:v>
                </c:pt>
                <c:pt idx="30">
                  <c:v>1.2315370053156405</c:v>
                </c:pt>
                <c:pt idx="31">
                  <c:v>0.86163642761570691</c:v>
                </c:pt>
                <c:pt idx="32">
                  <c:v>0.48005625052603002</c:v>
                </c:pt>
                <c:pt idx="33">
                  <c:v>-1.0247376718317076</c:v>
                </c:pt>
                <c:pt idx="34">
                  <c:v>-0.97654007101242235</c:v>
                </c:pt>
                <c:pt idx="35">
                  <c:v>-0.89462370979817596</c:v>
                </c:pt>
                <c:pt idx="36">
                  <c:v>-0.18399407339525875</c:v>
                </c:pt>
                <c:pt idx="37">
                  <c:v>-1.840302601146018</c:v>
                </c:pt>
                <c:pt idx="38">
                  <c:v>-0.69475215061748785</c:v>
                </c:pt>
                <c:pt idx="39">
                  <c:v>2.5480417105314275</c:v>
                </c:pt>
                <c:pt idx="40">
                  <c:v>2.491373186714529</c:v>
                </c:pt>
                <c:pt idx="41">
                  <c:v>1.8567067630946299</c:v>
                </c:pt>
                <c:pt idx="42">
                  <c:v>1.0492581885345595</c:v>
                </c:pt>
                <c:pt idx="43">
                  <c:v>1.1196445445391003</c:v>
                </c:pt>
                <c:pt idx="44">
                  <c:v>0.79866705440339369</c:v>
                </c:pt>
                <c:pt idx="45">
                  <c:v>0.7390156789434208</c:v>
                </c:pt>
                <c:pt idx="46">
                  <c:v>2.8269406474246659</c:v>
                </c:pt>
                <c:pt idx="47">
                  <c:v>2.1246583065958653</c:v>
                </c:pt>
                <c:pt idx="48">
                  <c:v>0.12575664631968275</c:v>
                </c:pt>
                <c:pt idx="49">
                  <c:v>9.7456902808829876E-2</c:v>
                </c:pt>
                <c:pt idx="50">
                  <c:v>0.24973448350102093</c:v>
                </c:pt>
                <c:pt idx="51">
                  <c:v>-5.9895982252252421E-2</c:v>
                </c:pt>
                <c:pt idx="52">
                  <c:v>-0.84130399791515609</c:v>
                </c:pt>
                <c:pt idx="53">
                  <c:v>-1.6199104951359744</c:v>
                </c:pt>
                <c:pt idx="54">
                  <c:v>-0.49906456766151053</c:v>
                </c:pt>
                <c:pt idx="55">
                  <c:v>-1.9815871817508255</c:v>
                </c:pt>
                <c:pt idx="56">
                  <c:v>-2.3725417527817672</c:v>
                </c:pt>
                <c:pt idx="57">
                  <c:v>-1.1678626927565317</c:v>
                </c:pt>
                <c:pt idx="58">
                  <c:v>-0.55437490271332035</c:v>
                </c:pt>
                <c:pt idx="59">
                  <c:v>-0.19092125194611259</c:v>
                </c:pt>
                <c:pt idx="60">
                  <c:v>0.41539655147514271</c:v>
                </c:pt>
                <c:pt idx="61">
                  <c:v>-0.14455555188089628</c:v>
                </c:pt>
                <c:pt idx="62">
                  <c:v>-0.22481405942144975</c:v>
                </c:pt>
                <c:pt idx="63">
                  <c:v>-0.55344950335657983</c:v>
                </c:pt>
                <c:pt idx="64">
                  <c:v>-0.20396552680229732</c:v>
                </c:pt>
                <c:pt idx="65">
                  <c:v>2.5401890766693733E-2</c:v>
                </c:pt>
                <c:pt idx="66">
                  <c:v>-0.90731321045775437</c:v>
                </c:pt>
                <c:pt idx="67">
                  <c:v>-2.2448380010326643</c:v>
                </c:pt>
                <c:pt idx="68">
                  <c:v>-1.769816158370112</c:v>
                </c:pt>
                <c:pt idx="69">
                  <c:v>4.5112027473666536E-2</c:v>
                </c:pt>
                <c:pt idx="70">
                  <c:v>0.88944823831218889</c:v>
                </c:pt>
                <c:pt idx="71">
                  <c:v>0.41886149881854229</c:v>
                </c:pt>
                <c:pt idx="72">
                  <c:v>1.4886243936731383</c:v>
                </c:pt>
                <c:pt idx="73">
                  <c:v>1.9553841124794125</c:v>
                </c:pt>
                <c:pt idx="74">
                  <c:v>0.66981806549702327</c:v>
                </c:pt>
                <c:pt idx="75">
                  <c:v>0.49501557199955598</c:v>
                </c:pt>
                <c:pt idx="76">
                  <c:v>0.37601115033997617</c:v>
                </c:pt>
                <c:pt idx="77">
                  <c:v>0.35901380079703338</c:v>
                </c:pt>
                <c:pt idx="78">
                  <c:v>-0.47197668503204127</c:v>
                </c:pt>
                <c:pt idx="79">
                  <c:v>-0.6173586052783866</c:v>
                </c:pt>
                <c:pt idx="80">
                  <c:v>9.7108736475973137E-2</c:v>
                </c:pt>
                <c:pt idx="81">
                  <c:v>1.1495240263932831</c:v>
                </c:pt>
                <c:pt idx="82">
                  <c:v>1.1392264373191041</c:v>
                </c:pt>
                <c:pt idx="83">
                  <c:v>0.11935303951906458</c:v>
                </c:pt>
                <c:pt idx="84">
                  <c:v>1.7720234009101732</c:v>
                </c:pt>
                <c:pt idx="85">
                  <c:v>2.1008560401850849</c:v>
                </c:pt>
                <c:pt idx="86">
                  <c:v>3.2655711337658841</c:v>
                </c:pt>
                <c:pt idx="87">
                  <c:v>9.3112796748336759</c:v>
                </c:pt>
                <c:pt idx="88">
                  <c:v>10.336644711468406</c:v>
                </c:pt>
                <c:pt idx="89">
                  <c:v>9.5370701033695653</c:v>
                </c:pt>
                <c:pt idx="90">
                  <c:v>7.8992319754338931</c:v>
                </c:pt>
                <c:pt idx="91">
                  <c:v>7.0315282079134676</c:v>
                </c:pt>
                <c:pt idx="92">
                  <c:v>5.4078526686069655</c:v>
                </c:pt>
                <c:pt idx="93">
                  <c:v>4.6708707565941969</c:v>
                </c:pt>
                <c:pt idx="94">
                  <c:v>7.0675973129872451</c:v>
                </c:pt>
                <c:pt idx="95">
                  <c:v>7.4571364838035352</c:v>
                </c:pt>
                <c:pt idx="96">
                  <c:v>7.4228439461727218</c:v>
                </c:pt>
                <c:pt idx="97">
                  <c:v>5.7992311476149059</c:v>
                </c:pt>
                <c:pt idx="98">
                  <c:v>4.718307534954822</c:v>
                </c:pt>
                <c:pt idx="99">
                  <c:v>3.4040981014600158</c:v>
                </c:pt>
                <c:pt idx="100">
                  <c:v>2.7908260302026404</c:v>
                </c:pt>
                <c:pt idx="101">
                  <c:v>2.4838745647358378</c:v>
                </c:pt>
                <c:pt idx="102">
                  <c:v>3.1385155625503085</c:v>
                </c:pt>
                <c:pt idx="103">
                  <c:v>2.8347313826379703</c:v>
                </c:pt>
                <c:pt idx="104">
                  <c:v>2.928511473161838</c:v>
                </c:pt>
                <c:pt idx="105">
                  <c:v>2.6526045570901489</c:v>
                </c:pt>
                <c:pt idx="106">
                  <c:v>2.4708314934575646</c:v>
                </c:pt>
                <c:pt idx="107">
                  <c:v>1.9119697842200838</c:v>
                </c:pt>
                <c:pt idx="108">
                  <c:v>2.2728923403053884</c:v>
                </c:pt>
                <c:pt idx="109">
                  <c:v>1.4170192258737109</c:v>
                </c:pt>
                <c:pt idx="110">
                  <c:v>1.3796016343171076</c:v>
                </c:pt>
                <c:pt idx="111">
                  <c:v>4.8392053557260475</c:v>
                </c:pt>
                <c:pt idx="112">
                  <c:v>4.8861005455337638</c:v>
                </c:pt>
                <c:pt idx="113">
                  <c:v>4.9935813949164158</c:v>
                </c:pt>
                <c:pt idx="114">
                  <c:v>4.6175779027437605</c:v>
                </c:pt>
                <c:pt idx="115">
                  <c:v>2.9686064116026394</c:v>
                </c:pt>
                <c:pt idx="116">
                  <c:v>1.9922500398268423</c:v>
                </c:pt>
                <c:pt idx="117">
                  <c:v>1.3869779052797864</c:v>
                </c:pt>
                <c:pt idx="118">
                  <c:v>1.5689870315310994</c:v>
                </c:pt>
                <c:pt idx="119">
                  <c:v>1.6071256162102161</c:v>
                </c:pt>
                <c:pt idx="120">
                  <c:v>2.640584688324175</c:v>
                </c:pt>
                <c:pt idx="121">
                  <c:v>2.3663895712939316</c:v>
                </c:pt>
                <c:pt idx="122">
                  <c:v>1.6709483123238573</c:v>
                </c:pt>
                <c:pt idx="123">
                  <c:v>1.4009093608302345</c:v>
                </c:pt>
                <c:pt idx="124">
                  <c:v>0.91235115700246172</c:v>
                </c:pt>
                <c:pt idx="125">
                  <c:v>0.58152031379715075</c:v>
                </c:pt>
                <c:pt idx="126">
                  <c:v>-4.0131329160456884E-2</c:v>
                </c:pt>
                <c:pt idx="127">
                  <c:v>0.46692778494073911</c:v>
                </c:pt>
                <c:pt idx="128">
                  <c:v>2.5924150011388281</c:v>
                </c:pt>
                <c:pt idx="129">
                  <c:v>2.1657063551668458</c:v>
                </c:pt>
                <c:pt idx="130">
                  <c:v>1.3086905610030339</c:v>
                </c:pt>
                <c:pt idx="131">
                  <c:v>1.3407296067303511</c:v>
                </c:pt>
                <c:pt idx="132">
                  <c:v>2.4766253058255163</c:v>
                </c:pt>
                <c:pt idx="133">
                  <c:v>4.1752302040825686</c:v>
                </c:pt>
                <c:pt idx="134">
                  <c:v>4.5230587857393676</c:v>
                </c:pt>
                <c:pt idx="135">
                  <c:v>4.2449526262485087</c:v>
                </c:pt>
                <c:pt idx="136">
                  <c:v>3.5526631337406411</c:v>
                </c:pt>
                <c:pt idx="137">
                  <c:v>3.6535233231591642</c:v>
                </c:pt>
                <c:pt idx="138">
                  <c:v>3.306759425807019</c:v>
                </c:pt>
                <c:pt idx="139">
                  <c:v>1.830445997017329</c:v>
                </c:pt>
                <c:pt idx="140">
                  <c:v>-0.49554463134182869</c:v>
                </c:pt>
                <c:pt idx="141">
                  <c:v>-1.2928039370607354</c:v>
                </c:pt>
                <c:pt idx="142">
                  <c:v>-2.0929671111166193</c:v>
                </c:pt>
                <c:pt idx="143">
                  <c:v>-2.5407088982900841</c:v>
                </c:pt>
                <c:pt idx="144">
                  <c:v>-3.0769110313217194</c:v>
                </c:pt>
                <c:pt idx="145">
                  <c:v>-3.4878776138656695</c:v>
                </c:pt>
                <c:pt idx="146">
                  <c:v>-3.1210803854942419</c:v>
                </c:pt>
                <c:pt idx="147">
                  <c:v>-2.3447153462442656</c:v>
                </c:pt>
                <c:pt idx="148">
                  <c:v>-2.1421843649434948</c:v>
                </c:pt>
                <c:pt idx="149">
                  <c:v>-2.7503405040715569</c:v>
                </c:pt>
                <c:pt idx="150">
                  <c:v>-2.5371131256691868</c:v>
                </c:pt>
                <c:pt idx="151">
                  <c:v>-2.8331622172010644</c:v>
                </c:pt>
                <c:pt idx="152">
                  <c:v>-3.7863714244581459</c:v>
                </c:pt>
                <c:pt idx="153">
                  <c:v>-2.8891318584893919</c:v>
                </c:pt>
                <c:pt idx="154">
                  <c:v>-3.0009246827821605</c:v>
                </c:pt>
                <c:pt idx="155">
                  <c:v>-2.2866302504044129</c:v>
                </c:pt>
                <c:pt idx="156">
                  <c:v>-1.2596394762401202</c:v>
                </c:pt>
                <c:pt idx="157">
                  <c:v>-1.933898407506687</c:v>
                </c:pt>
                <c:pt idx="158">
                  <c:v>-1.9126649083641585</c:v>
                </c:pt>
                <c:pt idx="159">
                  <c:v>-1.3326284159008419</c:v>
                </c:pt>
                <c:pt idx="160">
                  <c:v>-0.11451574777836013</c:v>
                </c:pt>
                <c:pt idx="161">
                  <c:v>-0.17151050591363209</c:v>
                </c:pt>
                <c:pt idx="162">
                  <c:v>-0.7154674177837238</c:v>
                </c:pt>
                <c:pt idx="163">
                  <c:v>-0.67472698543770826</c:v>
                </c:pt>
                <c:pt idx="164">
                  <c:v>-1.4877255564769565</c:v>
                </c:pt>
                <c:pt idx="165">
                  <c:v>-1.4367318537144891</c:v>
                </c:pt>
                <c:pt idx="166">
                  <c:v>-1.2291272525998012</c:v>
                </c:pt>
                <c:pt idx="167">
                  <c:v>-2.1357275143323742</c:v>
                </c:pt>
                <c:pt idx="168">
                  <c:v>-2.3124009281072118</c:v>
                </c:pt>
                <c:pt idx="169">
                  <c:v>-2.2651109470053656</c:v>
                </c:pt>
                <c:pt idx="170">
                  <c:v>-3.0481725329351206</c:v>
                </c:pt>
                <c:pt idx="171">
                  <c:v>-2.988340147563302</c:v>
                </c:pt>
                <c:pt idx="172">
                  <c:v>-2.8799707414246352</c:v>
                </c:pt>
                <c:pt idx="173">
                  <c:v>-2.8494446624528171</c:v>
                </c:pt>
                <c:pt idx="174">
                  <c:v>-2.9476084181614093</c:v>
                </c:pt>
                <c:pt idx="175">
                  <c:v>-2.9916187391206979</c:v>
                </c:pt>
                <c:pt idx="176">
                  <c:v>-3.0158300022082729</c:v>
                </c:pt>
                <c:pt idx="177">
                  <c:v>-2.9189989443522277</c:v>
                </c:pt>
                <c:pt idx="178">
                  <c:v>-2.7945164827999638</c:v>
                </c:pt>
                <c:pt idx="179">
                  <c:v>-3.3791211929724017</c:v>
                </c:pt>
                <c:pt idx="180">
                  <c:v>-3.0531219313092528</c:v>
                </c:pt>
                <c:pt idx="181">
                  <c:v>-2.4736989127633509</c:v>
                </c:pt>
                <c:pt idx="182">
                  <c:v>-2.1886730100065215</c:v>
                </c:pt>
                <c:pt idx="183">
                  <c:v>-2.0970967236704827</c:v>
                </c:pt>
                <c:pt idx="184">
                  <c:v>-2.3231041257252394</c:v>
                </c:pt>
                <c:pt idx="185">
                  <c:v>-2.4249269773279178</c:v>
                </c:pt>
                <c:pt idx="186">
                  <c:v>-2.1882235951629876</c:v>
                </c:pt>
                <c:pt idx="187">
                  <c:v>-2.7632599267937046</c:v>
                </c:pt>
                <c:pt idx="188">
                  <c:v>-3.1470491042596116</c:v>
                </c:pt>
                <c:pt idx="189">
                  <c:v>-3.4169931777838474</c:v>
                </c:pt>
                <c:pt idx="190">
                  <c:v>-2.1668559599451247</c:v>
                </c:pt>
                <c:pt idx="191">
                  <c:v>-1.5705552366296307</c:v>
                </c:pt>
                <c:pt idx="192">
                  <c:v>-1.894311115405237</c:v>
                </c:pt>
                <c:pt idx="193">
                  <c:v>-1.7758664428253874</c:v>
                </c:pt>
                <c:pt idx="194">
                  <c:v>-1.3865029774728947</c:v>
                </c:pt>
                <c:pt idx="195">
                  <c:v>-3.4709474236249842</c:v>
                </c:pt>
                <c:pt idx="196">
                  <c:v>-3.0966184362263083</c:v>
                </c:pt>
                <c:pt idx="197">
                  <c:v>-0.64620998878308966</c:v>
                </c:pt>
                <c:pt idx="198">
                  <c:v>-0.96593868620263335</c:v>
                </c:pt>
                <c:pt idx="199">
                  <c:v>-0.44540197973463513</c:v>
                </c:pt>
                <c:pt idx="200">
                  <c:v>-1.484579902081016</c:v>
                </c:pt>
                <c:pt idx="201">
                  <c:v>-2.2537507462908719</c:v>
                </c:pt>
                <c:pt idx="202">
                  <c:v>-3.1599348599069224</c:v>
                </c:pt>
                <c:pt idx="203">
                  <c:v>-3.0481154357048106</c:v>
                </c:pt>
                <c:pt idx="204">
                  <c:v>-1.2938767233896797</c:v>
                </c:pt>
                <c:pt idx="205">
                  <c:v>-2.1471535484455231</c:v>
                </c:pt>
                <c:pt idx="206">
                  <c:v>-2.6274422778371278</c:v>
                </c:pt>
                <c:pt idx="207">
                  <c:v>-3.4106748158937288</c:v>
                </c:pt>
                <c:pt idx="208">
                  <c:v>-2.2652430451070309</c:v>
                </c:pt>
                <c:pt idx="209">
                  <c:v>-1.1396163228176142</c:v>
                </c:pt>
                <c:pt idx="210">
                  <c:v>-0.20874310932476781</c:v>
                </c:pt>
                <c:pt idx="211">
                  <c:v>0.88706652484783066</c:v>
                </c:pt>
                <c:pt idx="212">
                  <c:v>1.6443460439479844</c:v>
                </c:pt>
                <c:pt idx="213">
                  <c:v>0.84718934655843359</c:v>
                </c:pt>
                <c:pt idx="214">
                  <c:v>-0.54385270728752144</c:v>
                </c:pt>
                <c:pt idx="215">
                  <c:v>-0.63623751033685094</c:v>
                </c:pt>
                <c:pt idx="216">
                  <c:v>-0.94766117814585082</c:v>
                </c:pt>
                <c:pt idx="217">
                  <c:v>-1.0670539786986455</c:v>
                </c:pt>
                <c:pt idx="218">
                  <c:v>-1.1187069692561673</c:v>
                </c:pt>
                <c:pt idx="219">
                  <c:v>-1.4656168666636757</c:v>
                </c:pt>
                <c:pt idx="220">
                  <c:v>-2.7171157169794897</c:v>
                </c:pt>
                <c:pt idx="221">
                  <c:v>-2.2513318655786354</c:v>
                </c:pt>
                <c:pt idx="222">
                  <c:v>-1.5133748022605853</c:v>
                </c:pt>
                <c:pt idx="223">
                  <c:v>-1.1797156970395866</c:v>
                </c:pt>
                <c:pt idx="224">
                  <c:v>-1.3643182607609081</c:v>
                </c:pt>
                <c:pt idx="225">
                  <c:v>-0.63273523384527719</c:v>
                </c:pt>
                <c:pt idx="226">
                  <c:v>-1.4983270672901954</c:v>
                </c:pt>
                <c:pt idx="227">
                  <c:v>-1.2250899339233339</c:v>
                </c:pt>
                <c:pt idx="228">
                  <c:v>-0.82710625460537779</c:v>
                </c:pt>
                <c:pt idx="229">
                  <c:v>-0.36812450598736074</c:v>
                </c:pt>
                <c:pt idx="230">
                  <c:v>0.14542712020872067</c:v>
                </c:pt>
                <c:pt idx="231">
                  <c:v>1.2759633581505727</c:v>
                </c:pt>
                <c:pt idx="232">
                  <c:v>1.6475339950816581</c:v>
                </c:pt>
                <c:pt idx="233">
                  <c:v>-4.1567174753919758E-2</c:v>
                </c:pt>
                <c:pt idx="234">
                  <c:v>0.17000813404619836</c:v>
                </c:pt>
                <c:pt idx="235">
                  <c:v>-0.70608549557202382</c:v>
                </c:pt>
                <c:pt idx="236">
                  <c:v>-1.1604714147713915</c:v>
                </c:pt>
                <c:pt idx="237">
                  <c:v>-1.3423931824647806</c:v>
                </c:pt>
                <c:pt idx="238">
                  <c:v>-1.3091525756948077</c:v>
                </c:pt>
                <c:pt idx="239">
                  <c:v>-1.1832295844323648</c:v>
                </c:pt>
                <c:pt idx="240">
                  <c:v>-1.6402407701337007</c:v>
                </c:pt>
                <c:pt idx="241">
                  <c:v>-0.73906195422362964</c:v>
                </c:pt>
                <c:pt idx="242">
                  <c:v>8.1120749522895802E-2</c:v>
                </c:pt>
                <c:pt idx="243">
                  <c:v>0.57310303932793716</c:v>
                </c:pt>
                <c:pt idx="244">
                  <c:v>1.1447739211776133E-2</c:v>
                </c:pt>
                <c:pt idx="245">
                  <c:v>0.95705617186469949</c:v>
                </c:pt>
                <c:pt idx="246">
                  <c:v>0.5922847188770759</c:v>
                </c:pt>
                <c:pt idx="247">
                  <c:v>0.45770246947009857</c:v>
                </c:pt>
                <c:pt idx="248">
                  <c:v>0.79838467527595847</c:v>
                </c:pt>
                <c:pt idx="249">
                  <c:v>0.56222723705237998</c:v>
                </c:pt>
                <c:pt idx="250">
                  <c:v>0.66992176737915954</c:v>
                </c:pt>
                <c:pt idx="251">
                  <c:v>0.10263321924180481</c:v>
                </c:pt>
                <c:pt idx="252">
                  <c:v>0.40939071494615514</c:v>
                </c:pt>
                <c:pt idx="253">
                  <c:v>9.7628684746007791E-2</c:v>
                </c:pt>
                <c:pt idx="254">
                  <c:v>0.28687098958155854</c:v>
                </c:pt>
                <c:pt idx="255">
                  <c:v>7.6661882031226689E-2</c:v>
                </c:pt>
                <c:pt idx="256">
                  <c:v>-0.11866246813213689</c:v>
                </c:pt>
                <c:pt idx="257">
                  <c:v>-0.52260750702344561</c:v>
                </c:pt>
                <c:pt idx="258">
                  <c:v>-1.1756997015308521</c:v>
                </c:pt>
                <c:pt idx="259">
                  <c:v>-1.4758171852765727</c:v>
                </c:pt>
                <c:pt idx="260">
                  <c:v>-0.95346839642969827</c:v>
                </c:pt>
                <c:pt idx="261">
                  <c:v>-0.75826674248796078</c:v>
                </c:pt>
                <c:pt idx="262">
                  <c:v>-1.6502474290959201</c:v>
                </c:pt>
                <c:pt idx="263">
                  <c:v>-1.7040602117588555</c:v>
                </c:pt>
                <c:pt idx="264">
                  <c:v>-1.415166300699614</c:v>
                </c:pt>
                <c:pt idx="265">
                  <c:v>-1.5300374916362534</c:v>
                </c:pt>
                <c:pt idx="266">
                  <c:v>-0.8832627557231163</c:v>
                </c:pt>
                <c:pt idx="267">
                  <c:v>-0.86714302229945384</c:v>
                </c:pt>
                <c:pt idx="268">
                  <c:v>-2.337269419085708</c:v>
                </c:pt>
                <c:pt idx="269">
                  <c:v>-2.3314831891835226</c:v>
                </c:pt>
                <c:pt idx="270">
                  <c:v>-2.1798260843726287</c:v>
                </c:pt>
                <c:pt idx="271">
                  <c:v>-1.9471834760548461</c:v>
                </c:pt>
                <c:pt idx="272">
                  <c:v>-1.5650458776194192</c:v>
                </c:pt>
                <c:pt idx="273">
                  <c:v>-1.8805294331681517</c:v>
                </c:pt>
                <c:pt idx="274">
                  <c:v>-1.981258839629231</c:v>
                </c:pt>
                <c:pt idx="275">
                  <c:v>-2.5041935562734321</c:v>
                </c:pt>
                <c:pt idx="276">
                  <c:v>-2.3450356145882294</c:v>
                </c:pt>
                <c:pt idx="277">
                  <c:v>-1.9974352867097374</c:v>
                </c:pt>
                <c:pt idx="278">
                  <c:v>-1.6205979014795817</c:v>
                </c:pt>
                <c:pt idx="279">
                  <c:v>-0.61034825745573951</c:v>
                </c:pt>
                <c:pt idx="280">
                  <c:v>0.30473217989330664</c:v>
                </c:pt>
                <c:pt idx="281">
                  <c:v>0.15859634054258762</c:v>
                </c:pt>
                <c:pt idx="282">
                  <c:v>0.37551656693314006</c:v>
                </c:pt>
                <c:pt idx="283">
                  <c:v>0.22834630814757739</c:v>
                </c:pt>
                <c:pt idx="284">
                  <c:v>-0.7862607274861424</c:v>
                </c:pt>
                <c:pt idx="285">
                  <c:v>-0.62652982096770582</c:v>
                </c:pt>
                <c:pt idx="286">
                  <c:v>-1.3211178505160295</c:v>
                </c:pt>
                <c:pt idx="287">
                  <c:v>-1.5056624860546488</c:v>
                </c:pt>
                <c:pt idx="288">
                  <c:v>-1.6478691077789678</c:v>
                </c:pt>
                <c:pt idx="289">
                  <c:v>-1.6661329436866705</c:v>
                </c:pt>
                <c:pt idx="290">
                  <c:v>-2.0150278872963665</c:v>
                </c:pt>
                <c:pt idx="291">
                  <c:v>-1.5926461048142191</c:v>
                </c:pt>
                <c:pt idx="292">
                  <c:v>-1.91213382762522</c:v>
                </c:pt>
                <c:pt idx="293">
                  <c:v>-1.9685759080456471</c:v>
                </c:pt>
                <c:pt idx="294">
                  <c:v>-1.8371529792336097</c:v>
                </c:pt>
                <c:pt idx="295">
                  <c:v>-1.6197538199312183</c:v>
                </c:pt>
                <c:pt idx="296">
                  <c:v>-1.9081509410630408</c:v>
                </c:pt>
                <c:pt idx="297">
                  <c:v>-1.8578412605749328</c:v>
                </c:pt>
                <c:pt idx="298">
                  <c:v>-1.9031254106378459</c:v>
                </c:pt>
                <c:pt idx="299">
                  <c:v>-1.4380709725804863</c:v>
                </c:pt>
                <c:pt idx="300">
                  <c:v>-1.9171887440169435</c:v>
                </c:pt>
                <c:pt idx="301">
                  <c:v>-1.3348129214647004</c:v>
                </c:pt>
                <c:pt idx="302">
                  <c:v>-1.3379660505931801</c:v>
                </c:pt>
                <c:pt idx="303">
                  <c:v>-1.2202067223544779</c:v>
                </c:pt>
                <c:pt idx="304">
                  <c:v>-1.1995925055742378</c:v>
                </c:pt>
                <c:pt idx="305">
                  <c:v>-0.95575723741630669</c:v>
                </c:pt>
                <c:pt idx="306">
                  <c:v>-1.2660093101108252</c:v>
                </c:pt>
                <c:pt idx="307">
                  <c:v>-1.0060294344512066</c:v>
                </c:pt>
                <c:pt idx="308">
                  <c:v>-0.70088249310045991</c:v>
                </c:pt>
                <c:pt idx="309">
                  <c:v>0.39997408724378225</c:v>
                </c:pt>
                <c:pt idx="310">
                  <c:v>0.39051615511194709</c:v>
                </c:pt>
                <c:pt idx="311">
                  <c:v>1.0222129515930811</c:v>
                </c:pt>
                <c:pt idx="312">
                  <c:v>0.602199730753333</c:v>
                </c:pt>
                <c:pt idx="313">
                  <c:v>0.3817025210536924</c:v>
                </c:pt>
                <c:pt idx="314">
                  <c:v>0.70853883894626757</c:v>
                </c:pt>
                <c:pt idx="315">
                  <c:v>0.88982285485128965</c:v>
                </c:pt>
                <c:pt idx="316">
                  <c:v>1.1776596103181043</c:v>
                </c:pt>
                <c:pt idx="317">
                  <c:v>1.1794086325838737</c:v>
                </c:pt>
                <c:pt idx="318">
                  <c:v>1.1414162742533684</c:v>
                </c:pt>
                <c:pt idx="319">
                  <c:v>1.7968685250979708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DD-2D40-BB2E-D7AA7BE01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'240821B003'!$A$2:$A$321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'240821B003'!$J$2:$J$321</c:f>
              <c:numCache>
                <c:formatCode>0.0</c:formatCode>
                <c:ptCount val="320"/>
                <c:pt idx="0">
                  <c:v>1058.99548510165</c:v>
                </c:pt>
                <c:pt idx="1">
                  <c:v>1066.89622302054</c:v>
                </c:pt>
                <c:pt idx="2">
                  <c:v>1054.1361670674</c:v>
                </c:pt>
                <c:pt idx="3">
                  <c:v>992.94819289840984</c:v>
                </c:pt>
                <c:pt idx="4">
                  <c:v>923.66676518906991</c:v>
                </c:pt>
                <c:pt idx="5">
                  <c:v>583.68778521535</c:v>
                </c:pt>
                <c:pt idx="6">
                  <c:v>575.91607648388003</c:v>
                </c:pt>
                <c:pt idx="7">
                  <c:v>618.49781156414997</c:v>
                </c:pt>
                <c:pt idx="8">
                  <c:v>1289.4736761028701</c:v>
                </c:pt>
                <c:pt idx="9">
                  <c:v>1551.21162020631</c:v>
                </c:pt>
                <c:pt idx="10">
                  <c:v>1819.22255247301</c:v>
                </c:pt>
                <c:pt idx="11">
                  <c:v>1869.9748218442501</c:v>
                </c:pt>
                <c:pt idx="12">
                  <c:v>1888.6910601617799</c:v>
                </c:pt>
                <c:pt idx="13">
                  <c:v>1883.6962379771701</c:v>
                </c:pt>
                <c:pt idx="14">
                  <c:v>1838.8933551525499</c:v>
                </c:pt>
                <c:pt idx="15">
                  <c:v>1880.32646893885</c:v>
                </c:pt>
                <c:pt idx="16">
                  <c:v>1820.8933691705602</c:v>
                </c:pt>
                <c:pt idx="17">
                  <c:v>1816.42442699158</c:v>
                </c:pt>
                <c:pt idx="18">
                  <c:v>1812.8918222980001</c:v>
                </c:pt>
                <c:pt idx="19">
                  <c:v>1821.07988933509</c:v>
                </c:pt>
                <c:pt idx="20">
                  <c:v>1817.95898145669</c:v>
                </c:pt>
                <c:pt idx="21">
                  <c:v>1840.61968187604</c:v>
                </c:pt>
                <c:pt idx="22">
                  <c:v>1784.14475957491</c:v>
                </c:pt>
                <c:pt idx="23">
                  <c:v>1844.3516300940798</c:v>
                </c:pt>
                <c:pt idx="24">
                  <c:v>1861.2247810392701</c:v>
                </c:pt>
                <c:pt idx="25">
                  <c:v>1830.93320889141</c:v>
                </c:pt>
                <c:pt idx="26">
                  <c:v>1752.42925049875</c:v>
                </c:pt>
                <c:pt idx="27">
                  <c:v>1704.8166786689799</c:v>
                </c:pt>
                <c:pt idx="28">
                  <c:v>1803.1353234343001</c:v>
                </c:pt>
                <c:pt idx="29">
                  <c:v>1747.9544225735799</c:v>
                </c:pt>
                <c:pt idx="30">
                  <c:v>1840.07269624319</c:v>
                </c:pt>
                <c:pt idx="31">
                  <c:v>1801.0915694154301</c:v>
                </c:pt>
                <c:pt idx="32">
                  <c:v>1721.8645445463299</c:v>
                </c:pt>
                <c:pt idx="33">
                  <c:v>1779.37812775058</c:v>
                </c:pt>
                <c:pt idx="34">
                  <c:v>1776.5044951590301</c:v>
                </c:pt>
                <c:pt idx="35">
                  <c:v>1775.99693654765</c:v>
                </c:pt>
                <c:pt idx="36">
                  <c:v>1788.53914760578</c:v>
                </c:pt>
                <c:pt idx="37">
                  <c:v>1796.6386355063401</c:v>
                </c:pt>
                <c:pt idx="38">
                  <c:v>1796.2203771018701</c:v>
                </c:pt>
                <c:pt idx="39">
                  <c:v>1784.2155433498999</c:v>
                </c:pt>
                <c:pt idx="40">
                  <c:v>1744.23656097962</c:v>
                </c:pt>
                <c:pt idx="41">
                  <c:v>1823.3174546138698</c:v>
                </c:pt>
                <c:pt idx="42">
                  <c:v>1828.3139697368899</c:v>
                </c:pt>
                <c:pt idx="43">
                  <c:v>1836.0031320253102</c:v>
                </c:pt>
                <c:pt idx="44">
                  <c:v>1846.5103953366299</c:v>
                </c:pt>
                <c:pt idx="45">
                  <c:v>1842.3150148140101</c:v>
                </c:pt>
                <c:pt idx="46">
                  <c:v>1835.0783171768501</c:v>
                </c:pt>
                <c:pt idx="47">
                  <c:v>1828.1428616671601</c:v>
                </c:pt>
                <c:pt idx="48">
                  <c:v>1813.06218672661</c:v>
                </c:pt>
                <c:pt idx="49">
                  <c:v>1797.6708459525098</c:v>
                </c:pt>
                <c:pt idx="50">
                  <c:v>1689.7903926332901</c:v>
                </c:pt>
                <c:pt idx="51">
                  <c:v>1625.6124063304401</c:v>
                </c:pt>
                <c:pt idx="52">
                  <c:v>1819.2063168157299</c:v>
                </c:pt>
                <c:pt idx="53">
                  <c:v>1803.2146691380301</c:v>
                </c:pt>
                <c:pt idx="54">
                  <c:v>1796.5683603713699</c:v>
                </c:pt>
                <c:pt idx="55">
                  <c:v>1776.9126761441398</c:v>
                </c:pt>
                <c:pt idx="56">
                  <c:v>1802.9162217007001</c:v>
                </c:pt>
                <c:pt idx="57">
                  <c:v>1885.35616714615</c:v>
                </c:pt>
                <c:pt idx="58">
                  <c:v>1893.8339364259998</c:v>
                </c:pt>
                <c:pt idx="59">
                  <c:v>1880.4753017365599</c:v>
                </c:pt>
                <c:pt idx="60">
                  <c:v>1885.25650464971</c:v>
                </c:pt>
                <c:pt idx="61">
                  <c:v>1898.3178184406099</c:v>
                </c:pt>
                <c:pt idx="62">
                  <c:v>1891.5143505624301</c:v>
                </c:pt>
                <c:pt idx="63">
                  <c:v>1888.2331856993001</c:v>
                </c:pt>
                <c:pt idx="64">
                  <c:v>1897.65457247002</c:v>
                </c:pt>
                <c:pt idx="65">
                  <c:v>1896.9235175714598</c:v>
                </c:pt>
                <c:pt idx="66">
                  <c:v>1882.3924725659799</c:v>
                </c:pt>
                <c:pt idx="67">
                  <c:v>1905.2903748687602</c:v>
                </c:pt>
                <c:pt idx="68">
                  <c:v>1899.42050020543</c:v>
                </c:pt>
                <c:pt idx="69">
                  <c:v>1897.51097362377</c:v>
                </c:pt>
                <c:pt idx="70">
                  <c:v>1911.2793936350301</c:v>
                </c:pt>
                <c:pt idx="71">
                  <c:v>1917.4152664262099</c:v>
                </c:pt>
                <c:pt idx="72">
                  <c:v>1917.2521498256999</c:v>
                </c:pt>
                <c:pt idx="73">
                  <c:v>1906.2946108815102</c:v>
                </c:pt>
                <c:pt idx="74">
                  <c:v>1888.9227907136001</c:v>
                </c:pt>
                <c:pt idx="75">
                  <c:v>1862.94032840666</c:v>
                </c:pt>
                <c:pt idx="76">
                  <c:v>1822.53388259698</c:v>
                </c:pt>
                <c:pt idx="77">
                  <c:v>1848.6526759492699</c:v>
                </c:pt>
                <c:pt idx="78">
                  <c:v>1831.15220433539</c:v>
                </c:pt>
                <c:pt idx="79">
                  <c:v>1879.9515993529701</c:v>
                </c:pt>
                <c:pt idx="80">
                  <c:v>1887.0559536218398</c:v>
                </c:pt>
                <c:pt idx="81">
                  <c:v>1909.74930654831</c:v>
                </c:pt>
                <c:pt idx="82">
                  <c:v>1923.0495227779002</c:v>
                </c:pt>
                <c:pt idx="83">
                  <c:v>1921.9645297884099</c:v>
                </c:pt>
                <c:pt idx="84">
                  <c:v>1890.84640170437</c:v>
                </c:pt>
                <c:pt idx="85">
                  <c:v>1895.11569301907</c:v>
                </c:pt>
                <c:pt idx="86">
                  <c:v>1926.5226005055399</c:v>
                </c:pt>
                <c:pt idx="87">
                  <c:v>1917.8390340719602</c:v>
                </c:pt>
                <c:pt idx="88">
                  <c:v>1918.5202089577601</c:v>
                </c:pt>
                <c:pt idx="89">
                  <c:v>1919.9658353010798</c:v>
                </c:pt>
                <c:pt idx="90">
                  <c:v>1920.4122960372599</c:v>
                </c:pt>
                <c:pt idx="91">
                  <c:v>1912.9038783186802</c:v>
                </c:pt>
                <c:pt idx="92">
                  <c:v>1902.32737527626</c:v>
                </c:pt>
                <c:pt idx="93">
                  <c:v>1879.30302651896</c:v>
                </c:pt>
                <c:pt idx="94">
                  <c:v>1861.07310870943</c:v>
                </c:pt>
                <c:pt idx="95">
                  <c:v>1877.4172454822401</c:v>
                </c:pt>
                <c:pt idx="96">
                  <c:v>1902.35489823835</c:v>
                </c:pt>
                <c:pt idx="97">
                  <c:v>1879.7548521983699</c:v>
                </c:pt>
                <c:pt idx="98">
                  <c:v>1922.3695946640801</c:v>
                </c:pt>
                <c:pt idx="99">
                  <c:v>1920.58745699161</c:v>
                </c:pt>
                <c:pt idx="100">
                  <c:v>1914.86168169813</c:v>
                </c:pt>
                <c:pt idx="101">
                  <c:v>1913.3891127418701</c:v>
                </c:pt>
                <c:pt idx="102">
                  <c:v>1916.8075426082603</c:v>
                </c:pt>
                <c:pt idx="103">
                  <c:v>1913.1411217036502</c:v>
                </c:pt>
                <c:pt idx="104">
                  <c:v>1911.36617971497</c:v>
                </c:pt>
                <c:pt idx="105">
                  <c:v>1910.5063555204599</c:v>
                </c:pt>
                <c:pt idx="106">
                  <c:v>1905.6597253180398</c:v>
                </c:pt>
                <c:pt idx="107">
                  <c:v>1896.7764508533501</c:v>
                </c:pt>
                <c:pt idx="108">
                  <c:v>1890.3969456923401</c:v>
                </c:pt>
                <c:pt idx="109">
                  <c:v>1890.82707497461</c:v>
                </c:pt>
                <c:pt idx="110">
                  <c:v>1890.0002000388699</c:v>
                </c:pt>
                <c:pt idx="111">
                  <c:v>1890.39629699489</c:v>
                </c:pt>
                <c:pt idx="112">
                  <c:v>1862.5052524490102</c:v>
                </c:pt>
                <c:pt idx="113">
                  <c:v>1919.7014112499501</c:v>
                </c:pt>
                <c:pt idx="114">
                  <c:v>1894.5301648126299</c:v>
                </c:pt>
                <c:pt idx="115">
                  <c:v>1845.2374179763299</c:v>
                </c:pt>
                <c:pt idx="116">
                  <c:v>1865.9134279035502</c:v>
                </c:pt>
                <c:pt idx="117">
                  <c:v>1881.4264971873399</c:v>
                </c:pt>
                <c:pt idx="118">
                  <c:v>1882.1763786902</c:v>
                </c:pt>
                <c:pt idx="119">
                  <c:v>1877.7288402071401</c:v>
                </c:pt>
                <c:pt idx="120">
                  <c:v>1872.34905790058</c:v>
                </c:pt>
                <c:pt idx="121">
                  <c:v>1867.5996954150301</c:v>
                </c:pt>
                <c:pt idx="122">
                  <c:v>1860.2262868313198</c:v>
                </c:pt>
                <c:pt idx="123">
                  <c:v>1857.5802794256399</c:v>
                </c:pt>
                <c:pt idx="124">
                  <c:v>1854.3655299474999</c:v>
                </c:pt>
                <c:pt idx="125">
                  <c:v>1854.24459984942</c:v>
                </c:pt>
                <c:pt idx="126">
                  <c:v>1917.71431359041</c:v>
                </c:pt>
                <c:pt idx="127">
                  <c:v>1892.2276744720102</c:v>
                </c:pt>
                <c:pt idx="128">
                  <c:v>1865.0685950413599</c:v>
                </c:pt>
                <c:pt idx="129">
                  <c:v>1813.4984848484498</c:v>
                </c:pt>
                <c:pt idx="130">
                  <c:v>1800.80943029165</c:v>
                </c:pt>
                <c:pt idx="131">
                  <c:v>1802.6342322001599</c:v>
                </c:pt>
                <c:pt idx="132">
                  <c:v>1821.1342251000899</c:v>
                </c:pt>
                <c:pt idx="133">
                  <c:v>1865.2104920679999</c:v>
                </c:pt>
                <c:pt idx="134">
                  <c:v>1863.5351942624102</c:v>
                </c:pt>
                <c:pt idx="135">
                  <c:v>1737.30404483705</c:v>
                </c:pt>
                <c:pt idx="136">
                  <c:v>1747.88807067538</c:v>
                </c:pt>
                <c:pt idx="137">
                  <c:v>1823.09588486748</c:v>
                </c:pt>
                <c:pt idx="138">
                  <c:v>1825.8984107533499</c:v>
                </c:pt>
                <c:pt idx="139">
                  <c:v>1838.28907760997</c:v>
                </c:pt>
                <c:pt idx="140">
                  <c:v>1868.7336734112</c:v>
                </c:pt>
                <c:pt idx="141">
                  <c:v>1877.07389569681</c:v>
                </c:pt>
                <c:pt idx="142">
                  <c:v>1831.29820936637</c:v>
                </c:pt>
                <c:pt idx="143">
                  <c:v>1832.6942148760299</c:v>
                </c:pt>
                <c:pt idx="144">
                  <c:v>1832.8133608815901</c:v>
                </c:pt>
                <c:pt idx="145">
                  <c:v>1852.5881542699299</c:v>
                </c:pt>
                <c:pt idx="146">
                  <c:v>1868.37603305786</c:v>
                </c:pt>
                <c:pt idx="147">
                  <c:v>1920.8663754126601</c:v>
                </c:pt>
                <c:pt idx="148">
                  <c:v>1913.5205034382402</c:v>
                </c:pt>
                <c:pt idx="149">
                  <c:v>1894.7566031585702</c:v>
                </c:pt>
                <c:pt idx="150">
                  <c:v>1923.20137005023</c:v>
                </c:pt>
                <c:pt idx="151">
                  <c:v>1852.5524164364901</c:v>
                </c:pt>
                <c:pt idx="152">
                  <c:v>1827.6460064596099</c:v>
                </c:pt>
                <c:pt idx="153">
                  <c:v>1844.43319369245</c:v>
                </c:pt>
                <c:pt idx="154">
                  <c:v>1858.0390367626401</c:v>
                </c:pt>
                <c:pt idx="155">
                  <c:v>1861.2909109907398</c:v>
                </c:pt>
                <c:pt idx="156">
                  <c:v>1908.2186548874699</c:v>
                </c:pt>
                <c:pt idx="157">
                  <c:v>1938.3225695829997</c:v>
                </c:pt>
                <c:pt idx="158">
                  <c:v>1943.9659114657202</c:v>
                </c:pt>
                <c:pt idx="159">
                  <c:v>1929.9454098983599</c:v>
                </c:pt>
                <c:pt idx="160">
                  <c:v>1959.5236990595797</c:v>
                </c:pt>
                <c:pt idx="161">
                  <c:v>1921.03228650138</c:v>
                </c:pt>
                <c:pt idx="162">
                  <c:v>1919.3090567113202</c:v>
                </c:pt>
                <c:pt idx="163">
                  <c:v>1907.7395345302398</c:v>
                </c:pt>
                <c:pt idx="164">
                  <c:v>1844.27317659357</c:v>
                </c:pt>
                <c:pt idx="165">
                  <c:v>1864.30096418738</c:v>
                </c:pt>
                <c:pt idx="166">
                  <c:v>1874.73709638837</c:v>
                </c:pt>
                <c:pt idx="167">
                  <c:v>1872.73375823271</c:v>
                </c:pt>
                <c:pt idx="168">
                  <c:v>1867.6544332491999</c:v>
                </c:pt>
                <c:pt idx="169">
                  <c:v>1885.71225248466</c:v>
                </c:pt>
                <c:pt idx="170">
                  <c:v>1916.6622000569901</c:v>
                </c:pt>
                <c:pt idx="171">
                  <c:v>1922.2632231405</c:v>
                </c:pt>
                <c:pt idx="172">
                  <c:v>1869.30212220416</c:v>
                </c:pt>
                <c:pt idx="173">
                  <c:v>1867.0911462798701</c:v>
                </c:pt>
                <c:pt idx="174">
                  <c:v>1876.76430563653</c:v>
                </c:pt>
                <c:pt idx="175">
                  <c:v>1887.23469131143</c:v>
                </c:pt>
                <c:pt idx="176">
                  <c:v>1855.76846644496</c:v>
                </c:pt>
                <c:pt idx="177">
                  <c:v>1816.0705352115299</c:v>
                </c:pt>
                <c:pt idx="178">
                  <c:v>1839.1000258740098</c:v>
                </c:pt>
                <c:pt idx="179">
                  <c:v>1834.6377962193399</c:v>
                </c:pt>
                <c:pt idx="180">
                  <c:v>1948.5810131321898</c:v>
                </c:pt>
                <c:pt idx="181">
                  <c:v>1923.22495348138</c:v>
                </c:pt>
                <c:pt idx="182">
                  <c:v>1979.74143061431</c:v>
                </c:pt>
                <c:pt idx="183">
                  <c:v>1999.88502828426</c:v>
                </c:pt>
                <c:pt idx="184">
                  <c:v>1972.7896557525098</c:v>
                </c:pt>
                <c:pt idx="185">
                  <c:v>1907.6907126452402</c:v>
                </c:pt>
                <c:pt idx="186">
                  <c:v>1963.17453737912</c:v>
                </c:pt>
                <c:pt idx="187">
                  <c:v>1920.6981151526199</c:v>
                </c:pt>
                <c:pt idx="188">
                  <c:v>1926.7961432506499</c:v>
                </c:pt>
                <c:pt idx="189">
                  <c:v>1881.3099173553799</c:v>
                </c:pt>
                <c:pt idx="190">
                  <c:v>1892.9681122881302</c:v>
                </c:pt>
                <c:pt idx="191">
                  <c:v>1991.28030878548</c:v>
                </c:pt>
                <c:pt idx="192">
                  <c:v>2008.8182547173601</c:v>
                </c:pt>
                <c:pt idx="193">
                  <c:v>1989.6545059354999</c:v>
                </c:pt>
                <c:pt idx="194">
                  <c:v>1922.64742694044</c:v>
                </c:pt>
                <c:pt idx="195">
                  <c:v>1850.4392348982301</c:v>
                </c:pt>
                <c:pt idx="196">
                  <c:v>1876.4238414300398</c:v>
                </c:pt>
                <c:pt idx="197">
                  <c:v>1883.1574537529</c:v>
                </c:pt>
                <c:pt idx="198">
                  <c:v>1883.5012139323401</c:v>
                </c:pt>
                <c:pt idx="199">
                  <c:v>1893.1642950422799</c:v>
                </c:pt>
                <c:pt idx="200">
                  <c:v>1947.39794151008</c:v>
                </c:pt>
                <c:pt idx="201">
                  <c:v>1969.89202531769</c:v>
                </c:pt>
                <c:pt idx="202">
                  <c:v>1902.4571053232698</c:v>
                </c:pt>
                <c:pt idx="203">
                  <c:v>1918.3799434307898</c:v>
                </c:pt>
                <c:pt idx="204">
                  <c:v>1916.13774246296</c:v>
                </c:pt>
                <c:pt idx="205">
                  <c:v>1932.2702726687198</c:v>
                </c:pt>
                <c:pt idx="206">
                  <c:v>1940.2262960780902</c:v>
                </c:pt>
                <c:pt idx="207">
                  <c:v>1965.4618681991199</c:v>
                </c:pt>
                <c:pt idx="208">
                  <c:v>1977.67371515641</c:v>
                </c:pt>
                <c:pt idx="209">
                  <c:v>1974.7171191634798</c:v>
                </c:pt>
                <c:pt idx="210">
                  <c:v>1993.3542767697897</c:v>
                </c:pt>
                <c:pt idx="211">
                  <c:v>2006.1486409046697</c:v>
                </c:pt>
                <c:pt idx="212">
                  <c:v>2009.5228740769603</c:v>
                </c:pt>
                <c:pt idx="213">
                  <c:v>2070.8276508065801</c:v>
                </c:pt>
                <c:pt idx="214">
                  <c:v>2054.7421238195698</c:v>
                </c:pt>
                <c:pt idx="215">
                  <c:v>2071.3981623190703</c:v>
                </c:pt>
                <c:pt idx="216">
                  <c:v>2055.24308177175</c:v>
                </c:pt>
                <c:pt idx="217">
                  <c:v>1980.1691819379701</c:v>
                </c:pt>
                <c:pt idx="218">
                  <c:v>1928.6736863268598</c:v>
                </c:pt>
                <c:pt idx="219">
                  <c:v>1857.0281368951598</c:v>
                </c:pt>
                <c:pt idx="220">
                  <c:v>1803.92646827406</c:v>
                </c:pt>
                <c:pt idx="221">
                  <c:v>1839.9192366320799</c:v>
                </c:pt>
                <c:pt idx="222">
                  <c:v>1844.1709951293101</c:v>
                </c:pt>
                <c:pt idx="223">
                  <c:v>1786.9013914405</c:v>
                </c:pt>
                <c:pt idx="224">
                  <c:v>1797.7439168320898</c:v>
                </c:pt>
                <c:pt idx="225">
                  <c:v>1713.6742400542701</c:v>
                </c:pt>
                <c:pt idx="226">
                  <c:v>1961.37396694216</c:v>
                </c:pt>
                <c:pt idx="227">
                  <c:v>1924.1336088153898</c:v>
                </c:pt>
                <c:pt idx="228">
                  <c:v>1955.29215992849</c:v>
                </c:pt>
                <c:pt idx="229">
                  <c:v>1960.2606241015601</c:v>
                </c:pt>
                <c:pt idx="230">
                  <c:v>1959.7176007857702</c:v>
                </c:pt>
                <c:pt idx="231">
                  <c:v>1961.6061994925699</c:v>
                </c:pt>
                <c:pt idx="232">
                  <c:v>1911.5934953076899</c:v>
                </c:pt>
                <c:pt idx="233">
                  <c:v>1909.85399449036</c:v>
                </c:pt>
                <c:pt idx="234">
                  <c:v>1903.77623580663</c:v>
                </c:pt>
                <c:pt idx="235">
                  <c:v>1904.1016966079299</c:v>
                </c:pt>
                <c:pt idx="236">
                  <c:v>1887.3844548582802</c:v>
                </c:pt>
                <c:pt idx="237">
                  <c:v>1861.81121845245</c:v>
                </c:pt>
                <c:pt idx="238">
                  <c:v>1806.40235836793</c:v>
                </c:pt>
                <c:pt idx="239">
                  <c:v>1785.86890199098</c:v>
                </c:pt>
                <c:pt idx="240">
                  <c:v>1798.40716046173</c:v>
                </c:pt>
                <c:pt idx="241">
                  <c:v>1942.7469352616699</c:v>
                </c:pt>
                <c:pt idx="242">
                  <c:v>1931.0323174931498</c:v>
                </c:pt>
                <c:pt idx="243">
                  <c:v>1944.7724001377701</c:v>
                </c:pt>
                <c:pt idx="244">
                  <c:v>1937.1497359962998</c:v>
                </c:pt>
                <c:pt idx="245">
                  <c:v>1970.9407970691898</c:v>
                </c:pt>
                <c:pt idx="246">
                  <c:v>1952.4783043562702</c:v>
                </c:pt>
                <c:pt idx="247">
                  <c:v>1923.9235394304799</c:v>
                </c:pt>
                <c:pt idx="248">
                  <c:v>1926.8353518536201</c:v>
                </c:pt>
                <c:pt idx="249">
                  <c:v>1932.1956884291401</c:v>
                </c:pt>
                <c:pt idx="250">
                  <c:v>1934.6919993108402</c:v>
                </c:pt>
                <c:pt idx="251">
                  <c:v>2009.9770796057901</c:v>
                </c:pt>
                <c:pt idx="252">
                  <c:v>2003.5761324585801</c:v>
                </c:pt>
                <c:pt idx="253">
                  <c:v>2037.23443612079</c:v>
                </c:pt>
                <c:pt idx="254">
                  <c:v>1962.4866124866098</c:v>
                </c:pt>
                <c:pt idx="255">
                  <c:v>1980.5565482838497</c:v>
                </c:pt>
                <c:pt idx="256">
                  <c:v>1911.8191912182099</c:v>
                </c:pt>
                <c:pt idx="257">
                  <c:v>1884.6295344141899</c:v>
                </c:pt>
                <c:pt idx="258">
                  <c:v>1899.68104533825</c:v>
                </c:pt>
                <c:pt idx="259">
                  <c:v>1941.6874228337999</c:v>
                </c:pt>
                <c:pt idx="260">
                  <c:v>1984.7796143251101</c:v>
                </c:pt>
                <c:pt idx="261">
                  <c:v>2002.9690082644699</c:v>
                </c:pt>
                <c:pt idx="262">
                  <c:v>1980.24862258958</c:v>
                </c:pt>
                <c:pt idx="263">
                  <c:v>1928.2933884297299</c:v>
                </c:pt>
                <c:pt idx="264">
                  <c:v>1959.83126721761</c:v>
                </c:pt>
                <c:pt idx="265">
                  <c:v>1995.44559228655</c:v>
                </c:pt>
                <c:pt idx="266">
                  <c:v>2008.89462809922</c:v>
                </c:pt>
                <c:pt idx="267">
                  <c:v>2001.0881542699899</c:v>
                </c:pt>
                <c:pt idx="268">
                  <c:v>1982.5047779522502</c:v>
                </c:pt>
                <c:pt idx="269">
                  <c:v>1968.1125541126</c:v>
                </c:pt>
                <c:pt idx="270">
                  <c:v>2028.1474345013798</c:v>
                </c:pt>
                <c:pt idx="271">
                  <c:v>2004.22012012705</c:v>
                </c:pt>
                <c:pt idx="272">
                  <c:v>1918.4553277109198</c:v>
                </c:pt>
                <c:pt idx="273">
                  <c:v>1904.51695625195</c:v>
                </c:pt>
                <c:pt idx="274">
                  <c:v>1878.12528699973</c:v>
                </c:pt>
                <c:pt idx="275">
                  <c:v>1877.66037020267</c:v>
                </c:pt>
                <c:pt idx="276">
                  <c:v>1866.0611079663499</c:v>
                </c:pt>
                <c:pt idx="277">
                  <c:v>1978.0060719272601</c:v>
                </c:pt>
                <c:pt idx="278">
                  <c:v>1997.7794728102901</c:v>
                </c:pt>
                <c:pt idx="279">
                  <c:v>1976.9588663723598</c:v>
                </c:pt>
                <c:pt idx="280">
                  <c:v>1906.0793029925501</c:v>
                </c:pt>
                <c:pt idx="281">
                  <c:v>1932.0129816219098</c:v>
                </c:pt>
                <c:pt idx="282">
                  <c:v>1973.39909996605</c:v>
                </c:pt>
                <c:pt idx="283">
                  <c:v>1965.2508755047202</c:v>
                </c:pt>
                <c:pt idx="284">
                  <c:v>2000.09210347562</c:v>
                </c:pt>
                <c:pt idx="285">
                  <c:v>1991.3480470961201</c:v>
                </c:pt>
                <c:pt idx="286">
                  <c:v>1985.60112457078</c:v>
                </c:pt>
                <c:pt idx="287">
                  <c:v>1973.39609607906</c:v>
                </c:pt>
                <c:pt idx="288">
                  <c:v>1989.7201649119302</c:v>
                </c:pt>
                <c:pt idx="289">
                  <c:v>2031.7245721651002</c:v>
                </c:pt>
                <c:pt idx="290">
                  <c:v>2028.35828949795</c:v>
                </c:pt>
                <c:pt idx="291">
                  <c:v>2005.2276444471997</c:v>
                </c:pt>
                <c:pt idx="292">
                  <c:v>2005.2997328946799</c:v>
                </c:pt>
                <c:pt idx="293">
                  <c:v>1996.31219574649</c:v>
                </c:pt>
                <c:pt idx="294">
                  <c:v>1987.9813221427298</c:v>
                </c:pt>
                <c:pt idx="295">
                  <c:v>1988.6774179883801</c:v>
                </c:pt>
                <c:pt idx="296">
                  <c:v>2009.4275014078298</c:v>
                </c:pt>
                <c:pt idx="297">
                  <c:v>1981.4749008379199</c:v>
                </c:pt>
                <c:pt idx="298">
                  <c:v>1987.0940782780899</c:v>
                </c:pt>
                <c:pt idx="299">
                  <c:v>1945.75070153826</c:v>
                </c:pt>
                <c:pt idx="300">
                  <c:v>1964.4034771772099</c:v>
                </c:pt>
                <c:pt idx="301">
                  <c:v>1898.5403894142</c:v>
                </c:pt>
                <c:pt idx="302">
                  <c:v>1865.2116898776799</c:v>
                </c:pt>
                <c:pt idx="303">
                  <c:v>1859.75274624191</c:v>
                </c:pt>
                <c:pt idx="304">
                  <c:v>1926.69462095002</c:v>
                </c:pt>
                <c:pt idx="305">
                  <c:v>1945.0438021295199</c:v>
                </c:pt>
                <c:pt idx="306">
                  <c:v>1937.8557665360399</c:v>
                </c:pt>
                <c:pt idx="307">
                  <c:v>1944.61575490674</c:v>
                </c:pt>
                <c:pt idx="308">
                  <c:v>1955.3951385512501</c:v>
                </c:pt>
                <c:pt idx="309">
                  <c:v>1929.8203075104498</c:v>
                </c:pt>
                <c:pt idx="310">
                  <c:v>1922.0172595727397</c:v>
                </c:pt>
                <c:pt idx="311">
                  <c:v>1896.6336531404299</c:v>
                </c:pt>
                <c:pt idx="312">
                  <c:v>1932.4364063900798</c:v>
                </c:pt>
                <c:pt idx="313">
                  <c:v>1926.6694726783899</c:v>
                </c:pt>
                <c:pt idx="314">
                  <c:v>1931.28806790931</c:v>
                </c:pt>
                <c:pt idx="315">
                  <c:v>1918.99591469348</c:v>
                </c:pt>
                <c:pt idx="316">
                  <c:v>2018.3581741859498</c:v>
                </c:pt>
                <c:pt idx="317">
                  <c:v>2018.3279115002401</c:v>
                </c:pt>
                <c:pt idx="318">
                  <c:v>1981.9723212641302</c:v>
                </c:pt>
                <c:pt idx="319">
                  <c:v>1937.5423849423398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C5-A149-8DCD-C9CC91FAA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7A-D146-9372-905ECCFEEFFB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'240821B003'!$A$2:$A$321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'240821B003'!$P$2:$P$321</c:f>
              <c:numCache>
                <c:formatCode>General</c:formatCode>
                <c:ptCount val="320"/>
                <c:pt idx="0">
                  <c:v>1.8420188023300488</c:v>
                </c:pt>
                <c:pt idx="1">
                  <c:v>-1.6258287265724296</c:v>
                </c:pt>
                <c:pt idx="2">
                  <c:v>-2.165388378207032</c:v>
                </c:pt>
                <c:pt idx="3">
                  <c:v>-2.1531394408779208</c:v>
                </c:pt>
                <c:pt idx="4">
                  <c:v>0.67371897257320823</c:v>
                </c:pt>
                <c:pt idx="5">
                  <c:v>29.402650798735298</c:v>
                </c:pt>
                <c:pt idx="6">
                  <c:v>30.5263928435545</c:v>
                </c:pt>
                <c:pt idx="7">
                  <c:v>25.721001252684118</c:v>
                </c:pt>
                <c:pt idx="8">
                  <c:v>-4.8257449290010221</c:v>
                </c:pt>
                <c:pt idx="9">
                  <c:v>-11.823458248727544</c:v>
                </c:pt>
                <c:pt idx="10">
                  <c:v>-11.420479841262511</c:v>
                </c:pt>
                <c:pt idx="11">
                  <c:v>-13.056483597460558</c:v>
                </c:pt>
                <c:pt idx="12">
                  <c:v>-13.46531266680055</c:v>
                </c:pt>
                <c:pt idx="13">
                  <c:v>-12.029413131934428</c:v>
                </c:pt>
                <c:pt idx="14">
                  <c:v>-11.032534704852564</c:v>
                </c:pt>
                <c:pt idx="15">
                  <c:v>-11.207215937885865</c:v>
                </c:pt>
                <c:pt idx="16">
                  <c:v>-10.785018095057712</c:v>
                </c:pt>
                <c:pt idx="17">
                  <c:v>-10.920752433539755</c:v>
                </c:pt>
                <c:pt idx="18">
                  <c:v>-11.146049667764993</c:v>
                </c:pt>
                <c:pt idx="19">
                  <c:v>-12.135253920564395</c:v>
                </c:pt>
                <c:pt idx="20">
                  <c:v>-7.5563601838932719</c:v>
                </c:pt>
                <c:pt idx="21">
                  <c:v>-7.9649733679136636</c:v>
                </c:pt>
                <c:pt idx="22">
                  <c:v>-11.384116322592138</c:v>
                </c:pt>
                <c:pt idx="23">
                  <c:v>-9.6823787635850831</c:v>
                </c:pt>
                <c:pt idx="24">
                  <c:v>-9.9745360406362344</c:v>
                </c:pt>
                <c:pt idx="25">
                  <c:v>-8.7308269339180544</c:v>
                </c:pt>
                <c:pt idx="26">
                  <c:v>-8.5198977563880618</c:v>
                </c:pt>
                <c:pt idx="27">
                  <c:v>-8.2019527370852696</c:v>
                </c:pt>
                <c:pt idx="28">
                  <c:v>-9.0851999640748478</c:v>
                </c:pt>
                <c:pt idx="29">
                  <c:v>-10.633184679334491</c:v>
                </c:pt>
                <c:pt idx="30">
                  <c:v>-8.6050096307351289</c:v>
                </c:pt>
                <c:pt idx="31">
                  <c:v>-7.6460052888385297</c:v>
                </c:pt>
                <c:pt idx="32">
                  <c:v>-7.4186874679983239</c:v>
                </c:pt>
                <c:pt idx="33">
                  <c:v>-7.1285115337775968</c:v>
                </c:pt>
                <c:pt idx="34">
                  <c:v>-7.095195010076222</c:v>
                </c:pt>
                <c:pt idx="35">
                  <c:v>-7.408538603663863</c:v>
                </c:pt>
                <c:pt idx="36">
                  <c:v>-6.7796525466028577</c:v>
                </c:pt>
                <c:pt idx="37">
                  <c:v>-6.5363800963562033</c:v>
                </c:pt>
                <c:pt idx="38">
                  <c:v>-4.3699991897737771</c:v>
                </c:pt>
                <c:pt idx="39">
                  <c:v>-2.3354470826896598</c:v>
                </c:pt>
                <c:pt idx="40">
                  <c:v>-1.5228216181837717</c:v>
                </c:pt>
                <c:pt idx="41">
                  <c:v>-1.0778249698161286</c:v>
                </c:pt>
                <c:pt idx="42">
                  <c:v>-2.7902688024538285</c:v>
                </c:pt>
                <c:pt idx="43">
                  <c:v>-2.189506348527761</c:v>
                </c:pt>
                <c:pt idx="44">
                  <c:v>-4.2172325735782943</c:v>
                </c:pt>
                <c:pt idx="45">
                  <c:v>-4.4081733036008259</c:v>
                </c:pt>
                <c:pt idx="46">
                  <c:v>-3.8142341423473192</c:v>
                </c:pt>
                <c:pt idx="47">
                  <c:v>-5.2199060374558153</c:v>
                </c:pt>
                <c:pt idx="48">
                  <c:v>-4.6179308924230043</c:v>
                </c:pt>
                <c:pt idx="49">
                  <c:v>-4.6933834220672814</c:v>
                </c:pt>
                <c:pt idx="50">
                  <c:v>0.89695565153723755</c:v>
                </c:pt>
                <c:pt idx="51">
                  <c:v>7.960576048436832</c:v>
                </c:pt>
                <c:pt idx="52">
                  <c:v>5.541065695682172</c:v>
                </c:pt>
                <c:pt idx="53">
                  <c:v>4.2785552252818908</c:v>
                </c:pt>
                <c:pt idx="54">
                  <c:v>2.9495746398979108</c:v>
                </c:pt>
                <c:pt idx="55">
                  <c:v>2.9011404874665834</c:v>
                </c:pt>
                <c:pt idx="56">
                  <c:v>2.2215720654312521</c:v>
                </c:pt>
                <c:pt idx="57">
                  <c:v>1.8462745562911904</c:v>
                </c:pt>
                <c:pt idx="58">
                  <c:v>-0.10756515631383416</c:v>
                </c:pt>
                <c:pt idx="59">
                  <c:v>-5.4950011000795364E-2</c:v>
                </c:pt>
                <c:pt idx="60">
                  <c:v>-0.32178487581101423</c:v>
                </c:pt>
                <c:pt idx="61">
                  <c:v>-1.0368623818072757</c:v>
                </c:pt>
                <c:pt idx="62">
                  <c:v>-0.97636654255371913</c:v>
                </c:pt>
                <c:pt idx="63">
                  <c:v>-1.0346555828484041</c:v>
                </c:pt>
                <c:pt idx="64">
                  <c:v>-1.1487278031811565</c:v>
                </c:pt>
                <c:pt idx="65">
                  <c:v>-1.2216222046092797</c:v>
                </c:pt>
                <c:pt idx="66">
                  <c:v>-0.80171367567278495</c:v>
                </c:pt>
                <c:pt idx="67">
                  <c:v>-0.6066050508735964</c:v>
                </c:pt>
                <c:pt idx="68">
                  <c:v>-1.0127804539090162</c:v>
                </c:pt>
                <c:pt idx="69">
                  <c:v>-1.7805133390375705</c:v>
                </c:pt>
                <c:pt idx="70">
                  <c:v>-1.6982579841316612</c:v>
                </c:pt>
                <c:pt idx="71">
                  <c:v>-3.0972608774130288</c:v>
                </c:pt>
                <c:pt idx="72">
                  <c:v>-3.5056321284525342</c:v>
                </c:pt>
                <c:pt idx="73">
                  <c:v>-3.3323656303731299</c:v>
                </c:pt>
                <c:pt idx="74">
                  <c:v>-3.8718689474913255</c:v>
                </c:pt>
                <c:pt idx="75">
                  <c:v>-2.8889817570550602</c:v>
                </c:pt>
                <c:pt idx="76">
                  <c:v>5.6195315596051163</c:v>
                </c:pt>
                <c:pt idx="77">
                  <c:v>11.704345985199078</c:v>
                </c:pt>
                <c:pt idx="78">
                  <c:v>6.2022775630164348</c:v>
                </c:pt>
                <c:pt idx="79">
                  <c:v>4.809844127399912</c:v>
                </c:pt>
                <c:pt idx="80">
                  <c:v>3.6207588852767376</c:v>
                </c:pt>
                <c:pt idx="81">
                  <c:v>2.0913138520633345</c:v>
                </c:pt>
                <c:pt idx="82">
                  <c:v>2.4139160511057329</c:v>
                </c:pt>
                <c:pt idx="83">
                  <c:v>4.1736128233949739</c:v>
                </c:pt>
                <c:pt idx="84">
                  <c:v>4.4385238266714255</c:v>
                </c:pt>
                <c:pt idx="85">
                  <c:v>8.3951475094930039</c:v>
                </c:pt>
                <c:pt idx="86">
                  <c:v>12.566874048706522</c:v>
                </c:pt>
                <c:pt idx="87">
                  <c:v>14.347789604062127</c:v>
                </c:pt>
                <c:pt idx="88">
                  <c:v>18.161589491420727</c:v>
                </c:pt>
                <c:pt idx="89">
                  <c:v>20.896273504280565</c:v>
                </c:pt>
                <c:pt idx="90">
                  <c:v>20.313843559521725</c:v>
                </c:pt>
                <c:pt idx="91">
                  <c:v>17.576793927201614</c:v>
                </c:pt>
                <c:pt idx="92">
                  <c:v>16.87414094354801</c:v>
                </c:pt>
                <c:pt idx="93">
                  <c:v>16.422306392435381</c:v>
                </c:pt>
                <c:pt idx="94">
                  <c:v>15.543546747852515</c:v>
                </c:pt>
                <c:pt idx="95">
                  <c:v>13.104436743157738</c:v>
                </c:pt>
                <c:pt idx="96">
                  <c:v>12.916257551783222</c:v>
                </c:pt>
                <c:pt idx="97">
                  <c:v>11.899909470121417</c:v>
                </c:pt>
                <c:pt idx="98">
                  <c:v>14.402927524139109</c:v>
                </c:pt>
                <c:pt idx="99">
                  <c:v>16.415469166141879</c:v>
                </c:pt>
                <c:pt idx="100">
                  <c:v>16.778879909642079</c:v>
                </c:pt>
                <c:pt idx="101">
                  <c:v>16.704552999262859</c:v>
                </c:pt>
                <c:pt idx="102">
                  <c:v>18.298641164789135</c:v>
                </c:pt>
                <c:pt idx="103">
                  <c:v>17.206548856183403</c:v>
                </c:pt>
                <c:pt idx="104">
                  <c:v>17.273120537211025</c:v>
                </c:pt>
                <c:pt idx="105">
                  <c:v>17.505929982737246</c:v>
                </c:pt>
                <c:pt idx="106">
                  <c:v>17.656471003872273</c:v>
                </c:pt>
                <c:pt idx="107">
                  <c:v>16.629621918549965</c:v>
                </c:pt>
                <c:pt idx="108">
                  <c:v>14.941214767138872</c:v>
                </c:pt>
                <c:pt idx="109">
                  <c:v>16.305346027942775</c:v>
                </c:pt>
                <c:pt idx="110">
                  <c:v>16.075915137567812</c:v>
                </c:pt>
                <c:pt idx="111">
                  <c:v>15.741630437242845</c:v>
                </c:pt>
                <c:pt idx="112">
                  <c:v>13.893635479570959</c:v>
                </c:pt>
                <c:pt idx="113">
                  <c:v>14.489618633613926</c:v>
                </c:pt>
                <c:pt idx="114">
                  <c:v>13.364358449483065</c:v>
                </c:pt>
                <c:pt idx="115">
                  <c:v>14.35833177205221</c:v>
                </c:pt>
                <c:pt idx="116">
                  <c:v>22.588515800334292</c:v>
                </c:pt>
                <c:pt idx="117">
                  <c:v>26.133526513862922</c:v>
                </c:pt>
                <c:pt idx="118">
                  <c:v>27.411281377770408</c:v>
                </c:pt>
                <c:pt idx="119">
                  <c:v>24.944034971070661</c:v>
                </c:pt>
                <c:pt idx="120">
                  <c:v>23.981167475023575</c:v>
                </c:pt>
                <c:pt idx="121">
                  <c:v>22.427284741983357</c:v>
                </c:pt>
                <c:pt idx="122">
                  <c:v>21.494613050022419</c:v>
                </c:pt>
                <c:pt idx="123">
                  <c:v>21.239897820535372</c:v>
                </c:pt>
                <c:pt idx="124">
                  <c:v>19.605445394531973</c:v>
                </c:pt>
                <c:pt idx="125">
                  <c:v>18.509202750954458</c:v>
                </c:pt>
                <c:pt idx="126">
                  <c:v>18.276912459445171</c:v>
                </c:pt>
                <c:pt idx="127">
                  <c:v>18.146753250869128</c:v>
                </c:pt>
                <c:pt idx="128">
                  <c:v>17.695045107933126</c:v>
                </c:pt>
                <c:pt idx="129">
                  <c:v>18.055914447333482</c:v>
                </c:pt>
                <c:pt idx="130">
                  <c:v>17.929715363145821</c:v>
                </c:pt>
                <c:pt idx="131">
                  <c:v>19.646932002946819</c:v>
                </c:pt>
                <c:pt idx="132">
                  <c:v>21.008981310391114</c:v>
                </c:pt>
                <c:pt idx="133">
                  <c:v>19.933517122453594</c:v>
                </c:pt>
                <c:pt idx="134">
                  <c:v>18.353064267649856</c:v>
                </c:pt>
                <c:pt idx="135">
                  <c:v>18.661522982330165</c:v>
                </c:pt>
                <c:pt idx="136">
                  <c:v>20.636189467895449</c:v>
                </c:pt>
                <c:pt idx="137">
                  <c:v>23.293213448048302</c:v>
                </c:pt>
                <c:pt idx="138">
                  <c:v>22.904484856408793</c:v>
                </c:pt>
                <c:pt idx="139">
                  <c:v>24.561264679314238</c:v>
                </c:pt>
                <c:pt idx="140">
                  <c:v>24.507092000972627</c:v>
                </c:pt>
                <c:pt idx="141">
                  <c:v>22.542594448875661</c:v>
                </c:pt>
                <c:pt idx="142">
                  <c:v>21.177355240411387</c:v>
                </c:pt>
                <c:pt idx="143">
                  <c:v>25.479013540043105</c:v>
                </c:pt>
                <c:pt idx="144">
                  <c:v>28.723897536528366</c:v>
                </c:pt>
                <c:pt idx="145">
                  <c:v>28.147919091517981</c:v>
                </c:pt>
                <c:pt idx="146">
                  <c:v>27.817898844849147</c:v>
                </c:pt>
                <c:pt idx="147">
                  <c:v>25.614721406247291</c:v>
                </c:pt>
                <c:pt idx="148">
                  <c:v>22.671529136527763</c:v>
                </c:pt>
                <c:pt idx="149">
                  <c:v>21.438634950397731</c:v>
                </c:pt>
                <c:pt idx="150">
                  <c:v>19.554583621612746</c:v>
                </c:pt>
                <c:pt idx="151">
                  <c:v>19.610139165170331</c:v>
                </c:pt>
                <c:pt idx="152">
                  <c:v>22.69857672914312</c:v>
                </c:pt>
                <c:pt idx="153">
                  <c:v>25.858793120493935</c:v>
                </c:pt>
                <c:pt idx="154">
                  <c:v>27.527208064760373</c:v>
                </c:pt>
                <c:pt idx="155">
                  <c:v>27.045390801724778</c:v>
                </c:pt>
                <c:pt idx="156">
                  <c:v>22.542173462606829</c:v>
                </c:pt>
                <c:pt idx="157">
                  <c:v>18.774040237734042</c:v>
                </c:pt>
                <c:pt idx="158">
                  <c:v>16.394828496302598</c:v>
                </c:pt>
                <c:pt idx="159">
                  <c:v>15.560185883241473</c:v>
                </c:pt>
                <c:pt idx="160">
                  <c:v>14.259488429122205</c:v>
                </c:pt>
                <c:pt idx="161">
                  <c:v>13.604598963202594</c:v>
                </c:pt>
                <c:pt idx="162">
                  <c:v>14.515104692501518</c:v>
                </c:pt>
                <c:pt idx="163">
                  <c:v>15.900235284890748</c:v>
                </c:pt>
                <c:pt idx="164">
                  <c:v>24.377939625521787</c:v>
                </c:pt>
                <c:pt idx="165">
                  <c:v>28.813788089336214</c:v>
                </c:pt>
                <c:pt idx="166">
                  <c:v>38.707226425601775</c:v>
                </c:pt>
                <c:pt idx="167">
                  <c:v>38.901192694753306</c:v>
                </c:pt>
                <c:pt idx="168">
                  <c:v>31.915250279062235</c:v>
                </c:pt>
                <c:pt idx="169">
                  <c:v>30.323420764671432</c:v>
                </c:pt>
                <c:pt idx="170">
                  <c:v>28.767968513831203</c:v>
                </c:pt>
                <c:pt idx="171">
                  <c:v>25.912839652606245</c:v>
                </c:pt>
                <c:pt idx="172">
                  <c:v>30.99503649414266</c:v>
                </c:pt>
                <c:pt idx="173">
                  <c:v>40.523665625940097</c:v>
                </c:pt>
                <c:pt idx="174">
                  <c:v>45.713081549404407</c:v>
                </c:pt>
                <c:pt idx="175">
                  <c:v>48.036724652798405</c:v>
                </c:pt>
                <c:pt idx="176">
                  <c:v>44.536952109858142</c:v>
                </c:pt>
                <c:pt idx="177">
                  <c:v>41.659441000238793</c:v>
                </c:pt>
                <c:pt idx="178">
                  <c:v>46.703583787513139</c:v>
                </c:pt>
                <c:pt idx="179">
                  <c:v>43.641597461223334</c:v>
                </c:pt>
                <c:pt idx="180">
                  <c:v>50.469538740099487</c:v>
                </c:pt>
                <c:pt idx="181">
                  <c:v>43.929906484003503</c:v>
                </c:pt>
                <c:pt idx="182">
                  <c:v>40.688725948979688</c:v>
                </c:pt>
                <c:pt idx="183">
                  <c:v>37.392217728795515</c:v>
                </c:pt>
                <c:pt idx="184">
                  <c:v>34.944257743156676</c:v>
                </c:pt>
                <c:pt idx="185">
                  <c:v>37.153982325052851</c:v>
                </c:pt>
                <c:pt idx="186">
                  <c:v>43.794244862534285</c:v>
                </c:pt>
                <c:pt idx="187">
                  <c:v>54.045216914736017</c:v>
                </c:pt>
                <c:pt idx="188">
                  <c:v>56.101127935264415</c:v>
                </c:pt>
                <c:pt idx="189">
                  <c:v>49.466662120271884</c:v>
                </c:pt>
                <c:pt idx="190">
                  <c:v>47.90812355504049</c:v>
                </c:pt>
                <c:pt idx="191">
                  <c:v>46.497134020063847</c:v>
                </c:pt>
                <c:pt idx="192">
                  <c:v>41.916597863640419</c:v>
                </c:pt>
                <c:pt idx="193">
                  <c:v>39.616294953179867</c:v>
                </c:pt>
                <c:pt idx="194">
                  <c:v>37.687444427175443</c:v>
                </c:pt>
                <c:pt idx="195">
                  <c:v>42.661364576013291</c:v>
                </c:pt>
                <c:pt idx="196">
                  <c:v>56.838858617379714</c:v>
                </c:pt>
                <c:pt idx="197">
                  <c:v>60.23457439082167</c:v>
                </c:pt>
                <c:pt idx="198">
                  <c:v>59.125375807053985</c:v>
                </c:pt>
                <c:pt idx="199">
                  <c:v>55.860863316150798</c:v>
                </c:pt>
                <c:pt idx="200">
                  <c:v>53.597522036546117</c:v>
                </c:pt>
                <c:pt idx="201">
                  <c:v>54.862190683549684</c:v>
                </c:pt>
                <c:pt idx="202">
                  <c:v>63.057102291946833</c:v>
                </c:pt>
                <c:pt idx="203">
                  <c:v>66.878263984964747</c:v>
                </c:pt>
                <c:pt idx="204">
                  <c:v>61.605788600440093</c:v>
                </c:pt>
                <c:pt idx="205">
                  <c:v>57.285645788617281</c:v>
                </c:pt>
                <c:pt idx="206">
                  <c:v>51.529860164760223</c:v>
                </c:pt>
                <c:pt idx="207">
                  <c:v>51.511546075932749</c:v>
                </c:pt>
                <c:pt idx="208">
                  <c:v>58.880126551698318</c:v>
                </c:pt>
                <c:pt idx="209">
                  <c:v>57.238923695873858</c:v>
                </c:pt>
                <c:pt idx="210">
                  <c:v>61.974823626065266</c:v>
                </c:pt>
                <c:pt idx="211">
                  <c:v>61.25971017544294</c:v>
                </c:pt>
                <c:pt idx="212">
                  <c:v>54.519327000965198</c:v>
                </c:pt>
                <c:pt idx="213">
                  <c:v>51.577470868180384</c:v>
                </c:pt>
                <c:pt idx="214">
                  <c:v>49.158995071104471</c:v>
                </c:pt>
                <c:pt idx="215">
                  <c:v>45.000672795930846</c:v>
                </c:pt>
                <c:pt idx="216">
                  <c:v>42.305698942819944</c:v>
                </c:pt>
                <c:pt idx="217">
                  <c:v>45.062957787951227</c:v>
                </c:pt>
                <c:pt idx="218">
                  <c:v>47.898472643011523</c:v>
                </c:pt>
                <c:pt idx="219">
                  <c:v>50.19466533495531</c:v>
                </c:pt>
                <c:pt idx="220">
                  <c:v>50.629609565380676</c:v>
                </c:pt>
                <c:pt idx="221">
                  <c:v>52.857432980711735</c:v>
                </c:pt>
                <c:pt idx="222">
                  <c:v>54.078035158616174</c:v>
                </c:pt>
                <c:pt idx="223">
                  <c:v>52.132014030459374</c:v>
                </c:pt>
                <c:pt idx="224">
                  <c:v>51.269755079421195</c:v>
                </c:pt>
                <c:pt idx="225">
                  <c:v>47.124470602507607</c:v>
                </c:pt>
                <c:pt idx="226">
                  <c:v>50.260435577256523</c:v>
                </c:pt>
                <c:pt idx="227">
                  <c:v>48.126362464167919</c:v>
                </c:pt>
                <c:pt idx="228">
                  <c:v>46.313952824067968</c:v>
                </c:pt>
                <c:pt idx="229">
                  <c:v>43.311781642390429</c:v>
                </c:pt>
                <c:pt idx="230">
                  <c:v>40.551296200957296</c:v>
                </c:pt>
                <c:pt idx="231">
                  <c:v>39.690163305856203</c:v>
                </c:pt>
                <c:pt idx="232">
                  <c:v>43.623071218959375</c:v>
                </c:pt>
                <c:pt idx="233">
                  <c:v>53.396808751588452</c:v>
                </c:pt>
                <c:pt idx="234">
                  <c:v>53.326460565048563</c:v>
                </c:pt>
                <c:pt idx="235">
                  <c:v>50.928543660821127</c:v>
                </c:pt>
                <c:pt idx="236">
                  <c:v>48.944574372118893</c:v>
                </c:pt>
                <c:pt idx="237">
                  <c:v>46.66735271493387</c:v>
                </c:pt>
                <c:pt idx="238">
                  <c:v>46.935063198376866</c:v>
                </c:pt>
                <c:pt idx="239">
                  <c:v>45.773834378192582</c:v>
                </c:pt>
                <c:pt idx="240">
                  <c:v>45.899269697395383</c:v>
                </c:pt>
                <c:pt idx="241">
                  <c:v>48.461704195634823</c:v>
                </c:pt>
                <c:pt idx="242">
                  <c:v>48.385873704523632</c:v>
                </c:pt>
                <c:pt idx="243">
                  <c:v>46.740348726992572</c:v>
                </c:pt>
                <c:pt idx="244">
                  <c:v>46.004227701711429</c:v>
                </c:pt>
                <c:pt idx="245">
                  <c:v>48.015734752862869</c:v>
                </c:pt>
                <c:pt idx="246">
                  <c:v>53.840831198329809</c:v>
                </c:pt>
                <c:pt idx="247">
                  <c:v>60.021042875443783</c:v>
                </c:pt>
                <c:pt idx="248">
                  <c:v>60.808364930799307</c:v>
                </c:pt>
                <c:pt idx="249">
                  <c:v>57.062838113152168</c:v>
                </c:pt>
                <c:pt idx="250">
                  <c:v>57.165190729846607</c:v>
                </c:pt>
                <c:pt idx="251">
                  <c:v>58.90536251631702</c:v>
                </c:pt>
                <c:pt idx="252">
                  <c:v>53.096131208412423</c:v>
                </c:pt>
                <c:pt idx="253">
                  <c:v>49.97824856585077</c:v>
                </c:pt>
                <c:pt idx="254">
                  <c:v>47.901176770596372</c:v>
                </c:pt>
                <c:pt idx="255">
                  <c:v>45.343064286653103</c:v>
                </c:pt>
                <c:pt idx="256">
                  <c:v>45.018675507285522</c:v>
                </c:pt>
                <c:pt idx="257">
                  <c:v>45.7573349672981</c:v>
                </c:pt>
                <c:pt idx="258">
                  <c:v>50.04764961318989</c:v>
                </c:pt>
                <c:pt idx="259">
                  <c:v>53.309308532572011</c:v>
                </c:pt>
                <c:pt idx="260">
                  <c:v>56.845243957259292</c:v>
                </c:pt>
                <c:pt idx="261">
                  <c:v>54.733142406631586</c:v>
                </c:pt>
                <c:pt idx="262">
                  <c:v>56.194643260109601</c:v>
                </c:pt>
                <c:pt idx="263">
                  <c:v>59.991871447153379</c:v>
                </c:pt>
                <c:pt idx="264">
                  <c:v>56.066371446314058</c:v>
                </c:pt>
                <c:pt idx="265">
                  <c:v>52.127109367406142</c:v>
                </c:pt>
                <c:pt idx="266">
                  <c:v>48.316854162470477</c:v>
                </c:pt>
                <c:pt idx="267">
                  <c:v>45.965811795063999</c:v>
                </c:pt>
                <c:pt idx="268">
                  <c:v>44.54074435848306</c:v>
                </c:pt>
                <c:pt idx="269">
                  <c:v>42.902924632917127</c:v>
                </c:pt>
                <c:pt idx="270">
                  <c:v>41.156383386364261</c:v>
                </c:pt>
                <c:pt idx="271">
                  <c:v>39.407056611131495</c:v>
                </c:pt>
                <c:pt idx="272">
                  <c:v>38.169156830163352</c:v>
                </c:pt>
                <c:pt idx="273">
                  <c:v>36.900695024004833</c:v>
                </c:pt>
                <c:pt idx="274">
                  <c:v>39.172591422021405</c:v>
                </c:pt>
                <c:pt idx="275">
                  <c:v>42.925717430678574</c:v>
                </c:pt>
                <c:pt idx="276">
                  <c:v>47.799308056168485</c:v>
                </c:pt>
                <c:pt idx="277">
                  <c:v>49.889036424564424</c:v>
                </c:pt>
                <c:pt idx="278">
                  <c:v>49.710511136423115</c:v>
                </c:pt>
                <c:pt idx="279">
                  <c:v>52.243901655779268</c:v>
                </c:pt>
                <c:pt idx="280">
                  <c:v>52.716521710989369</c:v>
                </c:pt>
                <c:pt idx="281">
                  <c:v>52.824919699993565</c:v>
                </c:pt>
                <c:pt idx="282">
                  <c:v>54.392765323020676</c:v>
                </c:pt>
                <c:pt idx="283">
                  <c:v>50.98654466820053</c:v>
                </c:pt>
                <c:pt idx="284">
                  <c:v>47.345579894882974</c:v>
                </c:pt>
                <c:pt idx="285">
                  <c:v>44.561680461637245</c:v>
                </c:pt>
                <c:pt idx="286">
                  <c:v>43.087636999209941</c:v>
                </c:pt>
                <c:pt idx="287">
                  <c:v>40.973494700063625</c:v>
                </c:pt>
                <c:pt idx="288">
                  <c:v>45.382632892193065</c:v>
                </c:pt>
                <c:pt idx="289">
                  <c:v>44.583125059184191</c:v>
                </c:pt>
                <c:pt idx="290">
                  <c:v>41.950335690643485</c:v>
                </c:pt>
                <c:pt idx="291">
                  <c:v>40.026946007218974</c:v>
                </c:pt>
                <c:pt idx="292">
                  <c:v>38.793018272569547</c:v>
                </c:pt>
                <c:pt idx="293">
                  <c:v>38.091857364217994</c:v>
                </c:pt>
                <c:pt idx="294">
                  <c:v>35.725738059056617</c:v>
                </c:pt>
                <c:pt idx="295">
                  <c:v>35.574393245864833</c:v>
                </c:pt>
                <c:pt idx="296">
                  <c:v>34.34841229608989</c:v>
                </c:pt>
                <c:pt idx="297">
                  <c:v>32.631514123845825</c:v>
                </c:pt>
                <c:pt idx="298">
                  <c:v>31.878319188569332</c:v>
                </c:pt>
                <c:pt idx="299">
                  <c:v>32.145238340034851</c:v>
                </c:pt>
                <c:pt idx="300">
                  <c:v>32.25191277091762</c:v>
                </c:pt>
                <c:pt idx="301">
                  <c:v>34.956692626776245</c:v>
                </c:pt>
                <c:pt idx="302">
                  <c:v>38.960873459772777</c:v>
                </c:pt>
                <c:pt idx="303">
                  <c:v>43.976525375623652</c:v>
                </c:pt>
                <c:pt idx="304">
                  <c:v>40.210704375974693</c:v>
                </c:pt>
                <c:pt idx="305">
                  <c:v>37.233451355488612</c:v>
                </c:pt>
                <c:pt idx="306">
                  <c:v>35.996844980627962</c:v>
                </c:pt>
                <c:pt idx="307">
                  <c:v>35.340090127644345</c:v>
                </c:pt>
                <c:pt idx="308">
                  <c:v>37.588875772391859</c:v>
                </c:pt>
                <c:pt idx="309">
                  <c:v>37.510102069198211</c:v>
                </c:pt>
                <c:pt idx="310">
                  <c:v>36.486605278325399</c:v>
                </c:pt>
                <c:pt idx="311">
                  <c:v>34.913628468568362</c:v>
                </c:pt>
                <c:pt idx="312">
                  <c:v>34.259309917242284</c:v>
                </c:pt>
                <c:pt idx="313">
                  <c:v>31.435030846536705</c:v>
                </c:pt>
                <c:pt idx="314">
                  <c:v>30.159698195695356</c:v>
                </c:pt>
                <c:pt idx="315">
                  <c:v>29.676153015710842</c:v>
                </c:pt>
                <c:pt idx="316">
                  <c:v>30.564827023650707</c:v>
                </c:pt>
                <c:pt idx="317">
                  <c:v>29.927273651005137</c:v>
                </c:pt>
                <c:pt idx="318">
                  <c:v>29.205825574598528</c:v>
                </c:pt>
                <c:pt idx="319">
                  <c:v>29.417784378810897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7A-D146-9372-905ECCFEE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'240821B004'!$A$2:$A$321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'240821B004'!$J$2:$J$321</c:f>
              <c:numCache>
                <c:formatCode>0.0</c:formatCode>
                <c:ptCount val="320"/>
                <c:pt idx="0">
                  <c:v>3927.2242491532502</c:v>
                </c:pt>
                <c:pt idx="1">
                  <c:v>3859.88654495228</c:v>
                </c:pt>
                <c:pt idx="2">
                  <c:v>3816.9059458905399</c:v>
                </c:pt>
                <c:pt idx="3">
                  <c:v>3811.7748856164098</c:v>
                </c:pt>
                <c:pt idx="4">
                  <c:v>3607.8643062261699</c:v>
                </c:pt>
                <c:pt idx="5">
                  <c:v>3296.9980119284601</c:v>
                </c:pt>
                <c:pt idx="6">
                  <c:v>3284.2842942346001</c:v>
                </c:pt>
                <c:pt idx="7">
                  <c:v>3704.7316103379999</c:v>
                </c:pt>
                <c:pt idx="8">
                  <c:v>3624.38874140392</c:v>
                </c:pt>
                <c:pt idx="9">
                  <c:v>3667.4144553834499</c:v>
                </c:pt>
                <c:pt idx="10">
                  <c:v>3676.4706908251401</c:v>
                </c:pt>
                <c:pt idx="11">
                  <c:v>3669.4492942544098</c:v>
                </c:pt>
                <c:pt idx="12">
                  <c:v>3730.7455466800402</c:v>
                </c:pt>
                <c:pt idx="13">
                  <c:v>3660.5462256401802</c:v>
                </c:pt>
                <c:pt idx="14">
                  <c:v>3685.24540580862</c:v>
                </c:pt>
                <c:pt idx="15">
                  <c:v>3701.34968829733</c:v>
                </c:pt>
                <c:pt idx="16">
                  <c:v>3695.1433157542301</c:v>
                </c:pt>
                <c:pt idx="17">
                  <c:v>3682.6605119780802</c:v>
                </c:pt>
                <c:pt idx="18">
                  <c:v>3605.7600584120401</c:v>
                </c:pt>
                <c:pt idx="19">
                  <c:v>3439.8077939548098</c:v>
                </c:pt>
                <c:pt idx="20">
                  <c:v>3981.9593372306099</c:v>
                </c:pt>
                <c:pt idx="21">
                  <c:v>3980.0350890687596</c:v>
                </c:pt>
                <c:pt idx="22">
                  <c:v>3718.9079586227699</c:v>
                </c:pt>
                <c:pt idx="23">
                  <c:v>3694.3766761977499</c:v>
                </c:pt>
                <c:pt idx="24">
                  <c:v>3728.68817176624</c:v>
                </c:pt>
                <c:pt idx="25">
                  <c:v>3742.6775720180904</c:v>
                </c:pt>
                <c:pt idx="26">
                  <c:v>3655.2973196676699</c:v>
                </c:pt>
                <c:pt idx="27">
                  <c:v>3651.4339896873698</c:v>
                </c:pt>
                <c:pt idx="28">
                  <c:v>3663.45107244979</c:v>
                </c:pt>
                <c:pt idx="29">
                  <c:v>3555.5267993632101</c:v>
                </c:pt>
                <c:pt idx="30">
                  <c:v>3500.08006596514</c:v>
                </c:pt>
                <c:pt idx="31">
                  <c:v>3485.0220422232001</c:v>
                </c:pt>
                <c:pt idx="32">
                  <c:v>3495.7766779185699</c:v>
                </c:pt>
                <c:pt idx="33">
                  <c:v>3551.2303358314298</c:v>
                </c:pt>
                <c:pt idx="34">
                  <c:v>3582.5024528799399</c:v>
                </c:pt>
                <c:pt idx="35">
                  <c:v>3574.9647528586902</c:v>
                </c:pt>
                <c:pt idx="36">
                  <c:v>3540.8313925024404</c:v>
                </c:pt>
                <c:pt idx="37">
                  <c:v>3509.0768906005296</c:v>
                </c:pt>
                <c:pt idx="38">
                  <c:v>3484.4224959316698</c:v>
                </c:pt>
                <c:pt idx="39">
                  <c:v>3614.6882626781098</c:v>
                </c:pt>
                <c:pt idx="40">
                  <c:v>3826.2034865434603</c:v>
                </c:pt>
                <c:pt idx="41">
                  <c:v>3986.6335697259196</c:v>
                </c:pt>
                <c:pt idx="42">
                  <c:v>4122.7082351355102</c:v>
                </c:pt>
                <c:pt idx="43">
                  <c:v>3989.3968095712999</c:v>
                </c:pt>
                <c:pt idx="44">
                  <c:v>4000.72358074881</c:v>
                </c:pt>
                <c:pt idx="45">
                  <c:v>3741.9070310808197</c:v>
                </c:pt>
                <c:pt idx="46">
                  <c:v>3878.24125019653</c:v>
                </c:pt>
                <c:pt idx="47">
                  <c:v>3781.4011188126697</c:v>
                </c:pt>
                <c:pt idx="48">
                  <c:v>4078.9269759926597</c:v>
                </c:pt>
                <c:pt idx="49">
                  <c:v>4018.26992625914</c:v>
                </c:pt>
                <c:pt idx="50">
                  <c:v>4098.2524712284603</c:v>
                </c:pt>
                <c:pt idx="51">
                  <c:v>3872.7614473160997</c:v>
                </c:pt>
                <c:pt idx="52">
                  <c:v>3695.4841856141502</c:v>
                </c:pt>
                <c:pt idx="53">
                  <c:v>3567.7168890941598</c:v>
                </c:pt>
                <c:pt idx="54">
                  <c:v>3562.4348673660797</c:v>
                </c:pt>
                <c:pt idx="55">
                  <c:v>3434.5366594054999</c:v>
                </c:pt>
                <c:pt idx="56">
                  <c:v>3635.2689438942302</c:v>
                </c:pt>
                <c:pt idx="57">
                  <c:v>3692.9382961490301</c:v>
                </c:pt>
                <c:pt idx="58">
                  <c:v>3858.3149212296398</c:v>
                </c:pt>
                <c:pt idx="59">
                  <c:v>3738.5525136036499</c:v>
                </c:pt>
                <c:pt idx="60">
                  <c:v>3735.9893883709601</c:v>
                </c:pt>
                <c:pt idx="61">
                  <c:v>3895.1645465850097</c:v>
                </c:pt>
                <c:pt idx="62">
                  <c:v>3799.5757932563397</c:v>
                </c:pt>
                <c:pt idx="63">
                  <c:v>3830.4007640664199</c:v>
                </c:pt>
                <c:pt idx="64">
                  <c:v>3855.6150012277103</c:v>
                </c:pt>
                <c:pt idx="65">
                  <c:v>3832.7273906362198</c:v>
                </c:pt>
                <c:pt idx="66">
                  <c:v>3842.1343399602397</c:v>
                </c:pt>
                <c:pt idx="67">
                  <c:v>3720.6438548707702</c:v>
                </c:pt>
                <c:pt idx="68">
                  <c:v>3922.6058455238499</c:v>
                </c:pt>
                <c:pt idx="69">
                  <c:v>3881.3685380255301</c:v>
                </c:pt>
                <c:pt idx="70">
                  <c:v>3920.03065883312</c:v>
                </c:pt>
                <c:pt idx="71">
                  <c:v>3961.3574058138497</c:v>
                </c:pt>
                <c:pt idx="72">
                  <c:v>3943.0936055309899</c:v>
                </c:pt>
                <c:pt idx="73">
                  <c:v>3769.6666335652699</c:v>
                </c:pt>
                <c:pt idx="74">
                  <c:v>3788.9434253619297</c:v>
                </c:pt>
                <c:pt idx="75">
                  <c:v>3953.4202601848901</c:v>
                </c:pt>
                <c:pt idx="76">
                  <c:v>3927.5408402757603</c:v>
                </c:pt>
                <c:pt idx="77">
                  <c:v>3925.4655992616003</c:v>
                </c:pt>
                <c:pt idx="78">
                  <c:v>4147.0768275916307</c:v>
                </c:pt>
                <c:pt idx="79">
                  <c:v>4080.2778216274201</c:v>
                </c:pt>
                <c:pt idx="80">
                  <c:v>4167.6515652354801</c:v>
                </c:pt>
                <c:pt idx="81">
                  <c:v>4055.5210696022896</c:v>
                </c:pt>
                <c:pt idx="82">
                  <c:v>4192.5671137680902</c:v>
                </c:pt>
                <c:pt idx="83">
                  <c:v>4107.0721057503897</c:v>
                </c:pt>
                <c:pt idx="84">
                  <c:v>4248.30212179301</c:v>
                </c:pt>
                <c:pt idx="85">
                  <c:v>4246.0225531730703</c:v>
                </c:pt>
                <c:pt idx="86">
                  <c:v>4178.9521995014502</c:v>
                </c:pt>
                <c:pt idx="87">
                  <c:v>4110.5830138218798</c:v>
                </c:pt>
                <c:pt idx="88">
                  <c:v>3810.70613743286</c:v>
                </c:pt>
                <c:pt idx="89">
                  <c:v>3821.8724740664597</c:v>
                </c:pt>
                <c:pt idx="90">
                  <c:v>3791.1645434325001</c:v>
                </c:pt>
                <c:pt idx="91">
                  <c:v>3774.2124815463603</c:v>
                </c:pt>
                <c:pt idx="92">
                  <c:v>4051.8342019595898</c:v>
                </c:pt>
                <c:pt idx="93">
                  <c:v>3858.2817675619199</c:v>
                </c:pt>
                <c:pt idx="94">
                  <c:v>4184.6170762067695</c:v>
                </c:pt>
                <c:pt idx="95">
                  <c:v>4098.3245839023493</c:v>
                </c:pt>
                <c:pt idx="96">
                  <c:v>4164.4531217480398</c:v>
                </c:pt>
                <c:pt idx="97">
                  <c:v>4158.97218582817</c:v>
                </c:pt>
                <c:pt idx="98">
                  <c:v>3845.78727634199</c:v>
                </c:pt>
                <c:pt idx="99">
                  <c:v>3855.2345924453703</c:v>
                </c:pt>
                <c:pt idx="100">
                  <c:v>3786.2216699800802</c:v>
                </c:pt>
                <c:pt idx="101">
                  <c:v>3645.3508946321799</c:v>
                </c:pt>
                <c:pt idx="102">
                  <c:v>3530.6898608350298</c:v>
                </c:pt>
                <c:pt idx="103">
                  <c:v>3754.60834990064</c:v>
                </c:pt>
                <c:pt idx="104">
                  <c:v>3970.04404036701</c:v>
                </c:pt>
                <c:pt idx="105">
                  <c:v>4064.0029821073695</c:v>
                </c:pt>
                <c:pt idx="106">
                  <c:v>3966.8856858846798</c:v>
                </c:pt>
                <c:pt idx="107">
                  <c:v>4185.16600397614</c:v>
                </c:pt>
                <c:pt idx="108">
                  <c:v>4231.2196819085693</c:v>
                </c:pt>
                <c:pt idx="109">
                  <c:v>4000.5278330019401</c:v>
                </c:pt>
                <c:pt idx="110">
                  <c:v>3862.2445328031999</c:v>
                </c:pt>
                <c:pt idx="111">
                  <c:v>4073.1309141200395</c:v>
                </c:pt>
                <c:pt idx="112">
                  <c:v>3824.0145117319998</c:v>
                </c:pt>
                <c:pt idx="113">
                  <c:v>3804.98650412896</c:v>
                </c:pt>
                <c:pt idx="114">
                  <c:v>3817.6499565481499</c:v>
                </c:pt>
                <c:pt idx="115">
                  <c:v>3807.4601036003896</c:v>
                </c:pt>
                <c:pt idx="116">
                  <c:v>4022.9165009940502</c:v>
                </c:pt>
                <c:pt idx="117">
                  <c:v>3962.4681908548596</c:v>
                </c:pt>
                <c:pt idx="118">
                  <c:v>3728.9189464805004</c:v>
                </c:pt>
                <c:pt idx="119">
                  <c:v>3618.6287607029003</c:v>
                </c:pt>
                <c:pt idx="120">
                  <c:v>3698.5825671591501</c:v>
                </c:pt>
                <c:pt idx="121">
                  <c:v>3807.5995186565501</c:v>
                </c:pt>
                <c:pt idx="122">
                  <c:v>4077.3612532184598</c:v>
                </c:pt>
                <c:pt idx="123">
                  <c:v>4275.3788923148004</c:v>
                </c:pt>
                <c:pt idx="124">
                  <c:v>4215.2309893136708</c:v>
                </c:pt>
                <c:pt idx="125">
                  <c:v>4227.4279314135092</c:v>
                </c:pt>
                <c:pt idx="126">
                  <c:v>4108.5483269537099</c:v>
                </c:pt>
                <c:pt idx="127">
                  <c:v>3880.12227822363</c:v>
                </c:pt>
                <c:pt idx="128">
                  <c:v>3919.0306417195397</c:v>
                </c:pt>
                <c:pt idx="129">
                  <c:v>3987.4168733879801</c:v>
                </c:pt>
                <c:pt idx="130">
                  <c:v>3887.9459930211001</c:v>
                </c:pt>
                <c:pt idx="131">
                  <c:v>3756.15695618165</c:v>
                </c:pt>
                <c:pt idx="132">
                  <c:v>3811.4105397348098</c:v>
                </c:pt>
                <c:pt idx="133">
                  <c:v>3893.5353685616401</c:v>
                </c:pt>
                <c:pt idx="134">
                  <c:v>3845.94621369897</c:v>
                </c:pt>
                <c:pt idx="135">
                  <c:v>3771.01371060065</c:v>
                </c:pt>
                <c:pt idx="136">
                  <c:v>3725.2085376738501</c:v>
                </c:pt>
                <c:pt idx="137">
                  <c:v>3874.9438177673301</c:v>
                </c:pt>
                <c:pt idx="138">
                  <c:v>4195.63569184891</c:v>
                </c:pt>
                <c:pt idx="139">
                  <c:v>4202.7951312127198</c:v>
                </c:pt>
                <c:pt idx="140">
                  <c:v>4125.1867077534798</c:v>
                </c:pt>
                <c:pt idx="141">
                  <c:v>4036.40429423459</c:v>
                </c:pt>
                <c:pt idx="142">
                  <c:v>3992.5128409542704</c:v>
                </c:pt>
                <c:pt idx="143">
                  <c:v>3961.2712286282294</c:v>
                </c:pt>
                <c:pt idx="144">
                  <c:v>3860.2159999999999</c:v>
                </c:pt>
                <c:pt idx="145">
                  <c:v>3550.2495443182502</c:v>
                </c:pt>
                <c:pt idx="146">
                  <c:v>3864.2714393638198</c:v>
                </c:pt>
                <c:pt idx="147">
                  <c:v>3834.3685427435398</c:v>
                </c:pt>
                <c:pt idx="148">
                  <c:v>3725.5292644135197</c:v>
                </c:pt>
                <c:pt idx="149">
                  <c:v>3784.7995049701799</c:v>
                </c:pt>
                <c:pt idx="150">
                  <c:v>3843.0765009940396</c:v>
                </c:pt>
                <c:pt idx="151">
                  <c:v>3525.6093439364199</c:v>
                </c:pt>
                <c:pt idx="152">
                  <c:v>3519.6458539599403</c:v>
                </c:pt>
                <c:pt idx="153">
                  <c:v>3478.2514375895798</c:v>
                </c:pt>
                <c:pt idx="154">
                  <c:v>3816.2087475148696</c:v>
                </c:pt>
                <c:pt idx="155">
                  <c:v>3628.9493041749602</c:v>
                </c:pt>
                <c:pt idx="156">
                  <c:v>3608.2922465208999</c:v>
                </c:pt>
                <c:pt idx="157">
                  <c:v>3463.3162261491302</c:v>
                </c:pt>
                <c:pt idx="158">
                  <c:v>3549.4148772702697</c:v>
                </c:pt>
                <c:pt idx="159">
                  <c:v>3798.8019257588398</c:v>
                </c:pt>
                <c:pt idx="160">
                  <c:v>3901.6020089778899</c:v>
                </c:pt>
                <c:pt idx="161">
                  <c:v>3500.0484376458999</c:v>
                </c:pt>
                <c:pt idx="162">
                  <c:v>3532.3378927235599</c:v>
                </c:pt>
                <c:pt idx="163">
                  <c:v>3871.80218687877</c:v>
                </c:pt>
                <c:pt idx="164">
                  <c:v>3841.5924453280199</c:v>
                </c:pt>
                <c:pt idx="165">
                  <c:v>3789.7027833002198</c:v>
                </c:pt>
                <c:pt idx="166">
                  <c:v>3652.3854358994299</c:v>
                </c:pt>
                <c:pt idx="167">
                  <c:v>3672.6550695825299</c:v>
                </c:pt>
                <c:pt idx="168">
                  <c:v>3882.0884691848601</c:v>
                </c:pt>
                <c:pt idx="169">
                  <c:v>3589.53441491782</c:v>
                </c:pt>
                <c:pt idx="170">
                  <c:v>3632.0524100196199</c:v>
                </c:pt>
                <c:pt idx="171">
                  <c:v>3649.3208775099902</c:v>
                </c:pt>
                <c:pt idx="172">
                  <c:v>3471.5477481985899</c:v>
                </c:pt>
                <c:pt idx="173">
                  <c:v>3786.4915591198301</c:v>
                </c:pt>
                <c:pt idx="174">
                  <c:v>4016.5647864564103</c:v>
                </c:pt>
                <c:pt idx="175">
                  <c:v>3918.0901686974803</c:v>
                </c:pt>
                <c:pt idx="176">
                  <c:v>4140.7486970071204</c:v>
                </c:pt>
                <c:pt idx="177">
                  <c:v>4022.4656286505201</c:v>
                </c:pt>
                <c:pt idx="178">
                  <c:v>3864.18417542322</c:v>
                </c:pt>
                <c:pt idx="179">
                  <c:v>3756.7234319998602</c:v>
                </c:pt>
                <c:pt idx="180">
                  <c:v>3751.49730810762</c:v>
                </c:pt>
                <c:pt idx="181">
                  <c:v>3574.3607461486799</c:v>
                </c:pt>
                <c:pt idx="182">
                  <c:v>3471.3261079007202</c:v>
                </c:pt>
                <c:pt idx="183">
                  <c:v>3451.2488445691201</c:v>
                </c:pt>
                <c:pt idx="184">
                  <c:v>3546.8940797446498</c:v>
                </c:pt>
                <c:pt idx="185">
                  <c:v>3480.29990178455</c:v>
                </c:pt>
                <c:pt idx="186">
                  <c:v>3536.50483948895</c:v>
                </c:pt>
                <c:pt idx="187">
                  <c:v>3800.3721195217099</c:v>
                </c:pt>
                <c:pt idx="188">
                  <c:v>4022.9243899785802</c:v>
                </c:pt>
                <c:pt idx="189">
                  <c:v>3829.2809310966099</c:v>
                </c:pt>
                <c:pt idx="190">
                  <c:v>3522.6400497017898</c:v>
                </c:pt>
                <c:pt idx="191">
                  <c:v>3466.1255367793201</c:v>
                </c:pt>
                <c:pt idx="192">
                  <c:v>3523.2429204771402</c:v>
                </c:pt>
                <c:pt idx="193">
                  <c:v>3608.40232007952</c:v>
                </c:pt>
                <c:pt idx="194">
                  <c:v>3611.7223459244501</c:v>
                </c:pt>
                <c:pt idx="195">
                  <c:v>3595.9397355864799</c:v>
                </c:pt>
                <c:pt idx="196">
                  <c:v>3643.3251371769402</c:v>
                </c:pt>
                <c:pt idx="197">
                  <c:v>3648.30253081511</c:v>
                </c:pt>
                <c:pt idx="198">
                  <c:v>3563.7865606361802</c:v>
                </c:pt>
                <c:pt idx="199">
                  <c:v>3620.4971113320103</c:v>
                </c:pt>
                <c:pt idx="200">
                  <c:v>3631.7411053677902</c:v>
                </c:pt>
                <c:pt idx="201">
                  <c:v>3550.53838170974</c:v>
                </c:pt>
                <c:pt idx="202">
                  <c:v>3485.7187375745502</c:v>
                </c:pt>
                <c:pt idx="203">
                  <c:v>3463.7976302186898</c:v>
                </c:pt>
                <c:pt idx="204">
                  <c:v>3444.70285089463</c:v>
                </c:pt>
                <c:pt idx="205">
                  <c:v>3444.26343936382</c:v>
                </c:pt>
                <c:pt idx="206">
                  <c:v>3407.5228866799198</c:v>
                </c:pt>
                <c:pt idx="207">
                  <c:v>3379.8747594433403</c:v>
                </c:pt>
                <c:pt idx="208">
                  <c:v>3526.4181709741501</c:v>
                </c:pt>
                <c:pt idx="209">
                  <c:v>3522.1952445327997</c:v>
                </c:pt>
                <c:pt idx="210">
                  <c:v>3567.5222246520898</c:v>
                </c:pt>
                <c:pt idx="211">
                  <c:v>3505.4222533325701</c:v>
                </c:pt>
                <c:pt idx="212">
                  <c:v>3477.2386378937799</c:v>
                </c:pt>
                <c:pt idx="213">
                  <c:v>3451.5762991770698</c:v>
                </c:pt>
                <c:pt idx="214">
                  <c:v>3427.1540082216197</c:v>
                </c:pt>
                <c:pt idx="215">
                  <c:v>3356.2852367864903</c:v>
                </c:pt>
                <c:pt idx="216">
                  <c:v>3281.51436599523</c:v>
                </c:pt>
                <c:pt idx="217">
                  <c:v>3318.2256580041503</c:v>
                </c:pt>
                <c:pt idx="218">
                  <c:v>3174.95905443829</c:v>
                </c:pt>
                <c:pt idx="219">
                  <c:v>3195.6441648910904</c:v>
                </c:pt>
                <c:pt idx="220">
                  <c:v>3269.9547872129901</c:v>
                </c:pt>
                <c:pt idx="221">
                  <c:v>3278.5025682557803</c:v>
                </c:pt>
                <c:pt idx="222">
                  <c:v>3373.4177524494298</c:v>
                </c:pt>
                <c:pt idx="223">
                  <c:v>3359.6681405590198</c:v>
                </c:pt>
                <c:pt idx="224">
                  <c:v>3426.0300408702901</c:v>
                </c:pt>
                <c:pt idx="225">
                  <c:v>3442.3310436187203</c:v>
                </c:pt>
                <c:pt idx="226">
                  <c:v>3498.8766623367496</c:v>
                </c:pt>
                <c:pt idx="227">
                  <c:v>3452.2032862585402</c:v>
                </c:pt>
                <c:pt idx="228">
                  <c:v>3524.9030993322704</c:v>
                </c:pt>
                <c:pt idx="229">
                  <c:v>3546.5941938013198</c:v>
                </c:pt>
                <c:pt idx="230">
                  <c:v>3506.7519187662597</c:v>
                </c:pt>
                <c:pt idx="231">
                  <c:v>3513.1344740322902</c:v>
                </c:pt>
                <c:pt idx="232">
                  <c:v>3606.1288504036102</c:v>
                </c:pt>
                <c:pt idx="233">
                  <c:v>3602.1709919764003</c:v>
                </c:pt>
                <c:pt idx="234">
                  <c:v>3522.8890283795199</c:v>
                </c:pt>
                <c:pt idx="235">
                  <c:v>3564.5770714359096</c:v>
                </c:pt>
                <c:pt idx="236">
                  <c:v>3559.6388937292199</c:v>
                </c:pt>
                <c:pt idx="237">
                  <c:v>3519.5421301555398</c:v>
                </c:pt>
                <c:pt idx="238">
                  <c:v>3511.8048652529501</c:v>
                </c:pt>
                <c:pt idx="239">
                  <c:v>3499.4778629808202</c:v>
                </c:pt>
                <c:pt idx="240">
                  <c:v>3475.7285710341398</c:v>
                </c:pt>
                <c:pt idx="241">
                  <c:v>3417.8007352709501</c:v>
                </c:pt>
                <c:pt idx="242">
                  <c:v>3423.7857340086503</c:v>
                </c:pt>
                <c:pt idx="243">
                  <c:v>3472.7043493010196</c:v>
                </c:pt>
                <c:pt idx="244">
                  <c:v>3554.3503226671701</c:v>
                </c:pt>
                <c:pt idx="245">
                  <c:v>3473.26912335515</c:v>
                </c:pt>
                <c:pt idx="246">
                  <c:v>3388.94143078038</c:v>
                </c:pt>
                <c:pt idx="247">
                  <c:v>3404.5968356527801</c:v>
                </c:pt>
                <c:pt idx="248">
                  <c:v>3443.7637804128099</c:v>
                </c:pt>
                <c:pt idx="249">
                  <c:v>3394.01509987697</c:v>
                </c:pt>
                <c:pt idx="250">
                  <c:v>3331.7534416517301</c:v>
                </c:pt>
                <c:pt idx="251">
                  <c:v>3302.8832501025599</c:v>
                </c:pt>
                <c:pt idx="252">
                  <c:v>3246.8505692038298</c:v>
                </c:pt>
                <c:pt idx="253">
                  <c:v>3192.98208368834</c:v>
                </c:pt>
                <c:pt idx="254">
                  <c:v>3174.0444692952897</c:v>
                </c:pt>
                <c:pt idx="255">
                  <c:v>3230.2262890908601</c:v>
                </c:pt>
                <c:pt idx="256">
                  <c:v>3180.1326288301902</c:v>
                </c:pt>
                <c:pt idx="257">
                  <c:v>3163.32329830545</c:v>
                </c:pt>
                <c:pt idx="258">
                  <c:v>3192.54158185803</c:v>
                </c:pt>
                <c:pt idx="259">
                  <c:v>3196.8614661238503</c:v>
                </c:pt>
                <c:pt idx="260">
                  <c:v>3274.4933573164499</c:v>
                </c:pt>
                <c:pt idx="261">
                  <c:v>3543.37134139609</c:v>
                </c:pt>
                <c:pt idx="262">
                  <c:v>3472.1864842689797</c:v>
                </c:pt>
                <c:pt idx="263">
                  <c:v>3413.68201505251</c:v>
                </c:pt>
                <c:pt idx="264">
                  <c:v>3338.7142719082003</c:v>
                </c:pt>
                <c:pt idx="265">
                  <c:v>3295.9201655149</c:v>
                </c:pt>
                <c:pt idx="266">
                  <c:v>3278.6016874940901</c:v>
                </c:pt>
                <c:pt idx="267">
                  <c:v>3385.67048502632</c:v>
                </c:pt>
                <c:pt idx="268">
                  <c:v>3483.5743475654299</c:v>
                </c:pt>
                <c:pt idx="269">
                  <c:v>3430.5865521158898</c:v>
                </c:pt>
                <c:pt idx="270">
                  <c:v>3426.2125698191999</c:v>
                </c:pt>
                <c:pt idx="271">
                  <c:v>3396.25506879359</c:v>
                </c:pt>
                <c:pt idx="272">
                  <c:v>3388.8426465019302</c:v>
                </c:pt>
                <c:pt idx="273">
                  <c:v>3377.6086812458198</c:v>
                </c:pt>
                <c:pt idx="274">
                  <c:v>3363.6589628893603</c:v>
                </c:pt>
                <c:pt idx="275">
                  <c:v>3363.8962100413901</c:v>
                </c:pt>
                <c:pt idx="276">
                  <c:v>3442.69468703649</c:v>
                </c:pt>
                <c:pt idx="277">
                  <c:v>3282.9423715642602</c:v>
                </c:pt>
                <c:pt idx="278">
                  <c:v>3587.2590320489599</c:v>
                </c:pt>
                <c:pt idx="279">
                  <c:v>3702.6513421961299</c:v>
                </c:pt>
                <c:pt idx="280">
                  <c:v>3594.3109805771701</c:v>
                </c:pt>
                <c:pt idx="281">
                  <c:v>3525.9275364760701</c:v>
                </c:pt>
                <c:pt idx="282">
                  <c:v>3336.1171009833602</c:v>
                </c:pt>
                <c:pt idx="283">
                  <c:v>3132.262785203</c:v>
                </c:pt>
                <c:pt idx="284">
                  <c:v>3169.4979643573902</c:v>
                </c:pt>
                <c:pt idx="285">
                  <c:v>3267.9740541823799</c:v>
                </c:pt>
                <c:pt idx="286">
                  <c:v>3344.8513001592401</c:v>
                </c:pt>
                <c:pt idx="287">
                  <c:v>3240.63685350586</c:v>
                </c:pt>
                <c:pt idx="288">
                  <c:v>3238.2291920121002</c:v>
                </c:pt>
                <c:pt idx="289">
                  <c:v>3267.8664945649398</c:v>
                </c:pt>
                <c:pt idx="290">
                  <c:v>3301.3060918074102</c:v>
                </c:pt>
                <c:pt idx="291">
                  <c:v>3323.0360434408099</c:v>
                </c:pt>
                <c:pt idx="292">
                  <c:v>3429.6431757712999</c:v>
                </c:pt>
                <c:pt idx="293">
                  <c:v>3400.6511231120999</c:v>
                </c:pt>
                <c:pt idx="294">
                  <c:v>3385.1877511053099</c:v>
                </c:pt>
                <c:pt idx="295">
                  <c:v>3490.5407089800001</c:v>
                </c:pt>
                <c:pt idx="296">
                  <c:v>3515.0009000721898</c:v>
                </c:pt>
                <c:pt idx="297">
                  <c:v>3481.1779096565297</c:v>
                </c:pt>
                <c:pt idx="298">
                  <c:v>3436.1762371047498</c:v>
                </c:pt>
                <c:pt idx="299">
                  <c:v>3457.8140141188801</c:v>
                </c:pt>
                <c:pt idx="300">
                  <c:v>3444.63857969947</c:v>
                </c:pt>
                <c:pt idx="301">
                  <c:v>3479.9249473220498</c:v>
                </c:pt>
                <c:pt idx="302">
                  <c:v>3526.30171863029</c:v>
                </c:pt>
                <c:pt idx="303">
                  <c:v>3430.23543969088</c:v>
                </c:pt>
                <c:pt idx="304">
                  <c:v>3415.3483597916602</c:v>
                </c:pt>
                <c:pt idx="305">
                  <c:v>3361.14543955301</c:v>
                </c:pt>
                <c:pt idx="306">
                  <c:v>3363.36787402449</c:v>
                </c:pt>
                <c:pt idx="307">
                  <c:v>3402.46354676695</c:v>
                </c:pt>
                <c:pt idx="308">
                  <c:v>3346.4551363769501</c:v>
                </c:pt>
                <c:pt idx="309">
                  <c:v>3377.4026278404904</c:v>
                </c:pt>
                <c:pt idx="310">
                  <c:v>3374.3025001625701</c:v>
                </c:pt>
                <c:pt idx="311">
                  <c:v>3623.8270377733897</c:v>
                </c:pt>
                <c:pt idx="312">
                  <c:v>3469.93936381714</c:v>
                </c:pt>
                <c:pt idx="313">
                  <c:v>3509.3707753479503</c:v>
                </c:pt>
                <c:pt idx="314">
                  <c:v>3503.9671968190801</c:v>
                </c:pt>
                <c:pt idx="315">
                  <c:v>3610.4761431411398</c:v>
                </c:pt>
                <c:pt idx="316">
                  <c:v>3450.2814499144201</c:v>
                </c:pt>
                <c:pt idx="317">
                  <c:v>3490.4745664626403</c:v>
                </c:pt>
                <c:pt idx="318">
                  <c:v>3478.3134972344596</c:v>
                </c:pt>
                <c:pt idx="319">
                  <c:v>3482.2043717890597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3E-9244-8341-9953569DC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EE-5D47-AE32-B9442C972604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'240821B004'!$A$2:$A$321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'240821B004'!$P$2:$P$321</c:f>
              <c:numCache>
                <c:formatCode>General</c:formatCode>
                <c:ptCount val="320"/>
                <c:pt idx="0">
                  <c:v>0.43048873582544445</c:v>
                </c:pt>
                <c:pt idx="1">
                  <c:v>-0.47756176393415711</c:v>
                </c:pt>
                <c:pt idx="2">
                  <c:v>-0.97218453811159811</c:v>
                </c:pt>
                <c:pt idx="3">
                  <c:v>-1.2390969972293899</c:v>
                </c:pt>
                <c:pt idx="4">
                  <c:v>-1.0716294107279418</c:v>
                </c:pt>
                <c:pt idx="5">
                  <c:v>-3.0203227042272802</c:v>
                </c:pt>
                <c:pt idx="6">
                  <c:v>1.0966211824237995</c:v>
                </c:pt>
                <c:pt idx="7">
                  <c:v>-1.7966072445055368</c:v>
                </c:pt>
                <c:pt idx="8">
                  <c:v>-3.5411196553933668</c:v>
                </c:pt>
                <c:pt idx="9">
                  <c:v>-3.5065763885893309</c:v>
                </c:pt>
                <c:pt idx="10">
                  <c:v>-3.0412116612304585</c:v>
                </c:pt>
                <c:pt idx="11">
                  <c:v>-4.1050136388680132</c:v>
                </c:pt>
                <c:pt idx="12">
                  <c:v>-3.1529742378877734</c:v>
                </c:pt>
                <c:pt idx="13">
                  <c:v>-2.6828511903696031</c:v>
                </c:pt>
                <c:pt idx="14">
                  <c:v>-2.5351035663870527</c:v>
                </c:pt>
                <c:pt idx="15">
                  <c:v>-3.1836330492120362</c:v>
                </c:pt>
                <c:pt idx="16">
                  <c:v>-2.5346151615822716</c:v>
                </c:pt>
                <c:pt idx="17">
                  <c:v>-2.1575589339403223</c:v>
                </c:pt>
                <c:pt idx="18">
                  <c:v>-5.3908535769402093</c:v>
                </c:pt>
                <c:pt idx="19">
                  <c:v>-6.017627518214046</c:v>
                </c:pt>
                <c:pt idx="20">
                  <c:v>-3.8739483651655644</c:v>
                </c:pt>
                <c:pt idx="21">
                  <c:v>-3.7565231858028638</c:v>
                </c:pt>
                <c:pt idx="22">
                  <c:v>-3.8583741975698556</c:v>
                </c:pt>
                <c:pt idx="23">
                  <c:v>-1.8675231420040603</c:v>
                </c:pt>
                <c:pt idx="24">
                  <c:v>-0.38585224595972328</c:v>
                </c:pt>
                <c:pt idx="25">
                  <c:v>-1.3738497926756501</c:v>
                </c:pt>
                <c:pt idx="26">
                  <c:v>-1.0708778953612053</c:v>
                </c:pt>
                <c:pt idx="27">
                  <c:v>-0.85068696322308424</c:v>
                </c:pt>
                <c:pt idx="28">
                  <c:v>-0.38039545541243647</c:v>
                </c:pt>
                <c:pt idx="29">
                  <c:v>-0.60344658109135374</c:v>
                </c:pt>
                <c:pt idx="30">
                  <c:v>-2.4914719948752073</c:v>
                </c:pt>
                <c:pt idx="31">
                  <c:v>-3.5246643058930562</c:v>
                </c:pt>
                <c:pt idx="32">
                  <c:v>-3.1703677734694069</c:v>
                </c:pt>
                <c:pt idx="33">
                  <c:v>-2.5084621817091901</c:v>
                </c:pt>
                <c:pt idx="34">
                  <c:v>-2.7831089746095028</c:v>
                </c:pt>
                <c:pt idx="35">
                  <c:v>-2.7008031378154911</c:v>
                </c:pt>
                <c:pt idx="36">
                  <c:v>-3.0725352149454523</c:v>
                </c:pt>
                <c:pt idx="37">
                  <c:v>-3.469453126874543</c:v>
                </c:pt>
                <c:pt idx="38">
                  <c:v>-2.4666831269176357</c:v>
                </c:pt>
                <c:pt idx="39">
                  <c:v>-3.443940049456673</c:v>
                </c:pt>
                <c:pt idx="40">
                  <c:v>-1.829875176847678</c:v>
                </c:pt>
                <c:pt idx="41">
                  <c:v>-2.1923659641357993</c:v>
                </c:pt>
                <c:pt idx="42">
                  <c:v>-4.5359498818346298</c:v>
                </c:pt>
                <c:pt idx="43">
                  <c:v>-6.8782091839664519</c:v>
                </c:pt>
                <c:pt idx="44">
                  <c:v>-6.524103801694654</c:v>
                </c:pt>
                <c:pt idx="45">
                  <c:v>-3.3398170647860104</c:v>
                </c:pt>
                <c:pt idx="46">
                  <c:v>-0.94939144555042065</c:v>
                </c:pt>
                <c:pt idx="47">
                  <c:v>-3.4026776905454401</c:v>
                </c:pt>
                <c:pt idx="48">
                  <c:v>-1.0379678951538651</c:v>
                </c:pt>
                <c:pt idx="49">
                  <c:v>-2.5080937952782461</c:v>
                </c:pt>
                <c:pt idx="50">
                  <c:v>-1.8279802988779454</c:v>
                </c:pt>
                <c:pt idx="51">
                  <c:v>-4.0091769151978225</c:v>
                </c:pt>
                <c:pt idx="52">
                  <c:v>-2.440286751071278</c:v>
                </c:pt>
                <c:pt idx="53">
                  <c:v>-0.68627840326609124</c:v>
                </c:pt>
                <c:pt idx="54">
                  <c:v>-0.39144446269609429</c:v>
                </c:pt>
                <c:pt idx="55">
                  <c:v>-1.7187344766581465</c:v>
                </c:pt>
                <c:pt idx="56">
                  <c:v>-0.13777582023004736</c:v>
                </c:pt>
                <c:pt idx="57">
                  <c:v>-1.4267239453611604</c:v>
                </c:pt>
                <c:pt idx="58">
                  <c:v>-0.47665861087242345</c:v>
                </c:pt>
                <c:pt idx="59">
                  <c:v>-2.1262929901530252</c:v>
                </c:pt>
                <c:pt idx="60">
                  <c:v>-3.633393059798093</c:v>
                </c:pt>
                <c:pt idx="61">
                  <c:v>-2.9679364980999199</c:v>
                </c:pt>
                <c:pt idx="62">
                  <c:v>-3.5040133540893685</c:v>
                </c:pt>
                <c:pt idx="63">
                  <c:v>-1.1274526031486429</c:v>
                </c:pt>
                <c:pt idx="64">
                  <c:v>-0.80142785351068269</c:v>
                </c:pt>
                <c:pt idx="65">
                  <c:v>-0.47979820315318744</c:v>
                </c:pt>
                <c:pt idx="66">
                  <c:v>-1.3520048136886822</c:v>
                </c:pt>
                <c:pt idx="67">
                  <c:v>-2.5442138934822092</c:v>
                </c:pt>
                <c:pt idx="68">
                  <c:v>-0.67496738263276101</c:v>
                </c:pt>
                <c:pt idx="69">
                  <c:v>-1.5711440821095677</c:v>
                </c:pt>
                <c:pt idx="70">
                  <c:v>-0.53313963387635654</c:v>
                </c:pt>
                <c:pt idx="71">
                  <c:v>0.67204226572648562</c:v>
                </c:pt>
                <c:pt idx="72">
                  <c:v>1.0234936605708735</c:v>
                </c:pt>
                <c:pt idx="73">
                  <c:v>-0.32275485976830476</c:v>
                </c:pt>
                <c:pt idx="74">
                  <c:v>2.2385403200713059</c:v>
                </c:pt>
                <c:pt idx="75">
                  <c:v>3.8671466358946098</c:v>
                </c:pt>
                <c:pt idx="76">
                  <c:v>4.2718200690812678</c:v>
                </c:pt>
                <c:pt idx="77">
                  <c:v>3.1612278821476263</c:v>
                </c:pt>
                <c:pt idx="78">
                  <c:v>2.9375234579090002</c:v>
                </c:pt>
                <c:pt idx="79">
                  <c:v>1.3404519459565172</c:v>
                </c:pt>
                <c:pt idx="80">
                  <c:v>0.34423012719768004</c:v>
                </c:pt>
                <c:pt idx="81">
                  <c:v>-0.64854425816938144</c:v>
                </c:pt>
                <c:pt idx="82">
                  <c:v>-0.39402749994287306</c:v>
                </c:pt>
                <c:pt idx="83">
                  <c:v>-2.1305065828662619</c:v>
                </c:pt>
                <c:pt idx="84">
                  <c:v>2.1099137249352915</c:v>
                </c:pt>
                <c:pt idx="85">
                  <c:v>9.3195688697046677</c:v>
                </c:pt>
                <c:pt idx="86">
                  <c:v>9.8679809052959619</c:v>
                </c:pt>
                <c:pt idx="87">
                  <c:v>9.4648599689272697</c:v>
                </c:pt>
                <c:pt idx="88">
                  <c:v>7.8709639010937593</c:v>
                </c:pt>
                <c:pt idx="89">
                  <c:v>11.025977227604754</c:v>
                </c:pt>
                <c:pt idx="90">
                  <c:v>14.355020425795606</c:v>
                </c:pt>
                <c:pt idx="91">
                  <c:v>14.83583341235499</c:v>
                </c:pt>
                <c:pt idx="92">
                  <c:v>17.211254294604529</c:v>
                </c:pt>
                <c:pt idx="93">
                  <c:v>13.796912680825763</c:v>
                </c:pt>
                <c:pt idx="94">
                  <c:v>15.407468236385439</c:v>
                </c:pt>
                <c:pt idx="95">
                  <c:v>11.432032462154517</c:v>
                </c:pt>
                <c:pt idx="96">
                  <c:v>9.5588399070131853</c:v>
                </c:pt>
                <c:pt idx="97">
                  <c:v>9.5311158598939247</c:v>
                </c:pt>
                <c:pt idx="98">
                  <c:v>11.385066090159537</c:v>
                </c:pt>
                <c:pt idx="99">
                  <c:v>20.621694160415682</c:v>
                </c:pt>
                <c:pt idx="100">
                  <c:v>22.005753670400331</c:v>
                </c:pt>
                <c:pt idx="101">
                  <c:v>24.240935588997182</c:v>
                </c:pt>
                <c:pt idx="102">
                  <c:v>23.261052513361761</c:v>
                </c:pt>
                <c:pt idx="103">
                  <c:v>27.00261122564655</c:v>
                </c:pt>
                <c:pt idx="104">
                  <c:v>25.907438107066401</c:v>
                </c:pt>
                <c:pt idx="105">
                  <c:v>23.127372662990034</c:v>
                </c:pt>
                <c:pt idx="106">
                  <c:v>18.738514217474954</c:v>
                </c:pt>
                <c:pt idx="107">
                  <c:v>18.02330091435589</c:v>
                </c:pt>
                <c:pt idx="108">
                  <c:v>15.144603102287924</c:v>
                </c:pt>
                <c:pt idx="109">
                  <c:v>13.322432747340104</c:v>
                </c:pt>
                <c:pt idx="110">
                  <c:v>14.616032167933234</c:v>
                </c:pt>
                <c:pt idx="111">
                  <c:v>22.096112405332864</c:v>
                </c:pt>
                <c:pt idx="112">
                  <c:v>34.084855056926429</c:v>
                </c:pt>
                <c:pt idx="113">
                  <c:v>39.475881786288468</c:v>
                </c:pt>
                <c:pt idx="114">
                  <c:v>46.428242279141806</c:v>
                </c:pt>
                <c:pt idx="115">
                  <c:v>40.217684560395703</c:v>
                </c:pt>
                <c:pt idx="116">
                  <c:v>37.616461190638631</c:v>
                </c:pt>
                <c:pt idx="117">
                  <c:v>32.165854929574593</c:v>
                </c:pt>
                <c:pt idx="118">
                  <c:v>30.615414196320952</c:v>
                </c:pt>
                <c:pt idx="119">
                  <c:v>37.114982555486939</c:v>
                </c:pt>
                <c:pt idx="120">
                  <c:v>42.161565020072345</c:v>
                </c:pt>
                <c:pt idx="121">
                  <c:v>39.83179991926157</c:v>
                </c:pt>
                <c:pt idx="122">
                  <c:v>40.119689984059328</c:v>
                </c:pt>
                <c:pt idx="123">
                  <c:v>39.745261029158897</c:v>
                </c:pt>
                <c:pt idx="124">
                  <c:v>34.725603297759697</c:v>
                </c:pt>
                <c:pt idx="125">
                  <c:v>34.644796307155197</c:v>
                </c:pt>
                <c:pt idx="126">
                  <c:v>30.731556259266291</c:v>
                </c:pt>
                <c:pt idx="127">
                  <c:v>26.181023770316809</c:v>
                </c:pt>
                <c:pt idx="128">
                  <c:v>30.692790228158636</c:v>
                </c:pt>
                <c:pt idx="129">
                  <c:v>34.443495176245662</c:v>
                </c:pt>
                <c:pt idx="130">
                  <c:v>39.100740533224879</c:v>
                </c:pt>
                <c:pt idx="131">
                  <c:v>38.14507656446191</c:v>
                </c:pt>
                <c:pt idx="132">
                  <c:v>37.6365157845159</c:v>
                </c:pt>
                <c:pt idx="133">
                  <c:v>38.920398323818716</c:v>
                </c:pt>
                <c:pt idx="134">
                  <c:v>34.11770857903138</c:v>
                </c:pt>
                <c:pt idx="135">
                  <c:v>29.974425869650883</c:v>
                </c:pt>
                <c:pt idx="136">
                  <c:v>27.645666482027703</c:v>
                </c:pt>
                <c:pt idx="137">
                  <c:v>26.861992092064796</c:v>
                </c:pt>
                <c:pt idx="138">
                  <c:v>28.226441118726154</c:v>
                </c:pt>
                <c:pt idx="139">
                  <c:v>25.637867490854038</c:v>
                </c:pt>
                <c:pt idx="140">
                  <c:v>25.587528457555088</c:v>
                </c:pt>
                <c:pt idx="141">
                  <c:v>24.083535852971647</c:v>
                </c:pt>
                <c:pt idx="142">
                  <c:v>25.354604153524818</c:v>
                </c:pt>
                <c:pt idx="143">
                  <c:v>27.750089459052241</c:v>
                </c:pt>
                <c:pt idx="144">
                  <c:v>38.304814212141395</c:v>
                </c:pt>
                <c:pt idx="145">
                  <c:v>35.469974171937139</c:v>
                </c:pt>
                <c:pt idx="146">
                  <c:v>38.952452408248476</c:v>
                </c:pt>
                <c:pt idx="147">
                  <c:v>34.426102040959222</c:v>
                </c:pt>
                <c:pt idx="148">
                  <c:v>37.003289389547454</c:v>
                </c:pt>
                <c:pt idx="149">
                  <c:v>33.537598463122769</c:v>
                </c:pt>
                <c:pt idx="150">
                  <c:v>34.324358811375347</c:v>
                </c:pt>
                <c:pt idx="151">
                  <c:v>29.000883525558685</c:v>
                </c:pt>
                <c:pt idx="152">
                  <c:v>28.578169805399046</c:v>
                </c:pt>
                <c:pt idx="153">
                  <c:v>25.682620894412384</c:v>
                </c:pt>
                <c:pt idx="154">
                  <c:v>28.617279306100148</c:v>
                </c:pt>
                <c:pt idx="155">
                  <c:v>26.951534427744605</c:v>
                </c:pt>
                <c:pt idx="156">
                  <c:v>31.133778431180797</c:v>
                </c:pt>
                <c:pt idx="157">
                  <c:v>29.999014077224096</c:v>
                </c:pt>
                <c:pt idx="158">
                  <c:v>29.609511763603948</c:v>
                </c:pt>
                <c:pt idx="159">
                  <c:v>29.205455047329014</c:v>
                </c:pt>
                <c:pt idx="160">
                  <c:v>30.162409925362766</c:v>
                </c:pt>
                <c:pt idx="161">
                  <c:v>27.153084607174971</c:v>
                </c:pt>
                <c:pt idx="162">
                  <c:v>27.935179762746191</c:v>
                </c:pt>
                <c:pt idx="163">
                  <c:v>30.987209730071797</c:v>
                </c:pt>
                <c:pt idx="164">
                  <c:v>25.113610006234214</c:v>
                </c:pt>
                <c:pt idx="165">
                  <c:v>27.414443467229351</c:v>
                </c:pt>
                <c:pt idx="166">
                  <c:v>27.465455639867749</c:v>
                </c:pt>
                <c:pt idx="167">
                  <c:v>33.411355671497553</c:v>
                </c:pt>
                <c:pt idx="168">
                  <c:v>38.304052307837743</c:v>
                </c:pt>
                <c:pt idx="169">
                  <c:v>34.910960491110998</c:v>
                </c:pt>
                <c:pt idx="170">
                  <c:v>34.254836436387436</c:v>
                </c:pt>
                <c:pt idx="171">
                  <c:v>32.349077414425068</c:v>
                </c:pt>
                <c:pt idx="172">
                  <c:v>29.855588898115791</c:v>
                </c:pt>
                <c:pt idx="173">
                  <c:v>32.021506976585265</c:v>
                </c:pt>
                <c:pt idx="174">
                  <c:v>31.833970516300099</c:v>
                </c:pt>
                <c:pt idx="175">
                  <c:v>30.425937947701932</c:v>
                </c:pt>
                <c:pt idx="176">
                  <c:v>28.962675577450092</c:v>
                </c:pt>
                <c:pt idx="177">
                  <c:v>26.453044752371248</c:v>
                </c:pt>
                <c:pt idx="178">
                  <c:v>26.453704258808596</c:v>
                </c:pt>
                <c:pt idx="179">
                  <c:v>26.575581929308484</c:v>
                </c:pt>
                <c:pt idx="180">
                  <c:v>30.980292062173188</c:v>
                </c:pt>
                <c:pt idx="181">
                  <c:v>27.143660291899025</c:v>
                </c:pt>
                <c:pt idx="182">
                  <c:v>24.967434444642343</c:v>
                </c:pt>
                <c:pt idx="183">
                  <c:v>23.637503452215512</c:v>
                </c:pt>
                <c:pt idx="184">
                  <c:v>25.016344379205918</c:v>
                </c:pt>
                <c:pt idx="185">
                  <c:v>22.16105315145186</c:v>
                </c:pt>
                <c:pt idx="186">
                  <c:v>23.143580605778279</c:v>
                </c:pt>
                <c:pt idx="187">
                  <c:v>24.344384635421353</c:v>
                </c:pt>
                <c:pt idx="188">
                  <c:v>23.807109093219903</c:v>
                </c:pt>
                <c:pt idx="189">
                  <c:v>23.196779263817739</c:v>
                </c:pt>
                <c:pt idx="190">
                  <c:v>25.973330954392686</c:v>
                </c:pt>
                <c:pt idx="191">
                  <c:v>26.001637373595702</c:v>
                </c:pt>
                <c:pt idx="192">
                  <c:v>29.857441451654452</c:v>
                </c:pt>
                <c:pt idx="193">
                  <c:v>32.059001635110775</c:v>
                </c:pt>
                <c:pt idx="194">
                  <c:v>29.835497055725419</c:v>
                </c:pt>
                <c:pt idx="195">
                  <c:v>31.7056717839953</c:v>
                </c:pt>
                <c:pt idx="196">
                  <c:v>28.296122719978612</c:v>
                </c:pt>
                <c:pt idx="197">
                  <c:v>27.582424341721769</c:v>
                </c:pt>
                <c:pt idx="198">
                  <c:v>24.664012314890808</c:v>
                </c:pt>
                <c:pt idx="199">
                  <c:v>26.925377985116178</c:v>
                </c:pt>
                <c:pt idx="200">
                  <c:v>23.649214405494334</c:v>
                </c:pt>
                <c:pt idx="201">
                  <c:v>23.185237688672128</c:v>
                </c:pt>
                <c:pt idx="202">
                  <c:v>20.739878197965851</c:v>
                </c:pt>
                <c:pt idx="203">
                  <c:v>18.966311961229181</c:v>
                </c:pt>
                <c:pt idx="204">
                  <c:v>19.920531920995955</c:v>
                </c:pt>
                <c:pt idx="205">
                  <c:v>19.416203632362684</c:v>
                </c:pt>
                <c:pt idx="206">
                  <c:v>18.736905053992817</c:v>
                </c:pt>
                <c:pt idx="207">
                  <c:v>18.173724338652004</c:v>
                </c:pt>
                <c:pt idx="208">
                  <c:v>18.481664648280447</c:v>
                </c:pt>
                <c:pt idx="209">
                  <c:v>18.351376792038799</c:v>
                </c:pt>
                <c:pt idx="210">
                  <c:v>20.31948883168435</c:v>
                </c:pt>
                <c:pt idx="211">
                  <c:v>17.305752684609416</c:v>
                </c:pt>
                <c:pt idx="212">
                  <c:v>16.633381932604372</c:v>
                </c:pt>
                <c:pt idx="213">
                  <c:v>16.138777124166399</c:v>
                </c:pt>
                <c:pt idx="214">
                  <c:v>15.695640762841437</c:v>
                </c:pt>
                <c:pt idx="215">
                  <c:v>13.988971272528689</c:v>
                </c:pt>
                <c:pt idx="216">
                  <c:v>14.228639653612063</c:v>
                </c:pt>
                <c:pt idx="217">
                  <c:v>13.677747919448322</c:v>
                </c:pt>
                <c:pt idx="218">
                  <c:v>13.555619475871417</c:v>
                </c:pt>
                <c:pt idx="219">
                  <c:v>13.763394819725733</c:v>
                </c:pt>
                <c:pt idx="220">
                  <c:v>13.611843018192801</c:v>
                </c:pt>
                <c:pt idx="221">
                  <c:v>13.167823410545996</c:v>
                </c:pt>
                <c:pt idx="222">
                  <c:v>13.094773430551676</c:v>
                </c:pt>
                <c:pt idx="223">
                  <c:v>12.615915410447363</c:v>
                </c:pt>
                <c:pt idx="224">
                  <c:v>13.331125799126575</c:v>
                </c:pt>
                <c:pt idx="225">
                  <c:v>12.547051223426694</c:v>
                </c:pt>
                <c:pt idx="226">
                  <c:v>12.044587921932949</c:v>
                </c:pt>
                <c:pt idx="227">
                  <c:v>11.475194651186785</c:v>
                </c:pt>
                <c:pt idx="228">
                  <c:v>11.519895708349564</c:v>
                </c:pt>
                <c:pt idx="229">
                  <c:v>11.372904831782535</c:v>
                </c:pt>
                <c:pt idx="230">
                  <c:v>11.205431931258172</c:v>
                </c:pt>
                <c:pt idx="231">
                  <c:v>10.368950793275118</c:v>
                </c:pt>
                <c:pt idx="232">
                  <c:v>11.468830383013643</c:v>
                </c:pt>
                <c:pt idx="233">
                  <c:v>11.722744766030116</c:v>
                </c:pt>
                <c:pt idx="234">
                  <c:v>11.737979801331425</c:v>
                </c:pt>
                <c:pt idx="235">
                  <c:v>11.515650662555812</c:v>
                </c:pt>
                <c:pt idx="236">
                  <c:v>11.999162744113686</c:v>
                </c:pt>
                <c:pt idx="237">
                  <c:v>11.695000042846679</c:v>
                </c:pt>
                <c:pt idx="238">
                  <c:v>12.060618765737791</c:v>
                </c:pt>
                <c:pt idx="239">
                  <c:v>12.142959175550772</c:v>
                </c:pt>
                <c:pt idx="240">
                  <c:v>11.009363578335392</c:v>
                </c:pt>
                <c:pt idx="241">
                  <c:v>10.323013114613932</c:v>
                </c:pt>
                <c:pt idx="242">
                  <c:v>10.419896627608329</c:v>
                </c:pt>
                <c:pt idx="243">
                  <c:v>10.134566705735427</c:v>
                </c:pt>
                <c:pt idx="244">
                  <c:v>9.8601220052388197</c:v>
                </c:pt>
                <c:pt idx="245">
                  <c:v>9.9194891406374985</c:v>
                </c:pt>
                <c:pt idx="246">
                  <c:v>9.604724479191276</c:v>
                </c:pt>
                <c:pt idx="247">
                  <c:v>10.990084474482982</c:v>
                </c:pt>
                <c:pt idx="248">
                  <c:v>9.7503282659219881</c:v>
                </c:pt>
                <c:pt idx="249">
                  <c:v>10.269143747867433</c:v>
                </c:pt>
                <c:pt idx="250">
                  <c:v>9.8708624860262599</c:v>
                </c:pt>
                <c:pt idx="251">
                  <c:v>9.2172130803159078</c:v>
                </c:pt>
                <c:pt idx="252">
                  <c:v>9.68670995087672</c:v>
                </c:pt>
                <c:pt idx="253">
                  <c:v>8.2002563420122936</c:v>
                </c:pt>
                <c:pt idx="254">
                  <c:v>8.151937568444442</c:v>
                </c:pt>
                <c:pt idx="255">
                  <c:v>8.4332934661794479</c:v>
                </c:pt>
                <c:pt idx="256">
                  <c:v>7.9367436947768493</c:v>
                </c:pt>
                <c:pt idx="257">
                  <c:v>8.0139305130475051</c:v>
                </c:pt>
                <c:pt idx="258">
                  <c:v>7.4579596391673331</c:v>
                </c:pt>
                <c:pt idx="259">
                  <c:v>6.8316568978786369</c:v>
                </c:pt>
                <c:pt idx="260">
                  <c:v>6.7424201929580336</c:v>
                </c:pt>
                <c:pt idx="261">
                  <c:v>8.2444962464433704</c:v>
                </c:pt>
                <c:pt idx="262">
                  <c:v>8.3084327581386237</c:v>
                </c:pt>
                <c:pt idx="263">
                  <c:v>8.4688303383031407</c:v>
                </c:pt>
                <c:pt idx="264">
                  <c:v>7.9528969781476748</c:v>
                </c:pt>
                <c:pt idx="265">
                  <c:v>8.3303127674253261</c:v>
                </c:pt>
                <c:pt idx="266">
                  <c:v>7.3246769389902138</c:v>
                </c:pt>
                <c:pt idx="267">
                  <c:v>8.2499306289373813</c:v>
                </c:pt>
                <c:pt idx="268">
                  <c:v>9.902968600529487</c:v>
                </c:pt>
                <c:pt idx="269">
                  <c:v>10.216274063141634</c:v>
                </c:pt>
                <c:pt idx="270">
                  <c:v>10.139832588593571</c:v>
                </c:pt>
                <c:pt idx="271">
                  <c:v>10.427039251582071</c:v>
                </c:pt>
                <c:pt idx="272">
                  <c:v>9.4711300612085907</c:v>
                </c:pt>
                <c:pt idx="273">
                  <c:v>9.5844379187359863</c:v>
                </c:pt>
                <c:pt idx="274">
                  <c:v>9.3822762282962415</c:v>
                </c:pt>
                <c:pt idx="275">
                  <c:v>9.1306092287731353</c:v>
                </c:pt>
                <c:pt idx="276">
                  <c:v>7.8669311036583842</c:v>
                </c:pt>
                <c:pt idx="277">
                  <c:v>4.8223873168065623</c:v>
                </c:pt>
                <c:pt idx="278">
                  <c:v>7.1760362515844323</c:v>
                </c:pt>
                <c:pt idx="279">
                  <c:v>7.7314459168431311</c:v>
                </c:pt>
                <c:pt idx="280">
                  <c:v>8.4665263981805872</c:v>
                </c:pt>
                <c:pt idx="281">
                  <c:v>8.9207486208745674</c:v>
                </c:pt>
                <c:pt idx="282">
                  <c:v>8.5106548084007994</c:v>
                </c:pt>
                <c:pt idx="283">
                  <c:v>8.6287288527996324</c:v>
                </c:pt>
                <c:pt idx="284">
                  <c:v>8.0844298086983972</c:v>
                </c:pt>
                <c:pt idx="285">
                  <c:v>9.5944629583727785</c:v>
                </c:pt>
                <c:pt idx="286">
                  <c:v>10.332370034822658</c:v>
                </c:pt>
                <c:pt idx="287">
                  <c:v>15.297626306526006</c:v>
                </c:pt>
                <c:pt idx="288">
                  <c:v>15.083803612798526</c:v>
                </c:pt>
                <c:pt idx="289">
                  <c:v>13.377640611337812</c:v>
                </c:pt>
                <c:pt idx="290">
                  <c:v>13.978512069689616</c:v>
                </c:pt>
                <c:pt idx="291">
                  <c:v>14.826061194418303</c:v>
                </c:pt>
                <c:pt idx="292">
                  <c:v>13.907747777102514</c:v>
                </c:pt>
                <c:pt idx="293">
                  <c:v>15.934019136812081</c:v>
                </c:pt>
                <c:pt idx="294">
                  <c:v>15.256026853488802</c:v>
                </c:pt>
                <c:pt idx="295">
                  <c:v>15.187229298542887</c:v>
                </c:pt>
                <c:pt idx="296">
                  <c:v>14.269300619812059</c:v>
                </c:pt>
                <c:pt idx="297">
                  <c:v>12.193940340319335</c:v>
                </c:pt>
                <c:pt idx="298">
                  <c:v>11.565242356416054</c:v>
                </c:pt>
                <c:pt idx="299">
                  <c:v>11.573153832906893</c:v>
                </c:pt>
                <c:pt idx="300">
                  <c:v>12.206419513235387</c:v>
                </c:pt>
                <c:pt idx="301">
                  <c:v>12.104372500297075</c:v>
                </c:pt>
                <c:pt idx="302">
                  <c:v>10.628526485290827</c:v>
                </c:pt>
                <c:pt idx="303">
                  <c:v>9.8803115881215486</c:v>
                </c:pt>
                <c:pt idx="304">
                  <c:v>9.7324782487441581</c:v>
                </c:pt>
                <c:pt idx="305">
                  <c:v>9.6592265301124698</c:v>
                </c:pt>
                <c:pt idx="306">
                  <c:v>8.4128745095257234</c:v>
                </c:pt>
                <c:pt idx="307">
                  <c:v>9.575342884753633</c:v>
                </c:pt>
                <c:pt idx="308">
                  <c:v>9.1807163041433384</c:v>
                </c:pt>
                <c:pt idx="309">
                  <c:v>7.3121224039604638</c:v>
                </c:pt>
                <c:pt idx="310">
                  <c:v>5.5248515299584415</c:v>
                </c:pt>
                <c:pt idx="311">
                  <c:v>6.4242953036553603</c:v>
                </c:pt>
                <c:pt idx="312">
                  <c:v>5.5193617940485131</c:v>
                </c:pt>
                <c:pt idx="313">
                  <c:v>5.8999157963490978</c:v>
                </c:pt>
                <c:pt idx="314">
                  <c:v>5.938116829864609</c:v>
                </c:pt>
                <c:pt idx="315">
                  <c:v>7.4701613407886196</c:v>
                </c:pt>
                <c:pt idx="316">
                  <c:v>8.1724182302538839</c:v>
                </c:pt>
                <c:pt idx="317">
                  <c:v>8.9376690660651779</c:v>
                </c:pt>
                <c:pt idx="318">
                  <c:v>6.9223802752047483</c:v>
                </c:pt>
                <c:pt idx="319">
                  <c:v>6.5760738036629043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EE-5D47-AE32-B9442C972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'240821B005'!$A$2:$A$321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'240821B005'!$J$2:$J$321</c:f>
              <c:numCache>
                <c:formatCode>0.0</c:formatCode>
                <c:ptCount val="320"/>
                <c:pt idx="0">
                  <c:v>1104.2049625715001</c:v>
                </c:pt>
                <c:pt idx="1">
                  <c:v>1047.8411264200502</c:v>
                </c:pt>
                <c:pt idx="2">
                  <c:v>935.59795111816004</c:v>
                </c:pt>
                <c:pt idx="3">
                  <c:v>1009.83688813806</c:v>
                </c:pt>
                <c:pt idx="4">
                  <c:v>965.72311578821007</c:v>
                </c:pt>
                <c:pt idx="5">
                  <c:v>999.48099244072</c:v>
                </c:pt>
                <c:pt idx="6">
                  <c:v>1027.68856008697</c:v>
                </c:pt>
                <c:pt idx="7">
                  <c:v>1153.0764849412199</c:v>
                </c:pt>
                <c:pt idx="8">
                  <c:v>1210.94817741876</c:v>
                </c:pt>
                <c:pt idx="9">
                  <c:v>1102.9954740194501</c:v>
                </c:pt>
                <c:pt idx="10">
                  <c:v>1201.0357560524899</c:v>
                </c:pt>
                <c:pt idx="11">
                  <c:v>1247.1007341701199</c:v>
                </c:pt>
                <c:pt idx="12">
                  <c:v>1233.12473300538</c:v>
                </c:pt>
                <c:pt idx="13">
                  <c:v>1231.7980016791601</c:v>
                </c:pt>
                <c:pt idx="14">
                  <c:v>1233.3471617424698</c:v>
                </c:pt>
                <c:pt idx="15">
                  <c:v>1236.79718437357</c:v>
                </c:pt>
                <c:pt idx="16">
                  <c:v>1229.7086565424402</c:v>
                </c:pt>
                <c:pt idx="17">
                  <c:v>1180.8258166529201</c:v>
                </c:pt>
                <c:pt idx="18">
                  <c:v>1148.92790622795</c:v>
                </c:pt>
                <c:pt idx="19">
                  <c:v>1219.2874018447401</c:v>
                </c:pt>
                <c:pt idx="20">
                  <c:v>1248.5279078979202</c:v>
                </c:pt>
                <c:pt idx="21">
                  <c:v>1227.0146815097701</c:v>
                </c:pt>
                <c:pt idx="22">
                  <c:v>1157.52388345491</c:v>
                </c:pt>
                <c:pt idx="23">
                  <c:v>1160.4051751798399</c:v>
                </c:pt>
                <c:pt idx="24">
                  <c:v>1215.38142110437</c:v>
                </c:pt>
                <c:pt idx="25">
                  <c:v>1249.13756663044</c:v>
                </c:pt>
                <c:pt idx="26">
                  <c:v>1252.6322149484999</c:v>
                </c:pt>
                <c:pt idx="27">
                  <c:v>1242.5698729374001</c:v>
                </c:pt>
                <c:pt idx="28">
                  <c:v>1240.06582027794</c:v>
                </c:pt>
                <c:pt idx="29">
                  <c:v>1239.8207792614398</c:v>
                </c:pt>
                <c:pt idx="30">
                  <c:v>1234.7193335209602</c:v>
                </c:pt>
                <c:pt idx="31">
                  <c:v>1225.3493692336199</c:v>
                </c:pt>
                <c:pt idx="32">
                  <c:v>1162.4559846565799</c:v>
                </c:pt>
                <c:pt idx="33">
                  <c:v>1125.1210513149201</c:v>
                </c:pt>
                <c:pt idx="34">
                  <c:v>1081.72401054857</c:v>
                </c:pt>
                <c:pt idx="35">
                  <c:v>1142.1996416552001</c:v>
                </c:pt>
                <c:pt idx="36">
                  <c:v>1211.2294694420002</c:v>
                </c:pt>
                <c:pt idx="37">
                  <c:v>1219.11660725516</c:v>
                </c:pt>
                <c:pt idx="38">
                  <c:v>1244.07283132014</c:v>
                </c:pt>
                <c:pt idx="39">
                  <c:v>1249.75538491155</c:v>
                </c:pt>
                <c:pt idx="40">
                  <c:v>1251.39323354819</c:v>
                </c:pt>
                <c:pt idx="41">
                  <c:v>1251.2709238993898</c:v>
                </c:pt>
                <c:pt idx="42">
                  <c:v>1225.87200070836</c:v>
                </c:pt>
                <c:pt idx="43">
                  <c:v>1242.2447714382702</c:v>
                </c:pt>
                <c:pt idx="44">
                  <c:v>1245.23408357684</c:v>
                </c:pt>
                <c:pt idx="45">
                  <c:v>1222.07219297704</c:v>
                </c:pt>
                <c:pt idx="46">
                  <c:v>1236.0876260355801</c:v>
                </c:pt>
                <c:pt idx="47">
                  <c:v>1187.71019472487</c:v>
                </c:pt>
                <c:pt idx="48">
                  <c:v>1181.2990856321799</c:v>
                </c:pt>
                <c:pt idx="49">
                  <c:v>1159.7669132086</c:v>
                </c:pt>
                <c:pt idx="50">
                  <c:v>1183.1181100182901</c:v>
                </c:pt>
                <c:pt idx="51">
                  <c:v>1171.32578828537</c:v>
                </c:pt>
                <c:pt idx="52">
                  <c:v>1221.9484325666101</c:v>
                </c:pt>
                <c:pt idx="53">
                  <c:v>1230.5747024118998</c:v>
                </c:pt>
                <c:pt idx="54">
                  <c:v>1273.1161497937101</c:v>
                </c:pt>
                <c:pt idx="55">
                  <c:v>1269.1743561795699</c:v>
                </c:pt>
                <c:pt idx="56">
                  <c:v>1249.4695559649999</c:v>
                </c:pt>
                <c:pt idx="57">
                  <c:v>1154.8893644597499</c:v>
                </c:pt>
                <c:pt idx="58">
                  <c:v>1188.1126211916401</c:v>
                </c:pt>
                <c:pt idx="59">
                  <c:v>1190.13215373755</c:v>
                </c:pt>
                <c:pt idx="60">
                  <c:v>1215.3027125179501</c:v>
                </c:pt>
                <c:pt idx="61">
                  <c:v>1193.2000031068901</c:v>
                </c:pt>
                <c:pt idx="62">
                  <c:v>1264.34806906924</c:v>
                </c:pt>
                <c:pt idx="63">
                  <c:v>1275.15158183887</c:v>
                </c:pt>
                <c:pt idx="64">
                  <c:v>1249.5413359138499</c:v>
                </c:pt>
                <c:pt idx="65">
                  <c:v>1246.87497988736</c:v>
                </c:pt>
                <c:pt idx="66">
                  <c:v>1218.0554572271399</c:v>
                </c:pt>
                <c:pt idx="67">
                  <c:v>1235.5286412512301</c:v>
                </c:pt>
                <c:pt idx="68">
                  <c:v>1224.75927819449</c:v>
                </c:pt>
                <c:pt idx="69">
                  <c:v>1231.28164300049</c:v>
                </c:pt>
                <c:pt idx="70">
                  <c:v>1194.5829342612301</c:v>
                </c:pt>
                <c:pt idx="71">
                  <c:v>1241.2754735129702</c:v>
                </c:pt>
                <c:pt idx="72">
                  <c:v>1262.06315240442</c:v>
                </c:pt>
                <c:pt idx="73">
                  <c:v>1273.78678659397</c:v>
                </c:pt>
                <c:pt idx="74">
                  <c:v>1266.10387209138</c:v>
                </c:pt>
                <c:pt idx="75">
                  <c:v>1257.4282644137099</c:v>
                </c:pt>
                <c:pt idx="76">
                  <c:v>1213.4344364734</c:v>
                </c:pt>
                <c:pt idx="77">
                  <c:v>1188.02741966453</c:v>
                </c:pt>
                <c:pt idx="78">
                  <c:v>1208.5680852395799</c:v>
                </c:pt>
                <c:pt idx="79">
                  <c:v>1205.9308252629999</c:v>
                </c:pt>
                <c:pt idx="80">
                  <c:v>1228.0050551010299</c:v>
                </c:pt>
                <c:pt idx="81">
                  <c:v>1211.2870776980099</c:v>
                </c:pt>
                <c:pt idx="82">
                  <c:v>1241.81836283186</c:v>
                </c:pt>
                <c:pt idx="83">
                  <c:v>1270.70047863901</c:v>
                </c:pt>
                <c:pt idx="84">
                  <c:v>1237.3995191171</c:v>
                </c:pt>
                <c:pt idx="85">
                  <c:v>1161.6136572996299</c:v>
                </c:pt>
                <c:pt idx="86">
                  <c:v>1210.36419293073</c:v>
                </c:pt>
                <c:pt idx="87">
                  <c:v>1223.55346478294</c:v>
                </c:pt>
                <c:pt idx="88">
                  <c:v>1261.3838724085199</c:v>
                </c:pt>
                <c:pt idx="89">
                  <c:v>1251.39792679376</c:v>
                </c:pt>
                <c:pt idx="90">
                  <c:v>1185.68180682353</c:v>
                </c:pt>
                <c:pt idx="91">
                  <c:v>1252.0711967228801</c:v>
                </c:pt>
                <c:pt idx="92">
                  <c:v>1261.33261306901</c:v>
                </c:pt>
                <c:pt idx="93">
                  <c:v>1252.0908919395099</c:v>
                </c:pt>
                <c:pt idx="94">
                  <c:v>1251.7785363939299</c:v>
                </c:pt>
                <c:pt idx="95">
                  <c:v>1111.7482100821401</c:v>
                </c:pt>
                <c:pt idx="96">
                  <c:v>1093.2854338258201</c:v>
                </c:pt>
                <c:pt idx="97">
                  <c:v>1161.48177850805</c:v>
                </c:pt>
                <c:pt idx="98">
                  <c:v>1173.9386645591201</c:v>
                </c:pt>
                <c:pt idx="99">
                  <c:v>1134.81164099845</c:v>
                </c:pt>
                <c:pt idx="100">
                  <c:v>1158.33291390662</c:v>
                </c:pt>
                <c:pt idx="101">
                  <c:v>1251.7525276646202</c:v>
                </c:pt>
                <c:pt idx="102">
                  <c:v>1233.4693220542099</c:v>
                </c:pt>
                <c:pt idx="103">
                  <c:v>1237.80712710695</c:v>
                </c:pt>
                <c:pt idx="104">
                  <c:v>1240.20773266683</c:v>
                </c:pt>
                <c:pt idx="105">
                  <c:v>1183.99334596316</c:v>
                </c:pt>
                <c:pt idx="106">
                  <c:v>1211.11434030181</c:v>
                </c:pt>
                <c:pt idx="107">
                  <c:v>1242.8794440489</c:v>
                </c:pt>
                <c:pt idx="108">
                  <c:v>1199.12799830939</c:v>
                </c:pt>
                <c:pt idx="109">
                  <c:v>1217.1064711414901</c:v>
                </c:pt>
                <c:pt idx="110">
                  <c:v>1201.21966579885</c:v>
                </c:pt>
                <c:pt idx="111">
                  <c:v>1232.47390626945</c:v>
                </c:pt>
                <c:pt idx="112">
                  <c:v>1202.4708889027299</c:v>
                </c:pt>
                <c:pt idx="113">
                  <c:v>1135.2309229865</c:v>
                </c:pt>
                <c:pt idx="114">
                  <c:v>1131.90674726825</c:v>
                </c:pt>
                <c:pt idx="115">
                  <c:v>1169.3679515144001</c:v>
                </c:pt>
                <c:pt idx="116">
                  <c:v>1187.38846753084</c:v>
                </c:pt>
                <c:pt idx="117">
                  <c:v>1133.4654399850101</c:v>
                </c:pt>
                <c:pt idx="118">
                  <c:v>1162.7390777829698</c:v>
                </c:pt>
                <c:pt idx="119">
                  <c:v>1187.6863064741301</c:v>
                </c:pt>
                <c:pt idx="120">
                  <c:v>1195.4524349220801</c:v>
                </c:pt>
                <c:pt idx="121">
                  <c:v>1185.59714330069</c:v>
                </c:pt>
                <c:pt idx="122">
                  <c:v>1155.0919267194702</c:v>
                </c:pt>
                <c:pt idx="123">
                  <c:v>1120.2015473787399</c:v>
                </c:pt>
                <c:pt idx="124">
                  <c:v>1153.77115872275</c:v>
                </c:pt>
                <c:pt idx="125">
                  <c:v>1164.1301661233001</c:v>
                </c:pt>
                <c:pt idx="126">
                  <c:v>1154.36955959222</c:v>
                </c:pt>
                <c:pt idx="127">
                  <c:v>1164.89773327122</c:v>
                </c:pt>
                <c:pt idx="128">
                  <c:v>1150.5636029601601</c:v>
                </c:pt>
                <c:pt idx="129">
                  <c:v>1152.2316617502599</c:v>
                </c:pt>
                <c:pt idx="130">
                  <c:v>1124.17970294471</c:v>
                </c:pt>
                <c:pt idx="131">
                  <c:v>1169.65491383328</c:v>
                </c:pt>
                <c:pt idx="132">
                  <c:v>1176.6982921906499</c:v>
                </c:pt>
                <c:pt idx="133">
                  <c:v>1143.9827821767301</c:v>
                </c:pt>
                <c:pt idx="134">
                  <c:v>1178.4303722350999</c:v>
                </c:pt>
                <c:pt idx="135">
                  <c:v>1209.0845593169799</c:v>
                </c:pt>
                <c:pt idx="136">
                  <c:v>1235.1943125595401</c:v>
                </c:pt>
                <c:pt idx="137">
                  <c:v>1222.1292971858902</c:v>
                </c:pt>
                <c:pt idx="138">
                  <c:v>1226.87487422808</c:v>
                </c:pt>
                <c:pt idx="139">
                  <c:v>1225.8580387383199</c:v>
                </c:pt>
                <c:pt idx="140">
                  <c:v>1185.66315389701</c:v>
                </c:pt>
                <c:pt idx="141">
                  <c:v>1216.5294287061301</c:v>
                </c:pt>
                <c:pt idx="142">
                  <c:v>1206.8551203505201</c:v>
                </c:pt>
                <c:pt idx="143">
                  <c:v>1204.17133755742</c:v>
                </c:pt>
                <c:pt idx="144">
                  <c:v>1226.3140021992701</c:v>
                </c:pt>
                <c:pt idx="145">
                  <c:v>1158.1513623430999</c:v>
                </c:pt>
                <c:pt idx="146">
                  <c:v>1135.9530187988</c:v>
                </c:pt>
                <c:pt idx="147">
                  <c:v>1154.4511825592501</c:v>
                </c:pt>
                <c:pt idx="148">
                  <c:v>1189.7703600914501</c:v>
                </c:pt>
                <c:pt idx="149">
                  <c:v>1224.4264072890901</c:v>
                </c:pt>
                <c:pt idx="150">
                  <c:v>1235.52368085739</c:v>
                </c:pt>
                <c:pt idx="151">
                  <c:v>1224.1707632962</c:v>
                </c:pt>
                <c:pt idx="152">
                  <c:v>1225.3576355798</c:v>
                </c:pt>
                <c:pt idx="153">
                  <c:v>1221.27520902065</c:v>
                </c:pt>
                <c:pt idx="154">
                  <c:v>1199.7245518493501</c:v>
                </c:pt>
                <c:pt idx="155">
                  <c:v>1195.3771831526801</c:v>
                </c:pt>
                <c:pt idx="156">
                  <c:v>1173.1176223141099</c:v>
                </c:pt>
                <c:pt idx="157">
                  <c:v>1182.1813845106299</c:v>
                </c:pt>
                <c:pt idx="158">
                  <c:v>1151.9713235936301</c:v>
                </c:pt>
                <c:pt idx="159">
                  <c:v>1162.45214633756</c:v>
                </c:pt>
                <c:pt idx="160">
                  <c:v>1165.08879125212</c:v>
                </c:pt>
                <c:pt idx="161">
                  <c:v>1164.0224991095599</c:v>
                </c:pt>
                <c:pt idx="162">
                  <c:v>1166.4423921125399</c:v>
                </c:pt>
                <c:pt idx="163">
                  <c:v>1158.28018688165</c:v>
                </c:pt>
                <c:pt idx="164">
                  <c:v>1151.80382720016</c:v>
                </c:pt>
                <c:pt idx="165">
                  <c:v>1186.83462428282</c:v>
                </c:pt>
                <c:pt idx="166">
                  <c:v>1204.1104067891201</c:v>
                </c:pt>
                <c:pt idx="167">
                  <c:v>1222.48685119676</c:v>
                </c:pt>
                <c:pt idx="168">
                  <c:v>1214.4337126988601</c:v>
                </c:pt>
                <c:pt idx="169">
                  <c:v>1239.4647867840902</c:v>
                </c:pt>
                <c:pt idx="170">
                  <c:v>1248.57583437942</c:v>
                </c:pt>
                <c:pt idx="171">
                  <c:v>1235.5796299972701</c:v>
                </c:pt>
                <c:pt idx="172">
                  <c:v>1208.5659227605202</c:v>
                </c:pt>
                <c:pt idx="173">
                  <c:v>1223.0532136675399</c:v>
                </c:pt>
                <c:pt idx="174">
                  <c:v>1219.1371141596201</c:v>
                </c:pt>
                <c:pt idx="175">
                  <c:v>1198.7046992160001</c:v>
                </c:pt>
                <c:pt idx="176">
                  <c:v>1192.3552186617501</c:v>
                </c:pt>
                <c:pt idx="177">
                  <c:v>1230.2849125666901</c:v>
                </c:pt>
                <c:pt idx="178">
                  <c:v>1228.37621478247</c:v>
                </c:pt>
                <c:pt idx="179">
                  <c:v>1227.7763676352699</c:v>
                </c:pt>
                <c:pt idx="180">
                  <c:v>1265.4575591266901</c:v>
                </c:pt>
                <c:pt idx="181">
                  <c:v>1202.7418730352699</c:v>
                </c:pt>
                <c:pt idx="182">
                  <c:v>1261.68799730101</c:v>
                </c:pt>
                <c:pt idx="183">
                  <c:v>1216.6453948563501</c:v>
                </c:pt>
                <c:pt idx="184">
                  <c:v>1206.2691009437501</c:v>
                </c:pt>
                <c:pt idx="185">
                  <c:v>1250.40054619177</c:v>
                </c:pt>
                <c:pt idx="186">
                  <c:v>1224.4371931580299</c:v>
                </c:pt>
                <c:pt idx="187">
                  <c:v>1142.5480033771901</c:v>
                </c:pt>
                <c:pt idx="188">
                  <c:v>1204.54805946653</c:v>
                </c:pt>
                <c:pt idx="189">
                  <c:v>1220.5527640411901</c:v>
                </c:pt>
                <c:pt idx="190">
                  <c:v>1213.9919026635</c:v>
                </c:pt>
                <c:pt idx="191">
                  <c:v>1176.6151521271699</c:v>
                </c:pt>
                <c:pt idx="192">
                  <c:v>1191.40226909074</c:v>
                </c:pt>
                <c:pt idx="193">
                  <c:v>1168.0245536816201</c:v>
                </c:pt>
                <c:pt idx="194">
                  <c:v>1192.44089541569</c:v>
                </c:pt>
                <c:pt idx="195">
                  <c:v>1211.5874846164099</c:v>
                </c:pt>
                <c:pt idx="196">
                  <c:v>1196.4001812373001</c:v>
                </c:pt>
                <c:pt idx="197">
                  <c:v>1117.7266361842699</c:v>
                </c:pt>
                <c:pt idx="198">
                  <c:v>1099.7287357750399</c:v>
                </c:pt>
                <c:pt idx="199">
                  <c:v>1138.8986551377502</c:v>
                </c:pt>
                <c:pt idx="200">
                  <c:v>1179.7429882473898</c:v>
                </c:pt>
                <c:pt idx="201">
                  <c:v>1184.5855327163499</c:v>
                </c:pt>
                <c:pt idx="202">
                  <c:v>1178.5031350194402</c:v>
                </c:pt>
                <c:pt idx="203">
                  <c:v>1164.6848500910401</c:v>
                </c:pt>
                <c:pt idx="204">
                  <c:v>1227.3968788657698</c:v>
                </c:pt>
                <c:pt idx="205">
                  <c:v>1153.1574479422102</c:v>
                </c:pt>
                <c:pt idx="206">
                  <c:v>1177.7540275760898</c:v>
                </c:pt>
                <c:pt idx="207">
                  <c:v>1197.1486864972098</c:v>
                </c:pt>
                <c:pt idx="208">
                  <c:v>1133.8743060550398</c:v>
                </c:pt>
                <c:pt idx="209">
                  <c:v>1168.5602926920499</c:v>
                </c:pt>
                <c:pt idx="210">
                  <c:v>1155.4776832713501</c:v>
                </c:pt>
                <c:pt idx="211">
                  <c:v>1134.2263106142998</c:v>
                </c:pt>
                <c:pt idx="212">
                  <c:v>1106.36623195161</c:v>
                </c:pt>
                <c:pt idx="213">
                  <c:v>1174.4248584867701</c:v>
                </c:pt>
                <c:pt idx="214">
                  <c:v>1204.6168401874102</c:v>
                </c:pt>
                <c:pt idx="215">
                  <c:v>1135.3715511220801</c:v>
                </c:pt>
                <c:pt idx="216">
                  <c:v>1203.0945495481499</c:v>
                </c:pt>
                <c:pt idx="217">
                  <c:v>1172.58169110976</c:v>
                </c:pt>
                <c:pt idx="218">
                  <c:v>1175.8538603458801</c:v>
                </c:pt>
                <c:pt idx="219">
                  <c:v>1184.9694893524302</c:v>
                </c:pt>
                <c:pt idx="220">
                  <c:v>1163.39732324335</c:v>
                </c:pt>
                <c:pt idx="221">
                  <c:v>1200.7119031562902</c:v>
                </c:pt>
                <c:pt idx="222">
                  <c:v>1236.9325992559</c:v>
                </c:pt>
                <c:pt idx="223">
                  <c:v>1152.8532795418901</c:v>
                </c:pt>
                <c:pt idx="224">
                  <c:v>1084.8353367313998</c:v>
                </c:pt>
                <c:pt idx="225">
                  <c:v>1146.9366021451899</c:v>
                </c:pt>
                <c:pt idx="226">
                  <c:v>1158.2043080355302</c:v>
                </c:pt>
                <c:pt idx="227">
                  <c:v>1107.58237176479</c:v>
                </c:pt>
                <c:pt idx="228">
                  <c:v>1118.9691672660399</c:v>
                </c:pt>
                <c:pt idx="229">
                  <c:v>1112.1708496200899</c:v>
                </c:pt>
                <c:pt idx="230">
                  <c:v>1168.5846263693502</c:v>
                </c:pt>
                <c:pt idx="231">
                  <c:v>1173.0502298383401</c:v>
                </c:pt>
                <c:pt idx="232">
                  <c:v>1135.1883642390301</c:v>
                </c:pt>
                <c:pt idx="233">
                  <c:v>1118.79285989766</c:v>
                </c:pt>
                <c:pt idx="234">
                  <c:v>1170.04076425158</c:v>
                </c:pt>
                <c:pt idx="235">
                  <c:v>1174.368423437</c:v>
                </c:pt>
                <c:pt idx="236">
                  <c:v>1186.5230617602001</c:v>
                </c:pt>
                <c:pt idx="237">
                  <c:v>1185.2112792953501</c:v>
                </c:pt>
                <c:pt idx="238">
                  <c:v>1204.9692158985299</c:v>
                </c:pt>
                <c:pt idx="239">
                  <c:v>1189.59371607192</c:v>
                </c:pt>
                <c:pt idx="240">
                  <c:v>1145.92781957739</c:v>
                </c:pt>
                <c:pt idx="241">
                  <c:v>1115.1527774753702</c:v>
                </c:pt>
                <c:pt idx="242">
                  <c:v>1162.6067509629399</c:v>
                </c:pt>
                <c:pt idx="243">
                  <c:v>1207.5689299514299</c:v>
                </c:pt>
                <c:pt idx="244">
                  <c:v>1220.5680283767099</c:v>
                </c:pt>
                <c:pt idx="245">
                  <c:v>1188.8015351696999</c:v>
                </c:pt>
                <c:pt idx="246">
                  <c:v>1075.4278601026201</c:v>
                </c:pt>
                <c:pt idx="247">
                  <c:v>1102.59186671168</c:v>
                </c:pt>
                <c:pt idx="248">
                  <c:v>1173.8713864307099</c:v>
                </c:pt>
                <c:pt idx="249">
                  <c:v>1205.40860255288</c:v>
                </c:pt>
                <c:pt idx="250">
                  <c:v>1209.5869222628601</c:v>
                </c:pt>
                <c:pt idx="251">
                  <c:v>1218.0729336335601</c:v>
                </c:pt>
                <c:pt idx="252">
                  <c:v>1218.8683138116999</c:v>
                </c:pt>
                <c:pt idx="253">
                  <c:v>1195.9873452888</c:v>
                </c:pt>
                <c:pt idx="254">
                  <c:v>1181.1622988481602</c:v>
                </c:pt>
                <c:pt idx="255">
                  <c:v>1181.2778181102799</c:v>
                </c:pt>
                <c:pt idx="256">
                  <c:v>1205.7465429420299</c:v>
                </c:pt>
                <c:pt idx="257">
                  <c:v>1219.9909220331401</c:v>
                </c:pt>
                <c:pt idx="258">
                  <c:v>1208.7966942922701</c:v>
                </c:pt>
                <c:pt idx="259">
                  <c:v>1171.6656209518101</c:v>
                </c:pt>
                <c:pt idx="260">
                  <c:v>1161.0749863912899</c:v>
                </c:pt>
                <c:pt idx="261">
                  <c:v>1137.6220412702298</c:v>
                </c:pt>
                <c:pt idx="262">
                  <c:v>1157.2187183124599</c:v>
                </c:pt>
                <c:pt idx="263">
                  <c:v>1175.68356102454</c:v>
                </c:pt>
                <c:pt idx="264">
                  <c:v>1184.4647712222099</c:v>
                </c:pt>
                <c:pt idx="265">
                  <c:v>1183.2189136381301</c:v>
                </c:pt>
                <c:pt idx="266">
                  <c:v>1182.1104109389901</c:v>
                </c:pt>
                <c:pt idx="267">
                  <c:v>1198.6252559939101</c:v>
                </c:pt>
                <c:pt idx="268">
                  <c:v>1207.73293079782</c:v>
                </c:pt>
                <c:pt idx="269">
                  <c:v>1195.8525001462399</c:v>
                </c:pt>
                <c:pt idx="270">
                  <c:v>1223.7688375791099</c:v>
                </c:pt>
                <c:pt idx="271">
                  <c:v>1228.00851705377</c:v>
                </c:pt>
                <c:pt idx="272">
                  <c:v>1227.1393762284001</c:v>
                </c:pt>
                <c:pt idx="273">
                  <c:v>1254.4470276019799</c:v>
                </c:pt>
                <c:pt idx="274">
                  <c:v>1276.1184962980401</c:v>
                </c:pt>
                <c:pt idx="275">
                  <c:v>1306.07839000697</c:v>
                </c:pt>
                <c:pt idx="276">
                  <c:v>1301.8406380906399</c:v>
                </c:pt>
                <c:pt idx="277">
                  <c:v>1306.62911542292</c:v>
                </c:pt>
                <c:pt idx="278">
                  <c:v>1303.1679164816301</c:v>
                </c:pt>
                <c:pt idx="279">
                  <c:v>1301.7289918525801</c:v>
                </c:pt>
                <c:pt idx="280">
                  <c:v>1299.4818303541899</c:v>
                </c:pt>
                <c:pt idx="281">
                  <c:v>1251.3184911350099</c:v>
                </c:pt>
                <c:pt idx="282">
                  <c:v>1280.59104718042</c:v>
                </c:pt>
                <c:pt idx="283">
                  <c:v>1288.87661286718</c:v>
                </c:pt>
                <c:pt idx="284">
                  <c:v>1249.14607587004</c:v>
                </c:pt>
                <c:pt idx="285">
                  <c:v>1258.50501715876</c:v>
                </c:pt>
                <c:pt idx="286">
                  <c:v>1249.6120100646401</c:v>
                </c:pt>
                <c:pt idx="287">
                  <c:v>1243.7583310099199</c:v>
                </c:pt>
                <c:pt idx="288">
                  <c:v>1248.8762686603</c:v>
                </c:pt>
                <c:pt idx="289">
                  <c:v>1227.88508551821</c:v>
                </c:pt>
                <c:pt idx="290">
                  <c:v>1162.7006274890998</c:v>
                </c:pt>
                <c:pt idx="291">
                  <c:v>1251.9605871777001</c:v>
                </c:pt>
                <c:pt idx="292">
                  <c:v>1263.2996229774199</c:v>
                </c:pt>
                <c:pt idx="293">
                  <c:v>1265.00813042193</c:v>
                </c:pt>
                <c:pt idx="294">
                  <c:v>1291.7755232060799</c:v>
                </c:pt>
                <c:pt idx="295">
                  <c:v>1296.8650014836699</c:v>
                </c:pt>
                <c:pt idx="296">
                  <c:v>1320.9842383620201</c:v>
                </c:pt>
                <c:pt idx="297">
                  <c:v>1311.81462009745</c:v>
                </c:pt>
                <c:pt idx="298">
                  <c:v>1252.4325106619099</c:v>
                </c:pt>
                <c:pt idx="299">
                  <c:v>1279.0851945086099</c:v>
                </c:pt>
                <c:pt idx="300">
                  <c:v>1267.78975942698</c:v>
                </c:pt>
                <c:pt idx="301">
                  <c:v>1272.3311656308699</c:v>
                </c:pt>
                <c:pt idx="302">
                  <c:v>1261.58849919154</c:v>
                </c:pt>
                <c:pt idx="303">
                  <c:v>1265.9134086552899</c:v>
                </c:pt>
                <c:pt idx="304">
                  <c:v>1255.2719402384</c:v>
                </c:pt>
                <c:pt idx="305">
                  <c:v>1253.6735138374099</c:v>
                </c:pt>
                <c:pt idx="306">
                  <c:v>1228.82050741598</c:v>
                </c:pt>
                <c:pt idx="307">
                  <c:v>1226.40159219712</c:v>
                </c:pt>
                <c:pt idx="308">
                  <c:v>1252.53379001805</c:v>
                </c:pt>
                <c:pt idx="309">
                  <c:v>1189.3567472682798</c:v>
                </c:pt>
                <c:pt idx="310">
                  <c:v>1264.2630376015402</c:v>
                </c:pt>
                <c:pt idx="311">
                  <c:v>1194.49353070402</c:v>
                </c:pt>
                <c:pt idx="312">
                  <c:v>1208.0186973672198</c:v>
                </c:pt>
                <c:pt idx="313">
                  <c:v>1199.7375107942498</c:v>
                </c:pt>
                <c:pt idx="314">
                  <c:v>1174.96280560682</c:v>
                </c:pt>
                <c:pt idx="315">
                  <c:v>1199.2043753842402</c:v>
                </c:pt>
                <c:pt idx="316">
                  <c:v>1188.6966618999002</c:v>
                </c:pt>
                <c:pt idx="317">
                  <c:v>1163.38020455539</c:v>
                </c:pt>
                <c:pt idx="318">
                  <c:v>1178.5046928216</c:v>
                </c:pt>
                <c:pt idx="319">
                  <c:v>1169.61457517286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75-DE49-81E3-F71201B1B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0D-CE43-9168-2B005B2CFA98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'240821B005'!$A$2:$A$321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'240821B005'!$P$2:$P$321</c:f>
              <c:numCache>
                <c:formatCode>General</c:formatCode>
                <c:ptCount val="320"/>
                <c:pt idx="0">
                  <c:v>-38.092313810238707</c:v>
                </c:pt>
                <c:pt idx="1">
                  <c:v>-37.135771973584013</c:v>
                </c:pt>
                <c:pt idx="2">
                  <c:v>-33.439725901605371</c:v>
                </c:pt>
                <c:pt idx="3">
                  <c:v>-30.317647131971686</c:v>
                </c:pt>
                <c:pt idx="4">
                  <c:v>-25.461360473830453</c:v>
                </c:pt>
                <c:pt idx="5">
                  <c:v>-27.620227081146332</c:v>
                </c:pt>
                <c:pt idx="6">
                  <c:v>-30.935877549380557</c:v>
                </c:pt>
                <c:pt idx="7">
                  <c:v>-33.350149747269</c:v>
                </c:pt>
                <c:pt idx="8">
                  <c:v>-30.163508554025785</c:v>
                </c:pt>
                <c:pt idx="9">
                  <c:v>-26.572225070032442</c:v>
                </c:pt>
                <c:pt idx="10">
                  <c:v>-31.559445899440568</c:v>
                </c:pt>
                <c:pt idx="11">
                  <c:v>-30.013547274430618</c:v>
                </c:pt>
                <c:pt idx="12">
                  <c:v>-31.463486512859696</c:v>
                </c:pt>
                <c:pt idx="13">
                  <c:v>-32.582284640844783</c:v>
                </c:pt>
                <c:pt idx="14">
                  <c:v>-31.854666182629444</c:v>
                </c:pt>
                <c:pt idx="15">
                  <c:v>-29.83928829606241</c:v>
                </c:pt>
                <c:pt idx="16">
                  <c:v>-28.81302597327441</c:v>
                </c:pt>
                <c:pt idx="17">
                  <c:v>-23.725701064176125</c:v>
                </c:pt>
                <c:pt idx="18">
                  <c:v>-17.833168995647341</c:v>
                </c:pt>
                <c:pt idx="19">
                  <c:v>-20.006112353083374</c:v>
                </c:pt>
                <c:pt idx="20">
                  <c:v>-21.647266180741774</c:v>
                </c:pt>
                <c:pt idx="21">
                  <c:v>-22.431018468621406</c:v>
                </c:pt>
                <c:pt idx="22">
                  <c:v>-18.661415562135915</c:v>
                </c:pt>
                <c:pt idx="23">
                  <c:v>-17.736723393788399</c:v>
                </c:pt>
                <c:pt idx="24">
                  <c:v>-20.5282307786098</c:v>
                </c:pt>
                <c:pt idx="25">
                  <c:v>-21.835631458949489</c:v>
                </c:pt>
                <c:pt idx="26">
                  <c:v>-21.782200172639062</c:v>
                </c:pt>
                <c:pt idx="27">
                  <c:v>-23.418797883696303</c:v>
                </c:pt>
                <c:pt idx="28">
                  <c:v>-24.479687970523496</c:v>
                </c:pt>
                <c:pt idx="29">
                  <c:v>-23.446126093546336</c:v>
                </c:pt>
                <c:pt idx="30">
                  <c:v>-19.612760458228347</c:v>
                </c:pt>
                <c:pt idx="31">
                  <c:v>-15.391570552656288</c:v>
                </c:pt>
                <c:pt idx="32">
                  <c:v>-3.8893805856038361</c:v>
                </c:pt>
                <c:pt idx="33">
                  <c:v>-4.2046433169234909</c:v>
                </c:pt>
                <c:pt idx="34">
                  <c:v>-5.8726865805135251</c:v>
                </c:pt>
                <c:pt idx="35">
                  <c:v>-9.2595180215043182</c:v>
                </c:pt>
                <c:pt idx="36">
                  <c:v>-13.984424618042063</c:v>
                </c:pt>
                <c:pt idx="37">
                  <c:v>-15.659798203104611</c:v>
                </c:pt>
                <c:pt idx="38">
                  <c:v>-17.602062554735713</c:v>
                </c:pt>
                <c:pt idx="39">
                  <c:v>-19.005939385238612</c:v>
                </c:pt>
                <c:pt idx="40">
                  <c:v>-20.301223461032418</c:v>
                </c:pt>
                <c:pt idx="41">
                  <c:v>-20.075740945441304</c:v>
                </c:pt>
                <c:pt idx="42">
                  <c:v>-19.268208865841448</c:v>
                </c:pt>
                <c:pt idx="43">
                  <c:v>-18.021008407970363</c:v>
                </c:pt>
                <c:pt idx="44">
                  <c:v>-16.154269047085432</c:v>
                </c:pt>
                <c:pt idx="45">
                  <c:v>-13.960235991772832</c:v>
                </c:pt>
                <c:pt idx="46">
                  <c:v>-8.0116697916969049</c:v>
                </c:pt>
                <c:pt idx="47">
                  <c:v>-1.2889969173003357</c:v>
                </c:pt>
                <c:pt idx="48">
                  <c:v>-0.92102760925282623</c:v>
                </c:pt>
                <c:pt idx="49">
                  <c:v>-3.3651612346714468</c:v>
                </c:pt>
                <c:pt idx="50">
                  <c:v>-0.57711733246689212</c:v>
                </c:pt>
                <c:pt idx="51">
                  <c:v>-1.6553675793382472</c:v>
                </c:pt>
                <c:pt idx="52">
                  <c:v>-6.1012744929768647</c:v>
                </c:pt>
                <c:pt idx="53">
                  <c:v>-8.8706637071578953</c:v>
                </c:pt>
                <c:pt idx="54">
                  <c:v>-11.857243155760104</c:v>
                </c:pt>
                <c:pt idx="55">
                  <c:v>-13.834125335231256</c:v>
                </c:pt>
                <c:pt idx="56">
                  <c:v>-14.355879688542498</c:v>
                </c:pt>
                <c:pt idx="57">
                  <c:v>-9.8944264428516977</c:v>
                </c:pt>
                <c:pt idx="58">
                  <c:v>-2.8903275080949453</c:v>
                </c:pt>
                <c:pt idx="59">
                  <c:v>2.3541901140455903</c:v>
                </c:pt>
                <c:pt idx="60">
                  <c:v>0.62729254793497369</c:v>
                </c:pt>
                <c:pt idx="61">
                  <c:v>3.3335174853374796</c:v>
                </c:pt>
                <c:pt idx="62">
                  <c:v>-1.6030019324245339</c:v>
                </c:pt>
                <c:pt idx="63">
                  <c:v>-6.4171105389619729</c:v>
                </c:pt>
                <c:pt idx="64">
                  <c:v>-9.0443121352673845</c:v>
                </c:pt>
                <c:pt idx="65">
                  <c:v>-9.2319354651837333</c:v>
                </c:pt>
                <c:pt idx="66">
                  <c:v>-8.9919624270960163</c:v>
                </c:pt>
                <c:pt idx="67">
                  <c:v>-6.9594379197812861</c:v>
                </c:pt>
                <c:pt idx="68">
                  <c:v>-5.2106337737510628</c:v>
                </c:pt>
                <c:pt idx="69">
                  <c:v>1.7374667360085032</c:v>
                </c:pt>
                <c:pt idx="70">
                  <c:v>12.803650335208763</c:v>
                </c:pt>
                <c:pt idx="71">
                  <c:v>8.8469423858514205</c:v>
                </c:pt>
                <c:pt idx="72">
                  <c:v>5.3857632400038025</c:v>
                </c:pt>
                <c:pt idx="73">
                  <c:v>2.6268794292096467</c:v>
                </c:pt>
                <c:pt idx="74">
                  <c:v>-0.98488732210879282</c:v>
                </c:pt>
                <c:pt idx="75">
                  <c:v>-2.6379306105999025</c:v>
                </c:pt>
                <c:pt idx="76">
                  <c:v>-1.7668405371019995</c:v>
                </c:pt>
                <c:pt idx="77">
                  <c:v>3.2568776196775597</c:v>
                </c:pt>
                <c:pt idx="78">
                  <c:v>7.3168848079143807</c:v>
                </c:pt>
                <c:pt idx="79">
                  <c:v>6.912778075130527</c:v>
                </c:pt>
                <c:pt idx="80">
                  <c:v>4.3952675777901398</c:v>
                </c:pt>
                <c:pt idx="81">
                  <c:v>3.4313111381364467</c:v>
                </c:pt>
                <c:pt idx="82">
                  <c:v>1.1895824646252393</c:v>
                </c:pt>
                <c:pt idx="83">
                  <c:v>-1.7808365098879557</c:v>
                </c:pt>
                <c:pt idx="84">
                  <c:v>-2.90674572361733</c:v>
                </c:pt>
                <c:pt idx="85">
                  <c:v>4.71096378494408</c:v>
                </c:pt>
                <c:pt idx="86">
                  <c:v>14.038528345383122</c:v>
                </c:pt>
                <c:pt idx="87">
                  <c:v>14.599066785254278</c:v>
                </c:pt>
                <c:pt idx="88">
                  <c:v>12.59934794128243</c:v>
                </c:pt>
                <c:pt idx="89">
                  <c:v>9.6290661643089575</c:v>
                </c:pt>
                <c:pt idx="90">
                  <c:v>9.1839423927786186</c:v>
                </c:pt>
                <c:pt idx="91">
                  <c:v>6.0352720757218812</c:v>
                </c:pt>
                <c:pt idx="92">
                  <c:v>2.3407386448756289</c:v>
                </c:pt>
                <c:pt idx="93">
                  <c:v>-0.48945502709242067</c:v>
                </c:pt>
                <c:pt idx="94">
                  <c:v>-1.5661925979019216</c:v>
                </c:pt>
                <c:pt idx="95">
                  <c:v>-0.1797440969477441</c:v>
                </c:pt>
                <c:pt idx="96">
                  <c:v>6.4380663925763875</c:v>
                </c:pt>
                <c:pt idx="97">
                  <c:v>6.3069866556511212</c:v>
                </c:pt>
                <c:pt idx="98">
                  <c:v>4.5501728633388288</c:v>
                </c:pt>
                <c:pt idx="99">
                  <c:v>4.235311528077025</c:v>
                </c:pt>
                <c:pt idx="100">
                  <c:v>0.77106199724792046</c:v>
                </c:pt>
                <c:pt idx="101">
                  <c:v>-1.2006854166713641</c:v>
                </c:pt>
                <c:pt idx="102">
                  <c:v>-2.9830495770354073</c:v>
                </c:pt>
                <c:pt idx="103">
                  <c:v>-4.9634064813930703</c:v>
                </c:pt>
                <c:pt idx="104">
                  <c:v>-5.7883974580200883</c:v>
                </c:pt>
                <c:pt idx="105">
                  <c:v>-5.8896201360295368</c:v>
                </c:pt>
                <c:pt idx="106">
                  <c:v>-6.5732598742055295</c:v>
                </c:pt>
                <c:pt idx="107">
                  <c:v>-8.1535319535083559</c:v>
                </c:pt>
                <c:pt idx="108">
                  <c:v>-9.2545371644343533</c:v>
                </c:pt>
                <c:pt idx="109">
                  <c:v>-9.5319084287959015</c:v>
                </c:pt>
                <c:pt idx="110">
                  <c:v>-9.1655763932062353</c:v>
                </c:pt>
                <c:pt idx="111">
                  <c:v>-10.070285570049586</c:v>
                </c:pt>
                <c:pt idx="112">
                  <c:v>-11.611813100708861</c:v>
                </c:pt>
                <c:pt idx="113">
                  <c:v>-10.360801951917766</c:v>
                </c:pt>
                <c:pt idx="114">
                  <c:v>-7.9152275236526428</c:v>
                </c:pt>
                <c:pt idx="115">
                  <c:v>-7.852409900041815</c:v>
                </c:pt>
                <c:pt idx="116">
                  <c:v>-8.4394886088654495</c:v>
                </c:pt>
                <c:pt idx="117">
                  <c:v>-7.7432354958814633</c:v>
                </c:pt>
                <c:pt idx="118">
                  <c:v>-9.8176755281838286</c:v>
                </c:pt>
                <c:pt idx="119">
                  <c:v>-11.363613318066372</c:v>
                </c:pt>
                <c:pt idx="120">
                  <c:v>-12.264832519296871</c:v>
                </c:pt>
                <c:pt idx="121">
                  <c:v>-13.30703493631041</c:v>
                </c:pt>
                <c:pt idx="122">
                  <c:v>-14.010972750649126</c:v>
                </c:pt>
                <c:pt idx="123">
                  <c:v>-13.930674389608146</c:v>
                </c:pt>
                <c:pt idx="124">
                  <c:v>-13.61300109217154</c:v>
                </c:pt>
                <c:pt idx="125">
                  <c:v>-14.332589157093562</c:v>
                </c:pt>
                <c:pt idx="126">
                  <c:v>-15.238676755304217</c:v>
                </c:pt>
                <c:pt idx="127">
                  <c:v>-15.874654825619494</c:v>
                </c:pt>
                <c:pt idx="128">
                  <c:v>-15.988453781695796</c:v>
                </c:pt>
                <c:pt idx="129">
                  <c:v>-16.20719089447844</c:v>
                </c:pt>
                <c:pt idx="130">
                  <c:v>-15.853602628372428</c:v>
                </c:pt>
                <c:pt idx="131">
                  <c:v>-17.153856604903311</c:v>
                </c:pt>
                <c:pt idx="132">
                  <c:v>-17.770532762770756</c:v>
                </c:pt>
                <c:pt idx="133">
                  <c:v>-17.0750736884475</c:v>
                </c:pt>
                <c:pt idx="134">
                  <c:v>-17.016989767366049</c:v>
                </c:pt>
                <c:pt idx="135">
                  <c:v>-18.159930755752789</c:v>
                </c:pt>
                <c:pt idx="136">
                  <c:v>-18.632997684160259</c:v>
                </c:pt>
                <c:pt idx="137">
                  <c:v>-18.756405962929424</c:v>
                </c:pt>
                <c:pt idx="138">
                  <c:v>-18.891700411211797</c:v>
                </c:pt>
                <c:pt idx="139">
                  <c:v>-18.964442926467555</c:v>
                </c:pt>
                <c:pt idx="140">
                  <c:v>-18.65388844744751</c:v>
                </c:pt>
                <c:pt idx="141">
                  <c:v>-19.063622367269161</c:v>
                </c:pt>
                <c:pt idx="142">
                  <c:v>-19.627073806875973</c:v>
                </c:pt>
                <c:pt idx="143">
                  <c:v>-19.851657816343344</c:v>
                </c:pt>
                <c:pt idx="144">
                  <c:v>-19.95252108376598</c:v>
                </c:pt>
                <c:pt idx="145">
                  <c:v>-20.261334169945584</c:v>
                </c:pt>
                <c:pt idx="146">
                  <c:v>-20.157912124000145</c:v>
                </c:pt>
                <c:pt idx="147">
                  <c:v>-20.14255518969162</c:v>
                </c:pt>
                <c:pt idx="148">
                  <c:v>-19.355320493285568</c:v>
                </c:pt>
                <c:pt idx="149">
                  <c:v>-19.401872766109616</c:v>
                </c:pt>
                <c:pt idx="150">
                  <c:v>-19.744354962399157</c:v>
                </c:pt>
                <c:pt idx="151">
                  <c:v>-20.131282557203985</c:v>
                </c:pt>
                <c:pt idx="152">
                  <c:v>-19.862216564459874</c:v>
                </c:pt>
                <c:pt idx="153">
                  <c:v>-20.164838624973882</c:v>
                </c:pt>
                <c:pt idx="154">
                  <c:v>-20.175522161658382</c:v>
                </c:pt>
                <c:pt idx="155">
                  <c:v>-19.191332913731578</c:v>
                </c:pt>
                <c:pt idx="156">
                  <c:v>-19.239404768319211</c:v>
                </c:pt>
                <c:pt idx="157">
                  <c:v>-19.649123494031723</c:v>
                </c:pt>
                <c:pt idx="158">
                  <c:v>-19.10857288015816</c:v>
                </c:pt>
                <c:pt idx="159">
                  <c:v>-19.39584756001846</c:v>
                </c:pt>
                <c:pt idx="160">
                  <c:v>-18.703597431845321</c:v>
                </c:pt>
                <c:pt idx="161">
                  <c:v>-19.268325325707572</c:v>
                </c:pt>
                <c:pt idx="162">
                  <c:v>-19.59768372011559</c:v>
                </c:pt>
                <c:pt idx="163">
                  <c:v>-19.138440048345721</c:v>
                </c:pt>
                <c:pt idx="164">
                  <c:v>-17.611258230858507</c:v>
                </c:pt>
                <c:pt idx="165">
                  <c:v>-12.857825568765044</c:v>
                </c:pt>
                <c:pt idx="166">
                  <c:v>-8.809642777945017</c:v>
                </c:pt>
                <c:pt idx="167">
                  <c:v>-6.1440375823656304</c:v>
                </c:pt>
                <c:pt idx="168">
                  <c:v>-5.5037807677675783</c:v>
                </c:pt>
                <c:pt idx="169">
                  <c:v>-4.7132127738734759</c:v>
                </c:pt>
                <c:pt idx="170">
                  <c:v>-2.674906539533354</c:v>
                </c:pt>
                <c:pt idx="171">
                  <c:v>-1.5474948141994684</c:v>
                </c:pt>
                <c:pt idx="172">
                  <c:v>1.1254981929487076</c:v>
                </c:pt>
                <c:pt idx="173">
                  <c:v>0.32666491182169161</c:v>
                </c:pt>
                <c:pt idx="174">
                  <c:v>0.75061684854844712</c:v>
                </c:pt>
                <c:pt idx="175">
                  <c:v>2.4878561132873118</c:v>
                </c:pt>
                <c:pt idx="176">
                  <c:v>3.8595748837455215</c:v>
                </c:pt>
                <c:pt idx="177">
                  <c:v>-0.18392691756356661</c:v>
                </c:pt>
                <c:pt idx="178">
                  <c:v>-3.3628165543385129</c:v>
                </c:pt>
                <c:pt idx="179">
                  <c:v>-2.6116187099745094</c:v>
                </c:pt>
                <c:pt idx="180">
                  <c:v>-1.4689657384294676</c:v>
                </c:pt>
                <c:pt idx="181">
                  <c:v>-0.15777842664293754</c:v>
                </c:pt>
                <c:pt idx="182">
                  <c:v>-1.483833440103405</c:v>
                </c:pt>
                <c:pt idx="183">
                  <c:v>0.19809354734068946</c:v>
                </c:pt>
                <c:pt idx="184">
                  <c:v>2.1429040742775247</c:v>
                </c:pt>
                <c:pt idx="185">
                  <c:v>-0.66775986336713011</c:v>
                </c:pt>
                <c:pt idx="186">
                  <c:v>-3.3347673014749861</c:v>
                </c:pt>
                <c:pt idx="187">
                  <c:v>-0.23252298683724301</c:v>
                </c:pt>
                <c:pt idx="188">
                  <c:v>-0.18606334510560646</c:v>
                </c:pt>
                <c:pt idx="189">
                  <c:v>-1.2991964521463184</c:v>
                </c:pt>
                <c:pt idx="190">
                  <c:v>-3.2062820143097666</c:v>
                </c:pt>
                <c:pt idx="191">
                  <c:v>2.5163478518421085</c:v>
                </c:pt>
                <c:pt idx="192">
                  <c:v>2.0934700569077052</c:v>
                </c:pt>
                <c:pt idx="193">
                  <c:v>0.42534858358567773</c:v>
                </c:pt>
                <c:pt idx="194">
                  <c:v>-0.64811051981661716</c:v>
                </c:pt>
                <c:pt idx="195">
                  <c:v>-3.7205245021454405</c:v>
                </c:pt>
                <c:pt idx="196">
                  <c:v>-3.5719057575564963</c:v>
                </c:pt>
                <c:pt idx="197">
                  <c:v>-2.9490568527160268</c:v>
                </c:pt>
                <c:pt idx="198">
                  <c:v>-2.0793413077688174</c:v>
                </c:pt>
                <c:pt idx="199">
                  <c:v>-0.83918627920639144</c:v>
                </c:pt>
                <c:pt idx="200">
                  <c:v>-2.3144240592621186</c:v>
                </c:pt>
                <c:pt idx="201">
                  <c:v>-4.5844865580836869</c:v>
                </c:pt>
                <c:pt idx="202">
                  <c:v>-3.8088322187901396</c:v>
                </c:pt>
                <c:pt idx="203">
                  <c:v>-4.8448025836272333</c:v>
                </c:pt>
                <c:pt idx="204">
                  <c:v>-5.4059397876448951</c:v>
                </c:pt>
                <c:pt idx="205">
                  <c:v>-4.028933584788394</c:v>
                </c:pt>
                <c:pt idx="206">
                  <c:v>-4.1203277422259497</c:v>
                </c:pt>
                <c:pt idx="207">
                  <c:v>-6.2449724154395732</c:v>
                </c:pt>
                <c:pt idx="208">
                  <c:v>-4.5307883520963372</c:v>
                </c:pt>
                <c:pt idx="209">
                  <c:v>-4.5457110521693576</c:v>
                </c:pt>
                <c:pt idx="210">
                  <c:v>-5.5652343549828638</c:v>
                </c:pt>
                <c:pt idx="211">
                  <c:v>-2.967887233679702</c:v>
                </c:pt>
                <c:pt idx="212">
                  <c:v>-3.1912197763750636</c:v>
                </c:pt>
                <c:pt idx="213">
                  <c:v>-4.4030718417629764</c:v>
                </c:pt>
                <c:pt idx="214">
                  <c:v>-5.8229655299942129</c:v>
                </c:pt>
                <c:pt idx="215">
                  <c:v>-5.033704257646562</c:v>
                </c:pt>
                <c:pt idx="216">
                  <c:v>-4.7212286751546113</c:v>
                </c:pt>
                <c:pt idx="217">
                  <c:v>-6.1429953145531373</c:v>
                </c:pt>
                <c:pt idx="218">
                  <c:v>-6.7775582476635874</c:v>
                </c:pt>
                <c:pt idx="219">
                  <c:v>-7.4271011606189905</c:v>
                </c:pt>
                <c:pt idx="220">
                  <c:v>-7.3400972443684775</c:v>
                </c:pt>
                <c:pt idx="221">
                  <c:v>-7.739189509183964</c:v>
                </c:pt>
                <c:pt idx="222">
                  <c:v>-8.1354614789998063</c:v>
                </c:pt>
                <c:pt idx="223">
                  <c:v>-7.9013224936640105</c:v>
                </c:pt>
                <c:pt idx="224">
                  <c:v>3.1071759131513943E-2</c:v>
                </c:pt>
                <c:pt idx="225">
                  <c:v>-3.1156055445576749</c:v>
                </c:pt>
                <c:pt idx="226">
                  <c:v>-5.5627090557949099</c:v>
                </c:pt>
                <c:pt idx="227">
                  <c:v>-2.7076515221561168</c:v>
                </c:pt>
                <c:pt idx="228">
                  <c:v>-2.8644706427993256</c:v>
                </c:pt>
                <c:pt idx="229">
                  <c:v>-3.6321538256171486</c:v>
                </c:pt>
                <c:pt idx="230">
                  <c:v>-5.6775032933186909</c:v>
                </c:pt>
                <c:pt idx="231">
                  <c:v>-7.2654916839809989</c:v>
                </c:pt>
                <c:pt idx="232">
                  <c:v>-6.7970310534863803</c:v>
                </c:pt>
                <c:pt idx="233">
                  <c:v>-4.7498452952827321</c:v>
                </c:pt>
                <c:pt idx="234">
                  <c:v>-5.2722276483028656</c:v>
                </c:pt>
                <c:pt idx="235">
                  <c:v>-6.0660011643337679</c:v>
                </c:pt>
                <c:pt idx="236">
                  <c:v>-7.1761729975900561</c:v>
                </c:pt>
                <c:pt idx="237">
                  <c:v>-7.003406260204768</c:v>
                </c:pt>
                <c:pt idx="238">
                  <c:v>-7.0207122958467965</c:v>
                </c:pt>
                <c:pt idx="239">
                  <c:v>-7.7272666764492834</c:v>
                </c:pt>
                <c:pt idx="240">
                  <c:v>-7.8178829379262753</c:v>
                </c:pt>
                <c:pt idx="241">
                  <c:v>-7.6708685770118894</c:v>
                </c:pt>
                <c:pt idx="242">
                  <c:v>-5.4120746610703128</c:v>
                </c:pt>
                <c:pt idx="243">
                  <c:v>-5.8114964944334968</c:v>
                </c:pt>
                <c:pt idx="244">
                  <c:v>-6.2296137109801846</c:v>
                </c:pt>
                <c:pt idx="245">
                  <c:v>-5.7147876488582563</c:v>
                </c:pt>
                <c:pt idx="246">
                  <c:v>-1.1502875910834074</c:v>
                </c:pt>
                <c:pt idx="247">
                  <c:v>-2.3569290637001581</c:v>
                </c:pt>
                <c:pt idx="248">
                  <c:v>-5.4037285495792373</c:v>
                </c:pt>
                <c:pt idx="249">
                  <c:v>-5.7678690631490577</c:v>
                </c:pt>
                <c:pt idx="250">
                  <c:v>-7.4243035150480265</c:v>
                </c:pt>
                <c:pt idx="251">
                  <c:v>-7.3037061315016096</c:v>
                </c:pt>
                <c:pt idx="252">
                  <c:v>-7.6383410416501514</c:v>
                </c:pt>
                <c:pt idx="253">
                  <c:v>-7.3519125503801517</c:v>
                </c:pt>
                <c:pt idx="254">
                  <c:v>-3.634547985569931</c:v>
                </c:pt>
                <c:pt idx="255">
                  <c:v>-4.35817643716444</c:v>
                </c:pt>
                <c:pt idx="256">
                  <c:v>-6.0196235453289573</c:v>
                </c:pt>
                <c:pt idx="257">
                  <c:v>-6.4738954691575366</c:v>
                </c:pt>
                <c:pt idx="258">
                  <c:v>-7.4261929126997668</c:v>
                </c:pt>
                <c:pt idx="259">
                  <c:v>-7.3073071058600627</c:v>
                </c:pt>
                <c:pt idx="260">
                  <c:v>-7.3483415347147822</c:v>
                </c:pt>
                <c:pt idx="261">
                  <c:v>-4.1482991717843714</c:v>
                </c:pt>
                <c:pt idx="262">
                  <c:v>-4.0352838685390529</c:v>
                </c:pt>
                <c:pt idx="263">
                  <c:v>-5.2790554045105154</c:v>
                </c:pt>
                <c:pt idx="264">
                  <c:v>-5.0888879821287603</c:v>
                </c:pt>
                <c:pt idx="265">
                  <c:v>-4.3891520015275507</c:v>
                </c:pt>
                <c:pt idx="266">
                  <c:v>-4.0732257963302159</c:v>
                </c:pt>
                <c:pt idx="267">
                  <c:v>-4.0351062107719455</c:v>
                </c:pt>
                <c:pt idx="268">
                  <c:v>-6.1327548463732198</c:v>
                </c:pt>
                <c:pt idx="269">
                  <c:v>-5.7958987359371692</c:v>
                </c:pt>
                <c:pt idx="270">
                  <c:v>-5.6524471912239189</c:v>
                </c:pt>
                <c:pt idx="271">
                  <c:v>-5.7051254864583338</c:v>
                </c:pt>
                <c:pt idx="272">
                  <c:v>-5.5424604691548387</c:v>
                </c:pt>
                <c:pt idx="273">
                  <c:v>-5.4824547707537441</c:v>
                </c:pt>
                <c:pt idx="274">
                  <c:v>-5.214919961758147</c:v>
                </c:pt>
                <c:pt idx="275">
                  <c:v>-4.8453154843328763</c:v>
                </c:pt>
                <c:pt idx="276">
                  <c:v>-4.853859966233169</c:v>
                </c:pt>
                <c:pt idx="277">
                  <c:v>-5.5004610973695414</c:v>
                </c:pt>
                <c:pt idx="278">
                  <c:v>-5.5609923770095353</c:v>
                </c:pt>
                <c:pt idx="279">
                  <c:v>-5.771959153321859</c:v>
                </c:pt>
                <c:pt idx="280">
                  <c:v>-6.0111719982075646</c:v>
                </c:pt>
                <c:pt idx="281">
                  <c:v>-2.3615158375422882</c:v>
                </c:pt>
                <c:pt idx="282">
                  <c:v>5.571658150962281E-2</c:v>
                </c:pt>
                <c:pt idx="283">
                  <c:v>-1.3000961774495245</c:v>
                </c:pt>
                <c:pt idx="284">
                  <c:v>-2.6650176157489032</c:v>
                </c:pt>
                <c:pt idx="285">
                  <c:v>-0.39808904334834011</c:v>
                </c:pt>
                <c:pt idx="286">
                  <c:v>-0.42061477564204308</c:v>
                </c:pt>
                <c:pt idx="287">
                  <c:v>-1.4154440279406297</c:v>
                </c:pt>
                <c:pt idx="288">
                  <c:v>-1.4753428925066123</c:v>
                </c:pt>
                <c:pt idx="289">
                  <c:v>-1.4936968204813825</c:v>
                </c:pt>
                <c:pt idx="290">
                  <c:v>-1.342638741883811</c:v>
                </c:pt>
                <c:pt idx="291">
                  <c:v>-2.1916051991640648</c:v>
                </c:pt>
                <c:pt idx="292">
                  <c:v>-2.4721538320621921</c:v>
                </c:pt>
                <c:pt idx="293">
                  <c:v>-3.0680101087425258</c:v>
                </c:pt>
                <c:pt idx="294">
                  <c:v>-2.7793808740531083</c:v>
                </c:pt>
                <c:pt idx="295">
                  <c:v>-3.1640914799787199</c:v>
                </c:pt>
                <c:pt idx="296">
                  <c:v>-2.6887924008644339</c:v>
                </c:pt>
                <c:pt idx="297">
                  <c:v>-3.6613795090018395</c:v>
                </c:pt>
                <c:pt idx="298">
                  <c:v>-2.0812291627171589</c:v>
                </c:pt>
                <c:pt idx="299">
                  <c:v>-0.331247810417164</c:v>
                </c:pt>
                <c:pt idx="300">
                  <c:v>7.824538860727312E-2</c:v>
                </c:pt>
                <c:pt idx="301">
                  <c:v>-0.21292139414123457</c:v>
                </c:pt>
                <c:pt idx="302">
                  <c:v>-1.3996226256161539</c:v>
                </c:pt>
                <c:pt idx="303">
                  <c:v>0.13783247776514301</c:v>
                </c:pt>
                <c:pt idx="304">
                  <c:v>-0.44817848735338589</c:v>
                </c:pt>
                <c:pt idx="305">
                  <c:v>0.6743990952507779</c:v>
                </c:pt>
                <c:pt idx="306">
                  <c:v>-0.68765685550055944</c:v>
                </c:pt>
                <c:pt idx="307">
                  <c:v>-0.22673288046942594</c:v>
                </c:pt>
                <c:pt idx="308">
                  <c:v>0.82283883008939818</c:v>
                </c:pt>
                <c:pt idx="309">
                  <c:v>1.9976515535054289</c:v>
                </c:pt>
                <c:pt idx="310">
                  <c:v>1.0442199949325128</c:v>
                </c:pt>
                <c:pt idx="311">
                  <c:v>1.1663103647271571</c:v>
                </c:pt>
                <c:pt idx="312">
                  <c:v>0.33493547063223228</c:v>
                </c:pt>
                <c:pt idx="313">
                  <c:v>-0.37397748796093477</c:v>
                </c:pt>
                <c:pt idx="314">
                  <c:v>-0.87027922217168818</c:v>
                </c:pt>
                <c:pt idx="315">
                  <c:v>-0.96608602686976197</c:v>
                </c:pt>
                <c:pt idx="316">
                  <c:v>-1.2193356355965059</c:v>
                </c:pt>
                <c:pt idx="317">
                  <c:v>-0.25855273127818879</c:v>
                </c:pt>
                <c:pt idx="318">
                  <c:v>-0.88075933434402409</c:v>
                </c:pt>
                <c:pt idx="319">
                  <c:v>-1.2531192297400664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0D-CE43-9168-2B005B2CF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E757681-EAF2-41C2-BBE0-91F376B16A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40A90A-8F50-41E9-8976-09F3B90535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AB145243-A18A-AF4E-9987-990127070D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3C495C-6502-D740-9D0B-9FC5D7E89C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884C3B49-6214-CE49-8D2A-2612E1A53D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1748BB-20A2-B54C-8D40-FE8FFA5552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EBC65CCA-8AB3-194E-B1F1-6F0C36B4AB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32D2ED-DC04-6444-B948-6C19019DB5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9F89D85A-0622-274D-869A-837BC21D15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B0C3E0-5CC9-7A4F-935B-F3D89E1999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reannawalsh/Documents/UCLA%20::%202019-2027/Hallem%20Lab/Data/Calcium%20Imaging%20Data/Analysis%20Worksheets/2024-0705_Walsh_CI_DataWork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. A Template"/>
      <sheetName val="Cond. B Template"/>
    </sheetNames>
    <sheetDataSet>
      <sheetData sheetId="0"/>
      <sheetData sheetId="1">
        <row r="64">
          <cell r="X64">
            <v>-13</v>
          </cell>
        </row>
        <row r="65">
          <cell r="X65">
            <v>-13</v>
          </cell>
        </row>
        <row r="66">
          <cell r="X66">
            <v>-13</v>
          </cell>
        </row>
        <row r="67">
          <cell r="X67">
            <v>-13</v>
          </cell>
        </row>
        <row r="68">
          <cell r="X68">
            <v>-13</v>
          </cell>
        </row>
        <row r="69">
          <cell r="X69">
            <v>-13</v>
          </cell>
        </row>
        <row r="70">
          <cell r="X70">
            <v>-13</v>
          </cell>
        </row>
        <row r="71">
          <cell r="X71">
            <v>-13</v>
          </cell>
        </row>
        <row r="72">
          <cell r="X72">
            <v>-13</v>
          </cell>
        </row>
        <row r="73">
          <cell r="X73">
            <v>-13</v>
          </cell>
        </row>
        <row r="74">
          <cell r="X74">
            <v>-13</v>
          </cell>
        </row>
        <row r="75">
          <cell r="X75">
            <v>-13</v>
          </cell>
        </row>
        <row r="76">
          <cell r="X76">
            <v>-13</v>
          </cell>
        </row>
        <row r="77">
          <cell r="X77">
            <v>-13</v>
          </cell>
        </row>
        <row r="78">
          <cell r="X78">
            <v>-13</v>
          </cell>
        </row>
        <row r="79">
          <cell r="X79">
            <v>-13</v>
          </cell>
        </row>
        <row r="80">
          <cell r="X80">
            <v>-13</v>
          </cell>
        </row>
        <row r="81">
          <cell r="X81">
            <v>-13</v>
          </cell>
        </row>
        <row r="82">
          <cell r="A82">
            <v>40.5</v>
          </cell>
          <cell r="X82">
            <v>-13</v>
          </cell>
        </row>
        <row r="83">
          <cell r="A83">
            <v>41</v>
          </cell>
          <cell r="X83">
            <v>-13</v>
          </cell>
        </row>
        <row r="84">
          <cell r="A84">
            <v>41.5</v>
          </cell>
          <cell r="X84">
            <v>-13</v>
          </cell>
        </row>
        <row r="85">
          <cell r="A85">
            <v>42</v>
          </cell>
          <cell r="X85">
            <v>-13</v>
          </cell>
        </row>
        <row r="86">
          <cell r="A86">
            <v>42.5</v>
          </cell>
          <cell r="X86">
            <v>-13</v>
          </cell>
        </row>
        <row r="87">
          <cell r="A87">
            <v>43</v>
          </cell>
          <cell r="X87">
            <v>-13</v>
          </cell>
        </row>
        <row r="88">
          <cell r="A88">
            <v>43.5</v>
          </cell>
          <cell r="X88">
            <v>-13</v>
          </cell>
        </row>
        <row r="89">
          <cell r="A89">
            <v>44</v>
          </cell>
          <cell r="X89">
            <v>-13</v>
          </cell>
        </row>
        <row r="90">
          <cell r="A90">
            <v>44.5</v>
          </cell>
          <cell r="X90">
            <v>-13</v>
          </cell>
        </row>
        <row r="91">
          <cell r="A91">
            <v>45</v>
          </cell>
          <cell r="X91">
            <v>-13</v>
          </cell>
        </row>
        <row r="92">
          <cell r="A92">
            <v>45.5</v>
          </cell>
          <cell r="X92">
            <v>-13</v>
          </cell>
        </row>
        <row r="93">
          <cell r="A93">
            <v>46</v>
          </cell>
          <cell r="X93">
            <v>-13</v>
          </cell>
        </row>
        <row r="94">
          <cell r="A94">
            <v>46.5</v>
          </cell>
          <cell r="X94">
            <v>-13</v>
          </cell>
        </row>
        <row r="95">
          <cell r="A95">
            <v>47</v>
          </cell>
          <cell r="X95">
            <v>-13</v>
          </cell>
        </row>
        <row r="96">
          <cell r="A96">
            <v>47.5</v>
          </cell>
          <cell r="X96">
            <v>-13</v>
          </cell>
        </row>
        <row r="97">
          <cell r="A97">
            <v>48</v>
          </cell>
          <cell r="X97">
            <v>-13</v>
          </cell>
        </row>
        <row r="98">
          <cell r="A98">
            <v>48.5</v>
          </cell>
          <cell r="X98">
            <v>-13</v>
          </cell>
        </row>
        <row r="99">
          <cell r="A99">
            <v>49</v>
          </cell>
          <cell r="X99">
            <v>-13</v>
          </cell>
        </row>
        <row r="100">
          <cell r="A100">
            <v>49.5</v>
          </cell>
          <cell r="X100">
            <v>-13</v>
          </cell>
        </row>
        <row r="101">
          <cell r="A101">
            <v>50</v>
          </cell>
          <cell r="X101">
            <v>-13</v>
          </cell>
        </row>
        <row r="102">
          <cell r="A102">
            <v>50.5</v>
          </cell>
          <cell r="X102">
            <v>-13</v>
          </cell>
        </row>
        <row r="103">
          <cell r="A103">
            <v>51</v>
          </cell>
          <cell r="X103">
            <v>-13</v>
          </cell>
        </row>
        <row r="104">
          <cell r="A104">
            <v>51.5</v>
          </cell>
          <cell r="X104">
            <v>-13</v>
          </cell>
        </row>
        <row r="105">
          <cell r="A105">
            <v>52</v>
          </cell>
          <cell r="X105">
            <v>-13</v>
          </cell>
        </row>
        <row r="106">
          <cell r="A106">
            <v>52.5</v>
          </cell>
          <cell r="X106">
            <v>-13</v>
          </cell>
        </row>
        <row r="107">
          <cell r="A107">
            <v>53</v>
          </cell>
          <cell r="X107">
            <v>-13</v>
          </cell>
        </row>
        <row r="108">
          <cell r="A108">
            <v>53.5</v>
          </cell>
          <cell r="X108">
            <v>-13</v>
          </cell>
        </row>
        <row r="109">
          <cell r="A109">
            <v>54</v>
          </cell>
          <cell r="X109">
            <v>-13</v>
          </cell>
        </row>
        <row r="110">
          <cell r="A110">
            <v>54.5</v>
          </cell>
          <cell r="X110">
            <v>-13</v>
          </cell>
        </row>
        <row r="111">
          <cell r="A111">
            <v>55</v>
          </cell>
          <cell r="X111">
            <v>-13</v>
          </cell>
        </row>
        <row r="112">
          <cell r="A112">
            <v>55.5</v>
          </cell>
          <cell r="X112">
            <v>-13</v>
          </cell>
        </row>
        <row r="113">
          <cell r="A113">
            <v>56</v>
          </cell>
          <cell r="X113">
            <v>-13</v>
          </cell>
        </row>
        <row r="114">
          <cell r="A114">
            <v>56.5</v>
          </cell>
          <cell r="X114">
            <v>-13</v>
          </cell>
        </row>
        <row r="115">
          <cell r="A115">
            <v>57</v>
          </cell>
          <cell r="X115">
            <v>-13</v>
          </cell>
        </row>
        <row r="116">
          <cell r="A116">
            <v>57.5</v>
          </cell>
          <cell r="X116">
            <v>-13</v>
          </cell>
        </row>
        <row r="117">
          <cell r="A117">
            <v>58</v>
          </cell>
          <cell r="X117">
            <v>-13</v>
          </cell>
        </row>
        <row r="118">
          <cell r="A118">
            <v>58.5</v>
          </cell>
          <cell r="X118">
            <v>-13</v>
          </cell>
        </row>
        <row r="119">
          <cell r="A119">
            <v>59</v>
          </cell>
          <cell r="X119">
            <v>-13</v>
          </cell>
        </row>
        <row r="120">
          <cell r="A120">
            <v>59.5</v>
          </cell>
          <cell r="X120">
            <v>-13</v>
          </cell>
        </row>
        <row r="121">
          <cell r="A121">
            <v>60</v>
          </cell>
          <cell r="X121">
            <v>-13</v>
          </cell>
        </row>
        <row r="122">
          <cell r="A122">
            <v>60.5</v>
          </cell>
          <cell r="X122">
            <v>-13</v>
          </cell>
        </row>
        <row r="123">
          <cell r="A123">
            <v>61</v>
          </cell>
          <cell r="X123">
            <v>-13</v>
          </cell>
        </row>
        <row r="124">
          <cell r="A124">
            <v>61.5</v>
          </cell>
          <cell r="X124">
            <v>-13</v>
          </cell>
        </row>
        <row r="125">
          <cell r="A125">
            <v>62</v>
          </cell>
          <cell r="X125">
            <v>-13</v>
          </cell>
        </row>
        <row r="126">
          <cell r="A126">
            <v>62.5</v>
          </cell>
          <cell r="X126">
            <v>-13</v>
          </cell>
        </row>
        <row r="127">
          <cell r="A127">
            <v>63</v>
          </cell>
          <cell r="X127">
            <v>-13</v>
          </cell>
        </row>
        <row r="128">
          <cell r="A128">
            <v>63.5</v>
          </cell>
          <cell r="X128">
            <v>-13</v>
          </cell>
        </row>
        <row r="129">
          <cell r="A129">
            <v>64</v>
          </cell>
          <cell r="X129">
            <v>-13</v>
          </cell>
        </row>
        <row r="130">
          <cell r="A130">
            <v>64.5</v>
          </cell>
          <cell r="X130">
            <v>-13</v>
          </cell>
        </row>
        <row r="131">
          <cell r="A131">
            <v>65</v>
          </cell>
          <cell r="X131">
            <v>-13</v>
          </cell>
        </row>
        <row r="132">
          <cell r="A132">
            <v>65.5</v>
          </cell>
          <cell r="X132">
            <v>-13</v>
          </cell>
        </row>
        <row r="133">
          <cell r="A133">
            <v>66</v>
          </cell>
          <cell r="X133">
            <v>-13</v>
          </cell>
        </row>
        <row r="134">
          <cell r="A134">
            <v>66.5</v>
          </cell>
          <cell r="X134">
            <v>-13</v>
          </cell>
        </row>
        <row r="135">
          <cell r="A135">
            <v>67</v>
          </cell>
          <cell r="X135">
            <v>-13</v>
          </cell>
        </row>
        <row r="136">
          <cell r="A136">
            <v>67.5</v>
          </cell>
          <cell r="X136">
            <v>-13</v>
          </cell>
        </row>
        <row r="137">
          <cell r="A137">
            <v>68</v>
          </cell>
          <cell r="X137">
            <v>-13</v>
          </cell>
        </row>
        <row r="138">
          <cell r="A138">
            <v>68.5</v>
          </cell>
          <cell r="X138">
            <v>-13</v>
          </cell>
        </row>
        <row r="139">
          <cell r="A139">
            <v>69</v>
          </cell>
          <cell r="X139">
            <v>-13</v>
          </cell>
        </row>
        <row r="140">
          <cell r="A140">
            <v>69.5</v>
          </cell>
          <cell r="X140">
            <v>-13</v>
          </cell>
        </row>
        <row r="141">
          <cell r="A141">
            <v>70</v>
          </cell>
          <cell r="X141">
            <v>-13</v>
          </cell>
        </row>
        <row r="142">
          <cell r="A142">
            <v>70.5</v>
          </cell>
          <cell r="X142">
            <v>-13</v>
          </cell>
        </row>
        <row r="143">
          <cell r="A143">
            <v>71</v>
          </cell>
          <cell r="X143">
            <v>-13</v>
          </cell>
        </row>
        <row r="144">
          <cell r="A144">
            <v>71.5</v>
          </cell>
        </row>
        <row r="145">
          <cell r="A145">
            <v>72</v>
          </cell>
        </row>
        <row r="146">
          <cell r="A146">
            <v>72.5</v>
          </cell>
        </row>
        <row r="147">
          <cell r="A147">
            <v>73</v>
          </cell>
        </row>
        <row r="148">
          <cell r="A148">
            <v>73.5</v>
          </cell>
        </row>
        <row r="149">
          <cell r="A149">
            <v>74</v>
          </cell>
        </row>
        <row r="150">
          <cell r="A150">
            <v>74.5</v>
          </cell>
        </row>
        <row r="151">
          <cell r="A151">
            <v>75</v>
          </cell>
        </row>
        <row r="152">
          <cell r="A152">
            <v>75.5</v>
          </cell>
        </row>
        <row r="153">
          <cell r="A153">
            <v>76</v>
          </cell>
        </row>
        <row r="154">
          <cell r="A154">
            <v>76.5</v>
          </cell>
        </row>
        <row r="155">
          <cell r="A155">
            <v>77</v>
          </cell>
        </row>
        <row r="156">
          <cell r="A156">
            <v>77.5</v>
          </cell>
        </row>
        <row r="157">
          <cell r="A157">
            <v>78</v>
          </cell>
        </row>
        <row r="158">
          <cell r="A158">
            <v>78.5</v>
          </cell>
        </row>
        <row r="159">
          <cell r="A159">
            <v>79</v>
          </cell>
        </row>
        <row r="160">
          <cell r="A160">
            <v>79.5</v>
          </cell>
        </row>
        <row r="161">
          <cell r="A161">
            <v>80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529B9-751D-423C-B44D-F20CD410FAF0}">
  <dimension ref="A1:Y798"/>
  <sheetViews>
    <sheetView zoomScale="44" zoomScaleNormal="70" workbookViewId="0">
      <selection activeCell="P2" sqref="P2:P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4838.9149139579004</v>
      </c>
      <c r="E2">
        <v>811.93785850860002</v>
      </c>
      <c r="F2">
        <v>143.89817483189</v>
      </c>
      <c r="G2">
        <v>118.40057636888</v>
      </c>
      <c r="H2" s="4"/>
      <c r="I2" s="5">
        <f>E2-G2</f>
        <v>693.53728213971999</v>
      </c>
      <c r="J2" s="5">
        <f>D2-F2</f>
        <v>4695.0167391260102</v>
      </c>
      <c r="K2" s="9">
        <f>I2*1</f>
        <v>693.53728213971999</v>
      </c>
      <c r="L2" s="6">
        <f t="shared" ref="L2:L65" si="0">K2/J2</f>
        <v>0.14771774429686566</v>
      </c>
      <c r="M2" s="6">
        <f>L2+ABS($N$2)*A2</f>
        <v>0.14771774429686566</v>
      </c>
      <c r="N2" s="4">
        <f>LINEST(V64:V103,U64:U103)</f>
        <v>2.5360507912210619E-5</v>
      </c>
      <c r="O2" s="7">
        <f>AVERAGE(M62:M81)</f>
        <v>0.14173282219314581</v>
      </c>
      <c r="P2" s="4">
        <f>(M2-$O$2)/$O$2*100</f>
        <v>4.2226789893197179</v>
      </c>
    </row>
    <row r="3" spans="1:16" x14ac:dyDescent="0.2">
      <c r="A3" s="8">
        <v>0.5</v>
      </c>
      <c r="B3" s="8">
        <v>1</v>
      </c>
      <c r="D3">
        <v>4810.4636711281</v>
      </c>
      <c r="E3">
        <v>816.86806883365</v>
      </c>
      <c r="F3">
        <v>143.54562920269001</v>
      </c>
      <c r="G3">
        <v>118.72430355428</v>
      </c>
      <c r="I3" s="9">
        <f t="shared" ref="I3:I66" si="1">E3-G3</f>
        <v>698.14376527936997</v>
      </c>
      <c r="J3" s="9">
        <f t="shared" ref="J3:J66" si="2">D3-F3</f>
        <v>4666.9180419254099</v>
      </c>
      <c r="K3" s="9">
        <f t="shared" ref="K3:K66" si="3">I3*1</f>
        <v>698.14376527936997</v>
      </c>
      <c r="L3" s="10">
        <f t="shared" si="0"/>
        <v>0.14959417735807073</v>
      </c>
      <c r="M3" s="10">
        <f t="shared" ref="M3:M66" si="4">L3+ABS($N$2)*A3</f>
        <v>0.14960685761202683</v>
      </c>
      <c r="P3" s="8">
        <f t="shared" ref="P3:P66" si="5">(M3-$O$2)/$O$2*100</f>
        <v>5.5555483176301292</v>
      </c>
    </row>
    <row r="4" spans="1:16" ht="16" x14ac:dyDescent="0.2">
      <c r="A4" s="8">
        <v>1</v>
      </c>
      <c r="B4" s="8">
        <v>2</v>
      </c>
      <c r="D4">
        <v>4830.2265774379002</v>
      </c>
      <c r="E4">
        <v>820.66156787762998</v>
      </c>
      <c r="F4">
        <v>143.12872238233001</v>
      </c>
      <c r="G4">
        <v>118.28146013449</v>
      </c>
      <c r="I4" s="9">
        <f t="shared" si="1"/>
        <v>702.38010774314</v>
      </c>
      <c r="J4" s="9">
        <f t="shared" si="2"/>
        <v>4687.0978550555701</v>
      </c>
      <c r="K4" s="9">
        <f t="shared" si="3"/>
        <v>702.38010774314</v>
      </c>
      <c r="L4" s="10">
        <f t="shared" si="0"/>
        <v>0.14985394575996377</v>
      </c>
      <c r="M4" s="10">
        <f t="shared" si="4"/>
        <v>0.14987930626787599</v>
      </c>
      <c r="N4" s="1" t="s">
        <v>7</v>
      </c>
      <c r="P4" s="8">
        <f t="shared" si="5"/>
        <v>5.7477752497079244</v>
      </c>
    </row>
    <row r="5" spans="1:16" x14ac:dyDescent="0.2">
      <c r="A5" s="8">
        <v>1.5</v>
      </c>
      <c r="B5" s="8">
        <v>3</v>
      </c>
      <c r="D5">
        <v>4773.8173996176001</v>
      </c>
      <c r="E5">
        <v>809.29636711281</v>
      </c>
      <c r="F5">
        <v>142.71757925072001</v>
      </c>
      <c r="G5">
        <v>118.63016330452</v>
      </c>
      <c r="I5" s="9">
        <f t="shared" si="1"/>
        <v>690.66620380828999</v>
      </c>
      <c r="J5" s="9">
        <f t="shared" si="2"/>
        <v>4631.0998203668805</v>
      </c>
      <c r="K5" s="9">
        <f t="shared" si="3"/>
        <v>690.66620380828999</v>
      </c>
      <c r="L5" s="10">
        <f t="shared" si="0"/>
        <v>0.1491365400440828</v>
      </c>
      <c r="M5" s="10">
        <f t="shared" si="4"/>
        <v>0.14917458080595111</v>
      </c>
      <c r="N5" s="8">
        <f>RSQ(V64:V83,U64:U83)</f>
        <v>0.63237046239036809</v>
      </c>
      <c r="P5" s="8">
        <f t="shared" si="5"/>
        <v>5.2505541748573057</v>
      </c>
    </row>
    <row r="6" spans="1:16" x14ac:dyDescent="0.2">
      <c r="A6" s="8">
        <v>2</v>
      </c>
      <c r="B6" s="8">
        <v>4</v>
      </c>
      <c r="D6">
        <v>4863.4101338432001</v>
      </c>
      <c r="E6">
        <v>818.19885277246999</v>
      </c>
      <c r="F6">
        <v>143.06820365034</v>
      </c>
      <c r="G6">
        <v>118.46589817483</v>
      </c>
      <c r="I6" s="9">
        <f t="shared" si="1"/>
        <v>699.73295459763995</v>
      </c>
      <c r="J6" s="9">
        <f t="shared" si="2"/>
        <v>4720.3419301928598</v>
      </c>
      <c r="K6" s="9">
        <f t="shared" si="3"/>
        <v>699.73295459763995</v>
      </c>
      <c r="L6" s="10">
        <f t="shared" si="0"/>
        <v>0.14823776856543333</v>
      </c>
      <c r="M6" s="10">
        <f t="shared" si="4"/>
        <v>0.14828848958125776</v>
      </c>
      <c r="P6" s="8">
        <f t="shared" si="5"/>
        <v>4.6253699648894582</v>
      </c>
    </row>
    <row r="7" spans="1:16" x14ac:dyDescent="0.2">
      <c r="A7" s="8">
        <v>2.5</v>
      </c>
      <c r="B7" s="8">
        <v>5</v>
      </c>
      <c r="D7">
        <v>5060.8949379179003</v>
      </c>
      <c r="E7">
        <v>851.52435530085995</v>
      </c>
      <c r="F7">
        <v>142.75888568683999</v>
      </c>
      <c r="G7">
        <v>118.31892411142999</v>
      </c>
      <c r="I7" s="9">
        <f t="shared" si="1"/>
        <v>733.20543118942999</v>
      </c>
      <c r="J7" s="9">
        <f t="shared" si="2"/>
        <v>4918.1360522310606</v>
      </c>
      <c r="K7" s="9">
        <f t="shared" si="3"/>
        <v>733.20543118942999</v>
      </c>
      <c r="L7" s="10">
        <f t="shared" si="0"/>
        <v>0.14908197402485826</v>
      </c>
      <c r="M7" s="10">
        <f t="shared" si="4"/>
        <v>0.14914537529463878</v>
      </c>
      <c r="P7" s="8">
        <f t="shared" si="5"/>
        <v>5.2299481424221863</v>
      </c>
    </row>
    <row r="8" spans="1:16" x14ac:dyDescent="0.2">
      <c r="A8" s="8">
        <v>3</v>
      </c>
      <c r="B8" s="8">
        <v>6</v>
      </c>
      <c r="D8">
        <v>5032.9289827254997</v>
      </c>
      <c r="E8">
        <v>851.41170825335996</v>
      </c>
      <c r="F8">
        <v>143.03073967339</v>
      </c>
      <c r="G8">
        <v>118.67435158501</v>
      </c>
      <c r="I8" s="9">
        <f t="shared" si="1"/>
        <v>732.73735666835</v>
      </c>
      <c r="J8" s="9">
        <f t="shared" si="2"/>
        <v>4889.89824305211</v>
      </c>
      <c r="K8" s="9">
        <f t="shared" si="3"/>
        <v>732.73735666835</v>
      </c>
      <c r="L8" s="10">
        <f t="shared" si="0"/>
        <v>0.14984715841673629</v>
      </c>
      <c r="M8" s="10">
        <f t="shared" si="4"/>
        <v>0.14992323994047294</v>
      </c>
      <c r="P8" s="8">
        <f t="shared" si="5"/>
        <v>5.7787727786621401</v>
      </c>
    </row>
    <row r="9" spans="1:16" x14ac:dyDescent="0.2">
      <c r="A9" s="8">
        <v>3.5</v>
      </c>
      <c r="B9" s="8">
        <v>7</v>
      </c>
      <c r="D9">
        <v>5453.4240687679003</v>
      </c>
      <c r="E9">
        <v>901.26456542502001</v>
      </c>
      <c r="F9">
        <v>143.25744476464999</v>
      </c>
      <c r="G9">
        <v>118.22670509126</v>
      </c>
      <c r="I9" s="9">
        <f t="shared" si="1"/>
        <v>783.03786033376002</v>
      </c>
      <c r="J9" s="9">
        <f t="shared" si="2"/>
        <v>5310.16662400325</v>
      </c>
      <c r="K9" s="9">
        <f t="shared" si="3"/>
        <v>783.03786033376002</v>
      </c>
      <c r="L9" s="10">
        <f t="shared" si="0"/>
        <v>0.14746012993156141</v>
      </c>
      <c r="M9" s="10">
        <f t="shared" si="4"/>
        <v>0.14754889170925414</v>
      </c>
      <c r="P9" s="8">
        <f t="shared" si="5"/>
        <v>4.1035445608939511</v>
      </c>
    </row>
    <row r="10" spans="1:16" x14ac:dyDescent="0.2">
      <c r="A10" s="8">
        <v>4</v>
      </c>
      <c r="B10" s="8">
        <v>8</v>
      </c>
      <c r="D10">
        <v>5841.5028790787001</v>
      </c>
      <c r="E10">
        <v>956.32725527830996</v>
      </c>
      <c r="F10">
        <v>143.22574447647</v>
      </c>
      <c r="G10">
        <v>118.72814601345</v>
      </c>
      <c r="I10" s="9">
        <f t="shared" si="1"/>
        <v>837.59910926485998</v>
      </c>
      <c r="J10" s="9">
        <f t="shared" si="2"/>
        <v>5698.27713460223</v>
      </c>
      <c r="K10" s="9">
        <f t="shared" si="3"/>
        <v>837.59910926485998</v>
      </c>
      <c r="L10" s="10">
        <f t="shared" si="0"/>
        <v>0.14699164141712615</v>
      </c>
      <c r="M10" s="10">
        <f t="shared" si="4"/>
        <v>0.14709308344877497</v>
      </c>
      <c r="P10" s="8">
        <f t="shared" si="5"/>
        <v>3.7819477328437641</v>
      </c>
    </row>
    <row r="11" spans="1:16" x14ac:dyDescent="0.2">
      <c r="A11" s="8">
        <v>4.5</v>
      </c>
      <c r="B11" s="8">
        <v>9</v>
      </c>
      <c r="D11">
        <v>6072.5893536122003</v>
      </c>
      <c r="E11">
        <v>999.76806083650001</v>
      </c>
      <c r="F11">
        <v>143.96253602306001</v>
      </c>
      <c r="G11">
        <v>118.77137367916001</v>
      </c>
      <c r="I11" s="9">
        <f t="shared" si="1"/>
        <v>880.99668715734003</v>
      </c>
      <c r="J11" s="9">
        <f t="shared" si="2"/>
        <v>5928.62681758914</v>
      </c>
      <c r="K11" s="9">
        <f t="shared" si="3"/>
        <v>880.99668715734003</v>
      </c>
      <c r="L11" s="10">
        <f t="shared" si="0"/>
        <v>0.14860046251242964</v>
      </c>
      <c r="M11" s="10">
        <f t="shared" si="4"/>
        <v>0.14871458479803459</v>
      </c>
      <c r="P11" s="8">
        <f t="shared" si="5"/>
        <v>4.9260026695682475</v>
      </c>
    </row>
    <row r="12" spans="1:16" x14ac:dyDescent="0.2">
      <c r="A12" s="8">
        <v>5</v>
      </c>
      <c r="B12" s="8">
        <v>10</v>
      </c>
      <c r="D12">
        <v>6231.6284889317003</v>
      </c>
      <c r="E12">
        <v>1021.8286814245</v>
      </c>
      <c r="F12">
        <v>144.13448607109001</v>
      </c>
      <c r="G12">
        <v>118.47934678194</v>
      </c>
      <c r="I12" s="9">
        <f t="shared" si="1"/>
        <v>903.34933464256005</v>
      </c>
      <c r="J12" s="9">
        <f t="shared" si="2"/>
        <v>6087.4940028606106</v>
      </c>
      <c r="K12" s="9">
        <f t="shared" si="3"/>
        <v>903.34933464256005</v>
      </c>
      <c r="L12" s="10">
        <f t="shared" si="0"/>
        <v>0.14839428740596078</v>
      </c>
      <c r="M12" s="10">
        <f t="shared" si="4"/>
        <v>0.14852108994552182</v>
      </c>
      <c r="P12" s="8">
        <f t="shared" si="5"/>
        <v>4.7894818203262233</v>
      </c>
    </row>
    <row r="13" spans="1:16" x14ac:dyDescent="0.2">
      <c r="A13" s="8">
        <v>5.5</v>
      </c>
      <c r="B13" s="8">
        <v>11</v>
      </c>
      <c r="D13">
        <v>6160.8363811357003</v>
      </c>
      <c r="E13">
        <v>1008.6419634264</v>
      </c>
      <c r="F13">
        <v>143.89625360231</v>
      </c>
      <c r="G13">
        <v>118.59558117195</v>
      </c>
      <c r="I13" s="9">
        <f t="shared" si="1"/>
        <v>890.04638225445001</v>
      </c>
      <c r="J13" s="9">
        <f t="shared" si="2"/>
        <v>6016.9401275333903</v>
      </c>
      <c r="K13" s="9">
        <f t="shared" si="3"/>
        <v>890.04638225445001</v>
      </c>
      <c r="L13" s="10">
        <f t="shared" si="0"/>
        <v>0.14792342343272066</v>
      </c>
      <c r="M13" s="10">
        <f t="shared" si="4"/>
        <v>0.14806290622623783</v>
      </c>
      <c r="P13" s="8">
        <f t="shared" si="5"/>
        <v>4.4662089804898679</v>
      </c>
    </row>
    <row r="14" spans="1:16" x14ac:dyDescent="0.2">
      <c r="A14" s="8">
        <v>6</v>
      </c>
      <c r="B14" s="8">
        <v>12</v>
      </c>
      <c r="D14">
        <v>5942.3849855629996</v>
      </c>
      <c r="E14">
        <v>981.00096246391001</v>
      </c>
      <c r="F14">
        <v>143.31796349664</v>
      </c>
      <c r="G14">
        <v>118.70509125840999</v>
      </c>
      <c r="I14" s="9">
        <f t="shared" si="1"/>
        <v>862.29587120550002</v>
      </c>
      <c r="J14" s="9">
        <f t="shared" si="2"/>
        <v>5799.0670220663596</v>
      </c>
      <c r="K14" s="9">
        <f t="shared" si="3"/>
        <v>862.29587120550002</v>
      </c>
      <c r="L14" s="10">
        <f t="shared" si="0"/>
        <v>0.14869562085147989</v>
      </c>
      <c r="M14" s="10">
        <f t="shared" si="4"/>
        <v>0.14884778389895315</v>
      </c>
      <c r="P14" s="8">
        <f t="shared" si="5"/>
        <v>5.0199816779993611</v>
      </c>
    </row>
    <row r="15" spans="1:16" x14ac:dyDescent="0.2">
      <c r="A15" s="8">
        <v>6.5</v>
      </c>
      <c r="B15" s="8">
        <v>13</v>
      </c>
      <c r="D15">
        <v>5701.2783603431999</v>
      </c>
      <c r="E15">
        <v>935.39942802668998</v>
      </c>
      <c r="F15">
        <v>144.53986551393001</v>
      </c>
      <c r="G15">
        <v>118.7790585975</v>
      </c>
      <c r="I15" s="9">
        <f t="shared" si="1"/>
        <v>816.62036942918996</v>
      </c>
      <c r="J15" s="9">
        <f t="shared" si="2"/>
        <v>5556.7384948292702</v>
      </c>
      <c r="K15" s="9">
        <f t="shared" si="3"/>
        <v>816.62036942918996</v>
      </c>
      <c r="L15" s="10">
        <f t="shared" si="0"/>
        <v>0.14696037436152201</v>
      </c>
      <c r="M15" s="10">
        <f t="shared" si="4"/>
        <v>0.14712521766295139</v>
      </c>
      <c r="P15" s="8">
        <f t="shared" si="5"/>
        <v>3.8046201200009357</v>
      </c>
    </row>
    <row r="16" spans="1:16" x14ac:dyDescent="0.2">
      <c r="A16" s="8">
        <v>7</v>
      </c>
      <c r="B16" s="8">
        <v>14</v>
      </c>
      <c r="D16">
        <v>5566.5843660628998</v>
      </c>
      <c r="E16">
        <v>924.02859866539995</v>
      </c>
      <c r="F16">
        <v>144.54851104707001</v>
      </c>
      <c r="G16">
        <v>118.91738712775999</v>
      </c>
      <c r="I16" s="9">
        <f t="shared" si="1"/>
        <v>805.11121153763997</v>
      </c>
      <c r="J16" s="9">
        <f t="shared" si="2"/>
        <v>5422.0358550158298</v>
      </c>
      <c r="K16" s="9">
        <f t="shared" si="3"/>
        <v>805.11121153763997</v>
      </c>
      <c r="L16" s="10">
        <f t="shared" si="0"/>
        <v>0.14848872878493524</v>
      </c>
      <c r="M16" s="10">
        <f t="shared" si="4"/>
        <v>0.14866625234032071</v>
      </c>
      <c r="P16" s="8">
        <f t="shared" si="5"/>
        <v>4.8919015651338675</v>
      </c>
    </row>
    <row r="17" spans="1:16" x14ac:dyDescent="0.2">
      <c r="A17" s="8">
        <v>7.5</v>
      </c>
      <c r="B17" s="8">
        <v>15</v>
      </c>
      <c r="D17">
        <v>5522.5627996165003</v>
      </c>
      <c r="E17">
        <v>908.36433365291998</v>
      </c>
      <c r="F17">
        <v>144.40634005763999</v>
      </c>
      <c r="G17">
        <v>118.67531219980999</v>
      </c>
      <c r="I17" s="9">
        <f t="shared" si="1"/>
        <v>789.68902145310994</v>
      </c>
      <c r="J17" s="9">
        <f t="shared" si="2"/>
        <v>5378.1564595588607</v>
      </c>
      <c r="K17" s="9">
        <f t="shared" si="3"/>
        <v>789.68902145310994</v>
      </c>
      <c r="L17" s="10">
        <f t="shared" si="0"/>
        <v>0.14683266048341845</v>
      </c>
      <c r="M17" s="10">
        <f t="shared" si="4"/>
        <v>0.14702286429276001</v>
      </c>
      <c r="P17" s="8">
        <f t="shared" si="5"/>
        <v>3.7324044055266308</v>
      </c>
    </row>
    <row r="18" spans="1:16" x14ac:dyDescent="0.2">
      <c r="A18" s="8">
        <v>8</v>
      </c>
      <c r="B18" s="8">
        <v>16</v>
      </c>
      <c r="D18">
        <v>5357.0783190067004</v>
      </c>
      <c r="E18">
        <v>883.07831900668998</v>
      </c>
      <c r="F18">
        <v>143.4111431316</v>
      </c>
      <c r="G18">
        <v>118.53410182517</v>
      </c>
      <c r="I18" s="9">
        <f t="shared" si="1"/>
        <v>764.54421718152003</v>
      </c>
      <c r="J18" s="9">
        <f t="shared" si="2"/>
        <v>5213.6671758751008</v>
      </c>
      <c r="K18" s="9">
        <f t="shared" si="3"/>
        <v>764.54421718152003</v>
      </c>
      <c r="L18" s="10">
        <f t="shared" si="0"/>
        <v>0.14664231363276334</v>
      </c>
      <c r="M18" s="10">
        <f t="shared" si="4"/>
        <v>0.14684519769606103</v>
      </c>
      <c r="P18" s="8">
        <f t="shared" si="5"/>
        <v>3.6070512276601274</v>
      </c>
    </row>
    <row r="19" spans="1:16" x14ac:dyDescent="0.2">
      <c r="A19" s="8">
        <v>8.5</v>
      </c>
      <c r="B19" s="8">
        <v>17</v>
      </c>
      <c r="D19">
        <v>5314.4527220629998</v>
      </c>
      <c r="E19">
        <v>877.68099331423002</v>
      </c>
      <c r="F19">
        <v>143.57444764649</v>
      </c>
      <c r="G19">
        <v>118.54755043228</v>
      </c>
      <c r="I19" s="9">
        <f t="shared" si="1"/>
        <v>759.13344288195003</v>
      </c>
      <c r="J19" s="9">
        <f t="shared" si="2"/>
        <v>5170.8782744165101</v>
      </c>
      <c r="K19" s="9">
        <f t="shared" si="3"/>
        <v>759.13344288195003</v>
      </c>
      <c r="L19" s="10">
        <f t="shared" si="0"/>
        <v>0.14680938181001985</v>
      </c>
      <c r="M19" s="10">
        <f t="shared" si="4"/>
        <v>0.14702494612727363</v>
      </c>
      <c r="P19" s="8">
        <f t="shared" si="5"/>
        <v>3.7338732498503364</v>
      </c>
    </row>
    <row r="20" spans="1:16" x14ac:dyDescent="0.2">
      <c r="A20" s="8">
        <v>9</v>
      </c>
      <c r="B20" s="8">
        <v>18</v>
      </c>
      <c r="D20">
        <v>5408.7651006711003</v>
      </c>
      <c r="E20">
        <v>885.04793863854002</v>
      </c>
      <c r="F20">
        <v>144.17195004803</v>
      </c>
      <c r="G20">
        <v>118.0297790586</v>
      </c>
      <c r="I20" s="9">
        <f t="shared" si="1"/>
        <v>767.01815957994006</v>
      </c>
      <c r="J20" s="9">
        <f t="shared" si="2"/>
        <v>5264.59315062307</v>
      </c>
      <c r="K20" s="9">
        <f t="shared" si="3"/>
        <v>767.01815957994006</v>
      </c>
      <c r="L20" s="10">
        <f t="shared" si="0"/>
        <v>0.14569371984408</v>
      </c>
      <c r="M20" s="10">
        <f t="shared" si="4"/>
        <v>0.1459219644152899</v>
      </c>
      <c r="P20" s="8">
        <f t="shared" si="5"/>
        <v>2.9556613332904296</v>
      </c>
    </row>
    <row r="21" spans="1:16" x14ac:dyDescent="0.2">
      <c r="A21" s="8">
        <v>9.5</v>
      </c>
      <c r="B21" s="8">
        <v>19</v>
      </c>
      <c r="D21">
        <v>5470.7123681686999</v>
      </c>
      <c r="E21">
        <v>887.50143815915999</v>
      </c>
      <c r="F21">
        <v>144.23823246878001</v>
      </c>
      <c r="G21">
        <v>118.49183477426</v>
      </c>
      <c r="I21" s="9">
        <f t="shared" si="1"/>
        <v>769.00960338489995</v>
      </c>
      <c r="J21" s="9">
        <f t="shared" si="2"/>
        <v>5326.4741356999202</v>
      </c>
      <c r="K21" s="9">
        <f t="shared" si="3"/>
        <v>769.00960338489995</v>
      </c>
      <c r="L21" s="10">
        <f t="shared" si="0"/>
        <v>0.1443749812339695</v>
      </c>
      <c r="M21" s="10">
        <f t="shared" si="4"/>
        <v>0.14461590605913549</v>
      </c>
      <c r="P21" s="8">
        <f t="shared" si="5"/>
        <v>2.0341681068487909</v>
      </c>
    </row>
    <row r="22" spans="1:16" x14ac:dyDescent="0.2">
      <c r="A22" s="8">
        <v>10</v>
      </c>
      <c r="B22" s="8">
        <v>20</v>
      </c>
      <c r="D22">
        <v>5291.5023786869997</v>
      </c>
      <c r="E22">
        <v>865.39010466222999</v>
      </c>
      <c r="F22">
        <v>144.18251681076001</v>
      </c>
      <c r="G22">
        <v>118.61959654179</v>
      </c>
      <c r="I22" s="9">
        <f t="shared" si="1"/>
        <v>746.77050812044001</v>
      </c>
      <c r="J22" s="9">
        <f t="shared" si="2"/>
        <v>5147.3198618762399</v>
      </c>
      <c r="K22" s="9">
        <f t="shared" si="3"/>
        <v>746.77050812044001</v>
      </c>
      <c r="L22" s="10">
        <f t="shared" si="0"/>
        <v>0.14507948372344517</v>
      </c>
      <c r="M22" s="10">
        <f t="shared" si="4"/>
        <v>0.14533308880256729</v>
      </c>
      <c r="P22" s="8">
        <f t="shared" si="5"/>
        <v>2.540178452465462</v>
      </c>
    </row>
    <row r="23" spans="1:16" x14ac:dyDescent="0.2">
      <c r="A23" s="8">
        <v>10.5</v>
      </c>
      <c r="B23" s="8">
        <v>21</v>
      </c>
      <c r="D23">
        <v>5294.8915318744002</v>
      </c>
      <c r="E23">
        <v>868.22549952426004</v>
      </c>
      <c r="F23">
        <v>143.87992315081999</v>
      </c>
      <c r="G23">
        <v>118.44764649376</v>
      </c>
      <c r="I23" s="9">
        <f t="shared" si="1"/>
        <v>749.77785303050007</v>
      </c>
      <c r="J23" s="9">
        <f t="shared" si="2"/>
        <v>5151.0116087235801</v>
      </c>
      <c r="K23" s="9">
        <f t="shared" si="3"/>
        <v>749.77785303050007</v>
      </c>
      <c r="L23" s="10">
        <f t="shared" si="0"/>
        <v>0.145559340569278</v>
      </c>
      <c r="M23" s="10">
        <f t="shared" si="4"/>
        <v>0.1458256259023562</v>
      </c>
      <c r="P23" s="8">
        <f t="shared" si="5"/>
        <v>2.8876894186393463</v>
      </c>
    </row>
    <row r="24" spans="1:16" x14ac:dyDescent="0.2">
      <c r="A24" s="8">
        <v>11</v>
      </c>
      <c r="B24" s="8">
        <v>22</v>
      </c>
      <c r="D24">
        <v>5334.9039010466004</v>
      </c>
      <c r="E24">
        <v>871.99048525214005</v>
      </c>
      <c r="F24">
        <v>143.6023054755</v>
      </c>
      <c r="G24">
        <v>118.82708933718</v>
      </c>
      <c r="I24" s="9">
        <f t="shared" si="1"/>
        <v>753.16339591496001</v>
      </c>
      <c r="J24" s="9">
        <f t="shared" si="2"/>
        <v>5191.3015955711007</v>
      </c>
      <c r="K24" s="9">
        <f t="shared" si="3"/>
        <v>753.16339591496001</v>
      </c>
      <c r="L24" s="10">
        <f t="shared" si="0"/>
        <v>0.14508180309876673</v>
      </c>
      <c r="M24" s="10">
        <f t="shared" si="4"/>
        <v>0.14536076868580106</v>
      </c>
      <c r="P24" s="8">
        <f t="shared" si="5"/>
        <v>2.5597080736255107</v>
      </c>
    </row>
    <row r="25" spans="1:16" x14ac:dyDescent="0.2">
      <c r="A25" s="8">
        <v>11.5</v>
      </c>
      <c r="B25" s="8">
        <v>23</v>
      </c>
      <c r="D25">
        <v>5337.3720266413002</v>
      </c>
      <c r="E25">
        <v>871.25880114177005</v>
      </c>
      <c r="F25">
        <v>144.03073967339</v>
      </c>
      <c r="G25">
        <v>118.89241114313</v>
      </c>
      <c r="I25" s="9">
        <f t="shared" si="1"/>
        <v>752.36638999863999</v>
      </c>
      <c r="J25" s="9">
        <f t="shared" si="2"/>
        <v>5193.3412869679105</v>
      </c>
      <c r="K25" s="9">
        <f t="shared" si="3"/>
        <v>752.36638999863999</v>
      </c>
      <c r="L25" s="10">
        <f t="shared" si="0"/>
        <v>0.14487135514983707</v>
      </c>
      <c r="M25" s="10">
        <f t="shared" si="4"/>
        <v>0.14516300099082749</v>
      </c>
      <c r="P25" s="8">
        <f t="shared" si="5"/>
        <v>2.4201725081062837</v>
      </c>
    </row>
    <row r="26" spans="1:16" x14ac:dyDescent="0.2">
      <c r="A26" s="8">
        <v>12</v>
      </c>
      <c r="B26" s="8">
        <v>24</v>
      </c>
      <c r="D26">
        <v>5316.1094196003996</v>
      </c>
      <c r="E26">
        <v>865.88582302569</v>
      </c>
      <c r="F26">
        <v>144.34966378482</v>
      </c>
      <c r="G26">
        <v>118.40153698367</v>
      </c>
      <c r="I26" s="9">
        <f t="shared" si="1"/>
        <v>747.48428604202002</v>
      </c>
      <c r="J26" s="9">
        <f t="shared" si="2"/>
        <v>5171.7597558155794</v>
      </c>
      <c r="K26" s="9">
        <f t="shared" si="3"/>
        <v>747.48428604202002</v>
      </c>
      <c r="L26" s="10">
        <f t="shared" si="0"/>
        <v>0.14453190429069782</v>
      </c>
      <c r="M26" s="10">
        <f t="shared" si="4"/>
        <v>0.14483623038564433</v>
      </c>
      <c r="P26" s="8">
        <f t="shared" si="5"/>
        <v>2.1896185685693625</v>
      </c>
    </row>
    <row r="27" spans="1:16" x14ac:dyDescent="0.2">
      <c r="A27" s="8">
        <v>12.5</v>
      </c>
      <c r="B27" s="8">
        <v>25</v>
      </c>
      <c r="D27">
        <v>5285.7459562322001</v>
      </c>
      <c r="E27">
        <v>860.55470980019004</v>
      </c>
      <c r="F27">
        <v>143.95196926033</v>
      </c>
      <c r="G27">
        <v>118.56099903939</v>
      </c>
      <c r="I27" s="9">
        <f t="shared" si="1"/>
        <v>741.99371076080001</v>
      </c>
      <c r="J27" s="9">
        <f t="shared" si="2"/>
        <v>5141.7939869718703</v>
      </c>
      <c r="K27" s="9">
        <f t="shared" si="3"/>
        <v>741.99371076080001</v>
      </c>
      <c r="L27" s="10">
        <f t="shared" si="0"/>
        <v>0.14430638657263251</v>
      </c>
      <c r="M27" s="10">
        <f t="shared" si="4"/>
        <v>0.14462339292153514</v>
      </c>
      <c r="P27" s="8">
        <f t="shared" si="5"/>
        <v>2.0394504841300747</v>
      </c>
    </row>
    <row r="28" spans="1:16" x14ac:dyDescent="0.2">
      <c r="A28" s="8">
        <v>13</v>
      </c>
      <c r="B28" s="8">
        <v>26</v>
      </c>
      <c r="D28">
        <v>5130.2791586998001</v>
      </c>
      <c r="E28">
        <v>838.22657743785999</v>
      </c>
      <c r="F28">
        <v>143.71469740634001</v>
      </c>
      <c r="G28">
        <v>118.31892411142999</v>
      </c>
      <c r="I28" s="9">
        <f t="shared" si="1"/>
        <v>719.90765332643002</v>
      </c>
      <c r="J28" s="9">
        <f t="shared" si="2"/>
        <v>4986.5644612934602</v>
      </c>
      <c r="K28" s="9">
        <f t="shared" si="3"/>
        <v>719.90765332643002</v>
      </c>
      <c r="L28" s="10">
        <f t="shared" si="0"/>
        <v>0.14436946697761005</v>
      </c>
      <c r="M28" s="10">
        <f t="shared" si="4"/>
        <v>0.14469915358046878</v>
      </c>
      <c r="P28" s="8">
        <f t="shared" si="5"/>
        <v>2.0929036347562544</v>
      </c>
    </row>
    <row r="29" spans="1:16" x14ac:dyDescent="0.2">
      <c r="A29" s="8">
        <v>13.5</v>
      </c>
      <c r="B29" s="8">
        <v>27</v>
      </c>
      <c r="D29">
        <v>5155.7136060893999</v>
      </c>
      <c r="E29">
        <v>850.80970504282004</v>
      </c>
      <c r="F29">
        <v>143.81364073007001</v>
      </c>
      <c r="G29">
        <v>118.52161383284999</v>
      </c>
      <c r="I29" s="9">
        <f t="shared" si="1"/>
        <v>732.28809120997005</v>
      </c>
      <c r="J29" s="9">
        <f t="shared" si="2"/>
        <v>5011.8999653593301</v>
      </c>
      <c r="K29" s="9">
        <f t="shared" si="3"/>
        <v>732.28809120997005</v>
      </c>
      <c r="L29" s="10">
        <f t="shared" si="0"/>
        <v>0.14610987774522918</v>
      </c>
      <c r="M29" s="10">
        <f t="shared" si="4"/>
        <v>0.14645224460204403</v>
      </c>
      <c r="P29" s="8">
        <f t="shared" si="5"/>
        <v>3.3298020429360031</v>
      </c>
    </row>
    <row r="30" spans="1:16" x14ac:dyDescent="0.2">
      <c r="A30" s="8">
        <v>14</v>
      </c>
      <c r="B30" s="8">
        <v>28</v>
      </c>
      <c r="D30">
        <v>5501.1639656815996</v>
      </c>
      <c r="E30">
        <v>896.64442326025005</v>
      </c>
      <c r="F30">
        <v>143.41402497599</v>
      </c>
      <c r="G30">
        <v>118.48895292988</v>
      </c>
      <c r="I30" s="9">
        <f t="shared" si="1"/>
        <v>778.15547033037001</v>
      </c>
      <c r="J30" s="9">
        <f t="shared" si="2"/>
        <v>5357.7499407056093</v>
      </c>
      <c r="K30" s="9">
        <f t="shared" si="3"/>
        <v>778.15547033037001</v>
      </c>
      <c r="L30" s="10">
        <f t="shared" si="0"/>
        <v>0.14523922895660335</v>
      </c>
      <c r="M30" s="10">
        <f t="shared" si="4"/>
        <v>0.1455942760673743</v>
      </c>
      <c r="P30" s="8">
        <f t="shared" si="5"/>
        <v>2.7244598777312867</v>
      </c>
    </row>
    <row r="31" spans="1:16" x14ac:dyDescent="0.2">
      <c r="A31" s="8">
        <v>14.5</v>
      </c>
      <c r="B31" s="8">
        <v>29</v>
      </c>
      <c r="D31">
        <v>5278.1875598085999</v>
      </c>
      <c r="E31">
        <v>850.11674641147999</v>
      </c>
      <c r="F31">
        <v>142.93948126801001</v>
      </c>
      <c r="G31">
        <v>118.2199807877</v>
      </c>
      <c r="I31" s="9">
        <f t="shared" si="1"/>
        <v>731.89676562377997</v>
      </c>
      <c r="J31" s="9">
        <f t="shared" si="2"/>
        <v>5135.2480785405896</v>
      </c>
      <c r="K31" s="9">
        <f t="shared" si="3"/>
        <v>731.89676562377997</v>
      </c>
      <c r="L31" s="10">
        <f t="shared" si="0"/>
        <v>0.14252413017440457</v>
      </c>
      <c r="M31" s="10">
        <f t="shared" si="4"/>
        <v>0.14289185753913164</v>
      </c>
      <c r="P31" s="8">
        <f t="shared" si="5"/>
        <v>0.81776071911300507</v>
      </c>
    </row>
    <row r="32" spans="1:16" x14ac:dyDescent="0.2">
      <c r="A32" s="8">
        <v>15</v>
      </c>
      <c r="B32" s="8">
        <v>30</v>
      </c>
      <c r="D32">
        <v>5287.9032882011998</v>
      </c>
      <c r="E32">
        <v>861.84912959380995</v>
      </c>
      <c r="F32">
        <v>143.09606147935</v>
      </c>
      <c r="G32">
        <v>118.20365033621999</v>
      </c>
      <c r="I32" s="9">
        <f t="shared" si="1"/>
        <v>743.64547925758995</v>
      </c>
      <c r="J32" s="9">
        <f t="shared" si="2"/>
        <v>5144.8072267218495</v>
      </c>
      <c r="K32" s="9">
        <f t="shared" si="3"/>
        <v>743.64547925758995</v>
      </c>
      <c r="L32" s="10">
        <f t="shared" si="0"/>
        <v>0.14454292386216838</v>
      </c>
      <c r="M32" s="10">
        <f t="shared" si="4"/>
        <v>0.14492333148085154</v>
      </c>
      <c r="P32" s="8">
        <f t="shared" si="5"/>
        <v>2.2510729965976939</v>
      </c>
    </row>
    <row r="33" spans="1:16" x14ac:dyDescent="0.2">
      <c r="A33" s="8">
        <v>15.5</v>
      </c>
      <c r="B33" s="8">
        <v>31</v>
      </c>
      <c r="D33">
        <v>5087.7321083172001</v>
      </c>
      <c r="E33">
        <v>825.40425531915002</v>
      </c>
      <c r="F33">
        <v>143.09510086455001</v>
      </c>
      <c r="G33">
        <v>118.48511047069999</v>
      </c>
      <c r="I33" s="9">
        <f t="shared" si="1"/>
        <v>706.91914484845006</v>
      </c>
      <c r="J33" s="9">
        <f t="shared" si="2"/>
        <v>4944.6370074526503</v>
      </c>
      <c r="K33" s="9">
        <f t="shared" si="3"/>
        <v>706.91914484845006</v>
      </c>
      <c r="L33" s="10">
        <f t="shared" si="0"/>
        <v>0.14296684342712482</v>
      </c>
      <c r="M33" s="10">
        <f t="shared" si="4"/>
        <v>0.14335993129976407</v>
      </c>
      <c r="P33" s="8">
        <f t="shared" si="5"/>
        <v>1.1480115060440421</v>
      </c>
    </row>
    <row r="34" spans="1:16" x14ac:dyDescent="0.2">
      <c r="A34" s="8">
        <v>16</v>
      </c>
      <c r="B34" s="8">
        <v>32</v>
      </c>
      <c r="D34">
        <v>5057.2231718898001</v>
      </c>
      <c r="E34">
        <v>819.32003798670996</v>
      </c>
      <c r="F34">
        <v>142.54178674351999</v>
      </c>
      <c r="G34">
        <v>117.94332372719001</v>
      </c>
      <c r="I34" s="9">
        <f t="shared" si="1"/>
        <v>701.37671425951999</v>
      </c>
      <c r="J34" s="9">
        <f t="shared" si="2"/>
        <v>4914.6813851462803</v>
      </c>
      <c r="K34" s="9">
        <f t="shared" si="3"/>
        <v>701.37671425951999</v>
      </c>
      <c r="L34" s="10">
        <f t="shared" si="0"/>
        <v>0.14271051555433523</v>
      </c>
      <c r="M34" s="10">
        <f t="shared" si="4"/>
        <v>0.1431162836809306</v>
      </c>
      <c r="P34" s="8">
        <f t="shared" si="5"/>
        <v>0.97610522839902314</v>
      </c>
    </row>
    <row r="35" spans="1:16" x14ac:dyDescent="0.2">
      <c r="A35" s="8">
        <v>16.5</v>
      </c>
      <c r="B35" s="8">
        <v>33</v>
      </c>
      <c r="D35">
        <v>5067.9002849003</v>
      </c>
      <c r="E35">
        <v>829.37321937321997</v>
      </c>
      <c r="F35">
        <v>143.22094140249999</v>
      </c>
      <c r="G35">
        <v>117.84822286263</v>
      </c>
      <c r="I35" s="9">
        <f t="shared" si="1"/>
        <v>711.52499651058997</v>
      </c>
      <c r="J35" s="9">
        <f t="shared" si="2"/>
        <v>4924.6793434977999</v>
      </c>
      <c r="K35" s="9">
        <f t="shared" si="3"/>
        <v>711.52499651058997</v>
      </c>
      <c r="L35" s="10">
        <f t="shared" si="0"/>
        <v>0.14448148739877603</v>
      </c>
      <c r="M35" s="10">
        <f t="shared" si="4"/>
        <v>0.1448999357793275</v>
      </c>
      <c r="P35" s="8">
        <f t="shared" si="5"/>
        <v>2.2345660921545152</v>
      </c>
    </row>
    <row r="36" spans="1:16" x14ac:dyDescent="0.2">
      <c r="A36" s="8">
        <v>17</v>
      </c>
      <c r="B36" s="8">
        <v>34</v>
      </c>
      <c r="D36">
        <v>5326.8339694656997</v>
      </c>
      <c r="E36">
        <v>868.19274809160004</v>
      </c>
      <c r="F36">
        <v>143.25264169068001</v>
      </c>
      <c r="G36">
        <v>118.00192122959</v>
      </c>
      <c r="I36" s="9">
        <f t="shared" si="1"/>
        <v>750.19082686201</v>
      </c>
      <c r="J36" s="9">
        <f t="shared" si="2"/>
        <v>5183.5813277750194</v>
      </c>
      <c r="K36" s="9">
        <f t="shared" si="3"/>
        <v>750.19082686201</v>
      </c>
      <c r="L36" s="10">
        <f t="shared" si="0"/>
        <v>0.14472442495351356</v>
      </c>
      <c r="M36" s="10">
        <f t="shared" si="4"/>
        <v>0.14515555358802115</v>
      </c>
      <c r="P36" s="8">
        <f t="shared" si="5"/>
        <v>2.41491797165446</v>
      </c>
    </row>
    <row r="37" spans="1:16" x14ac:dyDescent="0.2">
      <c r="A37" s="8">
        <v>17.5</v>
      </c>
      <c r="B37" s="8">
        <v>35</v>
      </c>
      <c r="D37">
        <v>5226.1727099236996</v>
      </c>
      <c r="E37">
        <v>852.36354961832001</v>
      </c>
      <c r="F37">
        <v>143.59365994236001</v>
      </c>
      <c r="G37">
        <v>117.87415946206001</v>
      </c>
      <c r="I37" s="9">
        <f t="shared" si="1"/>
        <v>734.48939015626001</v>
      </c>
      <c r="J37" s="9">
        <f t="shared" si="2"/>
        <v>5082.5790499813393</v>
      </c>
      <c r="K37" s="9">
        <f t="shared" si="3"/>
        <v>734.48939015626001</v>
      </c>
      <c r="L37" s="10">
        <f t="shared" si="0"/>
        <v>0.14451115918383142</v>
      </c>
      <c r="M37" s="10">
        <f t="shared" si="4"/>
        <v>0.1449549680722951</v>
      </c>
      <c r="P37" s="8">
        <f t="shared" si="5"/>
        <v>2.2733942846056681</v>
      </c>
    </row>
    <row r="38" spans="1:16" x14ac:dyDescent="0.2">
      <c r="A38" s="8">
        <v>18</v>
      </c>
      <c r="B38" s="8">
        <v>36</v>
      </c>
      <c r="D38">
        <v>5054.4086538461997</v>
      </c>
      <c r="E38">
        <v>817.37211538461997</v>
      </c>
      <c r="F38">
        <v>143.21805955811999</v>
      </c>
      <c r="G38">
        <v>118.26320845341</v>
      </c>
      <c r="I38" s="9">
        <f t="shared" si="1"/>
        <v>699.10890693120996</v>
      </c>
      <c r="J38" s="9">
        <f t="shared" si="2"/>
        <v>4911.1905942880794</v>
      </c>
      <c r="K38" s="9">
        <f t="shared" si="3"/>
        <v>699.10890693120996</v>
      </c>
      <c r="L38" s="10">
        <f t="shared" si="0"/>
        <v>0.14235018851524575</v>
      </c>
      <c r="M38" s="10">
        <f t="shared" si="4"/>
        <v>0.14280667765766555</v>
      </c>
      <c r="P38" s="8">
        <f t="shared" si="5"/>
        <v>0.75766180896077029</v>
      </c>
    </row>
    <row r="39" spans="1:16" x14ac:dyDescent="0.2">
      <c r="A39" s="8">
        <v>18.5</v>
      </c>
      <c r="B39" s="8">
        <v>37</v>
      </c>
      <c r="D39">
        <v>4668.8961538461999</v>
      </c>
      <c r="E39">
        <v>752.68942307691998</v>
      </c>
      <c r="F39">
        <v>143.86071085495001</v>
      </c>
      <c r="G39">
        <v>118.27473583093</v>
      </c>
      <c r="I39" s="9">
        <f t="shared" si="1"/>
        <v>634.41468724598997</v>
      </c>
      <c r="J39" s="9">
        <f t="shared" si="2"/>
        <v>4525.0354429912495</v>
      </c>
      <c r="K39" s="9">
        <f t="shared" si="3"/>
        <v>634.41468724598997</v>
      </c>
      <c r="L39" s="10">
        <f t="shared" si="0"/>
        <v>0.14020104267440028</v>
      </c>
      <c r="M39" s="10">
        <f t="shared" si="4"/>
        <v>0.14067021207077618</v>
      </c>
      <c r="P39" s="8">
        <f t="shared" si="5"/>
        <v>-0.74972762549070415</v>
      </c>
    </row>
    <row r="40" spans="1:16" x14ac:dyDescent="0.2">
      <c r="A40" s="8">
        <v>19</v>
      </c>
      <c r="B40" s="8">
        <v>38</v>
      </c>
      <c r="D40">
        <v>4321.2749762130998</v>
      </c>
      <c r="E40">
        <v>711.96194100855996</v>
      </c>
      <c r="F40">
        <v>143.63112391931</v>
      </c>
      <c r="G40">
        <v>117.95869356388</v>
      </c>
      <c r="I40" s="9">
        <f t="shared" si="1"/>
        <v>594.00324744467991</v>
      </c>
      <c r="J40" s="9">
        <f t="shared" si="2"/>
        <v>4177.6438522937897</v>
      </c>
      <c r="K40" s="9">
        <f t="shared" si="3"/>
        <v>594.00324744467991</v>
      </c>
      <c r="L40" s="10">
        <f t="shared" si="0"/>
        <v>0.14218618638794084</v>
      </c>
      <c r="M40" s="10">
        <f t="shared" si="4"/>
        <v>0.14266803603827283</v>
      </c>
      <c r="P40" s="8">
        <f t="shared" si="5"/>
        <v>0.65984281597988326</v>
      </c>
    </row>
    <row r="41" spans="1:16" x14ac:dyDescent="0.2">
      <c r="A41" s="8">
        <v>19.5</v>
      </c>
      <c r="B41" s="8">
        <v>39</v>
      </c>
      <c r="D41">
        <v>4719.7145575641998</v>
      </c>
      <c r="E41">
        <v>770.05994291151001</v>
      </c>
      <c r="F41">
        <v>142.71469740634001</v>
      </c>
      <c r="G41">
        <v>117.78770413063999</v>
      </c>
      <c r="I41" s="9">
        <f t="shared" si="1"/>
        <v>652.27223878087</v>
      </c>
      <c r="J41" s="9">
        <f t="shared" si="2"/>
        <v>4576.99986015786</v>
      </c>
      <c r="K41" s="9">
        <f t="shared" si="3"/>
        <v>652.27223878087</v>
      </c>
      <c r="L41" s="10">
        <f t="shared" si="0"/>
        <v>0.14251087146818772</v>
      </c>
      <c r="M41" s="10">
        <f t="shared" si="4"/>
        <v>0.14300540137247583</v>
      </c>
      <c r="P41" s="8">
        <f t="shared" si="5"/>
        <v>0.89787189702313053</v>
      </c>
    </row>
    <row r="42" spans="1:16" x14ac:dyDescent="0.2">
      <c r="A42" s="8">
        <v>20</v>
      </c>
      <c r="B42" s="8">
        <v>40</v>
      </c>
      <c r="D42">
        <v>4983.3094555874004</v>
      </c>
      <c r="E42">
        <v>811.89589302770003</v>
      </c>
      <c r="F42">
        <v>142.75216138329</v>
      </c>
      <c r="G42">
        <v>118.10374639769999</v>
      </c>
      <c r="I42" s="9">
        <f t="shared" si="1"/>
        <v>693.79214663000005</v>
      </c>
      <c r="J42" s="9">
        <f t="shared" si="2"/>
        <v>4840.5572942041108</v>
      </c>
      <c r="K42" s="9">
        <f t="shared" si="3"/>
        <v>693.79214663000005</v>
      </c>
      <c r="L42" s="10">
        <f t="shared" si="0"/>
        <v>0.14332898145028031</v>
      </c>
      <c r="M42" s="10">
        <f t="shared" si="4"/>
        <v>0.14383619160852451</v>
      </c>
      <c r="P42" s="8">
        <f t="shared" si="5"/>
        <v>1.4840383355327107</v>
      </c>
    </row>
    <row r="43" spans="1:16" x14ac:dyDescent="0.2">
      <c r="A43" s="8">
        <v>20.5</v>
      </c>
      <c r="B43" s="8">
        <v>41</v>
      </c>
      <c r="D43">
        <v>4988.9818529130998</v>
      </c>
      <c r="E43">
        <v>803.02387774594001</v>
      </c>
      <c r="F43">
        <v>142.92219020172999</v>
      </c>
      <c r="G43">
        <v>117.91450528338</v>
      </c>
      <c r="I43" s="9">
        <f t="shared" si="1"/>
        <v>685.10937246256003</v>
      </c>
      <c r="J43" s="9">
        <f t="shared" si="2"/>
        <v>4846.05966271137</v>
      </c>
      <c r="K43" s="9">
        <f t="shared" si="3"/>
        <v>685.10937246256003</v>
      </c>
      <c r="L43" s="10">
        <f t="shared" si="0"/>
        <v>0.14137452283846655</v>
      </c>
      <c r="M43" s="10">
        <f t="shared" si="4"/>
        <v>0.14189441325066687</v>
      </c>
      <c r="P43" s="8">
        <f t="shared" si="5"/>
        <v>0.1140110350027832</v>
      </c>
    </row>
    <row r="44" spans="1:16" x14ac:dyDescent="0.2">
      <c r="A44" s="8">
        <v>21</v>
      </c>
      <c r="B44" s="8">
        <v>42</v>
      </c>
      <c r="D44">
        <v>5086.7163323781997</v>
      </c>
      <c r="E44">
        <v>819.08213944603995</v>
      </c>
      <c r="F44">
        <v>142.73198847262</v>
      </c>
      <c r="G44">
        <v>118.07396733909999</v>
      </c>
      <c r="I44" s="9">
        <f t="shared" si="1"/>
        <v>701.00817210693992</v>
      </c>
      <c r="J44" s="9">
        <f t="shared" si="2"/>
        <v>4943.9843439055794</v>
      </c>
      <c r="K44" s="9">
        <f t="shared" si="3"/>
        <v>701.00817210693992</v>
      </c>
      <c r="L44" s="10">
        <f t="shared" si="0"/>
        <v>0.14179012782899861</v>
      </c>
      <c r="M44" s="10">
        <f t="shared" si="4"/>
        <v>0.14232269849515503</v>
      </c>
      <c r="P44" s="8">
        <f t="shared" si="5"/>
        <v>0.41618892002683822</v>
      </c>
    </row>
    <row r="45" spans="1:16" x14ac:dyDescent="0.2">
      <c r="A45" s="8">
        <v>21.5</v>
      </c>
      <c r="B45" s="8">
        <v>43</v>
      </c>
      <c r="D45">
        <v>5108.0009551098001</v>
      </c>
      <c r="E45">
        <v>827.93027698185006</v>
      </c>
      <c r="F45">
        <v>142.19212295868999</v>
      </c>
      <c r="G45">
        <v>117.73294908742</v>
      </c>
      <c r="I45" s="9">
        <f t="shared" si="1"/>
        <v>710.19732789443003</v>
      </c>
      <c r="J45" s="9">
        <f t="shared" si="2"/>
        <v>4965.8088321511104</v>
      </c>
      <c r="K45" s="9">
        <f t="shared" si="3"/>
        <v>710.19732789443003</v>
      </c>
      <c r="L45" s="10">
        <f t="shared" si="0"/>
        <v>0.1430174523224213</v>
      </c>
      <c r="M45" s="10">
        <f t="shared" si="4"/>
        <v>0.14356270324253384</v>
      </c>
      <c r="P45" s="8">
        <f t="shared" si="5"/>
        <v>1.2910778329767285</v>
      </c>
    </row>
    <row r="46" spans="1:16" x14ac:dyDescent="0.2">
      <c r="A46" s="8">
        <v>22</v>
      </c>
      <c r="B46" s="8">
        <v>44</v>
      </c>
      <c r="D46">
        <v>5050.1251193887001</v>
      </c>
      <c r="E46">
        <v>828.55778414517999</v>
      </c>
      <c r="F46">
        <v>142.49567723343</v>
      </c>
      <c r="G46">
        <v>117.99231508165001</v>
      </c>
      <c r="I46" s="9">
        <f t="shared" si="1"/>
        <v>710.56546906353003</v>
      </c>
      <c r="J46" s="9">
        <f t="shared" si="2"/>
        <v>4907.6294421552702</v>
      </c>
      <c r="K46" s="9">
        <f t="shared" si="3"/>
        <v>710.56546906353003</v>
      </c>
      <c r="L46" s="10">
        <f t="shared" si="0"/>
        <v>0.14478792203827698</v>
      </c>
      <c r="M46" s="10">
        <f t="shared" si="4"/>
        <v>0.14534585321234561</v>
      </c>
      <c r="P46" s="8">
        <f t="shared" si="5"/>
        <v>2.5491844184660022</v>
      </c>
    </row>
    <row r="47" spans="1:16" x14ac:dyDescent="0.2">
      <c r="A47" s="8">
        <v>22.5</v>
      </c>
      <c r="B47" s="8">
        <v>45</v>
      </c>
      <c r="D47">
        <v>5149.2664756447002</v>
      </c>
      <c r="E47">
        <v>836.17382999045003</v>
      </c>
      <c r="F47">
        <v>142.73679154659001</v>
      </c>
      <c r="G47">
        <v>118.18539865514001</v>
      </c>
      <c r="I47" s="9">
        <f t="shared" si="1"/>
        <v>717.98843133531</v>
      </c>
      <c r="J47" s="9">
        <f t="shared" si="2"/>
        <v>5006.52968409811</v>
      </c>
      <c r="K47" s="9">
        <f t="shared" si="3"/>
        <v>717.98843133531</v>
      </c>
      <c r="L47" s="10">
        <f t="shared" si="0"/>
        <v>0.14341040134363059</v>
      </c>
      <c r="M47" s="10">
        <f t="shared" si="4"/>
        <v>0.14398101277165531</v>
      </c>
      <c r="P47" s="8">
        <f t="shared" si="5"/>
        <v>1.5862173233563279</v>
      </c>
    </row>
    <row r="48" spans="1:16" x14ac:dyDescent="0.2">
      <c r="A48" s="8">
        <v>23</v>
      </c>
      <c r="B48" s="8">
        <v>46</v>
      </c>
      <c r="D48">
        <v>5133.0563514803998</v>
      </c>
      <c r="E48">
        <v>829.52722063037004</v>
      </c>
      <c r="F48">
        <v>142.76368876081</v>
      </c>
      <c r="G48">
        <v>118.01825168108</v>
      </c>
      <c r="I48" s="9">
        <f t="shared" si="1"/>
        <v>711.50896894929008</v>
      </c>
      <c r="J48" s="9">
        <f t="shared" si="2"/>
        <v>4990.2926627195902</v>
      </c>
      <c r="K48" s="9">
        <f t="shared" si="3"/>
        <v>711.50896894929008</v>
      </c>
      <c r="L48" s="10">
        <f t="shared" si="0"/>
        <v>0.14257860551239387</v>
      </c>
      <c r="M48" s="10">
        <f t="shared" si="4"/>
        <v>0.14316189719437472</v>
      </c>
      <c r="P48" s="8">
        <f t="shared" si="5"/>
        <v>1.0082879738903678</v>
      </c>
    </row>
    <row r="49" spans="1:25" x14ac:dyDescent="0.2">
      <c r="A49" s="8">
        <v>23.5</v>
      </c>
      <c r="B49" s="8">
        <v>47</v>
      </c>
      <c r="D49">
        <v>4972.5128939828001</v>
      </c>
      <c r="E49">
        <v>793.13276026742994</v>
      </c>
      <c r="F49">
        <v>142.81652257445</v>
      </c>
      <c r="G49">
        <v>118.19692603266</v>
      </c>
      <c r="I49" s="9">
        <f t="shared" si="1"/>
        <v>674.93583423476991</v>
      </c>
      <c r="J49" s="9">
        <f t="shared" si="2"/>
        <v>4829.6963714083504</v>
      </c>
      <c r="K49" s="9">
        <f t="shared" si="3"/>
        <v>674.93583423476991</v>
      </c>
      <c r="L49" s="10">
        <f t="shared" si="0"/>
        <v>0.13974705288522249</v>
      </c>
      <c r="M49" s="10">
        <f t="shared" si="4"/>
        <v>0.14034302482115943</v>
      </c>
      <c r="P49" s="8">
        <f t="shared" si="5"/>
        <v>-0.98057552970506978</v>
      </c>
    </row>
    <row r="50" spans="1:25" x14ac:dyDescent="0.2">
      <c r="A50" s="8">
        <v>24</v>
      </c>
      <c r="B50" s="8">
        <v>48</v>
      </c>
      <c r="D50">
        <v>5121.7994241842998</v>
      </c>
      <c r="E50">
        <v>815.56429942418004</v>
      </c>
      <c r="F50">
        <v>142.30259365993999</v>
      </c>
      <c r="G50">
        <v>118.01633045149001</v>
      </c>
      <c r="I50" s="9">
        <f t="shared" si="1"/>
        <v>697.54796897269</v>
      </c>
      <c r="J50" s="9">
        <f t="shared" si="2"/>
        <v>4979.4968305243601</v>
      </c>
      <c r="K50" s="9">
        <f t="shared" si="3"/>
        <v>697.54796897269</v>
      </c>
      <c r="L50" s="10">
        <f t="shared" si="0"/>
        <v>0.14008402710424769</v>
      </c>
      <c r="M50" s="10">
        <f t="shared" si="4"/>
        <v>0.14069267929414075</v>
      </c>
      <c r="P50" s="8">
        <f t="shared" si="5"/>
        <v>-0.73387581148113201</v>
      </c>
    </row>
    <row r="51" spans="1:25" x14ac:dyDescent="0.2">
      <c r="A51" s="8">
        <v>24.5</v>
      </c>
      <c r="B51" s="8">
        <v>49</v>
      </c>
      <c r="D51">
        <v>5238.8550863724004</v>
      </c>
      <c r="E51">
        <v>836.63435700575997</v>
      </c>
      <c r="F51">
        <v>142.28914505283001</v>
      </c>
      <c r="G51">
        <v>117.58405379443001</v>
      </c>
      <c r="I51" s="9">
        <f t="shared" si="1"/>
        <v>719.05030321132995</v>
      </c>
      <c r="J51" s="9">
        <f t="shared" si="2"/>
        <v>5096.5659413195699</v>
      </c>
      <c r="K51" s="9">
        <f t="shared" si="3"/>
        <v>719.05030321132995</v>
      </c>
      <c r="L51" s="10">
        <f t="shared" si="0"/>
        <v>0.14108525455969242</v>
      </c>
      <c r="M51" s="10">
        <f t="shared" si="4"/>
        <v>0.14170658700354158</v>
      </c>
      <c r="P51" s="8">
        <f t="shared" si="5"/>
        <v>-1.8510313418075207E-2</v>
      </c>
    </row>
    <row r="52" spans="1:25" x14ac:dyDescent="0.2">
      <c r="A52" s="8">
        <v>25</v>
      </c>
      <c r="B52" s="8">
        <v>50</v>
      </c>
      <c r="D52">
        <v>5458.5403071016999</v>
      </c>
      <c r="E52">
        <v>860.77831094049998</v>
      </c>
      <c r="F52">
        <v>142.18731988472999</v>
      </c>
      <c r="G52">
        <v>117.77617675312</v>
      </c>
      <c r="I52" s="9">
        <f t="shared" si="1"/>
        <v>743.00213418737997</v>
      </c>
      <c r="J52" s="9">
        <f t="shared" si="2"/>
        <v>5316.3529872169702</v>
      </c>
      <c r="K52" s="9">
        <f t="shared" si="3"/>
        <v>743.00213418737997</v>
      </c>
      <c r="L52" s="10">
        <f t="shared" si="0"/>
        <v>0.1397578633273428</v>
      </c>
      <c r="M52" s="10">
        <f t="shared" si="4"/>
        <v>0.14039187602514808</v>
      </c>
      <c r="P52" s="8">
        <f t="shared" si="5"/>
        <v>-0.94610842234579051</v>
      </c>
    </row>
    <row r="53" spans="1:25" x14ac:dyDescent="0.2">
      <c r="A53" s="8">
        <v>25.5</v>
      </c>
      <c r="B53" s="8">
        <v>51</v>
      </c>
      <c r="D53">
        <v>5707.8290105668002</v>
      </c>
      <c r="E53">
        <v>890.66762728146</v>
      </c>
      <c r="F53">
        <v>142.46589817482999</v>
      </c>
      <c r="G53">
        <v>117.73198847262</v>
      </c>
      <c r="I53" s="9">
        <f t="shared" si="1"/>
        <v>772.93563880883994</v>
      </c>
      <c r="J53" s="9">
        <f t="shared" si="2"/>
        <v>5565.3631123919704</v>
      </c>
      <c r="K53" s="9">
        <f t="shared" si="3"/>
        <v>772.93563880883994</v>
      </c>
      <c r="L53" s="10">
        <f t="shared" si="0"/>
        <v>0.13888323604398839</v>
      </c>
      <c r="M53" s="10">
        <f t="shared" si="4"/>
        <v>0.13952992899574976</v>
      </c>
      <c r="P53" s="8">
        <f t="shared" si="5"/>
        <v>-1.554257625939369</v>
      </c>
      <c r="S53" s="11"/>
      <c r="U53" s="12"/>
    </row>
    <row r="54" spans="1:25" x14ac:dyDescent="0.2">
      <c r="A54" s="8">
        <v>26</v>
      </c>
      <c r="B54" s="8">
        <v>52</v>
      </c>
      <c r="D54">
        <v>5468.1364073006998</v>
      </c>
      <c r="E54">
        <v>872.55427473582995</v>
      </c>
      <c r="F54">
        <v>142.67339097022</v>
      </c>
      <c r="G54">
        <v>117.88952929875001</v>
      </c>
      <c r="I54" s="9">
        <f t="shared" si="1"/>
        <v>754.66474543708</v>
      </c>
      <c r="J54" s="9">
        <f t="shared" si="2"/>
        <v>5325.4630163304801</v>
      </c>
      <c r="K54" s="9">
        <f t="shared" si="3"/>
        <v>754.66474543708</v>
      </c>
      <c r="L54" s="10">
        <f t="shared" si="0"/>
        <v>0.14170875717715209</v>
      </c>
      <c r="M54" s="10">
        <f t="shared" si="4"/>
        <v>0.14236813038286958</v>
      </c>
      <c r="P54" s="8">
        <f t="shared" si="5"/>
        <v>0.44824351896274384</v>
      </c>
      <c r="S54" s="11"/>
    </row>
    <row r="55" spans="1:25" x14ac:dyDescent="0.2">
      <c r="A55" s="8">
        <v>26.5</v>
      </c>
      <c r="B55" s="8">
        <v>53</v>
      </c>
      <c r="D55">
        <v>5402.7963496638004</v>
      </c>
      <c r="E55">
        <v>867.39193083574003</v>
      </c>
      <c r="F55">
        <v>142.51585014409</v>
      </c>
      <c r="G55">
        <v>117.56772334294</v>
      </c>
      <c r="I55" s="9">
        <f t="shared" si="1"/>
        <v>749.82420749280004</v>
      </c>
      <c r="J55" s="9">
        <f t="shared" si="2"/>
        <v>5260.2804995197102</v>
      </c>
      <c r="K55" s="9">
        <f t="shared" si="3"/>
        <v>749.82420749280004</v>
      </c>
      <c r="L55" s="10">
        <f t="shared" si="0"/>
        <v>0.14254452924349997</v>
      </c>
      <c r="M55" s="10">
        <f t="shared" si="4"/>
        <v>0.14321658270317356</v>
      </c>
      <c r="P55" s="8">
        <f t="shared" si="5"/>
        <v>1.0468714917746818</v>
      </c>
      <c r="S55" s="11"/>
    </row>
    <row r="56" spans="1:25" x14ac:dyDescent="0.2">
      <c r="A56" s="8">
        <v>27</v>
      </c>
      <c r="B56" s="8">
        <v>54</v>
      </c>
      <c r="D56">
        <v>5425.5552353506</v>
      </c>
      <c r="E56">
        <v>867.97694524496001</v>
      </c>
      <c r="F56">
        <v>143.27089337176</v>
      </c>
      <c r="G56">
        <v>117.83285302594</v>
      </c>
      <c r="I56" s="9">
        <f t="shared" si="1"/>
        <v>750.14409221901997</v>
      </c>
      <c r="J56" s="9">
        <f t="shared" si="2"/>
        <v>5282.2843419788396</v>
      </c>
      <c r="K56" s="9">
        <f t="shared" si="3"/>
        <v>750.14409221901997</v>
      </c>
      <c r="L56" s="10">
        <f t="shared" si="0"/>
        <v>0.14201130489276206</v>
      </c>
      <c r="M56" s="10">
        <f t="shared" si="4"/>
        <v>0.14269603860639174</v>
      </c>
      <c r="P56" s="8">
        <f t="shared" si="5"/>
        <v>0.67960010838795493</v>
      </c>
      <c r="S56" s="11"/>
    </row>
    <row r="57" spans="1:25" x14ac:dyDescent="0.2">
      <c r="A57" s="8">
        <v>27.5</v>
      </c>
      <c r="B57" s="8">
        <v>55</v>
      </c>
      <c r="D57">
        <v>5219.9000960615003</v>
      </c>
      <c r="E57">
        <v>840.74639769452006</v>
      </c>
      <c r="F57">
        <v>141.86071085495001</v>
      </c>
      <c r="G57">
        <v>118.13928914505</v>
      </c>
      <c r="I57" s="9">
        <f t="shared" si="1"/>
        <v>722.60710854947001</v>
      </c>
      <c r="J57" s="9">
        <f t="shared" si="2"/>
        <v>5078.0393852065499</v>
      </c>
      <c r="K57" s="9">
        <f t="shared" si="3"/>
        <v>722.60710854947001</v>
      </c>
      <c r="L57" s="10">
        <f t="shared" si="0"/>
        <v>0.14230041433994861</v>
      </c>
      <c r="M57" s="10">
        <f t="shared" si="4"/>
        <v>0.14299782830753441</v>
      </c>
      <c r="P57" s="8">
        <f t="shared" si="5"/>
        <v>0.89252869929077761</v>
      </c>
      <c r="S57" s="11"/>
    </row>
    <row r="58" spans="1:25" x14ac:dyDescent="0.2">
      <c r="A58" s="8">
        <v>28</v>
      </c>
      <c r="B58" s="8">
        <v>56</v>
      </c>
      <c r="D58">
        <v>5238.6599423630996</v>
      </c>
      <c r="E58">
        <v>839.68972142171003</v>
      </c>
      <c r="F58">
        <v>142.63592699328001</v>
      </c>
      <c r="G58">
        <v>117.42843419789</v>
      </c>
      <c r="I58" s="9">
        <f t="shared" si="1"/>
        <v>722.26128722382009</v>
      </c>
      <c r="J58" s="9">
        <f t="shared" si="2"/>
        <v>5096.0240153698196</v>
      </c>
      <c r="K58" s="9">
        <f t="shared" si="3"/>
        <v>722.26128722382009</v>
      </c>
      <c r="L58" s="10">
        <f t="shared" si="0"/>
        <v>0.14173035390835093</v>
      </c>
      <c r="M58" s="10">
        <f t="shared" si="4"/>
        <v>0.14244044812989282</v>
      </c>
      <c r="P58" s="8">
        <f t="shared" si="5"/>
        <v>0.499267513196547</v>
      </c>
      <c r="S58" s="11"/>
    </row>
    <row r="59" spans="1:25" x14ac:dyDescent="0.2">
      <c r="A59" s="8">
        <v>28.5</v>
      </c>
      <c r="B59" s="8">
        <v>57</v>
      </c>
      <c r="D59">
        <v>5276.4370797310003</v>
      </c>
      <c r="E59">
        <v>849.06147934677995</v>
      </c>
      <c r="F59">
        <v>142.71565802113</v>
      </c>
      <c r="G59">
        <v>117.81364073007001</v>
      </c>
      <c r="I59" s="9">
        <f t="shared" si="1"/>
        <v>731.24783861670994</v>
      </c>
      <c r="J59" s="9">
        <f t="shared" si="2"/>
        <v>5133.7214217098699</v>
      </c>
      <c r="K59" s="9">
        <f t="shared" si="3"/>
        <v>731.24783861670994</v>
      </c>
      <c r="L59" s="10">
        <f t="shared" si="0"/>
        <v>0.14244010894793663</v>
      </c>
      <c r="M59" s="10">
        <f t="shared" si="4"/>
        <v>0.14316288342343464</v>
      </c>
      <c r="P59" s="8">
        <f t="shared" si="5"/>
        <v>1.0089838106377476</v>
      </c>
      <c r="R59" s="1"/>
      <c r="S59" s="11"/>
    </row>
    <row r="60" spans="1:25" x14ac:dyDescent="0.2">
      <c r="A60" s="8">
        <v>29</v>
      </c>
      <c r="B60" s="8">
        <v>58</v>
      </c>
      <c r="D60">
        <v>5467.2170989432998</v>
      </c>
      <c r="E60">
        <v>863.24495677233006</v>
      </c>
      <c r="F60">
        <v>142.65994236310999</v>
      </c>
      <c r="G60">
        <v>118.14024975984999</v>
      </c>
      <c r="I60" s="9">
        <f t="shared" si="1"/>
        <v>745.10470701248005</v>
      </c>
      <c r="J60" s="9">
        <f t="shared" si="2"/>
        <v>5324.5571565801902</v>
      </c>
      <c r="K60" s="9">
        <f t="shared" si="3"/>
        <v>745.10470701248005</v>
      </c>
      <c r="L60" s="10">
        <f t="shared" si="0"/>
        <v>0.1399374042011485</v>
      </c>
      <c r="M60" s="10">
        <f t="shared" si="4"/>
        <v>0.14067285893060261</v>
      </c>
      <c r="P60" s="8">
        <f t="shared" si="5"/>
        <v>-0.74786012593381224</v>
      </c>
      <c r="S60" s="11"/>
    </row>
    <row r="61" spans="1:25" x14ac:dyDescent="0.2">
      <c r="A61" s="8">
        <v>29.5</v>
      </c>
      <c r="B61" s="8">
        <v>59</v>
      </c>
      <c r="C61" s="2"/>
      <c r="D61">
        <v>5767.9039385206997</v>
      </c>
      <c r="E61">
        <v>900.75120076848998</v>
      </c>
      <c r="F61">
        <v>142.94332372719001</v>
      </c>
      <c r="G61">
        <v>117.95004803074001</v>
      </c>
      <c r="I61" s="9">
        <f t="shared" si="1"/>
        <v>782.80115273774993</v>
      </c>
      <c r="J61" s="9">
        <f t="shared" si="2"/>
        <v>5624.9606147935101</v>
      </c>
      <c r="K61" s="9">
        <f t="shared" si="3"/>
        <v>782.80115273774993</v>
      </c>
      <c r="L61" s="10">
        <f t="shared" si="0"/>
        <v>0.13916562378748074</v>
      </c>
      <c r="M61" s="10">
        <f t="shared" si="4"/>
        <v>0.13991375877089096</v>
      </c>
      <c r="P61" s="8">
        <f t="shared" si="5"/>
        <v>-1.2834454250659955</v>
      </c>
      <c r="S61" s="11"/>
    </row>
    <row r="62" spans="1:25" x14ac:dyDescent="0.2">
      <c r="A62" s="8">
        <v>30</v>
      </c>
      <c r="B62" s="8">
        <v>60</v>
      </c>
      <c r="D62">
        <v>6011.3062200957002</v>
      </c>
      <c r="E62">
        <v>958.12918660287005</v>
      </c>
      <c r="F62">
        <v>142.75792507205</v>
      </c>
      <c r="G62">
        <v>118.03938520653</v>
      </c>
      <c r="I62" s="9">
        <f t="shared" si="1"/>
        <v>840.08980139634002</v>
      </c>
      <c r="J62" s="9">
        <f t="shared" si="2"/>
        <v>5868.5482950236501</v>
      </c>
      <c r="K62" s="9">
        <f t="shared" si="3"/>
        <v>840.08980139634002</v>
      </c>
      <c r="L62" s="10">
        <f t="shared" si="0"/>
        <v>0.14315121204825229</v>
      </c>
      <c r="M62" s="10">
        <f t="shared" si="4"/>
        <v>0.14391202728561861</v>
      </c>
      <c r="P62" s="8">
        <f t="shared" si="5"/>
        <v>1.5375444154375859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6209.4582933845004</v>
      </c>
      <c r="E63">
        <v>977.96740172578995</v>
      </c>
      <c r="F63">
        <v>142.87319884726</v>
      </c>
      <c r="G63">
        <v>117.82036503362001</v>
      </c>
      <c r="I63" s="9">
        <f t="shared" si="1"/>
        <v>860.14703669216999</v>
      </c>
      <c r="J63" s="9">
        <f t="shared" si="2"/>
        <v>6066.5850945372404</v>
      </c>
      <c r="K63" s="9">
        <f t="shared" si="3"/>
        <v>860.14703669216999</v>
      </c>
      <c r="L63" s="10">
        <f t="shared" si="0"/>
        <v>0.14178438500214957</v>
      </c>
      <c r="M63" s="10">
        <f t="shared" si="4"/>
        <v>0.14255788049347198</v>
      </c>
      <c r="P63" s="8">
        <f t="shared" si="5"/>
        <v>0.5821222547885383</v>
      </c>
    </row>
    <row r="64" spans="1:25" x14ac:dyDescent="0.2">
      <c r="A64" s="8">
        <v>31</v>
      </c>
      <c r="B64" s="8">
        <v>62</v>
      </c>
      <c r="D64">
        <v>6218.2912713472997</v>
      </c>
      <c r="E64">
        <v>985.63757115750002</v>
      </c>
      <c r="F64">
        <v>143.53218059558</v>
      </c>
      <c r="G64">
        <v>118.01729106627999</v>
      </c>
      <c r="I64" s="9">
        <f t="shared" si="1"/>
        <v>867.62028009122002</v>
      </c>
      <c r="J64" s="9">
        <f t="shared" si="2"/>
        <v>6074.7590907517197</v>
      </c>
      <c r="K64" s="9">
        <f t="shared" si="3"/>
        <v>867.62028009122002</v>
      </c>
      <c r="L64" s="10">
        <f t="shared" si="0"/>
        <v>0.14282381690034338</v>
      </c>
      <c r="M64" s="10">
        <f t="shared" si="4"/>
        <v>0.14360999264562191</v>
      </c>
      <c r="P64" s="8">
        <f t="shared" si="5"/>
        <v>1.3244430072224127</v>
      </c>
      <c r="U64" s="8">
        <v>30.5</v>
      </c>
      <c r="V64" s="10">
        <f>L62</f>
        <v>0.14315121204825229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6168.8795066414004</v>
      </c>
      <c r="E65">
        <v>980.60056925996003</v>
      </c>
      <c r="F65">
        <v>142.80211335255001</v>
      </c>
      <c r="G65">
        <v>118.12391930836</v>
      </c>
      <c r="I65" s="9">
        <f t="shared" si="1"/>
        <v>862.47664995160005</v>
      </c>
      <c r="J65" s="9">
        <f t="shared" si="2"/>
        <v>6026.0773932888505</v>
      </c>
      <c r="K65" s="9">
        <f t="shared" si="3"/>
        <v>862.47664995160005</v>
      </c>
      <c r="L65" s="10">
        <f t="shared" si="0"/>
        <v>0.14312405793395999</v>
      </c>
      <c r="M65" s="10">
        <f t="shared" si="4"/>
        <v>0.14392291393319462</v>
      </c>
      <c r="P65" s="8">
        <f t="shared" si="5"/>
        <v>1.545225520920106</v>
      </c>
      <c r="U65" s="8">
        <v>31</v>
      </c>
      <c r="V65" s="10">
        <f t="shared" ref="V65:V83" si="6">L63</f>
        <v>0.14178438500214957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5912.4078694817999</v>
      </c>
      <c r="E66">
        <v>930.46833013436003</v>
      </c>
      <c r="F66">
        <v>142.23150816523</v>
      </c>
      <c r="G66">
        <v>117.93659942363</v>
      </c>
      <c r="I66" s="9">
        <f t="shared" si="1"/>
        <v>812.53173071073002</v>
      </c>
      <c r="J66" s="9">
        <f t="shared" si="2"/>
        <v>5770.1763613165704</v>
      </c>
      <c r="K66" s="9">
        <f t="shared" si="3"/>
        <v>812.53173071073002</v>
      </c>
      <c r="L66" s="10">
        <f t="shared" ref="L66:L129" si="7">K66/J66</f>
        <v>0.14081575325114259</v>
      </c>
      <c r="M66" s="10">
        <f t="shared" si="4"/>
        <v>0.14162728950433334</v>
      </c>
      <c r="P66" s="8">
        <f t="shared" si="5"/>
        <v>-7.4458891863916007E-2</v>
      </c>
      <c r="U66" s="8">
        <v>31.5</v>
      </c>
      <c r="V66" s="10">
        <f t="shared" si="6"/>
        <v>0.14282381690034338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5315.5565052231996</v>
      </c>
      <c r="E67">
        <v>839.88698955365999</v>
      </c>
      <c r="F67">
        <v>142.23919308357</v>
      </c>
      <c r="G67">
        <v>117.94332372719001</v>
      </c>
      <c r="I67" s="9">
        <f t="shared" ref="I67:I130" si="8">E67-G67</f>
        <v>721.94366582647001</v>
      </c>
      <c r="J67" s="9">
        <f t="shared" ref="J67:J130" si="9">D67-F67</f>
        <v>5173.3173121396294</v>
      </c>
      <c r="K67" s="9">
        <f t="shared" ref="K67:K130" si="10">I67*1</f>
        <v>721.94366582647001</v>
      </c>
      <c r="L67" s="10">
        <f t="shared" si="7"/>
        <v>0.1395513985064028</v>
      </c>
      <c r="M67" s="10">
        <f t="shared" ref="M67:M130" si="11">L67+ABS($N$2)*A67</f>
        <v>0.14037561501354964</v>
      </c>
      <c r="P67" s="8">
        <f t="shared" ref="P67:P130" si="12">(M67-$O$2)/$O$2*100</f>
        <v>-0.95758142580879535</v>
      </c>
      <c r="U67" s="8">
        <v>32</v>
      </c>
      <c r="V67" s="10">
        <f t="shared" si="6"/>
        <v>0.14312405793395999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5325.3304843305004</v>
      </c>
      <c r="E68">
        <v>850.50237416903997</v>
      </c>
      <c r="F68">
        <v>142.80403458212999</v>
      </c>
      <c r="G68">
        <v>117.91258405379</v>
      </c>
      <c r="I68" s="9">
        <f t="shared" si="8"/>
        <v>732.58979011525003</v>
      </c>
      <c r="J68" s="9">
        <f t="shared" si="9"/>
        <v>5182.5264497483704</v>
      </c>
      <c r="K68" s="9">
        <f t="shared" si="10"/>
        <v>732.58979011525003</v>
      </c>
      <c r="L68" s="10">
        <f t="shared" si="7"/>
        <v>0.14135765581106099</v>
      </c>
      <c r="M68" s="10">
        <f t="shared" si="11"/>
        <v>0.14219455257216396</v>
      </c>
      <c r="P68" s="8">
        <f t="shared" si="12"/>
        <v>0.32577519580392084</v>
      </c>
      <c r="U68" s="8">
        <v>32.5</v>
      </c>
      <c r="V68" s="10">
        <f t="shared" si="6"/>
        <v>0.14081575325114259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5392.4169040835995</v>
      </c>
      <c r="E69">
        <v>862.75213675214002</v>
      </c>
      <c r="F69">
        <v>143.37656099904001</v>
      </c>
      <c r="G69">
        <v>118.05571565802001</v>
      </c>
      <c r="I69" s="9">
        <f t="shared" si="8"/>
        <v>744.69642109412007</v>
      </c>
      <c r="J69" s="9">
        <f t="shared" si="9"/>
        <v>5249.0403430845599</v>
      </c>
      <c r="K69" s="9">
        <f t="shared" si="10"/>
        <v>744.69642109412007</v>
      </c>
      <c r="L69" s="10">
        <f t="shared" si="7"/>
        <v>0.14187287054770562</v>
      </c>
      <c r="M69" s="10">
        <f t="shared" si="11"/>
        <v>0.14272244756276467</v>
      </c>
      <c r="P69" s="8">
        <f t="shared" si="12"/>
        <v>0.69823302344904226</v>
      </c>
      <c r="U69" s="8">
        <v>33</v>
      </c>
      <c r="V69" s="10">
        <f t="shared" si="6"/>
        <v>0.1395513985064028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5442.2024952014999</v>
      </c>
      <c r="E70">
        <v>867.29558541266999</v>
      </c>
      <c r="F70">
        <v>142.3976945245</v>
      </c>
      <c r="G70">
        <v>117.55139289145001</v>
      </c>
      <c r="I70" s="9">
        <f t="shared" si="8"/>
        <v>749.74419252121993</v>
      </c>
      <c r="J70" s="9">
        <f t="shared" si="9"/>
        <v>5299.8048006769995</v>
      </c>
      <c r="K70" s="9">
        <f t="shared" si="10"/>
        <v>749.74419252121993</v>
      </c>
      <c r="L70" s="10">
        <f t="shared" si="7"/>
        <v>0.14146637861557604</v>
      </c>
      <c r="M70" s="10">
        <f t="shared" si="11"/>
        <v>0.14232863588459119</v>
      </c>
      <c r="P70" s="8">
        <f t="shared" si="12"/>
        <v>0.42037806220596607</v>
      </c>
      <c r="U70" s="8">
        <v>33.5</v>
      </c>
      <c r="V70" s="10">
        <f t="shared" si="6"/>
        <v>0.14135765581106099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5377.2130518233998</v>
      </c>
      <c r="E71">
        <v>857.14011516314997</v>
      </c>
      <c r="F71">
        <v>142.36503362152001</v>
      </c>
      <c r="G71">
        <v>117.66762728146</v>
      </c>
      <c r="I71" s="9">
        <f t="shared" si="8"/>
        <v>739.47248788168997</v>
      </c>
      <c r="J71" s="9">
        <f t="shared" si="9"/>
        <v>5234.8480182018802</v>
      </c>
      <c r="K71" s="9">
        <f t="shared" si="10"/>
        <v>739.47248788168997</v>
      </c>
      <c r="L71" s="10">
        <f t="shared" si="7"/>
        <v>0.14125959059565815</v>
      </c>
      <c r="M71" s="10">
        <f t="shared" si="11"/>
        <v>0.14213452811862942</v>
      </c>
      <c r="P71" s="8">
        <f t="shared" si="12"/>
        <v>0.28342477011865719</v>
      </c>
      <c r="U71" s="8">
        <v>34</v>
      </c>
      <c r="V71" s="10">
        <f t="shared" si="6"/>
        <v>0.14187287054770562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5306.2831094049998</v>
      </c>
      <c r="E72">
        <v>849.34069097889005</v>
      </c>
      <c r="F72">
        <v>143.22382324687999</v>
      </c>
      <c r="G72">
        <v>117.8386167147</v>
      </c>
      <c r="I72" s="9">
        <f t="shared" si="8"/>
        <v>731.50207426419001</v>
      </c>
      <c r="J72" s="9">
        <f t="shared" si="9"/>
        <v>5163.0592861581199</v>
      </c>
      <c r="K72" s="9">
        <f t="shared" si="10"/>
        <v>731.50207426419001</v>
      </c>
      <c r="L72" s="10">
        <f t="shared" si="7"/>
        <v>0.14167996796498292</v>
      </c>
      <c r="M72" s="10">
        <f t="shared" si="11"/>
        <v>0.14256758574191028</v>
      </c>
      <c r="P72" s="8">
        <f t="shared" si="12"/>
        <v>0.58896982071442572</v>
      </c>
      <c r="U72" s="8">
        <v>34.5</v>
      </c>
      <c r="V72" s="10">
        <f t="shared" si="6"/>
        <v>0.14146637861557604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5264.1986564299004</v>
      </c>
      <c r="E73">
        <v>838.21017274472001</v>
      </c>
      <c r="F73">
        <v>142.71277617675</v>
      </c>
      <c r="G73">
        <v>117.57252641690999</v>
      </c>
      <c r="I73" s="9">
        <f t="shared" si="8"/>
        <v>720.63764632780999</v>
      </c>
      <c r="J73" s="9">
        <f t="shared" si="9"/>
        <v>5121.4858802531508</v>
      </c>
      <c r="K73" s="9">
        <f t="shared" si="10"/>
        <v>720.63764632780999</v>
      </c>
      <c r="L73" s="10">
        <f t="shared" si="7"/>
        <v>0.14070870508622577</v>
      </c>
      <c r="M73" s="10">
        <f t="shared" si="11"/>
        <v>0.14160900311710925</v>
      </c>
      <c r="P73" s="8">
        <f t="shared" si="12"/>
        <v>-8.7360904919983343E-2</v>
      </c>
      <c r="U73" s="8">
        <v>35</v>
      </c>
      <c r="V73" s="10">
        <f t="shared" si="6"/>
        <v>0.14125959059565815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5192.7773512475997</v>
      </c>
      <c r="E74">
        <v>824.80134357006</v>
      </c>
      <c r="F74">
        <v>142.77233429395</v>
      </c>
      <c r="G74">
        <v>117.71565802113</v>
      </c>
      <c r="I74" s="9">
        <f t="shared" si="8"/>
        <v>707.08568554892997</v>
      </c>
      <c r="J74" s="9">
        <f t="shared" si="9"/>
        <v>5050.0050169536498</v>
      </c>
      <c r="K74" s="9">
        <f t="shared" si="10"/>
        <v>707.08568554892997</v>
      </c>
      <c r="L74" s="10">
        <f t="shared" si="7"/>
        <v>0.14001682833484991</v>
      </c>
      <c r="M74" s="10">
        <f t="shared" si="11"/>
        <v>0.14092980661968948</v>
      </c>
      <c r="P74" s="8">
        <f t="shared" si="12"/>
        <v>-0.56656994550071271</v>
      </c>
      <c r="U74" s="8">
        <v>35.5</v>
      </c>
      <c r="V74" s="10">
        <f t="shared" si="6"/>
        <v>0.14167996796498292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5233.5556621880996</v>
      </c>
      <c r="E75">
        <v>831.90019193857995</v>
      </c>
      <c r="F75">
        <v>143.51585014409</v>
      </c>
      <c r="G75">
        <v>117.73294908742</v>
      </c>
      <c r="I75" s="9">
        <f t="shared" si="8"/>
        <v>714.16724285115993</v>
      </c>
      <c r="J75" s="9">
        <f t="shared" si="9"/>
        <v>5090.0398120440095</v>
      </c>
      <c r="K75" s="9">
        <f t="shared" si="10"/>
        <v>714.16724285115993</v>
      </c>
      <c r="L75" s="10">
        <f t="shared" si="7"/>
        <v>0.14030680883110253</v>
      </c>
      <c r="M75" s="10">
        <f t="shared" si="11"/>
        <v>0.14123246736989822</v>
      </c>
      <c r="P75" s="8">
        <f t="shared" si="12"/>
        <v>-0.35302678342616584</v>
      </c>
      <c r="U75" s="8">
        <v>36</v>
      </c>
      <c r="V75" s="10">
        <f t="shared" si="6"/>
        <v>0.14070870508622577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5124.1976967370001</v>
      </c>
      <c r="E76">
        <v>811.21401151632006</v>
      </c>
      <c r="F76">
        <v>143.16714697405999</v>
      </c>
      <c r="G76">
        <v>117.65033621518</v>
      </c>
      <c r="I76" s="9">
        <f t="shared" si="8"/>
        <v>693.56367530114005</v>
      </c>
      <c r="J76" s="9">
        <f t="shared" si="9"/>
        <v>4981.0305497629397</v>
      </c>
      <c r="K76" s="9">
        <f t="shared" si="10"/>
        <v>693.56367530114005</v>
      </c>
      <c r="L76" s="10">
        <f t="shared" si="7"/>
        <v>0.13924100010471699</v>
      </c>
      <c r="M76" s="10">
        <f t="shared" si="11"/>
        <v>0.14017933889746878</v>
      </c>
      <c r="P76" s="8">
        <f t="shared" si="12"/>
        <v>-1.0960646035538824</v>
      </c>
      <c r="U76" s="8">
        <v>36.5</v>
      </c>
      <c r="V76" s="10">
        <f t="shared" si="6"/>
        <v>0.14001682833484991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5238.8274547188003</v>
      </c>
      <c r="E77">
        <v>834.08674928503001</v>
      </c>
      <c r="F77">
        <v>142.94236311239001</v>
      </c>
      <c r="G77">
        <v>117.58117195005001</v>
      </c>
      <c r="I77" s="9">
        <f t="shared" si="8"/>
        <v>716.50557733497999</v>
      </c>
      <c r="J77" s="9">
        <f t="shared" si="9"/>
        <v>5095.8850916064102</v>
      </c>
      <c r="K77" s="9">
        <f t="shared" si="10"/>
        <v>716.50557733497999</v>
      </c>
      <c r="L77" s="10">
        <f t="shared" si="7"/>
        <v>0.1406047358711362</v>
      </c>
      <c r="M77" s="10">
        <f t="shared" si="11"/>
        <v>0.14155575491784408</v>
      </c>
      <c r="P77" s="8">
        <f t="shared" si="12"/>
        <v>-0.12493032493237956</v>
      </c>
      <c r="U77" s="8">
        <v>37</v>
      </c>
      <c r="V77" s="10">
        <f t="shared" si="6"/>
        <v>0.14030680883110253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5230.0438512868996</v>
      </c>
      <c r="E78">
        <v>826.32793136320004</v>
      </c>
      <c r="F78">
        <v>142.77521613832999</v>
      </c>
      <c r="G78">
        <v>117.69260326609</v>
      </c>
      <c r="I78" s="9">
        <f t="shared" si="8"/>
        <v>708.63532809711</v>
      </c>
      <c r="J78" s="9">
        <f t="shared" si="9"/>
        <v>5087.26863514857</v>
      </c>
      <c r="K78" s="9">
        <f t="shared" si="10"/>
        <v>708.63532809711</v>
      </c>
      <c r="L78" s="10">
        <f t="shared" si="7"/>
        <v>0.13929583415372654</v>
      </c>
      <c r="M78" s="10">
        <f t="shared" si="11"/>
        <v>0.14025953345439054</v>
      </c>
      <c r="P78" s="8">
        <f t="shared" si="12"/>
        <v>-1.0394831034603618</v>
      </c>
      <c r="U78" s="8">
        <v>37.5</v>
      </c>
      <c r="V78" s="10">
        <f t="shared" si="6"/>
        <v>0.13924100010471699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5218.2335557673996</v>
      </c>
      <c r="E79">
        <v>820.55958055291001</v>
      </c>
      <c r="F79">
        <v>143.08261287223999</v>
      </c>
      <c r="G79">
        <v>117.89241114313</v>
      </c>
      <c r="I79" s="9">
        <f t="shared" si="8"/>
        <v>702.66716940977994</v>
      </c>
      <c r="J79" s="9">
        <f t="shared" si="9"/>
        <v>5075.1509428951595</v>
      </c>
      <c r="K79" s="9">
        <f t="shared" si="10"/>
        <v>702.66716940977994</v>
      </c>
      <c r="L79" s="10">
        <f t="shared" si="7"/>
        <v>0.13845246719084536</v>
      </c>
      <c r="M79" s="10">
        <f t="shared" si="11"/>
        <v>0.13942884674546546</v>
      </c>
      <c r="P79" s="8">
        <f t="shared" si="12"/>
        <v>-1.6255764981103797</v>
      </c>
      <c r="U79" s="8">
        <v>38</v>
      </c>
      <c r="V79" s="10">
        <f t="shared" si="6"/>
        <v>0.1406047358711362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5212.2812202097002</v>
      </c>
      <c r="E80">
        <v>827.02669208769998</v>
      </c>
      <c r="F80">
        <v>142.82420749280001</v>
      </c>
      <c r="G80">
        <v>117.76753121998</v>
      </c>
      <c r="I80" s="9">
        <f t="shared" si="8"/>
        <v>709.25916086771997</v>
      </c>
      <c r="J80" s="9">
        <f t="shared" si="9"/>
        <v>5069.4570127169</v>
      </c>
      <c r="K80" s="9">
        <f t="shared" si="10"/>
        <v>709.25916086771997</v>
      </c>
      <c r="L80" s="10">
        <f t="shared" si="7"/>
        <v>0.13990830952674418</v>
      </c>
      <c r="M80" s="10">
        <f t="shared" si="11"/>
        <v>0.1408973693353204</v>
      </c>
      <c r="P80" s="8">
        <f t="shared" si="12"/>
        <v>-0.58945616470326012</v>
      </c>
      <c r="U80" s="8">
        <v>38.5</v>
      </c>
      <c r="V80" s="10">
        <f t="shared" si="6"/>
        <v>0.13929583415372654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5251.0695900858</v>
      </c>
      <c r="E81">
        <v>830.81220209723995</v>
      </c>
      <c r="F81">
        <v>142.73871277617999</v>
      </c>
      <c r="G81">
        <v>117.64265129683</v>
      </c>
      <c r="I81" s="9">
        <f t="shared" si="8"/>
        <v>713.16955080040998</v>
      </c>
      <c r="J81" s="9">
        <f t="shared" si="9"/>
        <v>5108.3308773096196</v>
      </c>
      <c r="K81" s="9">
        <f t="shared" si="10"/>
        <v>713.16955080040998</v>
      </c>
      <c r="L81" s="10">
        <f t="shared" si="7"/>
        <v>0.13960911458734865</v>
      </c>
      <c r="M81" s="10">
        <f t="shared" si="11"/>
        <v>0.14061085464988096</v>
      </c>
      <c r="P81" s="8">
        <f t="shared" si="12"/>
        <v>-0.79160742438042675</v>
      </c>
      <c r="U81" s="8">
        <v>39</v>
      </c>
      <c r="V81" s="10">
        <f t="shared" si="6"/>
        <v>0.13845246719084536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5242.8427073403</v>
      </c>
      <c r="E82">
        <v>820.49761677788001</v>
      </c>
      <c r="F82">
        <v>142.43804034582001</v>
      </c>
      <c r="G82">
        <v>117.69068203649999</v>
      </c>
      <c r="H82" s="13"/>
      <c r="I82" s="14">
        <f t="shared" si="8"/>
        <v>702.80693474138002</v>
      </c>
      <c r="J82" s="14">
        <f t="shared" si="9"/>
        <v>5100.4046669944801</v>
      </c>
      <c r="K82" s="9">
        <f t="shared" si="10"/>
        <v>702.80693474138002</v>
      </c>
      <c r="L82" s="15">
        <f t="shared" si="7"/>
        <v>0.13779434782682129</v>
      </c>
      <c r="M82" s="15">
        <f t="shared" si="11"/>
        <v>0.13880876814330972</v>
      </c>
      <c r="N82" s="13"/>
      <c r="O82" s="13"/>
      <c r="P82" s="13">
        <f t="shared" si="12"/>
        <v>-2.0630747377988046</v>
      </c>
      <c r="U82" s="8">
        <v>39.5</v>
      </c>
      <c r="V82" s="10">
        <f t="shared" si="6"/>
        <v>0.13990830952674418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5216.8894184937999</v>
      </c>
      <c r="E83">
        <v>825.29647283126997</v>
      </c>
      <c r="F83">
        <v>142.65321805956</v>
      </c>
      <c r="G83">
        <v>118.00192122959</v>
      </c>
      <c r="I83" s="9">
        <f t="shared" si="8"/>
        <v>707.29455160167993</v>
      </c>
      <c r="J83" s="9">
        <f t="shared" si="9"/>
        <v>5074.2362004342394</v>
      </c>
      <c r="K83" s="9">
        <f t="shared" si="10"/>
        <v>707.29455160167993</v>
      </c>
      <c r="L83" s="10">
        <f t="shared" si="7"/>
        <v>0.13938936298258081</v>
      </c>
      <c r="M83" s="10">
        <f t="shared" si="11"/>
        <v>0.14041646355302534</v>
      </c>
      <c r="P83" s="8">
        <f t="shared" si="12"/>
        <v>-0.92876062139411286</v>
      </c>
      <c r="U83" s="8">
        <v>40</v>
      </c>
      <c r="V83" s="10">
        <f t="shared" si="6"/>
        <v>0.13960911458734865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5217.3098188751001</v>
      </c>
      <c r="E84">
        <v>836.85605338417997</v>
      </c>
      <c r="F84">
        <v>142.42843419789</v>
      </c>
      <c r="G84">
        <v>117.2641690682</v>
      </c>
      <c r="I84" s="9">
        <f t="shared" si="8"/>
        <v>719.59188431598</v>
      </c>
      <c r="J84" s="9">
        <f t="shared" si="9"/>
        <v>5074.88138467721</v>
      </c>
      <c r="K84" s="9">
        <f t="shared" si="10"/>
        <v>719.59188431598</v>
      </c>
      <c r="L84" s="10">
        <f t="shared" si="7"/>
        <v>0.14179481839490321</v>
      </c>
      <c r="M84" s="10">
        <f t="shared" si="11"/>
        <v>0.14283459921930386</v>
      </c>
      <c r="P84" s="8">
        <f t="shared" si="12"/>
        <v>0.77736194701365935</v>
      </c>
      <c r="U84" s="8">
        <v>150.5</v>
      </c>
      <c r="V84" s="10">
        <f>L302</f>
        <v>0.14679245056877102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5238.4928503336996</v>
      </c>
      <c r="E85">
        <v>840.31935176358002</v>
      </c>
      <c r="F85">
        <v>143.20653218059999</v>
      </c>
      <c r="G85">
        <v>117.30067243036</v>
      </c>
      <c r="I85" s="9">
        <f t="shared" si="8"/>
        <v>723.01867933322001</v>
      </c>
      <c r="J85" s="9">
        <f t="shared" si="9"/>
        <v>5095.2863181530993</v>
      </c>
      <c r="K85" s="9">
        <f t="shared" si="10"/>
        <v>723.01867933322001</v>
      </c>
      <c r="L85" s="10">
        <f t="shared" si="7"/>
        <v>0.1418995193179437</v>
      </c>
      <c r="M85" s="10">
        <f t="shared" si="11"/>
        <v>0.14295198039630044</v>
      </c>
      <c r="P85" s="8">
        <f t="shared" si="12"/>
        <v>0.8601805737652124</v>
      </c>
      <c r="U85" s="8">
        <v>151</v>
      </c>
      <c r="V85" s="10">
        <f t="shared" ref="V85:V103" si="13">L303</f>
        <v>0.14732985773273022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5158.8411483254004</v>
      </c>
      <c r="E86">
        <v>824.73684210526005</v>
      </c>
      <c r="F86">
        <v>142.45341018252</v>
      </c>
      <c r="G86">
        <v>117.29682997118</v>
      </c>
      <c r="I86" s="9">
        <f t="shared" si="8"/>
        <v>707.44001213408001</v>
      </c>
      <c r="J86" s="9">
        <f t="shared" si="9"/>
        <v>5016.3877381428802</v>
      </c>
      <c r="K86" s="9">
        <f t="shared" si="10"/>
        <v>707.44001213408001</v>
      </c>
      <c r="L86" s="10">
        <f t="shared" si="7"/>
        <v>0.14102578370386931</v>
      </c>
      <c r="M86" s="10">
        <f t="shared" si="11"/>
        <v>0.14209092503618215</v>
      </c>
      <c r="P86" s="8">
        <f t="shared" si="12"/>
        <v>0.25266048999456953</v>
      </c>
      <c r="U86" s="8">
        <v>151.5</v>
      </c>
      <c r="V86" s="10">
        <f t="shared" si="13"/>
        <v>0.1466268914386965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5180.4497607656003</v>
      </c>
      <c r="E87">
        <v>826.13205741626996</v>
      </c>
      <c r="F87">
        <v>142.79923150817001</v>
      </c>
      <c r="G87">
        <v>117.72814601345</v>
      </c>
      <c r="I87" s="9">
        <f t="shared" si="8"/>
        <v>708.40391140281997</v>
      </c>
      <c r="J87" s="9">
        <f t="shared" si="9"/>
        <v>5037.6505292574302</v>
      </c>
      <c r="K87" s="9">
        <f t="shared" si="10"/>
        <v>708.40391140281997</v>
      </c>
      <c r="L87" s="10">
        <f t="shared" si="7"/>
        <v>0.14062188460445699</v>
      </c>
      <c r="M87" s="10">
        <f t="shared" si="11"/>
        <v>0.14169970619072594</v>
      </c>
      <c r="P87" s="8">
        <f t="shared" si="12"/>
        <v>-2.3365090673733192E-2</v>
      </c>
      <c r="U87" s="8">
        <v>152</v>
      </c>
      <c r="V87" s="10">
        <f t="shared" si="13"/>
        <v>0.14722756174804164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5126.2315789473996</v>
      </c>
      <c r="E88">
        <v>814.86124401914003</v>
      </c>
      <c r="F88">
        <v>142.60710854947001</v>
      </c>
      <c r="G88">
        <v>117.39193083574</v>
      </c>
      <c r="I88" s="9">
        <f t="shared" si="8"/>
        <v>697.4693131834</v>
      </c>
      <c r="J88" s="9">
        <f t="shared" si="9"/>
        <v>4983.6244703979301</v>
      </c>
      <c r="K88" s="9">
        <f t="shared" si="10"/>
        <v>697.4693131834</v>
      </c>
      <c r="L88" s="10">
        <f t="shared" si="7"/>
        <v>0.13995222098420043</v>
      </c>
      <c r="M88" s="10">
        <f t="shared" si="11"/>
        <v>0.14104272282442548</v>
      </c>
      <c r="P88" s="8">
        <f t="shared" si="12"/>
        <v>-0.48690159275873418</v>
      </c>
      <c r="U88" s="8">
        <v>152.5</v>
      </c>
      <c r="V88" s="10">
        <f t="shared" si="13"/>
        <v>0.14564421510187087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5155.1397129186998</v>
      </c>
      <c r="E89">
        <v>814.40191387560003</v>
      </c>
      <c r="F89">
        <v>143.10662824208001</v>
      </c>
      <c r="G89">
        <v>117.48126801153001</v>
      </c>
      <c r="I89" s="9">
        <f t="shared" si="8"/>
        <v>696.92064586407002</v>
      </c>
      <c r="J89" s="9">
        <f t="shared" si="9"/>
        <v>5012.0330846766201</v>
      </c>
      <c r="K89" s="9">
        <f t="shared" si="10"/>
        <v>696.92064586407002</v>
      </c>
      <c r="L89" s="10">
        <f t="shared" si="7"/>
        <v>0.13904949031457478</v>
      </c>
      <c r="M89" s="10">
        <f t="shared" si="11"/>
        <v>0.14015267240875595</v>
      </c>
      <c r="P89" s="8">
        <f t="shared" si="12"/>
        <v>-1.1148792212974628</v>
      </c>
      <c r="U89" s="8">
        <v>153</v>
      </c>
      <c r="V89" s="10">
        <f t="shared" si="13"/>
        <v>0.14555533016705785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5137.4440191388003</v>
      </c>
      <c r="E90">
        <v>814.95311004785003</v>
      </c>
      <c r="F90">
        <v>142.42747358309001</v>
      </c>
      <c r="G90">
        <v>117.21902017291001</v>
      </c>
      <c r="I90" s="9">
        <f t="shared" si="8"/>
        <v>697.73408987494008</v>
      </c>
      <c r="J90" s="9">
        <f t="shared" si="9"/>
        <v>4995.0165455557099</v>
      </c>
      <c r="K90" s="9">
        <f t="shared" si="10"/>
        <v>697.73408987494008</v>
      </c>
      <c r="L90" s="10">
        <f t="shared" si="7"/>
        <v>0.13968604178013092</v>
      </c>
      <c r="M90" s="10">
        <f t="shared" si="11"/>
        <v>0.14080190412826818</v>
      </c>
      <c r="P90" s="8">
        <f t="shared" si="12"/>
        <v>-0.65681191588002752</v>
      </c>
      <c r="U90" s="8">
        <v>153.5</v>
      </c>
      <c r="V90" s="10">
        <f t="shared" si="13"/>
        <v>0.14356359260805626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5048.7034548944002</v>
      </c>
      <c r="E91">
        <v>808.82821497120995</v>
      </c>
      <c r="F91">
        <v>142.74447646493999</v>
      </c>
      <c r="G91">
        <v>117.72622478386</v>
      </c>
      <c r="I91" s="9">
        <f t="shared" si="8"/>
        <v>691.10199018734988</v>
      </c>
      <c r="J91" s="9">
        <f t="shared" si="9"/>
        <v>4905.9589784294603</v>
      </c>
      <c r="K91" s="9">
        <f t="shared" si="10"/>
        <v>691.10199018734988</v>
      </c>
      <c r="L91" s="10">
        <f t="shared" si="7"/>
        <v>0.14086990804977984</v>
      </c>
      <c r="M91" s="10">
        <f t="shared" si="11"/>
        <v>0.14199845065187322</v>
      </c>
      <c r="P91" s="8">
        <f t="shared" si="12"/>
        <v>0.18741492239914836</v>
      </c>
      <c r="U91" s="8">
        <v>154</v>
      </c>
      <c r="V91" s="10">
        <f t="shared" si="13"/>
        <v>0.14232886167014672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5099.5403071016999</v>
      </c>
      <c r="E92">
        <v>810.24280230325996</v>
      </c>
      <c r="F92">
        <v>142.45148895292999</v>
      </c>
      <c r="G92">
        <v>117.19596541787</v>
      </c>
      <c r="I92" s="9">
        <f t="shared" si="8"/>
        <v>693.04683688539001</v>
      </c>
      <c r="J92" s="9">
        <f t="shared" si="9"/>
        <v>4957.0888181487699</v>
      </c>
      <c r="K92" s="9">
        <f t="shared" si="10"/>
        <v>693.04683688539001</v>
      </c>
      <c r="L92" s="10">
        <f t="shared" si="7"/>
        <v>0.13980924335025513</v>
      </c>
      <c r="M92" s="10">
        <f t="shared" si="11"/>
        <v>0.14095046620630461</v>
      </c>
      <c r="P92" s="8">
        <f t="shared" si="12"/>
        <v>-0.55199351479437275</v>
      </c>
      <c r="U92" s="8">
        <v>154.5</v>
      </c>
      <c r="V92" s="10">
        <f t="shared" si="13"/>
        <v>0.14310123603420985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5034.2936660268997</v>
      </c>
      <c r="E93">
        <v>801.25431861803997</v>
      </c>
      <c r="F93">
        <v>142.1325648415</v>
      </c>
      <c r="G93">
        <v>117.16522574448</v>
      </c>
      <c r="I93" s="9">
        <f t="shared" si="8"/>
        <v>684.08909287355993</v>
      </c>
      <c r="J93" s="9">
        <f t="shared" si="9"/>
        <v>4892.1611011853993</v>
      </c>
      <c r="K93" s="9">
        <f t="shared" si="10"/>
        <v>684.08909287355993</v>
      </c>
      <c r="L93" s="10">
        <f t="shared" si="7"/>
        <v>0.13983372148308876</v>
      </c>
      <c r="M93" s="10">
        <f t="shared" si="11"/>
        <v>0.14098762459309433</v>
      </c>
      <c r="P93" s="8">
        <f t="shared" si="12"/>
        <v>-0.52577630821177668</v>
      </c>
      <c r="U93" s="8">
        <v>155</v>
      </c>
      <c r="V93" s="10">
        <f t="shared" si="13"/>
        <v>0.14292792945313806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4925.7255278311004</v>
      </c>
      <c r="E94">
        <v>781.61996161228001</v>
      </c>
      <c r="F94">
        <v>142.30259365993999</v>
      </c>
      <c r="G94">
        <v>117.33141210375</v>
      </c>
      <c r="I94" s="9">
        <f t="shared" si="8"/>
        <v>664.28854950852997</v>
      </c>
      <c r="J94" s="9">
        <f t="shared" si="9"/>
        <v>4783.4229341711607</v>
      </c>
      <c r="K94" s="9">
        <f t="shared" si="10"/>
        <v>664.28854950852997</v>
      </c>
      <c r="L94" s="10">
        <f t="shared" si="7"/>
        <v>0.13887305359579988</v>
      </c>
      <c r="M94" s="10">
        <f t="shared" si="11"/>
        <v>0.14003963695976157</v>
      </c>
      <c r="P94" s="8">
        <f t="shared" si="12"/>
        <v>-1.1946317071686199</v>
      </c>
      <c r="U94" s="8">
        <v>155.5</v>
      </c>
      <c r="V94" s="10">
        <f t="shared" si="13"/>
        <v>0.14180724993663235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4851.0806142034999</v>
      </c>
      <c r="E95">
        <v>767.05758157390005</v>
      </c>
      <c r="F95">
        <v>143.07588856868</v>
      </c>
      <c r="G95">
        <v>117.54851104706999</v>
      </c>
      <c r="I95" s="9">
        <f t="shared" si="8"/>
        <v>649.5090705268301</v>
      </c>
      <c r="J95" s="9">
        <f t="shared" si="9"/>
        <v>4708.0047256348198</v>
      </c>
      <c r="K95" s="9">
        <f t="shared" si="10"/>
        <v>649.5090705268301</v>
      </c>
      <c r="L95" s="10">
        <f t="shared" si="7"/>
        <v>0.13795845764348746</v>
      </c>
      <c r="M95" s="10">
        <f t="shared" si="11"/>
        <v>0.13913772126140525</v>
      </c>
      <c r="P95" s="8">
        <f t="shared" si="12"/>
        <v>-1.8309809200046125</v>
      </c>
      <c r="U95" s="8">
        <v>156</v>
      </c>
      <c r="V95" s="10">
        <f t="shared" si="13"/>
        <v>0.14317834360011983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4902.1305182342003</v>
      </c>
      <c r="E96">
        <v>775.03071017274999</v>
      </c>
      <c r="F96">
        <v>142.54562920269001</v>
      </c>
      <c r="G96">
        <v>117.20365033621999</v>
      </c>
      <c r="I96" s="9">
        <f t="shared" si="8"/>
        <v>657.82705983653</v>
      </c>
      <c r="J96" s="9">
        <f t="shared" si="9"/>
        <v>4759.5848890315101</v>
      </c>
      <c r="K96" s="9">
        <f t="shared" si="10"/>
        <v>657.82705983653</v>
      </c>
      <c r="L96" s="10">
        <f t="shared" si="7"/>
        <v>0.13821101528255039</v>
      </c>
      <c r="M96" s="10">
        <f t="shared" si="11"/>
        <v>0.1394029591544243</v>
      </c>
      <c r="P96" s="8">
        <f t="shared" si="12"/>
        <v>-1.6438415623633758</v>
      </c>
      <c r="U96" s="8">
        <v>156.5</v>
      </c>
      <c r="V96" s="10">
        <f t="shared" si="13"/>
        <v>0.1457661477504823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5161.1170825336003</v>
      </c>
      <c r="E97">
        <v>818.75047984645005</v>
      </c>
      <c r="F97">
        <v>142.29106628241999</v>
      </c>
      <c r="G97">
        <v>117.28242074928001</v>
      </c>
      <c r="I97" s="9">
        <f t="shared" si="8"/>
        <v>701.46805909717</v>
      </c>
      <c r="J97" s="9">
        <f t="shared" si="9"/>
        <v>5018.8260162511806</v>
      </c>
      <c r="K97" s="9">
        <f t="shared" si="10"/>
        <v>701.46805909717</v>
      </c>
      <c r="L97" s="10">
        <f t="shared" si="7"/>
        <v>0.13976735930390602</v>
      </c>
      <c r="M97" s="10">
        <f t="shared" si="11"/>
        <v>0.14097198342973602</v>
      </c>
      <c r="P97" s="8">
        <f t="shared" si="12"/>
        <v>-0.53681197596768637</v>
      </c>
      <c r="U97" s="8">
        <v>157</v>
      </c>
      <c r="V97" s="10">
        <f t="shared" si="13"/>
        <v>0.14110582363484878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5135.9280230326003</v>
      </c>
      <c r="E98">
        <v>816.87907869482001</v>
      </c>
      <c r="F98">
        <v>142.00864553314</v>
      </c>
      <c r="G98">
        <v>117.30451488953</v>
      </c>
      <c r="I98" s="9">
        <f t="shared" si="8"/>
        <v>699.57456380529004</v>
      </c>
      <c r="J98" s="9">
        <f t="shared" si="9"/>
        <v>4993.9193774994601</v>
      </c>
      <c r="K98" s="9">
        <f t="shared" si="10"/>
        <v>699.57456380529004</v>
      </c>
      <c r="L98" s="10">
        <f t="shared" si="7"/>
        <v>0.14008527389474573</v>
      </c>
      <c r="M98" s="10">
        <f t="shared" si="11"/>
        <v>0.14130257827453185</v>
      </c>
      <c r="P98" s="8">
        <f t="shared" si="12"/>
        <v>-0.30355983318221547</v>
      </c>
      <c r="U98" s="8">
        <v>157.5</v>
      </c>
      <c r="V98" s="10">
        <f t="shared" si="13"/>
        <v>0.14376662563521808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5132.3618042226999</v>
      </c>
      <c r="E99">
        <v>818.03358925144005</v>
      </c>
      <c r="F99">
        <v>141.72718539866</v>
      </c>
      <c r="G99">
        <v>117.09125840538</v>
      </c>
      <c r="I99" s="9">
        <f t="shared" si="8"/>
        <v>700.94233084606003</v>
      </c>
      <c r="J99" s="9">
        <f t="shared" si="9"/>
        <v>4990.6346188240395</v>
      </c>
      <c r="K99" s="9">
        <f t="shared" si="10"/>
        <v>700.94233084606003</v>
      </c>
      <c r="L99" s="10">
        <f t="shared" si="7"/>
        <v>0.14045154261588189</v>
      </c>
      <c r="M99" s="10">
        <f t="shared" si="11"/>
        <v>0.1416815272496241</v>
      </c>
      <c r="P99" s="8">
        <f t="shared" si="12"/>
        <v>-3.6191294809476464E-2</v>
      </c>
      <c r="U99" s="8">
        <v>158</v>
      </c>
      <c r="V99" s="10">
        <f t="shared" si="13"/>
        <v>0.14265061679760707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5209.2485604607</v>
      </c>
      <c r="E100">
        <v>823.18714011515999</v>
      </c>
      <c r="F100">
        <v>142.06916426513001</v>
      </c>
      <c r="G100">
        <v>117.70797310279001</v>
      </c>
      <c r="I100" s="9">
        <f t="shared" si="8"/>
        <v>705.47916701237</v>
      </c>
      <c r="J100" s="9">
        <f t="shared" si="9"/>
        <v>5067.17939619557</v>
      </c>
      <c r="K100" s="9">
        <f t="shared" si="10"/>
        <v>705.47916701237</v>
      </c>
      <c r="L100" s="10">
        <f t="shared" si="7"/>
        <v>0.1392252201574001</v>
      </c>
      <c r="M100" s="10">
        <f t="shared" si="11"/>
        <v>0.14046788504509841</v>
      </c>
      <c r="P100" s="8">
        <f t="shared" si="12"/>
        <v>-0.89248003989055802</v>
      </c>
      <c r="U100" s="8">
        <v>158.5</v>
      </c>
      <c r="V100" s="10">
        <f t="shared" si="13"/>
        <v>0.14211707977033575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5255.0662188099996</v>
      </c>
      <c r="E101">
        <v>830.47504798465002</v>
      </c>
      <c r="F101">
        <v>142.2641690682</v>
      </c>
      <c r="G101">
        <v>117.08933717579001</v>
      </c>
      <c r="I101" s="9">
        <f t="shared" si="8"/>
        <v>713.38571080886004</v>
      </c>
      <c r="J101" s="9">
        <f t="shared" si="9"/>
        <v>5112.8020497417992</v>
      </c>
      <c r="K101" s="9">
        <f t="shared" si="10"/>
        <v>713.38571080886004</v>
      </c>
      <c r="L101" s="10">
        <f t="shared" si="7"/>
        <v>0.13952930386672932</v>
      </c>
      <c r="M101" s="10">
        <f t="shared" si="11"/>
        <v>0.14078464900838375</v>
      </c>
      <c r="P101" s="8">
        <f t="shared" si="12"/>
        <v>-0.6689863153010136</v>
      </c>
      <c r="U101" s="8">
        <v>159</v>
      </c>
      <c r="V101" s="10">
        <f t="shared" si="13"/>
        <v>0.14319705666234181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5350.0604606526003</v>
      </c>
      <c r="E102">
        <v>844.58637236084996</v>
      </c>
      <c r="F102">
        <v>142.02593659941999</v>
      </c>
      <c r="G102">
        <v>117.08645533140999</v>
      </c>
      <c r="I102" s="9">
        <f t="shared" si="8"/>
        <v>727.49991702943998</v>
      </c>
      <c r="J102" s="9">
        <f t="shared" si="9"/>
        <v>5208.0345240531806</v>
      </c>
      <c r="K102" s="9">
        <f t="shared" si="10"/>
        <v>727.49991702943998</v>
      </c>
      <c r="L102" s="10">
        <f t="shared" si="7"/>
        <v>0.13968799816312649</v>
      </c>
      <c r="M102" s="10">
        <f t="shared" si="11"/>
        <v>0.14095602355873701</v>
      </c>
      <c r="P102" s="8">
        <f t="shared" si="12"/>
        <v>-0.54807250881536762</v>
      </c>
      <c r="U102" s="8">
        <v>159.5</v>
      </c>
      <c r="V102" s="10">
        <f t="shared" si="13"/>
        <v>0.14150197724979641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5309.8426103646998</v>
      </c>
      <c r="E103">
        <v>840.91170825335996</v>
      </c>
      <c r="F103">
        <v>142.29490874160001</v>
      </c>
      <c r="G103">
        <v>117.42843419789</v>
      </c>
      <c r="I103" s="9">
        <f t="shared" si="8"/>
        <v>723.48327405547002</v>
      </c>
      <c r="J103" s="9">
        <f t="shared" si="9"/>
        <v>5167.5477016230998</v>
      </c>
      <c r="K103" s="9">
        <f t="shared" si="10"/>
        <v>723.48327405547002</v>
      </c>
      <c r="L103" s="10">
        <f t="shared" si="7"/>
        <v>0.14000514670202807</v>
      </c>
      <c r="M103" s="10">
        <f t="shared" si="11"/>
        <v>0.14128585235159472</v>
      </c>
      <c r="P103" s="8">
        <f t="shared" si="12"/>
        <v>-0.31536085617627213</v>
      </c>
      <c r="U103" s="8">
        <v>160</v>
      </c>
      <c r="V103" s="10">
        <f t="shared" si="13"/>
        <v>0.14416044719371854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5211.8710900473998</v>
      </c>
      <c r="E104">
        <v>834.79241706160997</v>
      </c>
      <c r="F104">
        <v>142.30259365993999</v>
      </c>
      <c r="G104">
        <v>117.23631123919</v>
      </c>
      <c r="I104" s="9">
        <f t="shared" si="8"/>
        <v>717.55610582242002</v>
      </c>
      <c r="J104" s="9">
        <f t="shared" si="9"/>
        <v>5069.5684963874601</v>
      </c>
      <c r="K104" s="9">
        <f t="shared" si="10"/>
        <v>717.55610582242002</v>
      </c>
      <c r="L104" s="10">
        <f t="shared" si="7"/>
        <v>0.14154185042252523</v>
      </c>
      <c r="M104" s="10">
        <f t="shared" si="11"/>
        <v>0.14283523632604797</v>
      </c>
      <c r="P104" s="8">
        <f t="shared" si="12"/>
        <v>0.77781145950783881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5125.0028708133996</v>
      </c>
      <c r="E105">
        <v>825.48038277512001</v>
      </c>
      <c r="F105">
        <v>142.56003842459</v>
      </c>
      <c r="G105">
        <v>117.44860710854999</v>
      </c>
      <c r="I105" s="9">
        <f t="shared" si="8"/>
        <v>708.03177566656996</v>
      </c>
      <c r="J105" s="9">
        <f t="shared" si="9"/>
        <v>4982.4428323888096</v>
      </c>
      <c r="K105" s="9">
        <f t="shared" si="10"/>
        <v>708.03177566656996</v>
      </c>
      <c r="L105" s="10">
        <f t="shared" si="7"/>
        <v>0.14210534861814106</v>
      </c>
      <c r="M105" s="10">
        <f t="shared" si="11"/>
        <v>0.14341141477561992</v>
      </c>
      <c r="P105" s="8">
        <f t="shared" si="12"/>
        <v>1.1843358203836569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5255.9942583732</v>
      </c>
      <c r="E106">
        <v>837.82392344497998</v>
      </c>
      <c r="F106">
        <v>141.91930835734999</v>
      </c>
      <c r="G106">
        <v>117.40153698367</v>
      </c>
      <c r="I106" s="9">
        <f t="shared" si="8"/>
        <v>720.42238646131</v>
      </c>
      <c r="J106" s="9">
        <f t="shared" si="9"/>
        <v>5114.0749500158499</v>
      </c>
      <c r="K106" s="9">
        <f t="shared" si="10"/>
        <v>720.42238646131</v>
      </c>
      <c r="L106" s="10">
        <f t="shared" si="7"/>
        <v>0.14087051783609023</v>
      </c>
      <c r="M106" s="10">
        <f t="shared" si="11"/>
        <v>0.14218926424752518</v>
      </c>
      <c r="P106" s="8">
        <f t="shared" si="12"/>
        <v>0.32204400315782111</v>
      </c>
      <c r="X106" s="8">
        <v>-13</v>
      </c>
    </row>
    <row r="107" spans="1:25" x14ac:dyDescent="0.2">
      <c r="A107" s="8">
        <v>52.5</v>
      </c>
      <c r="B107" s="8">
        <v>105</v>
      </c>
      <c r="D107">
        <v>5310.5110047847002</v>
      </c>
      <c r="E107">
        <v>842.08133971292</v>
      </c>
      <c r="F107">
        <v>142.27857829011</v>
      </c>
      <c r="G107">
        <v>117.13640730067</v>
      </c>
      <c r="I107" s="9">
        <f t="shared" si="8"/>
        <v>724.94493241224995</v>
      </c>
      <c r="J107" s="9">
        <f t="shared" si="9"/>
        <v>5168.2324264945901</v>
      </c>
      <c r="K107" s="9">
        <f t="shared" si="10"/>
        <v>724.94493241224995</v>
      </c>
      <c r="L107" s="10">
        <f t="shared" si="7"/>
        <v>0.14026941371596782</v>
      </c>
      <c r="M107" s="10">
        <f t="shared" si="11"/>
        <v>0.14160084038135887</v>
      </c>
      <c r="P107" s="8">
        <f t="shared" si="12"/>
        <v>-9.3120146586151226E-2</v>
      </c>
      <c r="X107" s="8">
        <v>-13</v>
      </c>
    </row>
    <row r="108" spans="1:25" x14ac:dyDescent="0.2">
      <c r="A108" s="8">
        <v>53</v>
      </c>
      <c r="B108" s="8">
        <v>106</v>
      </c>
      <c r="D108">
        <v>5327.6545454546003</v>
      </c>
      <c r="E108">
        <v>841.28038277511996</v>
      </c>
      <c r="F108">
        <v>142.47358309318</v>
      </c>
      <c r="G108">
        <v>117.60038424592</v>
      </c>
      <c r="I108" s="9">
        <f t="shared" si="8"/>
        <v>723.67999852920002</v>
      </c>
      <c r="J108" s="9">
        <f t="shared" si="9"/>
        <v>5185.1809623614199</v>
      </c>
      <c r="K108" s="9">
        <f t="shared" si="10"/>
        <v>723.67999852920002</v>
      </c>
      <c r="L108" s="10">
        <f t="shared" si="7"/>
        <v>0.13956697052278458</v>
      </c>
      <c r="M108" s="10">
        <f t="shared" si="11"/>
        <v>0.14091107744213174</v>
      </c>
      <c r="P108" s="8">
        <f t="shared" si="12"/>
        <v>-0.57978437054914522</v>
      </c>
      <c r="X108" s="8">
        <v>-13</v>
      </c>
    </row>
    <row r="109" spans="1:25" x14ac:dyDescent="0.2">
      <c r="A109" s="8">
        <v>53.5</v>
      </c>
      <c r="B109" s="8">
        <v>107</v>
      </c>
      <c r="D109">
        <v>5327.3875598085997</v>
      </c>
      <c r="E109">
        <v>840.08133971292</v>
      </c>
      <c r="F109">
        <v>142.49663784821999</v>
      </c>
      <c r="G109">
        <v>116.74447646494001</v>
      </c>
      <c r="I109" s="9">
        <f t="shared" si="8"/>
        <v>723.33686324797998</v>
      </c>
      <c r="J109" s="9">
        <f t="shared" si="9"/>
        <v>5184.8909219603793</v>
      </c>
      <c r="K109" s="9">
        <f t="shared" si="10"/>
        <v>723.33686324797998</v>
      </c>
      <c r="L109" s="10">
        <f t="shared" si="7"/>
        <v>0.1395085979888831</v>
      </c>
      <c r="M109" s="10">
        <f t="shared" si="11"/>
        <v>0.14086538516218636</v>
      </c>
      <c r="P109" s="8">
        <f t="shared" si="12"/>
        <v>-0.61202268997181175</v>
      </c>
      <c r="X109" s="8">
        <v>-13</v>
      </c>
    </row>
    <row r="110" spans="1:25" x14ac:dyDescent="0.2">
      <c r="A110" s="8">
        <v>54</v>
      </c>
      <c r="B110" s="8">
        <v>108</v>
      </c>
      <c r="D110">
        <v>5423.0305635147997</v>
      </c>
      <c r="E110">
        <v>849.28939828080001</v>
      </c>
      <c r="F110">
        <v>141.59365994236001</v>
      </c>
      <c r="G110">
        <v>116.97118155619999</v>
      </c>
      <c r="I110" s="9">
        <f t="shared" si="8"/>
        <v>732.31821672460001</v>
      </c>
      <c r="J110" s="9">
        <f t="shared" si="9"/>
        <v>5281.4369035724394</v>
      </c>
      <c r="K110" s="9">
        <f t="shared" si="10"/>
        <v>732.31821672460001</v>
      </c>
      <c r="L110" s="10">
        <f t="shared" si="7"/>
        <v>0.1386588972083051</v>
      </c>
      <c r="M110" s="10">
        <f t="shared" si="11"/>
        <v>0.14002836463556448</v>
      </c>
      <c r="P110" s="8">
        <f t="shared" si="12"/>
        <v>-1.2025849278994758</v>
      </c>
      <c r="X110" s="8">
        <v>-13</v>
      </c>
    </row>
    <row r="111" spans="1:25" x14ac:dyDescent="0.2">
      <c r="A111" s="8">
        <v>54.5</v>
      </c>
      <c r="B111" s="8">
        <v>109</v>
      </c>
      <c r="D111">
        <v>5166.1623686723997</v>
      </c>
      <c r="E111">
        <v>825.10028653295001</v>
      </c>
      <c r="F111">
        <v>142.72526416906999</v>
      </c>
      <c r="G111">
        <v>116.81364073007001</v>
      </c>
      <c r="I111" s="9">
        <f t="shared" si="8"/>
        <v>708.28664580288</v>
      </c>
      <c r="J111" s="9">
        <f t="shared" si="9"/>
        <v>5023.4371045033295</v>
      </c>
      <c r="K111" s="9">
        <f t="shared" si="10"/>
        <v>708.28664580288</v>
      </c>
      <c r="L111" s="10">
        <f t="shared" si="7"/>
        <v>0.14099641959644058</v>
      </c>
      <c r="M111" s="10">
        <f t="shared" si="11"/>
        <v>0.14237856727765605</v>
      </c>
      <c r="P111" s="8">
        <f t="shared" si="12"/>
        <v>0.45560730007213779</v>
      </c>
      <c r="X111" s="8">
        <v>-13</v>
      </c>
    </row>
    <row r="112" spans="1:25" x14ac:dyDescent="0.2">
      <c r="A112" s="8">
        <v>55</v>
      </c>
      <c r="B112" s="8">
        <v>110</v>
      </c>
      <c r="D112">
        <v>5132.2340019102003</v>
      </c>
      <c r="E112">
        <v>821.80802292264002</v>
      </c>
      <c r="F112">
        <v>142.17291066281999</v>
      </c>
      <c r="G112">
        <v>116.81844380404</v>
      </c>
      <c r="I112" s="9">
        <f t="shared" si="8"/>
        <v>704.98957911859998</v>
      </c>
      <c r="J112" s="9">
        <f t="shared" si="9"/>
        <v>4990.0610912473803</v>
      </c>
      <c r="K112" s="9">
        <f t="shared" si="10"/>
        <v>704.98957911859998</v>
      </c>
      <c r="L112" s="10">
        <f t="shared" si="7"/>
        <v>0.14127874713901983</v>
      </c>
      <c r="M112" s="10">
        <f t="shared" si="11"/>
        <v>0.14267357507419143</v>
      </c>
      <c r="P112" s="8">
        <f t="shared" si="12"/>
        <v>0.66375089868993609</v>
      </c>
      <c r="X112" s="8">
        <v>-13</v>
      </c>
    </row>
    <row r="113" spans="1:24" x14ac:dyDescent="0.2">
      <c r="A113" s="8">
        <v>55.5</v>
      </c>
      <c r="B113" s="8">
        <v>111</v>
      </c>
      <c r="D113">
        <v>5170.7344794650999</v>
      </c>
      <c r="E113">
        <v>825.96370582616998</v>
      </c>
      <c r="F113">
        <v>142.47550432277001</v>
      </c>
      <c r="G113">
        <v>116.85110470700999</v>
      </c>
      <c r="I113" s="9">
        <f t="shared" si="8"/>
        <v>709.11260111915999</v>
      </c>
      <c r="J113" s="9">
        <f t="shared" si="9"/>
        <v>5028.2589751423302</v>
      </c>
      <c r="K113" s="9">
        <f t="shared" si="10"/>
        <v>709.11260111915999</v>
      </c>
      <c r="L113" s="10">
        <f t="shared" si="7"/>
        <v>0.14102547315576319</v>
      </c>
      <c r="M113" s="10">
        <f t="shared" si="11"/>
        <v>0.14243298134489088</v>
      </c>
      <c r="P113" s="8">
        <f t="shared" si="12"/>
        <v>0.49399930158091943</v>
      </c>
      <c r="X113" s="8">
        <v>-13</v>
      </c>
    </row>
    <row r="114" spans="1:24" x14ac:dyDescent="0.2">
      <c r="A114" s="8">
        <v>56</v>
      </c>
      <c r="B114" s="8">
        <v>112</v>
      </c>
      <c r="D114">
        <v>5220.0525310411003</v>
      </c>
      <c r="E114">
        <v>828.21680993313998</v>
      </c>
      <c r="F114">
        <v>142.29298751201</v>
      </c>
      <c r="G114">
        <v>116.94236311239</v>
      </c>
      <c r="I114" s="9">
        <f t="shared" si="8"/>
        <v>711.27444682074997</v>
      </c>
      <c r="J114" s="9">
        <f t="shared" si="9"/>
        <v>5077.7595435290905</v>
      </c>
      <c r="K114" s="9">
        <f t="shared" si="10"/>
        <v>711.27444682074997</v>
      </c>
      <c r="L114" s="10">
        <f t="shared" si="7"/>
        <v>0.14007643345915657</v>
      </c>
      <c r="M114" s="10">
        <f t="shared" si="11"/>
        <v>0.14149662190224038</v>
      </c>
      <c r="P114" s="8">
        <f t="shared" si="12"/>
        <v>-0.16665179402379332</v>
      </c>
      <c r="X114" s="8">
        <v>-13</v>
      </c>
    </row>
    <row r="115" spans="1:24" x14ac:dyDescent="0.2">
      <c r="A115" s="8">
        <v>56.5</v>
      </c>
      <c r="B115" s="8">
        <v>113</v>
      </c>
      <c r="D115">
        <v>5198.2292263609997</v>
      </c>
      <c r="E115">
        <v>822.34479465138998</v>
      </c>
      <c r="F115">
        <v>141.83573487032001</v>
      </c>
      <c r="G115">
        <v>117.07012487992</v>
      </c>
      <c r="I115" s="9">
        <f t="shared" si="8"/>
        <v>705.27466977146992</v>
      </c>
      <c r="J115" s="9">
        <f t="shared" si="9"/>
        <v>5056.3934914906795</v>
      </c>
      <c r="K115" s="9">
        <f t="shared" si="10"/>
        <v>705.27466977146992</v>
      </c>
      <c r="L115" s="10">
        <f t="shared" si="7"/>
        <v>0.13948176125105077</v>
      </c>
      <c r="M115" s="10">
        <f t="shared" si="11"/>
        <v>0.14091462994809067</v>
      </c>
      <c r="P115" s="8">
        <f t="shared" si="12"/>
        <v>-0.57727788976088412</v>
      </c>
      <c r="X115" s="8">
        <v>-13</v>
      </c>
    </row>
    <row r="116" spans="1:24" x14ac:dyDescent="0.2">
      <c r="A116" s="8">
        <v>57</v>
      </c>
      <c r="B116" s="8">
        <v>114</v>
      </c>
      <c r="D116">
        <v>5105.3295128939999</v>
      </c>
      <c r="E116">
        <v>817.87774594077996</v>
      </c>
      <c r="F116">
        <v>142.02977905860001</v>
      </c>
      <c r="G116">
        <v>117.0730067243</v>
      </c>
      <c r="I116" s="9">
        <f t="shared" si="8"/>
        <v>700.8047392164799</v>
      </c>
      <c r="J116" s="9">
        <f t="shared" si="9"/>
        <v>4963.2997338353998</v>
      </c>
      <c r="K116" s="9">
        <f t="shared" si="10"/>
        <v>700.8047392164799</v>
      </c>
      <c r="L116" s="10">
        <f t="shared" si="7"/>
        <v>0.14119734386360172</v>
      </c>
      <c r="M116" s="10">
        <f t="shared" si="11"/>
        <v>0.14264289281459772</v>
      </c>
      <c r="P116" s="8">
        <f t="shared" si="12"/>
        <v>0.6421029422611142</v>
      </c>
      <c r="X116" s="8">
        <v>-13</v>
      </c>
    </row>
    <row r="117" spans="1:24" x14ac:dyDescent="0.2">
      <c r="A117" s="8">
        <v>57.5</v>
      </c>
      <c r="B117" s="8">
        <v>115</v>
      </c>
      <c r="D117">
        <v>5234.606903164</v>
      </c>
      <c r="E117">
        <v>843.22435282838001</v>
      </c>
      <c r="F117">
        <v>141.83573487032001</v>
      </c>
      <c r="G117">
        <v>116.97694524496001</v>
      </c>
      <c r="I117" s="9">
        <f t="shared" si="8"/>
        <v>726.24740758342</v>
      </c>
      <c r="J117" s="9">
        <f t="shared" si="9"/>
        <v>5092.7711682936797</v>
      </c>
      <c r="K117" s="9">
        <f t="shared" si="10"/>
        <v>726.24740758342</v>
      </c>
      <c r="L117" s="10">
        <f t="shared" si="7"/>
        <v>0.14260358134778464</v>
      </c>
      <c r="M117" s="10">
        <f t="shared" si="11"/>
        <v>0.14406181055273676</v>
      </c>
      <c r="P117" s="8">
        <f t="shared" si="12"/>
        <v>1.6432244299892123</v>
      </c>
      <c r="X117" s="8">
        <v>-13</v>
      </c>
    </row>
    <row r="118" spans="1:24" x14ac:dyDescent="0.2">
      <c r="A118" s="8">
        <v>58</v>
      </c>
      <c r="B118" s="8">
        <v>116</v>
      </c>
      <c r="D118">
        <v>5246.5900383141998</v>
      </c>
      <c r="E118">
        <v>846.85919540229997</v>
      </c>
      <c r="F118">
        <v>142.3967339097</v>
      </c>
      <c r="G118">
        <v>116.93563880884</v>
      </c>
      <c r="I118" s="9">
        <f t="shared" si="8"/>
        <v>729.92355659346003</v>
      </c>
      <c r="J118" s="9">
        <f t="shared" si="9"/>
        <v>5104.1933044044999</v>
      </c>
      <c r="K118" s="9">
        <f t="shared" si="10"/>
        <v>729.92355659346003</v>
      </c>
      <c r="L118" s="10">
        <f t="shared" si="7"/>
        <v>0.14300468517984927</v>
      </c>
      <c r="M118" s="10">
        <f t="shared" si="11"/>
        <v>0.14447559463875748</v>
      </c>
      <c r="P118" s="8">
        <f t="shared" si="12"/>
        <v>1.9351709809841799</v>
      </c>
      <c r="X118" s="8">
        <v>-13</v>
      </c>
    </row>
    <row r="119" spans="1:24" x14ac:dyDescent="0.2">
      <c r="A119" s="8">
        <v>58.5</v>
      </c>
      <c r="B119" s="8">
        <v>117</v>
      </c>
      <c r="D119">
        <v>5136.3630268199004</v>
      </c>
      <c r="E119">
        <v>818.81896551724003</v>
      </c>
      <c r="F119">
        <v>141.74735830931999</v>
      </c>
      <c r="G119">
        <v>116.84149855907999</v>
      </c>
      <c r="I119" s="9">
        <f t="shared" si="8"/>
        <v>701.97746695815999</v>
      </c>
      <c r="J119" s="9">
        <f t="shared" si="9"/>
        <v>4994.6156685105807</v>
      </c>
      <c r="K119" s="9">
        <f t="shared" si="10"/>
        <v>701.97746695815999</v>
      </c>
      <c r="L119" s="10">
        <f t="shared" si="7"/>
        <v>0.14054684355072572</v>
      </c>
      <c r="M119" s="10">
        <f t="shared" si="11"/>
        <v>0.14203043326359005</v>
      </c>
      <c r="P119" s="8">
        <f t="shared" si="12"/>
        <v>0.20998034600529489</v>
      </c>
      <c r="X119" s="8">
        <v>-13</v>
      </c>
    </row>
    <row r="120" spans="1:24" x14ac:dyDescent="0.2">
      <c r="A120" s="8">
        <v>59</v>
      </c>
      <c r="B120" s="8">
        <v>118</v>
      </c>
      <c r="D120">
        <v>5185.7701149425002</v>
      </c>
      <c r="E120">
        <v>820.67432950192006</v>
      </c>
      <c r="F120">
        <v>141.78578290106</v>
      </c>
      <c r="G120">
        <v>116.65417867435001</v>
      </c>
      <c r="I120" s="9">
        <f t="shared" si="8"/>
        <v>704.02015082757009</v>
      </c>
      <c r="J120" s="9">
        <f t="shared" si="9"/>
        <v>5043.9843320414402</v>
      </c>
      <c r="K120" s="9">
        <f t="shared" si="10"/>
        <v>704.02015082757009</v>
      </c>
      <c r="L120" s="10">
        <f t="shared" si="7"/>
        <v>0.13957619700666946</v>
      </c>
      <c r="M120" s="10">
        <f t="shared" si="11"/>
        <v>0.14107246697348988</v>
      </c>
      <c r="P120" s="8">
        <f t="shared" si="12"/>
        <v>-0.46591552290974447</v>
      </c>
      <c r="X120" s="8">
        <v>-13</v>
      </c>
    </row>
    <row r="121" spans="1:24" x14ac:dyDescent="0.2">
      <c r="A121" s="8">
        <v>59.5</v>
      </c>
      <c r="B121" s="8">
        <v>119</v>
      </c>
      <c r="D121">
        <v>5004.1293103447997</v>
      </c>
      <c r="E121">
        <v>798.04789272030996</v>
      </c>
      <c r="F121">
        <v>141.98943323726999</v>
      </c>
      <c r="G121">
        <v>117.14889529299001</v>
      </c>
      <c r="I121" s="9">
        <f t="shared" si="8"/>
        <v>680.89899742731996</v>
      </c>
      <c r="J121" s="9">
        <f t="shared" si="9"/>
        <v>4862.1398771075301</v>
      </c>
      <c r="K121" s="9">
        <f t="shared" si="10"/>
        <v>680.89899742731996</v>
      </c>
      <c r="L121" s="10">
        <f t="shared" si="7"/>
        <v>0.14004101375881936</v>
      </c>
      <c r="M121" s="10">
        <f t="shared" si="11"/>
        <v>0.14154996397959591</v>
      </c>
      <c r="P121" s="8">
        <f t="shared" si="12"/>
        <v>-0.12901613805496562</v>
      </c>
      <c r="X121" s="8">
        <v>-13</v>
      </c>
    </row>
    <row r="122" spans="1:24" x14ac:dyDescent="0.2">
      <c r="A122" s="8">
        <v>60</v>
      </c>
      <c r="B122" s="8">
        <v>120</v>
      </c>
      <c r="D122">
        <v>5036.2068965517001</v>
      </c>
      <c r="E122">
        <v>807.6877394636</v>
      </c>
      <c r="F122">
        <v>141.79250720460999</v>
      </c>
      <c r="G122">
        <v>116.83285302594</v>
      </c>
      <c r="I122" s="9">
        <f t="shared" si="8"/>
        <v>690.85488643765996</v>
      </c>
      <c r="J122" s="9">
        <f t="shared" si="9"/>
        <v>4894.41438934709</v>
      </c>
      <c r="K122" s="9">
        <f t="shared" si="10"/>
        <v>690.85488643765996</v>
      </c>
      <c r="L122" s="10">
        <f t="shared" si="7"/>
        <v>0.14115169486697657</v>
      </c>
      <c r="M122" s="10">
        <f t="shared" si="11"/>
        <v>0.14267332534170921</v>
      </c>
      <c r="P122" s="8">
        <f t="shared" si="12"/>
        <v>0.66357469921944134</v>
      </c>
      <c r="X122" s="8">
        <v>-13</v>
      </c>
    </row>
    <row r="123" spans="1:24" x14ac:dyDescent="0.2">
      <c r="A123" s="8">
        <v>60.5</v>
      </c>
      <c r="B123" s="8">
        <v>121</v>
      </c>
      <c r="D123">
        <v>5063.5258620690001</v>
      </c>
      <c r="E123">
        <v>809.03831417624997</v>
      </c>
      <c r="F123">
        <v>141.48991354467</v>
      </c>
      <c r="G123">
        <v>116.89913544669</v>
      </c>
      <c r="I123" s="9">
        <f t="shared" si="8"/>
        <v>692.13917872955994</v>
      </c>
      <c r="J123" s="9">
        <f t="shared" si="9"/>
        <v>4922.0359485243298</v>
      </c>
      <c r="K123" s="9">
        <f t="shared" si="10"/>
        <v>692.13917872955994</v>
      </c>
      <c r="L123" s="10">
        <f t="shared" si="7"/>
        <v>0.14062050459771011</v>
      </c>
      <c r="M123" s="10">
        <f t="shared" si="11"/>
        <v>0.14215481532639884</v>
      </c>
      <c r="P123" s="8">
        <f t="shared" si="12"/>
        <v>0.2977384678602954</v>
      </c>
      <c r="X123" s="8">
        <v>-13</v>
      </c>
    </row>
    <row r="124" spans="1:24" x14ac:dyDescent="0.2">
      <c r="A124" s="8">
        <v>61</v>
      </c>
      <c r="B124" s="8">
        <v>122</v>
      </c>
      <c r="D124">
        <v>5047.9827586207002</v>
      </c>
      <c r="E124">
        <v>808.89463601532998</v>
      </c>
      <c r="F124">
        <v>140.96926032661</v>
      </c>
      <c r="G124">
        <v>116.91258405379</v>
      </c>
      <c r="I124" s="9">
        <f t="shared" si="8"/>
        <v>691.98205196154004</v>
      </c>
      <c r="J124" s="9">
        <f t="shared" si="9"/>
        <v>4907.0134982940899</v>
      </c>
      <c r="K124" s="9">
        <f t="shared" si="10"/>
        <v>691.98205196154004</v>
      </c>
      <c r="L124" s="10">
        <f t="shared" si="7"/>
        <v>0.14101898276866484</v>
      </c>
      <c r="M124" s="10">
        <f t="shared" si="11"/>
        <v>0.14256597375130969</v>
      </c>
      <c r="P124" s="8">
        <f t="shared" si="12"/>
        <v>0.58783247611375899</v>
      </c>
      <c r="X124" s="8">
        <v>-13</v>
      </c>
    </row>
    <row r="125" spans="1:24" x14ac:dyDescent="0.2">
      <c r="A125" s="8">
        <v>61.5</v>
      </c>
      <c r="B125" s="8">
        <v>123</v>
      </c>
      <c r="D125">
        <v>5049.3093869732002</v>
      </c>
      <c r="E125">
        <v>810.98659003831006</v>
      </c>
      <c r="F125">
        <v>141.90874159462001</v>
      </c>
      <c r="G125">
        <v>116.61767531220001</v>
      </c>
      <c r="I125" s="9">
        <f t="shared" si="8"/>
        <v>694.36891472611001</v>
      </c>
      <c r="J125" s="9">
        <f t="shared" si="9"/>
        <v>4907.4006453785805</v>
      </c>
      <c r="K125" s="9">
        <f t="shared" si="10"/>
        <v>694.36891472611001</v>
      </c>
      <c r="L125" s="10">
        <f t="shared" si="7"/>
        <v>0.14149423796893662</v>
      </c>
      <c r="M125" s="10">
        <f t="shared" si="11"/>
        <v>0.14305390920553757</v>
      </c>
      <c r="P125" s="8">
        <f t="shared" si="12"/>
        <v>0.93209673803817084</v>
      </c>
      <c r="X125" s="8">
        <v>-13</v>
      </c>
    </row>
    <row r="126" spans="1:24" x14ac:dyDescent="0.2">
      <c r="A126" s="8">
        <v>62</v>
      </c>
      <c r="B126" s="8">
        <v>124</v>
      </c>
      <c r="D126">
        <v>5036.179118774</v>
      </c>
      <c r="E126">
        <v>801.34482758621004</v>
      </c>
      <c r="F126">
        <v>141.76753121997999</v>
      </c>
      <c r="G126">
        <v>117.00192122959</v>
      </c>
      <c r="I126" s="9">
        <f t="shared" si="8"/>
        <v>684.34290635662001</v>
      </c>
      <c r="J126" s="9">
        <f t="shared" si="9"/>
        <v>4894.4115875540201</v>
      </c>
      <c r="K126" s="9">
        <f t="shared" si="10"/>
        <v>684.34290635662001</v>
      </c>
      <c r="L126" s="10">
        <f t="shared" si="7"/>
        <v>0.13982128272514574</v>
      </c>
      <c r="M126" s="10">
        <f t="shared" si="11"/>
        <v>0.14139363421570281</v>
      </c>
      <c r="P126" s="8">
        <f t="shared" si="12"/>
        <v>-0.23931505221901189</v>
      </c>
      <c r="X126" s="8">
        <v>-13</v>
      </c>
    </row>
    <row r="127" spans="1:24" x14ac:dyDescent="0.2">
      <c r="A127" s="8">
        <v>62.5</v>
      </c>
      <c r="B127" s="8">
        <v>125</v>
      </c>
      <c r="D127">
        <v>5054.9224137930996</v>
      </c>
      <c r="E127">
        <v>804.44731800765999</v>
      </c>
      <c r="F127">
        <v>142.04034582132999</v>
      </c>
      <c r="G127">
        <v>116.78194044188</v>
      </c>
      <c r="I127" s="9">
        <f t="shared" si="8"/>
        <v>687.66537756577998</v>
      </c>
      <c r="J127" s="9">
        <f t="shared" si="9"/>
        <v>4912.8820679717701</v>
      </c>
      <c r="K127" s="9">
        <f t="shared" si="10"/>
        <v>687.66537756577998</v>
      </c>
      <c r="L127" s="10">
        <f t="shared" si="7"/>
        <v>0.13997188779450492</v>
      </c>
      <c r="M127" s="10">
        <f t="shared" si="11"/>
        <v>0.14155691953901808</v>
      </c>
      <c r="P127" s="8">
        <f t="shared" si="12"/>
        <v>-0.12410862311625967</v>
      </c>
      <c r="X127" s="8">
        <v>-13</v>
      </c>
    </row>
    <row r="128" spans="1:24" x14ac:dyDescent="0.2">
      <c r="A128" s="8">
        <v>63</v>
      </c>
      <c r="B128" s="8">
        <v>126</v>
      </c>
      <c r="D128">
        <v>4761.7556818182002</v>
      </c>
      <c r="E128">
        <v>756.56818181818005</v>
      </c>
      <c r="F128">
        <v>142.23150816523</v>
      </c>
      <c r="G128">
        <v>116.84630163305</v>
      </c>
      <c r="I128" s="9">
        <f t="shared" si="8"/>
        <v>639.72188018513009</v>
      </c>
      <c r="J128" s="9">
        <f t="shared" si="9"/>
        <v>4619.5241736529706</v>
      </c>
      <c r="K128" s="9">
        <f t="shared" si="10"/>
        <v>639.72188018513009</v>
      </c>
      <c r="L128" s="10">
        <f t="shared" si="7"/>
        <v>0.13848220209209527</v>
      </c>
      <c r="M128" s="10">
        <f t="shared" si="11"/>
        <v>0.14007991409056456</v>
      </c>
      <c r="P128" s="8">
        <f t="shared" si="12"/>
        <v>-1.1662140617850421</v>
      </c>
      <c r="X128" s="8">
        <v>-13</v>
      </c>
    </row>
    <row r="129" spans="1:24" x14ac:dyDescent="0.2">
      <c r="A129" s="8">
        <v>63.5</v>
      </c>
      <c r="B129" s="8">
        <v>127</v>
      </c>
      <c r="D129">
        <v>4692.8285984848999</v>
      </c>
      <c r="E129">
        <v>744.78882575757996</v>
      </c>
      <c r="F129">
        <v>142.17387127762001</v>
      </c>
      <c r="G129">
        <v>117.1171950048</v>
      </c>
      <c r="I129" s="9">
        <f t="shared" si="8"/>
        <v>627.67163075277995</v>
      </c>
      <c r="J129" s="9">
        <f t="shared" si="9"/>
        <v>4550.6547272072803</v>
      </c>
      <c r="K129" s="9">
        <f t="shared" si="10"/>
        <v>627.67163075277995</v>
      </c>
      <c r="L129" s="10">
        <f t="shared" si="7"/>
        <v>0.13792996137458657</v>
      </c>
      <c r="M129" s="10">
        <f t="shared" si="11"/>
        <v>0.13954035362701195</v>
      </c>
      <c r="P129" s="8">
        <f t="shared" si="12"/>
        <v>-1.5469024973947727</v>
      </c>
      <c r="X129" s="8">
        <v>-13</v>
      </c>
    </row>
    <row r="130" spans="1:24" x14ac:dyDescent="0.2">
      <c r="A130" s="8">
        <v>64</v>
      </c>
      <c r="B130" s="8">
        <v>128</v>
      </c>
      <c r="D130">
        <v>5357.1110056926</v>
      </c>
      <c r="E130">
        <v>854.30929791271001</v>
      </c>
      <c r="F130">
        <v>141.86263208452999</v>
      </c>
      <c r="G130">
        <v>116.98078770412999</v>
      </c>
      <c r="I130" s="9">
        <f t="shared" si="8"/>
        <v>737.32851020858004</v>
      </c>
      <c r="J130" s="9">
        <f t="shared" si="9"/>
        <v>5215.2483736080703</v>
      </c>
      <c r="K130" s="9">
        <f t="shared" si="10"/>
        <v>737.32851020858004</v>
      </c>
      <c r="L130" s="10">
        <f t="shared" ref="L130:L193" si="14">K130/J130</f>
        <v>0.14137936630973402</v>
      </c>
      <c r="M130" s="10">
        <f t="shared" si="11"/>
        <v>0.14300243881611549</v>
      </c>
      <c r="P130" s="8">
        <f t="shared" si="12"/>
        <v>0.89578165686950917</v>
      </c>
      <c r="X130" s="8">
        <v>-13</v>
      </c>
    </row>
    <row r="131" spans="1:24" x14ac:dyDescent="0.2">
      <c r="A131" s="8">
        <v>64.5</v>
      </c>
      <c r="B131" s="8">
        <v>129</v>
      </c>
      <c r="D131">
        <v>5109.6252390056998</v>
      </c>
      <c r="E131">
        <v>807.86902485660005</v>
      </c>
      <c r="F131">
        <v>141.62824207493</v>
      </c>
      <c r="G131">
        <v>116.46685878963</v>
      </c>
      <c r="I131" s="9">
        <f t="shared" ref="I131:I194" si="15">E131-G131</f>
        <v>691.40216606697004</v>
      </c>
      <c r="J131" s="9">
        <f t="shared" ref="J131:J194" si="16">D131-F131</f>
        <v>4967.9969969307695</v>
      </c>
      <c r="K131" s="9">
        <f t="shared" ref="K131:K194" si="17">I131*1</f>
        <v>691.40216606697004</v>
      </c>
      <c r="L131" s="10">
        <f t="shared" si="14"/>
        <v>0.13917121256194773</v>
      </c>
      <c r="M131" s="10">
        <f t="shared" ref="M131:M181" si="18">L131+ABS($N$2)*A131</f>
        <v>0.14080696532228532</v>
      </c>
      <c r="P131" s="8">
        <f t="shared" ref="P131:P194" si="19">(M131-$O$2)/$O$2*100</f>
        <v>-0.65324097589674035</v>
      </c>
      <c r="X131" s="8">
        <v>-13</v>
      </c>
    </row>
    <row r="132" spans="1:24" x14ac:dyDescent="0.2">
      <c r="A132" s="8">
        <v>65</v>
      </c>
      <c r="B132" s="8">
        <v>130</v>
      </c>
      <c r="D132">
        <v>5076.0602294455002</v>
      </c>
      <c r="E132">
        <v>811.31070745698003</v>
      </c>
      <c r="F132">
        <v>141.22286263209</v>
      </c>
      <c r="G132">
        <v>116.51488952930001</v>
      </c>
      <c r="I132" s="9">
        <f t="shared" si="15"/>
        <v>694.79581792767999</v>
      </c>
      <c r="J132" s="9">
        <f t="shared" si="16"/>
        <v>4934.83736681341</v>
      </c>
      <c r="K132" s="9">
        <f t="shared" si="17"/>
        <v>694.79581792767999</v>
      </c>
      <c r="L132" s="10">
        <f t="shared" si="14"/>
        <v>0.14079406600107128</v>
      </c>
      <c r="M132" s="10">
        <f t="shared" si="18"/>
        <v>0.14244249901536496</v>
      </c>
      <c r="P132" s="8">
        <f t="shared" si="19"/>
        <v>0.50071452133510552</v>
      </c>
      <c r="X132" s="8">
        <v>-13</v>
      </c>
    </row>
    <row r="133" spans="1:24" x14ac:dyDescent="0.2">
      <c r="A133" s="8">
        <v>65.5</v>
      </c>
      <c r="B133" s="8">
        <v>131</v>
      </c>
      <c r="D133">
        <v>5120.3604206501004</v>
      </c>
      <c r="E133">
        <v>810.99139579350003</v>
      </c>
      <c r="F133">
        <v>141.03842459174001</v>
      </c>
      <c r="G133">
        <v>116.40537944284</v>
      </c>
      <c r="I133" s="9">
        <f t="shared" si="15"/>
        <v>694.58601635065997</v>
      </c>
      <c r="J133" s="9">
        <f t="shared" si="16"/>
        <v>4979.3219960583601</v>
      </c>
      <c r="K133" s="9">
        <f t="shared" si="17"/>
        <v>694.58601635065997</v>
      </c>
      <c r="L133" s="10">
        <f t="shared" si="14"/>
        <v>0.13949409516004296</v>
      </c>
      <c r="M133" s="10">
        <f t="shared" si="18"/>
        <v>0.14115520842829277</v>
      </c>
      <c r="P133" s="8">
        <f t="shared" si="19"/>
        <v>-0.40753705169710502</v>
      </c>
      <c r="X133" s="8">
        <v>-13</v>
      </c>
    </row>
    <row r="134" spans="1:24" x14ac:dyDescent="0.2">
      <c r="A134" s="8">
        <v>66</v>
      </c>
      <c r="B134" s="8">
        <v>132</v>
      </c>
      <c r="D134">
        <v>5006.2370936902998</v>
      </c>
      <c r="E134">
        <v>781.28585086042006</v>
      </c>
      <c r="F134">
        <v>141.11239193084</v>
      </c>
      <c r="G134">
        <v>116.97886647454</v>
      </c>
      <c r="I134" s="9">
        <f t="shared" si="15"/>
        <v>664.30698438588001</v>
      </c>
      <c r="J134" s="9">
        <f t="shared" si="16"/>
        <v>4865.1247017594596</v>
      </c>
      <c r="K134" s="9">
        <f t="shared" si="17"/>
        <v>664.30698438588001</v>
      </c>
      <c r="L134" s="10">
        <f t="shared" si="14"/>
        <v>0.13654469825729959</v>
      </c>
      <c r="M134" s="10">
        <f t="shared" si="18"/>
        <v>0.13821849177950549</v>
      </c>
      <c r="P134" s="8">
        <f t="shared" si="19"/>
        <v>-2.4795459225747916</v>
      </c>
      <c r="X134" s="8">
        <v>-13</v>
      </c>
    </row>
    <row r="135" spans="1:24" x14ac:dyDescent="0.2">
      <c r="A135" s="8">
        <v>66.5</v>
      </c>
      <c r="B135" s="8">
        <v>133</v>
      </c>
      <c r="D135">
        <v>5106.8432122370996</v>
      </c>
      <c r="E135">
        <v>809.12237093689998</v>
      </c>
      <c r="F135">
        <v>141.26993275696</v>
      </c>
      <c r="G135">
        <v>116.9702209414</v>
      </c>
      <c r="I135" s="9">
        <f t="shared" si="15"/>
        <v>692.15214999549994</v>
      </c>
      <c r="J135" s="9">
        <f t="shared" si="16"/>
        <v>4965.5732794801397</v>
      </c>
      <c r="K135" s="9">
        <f t="shared" si="17"/>
        <v>692.15214999549994</v>
      </c>
      <c r="L135" s="10">
        <f t="shared" si="14"/>
        <v>0.13939017934862968</v>
      </c>
      <c r="M135" s="10">
        <f t="shared" si="18"/>
        <v>0.1410766531247917</v>
      </c>
      <c r="P135" s="8">
        <f t="shared" si="19"/>
        <v>-0.46296197182888277</v>
      </c>
      <c r="X135" s="8">
        <v>-13</v>
      </c>
    </row>
    <row r="136" spans="1:24" x14ac:dyDescent="0.2">
      <c r="A136" s="8">
        <v>67</v>
      </c>
      <c r="B136" s="8">
        <v>134</v>
      </c>
      <c r="D136">
        <v>5148.0898661567999</v>
      </c>
      <c r="E136">
        <v>815.48087954110997</v>
      </c>
      <c r="F136">
        <v>141.10566762728001</v>
      </c>
      <c r="G136">
        <v>116.58405379443001</v>
      </c>
      <c r="I136" s="9">
        <f t="shared" si="15"/>
        <v>698.89682574667995</v>
      </c>
      <c r="J136" s="9">
        <f t="shared" si="16"/>
        <v>5006.9841985295197</v>
      </c>
      <c r="K136" s="9">
        <f t="shared" si="17"/>
        <v>698.89682574667995</v>
      </c>
      <c r="L136" s="10">
        <f t="shared" si="14"/>
        <v>0.13958438813366658</v>
      </c>
      <c r="M136" s="10">
        <f t="shared" si="18"/>
        <v>0.14128354216378469</v>
      </c>
      <c r="P136" s="8">
        <f t="shared" si="19"/>
        <v>-0.31699081582448596</v>
      </c>
      <c r="X136" s="8">
        <v>-13</v>
      </c>
    </row>
    <row r="137" spans="1:24" x14ac:dyDescent="0.2">
      <c r="A137" s="8">
        <v>67.5</v>
      </c>
      <c r="B137" s="8">
        <v>135</v>
      </c>
      <c r="D137">
        <v>5163.2413793103997</v>
      </c>
      <c r="E137">
        <v>815.70498084291</v>
      </c>
      <c r="F137">
        <v>141.17002881843999</v>
      </c>
      <c r="G137">
        <v>116.53506243996</v>
      </c>
      <c r="I137" s="9">
        <f t="shared" si="15"/>
        <v>699.16991840294997</v>
      </c>
      <c r="J137" s="9">
        <f t="shared" si="16"/>
        <v>5022.0713504919595</v>
      </c>
      <c r="K137" s="9">
        <f t="shared" si="17"/>
        <v>699.16991840294997</v>
      </c>
      <c r="L137" s="10">
        <f t="shared" si="14"/>
        <v>0.13921943150697363</v>
      </c>
      <c r="M137" s="10">
        <f t="shared" si="18"/>
        <v>0.14093126579104784</v>
      </c>
      <c r="P137" s="8">
        <f t="shared" si="19"/>
        <v>-0.56554042295556439</v>
      </c>
      <c r="X137" s="8">
        <v>-13</v>
      </c>
    </row>
    <row r="138" spans="1:24" x14ac:dyDescent="0.2">
      <c r="A138" s="8">
        <v>68</v>
      </c>
      <c r="B138" s="8">
        <v>136</v>
      </c>
      <c r="D138">
        <v>5110.8055555556002</v>
      </c>
      <c r="E138">
        <v>809.70402298851002</v>
      </c>
      <c r="F138">
        <v>140.89433237271999</v>
      </c>
      <c r="G138">
        <v>116.62439961574999</v>
      </c>
      <c r="I138" s="9">
        <f t="shared" si="15"/>
        <v>693.07962337276001</v>
      </c>
      <c r="J138" s="9">
        <f t="shared" si="16"/>
        <v>4969.9112231828803</v>
      </c>
      <c r="K138" s="9">
        <f t="shared" si="17"/>
        <v>693.07962337276001</v>
      </c>
      <c r="L138" s="10">
        <f t="shared" si="14"/>
        <v>0.13945513154033584</v>
      </c>
      <c r="M138" s="10">
        <f t="shared" si="18"/>
        <v>0.14117964607836617</v>
      </c>
      <c r="P138" s="8">
        <f t="shared" si="19"/>
        <v>-0.39029499746065038</v>
      </c>
      <c r="X138" s="8">
        <v>-13</v>
      </c>
    </row>
    <row r="139" spans="1:24" x14ac:dyDescent="0.2">
      <c r="A139" s="8">
        <v>68.5</v>
      </c>
      <c r="B139" s="8">
        <v>137</v>
      </c>
      <c r="D139">
        <v>5147.9281609195004</v>
      </c>
      <c r="E139">
        <v>817.06417624520998</v>
      </c>
      <c r="F139">
        <v>141.30355427474001</v>
      </c>
      <c r="G139">
        <v>116.62343900096</v>
      </c>
      <c r="I139" s="9">
        <f t="shared" si="15"/>
        <v>700.44073724424993</v>
      </c>
      <c r="J139" s="9">
        <f t="shared" si="16"/>
        <v>5006.6246066447602</v>
      </c>
      <c r="K139" s="9">
        <f t="shared" si="17"/>
        <v>700.44073724424993</v>
      </c>
      <c r="L139" s="10">
        <f t="shared" si="14"/>
        <v>0.13990278726202668</v>
      </c>
      <c r="M139" s="10">
        <f t="shared" si="18"/>
        <v>0.1416399820540131</v>
      </c>
      <c r="P139" s="8">
        <f t="shared" si="19"/>
        <v>-6.5503626962425496E-2</v>
      </c>
      <c r="X139" s="8">
        <v>-13</v>
      </c>
    </row>
    <row r="140" spans="1:24" x14ac:dyDescent="0.2">
      <c r="A140" s="8">
        <v>69</v>
      </c>
      <c r="B140" s="8">
        <v>138</v>
      </c>
      <c r="D140">
        <v>5379.0939278937003</v>
      </c>
      <c r="E140">
        <v>838.29127134725002</v>
      </c>
      <c r="F140">
        <v>142.26801152738</v>
      </c>
      <c r="G140">
        <v>116.79346781940001</v>
      </c>
      <c r="I140" s="9">
        <f t="shared" si="15"/>
        <v>721.49780352785001</v>
      </c>
      <c r="J140" s="9">
        <f t="shared" si="16"/>
        <v>5236.8259163663206</v>
      </c>
      <c r="K140" s="9">
        <f t="shared" si="17"/>
        <v>721.49780352785001</v>
      </c>
      <c r="L140" s="10">
        <f t="shared" si="14"/>
        <v>0.13777387582676723</v>
      </c>
      <c r="M140" s="10">
        <f t="shared" si="18"/>
        <v>0.13952375087270977</v>
      </c>
      <c r="P140" s="8">
        <f t="shared" si="19"/>
        <v>-1.5586166184044814</v>
      </c>
      <c r="X140" s="8">
        <v>-13</v>
      </c>
    </row>
    <row r="141" spans="1:24" x14ac:dyDescent="0.2">
      <c r="A141" s="8">
        <v>69.5</v>
      </c>
      <c r="B141" s="8">
        <v>139</v>
      </c>
      <c r="D141">
        <v>5492.7555129434004</v>
      </c>
      <c r="E141">
        <v>859.68935762223998</v>
      </c>
      <c r="F141">
        <v>141.70028818444001</v>
      </c>
      <c r="G141">
        <v>117.03554274736</v>
      </c>
      <c r="I141" s="9">
        <f t="shared" si="15"/>
        <v>742.65381487488003</v>
      </c>
      <c r="J141" s="9">
        <f t="shared" si="16"/>
        <v>5351.0552247589603</v>
      </c>
      <c r="K141" s="9">
        <f t="shared" si="17"/>
        <v>742.65381487488003</v>
      </c>
      <c r="L141" s="10">
        <f t="shared" si="14"/>
        <v>0.13878642317849244</v>
      </c>
      <c r="M141" s="10">
        <f t="shared" si="18"/>
        <v>0.14054897847839107</v>
      </c>
      <c r="P141" s="8">
        <f t="shared" si="19"/>
        <v>-0.83526433499042829</v>
      </c>
      <c r="X141" s="8">
        <v>-13</v>
      </c>
    </row>
    <row r="142" spans="1:24" x14ac:dyDescent="0.2">
      <c r="A142" s="8">
        <v>70</v>
      </c>
      <c r="B142" s="8">
        <v>140</v>
      </c>
      <c r="D142">
        <v>5147.7048249764002</v>
      </c>
      <c r="E142">
        <v>804.66130558184</v>
      </c>
      <c r="F142">
        <v>140.76753121997999</v>
      </c>
      <c r="G142">
        <v>116.50336215178</v>
      </c>
      <c r="I142" s="9">
        <f t="shared" si="15"/>
        <v>688.15794343005996</v>
      </c>
      <c r="J142" s="9">
        <f t="shared" si="16"/>
        <v>5006.9372937564203</v>
      </c>
      <c r="K142" s="9">
        <f t="shared" si="17"/>
        <v>688.15794343005996</v>
      </c>
      <c r="L142" s="10">
        <f t="shared" si="14"/>
        <v>0.13744089511330274</v>
      </c>
      <c r="M142" s="10">
        <f t="shared" si="18"/>
        <v>0.13921613066715749</v>
      </c>
      <c r="P142" s="8">
        <f t="shared" si="19"/>
        <v>-1.77565893844879</v>
      </c>
      <c r="X142" s="8">
        <v>-13</v>
      </c>
    </row>
    <row r="143" spans="1:24" x14ac:dyDescent="0.2">
      <c r="A143" s="8">
        <v>70.5</v>
      </c>
      <c r="B143" s="8">
        <v>141</v>
      </c>
      <c r="D143">
        <v>4891.1219047618997</v>
      </c>
      <c r="E143">
        <v>774.83619047619004</v>
      </c>
      <c r="F143">
        <v>140.80691642651001</v>
      </c>
      <c r="G143">
        <v>116.58117195005001</v>
      </c>
      <c r="I143" s="9">
        <f t="shared" si="15"/>
        <v>658.25501852614002</v>
      </c>
      <c r="J143" s="9">
        <f t="shared" si="16"/>
        <v>4750.3149883353899</v>
      </c>
      <c r="K143" s="9">
        <f t="shared" si="17"/>
        <v>658.25501852614002</v>
      </c>
      <c r="L143" s="10">
        <f t="shared" si="14"/>
        <v>0.1385708148075474</v>
      </c>
      <c r="M143" s="10">
        <f t="shared" si="18"/>
        <v>0.14035873061535825</v>
      </c>
      <c r="P143" s="8">
        <f t="shared" si="19"/>
        <v>-0.96949426147390494</v>
      </c>
      <c r="X143" s="8">
        <v>-13</v>
      </c>
    </row>
    <row r="144" spans="1:24" x14ac:dyDescent="0.2">
      <c r="A144" s="8">
        <v>71</v>
      </c>
      <c r="B144" s="8">
        <v>142</v>
      </c>
      <c r="D144">
        <v>4933.8476190476003</v>
      </c>
      <c r="E144">
        <v>772.83333333332996</v>
      </c>
      <c r="F144">
        <v>141.33525456292</v>
      </c>
      <c r="G144">
        <v>115.94716618635999</v>
      </c>
      <c r="I144" s="9">
        <f t="shared" si="15"/>
        <v>656.88616714696991</v>
      </c>
      <c r="J144" s="9">
        <f t="shared" si="16"/>
        <v>4792.5123644846808</v>
      </c>
      <c r="K144" s="9">
        <f t="shared" si="17"/>
        <v>656.88616714696991</v>
      </c>
      <c r="L144" s="10">
        <f t="shared" si="14"/>
        <v>0.13706509596404604</v>
      </c>
      <c r="M144" s="10">
        <f t="shared" si="18"/>
        <v>0.13886569202581298</v>
      </c>
      <c r="P144" s="8">
        <f t="shared" si="19"/>
        <v>-2.022911928914862</v>
      </c>
    </row>
    <row r="145" spans="1:16" x14ac:dyDescent="0.2">
      <c r="A145" s="8">
        <v>71.5</v>
      </c>
      <c r="B145" s="8">
        <v>143</v>
      </c>
      <c r="D145">
        <v>5237.3256924546004</v>
      </c>
      <c r="E145">
        <v>818.57020057307</v>
      </c>
      <c r="F145">
        <v>141.09798270893</v>
      </c>
      <c r="G145">
        <v>117.00480307397</v>
      </c>
      <c r="I145" s="9">
        <f t="shared" si="15"/>
        <v>701.56539749909996</v>
      </c>
      <c r="J145" s="9">
        <f t="shared" si="16"/>
        <v>5096.2277097456699</v>
      </c>
      <c r="K145" s="9">
        <f t="shared" si="17"/>
        <v>701.56539749909996</v>
      </c>
      <c r="L145" s="10">
        <f t="shared" si="14"/>
        <v>0.13766366760996085</v>
      </c>
      <c r="M145" s="10">
        <f t="shared" si="18"/>
        <v>0.13947694392568391</v>
      </c>
      <c r="P145" s="8">
        <f t="shared" si="19"/>
        <v>-1.5916413943890244</v>
      </c>
    </row>
    <row r="146" spans="1:16" x14ac:dyDescent="0.2">
      <c r="A146" s="8">
        <v>72</v>
      </c>
      <c r="B146" s="8">
        <v>144</v>
      </c>
      <c r="D146">
        <v>5085.0792741164996</v>
      </c>
      <c r="E146">
        <v>789.33524355300995</v>
      </c>
      <c r="F146">
        <v>140.98366954850999</v>
      </c>
      <c r="G146">
        <v>116.17579250721001</v>
      </c>
      <c r="I146" s="9">
        <f t="shared" si="15"/>
        <v>673.15945104579998</v>
      </c>
      <c r="J146" s="9">
        <f t="shared" si="16"/>
        <v>4944.0956045679895</v>
      </c>
      <c r="K146" s="9">
        <f t="shared" si="17"/>
        <v>673.15945104579998</v>
      </c>
      <c r="L146" s="10">
        <f t="shared" si="14"/>
        <v>0.13615421401314509</v>
      </c>
      <c r="M146" s="10">
        <f t="shared" si="18"/>
        <v>0.13798017058282425</v>
      </c>
      <c r="P146" s="8">
        <f t="shared" si="19"/>
        <v>-2.6476941277636148</v>
      </c>
    </row>
    <row r="147" spans="1:16" x14ac:dyDescent="0.2">
      <c r="A147" s="8">
        <v>72.5</v>
      </c>
      <c r="B147" s="8">
        <v>145</v>
      </c>
      <c r="D147">
        <v>5147.3228271251</v>
      </c>
      <c r="E147">
        <v>805.80706781280003</v>
      </c>
      <c r="F147">
        <v>140.88568683957999</v>
      </c>
      <c r="G147">
        <v>116.65609990394</v>
      </c>
      <c r="I147" s="9">
        <f t="shared" si="15"/>
        <v>689.15096790886003</v>
      </c>
      <c r="J147" s="9">
        <f t="shared" si="16"/>
        <v>5006.4371402855204</v>
      </c>
      <c r="K147" s="9">
        <f t="shared" si="17"/>
        <v>689.15096790886003</v>
      </c>
      <c r="L147" s="10">
        <f t="shared" si="14"/>
        <v>0.13765297527925363</v>
      </c>
      <c r="M147" s="10">
        <f t="shared" si="18"/>
        <v>0.13949161210288891</v>
      </c>
      <c r="P147" s="8">
        <f t="shared" si="19"/>
        <v>-1.581292219809683</v>
      </c>
    </row>
    <row r="148" spans="1:16" x14ac:dyDescent="0.2">
      <c r="A148" s="8">
        <v>73</v>
      </c>
      <c r="B148" s="8">
        <v>146</v>
      </c>
      <c r="D148">
        <v>5227.8949379179003</v>
      </c>
      <c r="E148">
        <v>816.22540592168002</v>
      </c>
      <c r="F148">
        <v>141.5437079731</v>
      </c>
      <c r="G148">
        <v>116.33909702209</v>
      </c>
      <c r="I148" s="9">
        <f t="shared" si="15"/>
        <v>699.88630889959006</v>
      </c>
      <c r="J148" s="9">
        <f t="shared" si="16"/>
        <v>5086.3512299448003</v>
      </c>
      <c r="K148" s="9">
        <f t="shared" si="17"/>
        <v>699.88630889959006</v>
      </c>
      <c r="L148" s="10">
        <f t="shared" si="14"/>
        <v>0.13760086106110009</v>
      </c>
      <c r="M148" s="10">
        <f t="shared" si="18"/>
        <v>0.13945217813869146</v>
      </c>
      <c r="P148" s="8">
        <f t="shared" si="19"/>
        <v>-1.6091149665716935</v>
      </c>
    </row>
    <row r="149" spans="1:16" x14ac:dyDescent="0.2">
      <c r="A149" s="8">
        <v>73.5</v>
      </c>
      <c r="B149" s="8">
        <v>147</v>
      </c>
      <c r="D149">
        <v>5261.1356255969004</v>
      </c>
      <c r="E149">
        <v>812.90735434575004</v>
      </c>
      <c r="F149">
        <v>141.28722382325</v>
      </c>
      <c r="G149">
        <v>116.37944284341999</v>
      </c>
      <c r="I149" s="9">
        <f t="shared" si="15"/>
        <v>696.52791150233008</v>
      </c>
      <c r="J149" s="9">
        <f t="shared" si="16"/>
        <v>5119.84840177365</v>
      </c>
      <c r="K149" s="9">
        <f t="shared" si="17"/>
        <v>696.52791150233008</v>
      </c>
      <c r="L149" s="10">
        <f t="shared" si="14"/>
        <v>0.13604463586481086</v>
      </c>
      <c r="M149" s="10">
        <f t="shared" si="18"/>
        <v>0.13790863319635835</v>
      </c>
      <c r="P149" s="8">
        <f t="shared" si="19"/>
        <v>-2.6981675363636421</v>
      </c>
    </row>
    <row r="150" spans="1:16" x14ac:dyDescent="0.2">
      <c r="A150" s="8">
        <v>74</v>
      </c>
      <c r="B150" s="8">
        <v>148</v>
      </c>
      <c r="D150">
        <v>5319.3352435529996</v>
      </c>
      <c r="E150">
        <v>818.87679083094997</v>
      </c>
      <c r="F150">
        <v>141.52161383284999</v>
      </c>
      <c r="G150">
        <v>116.79827089337</v>
      </c>
      <c r="I150" s="9">
        <f t="shared" si="15"/>
        <v>702.07851993757993</v>
      </c>
      <c r="J150" s="9">
        <f t="shared" si="16"/>
        <v>5177.8136297201499</v>
      </c>
      <c r="K150" s="9">
        <f t="shared" si="17"/>
        <v>702.07851993757993</v>
      </c>
      <c r="L150" s="10">
        <f t="shared" si="14"/>
        <v>0.13559362505975825</v>
      </c>
      <c r="M150" s="10">
        <f t="shared" si="18"/>
        <v>0.13747030264526183</v>
      </c>
      <c r="P150" s="8">
        <f t="shared" si="19"/>
        <v>-3.0074329163327107</v>
      </c>
    </row>
    <row r="151" spans="1:16" x14ac:dyDescent="0.2">
      <c r="A151" s="8">
        <v>74.5</v>
      </c>
      <c r="B151" s="8">
        <v>149</v>
      </c>
      <c r="D151">
        <v>5532.3371980676002</v>
      </c>
      <c r="E151">
        <v>881.77971014493005</v>
      </c>
      <c r="F151">
        <v>141.76753121997999</v>
      </c>
      <c r="G151">
        <v>116.34678194044</v>
      </c>
      <c r="I151" s="9">
        <f t="shared" si="15"/>
        <v>765.43292820449005</v>
      </c>
      <c r="J151" s="9">
        <f t="shared" si="16"/>
        <v>5390.5696668476203</v>
      </c>
      <c r="K151" s="9">
        <f t="shared" si="17"/>
        <v>765.43292820449005</v>
      </c>
      <c r="L151" s="10">
        <f t="shared" si="14"/>
        <v>0.14199481233160866</v>
      </c>
      <c r="M151" s="10">
        <f t="shared" si="18"/>
        <v>0.14388417017106836</v>
      </c>
      <c r="P151" s="8">
        <f t="shared" si="19"/>
        <v>1.5178897482128775</v>
      </c>
    </row>
    <row r="152" spans="1:16" x14ac:dyDescent="0.2">
      <c r="A152" s="8">
        <v>75</v>
      </c>
      <c r="B152" s="8">
        <v>150</v>
      </c>
      <c r="D152">
        <v>5483.4956521739005</v>
      </c>
      <c r="E152">
        <v>862.87149758453995</v>
      </c>
      <c r="F152">
        <v>141.76464937559999</v>
      </c>
      <c r="G152">
        <v>116.65994236311001</v>
      </c>
      <c r="I152" s="9">
        <f t="shared" si="15"/>
        <v>746.21155522142999</v>
      </c>
      <c r="J152" s="9">
        <f t="shared" si="16"/>
        <v>5341.7310027983003</v>
      </c>
      <c r="K152" s="9">
        <f t="shared" si="17"/>
        <v>746.21155522142999</v>
      </c>
      <c r="L152" s="10">
        <f t="shared" si="14"/>
        <v>0.13969470848129983</v>
      </c>
      <c r="M152" s="10">
        <f t="shared" si="18"/>
        <v>0.14159674657471563</v>
      </c>
      <c r="P152" s="8">
        <f t="shared" si="19"/>
        <v>-9.6008543627773793E-2</v>
      </c>
    </row>
    <row r="153" spans="1:16" x14ac:dyDescent="0.2">
      <c r="A153" s="8">
        <v>75.5</v>
      </c>
      <c r="B153" s="8">
        <v>151</v>
      </c>
      <c r="D153">
        <v>5018.3390970220998</v>
      </c>
      <c r="E153">
        <v>785.84726224784004</v>
      </c>
      <c r="F153">
        <v>140.47166186358999</v>
      </c>
      <c r="G153">
        <v>116.32949087416</v>
      </c>
      <c r="I153" s="9">
        <f t="shared" si="15"/>
        <v>669.51777137368003</v>
      </c>
      <c r="J153" s="9">
        <f t="shared" si="16"/>
        <v>4877.8674351585096</v>
      </c>
      <c r="K153" s="9">
        <f t="shared" si="17"/>
        <v>669.51777137368003</v>
      </c>
      <c r="L153" s="10">
        <f t="shared" si="14"/>
        <v>0.13725624574131617</v>
      </c>
      <c r="M153" s="10">
        <f t="shared" si="18"/>
        <v>0.13917096408868807</v>
      </c>
      <c r="P153" s="8">
        <f t="shared" si="19"/>
        <v>-1.8075263476843684</v>
      </c>
    </row>
    <row r="154" spans="1:16" x14ac:dyDescent="0.2">
      <c r="A154" s="8">
        <v>76</v>
      </c>
      <c r="B154" s="8">
        <v>152</v>
      </c>
      <c r="D154">
        <v>5147.5850144092001</v>
      </c>
      <c r="E154">
        <v>794.06436119115995</v>
      </c>
      <c r="F154">
        <v>141.09510086455001</v>
      </c>
      <c r="G154">
        <v>116.37367915466</v>
      </c>
      <c r="I154" s="9">
        <f t="shared" si="15"/>
        <v>677.69068203649999</v>
      </c>
      <c r="J154" s="9">
        <f t="shared" si="16"/>
        <v>5006.4899135446503</v>
      </c>
      <c r="K154" s="9">
        <f t="shared" si="17"/>
        <v>677.69068203649999</v>
      </c>
      <c r="L154" s="10">
        <f t="shared" si="14"/>
        <v>0.13536243830294417</v>
      </c>
      <c r="M154" s="10">
        <f t="shared" si="18"/>
        <v>0.13728983690427218</v>
      </c>
      <c r="P154" s="8">
        <f t="shared" si="19"/>
        <v>-3.1347610384974698</v>
      </c>
    </row>
    <row r="155" spans="1:16" x14ac:dyDescent="0.2">
      <c r="A155" s="8">
        <v>76.5</v>
      </c>
      <c r="B155" s="8">
        <v>153</v>
      </c>
      <c r="D155">
        <v>5083.1316042266999</v>
      </c>
      <c r="E155">
        <v>796.93563880884005</v>
      </c>
      <c r="F155">
        <v>140.70317002882001</v>
      </c>
      <c r="G155">
        <v>116.06340057637</v>
      </c>
      <c r="I155" s="9">
        <f t="shared" si="15"/>
        <v>680.87223823247007</v>
      </c>
      <c r="J155" s="9">
        <f t="shared" si="16"/>
        <v>4942.4284341978801</v>
      </c>
      <c r="K155" s="9">
        <f t="shared" si="17"/>
        <v>680.87223823247007</v>
      </c>
      <c r="L155" s="10">
        <f t="shared" si="14"/>
        <v>0.13776066710877335</v>
      </c>
      <c r="M155" s="10">
        <f t="shared" si="18"/>
        <v>0.13970074596405746</v>
      </c>
      <c r="P155" s="8">
        <f t="shared" si="19"/>
        <v>-1.4337372230683094</v>
      </c>
    </row>
    <row r="156" spans="1:16" x14ac:dyDescent="0.2">
      <c r="A156" s="8">
        <v>77</v>
      </c>
      <c r="B156" s="8">
        <v>154</v>
      </c>
      <c r="D156">
        <v>5141.1933649289003</v>
      </c>
      <c r="E156">
        <v>799.94502369667998</v>
      </c>
      <c r="F156">
        <v>141.55043227665999</v>
      </c>
      <c r="G156">
        <v>116.30355427473999</v>
      </c>
      <c r="I156" s="9">
        <f t="shared" si="15"/>
        <v>683.64146942193997</v>
      </c>
      <c r="J156" s="9">
        <f t="shared" si="16"/>
        <v>4999.6429326522402</v>
      </c>
      <c r="K156" s="9">
        <f t="shared" si="17"/>
        <v>683.64146942193997</v>
      </c>
      <c r="L156" s="10">
        <f t="shared" si="14"/>
        <v>0.13673805882358839</v>
      </c>
      <c r="M156" s="10">
        <f t="shared" si="18"/>
        <v>0.13869081793282861</v>
      </c>
      <c r="P156" s="8">
        <f t="shared" si="19"/>
        <v>-2.146294847760613</v>
      </c>
    </row>
    <row r="157" spans="1:16" x14ac:dyDescent="0.2">
      <c r="A157" s="8">
        <v>77.5</v>
      </c>
      <c r="B157" s="8">
        <v>155</v>
      </c>
      <c r="D157">
        <v>5315.7428298279001</v>
      </c>
      <c r="E157">
        <v>833.47514340344003</v>
      </c>
      <c r="F157">
        <v>141.72430355428</v>
      </c>
      <c r="G157">
        <v>116.69452449568</v>
      </c>
      <c r="I157" s="9">
        <f t="shared" si="15"/>
        <v>716.78061890776007</v>
      </c>
      <c r="J157" s="9">
        <f t="shared" si="16"/>
        <v>5174.0185262736204</v>
      </c>
      <c r="K157" s="9">
        <f t="shared" si="17"/>
        <v>716.78061890776007</v>
      </c>
      <c r="L157" s="10">
        <f t="shared" si="14"/>
        <v>0.13853460618046773</v>
      </c>
      <c r="M157" s="10">
        <f t="shared" si="18"/>
        <v>0.14050004554366405</v>
      </c>
      <c r="P157" s="8">
        <f t="shared" si="19"/>
        <v>-0.86978910770703732</v>
      </c>
    </row>
    <row r="158" spans="1:16" x14ac:dyDescent="0.2">
      <c r="A158" s="8">
        <v>78</v>
      </c>
      <c r="B158" s="8">
        <v>156</v>
      </c>
      <c r="D158">
        <v>5355.4766888677004</v>
      </c>
      <c r="E158">
        <v>852.73073263559002</v>
      </c>
      <c r="F158">
        <v>141.22478386167001</v>
      </c>
      <c r="G158">
        <v>116.57156580211</v>
      </c>
      <c r="I158" s="9">
        <f t="shared" si="15"/>
        <v>736.15916683347996</v>
      </c>
      <c r="J158" s="9">
        <f t="shared" si="16"/>
        <v>5214.25190500603</v>
      </c>
      <c r="K158" s="9">
        <f t="shared" si="17"/>
        <v>736.15916683347996</v>
      </c>
      <c r="L158" s="10">
        <f t="shared" si="14"/>
        <v>0.14118212549852416</v>
      </c>
      <c r="M158" s="10">
        <f t="shared" si="18"/>
        <v>0.1431602451156766</v>
      </c>
      <c r="P158" s="8">
        <f t="shared" si="19"/>
        <v>1.0071223450172826</v>
      </c>
    </row>
    <row r="159" spans="1:16" x14ac:dyDescent="0.2">
      <c r="A159" s="8">
        <v>78.5</v>
      </c>
      <c r="B159" s="8">
        <v>157</v>
      </c>
      <c r="D159">
        <v>5185.7104506231999</v>
      </c>
      <c r="E159">
        <v>806.88686481304001</v>
      </c>
      <c r="F159">
        <v>141.02785782901</v>
      </c>
      <c r="G159">
        <v>117.01825168108</v>
      </c>
      <c r="I159" s="9">
        <f t="shared" si="15"/>
        <v>689.86861313196005</v>
      </c>
      <c r="J159" s="9">
        <f t="shared" si="16"/>
        <v>5044.68259279419</v>
      </c>
      <c r="K159" s="9">
        <f t="shared" si="17"/>
        <v>689.86861313196005</v>
      </c>
      <c r="L159" s="10">
        <f t="shared" si="14"/>
        <v>0.13675163906592783</v>
      </c>
      <c r="M159" s="10">
        <f t="shared" si="18"/>
        <v>0.13874243893703636</v>
      </c>
      <c r="P159" s="8">
        <f t="shared" si="19"/>
        <v>-2.1098734998970952</v>
      </c>
    </row>
    <row r="160" spans="1:16" x14ac:dyDescent="0.2">
      <c r="A160" s="8">
        <v>79</v>
      </c>
      <c r="B160" s="8">
        <v>158</v>
      </c>
      <c r="D160">
        <v>4968.2183908045999</v>
      </c>
      <c r="E160">
        <v>778.33908045977</v>
      </c>
      <c r="F160">
        <v>140.37944284342001</v>
      </c>
      <c r="G160">
        <v>116.42843419789</v>
      </c>
      <c r="I160" s="9">
        <f t="shared" si="15"/>
        <v>661.91064626187995</v>
      </c>
      <c r="J160" s="9">
        <f t="shared" si="16"/>
        <v>4827.8389479611797</v>
      </c>
      <c r="K160" s="9">
        <f t="shared" si="17"/>
        <v>661.91064626187995</v>
      </c>
      <c r="L160" s="10">
        <f t="shared" si="14"/>
        <v>0.13710288462323461</v>
      </c>
      <c r="M160" s="10">
        <f t="shared" si="18"/>
        <v>0.13910636474829924</v>
      </c>
      <c r="P160" s="8">
        <f t="shared" si="19"/>
        <v>-1.8531045979366594</v>
      </c>
    </row>
    <row r="161" spans="1:16" x14ac:dyDescent="0.2">
      <c r="A161" s="8">
        <v>79.5</v>
      </c>
      <c r="B161" s="8">
        <v>159</v>
      </c>
      <c r="D161">
        <v>5001.0699233716996</v>
      </c>
      <c r="E161">
        <v>785.93199233716996</v>
      </c>
      <c r="F161">
        <v>140.97886647454001</v>
      </c>
      <c r="G161">
        <v>116.26032660903</v>
      </c>
      <c r="I161" s="9">
        <f t="shared" si="15"/>
        <v>669.67166572813994</v>
      </c>
      <c r="J161" s="9">
        <f t="shared" si="16"/>
        <v>4860.0910568971594</v>
      </c>
      <c r="K161" s="9">
        <f t="shared" si="17"/>
        <v>669.67166572813994</v>
      </c>
      <c r="L161" s="10">
        <f t="shared" si="14"/>
        <v>0.13778994218179941</v>
      </c>
      <c r="M161" s="10">
        <f t="shared" si="18"/>
        <v>0.13980610256082016</v>
      </c>
      <c r="P161" s="8">
        <f t="shared" si="19"/>
        <v>-1.3594025734561528</v>
      </c>
    </row>
    <row r="162" spans="1:16" x14ac:dyDescent="0.2">
      <c r="A162" s="8">
        <v>80</v>
      </c>
      <c r="B162" s="4">
        <v>160</v>
      </c>
      <c r="C162" s="4" t="s">
        <v>6</v>
      </c>
      <c r="D162">
        <v>5199.6427203065005</v>
      </c>
      <c r="E162">
        <v>806.06609195401995</v>
      </c>
      <c r="F162">
        <v>140.89337175793</v>
      </c>
      <c r="G162">
        <v>116.25456292027</v>
      </c>
      <c r="H162" s="4"/>
      <c r="I162" s="5">
        <f t="shared" si="15"/>
        <v>689.81152903374993</v>
      </c>
      <c r="J162" s="5">
        <f t="shared" si="16"/>
        <v>5058.7493485485702</v>
      </c>
      <c r="K162" s="9">
        <f t="shared" si="17"/>
        <v>689.81152903374993</v>
      </c>
      <c r="L162" s="6">
        <f t="shared" si="14"/>
        <v>0.13636009248642988</v>
      </c>
      <c r="M162" s="6">
        <f t="shared" si="18"/>
        <v>0.13838893311940673</v>
      </c>
      <c r="N162" s="4"/>
      <c r="O162" s="4"/>
      <c r="P162" s="4">
        <f t="shared" si="19"/>
        <v>-2.3592905454053659</v>
      </c>
    </row>
    <row r="163" spans="1:16" x14ac:dyDescent="0.2">
      <c r="A163" s="8">
        <v>80.5</v>
      </c>
      <c r="B163" s="8">
        <v>161</v>
      </c>
      <c r="D163">
        <v>5614.6452540747996</v>
      </c>
      <c r="E163">
        <v>870.55704697987005</v>
      </c>
      <c r="F163">
        <v>141.32276657061001</v>
      </c>
      <c r="G163">
        <v>116.56868395773</v>
      </c>
      <c r="I163" s="9">
        <f t="shared" si="15"/>
        <v>753.98836302213999</v>
      </c>
      <c r="J163" s="9">
        <f t="shared" si="16"/>
        <v>5473.3224875041897</v>
      </c>
      <c r="K163" s="9">
        <f t="shared" si="17"/>
        <v>753.98836302213999</v>
      </c>
      <c r="L163" s="10">
        <f t="shared" si="14"/>
        <v>0.13775697754764588</v>
      </c>
      <c r="M163" s="10">
        <f t="shared" si="18"/>
        <v>0.13979849843457884</v>
      </c>
      <c r="P163" s="8">
        <f t="shared" si="19"/>
        <v>-1.3647676865779073</v>
      </c>
    </row>
    <row r="164" spans="1:16" x14ac:dyDescent="0.2">
      <c r="A164" s="8">
        <v>81</v>
      </c>
      <c r="B164" s="8">
        <v>162</v>
      </c>
      <c r="D164">
        <v>5729.8455672069003</v>
      </c>
      <c r="E164">
        <v>886.09437559580999</v>
      </c>
      <c r="F164">
        <v>141.60134486070999</v>
      </c>
      <c r="G164">
        <v>116.09221902017001</v>
      </c>
      <c r="I164" s="9">
        <f t="shared" si="15"/>
        <v>770.00215657564002</v>
      </c>
      <c r="J164" s="9">
        <f t="shared" si="16"/>
        <v>5588.2442223461903</v>
      </c>
      <c r="K164" s="9">
        <f t="shared" si="17"/>
        <v>770.00215657564002</v>
      </c>
      <c r="L164" s="10">
        <f t="shared" si="14"/>
        <v>0.13778963945358125</v>
      </c>
      <c r="M164" s="10">
        <f t="shared" si="18"/>
        <v>0.1398438405944703</v>
      </c>
      <c r="P164" s="8">
        <f t="shared" si="19"/>
        <v>-1.332776395365435</v>
      </c>
    </row>
    <row r="165" spans="1:16" x14ac:dyDescent="0.2">
      <c r="A165" s="8">
        <v>81.5</v>
      </c>
      <c r="B165" s="8">
        <v>163</v>
      </c>
      <c r="D165">
        <v>5681.1525262154</v>
      </c>
      <c r="E165">
        <v>882.04766444232996</v>
      </c>
      <c r="F165">
        <v>141.48511047069999</v>
      </c>
      <c r="G165">
        <v>116.34101825168</v>
      </c>
      <c r="I165" s="9">
        <f t="shared" si="15"/>
        <v>765.70664619064996</v>
      </c>
      <c r="J165" s="9">
        <f t="shared" si="16"/>
        <v>5539.6674157446996</v>
      </c>
      <c r="K165" s="9">
        <f t="shared" si="17"/>
        <v>765.70664619064996</v>
      </c>
      <c r="L165" s="10">
        <f t="shared" si="14"/>
        <v>0.13822249401008774</v>
      </c>
      <c r="M165" s="10">
        <f t="shared" si="18"/>
        <v>0.14028937540493291</v>
      </c>
      <c r="P165" s="8">
        <f t="shared" si="19"/>
        <v>-1.0184280294975341</v>
      </c>
    </row>
    <row r="166" spans="1:16" x14ac:dyDescent="0.2">
      <c r="A166" s="8">
        <v>82</v>
      </c>
      <c r="B166" s="8">
        <v>164</v>
      </c>
      <c r="D166">
        <v>5617.4833174451996</v>
      </c>
      <c r="E166">
        <v>868.38989513823003</v>
      </c>
      <c r="F166">
        <v>141.50816522573999</v>
      </c>
      <c r="G166">
        <v>116.87608069164</v>
      </c>
      <c r="I166" s="9">
        <f t="shared" si="15"/>
        <v>751.51381444659</v>
      </c>
      <c r="J166" s="9">
        <f t="shared" si="16"/>
        <v>5475.9751522194592</v>
      </c>
      <c r="K166" s="9">
        <f t="shared" si="17"/>
        <v>751.51381444659</v>
      </c>
      <c r="L166" s="10">
        <f t="shared" si="14"/>
        <v>0.13723835363679382</v>
      </c>
      <c r="M166" s="10">
        <f t="shared" si="18"/>
        <v>0.13931791528559509</v>
      </c>
      <c r="P166" s="8">
        <f t="shared" si="19"/>
        <v>-1.7038445084087996</v>
      </c>
    </row>
    <row r="167" spans="1:16" x14ac:dyDescent="0.2">
      <c r="A167" s="8">
        <v>82.5</v>
      </c>
      <c r="B167" s="8">
        <v>165</v>
      </c>
      <c r="D167">
        <v>5638.4604385128996</v>
      </c>
      <c r="E167">
        <v>872.60819828408</v>
      </c>
      <c r="F167">
        <v>141.24687800192001</v>
      </c>
      <c r="G167">
        <v>116.84245917387</v>
      </c>
      <c r="I167" s="9">
        <f t="shared" si="15"/>
        <v>755.76573911021001</v>
      </c>
      <c r="J167" s="9">
        <f t="shared" si="16"/>
        <v>5497.2135605109797</v>
      </c>
      <c r="K167" s="9">
        <f t="shared" si="17"/>
        <v>755.76573911021001</v>
      </c>
      <c r="L167" s="10">
        <f t="shared" si="14"/>
        <v>0.13748160423295611</v>
      </c>
      <c r="M167" s="10">
        <f t="shared" si="18"/>
        <v>0.13957384613571347</v>
      </c>
      <c r="P167" s="8">
        <f t="shared" si="19"/>
        <v>-1.523271761632043</v>
      </c>
    </row>
    <row r="168" spans="1:16" x14ac:dyDescent="0.2">
      <c r="A168" s="8">
        <v>83</v>
      </c>
      <c r="B168" s="8">
        <v>166</v>
      </c>
      <c r="D168">
        <v>5618.9180171591997</v>
      </c>
      <c r="E168">
        <v>872.85224022879004</v>
      </c>
      <c r="F168">
        <v>141.18443804034999</v>
      </c>
      <c r="G168">
        <v>116.04803073967</v>
      </c>
      <c r="I168" s="9">
        <f t="shared" si="15"/>
        <v>756.80420948912001</v>
      </c>
      <c r="J168" s="9">
        <f t="shared" si="16"/>
        <v>5477.7335791188498</v>
      </c>
      <c r="K168" s="9">
        <f t="shared" si="17"/>
        <v>756.80420948912001</v>
      </c>
      <c r="L168" s="10">
        <f t="shared" si="14"/>
        <v>0.13816009825195985</v>
      </c>
      <c r="M168" s="10">
        <f t="shared" si="18"/>
        <v>0.14026502040867334</v>
      </c>
      <c r="P168" s="8">
        <f t="shared" si="19"/>
        <v>-1.0356117670981229</v>
      </c>
    </row>
    <row r="169" spans="1:16" x14ac:dyDescent="0.2">
      <c r="A169" s="8">
        <v>83.5</v>
      </c>
      <c r="B169" s="8">
        <v>167</v>
      </c>
      <c r="D169">
        <v>5630.5748331744999</v>
      </c>
      <c r="E169">
        <v>878.79313632031005</v>
      </c>
      <c r="F169">
        <v>141.75792507205</v>
      </c>
      <c r="G169">
        <v>116.19212295869001</v>
      </c>
      <c r="I169" s="9">
        <f t="shared" si="15"/>
        <v>762.60101336162006</v>
      </c>
      <c r="J169" s="9">
        <f t="shared" si="16"/>
        <v>5488.8169081024498</v>
      </c>
      <c r="K169" s="9">
        <f t="shared" si="17"/>
        <v>762.60101336162006</v>
      </c>
      <c r="L169" s="10">
        <f t="shared" si="14"/>
        <v>0.13893722930270969</v>
      </c>
      <c r="M169" s="10">
        <f t="shared" si="18"/>
        <v>0.14105483171337926</v>
      </c>
      <c r="P169" s="8">
        <f t="shared" si="19"/>
        <v>-0.47835813135973582</v>
      </c>
    </row>
    <row r="170" spans="1:16" x14ac:dyDescent="0.2">
      <c r="A170" s="8">
        <v>84</v>
      </c>
      <c r="B170" s="8">
        <v>168</v>
      </c>
      <c r="D170">
        <v>5572.2116301239002</v>
      </c>
      <c r="E170">
        <v>867.18589132506997</v>
      </c>
      <c r="F170">
        <v>141.39481268012</v>
      </c>
      <c r="G170">
        <v>116.46301633045</v>
      </c>
      <c r="I170" s="9">
        <f t="shared" si="15"/>
        <v>750.72287499461993</v>
      </c>
      <c r="J170" s="9">
        <f t="shared" si="16"/>
        <v>5430.8168174437806</v>
      </c>
      <c r="K170" s="9">
        <f t="shared" si="17"/>
        <v>750.72287499461993</v>
      </c>
      <c r="L170" s="10">
        <f t="shared" si="14"/>
        <v>0.13823387903331566</v>
      </c>
      <c r="M170" s="10">
        <f t="shared" si="18"/>
        <v>0.14036416169794136</v>
      </c>
      <c r="P170" s="8">
        <f t="shared" si="19"/>
        <v>-0.9656623455499378</v>
      </c>
    </row>
    <row r="171" spans="1:16" x14ac:dyDescent="0.2">
      <c r="A171" s="8">
        <v>84.5</v>
      </c>
      <c r="B171" s="8">
        <v>169</v>
      </c>
      <c r="D171">
        <v>5559.1977077363999</v>
      </c>
      <c r="E171">
        <v>864.38968481375002</v>
      </c>
      <c r="F171">
        <v>140.60999039385001</v>
      </c>
      <c r="G171">
        <v>116.4707012488</v>
      </c>
      <c r="I171" s="9">
        <f t="shared" si="15"/>
        <v>747.91898356495005</v>
      </c>
      <c r="J171" s="9">
        <f t="shared" si="16"/>
        <v>5418.5877173425497</v>
      </c>
      <c r="K171" s="9">
        <f t="shared" si="17"/>
        <v>747.91898356495005</v>
      </c>
      <c r="L171" s="10">
        <f t="shared" si="14"/>
        <v>0.13802839828008795</v>
      </c>
      <c r="M171" s="10">
        <f t="shared" si="18"/>
        <v>0.14017136119866974</v>
      </c>
      <c r="P171" s="8">
        <f t="shared" si="19"/>
        <v>-1.1016932918672833</v>
      </c>
    </row>
    <row r="172" spans="1:16" x14ac:dyDescent="0.2">
      <c r="A172" s="8">
        <v>85</v>
      </c>
      <c r="B172" s="8">
        <v>170</v>
      </c>
      <c r="D172">
        <v>5612.8424068767999</v>
      </c>
      <c r="E172">
        <v>855.22158548233006</v>
      </c>
      <c r="F172">
        <v>140.87415946205999</v>
      </c>
      <c r="G172">
        <v>115.97502401537</v>
      </c>
      <c r="I172" s="9">
        <f t="shared" si="15"/>
        <v>739.24656146696009</v>
      </c>
      <c r="J172" s="9">
        <f t="shared" si="16"/>
        <v>5471.9682474147403</v>
      </c>
      <c r="K172" s="9">
        <f t="shared" si="17"/>
        <v>739.24656146696009</v>
      </c>
      <c r="L172" s="10">
        <f t="shared" si="14"/>
        <v>0.13509701227089924</v>
      </c>
      <c r="M172" s="10">
        <f t="shared" si="18"/>
        <v>0.13725265544343715</v>
      </c>
      <c r="P172" s="8">
        <f t="shared" si="19"/>
        <v>-3.1609945250390452</v>
      </c>
    </row>
    <row r="173" spans="1:16" x14ac:dyDescent="0.2">
      <c r="A173" s="8">
        <v>85.5</v>
      </c>
      <c r="B173" s="8">
        <v>171</v>
      </c>
      <c r="D173">
        <v>5544.1738299905001</v>
      </c>
      <c r="E173">
        <v>847.51575931232003</v>
      </c>
      <c r="F173">
        <v>141.28049951969001</v>
      </c>
      <c r="G173">
        <v>116.64361191162</v>
      </c>
      <c r="I173" s="9">
        <f t="shared" si="15"/>
        <v>730.87214740069999</v>
      </c>
      <c r="J173" s="9">
        <f t="shared" si="16"/>
        <v>5402.8933304708098</v>
      </c>
      <c r="K173" s="9">
        <f t="shared" si="17"/>
        <v>730.87214740069999</v>
      </c>
      <c r="L173" s="10">
        <f t="shared" si="14"/>
        <v>0.1352742137770489</v>
      </c>
      <c r="M173" s="10">
        <f t="shared" si="18"/>
        <v>0.13744253720354291</v>
      </c>
      <c r="P173" s="8">
        <f t="shared" si="19"/>
        <v>-3.027022903527834</v>
      </c>
    </row>
    <row r="174" spans="1:16" x14ac:dyDescent="0.2">
      <c r="A174" s="8">
        <v>86</v>
      </c>
      <c r="B174" s="8">
        <v>172</v>
      </c>
      <c r="D174">
        <v>5586.7363896848001</v>
      </c>
      <c r="E174">
        <v>847.76217765042998</v>
      </c>
      <c r="F174">
        <v>140.61191162343999</v>
      </c>
      <c r="G174">
        <v>116.62536023055</v>
      </c>
      <c r="I174" s="9">
        <f t="shared" si="15"/>
        <v>731.13681741988</v>
      </c>
      <c r="J174" s="9">
        <f t="shared" si="16"/>
        <v>5446.1244780613597</v>
      </c>
      <c r="K174" s="9">
        <f t="shared" si="17"/>
        <v>731.13681741988</v>
      </c>
      <c r="L174" s="10">
        <f t="shared" si="14"/>
        <v>0.13424900961502453</v>
      </c>
      <c r="M174" s="10">
        <f t="shared" si="18"/>
        <v>0.13643001329547463</v>
      </c>
      <c r="P174" s="8">
        <f t="shared" si="19"/>
        <v>-3.7414120565840419</v>
      </c>
    </row>
    <row r="175" spans="1:16" x14ac:dyDescent="0.2">
      <c r="A175" s="8">
        <v>86.5</v>
      </c>
      <c r="B175" s="8">
        <v>173</v>
      </c>
      <c r="D175">
        <v>5569.3600764087996</v>
      </c>
      <c r="E175">
        <v>849.78223495702002</v>
      </c>
      <c r="F175">
        <v>140.28626320845001</v>
      </c>
      <c r="G175">
        <v>116.61575408261</v>
      </c>
      <c r="I175" s="9">
        <f t="shared" si="15"/>
        <v>733.16648087441001</v>
      </c>
      <c r="J175" s="9">
        <f t="shared" si="16"/>
        <v>5429.0738132003498</v>
      </c>
      <c r="K175" s="9">
        <f t="shared" si="17"/>
        <v>733.16648087441001</v>
      </c>
      <c r="L175" s="10">
        <f t="shared" si="14"/>
        <v>0.13504448568958033</v>
      </c>
      <c r="M175" s="10">
        <f t="shared" si="18"/>
        <v>0.13723816962398655</v>
      </c>
      <c r="P175" s="8">
        <f t="shared" si="19"/>
        <v>-3.1712150365807252</v>
      </c>
    </row>
    <row r="176" spans="1:16" x14ac:dyDescent="0.2">
      <c r="A176" s="8">
        <v>87</v>
      </c>
      <c r="B176" s="8">
        <v>174</v>
      </c>
      <c r="D176">
        <v>5587.305635148</v>
      </c>
      <c r="E176">
        <v>854.77268385863999</v>
      </c>
      <c r="F176">
        <v>141.00576368876</v>
      </c>
      <c r="G176">
        <v>115.95485110471</v>
      </c>
      <c r="I176" s="9">
        <f t="shared" si="15"/>
        <v>738.81783275393002</v>
      </c>
      <c r="J176" s="9">
        <f t="shared" si="16"/>
        <v>5446.2998714592395</v>
      </c>
      <c r="K176" s="9">
        <f t="shared" si="17"/>
        <v>738.81783275393002</v>
      </c>
      <c r="L176" s="10">
        <f t="shared" si="14"/>
        <v>0.13565500434994904</v>
      </c>
      <c r="M176" s="10">
        <f t="shared" si="18"/>
        <v>0.13786136853831135</v>
      </c>
      <c r="P176" s="8">
        <f t="shared" si="19"/>
        <v>-2.7315152516744878</v>
      </c>
    </row>
    <row r="177" spans="1:16" x14ac:dyDescent="0.2">
      <c r="A177" s="8">
        <v>87.5</v>
      </c>
      <c r="B177" s="8">
        <v>175</v>
      </c>
      <c r="D177">
        <v>5574.8557784144996</v>
      </c>
      <c r="E177">
        <v>855.00955109838003</v>
      </c>
      <c r="F177">
        <v>140.37175792507</v>
      </c>
      <c r="G177">
        <v>116.49279538905</v>
      </c>
      <c r="I177" s="9">
        <f t="shared" si="15"/>
        <v>738.51675570933003</v>
      </c>
      <c r="J177" s="9">
        <f t="shared" si="16"/>
        <v>5434.4840204894299</v>
      </c>
      <c r="K177" s="9">
        <f t="shared" si="17"/>
        <v>738.51675570933003</v>
      </c>
      <c r="L177" s="10">
        <f t="shared" si="14"/>
        <v>0.1358945491282941</v>
      </c>
      <c r="M177" s="10">
        <f t="shared" si="18"/>
        <v>0.13811359357061254</v>
      </c>
      <c r="P177" s="8">
        <f t="shared" si="19"/>
        <v>-2.5535571553081673</v>
      </c>
    </row>
    <row r="178" spans="1:16" x14ac:dyDescent="0.2">
      <c r="A178" s="8">
        <v>88</v>
      </c>
      <c r="B178" s="8">
        <v>176</v>
      </c>
      <c r="D178">
        <v>5580.8213944604004</v>
      </c>
      <c r="E178">
        <v>851.54536771728999</v>
      </c>
      <c r="F178">
        <v>140.86935638809001</v>
      </c>
      <c r="G178">
        <v>116.46013448607</v>
      </c>
      <c r="I178" s="9">
        <f t="shared" si="15"/>
        <v>735.08523323121995</v>
      </c>
      <c r="J178" s="9">
        <f t="shared" si="16"/>
        <v>5439.9520380723106</v>
      </c>
      <c r="K178" s="9">
        <f t="shared" si="17"/>
        <v>735.08523323121995</v>
      </c>
      <c r="L178" s="10">
        <f t="shared" si="14"/>
        <v>0.13512715334374586</v>
      </c>
      <c r="M178" s="10">
        <f t="shared" si="18"/>
        <v>0.13735887804002039</v>
      </c>
      <c r="P178" s="8">
        <f t="shared" si="19"/>
        <v>-3.0860488667648527</v>
      </c>
    </row>
    <row r="179" spans="1:16" x14ac:dyDescent="0.2">
      <c r="A179" s="8">
        <v>88.5</v>
      </c>
      <c r="B179" s="8">
        <v>177</v>
      </c>
      <c r="D179">
        <v>5579.3877745940999</v>
      </c>
      <c r="E179">
        <v>855.84336198663004</v>
      </c>
      <c r="F179">
        <v>140.53794428434</v>
      </c>
      <c r="G179">
        <v>116.04707012487999</v>
      </c>
      <c r="I179" s="9">
        <f t="shared" si="15"/>
        <v>739.79629186175009</v>
      </c>
      <c r="J179" s="9">
        <f t="shared" si="16"/>
        <v>5438.8498303097604</v>
      </c>
      <c r="K179" s="9">
        <f t="shared" si="17"/>
        <v>739.79629186175009</v>
      </c>
      <c r="L179" s="10">
        <f t="shared" si="14"/>
        <v>0.13602072403966636</v>
      </c>
      <c r="M179" s="10">
        <f t="shared" si="18"/>
        <v>0.13826512898989701</v>
      </c>
      <c r="P179" s="8">
        <f t="shared" si="19"/>
        <v>-2.4466409047603781</v>
      </c>
    </row>
    <row r="180" spans="1:16" x14ac:dyDescent="0.2">
      <c r="A180" s="8">
        <v>89</v>
      </c>
      <c r="B180" s="8">
        <v>178</v>
      </c>
      <c r="D180">
        <v>5576.3237822350002</v>
      </c>
      <c r="E180">
        <v>854.46227316141005</v>
      </c>
      <c r="F180">
        <v>140.56676272815</v>
      </c>
      <c r="G180">
        <v>116.78386167147001</v>
      </c>
      <c r="I180" s="9">
        <f t="shared" si="15"/>
        <v>737.67841148994</v>
      </c>
      <c r="J180" s="9">
        <f t="shared" si="16"/>
        <v>5435.7570195068502</v>
      </c>
      <c r="K180" s="9">
        <f t="shared" si="17"/>
        <v>737.67841148994</v>
      </c>
      <c r="L180" s="10">
        <f t="shared" si="14"/>
        <v>0.13570849632216722</v>
      </c>
      <c r="M180" s="10">
        <f t="shared" si="18"/>
        <v>0.13796558152635396</v>
      </c>
      <c r="P180" s="8">
        <f t="shared" si="19"/>
        <v>-2.657987478481207</v>
      </c>
    </row>
    <row r="181" spans="1:16" x14ac:dyDescent="0.2">
      <c r="A181" s="8">
        <v>89.5</v>
      </c>
      <c r="B181" s="8">
        <v>179</v>
      </c>
      <c r="D181">
        <v>5573.8290353391003</v>
      </c>
      <c r="E181">
        <v>851.65711556829001</v>
      </c>
      <c r="F181">
        <v>140.90297790586001</v>
      </c>
      <c r="G181">
        <v>116.48895292988</v>
      </c>
      <c r="I181" s="9">
        <f t="shared" si="15"/>
        <v>735.16816263840997</v>
      </c>
      <c r="J181" s="9">
        <f t="shared" si="16"/>
        <v>5432.9260574332402</v>
      </c>
      <c r="K181" s="9">
        <f t="shared" si="17"/>
        <v>735.16816263840997</v>
      </c>
      <c r="L181" s="10">
        <f t="shared" si="14"/>
        <v>0.13531716700479754</v>
      </c>
      <c r="M181" s="10">
        <f t="shared" si="18"/>
        <v>0.1375869324629404</v>
      </c>
      <c r="P181" s="8">
        <f t="shared" si="19"/>
        <v>-2.9251444133071844</v>
      </c>
    </row>
    <row r="182" spans="1:16" x14ac:dyDescent="0.2">
      <c r="A182" s="8">
        <v>90</v>
      </c>
      <c r="B182" s="8">
        <v>180</v>
      </c>
      <c r="D182">
        <v>5558.0754536772001</v>
      </c>
      <c r="E182">
        <v>848.54250238778002</v>
      </c>
      <c r="F182">
        <v>140.67050912584</v>
      </c>
      <c r="G182">
        <v>116.07108549471999</v>
      </c>
      <c r="I182" s="9">
        <f t="shared" si="15"/>
        <v>732.47141689306</v>
      </c>
      <c r="J182" s="9">
        <f t="shared" si="16"/>
        <v>5417.4049445513601</v>
      </c>
      <c r="K182" s="9">
        <f t="shared" si="17"/>
        <v>732.47141689306</v>
      </c>
      <c r="L182" s="10">
        <f t="shared" si="14"/>
        <v>0.13520706397068483</v>
      </c>
      <c r="M182" s="10">
        <f>L182+ABS($N$2)*A182</f>
        <v>0.13748950968278378</v>
      </c>
      <c r="P182" s="8">
        <f t="shared" si="19"/>
        <v>-2.9938813358132905</v>
      </c>
    </row>
    <row r="183" spans="1:16" x14ac:dyDescent="0.2">
      <c r="A183" s="8">
        <v>90.5</v>
      </c>
      <c r="B183" s="8">
        <v>181</v>
      </c>
      <c r="D183">
        <v>5484.9255014327</v>
      </c>
      <c r="E183">
        <v>845.50429799427002</v>
      </c>
      <c r="F183">
        <v>140.84053794427999</v>
      </c>
      <c r="G183">
        <v>115.80691642651</v>
      </c>
      <c r="I183" s="9">
        <f t="shared" si="15"/>
        <v>729.69738156775998</v>
      </c>
      <c r="J183" s="9">
        <f t="shared" si="16"/>
        <v>5344.0849634884198</v>
      </c>
      <c r="K183" s="9">
        <f t="shared" si="17"/>
        <v>729.69738156775998</v>
      </c>
      <c r="L183" s="10">
        <f t="shared" si="14"/>
        <v>0.13654299782903165</v>
      </c>
      <c r="M183" s="10">
        <f t="shared" ref="M183:M241" si="20">L183+ABS($N$2)*A183</f>
        <v>0.1388381237950867</v>
      </c>
      <c r="P183" s="8">
        <f t="shared" si="19"/>
        <v>-2.0423627733273926</v>
      </c>
    </row>
    <row r="184" spans="1:16" x14ac:dyDescent="0.2">
      <c r="A184" s="8">
        <v>91</v>
      </c>
      <c r="B184" s="8">
        <v>182</v>
      </c>
      <c r="D184">
        <v>5417.1251193887001</v>
      </c>
      <c r="E184">
        <v>842.62177650429999</v>
      </c>
      <c r="F184">
        <v>141.19212295868999</v>
      </c>
      <c r="G184">
        <v>116.08549471662</v>
      </c>
      <c r="I184" s="9">
        <f t="shared" si="15"/>
        <v>726.53628178767997</v>
      </c>
      <c r="J184" s="9">
        <f t="shared" si="16"/>
        <v>5275.9329964300105</v>
      </c>
      <c r="K184" s="9">
        <f t="shared" si="17"/>
        <v>726.53628178767997</v>
      </c>
      <c r="L184" s="10">
        <f t="shared" si="14"/>
        <v>0.13770764000969968</v>
      </c>
      <c r="M184" s="10">
        <f t="shared" si="20"/>
        <v>0.14001544622971085</v>
      </c>
      <c r="P184" s="8">
        <f t="shared" si="19"/>
        <v>-1.2116995462734927</v>
      </c>
    </row>
    <row r="185" spans="1:16" x14ac:dyDescent="0.2">
      <c r="A185" s="8">
        <v>91.5</v>
      </c>
      <c r="B185" s="8">
        <v>183</v>
      </c>
      <c r="D185">
        <v>5508.0076408786999</v>
      </c>
      <c r="E185">
        <v>849.27220630372994</v>
      </c>
      <c r="F185">
        <v>140.9269932757</v>
      </c>
      <c r="G185">
        <v>116.12007684917999</v>
      </c>
      <c r="I185" s="9">
        <f t="shared" si="15"/>
        <v>733.15212945454994</v>
      </c>
      <c r="J185" s="9">
        <f t="shared" si="16"/>
        <v>5367.0806476030002</v>
      </c>
      <c r="K185" s="9">
        <f t="shared" si="17"/>
        <v>733.15212945454994</v>
      </c>
      <c r="L185" s="10">
        <f t="shared" si="14"/>
        <v>0.13660166067785548</v>
      </c>
      <c r="M185" s="10">
        <f t="shared" si="20"/>
        <v>0.13892214715182274</v>
      </c>
      <c r="P185" s="8">
        <f t="shared" si="19"/>
        <v>-1.9830798525219746</v>
      </c>
    </row>
    <row r="186" spans="1:16" x14ac:dyDescent="0.2">
      <c r="A186" s="8">
        <v>92</v>
      </c>
      <c r="B186" s="8">
        <v>184</v>
      </c>
      <c r="D186">
        <v>5529.7488061126996</v>
      </c>
      <c r="E186">
        <v>850.52626552054005</v>
      </c>
      <c r="F186">
        <v>141.49951969259999</v>
      </c>
      <c r="G186">
        <v>116.06051873199</v>
      </c>
      <c r="I186" s="9">
        <f t="shared" si="15"/>
        <v>734.46574678855006</v>
      </c>
      <c r="J186" s="9">
        <f t="shared" si="16"/>
        <v>5388.2492864200995</v>
      </c>
      <c r="K186" s="9">
        <f t="shared" si="17"/>
        <v>734.46574678855006</v>
      </c>
      <c r="L186" s="10">
        <f t="shared" si="14"/>
        <v>0.13630879117631212</v>
      </c>
      <c r="M186" s="10">
        <f t="shared" si="20"/>
        <v>0.1386419579042355</v>
      </c>
      <c r="P186" s="8">
        <f t="shared" si="19"/>
        <v>-2.1807681813449316</v>
      </c>
    </row>
    <row r="187" spans="1:16" x14ac:dyDescent="0.2">
      <c r="A187" s="8">
        <v>92.5</v>
      </c>
      <c r="B187" s="8">
        <v>185</v>
      </c>
      <c r="D187">
        <v>5505.0744985673</v>
      </c>
      <c r="E187">
        <v>847.70773638969001</v>
      </c>
      <c r="F187">
        <v>141.54466858789999</v>
      </c>
      <c r="G187">
        <v>116.29875120077</v>
      </c>
      <c r="I187" s="9">
        <f t="shared" si="15"/>
        <v>731.40898518892004</v>
      </c>
      <c r="J187" s="9">
        <f t="shared" si="16"/>
        <v>5363.5298299794003</v>
      </c>
      <c r="K187" s="9">
        <f t="shared" si="17"/>
        <v>731.40898518892004</v>
      </c>
      <c r="L187" s="10">
        <f t="shared" si="14"/>
        <v>0.13636709562063332</v>
      </c>
      <c r="M187" s="10">
        <f t="shared" si="20"/>
        <v>0.1387129426025128</v>
      </c>
      <c r="P187" s="8">
        <f t="shared" si="19"/>
        <v>-2.1306847234846487</v>
      </c>
    </row>
    <row r="188" spans="1:16" x14ac:dyDescent="0.2">
      <c r="A188" s="8">
        <v>93</v>
      </c>
      <c r="B188" s="8">
        <v>186</v>
      </c>
      <c r="D188">
        <v>5540.6141356256003</v>
      </c>
      <c r="E188">
        <v>845.61986628462</v>
      </c>
      <c r="F188">
        <v>140.75408261287001</v>
      </c>
      <c r="G188">
        <v>115.7944284342</v>
      </c>
      <c r="I188" s="9">
        <f t="shared" si="15"/>
        <v>729.82543785042003</v>
      </c>
      <c r="J188" s="9">
        <f t="shared" si="16"/>
        <v>5399.8600530127305</v>
      </c>
      <c r="K188" s="9">
        <f t="shared" si="17"/>
        <v>729.82543785042003</v>
      </c>
      <c r="L188" s="10">
        <f t="shared" si="14"/>
        <v>0.13515636158815456</v>
      </c>
      <c r="M188" s="10">
        <f t="shared" si="20"/>
        <v>0.13751488882399016</v>
      </c>
      <c r="P188" s="8">
        <f t="shared" si="19"/>
        <v>-2.9759750098023776</v>
      </c>
    </row>
    <row r="189" spans="1:16" x14ac:dyDescent="0.2">
      <c r="A189" s="8">
        <v>93.5</v>
      </c>
      <c r="B189" s="8">
        <v>187</v>
      </c>
      <c r="D189">
        <v>5526.1442215855004</v>
      </c>
      <c r="E189">
        <v>846.22922636102999</v>
      </c>
      <c r="F189">
        <v>141.1325648415</v>
      </c>
      <c r="G189">
        <v>116.44380403458</v>
      </c>
      <c r="I189" s="9">
        <f t="shared" si="15"/>
        <v>729.78542232644998</v>
      </c>
      <c r="J189" s="9">
        <f t="shared" si="16"/>
        <v>5385.011656744</v>
      </c>
      <c r="K189" s="9">
        <f t="shared" si="17"/>
        <v>729.78542232644998</v>
      </c>
      <c r="L189" s="10">
        <f t="shared" si="14"/>
        <v>0.13552160493700924</v>
      </c>
      <c r="M189" s="10">
        <f t="shared" si="20"/>
        <v>0.13789281242680093</v>
      </c>
      <c r="P189" s="8">
        <f t="shared" si="19"/>
        <v>-2.7093299257894721</v>
      </c>
    </row>
    <row r="190" spans="1:16" x14ac:dyDescent="0.2">
      <c r="A190" s="8">
        <v>94</v>
      </c>
      <c r="B190" s="8">
        <v>188</v>
      </c>
      <c r="D190">
        <v>5555.488061127</v>
      </c>
      <c r="E190">
        <v>845.02196752627003</v>
      </c>
      <c r="F190">
        <v>140.69836695485</v>
      </c>
      <c r="G190">
        <v>115.81844380404</v>
      </c>
      <c r="I190" s="9">
        <f t="shared" si="15"/>
        <v>729.20352372222999</v>
      </c>
      <c r="J190" s="9">
        <f t="shared" si="16"/>
        <v>5414.7896941721501</v>
      </c>
      <c r="K190" s="9">
        <f t="shared" si="17"/>
        <v>729.20352372222999</v>
      </c>
      <c r="L190" s="10">
        <f t="shared" si="14"/>
        <v>0.13466885417674851</v>
      </c>
      <c r="M190" s="10">
        <f t="shared" si="20"/>
        <v>0.1370527419204963</v>
      </c>
      <c r="P190" s="8">
        <f t="shared" si="19"/>
        <v>-3.3020440856471178</v>
      </c>
    </row>
    <row r="191" spans="1:16" x14ac:dyDescent="0.2">
      <c r="A191" s="8">
        <v>94.5</v>
      </c>
      <c r="B191" s="8">
        <v>189</v>
      </c>
      <c r="D191">
        <v>5489.3591212990004</v>
      </c>
      <c r="E191">
        <v>833.94078319006996</v>
      </c>
      <c r="F191">
        <v>141.14985590777999</v>
      </c>
      <c r="G191">
        <v>116.16426512968</v>
      </c>
      <c r="I191" s="9">
        <f t="shared" si="15"/>
        <v>717.77651806039</v>
      </c>
      <c r="J191" s="9">
        <f t="shared" si="16"/>
        <v>5348.2092653912205</v>
      </c>
      <c r="K191" s="9">
        <f t="shared" si="17"/>
        <v>717.77651806039</v>
      </c>
      <c r="L191" s="10">
        <f t="shared" si="14"/>
        <v>0.13420875707036958</v>
      </c>
      <c r="M191" s="10">
        <f t="shared" si="20"/>
        <v>0.13660532506807349</v>
      </c>
      <c r="P191" s="8">
        <f t="shared" si="19"/>
        <v>-3.6177203316285107</v>
      </c>
    </row>
    <row r="192" spans="1:16" x14ac:dyDescent="0.2">
      <c r="A192" s="8">
        <v>95</v>
      </c>
      <c r="B192" s="8">
        <v>190</v>
      </c>
      <c r="D192">
        <v>5500.5004775548996</v>
      </c>
      <c r="E192">
        <v>838.59407831901001</v>
      </c>
      <c r="F192">
        <v>141.10182516811</v>
      </c>
      <c r="G192">
        <v>116.39000960615</v>
      </c>
      <c r="I192" s="9">
        <f t="shared" si="15"/>
        <v>722.20406871286002</v>
      </c>
      <c r="J192" s="9">
        <f t="shared" si="16"/>
        <v>5359.3986523867898</v>
      </c>
      <c r="K192" s="9">
        <f t="shared" si="17"/>
        <v>722.20406871286002</v>
      </c>
      <c r="L192" s="10">
        <f t="shared" si="14"/>
        <v>0.13475468341792954</v>
      </c>
      <c r="M192" s="10">
        <f t="shared" si="20"/>
        <v>0.13716393166958954</v>
      </c>
      <c r="P192" s="8">
        <f t="shared" si="19"/>
        <v>-3.2235938386452485</v>
      </c>
    </row>
    <row r="193" spans="1:16" x14ac:dyDescent="0.2">
      <c r="A193" s="8">
        <v>95.5</v>
      </c>
      <c r="B193" s="8">
        <v>191</v>
      </c>
      <c r="D193">
        <v>5522.5520534861998</v>
      </c>
      <c r="E193">
        <v>844.79369627507003</v>
      </c>
      <c r="F193">
        <v>140.22766570605</v>
      </c>
      <c r="G193">
        <v>116.37560038425001</v>
      </c>
      <c r="I193" s="9">
        <f t="shared" si="15"/>
        <v>728.41809589082004</v>
      </c>
      <c r="J193" s="9">
        <f t="shared" si="16"/>
        <v>5382.3243877801497</v>
      </c>
      <c r="K193" s="9">
        <f t="shared" si="17"/>
        <v>728.41809589082004</v>
      </c>
      <c r="L193" s="10">
        <f t="shared" si="14"/>
        <v>0.13533522757279295</v>
      </c>
      <c r="M193" s="10">
        <f t="shared" si="20"/>
        <v>0.13775715607840908</v>
      </c>
      <c r="P193" s="8">
        <f t="shared" si="19"/>
        <v>-2.8050426522368364</v>
      </c>
    </row>
    <row r="194" spans="1:16" x14ac:dyDescent="0.2">
      <c r="A194" s="8">
        <v>96</v>
      </c>
      <c r="B194" s="8">
        <v>192</v>
      </c>
      <c r="D194">
        <v>5434.7650429798996</v>
      </c>
      <c r="E194">
        <v>838.28080229225998</v>
      </c>
      <c r="F194">
        <v>140.85494716618999</v>
      </c>
      <c r="G194">
        <v>116.25936599424</v>
      </c>
      <c r="I194" s="9">
        <f t="shared" si="15"/>
        <v>722.02143629802003</v>
      </c>
      <c r="J194" s="9">
        <f t="shared" si="16"/>
        <v>5293.9100958137096</v>
      </c>
      <c r="K194" s="9">
        <f t="shared" si="17"/>
        <v>722.02143629802003</v>
      </c>
      <c r="L194" s="10">
        <f t="shared" ref="L194:L257" si="21">K194/J194</f>
        <v>0.1363871737959767</v>
      </c>
      <c r="M194" s="10">
        <f t="shared" si="20"/>
        <v>0.13882178255554892</v>
      </c>
      <c r="P194" s="8">
        <f t="shared" si="19"/>
        <v>-2.053892381843557</v>
      </c>
    </row>
    <row r="195" spans="1:16" x14ac:dyDescent="0.2">
      <c r="A195" s="8">
        <v>96.5</v>
      </c>
      <c r="B195" s="8">
        <v>193</v>
      </c>
      <c r="D195">
        <v>5305.1801715920001</v>
      </c>
      <c r="E195">
        <v>818.63393708293995</v>
      </c>
      <c r="F195">
        <v>140.68876080691999</v>
      </c>
      <c r="G195">
        <v>116.12584053793999</v>
      </c>
      <c r="I195" s="9">
        <f t="shared" ref="I195:I241" si="22">E195-G195</f>
        <v>702.50809654499994</v>
      </c>
      <c r="J195" s="9">
        <f t="shared" ref="J195:J241" si="23">D195-F195</f>
        <v>5164.49141078508</v>
      </c>
      <c r="K195" s="9">
        <f t="shared" ref="K195:K258" si="24">I195*1</f>
        <v>702.50809654499994</v>
      </c>
      <c r="L195" s="10">
        <f t="shared" si="21"/>
        <v>0.13602657854710387</v>
      </c>
      <c r="M195" s="10">
        <f t="shared" si="20"/>
        <v>0.13847386756063221</v>
      </c>
      <c r="P195" s="8">
        <f t="shared" ref="P195:P241" si="25">(M195-$O$2)/$O$2*100</f>
        <v>-2.2993648063202174</v>
      </c>
    </row>
    <row r="196" spans="1:16" x14ac:dyDescent="0.2">
      <c r="A196" s="8">
        <v>97</v>
      </c>
      <c r="B196" s="8">
        <v>194</v>
      </c>
      <c r="D196">
        <v>5351.6034318398997</v>
      </c>
      <c r="E196">
        <v>826.00476644422997</v>
      </c>
      <c r="F196">
        <v>140.16522574448001</v>
      </c>
      <c r="G196">
        <v>115.68107588857001</v>
      </c>
      <c r="I196" s="9">
        <f t="shared" si="22"/>
        <v>710.32369055565994</v>
      </c>
      <c r="J196" s="9">
        <f t="shared" si="23"/>
        <v>5211.4382060954194</v>
      </c>
      <c r="K196" s="9">
        <f t="shared" si="24"/>
        <v>710.32369055565994</v>
      </c>
      <c r="L196" s="10">
        <f t="shared" si="21"/>
        <v>0.13630089477504478</v>
      </c>
      <c r="M196" s="10">
        <f t="shared" si="20"/>
        <v>0.13876086404252921</v>
      </c>
      <c r="P196" s="8">
        <f t="shared" si="25"/>
        <v>-2.096873613767865</v>
      </c>
    </row>
    <row r="197" spans="1:16" x14ac:dyDescent="0.2">
      <c r="A197" s="8">
        <v>97.5</v>
      </c>
      <c r="B197" s="8">
        <v>195</v>
      </c>
      <c r="D197">
        <v>5071.1161228407</v>
      </c>
      <c r="E197">
        <v>789.73032629558998</v>
      </c>
      <c r="F197">
        <v>140.52161383284999</v>
      </c>
      <c r="G197">
        <v>115.87415946206001</v>
      </c>
      <c r="I197" s="9">
        <f t="shared" si="22"/>
        <v>673.85616683352998</v>
      </c>
      <c r="J197" s="9">
        <f t="shared" si="23"/>
        <v>4930.5945090078503</v>
      </c>
      <c r="K197" s="9">
        <f t="shared" si="24"/>
        <v>673.85616683352998</v>
      </c>
      <c r="L197" s="10">
        <f t="shared" si="21"/>
        <v>0.13666834001507161</v>
      </c>
      <c r="M197" s="10">
        <f t="shared" si="20"/>
        <v>0.13914098953651213</v>
      </c>
      <c r="P197" s="8">
        <f t="shared" si="25"/>
        <v>-1.8286749791108166</v>
      </c>
    </row>
    <row r="198" spans="1:16" x14ac:dyDescent="0.2">
      <c r="A198" s="8">
        <v>98</v>
      </c>
      <c r="B198" s="8">
        <v>196</v>
      </c>
      <c r="D198">
        <v>5045.7399232245998</v>
      </c>
      <c r="E198">
        <v>788.13147792706002</v>
      </c>
      <c r="F198">
        <v>140.7800192123</v>
      </c>
      <c r="G198">
        <v>116.13736791546999</v>
      </c>
      <c r="I198" s="9">
        <f t="shared" si="22"/>
        <v>671.99411001159001</v>
      </c>
      <c r="J198" s="9">
        <f t="shared" si="23"/>
        <v>4904.9599040122994</v>
      </c>
      <c r="K198" s="9">
        <f t="shared" si="24"/>
        <v>671.99411001159001</v>
      </c>
      <c r="L198" s="10">
        <f t="shared" si="21"/>
        <v>0.13700297722350249</v>
      </c>
      <c r="M198" s="10">
        <f t="shared" si="20"/>
        <v>0.13948830699889914</v>
      </c>
      <c r="P198" s="8">
        <f t="shared" si="25"/>
        <v>-1.5836241454276363</v>
      </c>
    </row>
    <row r="199" spans="1:16" x14ac:dyDescent="0.2">
      <c r="A199" s="8">
        <v>98.5</v>
      </c>
      <c r="B199" s="8">
        <v>197</v>
      </c>
      <c r="D199">
        <v>5508.9942748091999</v>
      </c>
      <c r="E199">
        <v>871.90171755724998</v>
      </c>
      <c r="F199">
        <v>140.73775216138</v>
      </c>
      <c r="G199">
        <v>116.58405379443001</v>
      </c>
      <c r="I199" s="9">
        <f t="shared" si="22"/>
        <v>755.31766376281996</v>
      </c>
      <c r="J199" s="9">
        <f t="shared" si="23"/>
        <v>5368.25652264782</v>
      </c>
      <c r="K199" s="9">
        <f t="shared" si="24"/>
        <v>755.31766376281996</v>
      </c>
      <c r="L199" s="10">
        <f t="shared" si="21"/>
        <v>0.14070073972364303</v>
      </c>
      <c r="M199" s="10">
        <f t="shared" si="20"/>
        <v>0.14319874975299576</v>
      </c>
      <c r="P199" s="8">
        <f t="shared" si="25"/>
        <v>1.034289402529686</v>
      </c>
    </row>
    <row r="200" spans="1:16" x14ac:dyDescent="0.2">
      <c r="A200" s="8">
        <v>99</v>
      </c>
      <c r="B200" s="8">
        <v>198</v>
      </c>
      <c r="D200">
        <v>5181.9127962085004</v>
      </c>
      <c r="E200">
        <v>808.05213270141996</v>
      </c>
      <c r="F200">
        <v>139.42170989433001</v>
      </c>
      <c r="G200">
        <v>115.9702209414</v>
      </c>
      <c r="I200" s="9">
        <f t="shared" si="22"/>
        <v>692.08191176001992</v>
      </c>
      <c r="J200" s="9">
        <f t="shared" si="23"/>
        <v>5042.4910863141704</v>
      </c>
      <c r="K200" s="9">
        <f t="shared" si="24"/>
        <v>692.08191176001992</v>
      </c>
      <c r="L200" s="10">
        <f t="shared" si="21"/>
        <v>0.1372500020155514</v>
      </c>
      <c r="M200" s="10">
        <f t="shared" si="20"/>
        <v>0.13976069229886026</v>
      </c>
      <c r="P200" s="8">
        <f t="shared" si="25"/>
        <v>-1.3914419142787122</v>
      </c>
    </row>
    <row r="201" spans="1:16" x14ac:dyDescent="0.2">
      <c r="A201" s="8">
        <v>99.5</v>
      </c>
      <c r="B201" s="8">
        <v>199</v>
      </c>
      <c r="D201">
        <v>5273.7397129187002</v>
      </c>
      <c r="E201">
        <v>831.13779904306</v>
      </c>
      <c r="F201">
        <v>140.29682997117999</v>
      </c>
      <c r="G201">
        <v>116.02689721422</v>
      </c>
      <c r="I201" s="9">
        <f t="shared" si="22"/>
        <v>715.11090182884004</v>
      </c>
      <c r="J201" s="9">
        <f t="shared" si="23"/>
        <v>5133.44288294752</v>
      </c>
      <c r="K201" s="9">
        <f t="shared" si="24"/>
        <v>715.11090182884004</v>
      </c>
      <c r="L201" s="10">
        <f t="shared" si="21"/>
        <v>0.13930434566717878</v>
      </c>
      <c r="M201" s="10">
        <f t="shared" si="20"/>
        <v>0.14182771620444373</v>
      </c>
      <c r="P201" s="8">
        <f t="shared" si="25"/>
        <v>6.695274237085512E-2</v>
      </c>
    </row>
    <row r="202" spans="1:16" x14ac:dyDescent="0.2">
      <c r="A202" s="8">
        <v>100</v>
      </c>
      <c r="B202" s="8">
        <v>200</v>
      </c>
      <c r="D202">
        <v>5346.7004784688997</v>
      </c>
      <c r="E202">
        <v>833.41435406698997</v>
      </c>
      <c r="F202">
        <v>140.26897214217001</v>
      </c>
      <c r="G202">
        <v>115.92891450528001</v>
      </c>
      <c r="I202" s="9">
        <f t="shared" si="22"/>
        <v>717.48543956171</v>
      </c>
      <c r="J202" s="9">
        <f t="shared" si="23"/>
        <v>5206.4315063267295</v>
      </c>
      <c r="K202" s="9">
        <f t="shared" si="24"/>
        <v>717.48543956171</v>
      </c>
      <c r="L202" s="10">
        <f t="shared" si="21"/>
        <v>0.13780752492178935</v>
      </c>
      <c r="M202" s="10">
        <f t="shared" si="20"/>
        <v>0.14034357571301043</v>
      </c>
      <c r="P202" s="8">
        <f t="shared" si="25"/>
        <v>-0.98018684637648479</v>
      </c>
    </row>
    <row r="203" spans="1:16" x14ac:dyDescent="0.2">
      <c r="A203" s="8">
        <v>100.5</v>
      </c>
      <c r="B203" s="8">
        <v>201</v>
      </c>
      <c r="D203">
        <v>5163.7703349282001</v>
      </c>
      <c r="E203">
        <v>816.51866028708002</v>
      </c>
      <c r="F203">
        <v>140.34774255523999</v>
      </c>
      <c r="G203">
        <v>116.05091258405</v>
      </c>
      <c r="I203" s="9">
        <f t="shared" si="22"/>
        <v>700.46774770303</v>
      </c>
      <c r="J203" s="9">
        <f t="shared" si="23"/>
        <v>5023.42259237296</v>
      </c>
      <c r="K203" s="9">
        <f t="shared" si="24"/>
        <v>700.46774770303</v>
      </c>
      <c r="L203" s="10">
        <f t="shared" si="21"/>
        <v>0.13944033869787245</v>
      </c>
      <c r="M203" s="10">
        <f t="shared" si="20"/>
        <v>0.14198906974304962</v>
      </c>
      <c r="P203" s="8">
        <f t="shared" si="25"/>
        <v>0.18079619522047186</v>
      </c>
    </row>
    <row r="204" spans="1:16" x14ac:dyDescent="0.2">
      <c r="A204" s="8">
        <v>101</v>
      </c>
      <c r="B204" s="8">
        <v>202</v>
      </c>
      <c r="D204">
        <v>5271.9751196172001</v>
      </c>
      <c r="E204">
        <v>825.72057416268001</v>
      </c>
      <c r="F204">
        <v>140.35158501441001</v>
      </c>
      <c r="G204">
        <v>116.12680115274</v>
      </c>
      <c r="I204" s="9">
        <f t="shared" si="22"/>
        <v>709.59377300994004</v>
      </c>
      <c r="J204" s="9">
        <f t="shared" si="23"/>
        <v>5131.6235346027897</v>
      </c>
      <c r="K204" s="9">
        <f t="shared" si="24"/>
        <v>709.59377300994004</v>
      </c>
      <c r="L204" s="10">
        <f t="shared" si="21"/>
        <v>0.13827861070187911</v>
      </c>
      <c r="M204" s="10">
        <f t="shared" si="20"/>
        <v>0.14084002200101237</v>
      </c>
      <c r="P204" s="8">
        <f t="shared" si="25"/>
        <v>-0.62991774122495592</v>
      </c>
    </row>
    <row r="205" spans="1:16" x14ac:dyDescent="0.2">
      <c r="A205" s="8">
        <v>101.5</v>
      </c>
      <c r="B205" s="8">
        <v>203</v>
      </c>
      <c r="D205">
        <v>5193.1138755981001</v>
      </c>
      <c r="E205">
        <v>816.37511961722998</v>
      </c>
      <c r="F205">
        <v>140.38328530259</v>
      </c>
      <c r="G205">
        <v>115.76657060519</v>
      </c>
      <c r="I205" s="9">
        <f t="shared" si="22"/>
        <v>700.60854901203993</v>
      </c>
      <c r="J205" s="9">
        <f t="shared" si="23"/>
        <v>5052.7305902955104</v>
      </c>
      <c r="K205" s="9">
        <f t="shared" si="24"/>
        <v>700.60854901203993</v>
      </c>
      <c r="L205" s="10">
        <f t="shared" si="21"/>
        <v>0.13865939148975379</v>
      </c>
      <c r="M205" s="10">
        <f t="shared" si="20"/>
        <v>0.14123348304284317</v>
      </c>
      <c r="P205" s="8">
        <f t="shared" si="25"/>
        <v>-0.35231017246109331</v>
      </c>
    </row>
    <row r="206" spans="1:16" x14ac:dyDescent="0.2">
      <c r="A206" s="8">
        <v>102</v>
      </c>
      <c r="B206" s="8">
        <v>204</v>
      </c>
      <c r="D206">
        <v>4866.6057416268004</v>
      </c>
      <c r="E206">
        <v>766.21052631579005</v>
      </c>
      <c r="F206">
        <v>140.92122958694</v>
      </c>
      <c r="G206">
        <v>116.25936599424</v>
      </c>
      <c r="I206" s="9">
        <f t="shared" si="22"/>
        <v>649.95116032155011</v>
      </c>
      <c r="J206" s="9">
        <f t="shared" si="23"/>
        <v>4725.6845120398602</v>
      </c>
      <c r="K206" s="9">
        <f t="shared" si="24"/>
        <v>649.95116032155011</v>
      </c>
      <c r="L206" s="10">
        <f t="shared" si="21"/>
        <v>0.13753587626631389</v>
      </c>
      <c r="M206" s="10">
        <f t="shared" si="20"/>
        <v>0.14012264807335936</v>
      </c>
      <c r="P206" s="8">
        <f t="shared" si="25"/>
        <v>-1.1360629774183093</v>
      </c>
    </row>
    <row r="207" spans="1:16" x14ac:dyDescent="0.2">
      <c r="A207" s="8">
        <v>102.5</v>
      </c>
      <c r="B207" s="8">
        <v>205</v>
      </c>
      <c r="D207">
        <v>5614.0766283524999</v>
      </c>
      <c r="E207">
        <v>868.58045977012</v>
      </c>
      <c r="F207">
        <v>140.02593659941999</v>
      </c>
      <c r="G207">
        <v>116.30547550432</v>
      </c>
      <c r="I207" s="9">
        <f t="shared" si="22"/>
        <v>752.27498426579996</v>
      </c>
      <c r="J207" s="9">
        <f t="shared" si="23"/>
        <v>5474.0506917530802</v>
      </c>
      <c r="K207" s="9">
        <f t="shared" si="24"/>
        <v>752.27498426579996</v>
      </c>
      <c r="L207" s="10">
        <f t="shared" si="21"/>
        <v>0.1374256517936778</v>
      </c>
      <c r="M207" s="10">
        <f t="shared" si="20"/>
        <v>0.14002510385467939</v>
      </c>
      <c r="P207" s="8">
        <f t="shared" si="25"/>
        <v>-1.2048855812235451</v>
      </c>
    </row>
    <row r="208" spans="1:16" x14ac:dyDescent="0.2">
      <c r="A208" s="8">
        <v>103</v>
      </c>
      <c r="B208" s="8">
        <v>206</v>
      </c>
      <c r="D208">
        <v>5500.1810344828</v>
      </c>
      <c r="E208">
        <v>864.75383141761995</v>
      </c>
      <c r="F208">
        <v>139.82612872237999</v>
      </c>
      <c r="G208">
        <v>115.89433237272</v>
      </c>
      <c r="I208" s="9">
        <f t="shared" si="22"/>
        <v>748.85949904489996</v>
      </c>
      <c r="J208" s="9">
        <f t="shared" si="23"/>
        <v>5360.3549057604196</v>
      </c>
      <c r="K208" s="9">
        <f t="shared" si="24"/>
        <v>748.85949904489996</v>
      </c>
      <c r="L208" s="10">
        <f t="shared" si="21"/>
        <v>0.13970334282160124</v>
      </c>
      <c r="M208" s="10">
        <f t="shared" si="20"/>
        <v>0.14231547513655893</v>
      </c>
      <c r="P208" s="8">
        <f t="shared" si="25"/>
        <v>0.4110924586113911</v>
      </c>
    </row>
    <row r="209" spans="1:16" x14ac:dyDescent="0.2">
      <c r="A209" s="8">
        <v>103.5</v>
      </c>
      <c r="B209" s="8">
        <v>207</v>
      </c>
      <c r="D209">
        <v>5181.0557692308003</v>
      </c>
      <c r="E209">
        <v>808.42307692307998</v>
      </c>
      <c r="F209">
        <v>140.98943323726999</v>
      </c>
      <c r="G209">
        <v>115.98655139288999</v>
      </c>
      <c r="I209" s="9">
        <f t="shared" si="22"/>
        <v>692.43652553019001</v>
      </c>
      <c r="J209" s="9">
        <f t="shared" si="23"/>
        <v>5040.0663359935306</v>
      </c>
      <c r="K209" s="9">
        <f t="shared" si="24"/>
        <v>692.43652553019001</v>
      </c>
      <c r="L209" s="10">
        <f t="shared" si="21"/>
        <v>0.13738639124353755</v>
      </c>
      <c r="M209" s="10">
        <f t="shared" si="20"/>
        <v>0.14001120381245136</v>
      </c>
      <c r="P209" s="8">
        <f t="shared" si="25"/>
        <v>-1.214692795962482</v>
      </c>
    </row>
    <row r="210" spans="1:16" x14ac:dyDescent="0.2">
      <c r="A210" s="8">
        <v>104</v>
      </c>
      <c r="B210" s="8">
        <v>208</v>
      </c>
      <c r="D210">
        <v>5327.3801337154</v>
      </c>
      <c r="E210">
        <v>817.15950334288004</v>
      </c>
      <c r="F210">
        <v>139.76849183477</v>
      </c>
      <c r="G210">
        <v>116.29875120077</v>
      </c>
      <c r="I210" s="9">
        <f t="shared" si="22"/>
        <v>700.86075214211007</v>
      </c>
      <c r="J210" s="9">
        <f t="shared" si="23"/>
        <v>5187.6116418806296</v>
      </c>
      <c r="K210" s="9">
        <f t="shared" si="24"/>
        <v>700.86075214211007</v>
      </c>
      <c r="L210" s="10">
        <f t="shared" si="21"/>
        <v>0.13510277956891001</v>
      </c>
      <c r="M210" s="10">
        <f t="shared" si="20"/>
        <v>0.13774027239177991</v>
      </c>
      <c r="P210" s="8">
        <f t="shared" si="25"/>
        <v>-2.8169549858571727</v>
      </c>
    </row>
    <row r="211" spans="1:16" x14ac:dyDescent="0.2">
      <c r="A211" s="8">
        <v>104.5</v>
      </c>
      <c r="B211" s="8">
        <v>209</v>
      </c>
      <c r="D211">
        <v>5356.4546322827</v>
      </c>
      <c r="E211">
        <v>819.45463228271001</v>
      </c>
      <c r="F211">
        <v>140.14601344861001</v>
      </c>
      <c r="G211">
        <v>116.15081652257</v>
      </c>
      <c r="I211" s="9">
        <f t="shared" si="22"/>
        <v>703.30381576013997</v>
      </c>
      <c r="J211" s="9">
        <f t="shared" si="23"/>
        <v>5216.3086188340903</v>
      </c>
      <c r="K211" s="9">
        <f t="shared" si="24"/>
        <v>703.30381576013997</v>
      </c>
      <c r="L211" s="10">
        <f t="shared" si="21"/>
        <v>0.13482787679026115</v>
      </c>
      <c r="M211" s="10">
        <f t="shared" si="20"/>
        <v>0.13747804986708717</v>
      </c>
      <c r="P211" s="8">
        <f t="shared" si="25"/>
        <v>-3.0019668417104328</v>
      </c>
    </row>
    <row r="212" spans="1:16" x14ac:dyDescent="0.2">
      <c r="A212" s="8">
        <v>105</v>
      </c>
      <c r="B212" s="8">
        <v>210</v>
      </c>
      <c r="D212">
        <v>5429.9340974212</v>
      </c>
      <c r="E212">
        <v>823.38013371538</v>
      </c>
      <c r="F212">
        <v>139.86647454371001</v>
      </c>
      <c r="G212">
        <v>116.09702209414</v>
      </c>
      <c r="I212" s="9">
        <f t="shared" si="22"/>
        <v>707.28311162123998</v>
      </c>
      <c r="J212" s="9">
        <f t="shared" si="23"/>
        <v>5290.0676228774901</v>
      </c>
      <c r="K212" s="9">
        <f t="shared" si="24"/>
        <v>707.28311162123998</v>
      </c>
      <c r="L212" s="10">
        <f t="shared" si="21"/>
        <v>0.13370020234949642</v>
      </c>
      <c r="M212" s="10">
        <f t="shared" si="20"/>
        <v>0.13636305568027854</v>
      </c>
      <c r="P212" s="8">
        <f t="shared" si="25"/>
        <v>-3.7886541944036414</v>
      </c>
    </row>
    <row r="213" spans="1:16" x14ac:dyDescent="0.2">
      <c r="A213" s="8">
        <v>105.5</v>
      </c>
      <c r="B213" s="8">
        <v>211</v>
      </c>
      <c r="D213">
        <v>5418.7182425978999</v>
      </c>
      <c r="E213">
        <v>832.25310410697</v>
      </c>
      <c r="F213">
        <v>140.14697406339999</v>
      </c>
      <c r="G213">
        <v>116.06628242075</v>
      </c>
      <c r="I213" s="9">
        <f t="shared" si="22"/>
        <v>716.18682168622001</v>
      </c>
      <c r="J213" s="9">
        <f t="shared" si="23"/>
        <v>5278.5712685344997</v>
      </c>
      <c r="K213" s="9">
        <f t="shared" si="24"/>
        <v>716.18682168622001</v>
      </c>
      <c r="L213" s="10">
        <f t="shared" si="21"/>
        <v>0.13567815707166844</v>
      </c>
      <c r="M213" s="10">
        <f t="shared" si="20"/>
        <v>0.13835369065640665</v>
      </c>
      <c r="P213" s="8">
        <f t="shared" si="25"/>
        <v>-2.3841559664523317</v>
      </c>
    </row>
    <row r="214" spans="1:16" x14ac:dyDescent="0.2">
      <c r="A214" s="8">
        <v>106</v>
      </c>
      <c r="B214" s="8">
        <v>212</v>
      </c>
      <c r="D214">
        <v>5077.3533906398998</v>
      </c>
      <c r="E214">
        <v>780.26265520535003</v>
      </c>
      <c r="F214">
        <v>140.30451488953</v>
      </c>
      <c r="G214">
        <v>115.86263208453001</v>
      </c>
      <c r="I214" s="9">
        <f t="shared" si="22"/>
        <v>664.40002312082004</v>
      </c>
      <c r="J214" s="9">
        <f t="shared" si="23"/>
        <v>4937.0488757503699</v>
      </c>
      <c r="K214" s="9">
        <f t="shared" si="24"/>
        <v>664.40002312082004</v>
      </c>
      <c r="L214" s="10">
        <f t="shared" si="21"/>
        <v>0.13457432564303701</v>
      </c>
      <c r="M214" s="10">
        <f t="shared" si="20"/>
        <v>0.13726253948173134</v>
      </c>
      <c r="P214" s="8">
        <f t="shared" si="25"/>
        <v>-3.1540208134165395</v>
      </c>
    </row>
    <row r="215" spans="1:16" x14ac:dyDescent="0.2">
      <c r="A215" s="8">
        <v>106.5</v>
      </c>
      <c r="B215" s="8">
        <v>213</v>
      </c>
      <c r="D215">
        <v>5332.8971428571003</v>
      </c>
      <c r="E215">
        <v>823.49333333333004</v>
      </c>
      <c r="F215">
        <v>140.8088376561</v>
      </c>
      <c r="G215">
        <v>116.02881844380001</v>
      </c>
      <c r="I215" s="9">
        <f t="shared" si="22"/>
        <v>707.46451488953005</v>
      </c>
      <c r="J215" s="9">
        <f t="shared" si="23"/>
        <v>5192.0883052010004</v>
      </c>
      <c r="K215" s="9">
        <f t="shared" si="24"/>
        <v>707.46451488953005</v>
      </c>
      <c r="L215" s="10">
        <f t="shared" si="21"/>
        <v>0.13625818231574591</v>
      </c>
      <c r="M215" s="10">
        <f t="shared" si="20"/>
        <v>0.13895907640839633</v>
      </c>
      <c r="P215" s="8">
        <f t="shared" si="25"/>
        <v>-1.9570243094218298</v>
      </c>
    </row>
    <row r="216" spans="1:16" x14ac:dyDescent="0.2">
      <c r="A216" s="8">
        <v>107</v>
      </c>
      <c r="B216" s="8">
        <v>214</v>
      </c>
      <c r="D216">
        <v>5195.9980879540999</v>
      </c>
      <c r="E216">
        <v>789.89866156788003</v>
      </c>
      <c r="F216">
        <v>140.40922190201999</v>
      </c>
      <c r="G216">
        <v>116.1325648415</v>
      </c>
      <c r="I216" s="9">
        <f t="shared" si="22"/>
        <v>673.76609672638006</v>
      </c>
      <c r="J216" s="9">
        <f t="shared" si="23"/>
        <v>5055.5888660520795</v>
      </c>
      <c r="K216" s="9">
        <f t="shared" si="24"/>
        <v>673.76609672638006</v>
      </c>
      <c r="L216" s="10">
        <f t="shared" si="21"/>
        <v>0.13327153662566821</v>
      </c>
      <c r="M216" s="10">
        <f t="shared" si="20"/>
        <v>0.13598511097227475</v>
      </c>
      <c r="P216" s="8">
        <f t="shared" si="25"/>
        <v>-4.0553141692461265</v>
      </c>
    </row>
    <row r="217" spans="1:16" x14ac:dyDescent="0.2">
      <c r="A217" s="8">
        <v>107.5</v>
      </c>
      <c r="B217" s="8">
        <v>215</v>
      </c>
      <c r="D217">
        <v>5392.6778202676996</v>
      </c>
      <c r="E217">
        <v>817.59655831739997</v>
      </c>
      <c r="F217">
        <v>140.57444764649</v>
      </c>
      <c r="G217">
        <v>116.2939481268</v>
      </c>
      <c r="I217" s="9">
        <f t="shared" si="22"/>
        <v>701.30261019059992</v>
      </c>
      <c r="J217" s="9">
        <f t="shared" si="23"/>
        <v>5252.1033726212099</v>
      </c>
      <c r="K217" s="9">
        <f t="shared" si="24"/>
        <v>701.30261019059992</v>
      </c>
      <c r="L217" s="10">
        <f t="shared" si="21"/>
        <v>0.133527952600178</v>
      </c>
      <c r="M217" s="10">
        <f t="shared" si="20"/>
        <v>0.13625420720074063</v>
      </c>
      <c r="P217" s="8">
        <f t="shared" si="25"/>
        <v>-3.8654525519425693</v>
      </c>
    </row>
    <row r="218" spans="1:16" x14ac:dyDescent="0.2">
      <c r="A218" s="8">
        <v>108</v>
      </c>
      <c r="B218" s="8">
        <v>216</v>
      </c>
      <c r="D218">
        <v>5592.9665711557</v>
      </c>
      <c r="E218">
        <v>852.97994269340995</v>
      </c>
      <c r="F218">
        <v>140.72046109510001</v>
      </c>
      <c r="G218">
        <v>115.64457252642001</v>
      </c>
      <c r="I218" s="9">
        <f t="shared" si="22"/>
        <v>737.33537016698995</v>
      </c>
      <c r="J218" s="9">
        <f t="shared" si="23"/>
        <v>5452.2461100605997</v>
      </c>
      <c r="K218" s="9">
        <f t="shared" si="24"/>
        <v>737.33537016698995</v>
      </c>
      <c r="L218" s="10">
        <f t="shared" si="21"/>
        <v>0.13523515910377618</v>
      </c>
      <c r="M218" s="10">
        <f t="shared" si="20"/>
        <v>0.13797409395829494</v>
      </c>
      <c r="P218" s="8">
        <f t="shared" si="25"/>
        <v>-2.6519815076628381</v>
      </c>
    </row>
    <row r="219" spans="1:16" x14ac:dyDescent="0.2">
      <c r="A219" s="8">
        <v>108.5</v>
      </c>
      <c r="B219" s="8">
        <v>217</v>
      </c>
      <c r="D219">
        <v>5339.1173664121998</v>
      </c>
      <c r="E219">
        <v>800.59923664122005</v>
      </c>
      <c r="F219">
        <v>140.20172910663001</v>
      </c>
      <c r="G219">
        <v>115.72046109510001</v>
      </c>
      <c r="I219" s="9">
        <f t="shared" si="22"/>
        <v>684.8787755461201</v>
      </c>
      <c r="J219" s="9">
        <f t="shared" si="23"/>
        <v>5198.9156373055694</v>
      </c>
      <c r="K219" s="9">
        <f t="shared" si="24"/>
        <v>684.8787755461201</v>
      </c>
      <c r="L219" s="10">
        <f t="shared" si="21"/>
        <v>0.13173492768985778</v>
      </c>
      <c r="M219" s="10">
        <f t="shared" si="20"/>
        <v>0.13448654279833264</v>
      </c>
      <c r="P219" s="8">
        <f t="shared" si="25"/>
        <v>-5.1126332508487966</v>
      </c>
    </row>
    <row r="220" spans="1:16" x14ac:dyDescent="0.2">
      <c r="A220" s="8">
        <v>109</v>
      </c>
      <c r="B220" s="8">
        <v>218</v>
      </c>
      <c r="D220">
        <v>5261.3740458015</v>
      </c>
      <c r="E220">
        <v>801.47137404579996</v>
      </c>
      <c r="F220">
        <v>140.08549471661999</v>
      </c>
      <c r="G220">
        <v>116.0730067243</v>
      </c>
      <c r="I220" s="9">
        <f t="shared" si="22"/>
        <v>685.39836732150002</v>
      </c>
      <c r="J220" s="9">
        <f t="shared" si="23"/>
        <v>5121.2885510848801</v>
      </c>
      <c r="K220" s="9">
        <f t="shared" si="24"/>
        <v>685.39836732150002</v>
      </c>
      <c r="L220" s="10">
        <f t="shared" si="21"/>
        <v>0.13383318680145587</v>
      </c>
      <c r="M220" s="10">
        <f t="shared" si="20"/>
        <v>0.13659748216388681</v>
      </c>
      <c r="P220" s="8">
        <f t="shared" si="25"/>
        <v>-3.6232539152157974</v>
      </c>
    </row>
    <row r="221" spans="1:16" x14ac:dyDescent="0.2">
      <c r="A221" s="8">
        <v>109.5</v>
      </c>
      <c r="B221" s="8">
        <v>219</v>
      </c>
      <c r="D221">
        <v>5209.9933206106998</v>
      </c>
      <c r="E221">
        <v>796.49332061069003</v>
      </c>
      <c r="F221">
        <v>140.30643611912001</v>
      </c>
      <c r="G221">
        <v>115.80595581172</v>
      </c>
      <c r="I221" s="9">
        <f t="shared" si="22"/>
        <v>680.68736479897007</v>
      </c>
      <c r="J221" s="9">
        <f t="shared" si="23"/>
        <v>5069.6868844915798</v>
      </c>
      <c r="K221" s="9">
        <f t="shared" si="24"/>
        <v>680.68736479897007</v>
      </c>
      <c r="L221" s="10">
        <f t="shared" si="21"/>
        <v>0.13426615495351912</v>
      </c>
      <c r="M221" s="10">
        <f t="shared" si="20"/>
        <v>0.13704313056990619</v>
      </c>
      <c r="P221" s="8">
        <f t="shared" si="25"/>
        <v>-3.3088254016763767</v>
      </c>
    </row>
    <row r="222" spans="1:16" x14ac:dyDescent="0.2">
      <c r="A222" s="8">
        <v>110</v>
      </c>
      <c r="B222" s="8">
        <v>220</v>
      </c>
      <c r="D222">
        <v>5063.7395038167997</v>
      </c>
      <c r="E222">
        <v>777.24045801526995</v>
      </c>
      <c r="F222">
        <v>140.18731988472999</v>
      </c>
      <c r="G222">
        <v>115.73102785783</v>
      </c>
      <c r="I222" s="9">
        <f t="shared" si="22"/>
        <v>661.50943015743997</v>
      </c>
      <c r="J222" s="9">
        <f t="shared" si="23"/>
        <v>4923.55218393207</v>
      </c>
      <c r="K222" s="9">
        <f t="shared" si="24"/>
        <v>661.50943015743997</v>
      </c>
      <c r="L222" s="10">
        <f t="shared" si="21"/>
        <v>0.13435613261422616</v>
      </c>
      <c r="M222" s="10">
        <f t="shared" si="20"/>
        <v>0.13714578848456932</v>
      </c>
      <c r="P222" s="8">
        <f t="shared" si="25"/>
        <v>-3.2363948149748496</v>
      </c>
    </row>
    <row r="223" spans="1:16" x14ac:dyDescent="0.2">
      <c r="A223" s="8">
        <v>110.5</v>
      </c>
      <c r="B223" s="8">
        <v>221</v>
      </c>
      <c r="D223">
        <v>5088.9856870228996</v>
      </c>
      <c r="E223">
        <v>776.20229007633998</v>
      </c>
      <c r="F223">
        <v>140.39865513929001</v>
      </c>
      <c r="G223">
        <v>115.89625360231</v>
      </c>
      <c r="I223" s="9">
        <f t="shared" si="22"/>
        <v>660.30603647402995</v>
      </c>
      <c r="J223" s="9">
        <f t="shared" si="23"/>
        <v>4948.5870318836096</v>
      </c>
      <c r="K223" s="9">
        <f t="shared" si="24"/>
        <v>660.30603647402995</v>
      </c>
      <c r="L223" s="10">
        <f t="shared" si="21"/>
        <v>0.13343324715109514</v>
      </c>
      <c r="M223" s="10">
        <f t="shared" si="20"/>
        <v>0.13623558327539442</v>
      </c>
      <c r="P223" s="8">
        <f t="shared" si="25"/>
        <v>-3.8785927159906906</v>
      </c>
    </row>
    <row r="224" spans="1:16" x14ac:dyDescent="0.2">
      <c r="A224" s="8">
        <v>111</v>
      </c>
      <c r="B224" s="8">
        <v>222</v>
      </c>
      <c r="D224">
        <v>5472.8957934990003</v>
      </c>
      <c r="E224">
        <v>848.65965583174</v>
      </c>
      <c r="F224">
        <v>140.59942363112</v>
      </c>
      <c r="G224">
        <v>116.21133525456</v>
      </c>
      <c r="I224" s="9">
        <f t="shared" si="22"/>
        <v>732.44832057717997</v>
      </c>
      <c r="J224" s="9">
        <f t="shared" si="23"/>
        <v>5332.2963698678805</v>
      </c>
      <c r="K224" s="9">
        <f t="shared" si="24"/>
        <v>732.44832057717997</v>
      </c>
      <c r="L224" s="10">
        <f t="shared" si="21"/>
        <v>0.13736076725145119</v>
      </c>
      <c r="M224" s="10">
        <f t="shared" si="20"/>
        <v>0.14017578362970656</v>
      </c>
      <c r="P224" s="8">
        <f t="shared" si="25"/>
        <v>-1.0985730329403887</v>
      </c>
    </row>
    <row r="225" spans="1:16" x14ac:dyDescent="0.2">
      <c r="A225" s="8">
        <v>111.5</v>
      </c>
      <c r="B225" s="8">
        <v>223</v>
      </c>
      <c r="D225">
        <v>5743.5124045802004</v>
      </c>
      <c r="E225">
        <v>873.13358778626002</v>
      </c>
      <c r="F225">
        <v>140.65417867434999</v>
      </c>
      <c r="G225">
        <v>116.1181556196</v>
      </c>
      <c r="I225" s="9">
        <f t="shared" si="22"/>
        <v>757.01543216666005</v>
      </c>
      <c r="J225" s="9">
        <f t="shared" si="23"/>
        <v>5602.8582259058503</v>
      </c>
      <c r="K225" s="9">
        <f t="shared" si="24"/>
        <v>757.01543216666005</v>
      </c>
      <c r="L225" s="10">
        <f t="shared" si="21"/>
        <v>0.13511236616098179</v>
      </c>
      <c r="M225" s="10">
        <f t="shared" si="20"/>
        <v>0.13794006279319329</v>
      </c>
      <c r="P225" s="8">
        <f t="shared" si="25"/>
        <v>-2.6759922939966261</v>
      </c>
    </row>
    <row r="226" spans="1:16" x14ac:dyDescent="0.2">
      <c r="A226" s="8">
        <v>112</v>
      </c>
      <c r="B226" s="8">
        <v>224</v>
      </c>
      <c r="D226">
        <v>5354.7490384615003</v>
      </c>
      <c r="E226">
        <v>812.63076923077006</v>
      </c>
      <c r="F226">
        <v>140.43900096062001</v>
      </c>
      <c r="G226">
        <v>115.86071085495</v>
      </c>
      <c r="I226" s="9">
        <f t="shared" si="22"/>
        <v>696.7700583758201</v>
      </c>
      <c r="J226" s="9">
        <f t="shared" si="23"/>
        <v>5214.3100375008798</v>
      </c>
      <c r="K226" s="9">
        <f t="shared" si="24"/>
        <v>696.7700583758201</v>
      </c>
      <c r="L226" s="10">
        <f t="shared" si="21"/>
        <v>0.13362651115194693</v>
      </c>
      <c r="M226" s="10">
        <f t="shared" si="20"/>
        <v>0.13646688803811452</v>
      </c>
      <c r="P226" s="8">
        <f t="shared" si="25"/>
        <v>-3.7153949759464773</v>
      </c>
    </row>
    <row r="227" spans="1:16" x14ac:dyDescent="0.2">
      <c r="A227" s="8">
        <v>112.5</v>
      </c>
      <c r="B227" s="8">
        <v>225</v>
      </c>
      <c r="D227">
        <v>5536.1563393708002</v>
      </c>
      <c r="E227">
        <v>838.80648236416005</v>
      </c>
      <c r="F227">
        <v>140.60902977905999</v>
      </c>
      <c r="G227">
        <v>115.67435158501</v>
      </c>
      <c r="I227" s="9">
        <f t="shared" si="22"/>
        <v>723.13213077915009</v>
      </c>
      <c r="J227" s="9">
        <f t="shared" si="23"/>
        <v>5395.5473095917405</v>
      </c>
      <c r="K227" s="9">
        <f t="shared" si="24"/>
        <v>723.13213077915009</v>
      </c>
      <c r="L227" s="10">
        <f t="shared" si="21"/>
        <v>0.13402386992207962</v>
      </c>
      <c r="M227" s="10">
        <f t="shared" si="20"/>
        <v>0.13687692706220331</v>
      </c>
      <c r="P227" s="8">
        <f t="shared" si="25"/>
        <v>-3.4260907641598748</v>
      </c>
    </row>
    <row r="228" spans="1:16" x14ac:dyDescent="0.2">
      <c r="A228" s="8">
        <v>113</v>
      </c>
      <c r="B228" s="8">
        <v>226</v>
      </c>
      <c r="D228">
        <v>5496.2116301239002</v>
      </c>
      <c r="E228">
        <v>829.08484270734004</v>
      </c>
      <c r="F228">
        <v>140.43996157541</v>
      </c>
      <c r="G228">
        <v>116.07780979827</v>
      </c>
      <c r="I228" s="9">
        <f t="shared" si="22"/>
        <v>713.00703290907006</v>
      </c>
      <c r="J228" s="9">
        <f t="shared" si="23"/>
        <v>5355.7716685484902</v>
      </c>
      <c r="K228" s="9">
        <f t="shared" si="24"/>
        <v>713.00703290907006</v>
      </c>
      <c r="L228" s="10">
        <f t="shared" si="21"/>
        <v>0.13312872113203955</v>
      </c>
      <c r="M228" s="10">
        <f t="shared" si="20"/>
        <v>0.13599445852611936</v>
      </c>
      <c r="P228" s="8">
        <f t="shared" si="25"/>
        <v>-4.048718975768737</v>
      </c>
    </row>
    <row r="229" spans="1:16" x14ac:dyDescent="0.2">
      <c r="A229" s="8">
        <v>113.5</v>
      </c>
      <c r="B229" s="8">
        <v>227</v>
      </c>
      <c r="D229">
        <v>4976.6657115567996</v>
      </c>
      <c r="E229">
        <v>754.50620821395</v>
      </c>
      <c r="F229">
        <v>140.31796349664</v>
      </c>
      <c r="G229">
        <v>115.73871277617999</v>
      </c>
      <c r="I229" s="9">
        <f t="shared" si="22"/>
        <v>638.76749543776998</v>
      </c>
      <c r="J229" s="9">
        <f t="shared" si="23"/>
        <v>4836.3477480601596</v>
      </c>
      <c r="K229" s="9">
        <f t="shared" si="24"/>
        <v>638.76749543776998</v>
      </c>
      <c r="L229" s="10">
        <f t="shared" si="21"/>
        <v>0.13207641979300955</v>
      </c>
      <c r="M229" s="10">
        <f t="shared" si="20"/>
        <v>0.13495483744104544</v>
      </c>
      <c r="P229" s="8">
        <f t="shared" si="25"/>
        <v>-4.7822266199311958</v>
      </c>
    </row>
    <row r="230" spans="1:16" x14ac:dyDescent="0.2">
      <c r="A230" s="8">
        <v>114</v>
      </c>
      <c r="B230" s="8">
        <v>228</v>
      </c>
      <c r="D230">
        <v>4791.1289398280996</v>
      </c>
      <c r="E230">
        <v>731.13276026742994</v>
      </c>
      <c r="F230">
        <v>140.32949087416</v>
      </c>
      <c r="G230">
        <v>115.71469740633999</v>
      </c>
      <c r="I230" s="9">
        <f t="shared" si="22"/>
        <v>615.41806286108999</v>
      </c>
      <c r="J230" s="9">
        <f t="shared" si="23"/>
        <v>4650.7994489539396</v>
      </c>
      <c r="K230" s="9">
        <f t="shared" si="24"/>
        <v>615.41806286108999</v>
      </c>
      <c r="L230" s="10">
        <f t="shared" si="21"/>
        <v>0.13232522055955567</v>
      </c>
      <c r="M230" s="10">
        <f t="shared" si="20"/>
        <v>0.13521631846154769</v>
      </c>
      <c r="P230" s="8">
        <f t="shared" si="25"/>
        <v>-4.5977379344904197</v>
      </c>
    </row>
    <row r="231" spans="1:16" x14ac:dyDescent="0.2">
      <c r="A231" s="8">
        <v>114.5</v>
      </c>
      <c r="B231" s="8">
        <v>229</v>
      </c>
      <c r="D231">
        <v>5374.6590476191004</v>
      </c>
      <c r="E231">
        <v>831.74285714285998</v>
      </c>
      <c r="F231">
        <v>139.79731027858</v>
      </c>
      <c r="G231">
        <v>115.47166186359</v>
      </c>
      <c r="I231" s="9">
        <f t="shared" si="22"/>
        <v>716.27119527926993</v>
      </c>
      <c r="J231" s="9">
        <f t="shared" si="23"/>
        <v>5234.8617373405204</v>
      </c>
      <c r="K231" s="9">
        <f t="shared" si="24"/>
        <v>716.27119527926993</v>
      </c>
      <c r="L231" s="10">
        <f t="shared" si="21"/>
        <v>0.1368271467744932</v>
      </c>
      <c r="M231" s="10">
        <f t="shared" si="20"/>
        <v>0.13973092493044131</v>
      </c>
      <c r="P231" s="8">
        <f t="shared" si="25"/>
        <v>-1.4124443666100308</v>
      </c>
    </row>
    <row r="232" spans="1:16" x14ac:dyDescent="0.2">
      <c r="A232" s="8">
        <v>115</v>
      </c>
      <c r="B232" s="8">
        <v>230</v>
      </c>
      <c r="D232">
        <v>5578.4055876685998</v>
      </c>
      <c r="E232">
        <v>870.74084778420001</v>
      </c>
      <c r="F232">
        <v>139.89433237271999</v>
      </c>
      <c r="G232">
        <v>115.63688760807</v>
      </c>
      <c r="I232" s="9">
        <f t="shared" si="22"/>
        <v>755.10396017613004</v>
      </c>
      <c r="J232" s="9">
        <f t="shared" si="23"/>
        <v>5438.5112552958799</v>
      </c>
      <c r="K232" s="9">
        <f t="shared" si="24"/>
        <v>755.10396017613004</v>
      </c>
      <c r="L232" s="10">
        <f t="shared" si="21"/>
        <v>0.13884387192190317</v>
      </c>
      <c r="M232" s="10">
        <f t="shared" si="20"/>
        <v>0.1417603303318074</v>
      </c>
      <c r="P232" s="8">
        <f t="shared" si="25"/>
        <v>1.9408446283603262E-2</v>
      </c>
    </row>
    <row r="233" spans="1:16" x14ac:dyDescent="0.2">
      <c r="A233" s="8">
        <v>115.5</v>
      </c>
      <c r="B233" s="8">
        <v>231</v>
      </c>
      <c r="D233">
        <v>5248.0630372492997</v>
      </c>
      <c r="E233">
        <v>799.00764087870004</v>
      </c>
      <c r="F233">
        <v>139.59365994236001</v>
      </c>
      <c r="G233">
        <v>115.7358309318</v>
      </c>
      <c r="I233" s="9">
        <f t="shared" si="22"/>
        <v>683.27180994690002</v>
      </c>
      <c r="J233" s="9">
        <f t="shared" si="23"/>
        <v>5108.4693773069394</v>
      </c>
      <c r="K233" s="9">
        <f t="shared" si="24"/>
        <v>683.27180994690002</v>
      </c>
      <c r="L233" s="10">
        <f t="shared" si="21"/>
        <v>0.13375274656282746</v>
      </c>
      <c r="M233" s="10">
        <f t="shared" si="20"/>
        <v>0.13668188522668778</v>
      </c>
      <c r="P233" s="8">
        <f t="shared" si="25"/>
        <v>-3.5637030917051007</v>
      </c>
    </row>
    <row r="234" spans="1:16" x14ac:dyDescent="0.2">
      <c r="A234" s="8">
        <v>116</v>
      </c>
      <c r="B234" s="8">
        <v>232</v>
      </c>
      <c r="D234">
        <v>5362.9961795606996</v>
      </c>
      <c r="E234">
        <v>819.28175740209997</v>
      </c>
      <c r="F234">
        <v>139.99231508164999</v>
      </c>
      <c r="G234">
        <v>115.79250720461</v>
      </c>
      <c r="I234" s="9">
        <f t="shared" si="22"/>
        <v>703.48925019748992</v>
      </c>
      <c r="J234" s="9">
        <f t="shared" si="23"/>
        <v>5223.0038644790493</v>
      </c>
      <c r="K234" s="9">
        <f t="shared" si="24"/>
        <v>703.48925019748992</v>
      </c>
      <c r="L234" s="10">
        <f t="shared" si="21"/>
        <v>0.1346905475184168</v>
      </c>
      <c r="M234" s="10">
        <f t="shared" si="20"/>
        <v>0.13763236643623322</v>
      </c>
      <c r="P234" s="8">
        <f t="shared" si="25"/>
        <v>-2.8930883428855401</v>
      </c>
    </row>
    <row r="235" spans="1:16" x14ac:dyDescent="0.2">
      <c r="A235" s="8">
        <v>116.5</v>
      </c>
      <c r="B235" s="8">
        <v>233</v>
      </c>
      <c r="D235">
        <v>5161.4118207817</v>
      </c>
      <c r="E235">
        <v>793.75977121068001</v>
      </c>
      <c r="F235">
        <v>139.17291066281999</v>
      </c>
      <c r="G235">
        <v>115.53121998079</v>
      </c>
      <c r="I235" s="9">
        <f t="shared" si="22"/>
        <v>678.22855122989006</v>
      </c>
      <c r="J235" s="9">
        <f t="shared" si="23"/>
        <v>5022.2389101188801</v>
      </c>
      <c r="K235" s="9">
        <f t="shared" si="24"/>
        <v>678.22855122989006</v>
      </c>
      <c r="L235" s="10">
        <f t="shared" si="21"/>
        <v>0.13504505925900603</v>
      </c>
      <c r="M235" s="10">
        <f t="shared" si="20"/>
        <v>0.13799955843077857</v>
      </c>
      <c r="P235" s="8">
        <f t="shared" si="25"/>
        <v>-2.634014975924031</v>
      </c>
    </row>
    <row r="236" spans="1:16" x14ac:dyDescent="0.2">
      <c r="A236" s="8">
        <v>117</v>
      </c>
      <c r="B236" s="8">
        <v>234</v>
      </c>
      <c r="D236">
        <v>5171.0552907531001</v>
      </c>
      <c r="E236">
        <v>800.68541468064996</v>
      </c>
      <c r="F236">
        <v>140.06436119116</v>
      </c>
      <c r="G236">
        <v>115.90874159462</v>
      </c>
      <c r="I236" s="9">
        <f t="shared" si="22"/>
        <v>684.77667308602997</v>
      </c>
      <c r="J236" s="9">
        <f t="shared" si="23"/>
        <v>5030.99092956194</v>
      </c>
      <c r="K236" s="9">
        <f t="shared" si="24"/>
        <v>684.77667308602997</v>
      </c>
      <c r="L236" s="10">
        <f t="shared" si="21"/>
        <v>0.13611168906354101</v>
      </c>
      <c r="M236" s="10">
        <f t="shared" si="20"/>
        <v>0.13907886848926965</v>
      </c>
      <c r="P236" s="8">
        <f t="shared" si="25"/>
        <v>-1.8725046625117658</v>
      </c>
    </row>
    <row r="237" spans="1:16" x14ac:dyDescent="0.2">
      <c r="A237" s="8">
        <v>117.5</v>
      </c>
      <c r="B237" s="8">
        <v>235</v>
      </c>
      <c r="D237">
        <v>5231.5900857959996</v>
      </c>
      <c r="E237">
        <v>811.88369876073</v>
      </c>
      <c r="F237">
        <v>139.36503362152001</v>
      </c>
      <c r="G237">
        <v>115.73006724304</v>
      </c>
      <c r="I237" s="9">
        <f t="shared" si="22"/>
        <v>696.15363151768997</v>
      </c>
      <c r="J237" s="9">
        <f t="shared" si="23"/>
        <v>5092.22505217448</v>
      </c>
      <c r="K237" s="9">
        <f t="shared" si="24"/>
        <v>696.15363151768997</v>
      </c>
      <c r="L237" s="10">
        <f t="shared" si="21"/>
        <v>0.13670912506516553</v>
      </c>
      <c r="M237" s="10">
        <f t="shared" si="20"/>
        <v>0.13968898474485028</v>
      </c>
      <c r="P237" s="8">
        <f t="shared" si="25"/>
        <v>-1.4420353850784833</v>
      </c>
    </row>
    <row r="238" spans="1:16" x14ac:dyDescent="0.2">
      <c r="A238" s="8">
        <v>118</v>
      </c>
      <c r="B238" s="8">
        <v>236</v>
      </c>
      <c r="D238">
        <v>5297.4547187797998</v>
      </c>
      <c r="E238">
        <v>815.16491897045</v>
      </c>
      <c r="F238">
        <v>140.24495677233</v>
      </c>
      <c r="G238">
        <v>115.72430355428</v>
      </c>
      <c r="I238" s="9">
        <f t="shared" si="22"/>
        <v>699.44061541616998</v>
      </c>
      <c r="J238" s="9">
        <f t="shared" si="23"/>
        <v>5157.2097620074701</v>
      </c>
      <c r="K238" s="9">
        <f t="shared" si="24"/>
        <v>699.44061541616998</v>
      </c>
      <c r="L238" s="10">
        <f t="shared" si="21"/>
        <v>0.13562384461630064</v>
      </c>
      <c r="M238" s="10">
        <f t="shared" si="20"/>
        <v>0.13861638454994149</v>
      </c>
      <c r="P238" s="8">
        <f t="shared" si="25"/>
        <v>-2.1988115349579438</v>
      </c>
    </row>
    <row r="239" spans="1:16" x14ac:dyDescent="0.2">
      <c r="A239" s="8">
        <v>118.5</v>
      </c>
      <c r="B239" s="8">
        <v>237</v>
      </c>
      <c r="D239">
        <v>5378.9952335558</v>
      </c>
      <c r="E239">
        <v>821.53479504289999</v>
      </c>
      <c r="F239">
        <v>140.06916426513001</v>
      </c>
      <c r="G239">
        <v>115.29106628242</v>
      </c>
      <c r="I239" s="9">
        <f t="shared" si="22"/>
        <v>706.24372876047994</v>
      </c>
      <c r="J239" s="9">
        <f t="shared" si="23"/>
        <v>5238.9260692906701</v>
      </c>
      <c r="K239" s="9">
        <f t="shared" si="24"/>
        <v>706.24372876047994</v>
      </c>
      <c r="L239" s="10">
        <f t="shared" si="21"/>
        <v>0.13480696604983824</v>
      </c>
      <c r="M239" s="10">
        <f t="shared" si="20"/>
        <v>0.13781218623743521</v>
      </c>
      <c r="P239" s="8">
        <f t="shared" si="25"/>
        <v>-2.7662159653942182</v>
      </c>
    </row>
    <row r="240" spans="1:16" x14ac:dyDescent="0.2">
      <c r="A240" s="8">
        <v>119</v>
      </c>
      <c r="B240" s="8">
        <v>238</v>
      </c>
      <c r="D240">
        <v>5539.7668886775</v>
      </c>
      <c r="E240">
        <v>840.64700285441995</v>
      </c>
      <c r="F240">
        <v>139.78578290106</v>
      </c>
      <c r="G240">
        <v>115.38520653218001</v>
      </c>
      <c r="I240" s="9">
        <f t="shared" si="22"/>
        <v>725.26179632223989</v>
      </c>
      <c r="J240" s="9">
        <f t="shared" si="23"/>
        <v>5399.98110577644</v>
      </c>
      <c r="K240" s="9">
        <f t="shared" si="24"/>
        <v>725.26179632223989</v>
      </c>
      <c r="L240" s="10">
        <f t="shared" si="21"/>
        <v>0.13430820999473805</v>
      </c>
      <c r="M240" s="10">
        <f t="shared" si="20"/>
        <v>0.13732611043629112</v>
      </c>
      <c r="P240" s="8">
        <f t="shared" si="25"/>
        <v>-3.1091681437412357</v>
      </c>
    </row>
    <row r="241" spans="1:16" x14ac:dyDescent="0.2">
      <c r="A241" s="8">
        <v>119.5</v>
      </c>
      <c r="B241" s="8">
        <v>239</v>
      </c>
      <c r="D241">
        <v>5536.3244529020003</v>
      </c>
      <c r="E241">
        <v>835.28258801141999</v>
      </c>
      <c r="F241">
        <v>140.25552353506001</v>
      </c>
      <c r="G241">
        <v>115.56003842459</v>
      </c>
      <c r="I241" s="9">
        <f t="shared" si="22"/>
        <v>719.72254958682993</v>
      </c>
      <c r="J241" s="9">
        <f t="shared" si="23"/>
        <v>5396.0689293669402</v>
      </c>
      <c r="K241" s="9">
        <f t="shared" si="24"/>
        <v>719.72254958682993</v>
      </c>
      <c r="L241" s="10">
        <f t="shared" si="21"/>
        <v>0.13337905038052708</v>
      </c>
      <c r="M241" s="10">
        <f t="shared" si="20"/>
        <v>0.13640963107603626</v>
      </c>
      <c r="P241" s="8">
        <f t="shared" si="25"/>
        <v>-3.7557927900817445</v>
      </c>
    </row>
    <row r="242" spans="1:16" x14ac:dyDescent="0.2">
      <c r="A242" s="8">
        <v>120</v>
      </c>
      <c r="B242" s="8">
        <v>240</v>
      </c>
      <c r="D242">
        <v>5914.55</v>
      </c>
      <c r="E242">
        <v>903.27019230768997</v>
      </c>
      <c r="F242">
        <v>140.10470701249</v>
      </c>
      <c r="G242">
        <v>115.75024015370001</v>
      </c>
      <c r="I242" s="9">
        <f>E242-G242</f>
        <v>787.51995215398995</v>
      </c>
      <c r="J242" s="9">
        <f>D242-F242</f>
        <v>5774.4452929875106</v>
      </c>
      <c r="K242" s="9">
        <f t="shared" si="24"/>
        <v>787.51995215398995</v>
      </c>
      <c r="L242" s="10">
        <f t="shared" si="21"/>
        <v>0.13638019103070464</v>
      </c>
      <c r="M242" s="10">
        <f>L242+ABS($N$2)*A242</f>
        <v>0.13942345198016992</v>
      </c>
      <c r="O242" s="11"/>
      <c r="P242" s="8">
        <f>(M242-$O$2)/$O$2*100</f>
        <v>-1.6293827902677389</v>
      </c>
    </row>
    <row r="243" spans="1:16" x14ac:dyDescent="0.2">
      <c r="A243" s="8">
        <v>120.5</v>
      </c>
      <c r="B243" s="8">
        <v>241</v>
      </c>
      <c r="D243">
        <v>6142.3594646272004</v>
      </c>
      <c r="E243">
        <v>938.36042065009997</v>
      </c>
      <c r="F243">
        <v>140.18251681076001</v>
      </c>
      <c r="G243">
        <v>116.0595581172</v>
      </c>
      <c r="I243" s="9">
        <f t="shared" ref="I243:I274" si="26">E243-G243</f>
        <v>822.30086253289994</v>
      </c>
      <c r="J243" s="9">
        <f t="shared" ref="J243:J274" si="27">D243-F243</f>
        <v>6002.1769478164406</v>
      </c>
      <c r="K243" s="9">
        <f t="shared" si="24"/>
        <v>822.30086253289994</v>
      </c>
      <c r="L243" s="10">
        <f t="shared" si="21"/>
        <v>0.13700043662192407</v>
      </c>
      <c r="M243" s="10">
        <f t="shared" ref="M243:M274" si="28">L243+ABS($N$2)*A243</f>
        <v>0.14005637782534544</v>
      </c>
      <c r="P243" s="8">
        <f t="shared" ref="P243:P274" si="29">(M243-$O$2)/$O$2*100</f>
        <v>-1.182820141347221</v>
      </c>
    </row>
    <row r="244" spans="1:16" x14ac:dyDescent="0.2">
      <c r="A244" s="8">
        <v>121</v>
      </c>
      <c r="B244" s="8">
        <v>242</v>
      </c>
      <c r="D244">
        <v>5684.0755980861004</v>
      </c>
      <c r="E244">
        <v>883.66507177033998</v>
      </c>
      <c r="F244">
        <v>139.95485110471</v>
      </c>
      <c r="G244">
        <v>115.92891450528001</v>
      </c>
      <c r="I244" s="9">
        <f t="shared" si="26"/>
        <v>767.73615726506</v>
      </c>
      <c r="J244" s="9">
        <f t="shared" si="27"/>
        <v>5544.1207469813908</v>
      </c>
      <c r="K244" s="9">
        <f t="shared" si="24"/>
        <v>767.73615726506</v>
      </c>
      <c r="L244" s="10">
        <f t="shared" si="21"/>
        <v>0.13847753184002523</v>
      </c>
      <c r="M244" s="10">
        <f t="shared" si="28"/>
        <v>0.14154615329740272</v>
      </c>
      <c r="N244" s="1"/>
      <c r="P244" s="8">
        <f t="shared" si="29"/>
        <v>-0.13170477582723183</v>
      </c>
    </row>
    <row r="245" spans="1:16" x14ac:dyDescent="0.2">
      <c r="A245" s="8">
        <v>121.5</v>
      </c>
      <c r="B245" s="8">
        <v>243</v>
      </c>
      <c r="D245">
        <v>5126.8163653662996</v>
      </c>
      <c r="E245">
        <v>788.64890580400004</v>
      </c>
      <c r="F245">
        <v>139.51104707012999</v>
      </c>
      <c r="G245">
        <v>116.06051873199</v>
      </c>
      <c r="I245" s="9">
        <f t="shared" si="26"/>
        <v>672.58838707201005</v>
      </c>
      <c r="J245" s="9">
        <f t="shared" si="27"/>
        <v>4987.3053182961694</v>
      </c>
      <c r="K245" s="9">
        <f t="shared" si="24"/>
        <v>672.58838707201005</v>
      </c>
      <c r="L245" s="10">
        <f t="shared" si="21"/>
        <v>0.13486007856879892</v>
      </c>
      <c r="M245" s="10">
        <f t="shared" si="28"/>
        <v>0.1379413802801325</v>
      </c>
      <c r="P245" s="8">
        <f t="shared" si="29"/>
        <v>-2.675062737300566</v>
      </c>
    </row>
    <row r="246" spans="1:16" x14ac:dyDescent="0.2">
      <c r="A246" s="8">
        <v>122</v>
      </c>
      <c r="B246" s="8">
        <v>244</v>
      </c>
      <c r="D246">
        <v>5367.7967557251995</v>
      </c>
      <c r="E246">
        <v>828.20324427481</v>
      </c>
      <c r="F246">
        <v>138.96637848223</v>
      </c>
      <c r="G246">
        <v>115.6618635927</v>
      </c>
      <c r="I246" s="9">
        <f t="shared" si="26"/>
        <v>712.54138068211</v>
      </c>
      <c r="J246" s="9">
        <f t="shared" si="27"/>
        <v>5228.8303772429699</v>
      </c>
      <c r="K246" s="9">
        <f t="shared" si="24"/>
        <v>712.54138068211</v>
      </c>
      <c r="L246" s="10">
        <f t="shared" si="21"/>
        <v>0.13627165719187376</v>
      </c>
      <c r="M246" s="10">
        <f t="shared" si="28"/>
        <v>0.13936563915716346</v>
      </c>
      <c r="P246" s="8">
        <f t="shared" si="29"/>
        <v>-1.6701727936782929</v>
      </c>
    </row>
    <row r="247" spans="1:16" x14ac:dyDescent="0.2">
      <c r="A247" s="8">
        <v>122.5</v>
      </c>
      <c r="B247" s="8">
        <v>245</v>
      </c>
      <c r="D247">
        <v>5213.6183206106998</v>
      </c>
      <c r="E247">
        <v>812.64790076335998</v>
      </c>
      <c r="F247">
        <v>139.57060518732001</v>
      </c>
      <c r="G247">
        <v>115.59077809798001</v>
      </c>
      <c r="I247" s="9">
        <f t="shared" si="26"/>
        <v>697.05712266538001</v>
      </c>
      <c r="J247" s="9">
        <f t="shared" si="27"/>
        <v>5074.0477154233795</v>
      </c>
      <c r="K247" s="9">
        <f t="shared" si="24"/>
        <v>697.05712266538001</v>
      </c>
      <c r="L247" s="10">
        <f t="shared" si="21"/>
        <v>0.13737693489687994</v>
      </c>
      <c r="M247" s="10">
        <f t="shared" si="28"/>
        <v>0.14048359711612574</v>
      </c>
      <c r="P247" s="8">
        <f t="shared" si="29"/>
        <v>-0.88139434302500608</v>
      </c>
    </row>
    <row r="248" spans="1:16" x14ac:dyDescent="0.2">
      <c r="A248" s="8">
        <v>123</v>
      </c>
      <c r="B248" s="8">
        <v>246</v>
      </c>
      <c r="D248">
        <v>5325.1206896552003</v>
      </c>
      <c r="E248">
        <v>835.61111111110995</v>
      </c>
      <c r="F248">
        <v>139.23535062440001</v>
      </c>
      <c r="G248">
        <v>115.50624399615999</v>
      </c>
      <c r="I248" s="9">
        <f t="shared" si="26"/>
        <v>720.10486711494991</v>
      </c>
      <c r="J248" s="9">
        <f t="shared" si="27"/>
        <v>5185.8853390308004</v>
      </c>
      <c r="K248" s="9">
        <f t="shared" si="24"/>
        <v>720.10486711494991</v>
      </c>
      <c r="L248" s="10">
        <f t="shared" si="21"/>
        <v>0.13885861719602377</v>
      </c>
      <c r="M248" s="10">
        <f t="shared" si="28"/>
        <v>0.14197795966922569</v>
      </c>
      <c r="P248" s="8">
        <f t="shared" si="29"/>
        <v>0.17295745070666574</v>
      </c>
    </row>
    <row r="249" spans="1:16" x14ac:dyDescent="0.2">
      <c r="A249" s="8">
        <v>123.5</v>
      </c>
      <c r="B249" s="8">
        <v>247</v>
      </c>
      <c r="D249">
        <v>5281.1762452106996</v>
      </c>
      <c r="E249">
        <v>826.47892720307004</v>
      </c>
      <c r="F249">
        <v>139.27185398655001</v>
      </c>
      <c r="G249">
        <v>115.12199807877001</v>
      </c>
      <c r="I249" s="9">
        <f t="shared" si="26"/>
        <v>711.3569291243</v>
      </c>
      <c r="J249" s="9">
        <f t="shared" si="27"/>
        <v>5141.9043912241495</v>
      </c>
      <c r="K249" s="9">
        <f t="shared" si="24"/>
        <v>711.3569291243</v>
      </c>
      <c r="L249" s="10">
        <f t="shared" si="21"/>
        <v>0.13834503230717307</v>
      </c>
      <c r="M249" s="10">
        <f t="shared" si="28"/>
        <v>0.14147705503433108</v>
      </c>
      <c r="P249" s="8">
        <f t="shared" si="29"/>
        <v>-0.18045725390706155</v>
      </c>
    </row>
    <row r="250" spans="1:16" x14ac:dyDescent="0.2">
      <c r="A250" s="8">
        <v>124</v>
      </c>
      <c r="B250" s="8">
        <v>248</v>
      </c>
      <c r="D250">
        <v>5089.1622137405002</v>
      </c>
      <c r="E250">
        <v>799.07156488550004</v>
      </c>
      <c r="F250">
        <v>139.74063400576</v>
      </c>
      <c r="G250">
        <v>115.69932756964999</v>
      </c>
      <c r="I250" s="9">
        <f t="shared" si="26"/>
        <v>683.37223731585004</v>
      </c>
      <c r="J250" s="9">
        <f t="shared" si="27"/>
        <v>4949.4215797347406</v>
      </c>
      <c r="K250" s="9">
        <f t="shared" si="24"/>
        <v>683.37223731585004</v>
      </c>
      <c r="L250" s="10">
        <f t="shared" si="21"/>
        <v>0.13807113140531357</v>
      </c>
      <c r="M250" s="10">
        <f t="shared" si="28"/>
        <v>0.14121583438642768</v>
      </c>
      <c r="P250" s="8">
        <f t="shared" si="29"/>
        <v>-0.3647622327124837</v>
      </c>
    </row>
    <row r="251" spans="1:16" x14ac:dyDescent="0.2">
      <c r="A251" s="8">
        <v>124.5</v>
      </c>
      <c r="B251" s="8">
        <v>249</v>
      </c>
      <c r="D251">
        <v>5096.8062977098998</v>
      </c>
      <c r="E251">
        <v>801.55248091603005</v>
      </c>
      <c r="F251">
        <v>140.05667627282</v>
      </c>
      <c r="G251">
        <v>115.65033621518</v>
      </c>
      <c r="I251" s="9">
        <f t="shared" si="26"/>
        <v>685.90214470085004</v>
      </c>
      <c r="J251" s="9">
        <f t="shared" si="27"/>
        <v>4956.7496214370794</v>
      </c>
      <c r="K251" s="9">
        <f t="shared" si="24"/>
        <v>685.90214470085004</v>
      </c>
      <c r="L251" s="10">
        <f t="shared" si="21"/>
        <v>0.13837740396134648</v>
      </c>
      <c r="M251" s="10">
        <f t="shared" si="28"/>
        <v>0.14153478719641671</v>
      </c>
      <c r="P251" s="8">
        <f t="shared" si="29"/>
        <v>-0.13972416104099752</v>
      </c>
    </row>
    <row r="252" spans="1:16" x14ac:dyDescent="0.2">
      <c r="A252" s="8">
        <v>125</v>
      </c>
      <c r="B252" s="8">
        <v>250</v>
      </c>
      <c r="D252">
        <v>5132.7242366412002</v>
      </c>
      <c r="E252">
        <v>804.16412213741</v>
      </c>
      <c r="F252">
        <v>139.68011527377999</v>
      </c>
      <c r="G252">
        <v>115.43804034582</v>
      </c>
      <c r="I252" s="9">
        <f t="shared" si="26"/>
        <v>688.72608179158999</v>
      </c>
      <c r="J252" s="9">
        <f t="shared" si="27"/>
        <v>4993.0441213674203</v>
      </c>
      <c r="K252" s="9">
        <f t="shared" si="24"/>
        <v>688.72608179158999</v>
      </c>
      <c r="L252" s="10">
        <f t="shared" si="21"/>
        <v>0.1379371111190926</v>
      </c>
      <c r="M252" s="10">
        <f t="shared" si="28"/>
        <v>0.14110717460811892</v>
      </c>
      <c r="P252" s="8">
        <f t="shared" si="29"/>
        <v>-0.44142745155691343</v>
      </c>
    </row>
    <row r="253" spans="1:16" x14ac:dyDescent="0.2">
      <c r="A253" s="8">
        <v>125.5</v>
      </c>
      <c r="B253" s="8">
        <v>251</v>
      </c>
      <c r="D253">
        <v>5122.9561068701996</v>
      </c>
      <c r="E253">
        <v>800.13167938930997</v>
      </c>
      <c r="F253">
        <v>139.95869356387999</v>
      </c>
      <c r="G253">
        <v>115.5888568684</v>
      </c>
      <c r="I253" s="9">
        <f t="shared" si="26"/>
        <v>684.54282252091002</v>
      </c>
      <c r="J253" s="9">
        <f t="shared" si="27"/>
        <v>4982.9974133063197</v>
      </c>
      <c r="K253" s="9">
        <f t="shared" si="24"/>
        <v>684.54282252091002</v>
      </c>
      <c r="L253" s="10">
        <f t="shared" si="21"/>
        <v>0.13737571299815346</v>
      </c>
      <c r="M253" s="10">
        <f t="shared" si="28"/>
        <v>0.1405584567411359</v>
      </c>
      <c r="P253" s="8">
        <f t="shared" si="29"/>
        <v>-0.82857691947285905</v>
      </c>
    </row>
    <row r="254" spans="1:16" x14ac:dyDescent="0.2">
      <c r="A254" s="8">
        <v>126</v>
      </c>
      <c r="B254" s="8">
        <v>252</v>
      </c>
      <c r="D254">
        <v>5076.7089694656997</v>
      </c>
      <c r="E254">
        <v>795.96278625954005</v>
      </c>
      <c r="F254">
        <v>140.17675312200001</v>
      </c>
      <c r="G254">
        <v>115.6762728146</v>
      </c>
      <c r="I254" s="9">
        <f t="shared" si="26"/>
        <v>680.28651344494006</v>
      </c>
      <c r="J254" s="9">
        <f t="shared" si="27"/>
        <v>4936.5322163436995</v>
      </c>
      <c r="K254" s="9">
        <f t="shared" si="24"/>
        <v>680.28651344494006</v>
      </c>
      <c r="L254" s="10">
        <f t="shared" si="21"/>
        <v>0.13780655805155512</v>
      </c>
      <c r="M254" s="10">
        <f t="shared" si="28"/>
        <v>0.14100198204849365</v>
      </c>
      <c r="P254" s="8">
        <f t="shared" si="29"/>
        <v>-0.51564636429535871</v>
      </c>
    </row>
    <row r="255" spans="1:16" x14ac:dyDescent="0.2">
      <c r="A255" s="8">
        <v>126.5</v>
      </c>
      <c r="B255" s="8">
        <v>253</v>
      </c>
      <c r="D255">
        <v>5041.5123339658003</v>
      </c>
      <c r="E255">
        <v>786.43168880455005</v>
      </c>
      <c r="F255">
        <v>139.34005763689001</v>
      </c>
      <c r="G255">
        <v>115.31604226704999</v>
      </c>
      <c r="I255" s="9">
        <f t="shared" si="26"/>
        <v>671.11564653750008</v>
      </c>
      <c r="J255" s="9">
        <f t="shared" si="27"/>
        <v>4902.1722763289099</v>
      </c>
      <c r="K255" s="9">
        <f t="shared" si="24"/>
        <v>671.11564653750008</v>
      </c>
      <c r="L255" s="10">
        <f t="shared" si="21"/>
        <v>0.1369016853565331</v>
      </c>
      <c r="M255" s="10">
        <f t="shared" si="28"/>
        <v>0.14010978960742776</v>
      </c>
      <c r="P255" s="8">
        <f t="shared" si="29"/>
        <v>-1.1451353050080897</v>
      </c>
    </row>
    <row r="256" spans="1:16" x14ac:dyDescent="0.2">
      <c r="A256" s="8">
        <v>127</v>
      </c>
      <c r="B256" s="8">
        <v>254</v>
      </c>
      <c r="D256">
        <v>5030.5664136621999</v>
      </c>
      <c r="E256">
        <v>781.83017077799002</v>
      </c>
      <c r="F256">
        <v>139.45725264168999</v>
      </c>
      <c r="G256">
        <v>115.29010566763</v>
      </c>
      <c r="I256" s="9">
        <f t="shared" si="26"/>
        <v>666.54006511036005</v>
      </c>
      <c r="J256" s="9">
        <f t="shared" si="27"/>
        <v>4891.1091610205103</v>
      </c>
      <c r="K256" s="9">
        <f t="shared" si="24"/>
        <v>666.54006511036005</v>
      </c>
      <c r="L256" s="10">
        <f t="shared" si="21"/>
        <v>0.13627585137995349</v>
      </c>
      <c r="M256" s="10">
        <f t="shared" si="28"/>
        <v>0.13949663588480424</v>
      </c>
      <c r="P256" s="8">
        <f t="shared" si="29"/>
        <v>-1.5777476760423368</v>
      </c>
    </row>
    <row r="257" spans="1:16" x14ac:dyDescent="0.2">
      <c r="A257" s="8">
        <v>127.5</v>
      </c>
      <c r="B257" s="8">
        <v>255</v>
      </c>
      <c r="D257">
        <v>5037.9677419355003</v>
      </c>
      <c r="E257">
        <v>777.71442125237002</v>
      </c>
      <c r="F257">
        <v>139.73775216138</v>
      </c>
      <c r="G257">
        <v>115.72430355428</v>
      </c>
      <c r="I257" s="9">
        <f t="shared" si="26"/>
        <v>661.99011769808999</v>
      </c>
      <c r="J257" s="9">
        <f t="shared" si="27"/>
        <v>4898.2299897741204</v>
      </c>
      <c r="K257" s="9">
        <f t="shared" si="24"/>
        <v>661.99011769808999</v>
      </c>
      <c r="L257" s="10">
        <f t="shared" si="21"/>
        <v>0.13514884337405672</v>
      </c>
      <c r="M257" s="10">
        <f t="shared" si="28"/>
        <v>0.13838230813286356</v>
      </c>
      <c r="P257" s="8">
        <f t="shared" si="29"/>
        <v>-2.3639648236993058</v>
      </c>
    </row>
    <row r="258" spans="1:16" x14ac:dyDescent="0.2">
      <c r="A258" s="8">
        <v>128</v>
      </c>
      <c r="B258" s="8">
        <v>256</v>
      </c>
      <c r="D258">
        <v>4940.4985727878002</v>
      </c>
      <c r="E258">
        <v>754.68220742150004</v>
      </c>
      <c r="F258">
        <v>139.34486071085999</v>
      </c>
      <c r="G258">
        <v>115.61767531220001</v>
      </c>
      <c r="I258" s="9">
        <f t="shared" si="26"/>
        <v>639.06453210929999</v>
      </c>
      <c r="J258" s="9">
        <f t="shared" si="27"/>
        <v>4801.1537120769399</v>
      </c>
      <c r="K258" s="9">
        <f t="shared" si="24"/>
        <v>639.06453210929999</v>
      </c>
      <c r="L258" s="10">
        <f t="shared" ref="L258:L321" si="30">K258/J258</f>
        <v>0.13310645116439021</v>
      </c>
      <c r="M258" s="10">
        <f t="shared" si="28"/>
        <v>0.13635259617715317</v>
      </c>
      <c r="P258" s="8">
        <f t="shared" si="29"/>
        <v>-3.7960339268915138</v>
      </c>
    </row>
    <row r="259" spans="1:16" x14ac:dyDescent="0.2">
      <c r="A259" s="8">
        <v>128.5</v>
      </c>
      <c r="B259" s="8">
        <v>257</v>
      </c>
      <c r="D259">
        <v>4934.2026641293996</v>
      </c>
      <c r="E259">
        <v>757.24738344434002</v>
      </c>
      <c r="F259">
        <v>139.63976945245</v>
      </c>
      <c r="G259">
        <v>115.74159462055999</v>
      </c>
      <c r="I259" s="9">
        <f t="shared" si="26"/>
        <v>641.50578882377999</v>
      </c>
      <c r="J259" s="9">
        <f t="shared" si="27"/>
        <v>4794.5628946769493</v>
      </c>
      <c r="K259" s="9">
        <f t="shared" ref="K259:K321" si="31">I259*1</f>
        <v>641.50578882377999</v>
      </c>
      <c r="L259" s="10">
        <f t="shared" si="30"/>
        <v>0.13379859706001493</v>
      </c>
      <c r="M259" s="10">
        <f t="shared" si="28"/>
        <v>0.13705742232673399</v>
      </c>
      <c r="P259" s="8">
        <f t="shared" si="29"/>
        <v>-3.2987418115759004</v>
      </c>
    </row>
    <row r="260" spans="1:16" x14ac:dyDescent="0.2">
      <c r="A260" s="8">
        <v>129</v>
      </c>
      <c r="B260" s="8">
        <v>258</v>
      </c>
      <c r="D260">
        <v>4960.1341579447999</v>
      </c>
      <c r="E260">
        <v>761.32445290199996</v>
      </c>
      <c r="F260">
        <v>139.62536023055</v>
      </c>
      <c r="G260">
        <v>115.53794428434</v>
      </c>
      <c r="I260" s="9">
        <f t="shared" si="26"/>
        <v>645.78650861765993</v>
      </c>
      <c r="J260" s="9">
        <f t="shared" si="27"/>
        <v>4820.5087977142502</v>
      </c>
      <c r="K260" s="9">
        <f t="shared" si="31"/>
        <v>645.78650861765993</v>
      </c>
      <c r="L260" s="10">
        <f t="shared" si="30"/>
        <v>0.13396646198921444</v>
      </c>
      <c r="M260" s="10">
        <f t="shared" si="28"/>
        <v>0.13723796750988962</v>
      </c>
      <c r="P260" s="8">
        <f t="shared" si="29"/>
        <v>-3.1713576387626361</v>
      </c>
    </row>
    <row r="261" spans="1:16" x14ac:dyDescent="0.2">
      <c r="A261" s="8">
        <v>129.5</v>
      </c>
      <c r="B261" s="8">
        <v>259</v>
      </c>
      <c r="D261">
        <v>4942.9828734538996</v>
      </c>
      <c r="E261">
        <v>760.92863939105996</v>
      </c>
      <c r="F261">
        <v>138.90970220941</v>
      </c>
      <c r="G261">
        <v>115.40634005763999</v>
      </c>
      <c r="I261" s="9">
        <f t="shared" si="26"/>
        <v>645.52229933341994</v>
      </c>
      <c r="J261" s="9">
        <f t="shared" si="27"/>
        <v>4804.0731712444895</v>
      </c>
      <c r="K261" s="9">
        <f t="shared" si="31"/>
        <v>645.52229933341994</v>
      </c>
      <c r="L261" s="10">
        <f t="shared" si="30"/>
        <v>0.13436978920248172</v>
      </c>
      <c r="M261" s="10">
        <f t="shared" si="28"/>
        <v>0.13765397497711299</v>
      </c>
      <c r="P261" s="8">
        <f t="shared" si="29"/>
        <v>-2.8778423747707467</v>
      </c>
    </row>
    <row r="262" spans="1:16" x14ac:dyDescent="0.2">
      <c r="A262" s="8">
        <v>130</v>
      </c>
      <c r="B262" s="8">
        <v>260</v>
      </c>
      <c r="D262">
        <v>4931.0732635585</v>
      </c>
      <c r="E262">
        <v>761.74215033302005</v>
      </c>
      <c r="F262">
        <v>139.80499519693001</v>
      </c>
      <c r="G262">
        <v>115.17771373679</v>
      </c>
      <c r="I262" s="9">
        <f t="shared" si="26"/>
        <v>646.56443659623005</v>
      </c>
      <c r="J262" s="9">
        <f t="shared" si="27"/>
        <v>4791.2682683615703</v>
      </c>
      <c r="K262" s="9">
        <f t="shared" si="31"/>
        <v>646.56443659623005</v>
      </c>
      <c r="L262" s="10">
        <f t="shared" si="30"/>
        <v>0.13494640675115657</v>
      </c>
      <c r="M262" s="10">
        <f t="shared" si="28"/>
        <v>0.13824327277974396</v>
      </c>
      <c r="P262" s="8">
        <f t="shared" si="29"/>
        <v>-2.4620616166426714</v>
      </c>
    </row>
    <row r="263" spans="1:16" x14ac:dyDescent="0.2">
      <c r="A263" s="8">
        <v>130.5</v>
      </c>
      <c r="B263" s="8">
        <v>261</v>
      </c>
      <c r="D263">
        <v>4973.2064700285</v>
      </c>
      <c r="E263">
        <v>761.79352997145998</v>
      </c>
      <c r="F263">
        <v>139.84149855908001</v>
      </c>
      <c r="G263">
        <v>115.08069164265</v>
      </c>
      <c r="I263" s="9">
        <f t="shared" si="26"/>
        <v>646.71283832880999</v>
      </c>
      <c r="J263" s="9">
        <f t="shared" si="27"/>
        <v>4833.3649714694202</v>
      </c>
      <c r="K263" s="9">
        <f t="shared" si="31"/>
        <v>646.71283832880999</v>
      </c>
      <c r="L263" s="10">
        <f t="shared" si="30"/>
        <v>0.13380178036342225</v>
      </c>
      <c r="M263" s="10">
        <f t="shared" si="28"/>
        <v>0.13711132664596573</v>
      </c>
      <c r="P263" s="8">
        <f t="shared" si="29"/>
        <v>-3.2607094642355734</v>
      </c>
    </row>
    <row r="264" spans="1:16" x14ac:dyDescent="0.2">
      <c r="A264" s="8">
        <v>131</v>
      </c>
      <c r="B264" s="8">
        <v>262</v>
      </c>
      <c r="D264">
        <v>4975.2610789980999</v>
      </c>
      <c r="E264">
        <v>763.82562620424005</v>
      </c>
      <c r="F264">
        <v>139.85014409222001</v>
      </c>
      <c r="G264">
        <v>115.29106628242</v>
      </c>
      <c r="I264" s="9">
        <f t="shared" si="26"/>
        <v>648.53455992182001</v>
      </c>
      <c r="J264" s="9">
        <f t="shared" si="27"/>
        <v>4835.4109349058799</v>
      </c>
      <c r="K264" s="9">
        <f t="shared" si="31"/>
        <v>648.53455992182001</v>
      </c>
      <c r="L264" s="10">
        <f t="shared" si="30"/>
        <v>0.13412191200548781</v>
      </c>
      <c r="M264" s="10">
        <f t="shared" si="28"/>
        <v>0.13744413854198739</v>
      </c>
      <c r="P264" s="8">
        <f t="shared" si="29"/>
        <v>-3.0258930745865165</v>
      </c>
    </row>
    <row r="265" spans="1:16" x14ac:dyDescent="0.2">
      <c r="A265" s="8">
        <v>131.5</v>
      </c>
      <c r="B265" s="8">
        <v>263</v>
      </c>
      <c r="D265">
        <v>4986.7061657033</v>
      </c>
      <c r="E265">
        <v>780.32080924855995</v>
      </c>
      <c r="F265">
        <v>140.11047070124999</v>
      </c>
      <c r="G265">
        <v>115.80787704130999</v>
      </c>
      <c r="I265" s="9">
        <f t="shared" si="26"/>
        <v>664.51293220724995</v>
      </c>
      <c r="J265" s="9">
        <f t="shared" si="27"/>
        <v>4846.59569500205</v>
      </c>
      <c r="K265" s="9">
        <f t="shared" si="31"/>
        <v>664.51293220724995</v>
      </c>
      <c r="L265" s="10">
        <f t="shared" si="30"/>
        <v>0.13710921521523137</v>
      </c>
      <c r="M265" s="10">
        <f t="shared" si="28"/>
        <v>0.14044412200568707</v>
      </c>
      <c r="P265" s="8">
        <f t="shared" si="29"/>
        <v>-0.90924612063575205</v>
      </c>
    </row>
    <row r="266" spans="1:16" x14ac:dyDescent="0.2">
      <c r="A266" s="8">
        <v>132</v>
      </c>
      <c r="B266" s="8">
        <v>264</v>
      </c>
      <c r="D266">
        <v>4960.5028901734004</v>
      </c>
      <c r="E266">
        <v>771.08670520230999</v>
      </c>
      <c r="F266">
        <v>139.69356388087999</v>
      </c>
      <c r="G266">
        <v>115.76368876081</v>
      </c>
      <c r="I266" s="9">
        <f t="shared" si="26"/>
        <v>655.32301644149993</v>
      </c>
      <c r="J266" s="9">
        <f t="shared" si="27"/>
        <v>4820.8093262925204</v>
      </c>
      <c r="K266" s="9">
        <f t="shared" si="31"/>
        <v>655.32301644149993</v>
      </c>
      <c r="L266" s="10">
        <f t="shared" si="30"/>
        <v>0.13593630697389167</v>
      </c>
      <c r="M266" s="10">
        <f t="shared" si="28"/>
        <v>0.13928389401830346</v>
      </c>
      <c r="P266" s="8">
        <f t="shared" si="29"/>
        <v>-1.7278483113142877</v>
      </c>
    </row>
    <row r="267" spans="1:16" x14ac:dyDescent="0.2">
      <c r="A267" s="8">
        <v>132.5</v>
      </c>
      <c r="B267" s="8">
        <v>265</v>
      </c>
      <c r="D267">
        <v>5186.2644230769001</v>
      </c>
      <c r="E267">
        <v>826.87884615384996</v>
      </c>
      <c r="F267">
        <v>140.20172910663001</v>
      </c>
      <c r="G267">
        <v>115.8818443804</v>
      </c>
      <c r="I267" s="9">
        <f t="shared" si="26"/>
        <v>710.99700177344994</v>
      </c>
      <c r="J267" s="9">
        <f t="shared" si="27"/>
        <v>5046.0626939702697</v>
      </c>
      <c r="K267" s="9">
        <f t="shared" si="31"/>
        <v>710.99700177344994</v>
      </c>
      <c r="L267" s="10">
        <f t="shared" si="30"/>
        <v>0.14090134128199536</v>
      </c>
      <c r="M267" s="10">
        <f t="shared" si="28"/>
        <v>0.14426160858036327</v>
      </c>
      <c r="P267" s="8">
        <f t="shared" si="29"/>
        <v>1.7841925025463505</v>
      </c>
    </row>
    <row r="268" spans="1:16" x14ac:dyDescent="0.2">
      <c r="A268" s="8">
        <v>133</v>
      </c>
      <c r="B268" s="8">
        <v>266</v>
      </c>
      <c r="D268">
        <v>5291.6289248334997</v>
      </c>
      <c r="E268">
        <v>843.18744053283001</v>
      </c>
      <c r="F268">
        <v>139.89817483189</v>
      </c>
      <c r="G268">
        <v>115.60806916427001</v>
      </c>
      <c r="I268" s="9">
        <f t="shared" si="26"/>
        <v>727.57937136856003</v>
      </c>
      <c r="J268" s="9">
        <f t="shared" si="27"/>
        <v>5151.7307500016095</v>
      </c>
      <c r="K268" s="9">
        <f t="shared" si="31"/>
        <v>727.57937136856003</v>
      </c>
      <c r="L268" s="10">
        <f t="shared" si="30"/>
        <v>0.14123008493181299</v>
      </c>
      <c r="M268" s="10">
        <f t="shared" si="28"/>
        <v>0.144603032484137</v>
      </c>
      <c r="P268" s="8">
        <f t="shared" si="29"/>
        <v>2.0250851190134496</v>
      </c>
    </row>
    <row r="269" spans="1:16" x14ac:dyDescent="0.2">
      <c r="A269" s="8">
        <v>133.5</v>
      </c>
      <c r="B269" s="8">
        <v>267</v>
      </c>
      <c r="D269">
        <v>5426.6097328244005</v>
      </c>
      <c r="E269">
        <v>852.02576335877995</v>
      </c>
      <c r="F269">
        <v>140.10566762728001</v>
      </c>
      <c r="G269">
        <v>115.59077809798001</v>
      </c>
      <c r="I269" s="9">
        <f t="shared" si="26"/>
        <v>736.43498526079998</v>
      </c>
      <c r="J269" s="9">
        <f t="shared" si="27"/>
        <v>5286.5040651971203</v>
      </c>
      <c r="K269" s="9">
        <f t="shared" si="31"/>
        <v>736.43498526079998</v>
      </c>
      <c r="L269" s="10">
        <f t="shared" si="30"/>
        <v>0.13930472315513867</v>
      </c>
      <c r="M269" s="10">
        <f t="shared" si="28"/>
        <v>0.1426903509614188</v>
      </c>
      <c r="P269" s="8">
        <f t="shared" si="29"/>
        <v>0.67558717413255032</v>
      </c>
    </row>
    <row r="270" spans="1:16" x14ac:dyDescent="0.2">
      <c r="A270" s="8">
        <v>134</v>
      </c>
      <c r="B270" s="8">
        <v>268</v>
      </c>
      <c r="D270">
        <v>5348.8272900763004</v>
      </c>
      <c r="E270">
        <v>829.75381679389</v>
      </c>
      <c r="F270">
        <v>139.72046109510001</v>
      </c>
      <c r="G270">
        <v>115.73871277617999</v>
      </c>
      <c r="I270" s="9">
        <f t="shared" si="26"/>
        <v>714.01510401770997</v>
      </c>
      <c r="J270" s="9">
        <f t="shared" si="27"/>
        <v>5209.1068289812001</v>
      </c>
      <c r="K270" s="9">
        <f t="shared" si="31"/>
        <v>714.01510401770997</v>
      </c>
      <c r="L270" s="10">
        <f t="shared" si="30"/>
        <v>0.13707054346538664</v>
      </c>
      <c r="M270" s="10">
        <f t="shared" si="28"/>
        <v>0.14046885152562286</v>
      </c>
      <c r="P270" s="8">
        <f t="shared" si="29"/>
        <v>-0.89179813677913355</v>
      </c>
    </row>
    <row r="271" spans="1:16" x14ac:dyDescent="0.2">
      <c r="A271" s="8">
        <v>134.5</v>
      </c>
      <c r="B271" s="8">
        <v>269</v>
      </c>
      <c r="D271">
        <v>5300.5868320610998</v>
      </c>
      <c r="E271">
        <v>826.88072519084005</v>
      </c>
      <c r="F271">
        <v>139.52257444764999</v>
      </c>
      <c r="G271">
        <v>115.50528338136</v>
      </c>
      <c r="I271" s="9">
        <f t="shared" si="26"/>
        <v>711.37544180948009</v>
      </c>
      <c r="J271" s="9">
        <f t="shared" si="27"/>
        <v>5161.0642576134496</v>
      </c>
      <c r="K271" s="9">
        <f t="shared" si="31"/>
        <v>711.37544180948009</v>
      </c>
      <c r="L271" s="10">
        <f t="shared" si="30"/>
        <v>0.13783502903690456</v>
      </c>
      <c r="M271" s="10">
        <f t="shared" si="28"/>
        <v>0.14124601735109688</v>
      </c>
      <c r="P271" s="8">
        <f t="shared" si="29"/>
        <v>-0.34346655525249237</v>
      </c>
    </row>
    <row r="272" spans="1:16" x14ac:dyDescent="0.2">
      <c r="A272" s="8">
        <v>135</v>
      </c>
      <c r="B272" s="8">
        <v>270</v>
      </c>
      <c r="D272">
        <v>5083.0561370123996</v>
      </c>
      <c r="E272">
        <v>782.16650808754002</v>
      </c>
      <c r="F272">
        <v>139.23727185398999</v>
      </c>
      <c r="G272">
        <v>115.46493756004</v>
      </c>
      <c r="I272" s="9">
        <f t="shared" si="26"/>
        <v>666.70157052750005</v>
      </c>
      <c r="J272" s="9">
        <f t="shared" si="27"/>
        <v>4943.8188651584096</v>
      </c>
      <c r="K272" s="9">
        <f t="shared" si="31"/>
        <v>666.70157052750005</v>
      </c>
      <c r="L272" s="10">
        <f t="shared" si="30"/>
        <v>0.13485558203316933</v>
      </c>
      <c r="M272" s="10">
        <f t="shared" si="28"/>
        <v>0.13827925060131777</v>
      </c>
      <c r="P272" s="8">
        <f t="shared" si="29"/>
        <v>-2.4366773612407906</v>
      </c>
    </row>
    <row r="273" spans="1:16" x14ac:dyDescent="0.2">
      <c r="A273" s="8">
        <v>135.5</v>
      </c>
      <c r="B273" s="8">
        <v>271</v>
      </c>
      <c r="D273">
        <v>5163.0989533777001</v>
      </c>
      <c r="E273">
        <v>793.91246431970001</v>
      </c>
      <c r="F273">
        <v>139.63400576369</v>
      </c>
      <c r="G273">
        <v>115.33909702209</v>
      </c>
      <c r="I273" s="9">
        <f t="shared" si="26"/>
        <v>678.57336729761005</v>
      </c>
      <c r="J273" s="9">
        <f t="shared" si="27"/>
        <v>5023.4649476140103</v>
      </c>
      <c r="K273" s="9">
        <f t="shared" si="31"/>
        <v>678.57336729761005</v>
      </c>
      <c r="L273" s="10">
        <f t="shared" si="30"/>
        <v>0.13508074095747624</v>
      </c>
      <c r="M273" s="10">
        <f t="shared" si="28"/>
        <v>0.13851708977958077</v>
      </c>
      <c r="P273" s="8">
        <f t="shared" si="29"/>
        <v>-2.2688692455321435</v>
      </c>
    </row>
    <row r="274" spans="1:16" x14ac:dyDescent="0.2">
      <c r="A274" s="8">
        <v>136</v>
      </c>
      <c r="B274" s="8">
        <v>272</v>
      </c>
      <c r="D274">
        <v>5139.6460513796001</v>
      </c>
      <c r="E274">
        <v>803.06184586108998</v>
      </c>
      <c r="F274">
        <v>140.03650336215</v>
      </c>
      <c r="G274">
        <v>115.63880883765999</v>
      </c>
      <c r="I274" s="9">
        <f t="shared" si="26"/>
        <v>687.42303702342997</v>
      </c>
      <c r="J274" s="9">
        <f t="shared" si="27"/>
        <v>4999.6095480174499</v>
      </c>
      <c r="K274" s="9">
        <f t="shared" si="31"/>
        <v>687.42303702342997</v>
      </c>
      <c r="L274" s="10">
        <f t="shared" si="30"/>
        <v>0.13749534447065398</v>
      </c>
      <c r="M274" s="10">
        <f t="shared" si="28"/>
        <v>0.14094437354671463</v>
      </c>
      <c r="P274" s="8">
        <f t="shared" si="29"/>
        <v>-0.55629220827673098</v>
      </c>
    </row>
    <row r="275" spans="1:16" x14ac:dyDescent="0.2">
      <c r="A275" s="8">
        <v>136.5</v>
      </c>
      <c r="B275" s="8">
        <v>273</v>
      </c>
      <c r="D275">
        <v>5255.3118483411999</v>
      </c>
      <c r="E275">
        <v>831.15639810427001</v>
      </c>
      <c r="F275">
        <v>140.07877041306</v>
      </c>
      <c r="G275">
        <v>115.84149855907999</v>
      </c>
      <c r="I275" s="9">
        <f>E275-G275</f>
        <v>715.31489954518997</v>
      </c>
      <c r="J275" s="9">
        <f>D275-F275</f>
        <v>5115.2330779281401</v>
      </c>
      <c r="K275" s="9">
        <f t="shared" si="31"/>
        <v>715.31489954518997</v>
      </c>
      <c r="L275" s="10">
        <f t="shared" si="30"/>
        <v>0.1398401380049957</v>
      </c>
      <c r="M275" s="10">
        <f>L275+ABS($N$2)*A275</f>
        <v>0.14330184733501244</v>
      </c>
      <c r="O275" s="11"/>
      <c r="P275" s="8">
        <f>(M275-$O$2)/$O$2*100</f>
        <v>1.1070301977959973</v>
      </c>
    </row>
    <row r="276" spans="1:16" x14ac:dyDescent="0.2">
      <c r="A276" s="8">
        <v>137</v>
      </c>
      <c r="B276" s="8">
        <v>274</v>
      </c>
      <c r="D276">
        <v>5390.2417061611004</v>
      </c>
      <c r="E276">
        <v>860.71658767772999</v>
      </c>
      <c r="F276">
        <v>139.17291066281999</v>
      </c>
      <c r="G276">
        <v>115.45052833814</v>
      </c>
      <c r="I276" s="9">
        <f t="shared" ref="I276:I291" si="32">E276-G276</f>
        <v>745.26605933959002</v>
      </c>
      <c r="J276" s="9">
        <f t="shared" ref="J276:J291" si="33">D276-F276</f>
        <v>5251.0687954982805</v>
      </c>
      <c r="K276" s="9">
        <f t="shared" si="31"/>
        <v>745.26605933959002</v>
      </c>
      <c r="L276" s="10">
        <f t="shared" si="30"/>
        <v>0.14192654645441011</v>
      </c>
      <c r="M276" s="10">
        <f t="shared" ref="M276:M291" si="34">L276+ABS($N$2)*A276</f>
        <v>0.14540093603838297</v>
      </c>
      <c r="P276" s="8">
        <f t="shared" ref="P276:P291" si="35">(M276-$O$2)/$O$2*100</f>
        <v>2.5880482646697405</v>
      </c>
    </row>
    <row r="277" spans="1:16" x14ac:dyDescent="0.2">
      <c r="A277" s="8">
        <v>137.5</v>
      </c>
      <c r="B277" s="8">
        <v>275</v>
      </c>
      <c r="D277">
        <v>5362.0557692308003</v>
      </c>
      <c r="E277">
        <v>839.92211538462004</v>
      </c>
      <c r="F277">
        <v>139.15465898175</v>
      </c>
      <c r="G277">
        <v>115.34005763688999</v>
      </c>
      <c r="I277" s="9">
        <f t="shared" si="32"/>
        <v>724.58205774773</v>
      </c>
      <c r="J277" s="9">
        <f t="shared" si="33"/>
        <v>5222.9011102490504</v>
      </c>
      <c r="K277" s="9">
        <f t="shared" si="31"/>
        <v>724.58205774773</v>
      </c>
      <c r="L277" s="10">
        <f t="shared" si="30"/>
        <v>0.13873172063814526</v>
      </c>
      <c r="M277" s="10">
        <f t="shared" si="34"/>
        <v>0.14221879047607422</v>
      </c>
      <c r="N277" s="1"/>
      <c r="P277" s="8">
        <f t="shared" si="35"/>
        <v>0.34287631856095757</v>
      </c>
    </row>
    <row r="278" spans="1:16" x14ac:dyDescent="0.2">
      <c r="A278" s="8">
        <v>138</v>
      </c>
      <c r="B278" s="8">
        <v>276</v>
      </c>
      <c r="D278">
        <v>5379.0236742424004</v>
      </c>
      <c r="E278">
        <v>846.19128787879004</v>
      </c>
      <c r="F278">
        <v>138.84053794427999</v>
      </c>
      <c r="G278">
        <v>115.75504322767</v>
      </c>
      <c r="I278" s="9">
        <f t="shared" si="32"/>
        <v>730.43624465111998</v>
      </c>
      <c r="J278" s="9">
        <f t="shared" si="33"/>
        <v>5240.1831362981202</v>
      </c>
      <c r="K278" s="9">
        <f t="shared" si="31"/>
        <v>730.43624465111998</v>
      </c>
      <c r="L278" s="10">
        <f t="shared" si="30"/>
        <v>0.13939135821255477</v>
      </c>
      <c r="M278" s="10">
        <f t="shared" si="34"/>
        <v>0.14289110830443985</v>
      </c>
      <c r="P278" s="8">
        <f t="shared" si="35"/>
        <v>0.81723209442311695</v>
      </c>
    </row>
    <row r="279" spans="1:16" x14ac:dyDescent="0.2">
      <c r="A279" s="8">
        <v>138.5</v>
      </c>
      <c r="B279" s="8">
        <v>277</v>
      </c>
      <c r="D279">
        <v>5382.6183712121001</v>
      </c>
      <c r="E279">
        <v>846.65530303030005</v>
      </c>
      <c r="F279">
        <v>138.55235350624</v>
      </c>
      <c r="G279">
        <v>115.2949087416</v>
      </c>
      <c r="I279" s="9">
        <f t="shared" si="32"/>
        <v>731.36039428870004</v>
      </c>
      <c r="J279" s="9">
        <f t="shared" si="33"/>
        <v>5244.0660177058598</v>
      </c>
      <c r="K279" s="9">
        <f t="shared" si="31"/>
        <v>731.36039428870004</v>
      </c>
      <c r="L279" s="10">
        <f t="shared" si="30"/>
        <v>0.13946437589064734</v>
      </c>
      <c r="M279" s="10">
        <f t="shared" si="34"/>
        <v>0.14297680623648851</v>
      </c>
      <c r="P279" s="8">
        <f t="shared" si="35"/>
        <v>0.87769651665262127</v>
      </c>
    </row>
    <row r="280" spans="1:16" x14ac:dyDescent="0.2">
      <c r="A280" s="8">
        <v>139</v>
      </c>
      <c r="B280" s="8">
        <v>278</v>
      </c>
      <c r="D280">
        <v>5324.0700757575996</v>
      </c>
      <c r="E280">
        <v>843.12689393939002</v>
      </c>
      <c r="F280">
        <v>139.68107588857001</v>
      </c>
      <c r="G280">
        <v>115.57540826128999</v>
      </c>
      <c r="I280" s="9">
        <f t="shared" si="32"/>
        <v>727.55148567809999</v>
      </c>
      <c r="J280" s="9">
        <f t="shared" si="33"/>
        <v>5184.3889998690292</v>
      </c>
      <c r="K280" s="9">
        <f t="shared" si="31"/>
        <v>727.55148567809999</v>
      </c>
      <c r="L280" s="10">
        <f t="shared" si="30"/>
        <v>0.14033504925970636</v>
      </c>
      <c r="M280" s="10">
        <f t="shared" si="34"/>
        <v>0.14386015985950362</v>
      </c>
      <c r="P280" s="8">
        <f t="shared" si="35"/>
        <v>1.5009492038892647</v>
      </c>
    </row>
    <row r="281" spans="1:16" x14ac:dyDescent="0.2">
      <c r="A281" s="8">
        <v>139.5</v>
      </c>
      <c r="B281" s="8">
        <v>279</v>
      </c>
      <c r="D281">
        <v>5392.625</v>
      </c>
      <c r="E281">
        <v>850.98958333332996</v>
      </c>
      <c r="F281">
        <v>139.55523535061999</v>
      </c>
      <c r="G281">
        <v>115.52257444765</v>
      </c>
      <c r="I281" s="9">
        <f t="shared" si="32"/>
        <v>735.46700888568</v>
      </c>
      <c r="J281" s="9">
        <f t="shared" si="33"/>
        <v>5253.06976464938</v>
      </c>
      <c r="K281" s="9">
        <f t="shared" si="31"/>
        <v>735.46700888568</v>
      </c>
      <c r="L281" s="10">
        <f t="shared" si="30"/>
        <v>0.14000708953743912</v>
      </c>
      <c r="M281" s="10">
        <f t="shared" si="34"/>
        <v>0.14354488039119251</v>
      </c>
      <c r="P281" s="8">
        <f t="shared" si="35"/>
        <v>1.2785028689948195</v>
      </c>
    </row>
    <row r="282" spans="1:16" x14ac:dyDescent="0.2">
      <c r="A282" s="8">
        <v>140</v>
      </c>
      <c r="B282" s="8">
        <v>280</v>
      </c>
      <c r="D282">
        <v>5272.521780303</v>
      </c>
      <c r="E282">
        <v>837.64678030303003</v>
      </c>
      <c r="F282">
        <v>139.42074927953999</v>
      </c>
      <c r="G282">
        <v>115.39000960615</v>
      </c>
      <c r="I282" s="9">
        <f t="shared" si="32"/>
        <v>722.25677069688004</v>
      </c>
      <c r="J282" s="9">
        <f t="shared" si="33"/>
        <v>5133.1010310234597</v>
      </c>
      <c r="K282" s="9">
        <f t="shared" si="31"/>
        <v>722.25677069688004</v>
      </c>
      <c r="L282" s="10">
        <f t="shared" si="30"/>
        <v>0.14070573836978881</v>
      </c>
      <c r="M282" s="10">
        <f t="shared" si="34"/>
        <v>0.14425620947749829</v>
      </c>
      <c r="P282" s="8">
        <f t="shared" si="35"/>
        <v>1.7803831500044065</v>
      </c>
    </row>
    <row r="283" spans="1:16" x14ac:dyDescent="0.2">
      <c r="A283" s="8">
        <v>140.5</v>
      </c>
      <c r="B283" s="8">
        <v>281</v>
      </c>
      <c r="D283">
        <v>5218.0918560605996</v>
      </c>
      <c r="E283">
        <v>831.95928030303003</v>
      </c>
      <c r="F283">
        <v>139.46781940442</v>
      </c>
      <c r="G283">
        <v>115.48222862631999</v>
      </c>
      <c r="I283" s="9">
        <f t="shared" si="32"/>
        <v>716.47705167671006</v>
      </c>
      <c r="J283" s="9">
        <f t="shared" si="33"/>
        <v>5078.6240366561797</v>
      </c>
      <c r="K283" s="9">
        <f t="shared" si="31"/>
        <v>716.47705167671006</v>
      </c>
      <c r="L283" s="10">
        <f t="shared" si="30"/>
        <v>0.14107700166528692</v>
      </c>
      <c r="M283" s="10">
        <f t="shared" si="34"/>
        <v>0.14464015302695252</v>
      </c>
      <c r="P283" s="8">
        <f t="shared" si="35"/>
        <v>2.0512756246712924</v>
      </c>
    </row>
    <row r="284" spans="1:16" x14ac:dyDescent="0.2">
      <c r="A284" s="8">
        <v>141</v>
      </c>
      <c r="B284" s="8">
        <v>282</v>
      </c>
      <c r="D284">
        <v>5239.4839015152002</v>
      </c>
      <c r="E284">
        <v>834.94318181818005</v>
      </c>
      <c r="F284">
        <v>138.45725264168999</v>
      </c>
      <c r="G284">
        <v>115.61383285303</v>
      </c>
      <c r="I284" s="9">
        <f t="shared" si="32"/>
        <v>719.32934896515007</v>
      </c>
      <c r="J284" s="9">
        <f t="shared" si="33"/>
        <v>5101.0266488735106</v>
      </c>
      <c r="K284" s="9">
        <f t="shared" si="31"/>
        <v>719.32934896515007</v>
      </c>
      <c r="L284" s="10">
        <f t="shared" si="30"/>
        <v>0.14101658322526187</v>
      </c>
      <c r="M284" s="10">
        <f t="shared" si="34"/>
        <v>0.14459241484088356</v>
      </c>
      <c r="P284" s="8">
        <f t="shared" si="35"/>
        <v>2.0175938103037616</v>
      </c>
    </row>
    <row r="285" spans="1:16" x14ac:dyDescent="0.2">
      <c r="A285" s="8">
        <v>141.5</v>
      </c>
      <c r="B285" s="8">
        <v>283</v>
      </c>
      <c r="D285">
        <v>5336.7130681817998</v>
      </c>
      <c r="E285">
        <v>842.46212121212</v>
      </c>
      <c r="F285">
        <v>139.52545629202999</v>
      </c>
      <c r="G285">
        <v>115.2199807877</v>
      </c>
      <c r="I285" s="9">
        <f t="shared" si="32"/>
        <v>727.24214042441997</v>
      </c>
      <c r="J285" s="9">
        <f t="shared" si="33"/>
        <v>5197.1876118897699</v>
      </c>
      <c r="K285" s="9">
        <f t="shared" si="31"/>
        <v>727.24214042441997</v>
      </c>
      <c r="L285" s="10">
        <f t="shared" si="30"/>
        <v>0.13992993802276546</v>
      </c>
      <c r="M285" s="10">
        <f t="shared" si="34"/>
        <v>0.14351844989234327</v>
      </c>
      <c r="P285" s="8">
        <f t="shared" si="35"/>
        <v>1.2598547545776695</v>
      </c>
    </row>
    <row r="286" spans="1:16" x14ac:dyDescent="0.2">
      <c r="A286" s="8">
        <v>142</v>
      </c>
      <c r="B286" s="8">
        <v>284</v>
      </c>
      <c r="D286">
        <v>5116.6380952380996</v>
      </c>
      <c r="E286">
        <v>819.14952380952002</v>
      </c>
      <c r="F286">
        <v>139.01248799231999</v>
      </c>
      <c r="G286">
        <v>115.09221902017001</v>
      </c>
      <c r="I286" s="9">
        <f t="shared" si="32"/>
        <v>704.05730478935004</v>
      </c>
      <c r="J286" s="9">
        <f t="shared" si="33"/>
        <v>4977.62560724578</v>
      </c>
      <c r="K286" s="9">
        <f t="shared" si="31"/>
        <v>704.05730478935004</v>
      </c>
      <c r="L286" s="10">
        <f t="shared" si="30"/>
        <v>0.14144440750314266</v>
      </c>
      <c r="M286" s="10">
        <f t="shared" si="34"/>
        <v>0.14504559962667657</v>
      </c>
      <c r="P286" s="8">
        <f t="shared" si="35"/>
        <v>2.337339638249976</v>
      </c>
    </row>
    <row r="287" spans="1:16" x14ac:dyDescent="0.2">
      <c r="A287" s="8">
        <v>142.5</v>
      </c>
      <c r="B287" s="8">
        <v>285</v>
      </c>
      <c r="D287">
        <v>5130.5609523809999</v>
      </c>
      <c r="E287">
        <v>822.67809523810001</v>
      </c>
      <c r="F287">
        <v>139.09990393851999</v>
      </c>
      <c r="G287">
        <v>115.71469740633999</v>
      </c>
      <c r="I287" s="9">
        <f t="shared" si="32"/>
        <v>706.96339783176006</v>
      </c>
      <c r="J287" s="9">
        <f t="shared" si="33"/>
        <v>4991.4610484424802</v>
      </c>
      <c r="K287" s="9">
        <f t="shared" si="31"/>
        <v>706.96339783176006</v>
      </c>
      <c r="L287" s="10">
        <f t="shared" si="30"/>
        <v>0.14163456169859498</v>
      </c>
      <c r="M287" s="10">
        <f t="shared" si="34"/>
        <v>0.14524843407608498</v>
      </c>
      <c r="P287" s="8">
        <f t="shared" si="35"/>
        <v>2.480450066921184</v>
      </c>
    </row>
    <row r="288" spans="1:16" x14ac:dyDescent="0.2">
      <c r="A288" s="8">
        <v>143</v>
      </c>
      <c r="B288" s="8">
        <v>286</v>
      </c>
      <c r="D288">
        <v>4978.6123809523997</v>
      </c>
      <c r="E288">
        <v>797.78571428571001</v>
      </c>
      <c r="F288">
        <v>139.11239193084</v>
      </c>
      <c r="G288">
        <v>115.80595581172</v>
      </c>
      <c r="I288" s="9">
        <f t="shared" si="32"/>
        <v>681.97975847399005</v>
      </c>
      <c r="J288" s="9">
        <f t="shared" si="33"/>
        <v>4839.4999890215595</v>
      </c>
      <c r="K288" s="9">
        <f t="shared" si="31"/>
        <v>681.97975847399005</v>
      </c>
      <c r="L288" s="10">
        <f t="shared" si="30"/>
        <v>0.14091946689142804</v>
      </c>
      <c r="M288" s="10">
        <f t="shared" si="34"/>
        <v>0.14454601952287416</v>
      </c>
      <c r="P288" s="8">
        <f t="shared" si="35"/>
        <v>1.9848594603546894</v>
      </c>
    </row>
    <row r="289" spans="1:16" x14ac:dyDescent="0.2">
      <c r="A289" s="8">
        <v>143.5</v>
      </c>
      <c r="B289" s="8">
        <v>287</v>
      </c>
      <c r="D289">
        <v>5598.2237093690001</v>
      </c>
      <c r="E289">
        <v>888.52772466539</v>
      </c>
      <c r="F289">
        <v>139.31027857829</v>
      </c>
      <c r="G289">
        <v>115.38040345821</v>
      </c>
      <c r="I289" s="9">
        <f t="shared" si="32"/>
        <v>773.14732120717997</v>
      </c>
      <c r="J289" s="9">
        <f t="shared" si="33"/>
        <v>5458.9134307907098</v>
      </c>
      <c r="K289" s="9">
        <f t="shared" si="31"/>
        <v>773.14732120717997</v>
      </c>
      <c r="L289" s="10">
        <f t="shared" si="30"/>
        <v>0.14163025866031942</v>
      </c>
      <c r="M289" s="10">
        <f t="shared" si="34"/>
        <v>0.14526949154572164</v>
      </c>
      <c r="P289" s="8">
        <f t="shared" si="35"/>
        <v>2.4953072251367723</v>
      </c>
    </row>
    <row r="290" spans="1:16" x14ac:dyDescent="0.2">
      <c r="A290" s="8">
        <v>144</v>
      </c>
      <c r="B290" s="8">
        <v>288</v>
      </c>
      <c r="D290">
        <v>5438.5688336519997</v>
      </c>
      <c r="E290">
        <v>851.97418738049998</v>
      </c>
      <c r="F290">
        <v>139.80403458212999</v>
      </c>
      <c r="G290">
        <v>115.58309317964</v>
      </c>
      <c r="I290" s="9">
        <f t="shared" si="32"/>
        <v>736.39109420085992</v>
      </c>
      <c r="J290" s="9">
        <f t="shared" si="33"/>
        <v>5298.7647990698697</v>
      </c>
      <c r="K290" s="9">
        <f t="shared" si="31"/>
        <v>736.39109420085992</v>
      </c>
      <c r="L290" s="10">
        <f t="shared" si="30"/>
        <v>0.13897410474420829</v>
      </c>
      <c r="M290" s="10">
        <f t="shared" si="34"/>
        <v>0.14262601788356663</v>
      </c>
      <c r="P290" s="8">
        <f t="shared" si="35"/>
        <v>0.63019678617816444</v>
      </c>
    </row>
    <row r="291" spans="1:16" x14ac:dyDescent="0.2">
      <c r="A291" s="8">
        <v>144.5</v>
      </c>
      <c r="B291" s="8">
        <v>289</v>
      </c>
      <c r="D291">
        <v>5464.9425287355998</v>
      </c>
      <c r="E291">
        <v>861.24137931035</v>
      </c>
      <c r="F291">
        <v>140.01921229587001</v>
      </c>
      <c r="G291">
        <v>115.35926993276</v>
      </c>
      <c r="I291" s="9">
        <f t="shared" si="32"/>
        <v>745.88210937759004</v>
      </c>
      <c r="J291" s="9">
        <f t="shared" si="33"/>
        <v>5324.9233164397301</v>
      </c>
      <c r="K291" s="9">
        <f t="shared" si="31"/>
        <v>745.88210937759004</v>
      </c>
      <c r="L291" s="10">
        <f t="shared" si="30"/>
        <v>0.14007377478560396</v>
      </c>
      <c r="M291" s="10">
        <f t="shared" si="34"/>
        <v>0.14373836817891839</v>
      </c>
      <c r="P291" s="8">
        <f t="shared" si="35"/>
        <v>1.4150187336561484</v>
      </c>
    </row>
    <row r="292" spans="1:16" x14ac:dyDescent="0.2">
      <c r="A292" s="8">
        <v>145</v>
      </c>
      <c r="B292" s="8">
        <v>290</v>
      </c>
      <c r="D292">
        <v>5575.8601532567</v>
      </c>
      <c r="E292">
        <v>881.71551724137998</v>
      </c>
      <c r="F292">
        <v>139.51873198846999</v>
      </c>
      <c r="G292">
        <v>115.17675312199999</v>
      </c>
      <c r="I292" s="9">
        <f>E292-G292</f>
        <v>766.53876411937995</v>
      </c>
      <c r="J292" s="9">
        <f>D292-F292</f>
        <v>5436.3414212682301</v>
      </c>
      <c r="K292" s="9">
        <f t="shared" si="31"/>
        <v>766.53876411937995</v>
      </c>
      <c r="L292" s="10">
        <f t="shared" si="30"/>
        <v>0.14100268999303509</v>
      </c>
      <c r="M292" s="10">
        <f>L292+ABS($N$2)*A292</f>
        <v>0.14467996364030564</v>
      </c>
      <c r="O292" s="11"/>
      <c r="P292" s="8">
        <f>(M292-$O$2)/$O$2*100</f>
        <v>2.0793641173274735</v>
      </c>
    </row>
    <row r="293" spans="1:16" x14ac:dyDescent="0.2">
      <c r="A293" s="8">
        <v>145.5</v>
      </c>
      <c r="B293" s="8">
        <v>291</v>
      </c>
      <c r="D293">
        <v>5800.2816091954001</v>
      </c>
      <c r="E293">
        <v>928.89559386972996</v>
      </c>
      <c r="F293">
        <v>138.96829971182001</v>
      </c>
      <c r="G293">
        <v>115.79827089337</v>
      </c>
      <c r="I293" s="9">
        <f t="shared" ref="I293:I301" si="36">E293-G293</f>
        <v>813.09732297635992</v>
      </c>
      <c r="J293" s="9">
        <f t="shared" ref="J293:J301" si="37">D293-F293</f>
        <v>5661.3133094835803</v>
      </c>
      <c r="K293" s="9">
        <f t="shared" si="31"/>
        <v>813.09732297635992</v>
      </c>
      <c r="L293" s="10">
        <f t="shared" si="30"/>
        <v>0.1436234453963704</v>
      </c>
      <c r="M293" s="10">
        <f t="shared" ref="M293:M301" si="38">L293+ABS($N$2)*A293</f>
        <v>0.14731339929759704</v>
      </c>
      <c r="P293" s="8">
        <f t="shared" ref="P293:P301" si="39">(M293-$O$2)/$O$2*100</f>
        <v>3.9373922131080694</v>
      </c>
    </row>
    <row r="294" spans="1:16" x14ac:dyDescent="0.2">
      <c r="A294" s="8">
        <v>146</v>
      </c>
      <c r="B294" s="8">
        <v>292</v>
      </c>
      <c r="D294">
        <v>5797.8620689654999</v>
      </c>
      <c r="E294">
        <v>924.34674329502002</v>
      </c>
      <c r="F294">
        <v>139.44284341978999</v>
      </c>
      <c r="G294">
        <v>115.52065321806</v>
      </c>
      <c r="I294" s="9">
        <f t="shared" si="36"/>
        <v>808.82609007695999</v>
      </c>
      <c r="J294" s="9">
        <f t="shared" si="37"/>
        <v>5658.4192255457101</v>
      </c>
      <c r="K294" s="9">
        <f t="shared" si="31"/>
        <v>808.82609007695999</v>
      </c>
      <c r="L294" s="10">
        <f t="shared" si="30"/>
        <v>0.14294205816801336</v>
      </c>
      <c r="M294" s="10">
        <f t="shared" si="38"/>
        <v>0.1466446923231961</v>
      </c>
      <c r="N294" s="1"/>
      <c r="P294" s="8">
        <f t="shared" si="39"/>
        <v>3.4655840856373112</v>
      </c>
    </row>
    <row r="295" spans="1:16" x14ac:dyDescent="0.2">
      <c r="A295" s="8">
        <v>146.5</v>
      </c>
      <c r="B295" s="8">
        <v>293</v>
      </c>
      <c r="D295">
        <v>5728.1896551724003</v>
      </c>
      <c r="E295">
        <v>924.10727969349</v>
      </c>
      <c r="F295">
        <v>138.97790585975</v>
      </c>
      <c r="G295">
        <v>115.44860710854999</v>
      </c>
      <c r="I295" s="9">
        <f t="shared" si="36"/>
        <v>808.65867258493995</v>
      </c>
      <c r="J295" s="9">
        <f t="shared" si="37"/>
        <v>5589.2117493126507</v>
      </c>
      <c r="K295" s="9">
        <f t="shared" si="31"/>
        <v>808.65867258493995</v>
      </c>
      <c r="L295" s="10">
        <f t="shared" si="30"/>
        <v>0.14468206052210977</v>
      </c>
      <c r="M295" s="10">
        <f t="shared" si="38"/>
        <v>0.14839737493124863</v>
      </c>
      <c r="P295" s="8">
        <f t="shared" si="39"/>
        <v>4.7021943364824326</v>
      </c>
    </row>
    <row r="296" spans="1:16" x14ac:dyDescent="0.2">
      <c r="A296" s="8">
        <v>147</v>
      </c>
      <c r="B296" s="8">
        <v>294</v>
      </c>
      <c r="D296">
        <v>5909.4771428571003</v>
      </c>
      <c r="E296">
        <v>941.78</v>
      </c>
      <c r="F296">
        <v>139.39385206532</v>
      </c>
      <c r="G296">
        <v>115.40153698367</v>
      </c>
      <c r="I296" s="9">
        <f t="shared" si="36"/>
        <v>826.37846301632999</v>
      </c>
      <c r="J296" s="9">
        <f t="shared" si="37"/>
        <v>5770.0832907917802</v>
      </c>
      <c r="K296" s="9">
        <f t="shared" si="31"/>
        <v>826.37846301632999</v>
      </c>
      <c r="L296" s="10">
        <f t="shared" si="30"/>
        <v>0.1432177702417417</v>
      </c>
      <c r="M296" s="10">
        <f t="shared" si="38"/>
        <v>0.14694576490483666</v>
      </c>
      <c r="P296" s="8">
        <f t="shared" si="39"/>
        <v>3.6780067108146111</v>
      </c>
    </row>
    <row r="297" spans="1:16" x14ac:dyDescent="0.2">
      <c r="A297" s="8">
        <v>147.5</v>
      </c>
      <c r="B297" s="8">
        <v>295</v>
      </c>
      <c r="D297">
        <v>6092.1563393708002</v>
      </c>
      <c r="E297">
        <v>986.14489990466996</v>
      </c>
      <c r="F297">
        <v>139.02113352545999</v>
      </c>
      <c r="G297">
        <v>115.42747358309001</v>
      </c>
      <c r="I297" s="9">
        <f t="shared" si="36"/>
        <v>870.71742632157998</v>
      </c>
      <c r="J297" s="9">
        <f t="shared" si="37"/>
        <v>5953.1352058453404</v>
      </c>
      <c r="K297" s="9">
        <f t="shared" si="31"/>
        <v>870.71742632157998</v>
      </c>
      <c r="L297" s="10">
        <f t="shared" si="30"/>
        <v>0.14626199409457874</v>
      </c>
      <c r="M297" s="10">
        <f t="shared" si="38"/>
        <v>0.15000266901162981</v>
      </c>
      <c r="P297" s="8">
        <f t="shared" si="39"/>
        <v>5.8348141880744473</v>
      </c>
    </row>
    <row r="298" spans="1:16" x14ac:dyDescent="0.2">
      <c r="A298" s="8">
        <v>148</v>
      </c>
      <c r="B298" s="8">
        <v>296</v>
      </c>
      <c r="D298">
        <v>5570.9761677788001</v>
      </c>
      <c r="E298">
        <v>891.28503336511005</v>
      </c>
      <c r="F298">
        <v>139.32756964456999</v>
      </c>
      <c r="G298">
        <v>115.25840537944001</v>
      </c>
      <c r="I298" s="9">
        <f t="shared" si="36"/>
        <v>776.02662798567007</v>
      </c>
      <c r="J298" s="9">
        <f t="shared" si="37"/>
        <v>5431.6485981342303</v>
      </c>
      <c r="K298" s="9">
        <f t="shared" si="31"/>
        <v>776.02662798567007</v>
      </c>
      <c r="L298" s="10">
        <f t="shared" si="30"/>
        <v>0.14287128741211921</v>
      </c>
      <c r="M298" s="10">
        <f t="shared" si="38"/>
        <v>0.14662464258312638</v>
      </c>
      <c r="P298" s="8">
        <f t="shared" si="39"/>
        <v>3.4514379339136134</v>
      </c>
    </row>
    <row r="299" spans="1:16" x14ac:dyDescent="0.2">
      <c r="A299" s="8">
        <v>148.5</v>
      </c>
      <c r="B299" s="8">
        <v>297</v>
      </c>
      <c r="D299">
        <v>5317.6917221694002</v>
      </c>
      <c r="E299">
        <v>847.71265461464998</v>
      </c>
      <c r="F299">
        <v>138.68587896253999</v>
      </c>
      <c r="G299">
        <v>114.95677233428999</v>
      </c>
      <c r="I299" s="9">
        <f t="shared" si="36"/>
        <v>732.75588228035997</v>
      </c>
      <c r="J299" s="9">
        <f t="shared" si="37"/>
        <v>5179.0058432068599</v>
      </c>
      <c r="K299" s="9">
        <f t="shared" si="31"/>
        <v>732.75588228035997</v>
      </c>
      <c r="L299" s="10">
        <f t="shared" si="30"/>
        <v>0.14148581879695946</v>
      </c>
      <c r="M299" s="10">
        <f t="shared" si="38"/>
        <v>0.14525185422192274</v>
      </c>
      <c r="P299" s="8">
        <f t="shared" si="39"/>
        <v>2.4828631606455871</v>
      </c>
    </row>
    <row r="300" spans="1:16" x14ac:dyDescent="0.2">
      <c r="A300" s="8">
        <v>149</v>
      </c>
      <c r="B300" s="8">
        <v>298</v>
      </c>
      <c r="D300">
        <v>5510.5109419600003</v>
      </c>
      <c r="E300">
        <v>887.21883920076004</v>
      </c>
      <c r="F300">
        <v>138.87319884726</v>
      </c>
      <c r="G300">
        <v>114.82516810759</v>
      </c>
      <c r="I300" s="9">
        <f t="shared" si="36"/>
        <v>772.39367109317004</v>
      </c>
      <c r="J300" s="9">
        <f t="shared" si="37"/>
        <v>5371.6377431127403</v>
      </c>
      <c r="K300" s="9">
        <f t="shared" si="31"/>
        <v>772.39367109317004</v>
      </c>
      <c r="L300" s="10">
        <f t="shared" si="30"/>
        <v>0.14379109464026993</v>
      </c>
      <c r="M300" s="10">
        <f t="shared" si="38"/>
        <v>0.14756981031918931</v>
      </c>
      <c r="P300" s="8">
        <f t="shared" si="39"/>
        <v>4.1183037462481105</v>
      </c>
    </row>
    <row r="301" spans="1:16" x14ac:dyDescent="0.2">
      <c r="A301" s="8">
        <v>149.5</v>
      </c>
      <c r="B301" s="8">
        <v>299</v>
      </c>
      <c r="D301">
        <v>5582.6888677449997</v>
      </c>
      <c r="E301">
        <v>913.90199809704995</v>
      </c>
      <c r="F301">
        <v>139.68876080691999</v>
      </c>
      <c r="G301">
        <v>115.55811719501</v>
      </c>
      <c r="I301" s="9">
        <f t="shared" si="36"/>
        <v>798.34388090203993</v>
      </c>
      <c r="J301" s="9">
        <f t="shared" si="37"/>
        <v>5443.0001069380796</v>
      </c>
      <c r="K301" s="9">
        <f t="shared" si="31"/>
        <v>798.34388090203993</v>
      </c>
      <c r="L301" s="10">
        <f t="shared" si="30"/>
        <v>0.14667350086662823</v>
      </c>
      <c r="M301" s="10">
        <f t="shared" si="38"/>
        <v>0.1504648967995037</v>
      </c>
      <c r="P301" s="8">
        <f t="shared" si="39"/>
        <v>6.1609403321259544</v>
      </c>
    </row>
    <row r="302" spans="1:16" x14ac:dyDescent="0.2">
      <c r="A302" s="8">
        <v>150</v>
      </c>
      <c r="B302" s="8">
        <v>300</v>
      </c>
      <c r="D302">
        <v>5624.8441064639001</v>
      </c>
      <c r="E302">
        <v>920.73479087452995</v>
      </c>
      <c r="F302">
        <v>139.12487992314999</v>
      </c>
      <c r="G302">
        <v>115.47262247838999</v>
      </c>
      <c r="I302" s="9">
        <f>E302-G302</f>
        <v>805.26216839613994</v>
      </c>
      <c r="J302" s="9">
        <f>D302-F302</f>
        <v>5485.7192265407502</v>
      </c>
      <c r="K302" s="9">
        <f t="shared" si="31"/>
        <v>805.26216839613994</v>
      </c>
      <c r="L302" s="10">
        <f t="shared" si="30"/>
        <v>0.14679245056877102</v>
      </c>
      <c r="M302" s="10">
        <f>L302+ABS($N$2)*A302</f>
        <v>0.15059652675560262</v>
      </c>
      <c r="O302" s="11"/>
      <c r="P302" s="8">
        <f>(M302-$O$2)/$O$2*100</f>
        <v>6.2538122259202789</v>
      </c>
    </row>
    <row r="303" spans="1:16" x14ac:dyDescent="0.2">
      <c r="A303" s="8">
        <v>150.5</v>
      </c>
      <c r="B303" s="8">
        <v>301</v>
      </c>
      <c r="D303">
        <v>5605.5598859315996</v>
      </c>
      <c r="E303">
        <v>920.68726235740996</v>
      </c>
      <c r="F303">
        <v>138.46493756004</v>
      </c>
      <c r="G303">
        <v>115.2209414025</v>
      </c>
      <c r="I303" s="9">
        <f t="shared" ref="I303:I309" si="40">E303-G303</f>
        <v>805.46632095490997</v>
      </c>
      <c r="J303" s="9">
        <f t="shared" ref="J303:J309" si="41">D303-F303</f>
        <v>5467.0949483715594</v>
      </c>
      <c r="K303" s="9">
        <f t="shared" si="31"/>
        <v>805.46632095490997</v>
      </c>
      <c r="L303" s="10">
        <f t="shared" si="30"/>
        <v>0.14732985773273022</v>
      </c>
      <c r="M303" s="10">
        <f t="shared" ref="M303:M309" si="42">L303+ABS($N$2)*A303</f>
        <v>0.15114661417351791</v>
      </c>
      <c r="P303" s="8">
        <f t="shared" ref="P303:P309" si="43">(M303-$O$2)/$O$2*100</f>
        <v>6.6419279844322068</v>
      </c>
    </row>
    <row r="304" spans="1:16" x14ac:dyDescent="0.2">
      <c r="A304" s="8">
        <v>151</v>
      </c>
      <c r="B304" s="8">
        <v>302</v>
      </c>
      <c r="D304">
        <v>5928.2736742424004</v>
      </c>
      <c r="E304">
        <v>964.08806818181995</v>
      </c>
      <c r="F304">
        <v>139.12391930836</v>
      </c>
      <c r="G304">
        <v>115.24303554274999</v>
      </c>
      <c r="I304" s="9">
        <f t="shared" si="40"/>
        <v>848.84503263906993</v>
      </c>
      <c r="J304" s="9">
        <f t="shared" si="41"/>
        <v>5789.1497549340402</v>
      </c>
      <c r="K304" s="9">
        <f t="shared" si="31"/>
        <v>848.84503263906993</v>
      </c>
      <c r="L304" s="10">
        <f t="shared" si="30"/>
        <v>0.1466268914386965</v>
      </c>
      <c r="M304" s="10">
        <f t="shared" si="42"/>
        <v>0.15045632813344031</v>
      </c>
      <c r="N304" s="1"/>
      <c r="P304" s="8">
        <f t="shared" si="43"/>
        <v>6.1548946851609152</v>
      </c>
    </row>
    <row r="305" spans="1:16" x14ac:dyDescent="0.2">
      <c r="A305" s="8">
        <v>151.5</v>
      </c>
      <c r="B305" s="8">
        <v>303</v>
      </c>
      <c r="D305">
        <v>6005.3098188751001</v>
      </c>
      <c r="E305">
        <v>978.87416587226005</v>
      </c>
      <c r="F305">
        <v>139.47934678194</v>
      </c>
      <c r="G305">
        <v>115.26224783862</v>
      </c>
      <c r="I305" s="9">
        <f t="shared" si="40"/>
        <v>863.61191803363999</v>
      </c>
      <c r="J305" s="9">
        <f t="shared" si="41"/>
        <v>5865.8304720931601</v>
      </c>
      <c r="K305" s="9">
        <f t="shared" si="31"/>
        <v>863.61191803363999</v>
      </c>
      <c r="L305" s="10">
        <f t="shared" si="30"/>
        <v>0.14722756174804164</v>
      </c>
      <c r="M305" s="10">
        <f t="shared" si="42"/>
        <v>0.15106967869674154</v>
      </c>
      <c r="P305" s="8">
        <f t="shared" si="43"/>
        <v>6.5876459377009811</v>
      </c>
    </row>
    <row r="306" spans="1:16" x14ac:dyDescent="0.2">
      <c r="A306" s="8">
        <v>152</v>
      </c>
      <c r="B306" s="8">
        <v>304</v>
      </c>
      <c r="D306">
        <v>5895.3734359962</v>
      </c>
      <c r="E306">
        <v>954.00096246391001</v>
      </c>
      <c r="F306">
        <v>138.02497598463</v>
      </c>
      <c r="G306">
        <v>115.47646493756</v>
      </c>
      <c r="I306" s="9">
        <f t="shared" si="40"/>
        <v>838.52449752635005</v>
      </c>
      <c r="J306" s="9">
        <f t="shared" si="41"/>
        <v>5757.3484600115698</v>
      </c>
      <c r="K306" s="9">
        <f t="shared" si="31"/>
        <v>838.52449752635005</v>
      </c>
      <c r="L306" s="10">
        <f t="shared" si="30"/>
        <v>0.14564421510187087</v>
      </c>
      <c r="M306" s="10">
        <f t="shared" si="42"/>
        <v>0.14949901230452689</v>
      </c>
      <c r="P306" s="8">
        <f t="shared" si="43"/>
        <v>5.4794577510054339</v>
      </c>
    </row>
    <row r="307" spans="1:16" x14ac:dyDescent="0.2">
      <c r="A307" s="8">
        <v>152.5</v>
      </c>
      <c r="B307" s="8">
        <v>305</v>
      </c>
      <c r="D307">
        <v>5879.5794032723998</v>
      </c>
      <c r="E307">
        <v>950.90471607314998</v>
      </c>
      <c r="F307">
        <v>138.54178674351999</v>
      </c>
      <c r="G307">
        <v>115.26609029779</v>
      </c>
      <c r="I307" s="9">
        <f t="shared" si="40"/>
        <v>835.63862577535997</v>
      </c>
      <c r="J307" s="9">
        <f t="shared" si="41"/>
        <v>5741.0376165288799</v>
      </c>
      <c r="K307" s="9">
        <f t="shared" si="31"/>
        <v>835.63862577535997</v>
      </c>
      <c r="L307" s="10">
        <f t="shared" si="30"/>
        <v>0.14555533016705785</v>
      </c>
      <c r="M307" s="10">
        <f t="shared" si="42"/>
        <v>0.14942280762366997</v>
      </c>
      <c r="P307" s="8">
        <f t="shared" si="43"/>
        <v>5.4256913194352814</v>
      </c>
    </row>
    <row r="308" spans="1:16" x14ac:dyDescent="0.2">
      <c r="A308" s="8">
        <v>153</v>
      </c>
      <c r="B308" s="8">
        <v>306</v>
      </c>
      <c r="D308">
        <v>5605.2275334608003</v>
      </c>
      <c r="E308">
        <v>899.60994263862005</v>
      </c>
      <c r="F308">
        <v>138.57252641690999</v>
      </c>
      <c r="G308">
        <v>114.79731027858</v>
      </c>
      <c r="I308" s="9">
        <f t="shared" si="40"/>
        <v>784.81263236004008</v>
      </c>
      <c r="J308" s="9">
        <f t="shared" si="41"/>
        <v>5466.6550070438907</v>
      </c>
      <c r="K308" s="9">
        <f t="shared" si="31"/>
        <v>784.81263236004008</v>
      </c>
      <c r="L308" s="10">
        <f t="shared" si="30"/>
        <v>0.14356359260805626</v>
      </c>
      <c r="M308" s="10">
        <f t="shared" si="42"/>
        <v>0.1474437503186245</v>
      </c>
      <c r="P308" s="8">
        <f t="shared" si="43"/>
        <v>4.0293617505874142</v>
      </c>
    </row>
    <row r="309" spans="1:16" x14ac:dyDescent="0.2">
      <c r="A309" s="8">
        <v>153.5</v>
      </c>
      <c r="B309" s="8">
        <v>307</v>
      </c>
      <c r="D309">
        <v>5283.3786869648002</v>
      </c>
      <c r="E309">
        <v>847.36346336821998</v>
      </c>
      <c r="F309">
        <v>138.23823246878001</v>
      </c>
      <c r="G309">
        <v>115.06147934678</v>
      </c>
      <c r="I309" s="9">
        <f t="shared" si="40"/>
        <v>732.30198402143992</v>
      </c>
      <c r="J309" s="9">
        <f t="shared" si="41"/>
        <v>5145.1404544960205</v>
      </c>
      <c r="K309" s="9">
        <f t="shared" si="31"/>
        <v>732.30198402143992</v>
      </c>
      <c r="L309" s="10">
        <f t="shared" si="30"/>
        <v>0.14232886167014672</v>
      </c>
      <c r="M309" s="10">
        <f t="shared" si="42"/>
        <v>0.14622169963467105</v>
      </c>
      <c r="P309" s="8">
        <f t="shared" si="43"/>
        <v>3.1671403786823893</v>
      </c>
    </row>
    <row r="310" spans="1:16" x14ac:dyDescent="0.2">
      <c r="A310" s="8">
        <v>154</v>
      </c>
      <c r="B310" s="8">
        <v>308</v>
      </c>
      <c r="D310">
        <v>5302.4774688399002</v>
      </c>
      <c r="E310">
        <v>854.12655800574998</v>
      </c>
      <c r="F310">
        <v>138.51104707012999</v>
      </c>
      <c r="G310">
        <v>115.15658021134</v>
      </c>
      <c r="I310" s="9">
        <f>E310-G310</f>
        <v>738.96997779440994</v>
      </c>
      <c r="J310" s="9">
        <f>D310-F310</f>
        <v>5163.96642176977</v>
      </c>
      <c r="K310" s="9">
        <f t="shared" si="31"/>
        <v>738.96997779440994</v>
      </c>
      <c r="L310" s="10">
        <f t="shared" si="30"/>
        <v>0.14310123603420985</v>
      </c>
      <c r="M310" s="10">
        <f>L310+ABS($N$2)*A310</f>
        <v>0.14700675425269027</v>
      </c>
      <c r="O310" s="11"/>
      <c r="P310" s="8">
        <f>(M310-$O$2)/$O$2*100</f>
        <v>3.7210379204595481</v>
      </c>
    </row>
    <row r="311" spans="1:16" x14ac:dyDescent="0.2">
      <c r="A311" s="8">
        <v>154.5</v>
      </c>
      <c r="B311" s="8">
        <v>309</v>
      </c>
      <c r="D311">
        <v>5213.2866730585001</v>
      </c>
      <c r="E311">
        <v>840.09491850431004</v>
      </c>
      <c r="F311">
        <v>139.35638808837999</v>
      </c>
      <c r="G311">
        <v>114.88856868396</v>
      </c>
      <c r="I311" s="9">
        <f t="shared" ref="I311:I319" si="44">E311-G311</f>
        <v>725.20634982035006</v>
      </c>
      <c r="J311" s="9">
        <f t="shared" ref="J311:J319" si="45">D311-F311</f>
        <v>5073.9302849701198</v>
      </c>
      <c r="K311" s="9">
        <f t="shared" si="31"/>
        <v>725.20634982035006</v>
      </c>
      <c r="L311" s="10">
        <f t="shared" si="30"/>
        <v>0.14292792945313806</v>
      </c>
      <c r="M311" s="10">
        <f t="shared" ref="M311:M319" si="46">L311+ABS($N$2)*A311</f>
        <v>0.14684612792557461</v>
      </c>
      <c r="P311" s="8">
        <f t="shared" ref="P311:P319" si="47">(M311-$O$2)/$O$2*100</f>
        <v>3.6077075537666641</v>
      </c>
    </row>
    <row r="312" spans="1:16" x14ac:dyDescent="0.2">
      <c r="A312" s="8">
        <v>155</v>
      </c>
      <c r="B312" s="8">
        <v>310</v>
      </c>
      <c r="D312">
        <v>5231.8331735378997</v>
      </c>
      <c r="E312">
        <v>837.47555129433999</v>
      </c>
      <c r="F312">
        <v>138.22670509125999</v>
      </c>
      <c r="G312">
        <v>115.16522574448</v>
      </c>
      <c r="I312" s="9">
        <f t="shared" si="44"/>
        <v>722.31032554985995</v>
      </c>
      <c r="J312" s="9">
        <f t="shared" si="45"/>
        <v>5093.6064684466401</v>
      </c>
      <c r="K312" s="9">
        <f t="shared" si="31"/>
        <v>722.31032554985995</v>
      </c>
      <c r="L312" s="10">
        <f t="shared" si="30"/>
        <v>0.14180724993663235</v>
      </c>
      <c r="M312" s="10">
        <f t="shared" si="46"/>
        <v>0.14573812866302499</v>
      </c>
      <c r="N312" s="1"/>
      <c r="P312" s="8">
        <f t="shared" si="47"/>
        <v>2.8259554899859136</v>
      </c>
    </row>
    <row r="313" spans="1:16" x14ac:dyDescent="0.2">
      <c r="A313" s="8">
        <v>155.5</v>
      </c>
      <c r="B313" s="8">
        <v>311</v>
      </c>
      <c r="D313">
        <v>5324.920076118</v>
      </c>
      <c r="E313">
        <v>857.52235965747002</v>
      </c>
      <c r="F313">
        <v>138.77617675312001</v>
      </c>
      <c r="G313">
        <v>114.97886647454</v>
      </c>
      <c r="I313" s="9">
        <f t="shared" si="44"/>
        <v>742.54349318292998</v>
      </c>
      <c r="J313" s="9">
        <f t="shared" si="45"/>
        <v>5186.1438993648799</v>
      </c>
      <c r="K313" s="9">
        <f t="shared" si="31"/>
        <v>742.54349318292998</v>
      </c>
      <c r="L313" s="10">
        <f t="shared" si="30"/>
        <v>0.14317834360011983</v>
      </c>
      <c r="M313" s="10">
        <f t="shared" si="46"/>
        <v>0.14712190258046859</v>
      </c>
      <c r="P313" s="8">
        <f t="shared" si="47"/>
        <v>3.8022811540285488</v>
      </c>
    </row>
    <row r="314" spans="1:16" x14ac:dyDescent="0.2">
      <c r="A314" s="8">
        <v>156</v>
      </c>
      <c r="B314" s="8">
        <v>312</v>
      </c>
      <c r="D314">
        <v>5672.3444338725003</v>
      </c>
      <c r="E314">
        <v>921.60323501427001</v>
      </c>
      <c r="F314">
        <v>138.91354466858999</v>
      </c>
      <c r="G314">
        <v>115.01633045149001</v>
      </c>
      <c r="I314" s="9">
        <f t="shared" si="44"/>
        <v>806.58690456277998</v>
      </c>
      <c r="J314" s="9">
        <f t="shared" si="45"/>
        <v>5533.4308892039107</v>
      </c>
      <c r="K314" s="9">
        <f t="shared" si="31"/>
        <v>806.58690456277998</v>
      </c>
      <c r="L314" s="10">
        <f t="shared" si="30"/>
        <v>0.1457661477504823</v>
      </c>
      <c r="M314" s="10">
        <f t="shared" si="46"/>
        <v>0.14972238698478715</v>
      </c>
      <c r="P314" s="8">
        <f t="shared" si="47"/>
        <v>5.637060398581208</v>
      </c>
    </row>
    <row r="315" spans="1:16" x14ac:dyDescent="0.2">
      <c r="A315" s="8">
        <v>156.5</v>
      </c>
      <c r="B315" s="8">
        <v>313</v>
      </c>
      <c r="D315">
        <v>5444.2210526316003</v>
      </c>
      <c r="E315">
        <v>863.68803827751003</v>
      </c>
      <c r="F315">
        <v>138.30451488953</v>
      </c>
      <c r="G315">
        <v>114.99231508165001</v>
      </c>
      <c r="I315" s="9">
        <f t="shared" si="44"/>
        <v>748.69572319586007</v>
      </c>
      <c r="J315" s="9">
        <f t="shared" si="45"/>
        <v>5305.9165377420704</v>
      </c>
      <c r="K315" s="9">
        <f t="shared" si="31"/>
        <v>748.69572319586007</v>
      </c>
      <c r="L315" s="10">
        <f t="shared" si="30"/>
        <v>0.14110582363484878</v>
      </c>
      <c r="M315" s="10">
        <f t="shared" si="46"/>
        <v>0.14507474312310975</v>
      </c>
      <c r="P315" s="8">
        <f t="shared" si="47"/>
        <v>2.3579019159088985</v>
      </c>
    </row>
    <row r="316" spans="1:16" x14ac:dyDescent="0.2">
      <c r="A316" s="8">
        <v>157</v>
      </c>
      <c r="B316" s="8">
        <v>314</v>
      </c>
      <c r="D316">
        <v>5759.2706333973001</v>
      </c>
      <c r="E316">
        <v>922.99616122840996</v>
      </c>
      <c r="F316">
        <v>139.22478386167001</v>
      </c>
      <c r="G316">
        <v>115.02113352546</v>
      </c>
      <c r="I316" s="9">
        <f t="shared" si="44"/>
        <v>807.97502770295</v>
      </c>
      <c r="J316" s="9">
        <f t="shared" si="45"/>
        <v>5620.0458495356297</v>
      </c>
      <c r="K316" s="9">
        <f t="shared" si="31"/>
        <v>807.97502770295</v>
      </c>
      <c r="L316" s="10">
        <f t="shared" si="30"/>
        <v>0.14376662563521808</v>
      </c>
      <c r="M316" s="10">
        <f t="shared" si="46"/>
        <v>0.14774822537743515</v>
      </c>
      <c r="P316" s="8">
        <f t="shared" si="47"/>
        <v>4.2441850033098687</v>
      </c>
    </row>
    <row r="317" spans="1:16" x14ac:dyDescent="0.2">
      <c r="A317" s="8">
        <v>157.5</v>
      </c>
      <c r="B317" s="8">
        <v>315</v>
      </c>
      <c r="D317">
        <v>6019.2727272726997</v>
      </c>
      <c r="E317">
        <v>953.94736842104999</v>
      </c>
      <c r="F317">
        <v>139.07492795389001</v>
      </c>
      <c r="G317">
        <v>115.13352545629</v>
      </c>
      <c r="I317" s="9">
        <f t="shared" si="44"/>
        <v>838.81384296475994</v>
      </c>
      <c r="J317" s="9">
        <f t="shared" si="45"/>
        <v>5880.1977993188093</v>
      </c>
      <c r="K317" s="9">
        <f t="shared" si="31"/>
        <v>838.81384296475994</v>
      </c>
      <c r="L317" s="10">
        <f t="shared" si="30"/>
        <v>0.14265061679760707</v>
      </c>
      <c r="M317" s="10">
        <f t="shared" si="46"/>
        <v>0.14664489679378023</v>
      </c>
      <c r="P317" s="8">
        <f t="shared" si="47"/>
        <v>3.4657283504455378</v>
      </c>
    </row>
    <row r="318" spans="1:16" x14ac:dyDescent="0.2">
      <c r="A318" s="8">
        <v>158</v>
      </c>
      <c r="B318" s="8">
        <v>316</v>
      </c>
      <c r="D318">
        <v>5988.9473684210998</v>
      </c>
      <c r="E318">
        <v>946.60478468899998</v>
      </c>
      <c r="F318">
        <v>138.9414024976</v>
      </c>
      <c r="G318">
        <v>115.21902017291001</v>
      </c>
      <c r="I318" s="9">
        <f t="shared" si="44"/>
        <v>831.38576451608992</v>
      </c>
      <c r="J318" s="9">
        <f t="shared" si="45"/>
        <v>5850.0059659234994</v>
      </c>
      <c r="K318" s="9">
        <f t="shared" si="31"/>
        <v>831.38576451608992</v>
      </c>
      <c r="L318" s="10">
        <f t="shared" si="30"/>
        <v>0.14211707977033575</v>
      </c>
      <c r="M318" s="10">
        <f t="shared" si="46"/>
        <v>0.14612404002046503</v>
      </c>
      <c r="P318" s="8">
        <f t="shared" si="47"/>
        <v>3.0982363572321323</v>
      </c>
    </row>
    <row r="319" spans="1:16" x14ac:dyDescent="0.2">
      <c r="A319" s="8">
        <v>158.5</v>
      </c>
      <c r="B319" s="8">
        <v>317</v>
      </c>
      <c r="D319">
        <v>5992.2822966507001</v>
      </c>
      <c r="E319">
        <v>953.04880382775002</v>
      </c>
      <c r="F319">
        <v>138.81268011527001</v>
      </c>
      <c r="G319">
        <v>114.84918347743</v>
      </c>
      <c r="I319" s="9">
        <f t="shared" si="44"/>
        <v>838.19962035032006</v>
      </c>
      <c r="J319" s="9">
        <f t="shared" si="45"/>
        <v>5853.4696165354299</v>
      </c>
      <c r="K319" s="9">
        <f t="shared" si="31"/>
        <v>838.19962035032006</v>
      </c>
      <c r="L319" s="10">
        <f t="shared" si="30"/>
        <v>0.14319705666234181</v>
      </c>
      <c r="M319" s="10">
        <f t="shared" si="46"/>
        <v>0.14721669716642719</v>
      </c>
      <c r="P319" s="8">
        <f t="shared" si="47"/>
        <v>3.8691637465655231</v>
      </c>
    </row>
    <row r="320" spans="1:16" x14ac:dyDescent="0.2">
      <c r="A320" s="8">
        <v>159</v>
      </c>
      <c r="B320" s="8">
        <v>318</v>
      </c>
      <c r="D320">
        <v>5827.2495201536003</v>
      </c>
      <c r="E320">
        <v>920.23512476008</v>
      </c>
      <c r="F320">
        <v>138.04707012488001</v>
      </c>
      <c r="G320">
        <v>115.20172910663</v>
      </c>
      <c r="I320" s="9">
        <f>E320-G320</f>
        <v>805.03339565345004</v>
      </c>
      <c r="J320" s="9">
        <f>D320-F320</f>
        <v>5689.2024500287207</v>
      </c>
      <c r="K320" s="9">
        <f t="shared" si="31"/>
        <v>805.03339565345004</v>
      </c>
      <c r="L320" s="10">
        <f t="shared" si="30"/>
        <v>0.14150197724979641</v>
      </c>
      <c r="M320" s="10">
        <f>L320+ABS($N$2)*A320</f>
        <v>0.1455342980078379</v>
      </c>
      <c r="O320" s="11"/>
      <c r="P320" s="8">
        <f>(M320-$O$2)/$O$2*100</f>
        <v>2.6821421854647367</v>
      </c>
    </row>
    <row r="321" spans="1:16" x14ac:dyDescent="0.2">
      <c r="A321" s="8">
        <v>159.5</v>
      </c>
      <c r="B321" s="8">
        <v>319</v>
      </c>
      <c r="D321">
        <v>5798.8761996161002</v>
      </c>
      <c r="E321">
        <v>930.99040307101995</v>
      </c>
      <c r="F321">
        <v>139.09606147935</v>
      </c>
      <c r="G321">
        <v>115.07396733909999</v>
      </c>
      <c r="I321" s="9">
        <f t="shared" ref="I321:I322" si="48">E321-G321</f>
        <v>815.91643573191993</v>
      </c>
      <c r="J321" s="9">
        <f t="shared" ref="J321:J322" si="49">D321-F321</f>
        <v>5659.7801381367499</v>
      </c>
      <c r="K321" s="9">
        <f t="shared" si="31"/>
        <v>815.91643573191993</v>
      </c>
      <c r="L321" s="10">
        <f t="shared" si="30"/>
        <v>0.14416044719371854</v>
      </c>
      <c r="M321" s="10">
        <f t="shared" ref="M321:M322" si="50">L321+ABS($N$2)*A321</f>
        <v>0.14820544820571613</v>
      </c>
      <c r="P321" s="8">
        <f t="shared" ref="P321:P322" si="51">(M321-$O$2)/$O$2*100</f>
        <v>4.5667798837377065</v>
      </c>
    </row>
    <row r="322" spans="1:16" x14ac:dyDescent="0.2">
      <c r="A322" s="8">
        <v>160</v>
      </c>
      <c r="B322" s="8">
        <v>320</v>
      </c>
      <c r="D322">
        <v>6084.5637583893003</v>
      </c>
      <c r="E322">
        <v>975.55417066154996</v>
      </c>
      <c r="F322">
        <v>138.49183477426001</v>
      </c>
      <c r="G322">
        <v>115.51296829971</v>
      </c>
      <c r="I322" s="9">
        <f t="shared" si="48"/>
        <v>860.04120236183996</v>
      </c>
      <c r="J322" s="9">
        <f t="shared" si="49"/>
        <v>5946.0719236150408</v>
      </c>
      <c r="K322" s="9">
        <f t="shared" ref="K322" si="52">I322*1</f>
        <v>860.04120236183996</v>
      </c>
      <c r="L322" s="10">
        <f t="shared" ref="L322" si="53">K322/J322</f>
        <v>0.1446402286097743</v>
      </c>
      <c r="M322" s="10">
        <f t="shared" si="50"/>
        <v>0.14869790987572801</v>
      </c>
      <c r="P322" s="8">
        <f t="shared" si="51"/>
        <v>4.9142376302156388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6FA94-F5CD-234C-A351-81E254FF4BD0}">
  <dimension ref="A1:Y798"/>
  <sheetViews>
    <sheetView topLeftCell="F1" zoomScale="75" zoomScaleNormal="70" workbookViewId="0">
      <selection activeCell="P2" sqref="P2:P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2513.7611940298998</v>
      </c>
      <c r="E2">
        <v>573.44676616915001</v>
      </c>
      <c r="F2">
        <v>149.33697813121</v>
      </c>
      <c r="G2">
        <v>123.50795228628</v>
      </c>
      <c r="H2" s="4"/>
      <c r="I2" s="5">
        <f>E2-G2</f>
        <v>449.93881388287002</v>
      </c>
      <c r="J2" s="5">
        <f>D2-F2</f>
        <v>2364.4242158986899</v>
      </c>
      <c r="K2" s="9">
        <f>I2*1</f>
        <v>449.93881388287002</v>
      </c>
      <c r="L2" s="6">
        <f t="shared" ref="L2:L65" si="0">K2/J2</f>
        <v>0.19029529931956543</v>
      </c>
      <c r="M2" s="6">
        <f>L2+ABS($N$2)*A2</f>
        <v>0.19029529931956543</v>
      </c>
      <c r="N2" s="4">
        <f>LINEST(V64:V103,U64:U103)</f>
        <v>-1.8277443860985603E-4</v>
      </c>
      <c r="O2" s="7">
        <f>AVERAGE(M62:M81)</f>
        <v>0.17333426481684805</v>
      </c>
      <c r="P2" s="4">
        <f>(M2-$O$2)/$O$2*100</f>
        <v>9.7851596282126287</v>
      </c>
    </row>
    <row r="3" spans="1:16" x14ac:dyDescent="0.2">
      <c r="A3" s="8">
        <v>0.5</v>
      </c>
      <c r="B3" s="8">
        <v>1</v>
      </c>
      <c r="D3">
        <v>2490.3990049751001</v>
      </c>
      <c r="E3">
        <v>572.05572139304002</v>
      </c>
      <c r="F3">
        <v>149.41650099404001</v>
      </c>
      <c r="G3">
        <v>123.21968190855</v>
      </c>
      <c r="I3" s="9">
        <f t="shared" ref="I3:I66" si="1">E3-G3</f>
        <v>448.83603948449002</v>
      </c>
      <c r="J3" s="9">
        <f t="shared" ref="J3:J66" si="2">D3-F3</f>
        <v>2340.9825039810603</v>
      </c>
      <c r="K3" s="9">
        <f t="shared" ref="K3:K66" si="3">I3*1</f>
        <v>448.83603948449002</v>
      </c>
      <c r="L3" s="10">
        <f t="shared" si="0"/>
        <v>0.19172977103468405</v>
      </c>
      <c r="M3" s="10">
        <f t="shared" ref="M3:M66" si="4">L3+ABS($N$2)*A3</f>
        <v>0.19182115825398899</v>
      </c>
      <c r="P3" s="8">
        <f t="shared" ref="P3:P66" si="5">(M3-$O$2)/$O$2*100</f>
        <v>10.665458128936557</v>
      </c>
    </row>
    <row r="4" spans="1:16" ht="16" x14ac:dyDescent="0.2">
      <c r="A4" s="8">
        <v>1</v>
      </c>
      <c r="B4" s="8">
        <v>2</v>
      </c>
      <c r="D4">
        <v>2415.5840796020002</v>
      </c>
      <c r="E4">
        <v>565.42487562189001</v>
      </c>
      <c r="F4">
        <v>149.01491053678001</v>
      </c>
      <c r="G4">
        <v>123.15208747515</v>
      </c>
      <c r="I4" s="9">
        <f t="shared" si="1"/>
        <v>442.27278814674003</v>
      </c>
      <c r="J4" s="9">
        <f t="shared" si="2"/>
        <v>2266.5691690652202</v>
      </c>
      <c r="K4" s="9">
        <f t="shared" si="3"/>
        <v>442.27278814674003</v>
      </c>
      <c r="L4" s="10">
        <f t="shared" si="0"/>
        <v>0.19512874091071417</v>
      </c>
      <c r="M4" s="10">
        <f t="shared" si="4"/>
        <v>0.19531151534932403</v>
      </c>
      <c r="N4" s="1" t="s">
        <v>7</v>
      </c>
      <c r="P4" s="8">
        <f t="shared" si="5"/>
        <v>12.679114862660324</v>
      </c>
    </row>
    <row r="5" spans="1:16" x14ac:dyDescent="0.2">
      <c r="A5" s="8">
        <v>1.5</v>
      </c>
      <c r="B5" s="8">
        <v>3</v>
      </c>
      <c r="D5">
        <v>2299.2497512437999</v>
      </c>
      <c r="E5">
        <v>549.07462686566998</v>
      </c>
      <c r="F5">
        <v>149.22962226640001</v>
      </c>
      <c r="G5">
        <v>123.21471172962001</v>
      </c>
      <c r="I5" s="9">
        <f t="shared" si="1"/>
        <v>425.85991513604995</v>
      </c>
      <c r="J5" s="9">
        <f t="shared" si="2"/>
        <v>2150.0201289774</v>
      </c>
      <c r="K5" s="9">
        <f t="shared" si="3"/>
        <v>425.85991513604995</v>
      </c>
      <c r="L5" s="10">
        <f t="shared" si="0"/>
        <v>0.19807252471566344</v>
      </c>
      <c r="M5" s="10">
        <f t="shared" si="4"/>
        <v>0.19834668637357822</v>
      </c>
      <c r="N5" s="8">
        <f>RSQ(V64:V83,U64:U83)</f>
        <v>4.8581955861096973E-3</v>
      </c>
      <c r="P5" s="8">
        <f t="shared" si="5"/>
        <v>14.430165658913024</v>
      </c>
    </row>
    <row r="6" spans="1:16" x14ac:dyDescent="0.2">
      <c r="A6" s="8">
        <v>2</v>
      </c>
      <c r="B6" s="8">
        <v>4</v>
      </c>
      <c r="D6">
        <v>2443.6278606965002</v>
      </c>
      <c r="E6">
        <v>575.68955223881005</v>
      </c>
      <c r="F6">
        <v>148.83499005964001</v>
      </c>
      <c r="G6">
        <v>123.16500994035999</v>
      </c>
      <c r="I6" s="9">
        <f t="shared" si="1"/>
        <v>452.52454229845006</v>
      </c>
      <c r="J6" s="9">
        <f t="shared" si="2"/>
        <v>2294.7928706368602</v>
      </c>
      <c r="K6" s="9">
        <f t="shared" si="3"/>
        <v>452.52454229845006</v>
      </c>
      <c r="L6" s="10">
        <f t="shared" si="0"/>
        <v>0.1971962472468653</v>
      </c>
      <c r="M6" s="10">
        <f t="shared" si="4"/>
        <v>0.197561796124085</v>
      </c>
      <c r="P6" s="8">
        <f t="shared" si="5"/>
        <v>13.977346794551405</v>
      </c>
    </row>
    <row r="7" spans="1:16" x14ac:dyDescent="0.2">
      <c r="A7" s="8">
        <v>2.5</v>
      </c>
      <c r="B7" s="8">
        <v>5</v>
      </c>
      <c r="D7">
        <v>1920.1094527363</v>
      </c>
      <c r="E7">
        <v>508.66865671642</v>
      </c>
      <c r="F7">
        <v>149.08648111331999</v>
      </c>
      <c r="G7">
        <v>123.63717693837</v>
      </c>
      <c r="I7" s="9">
        <f t="shared" si="1"/>
        <v>385.03147977804997</v>
      </c>
      <c r="J7" s="9">
        <f t="shared" si="2"/>
        <v>1771.0229716229801</v>
      </c>
      <c r="K7" s="9">
        <f t="shared" si="3"/>
        <v>385.03147977804997</v>
      </c>
      <c r="L7" s="10">
        <f t="shared" si="0"/>
        <v>0.21740625951633136</v>
      </c>
      <c r="M7" s="10">
        <f t="shared" si="4"/>
        <v>0.217863195612856</v>
      </c>
      <c r="P7" s="8">
        <f t="shared" si="5"/>
        <v>25.689629712312801</v>
      </c>
    </row>
    <row r="8" spans="1:16" x14ac:dyDescent="0.2">
      <c r="A8" s="8">
        <v>3</v>
      </c>
      <c r="B8" s="8">
        <v>6</v>
      </c>
      <c r="D8">
        <v>1949.8557213930001</v>
      </c>
      <c r="E8">
        <v>511.66865671642</v>
      </c>
      <c r="F8">
        <v>149.19980119284</v>
      </c>
      <c r="G8">
        <v>123.14512922465001</v>
      </c>
      <c r="I8" s="9">
        <f t="shared" si="1"/>
        <v>388.52352749176998</v>
      </c>
      <c r="J8" s="9">
        <f t="shared" si="2"/>
        <v>1800.6559202001602</v>
      </c>
      <c r="K8" s="9">
        <f t="shared" si="3"/>
        <v>388.52352749176998</v>
      </c>
      <c r="L8" s="10">
        <f t="shared" si="0"/>
        <v>0.21576777835966679</v>
      </c>
      <c r="M8" s="10">
        <f t="shared" si="4"/>
        <v>0.21631610167549636</v>
      </c>
      <c r="P8" s="8">
        <f t="shared" si="5"/>
        <v>24.797080314192151</v>
      </c>
    </row>
    <row r="9" spans="1:16" x14ac:dyDescent="0.2">
      <c r="A9" s="8">
        <v>3.5</v>
      </c>
      <c r="B9" s="8">
        <v>7</v>
      </c>
      <c r="D9">
        <v>1973.5661691542</v>
      </c>
      <c r="E9">
        <v>514.46865671642001</v>
      </c>
      <c r="F9">
        <v>149.35387673956001</v>
      </c>
      <c r="G9">
        <v>123.02982107356</v>
      </c>
      <c r="I9" s="9">
        <f t="shared" si="1"/>
        <v>391.43883564286</v>
      </c>
      <c r="J9" s="9">
        <f t="shared" si="2"/>
        <v>1824.2122924146399</v>
      </c>
      <c r="K9" s="9">
        <f t="shared" si="3"/>
        <v>391.43883564286</v>
      </c>
      <c r="L9" s="10">
        <f t="shared" si="0"/>
        <v>0.21457965022520895</v>
      </c>
      <c r="M9" s="10">
        <f t="shared" si="4"/>
        <v>0.21521936076034345</v>
      </c>
      <c r="P9" s="8">
        <f t="shared" si="5"/>
        <v>24.164348571099246</v>
      </c>
    </row>
    <row r="10" spans="1:16" x14ac:dyDescent="0.2">
      <c r="A10" s="8">
        <v>4</v>
      </c>
      <c r="B10" s="8">
        <v>8</v>
      </c>
      <c r="D10">
        <v>3626.0743310207999</v>
      </c>
      <c r="E10">
        <v>744.97125867194995</v>
      </c>
      <c r="F10">
        <v>149.95526838966001</v>
      </c>
      <c r="G10">
        <v>123.96421471172999</v>
      </c>
      <c r="I10" s="9">
        <f t="shared" si="1"/>
        <v>621.00704396022002</v>
      </c>
      <c r="J10" s="9">
        <f t="shared" si="2"/>
        <v>3476.11906263114</v>
      </c>
      <c r="K10" s="9">
        <f t="shared" si="3"/>
        <v>621.00704396022002</v>
      </c>
      <c r="L10" s="10">
        <f t="shared" si="0"/>
        <v>0.17864953207044873</v>
      </c>
      <c r="M10" s="10">
        <f t="shared" si="4"/>
        <v>0.17938062982488814</v>
      </c>
      <c r="P10" s="8">
        <f t="shared" si="5"/>
        <v>3.4882687588798018</v>
      </c>
    </row>
    <row r="11" spans="1:16" x14ac:dyDescent="0.2">
      <c r="A11" s="8">
        <v>4.5</v>
      </c>
      <c r="B11" s="8">
        <v>9</v>
      </c>
      <c r="D11">
        <v>3593.8592666006002</v>
      </c>
      <c r="E11">
        <v>738.56392467789999</v>
      </c>
      <c r="F11">
        <v>149.87574552684001</v>
      </c>
      <c r="G11">
        <v>123.57753479125</v>
      </c>
      <c r="I11" s="9">
        <f t="shared" si="1"/>
        <v>614.98638988664993</v>
      </c>
      <c r="J11" s="9">
        <f t="shared" si="2"/>
        <v>3443.9835210737601</v>
      </c>
      <c r="K11" s="9">
        <f t="shared" si="3"/>
        <v>614.98638988664993</v>
      </c>
      <c r="L11" s="10">
        <f t="shared" si="0"/>
        <v>0.17856833115592563</v>
      </c>
      <c r="M11" s="10">
        <f t="shared" si="4"/>
        <v>0.17939081612966998</v>
      </c>
      <c r="P11" s="8">
        <f t="shared" si="5"/>
        <v>3.4941454415960536</v>
      </c>
    </row>
    <row r="12" spans="1:16" x14ac:dyDescent="0.2">
      <c r="A12" s="8">
        <v>5</v>
      </c>
      <c r="B12" s="8">
        <v>10</v>
      </c>
      <c r="D12">
        <v>4192.6025768087002</v>
      </c>
      <c r="E12">
        <v>808.72646184340999</v>
      </c>
      <c r="F12">
        <v>150.06759443339999</v>
      </c>
      <c r="G12">
        <v>123.52385685885</v>
      </c>
      <c r="I12" s="9">
        <f t="shared" si="1"/>
        <v>685.20260498456003</v>
      </c>
      <c r="J12" s="9">
        <f t="shared" si="2"/>
        <v>4042.5349823753004</v>
      </c>
      <c r="K12" s="9">
        <f t="shared" si="3"/>
        <v>685.20260498456003</v>
      </c>
      <c r="L12" s="10">
        <f t="shared" si="0"/>
        <v>0.16949824997728302</v>
      </c>
      <c r="M12" s="10">
        <f t="shared" si="4"/>
        <v>0.1704121221703323</v>
      </c>
      <c r="P12" s="8">
        <f t="shared" si="5"/>
        <v>-1.6858424672140846</v>
      </c>
    </row>
    <row r="13" spans="1:16" x14ac:dyDescent="0.2">
      <c r="A13" s="8">
        <v>5.5</v>
      </c>
      <c r="B13" s="8">
        <v>11</v>
      </c>
      <c r="D13">
        <v>4630.4797630800003</v>
      </c>
      <c r="E13">
        <v>894.83514313919</v>
      </c>
      <c r="F13">
        <v>150.31411530815001</v>
      </c>
      <c r="G13">
        <v>123.39662027833</v>
      </c>
      <c r="I13" s="9">
        <f t="shared" si="1"/>
        <v>771.43852286085996</v>
      </c>
      <c r="J13" s="9">
        <f t="shared" si="2"/>
        <v>4480.1656477718507</v>
      </c>
      <c r="K13" s="9">
        <f t="shared" si="3"/>
        <v>771.43852286085996</v>
      </c>
      <c r="L13" s="10">
        <f t="shared" si="0"/>
        <v>0.17218973214629338</v>
      </c>
      <c r="M13" s="10">
        <f t="shared" si="4"/>
        <v>0.17319499155864759</v>
      </c>
      <c r="P13" s="8">
        <f t="shared" si="5"/>
        <v>-8.0349524860314298E-2</v>
      </c>
    </row>
    <row r="14" spans="1:16" x14ac:dyDescent="0.2">
      <c r="A14" s="8">
        <v>6</v>
      </c>
      <c r="B14" s="8">
        <v>12</v>
      </c>
      <c r="D14">
        <v>5203.3164179104997</v>
      </c>
      <c r="E14">
        <v>986.32537313432999</v>
      </c>
      <c r="F14">
        <v>150.31908548708</v>
      </c>
      <c r="G14">
        <v>123.07852882704</v>
      </c>
      <c r="I14" s="9">
        <f t="shared" si="1"/>
        <v>863.24684430728996</v>
      </c>
      <c r="J14" s="9">
        <f t="shared" si="2"/>
        <v>5052.9973324234197</v>
      </c>
      <c r="K14" s="9">
        <f t="shared" si="3"/>
        <v>863.24684430728996</v>
      </c>
      <c r="L14" s="10">
        <f t="shared" si="0"/>
        <v>0.17083857115223855</v>
      </c>
      <c r="M14" s="10">
        <f t="shared" si="4"/>
        <v>0.1719352177838977</v>
      </c>
      <c r="P14" s="8">
        <f t="shared" si="5"/>
        <v>-0.80713818149495165</v>
      </c>
    </row>
    <row r="15" spans="1:16" x14ac:dyDescent="0.2">
      <c r="A15" s="8">
        <v>6.5</v>
      </c>
      <c r="B15" s="8">
        <v>13</v>
      </c>
      <c r="D15">
        <v>5128.7870646765996</v>
      </c>
      <c r="E15">
        <v>981.02388059702002</v>
      </c>
      <c r="F15">
        <v>150.68290258448999</v>
      </c>
      <c r="G15">
        <v>123.50695825050001</v>
      </c>
      <c r="I15" s="9">
        <f t="shared" si="1"/>
        <v>857.51692234652</v>
      </c>
      <c r="J15" s="9">
        <f t="shared" si="2"/>
        <v>4978.1041620921096</v>
      </c>
      <c r="K15" s="9">
        <f t="shared" si="3"/>
        <v>857.51692234652</v>
      </c>
      <c r="L15" s="10">
        <f t="shared" si="0"/>
        <v>0.17225772993591559</v>
      </c>
      <c r="M15" s="10">
        <f t="shared" si="4"/>
        <v>0.17344576378687965</v>
      </c>
      <c r="P15" s="8">
        <f t="shared" si="5"/>
        <v>6.4325983180193794E-2</v>
      </c>
    </row>
    <row r="16" spans="1:16" x14ac:dyDescent="0.2">
      <c r="A16" s="8">
        <v>7</v>
      </c>
      <c r="B16" s="8">
        <v>14</v>
      </c>
      <c r="D16">
        <v>5070.0835820896</v>
      </c>
      <c r="E16">
        <v>971.58208955223995</v>
      </c>
      <c r="F16">
        <v>150.85188866799001</v>
      </c>
      <c r="G16">
        <v>123.73161033797</v>
      </c>
      <c r="I16" s="9">
        <f t="shared" si="1"/>
        <v>847.85047921426997</v>
      </c>
      <c r="J16" s="9">
        <f t="shared" si="2"/>
        <v>4919.2316934216096</v>
      </c>
      <c r="K16" s="9">
        <f t="shared" si="3"/>
        <v>847.85047921426997</v>
      </c>
      <c r="L16" s="10">
        <f t="shared" si="0"/>
        <v>0.17235424799122259</v>
      </c>
      <c r="M16" s="10">
        <f t="shared" si="4"/>
        <v>0.17363366906149158</v>
      </c>
      <c r="P16" s="8">
        <f t="shared" si="5"/>
        <v>0.17273228981003458</v>
      </c>
    </row>
    <row r="17" spans="1:16" x14ac:dyDescent="0.2">
      <c r="A17" s="8">
        <v>7.5</v>
      </c>
      <c r="B17" s="8">
        <v>15</v>
      </c>
      <c r="D17">
        <v>5245.0029850745996</v>
      </c>
      <c r="E17">
        <v>998.30945273632005</v>
      </c>
      <c r="F17">
        <v>150.46023856859</v>
      </c>
      <c r="G17">
        <v>123.58349900595999</v>
      </c>
      <c r="I17" s="9">
        <f t="shared" si="1"/>
        <v>874.72595373036006</v>
      </c>
      <c r="J17" s="9">
        <f t="shared" si="2"/>
        <v>5094.5427465060093</v>
      </c>
      <c r="K17" s="9">
        <f t="shared" si="3"/>
        <v>874.72595373036006</v>
      </c>
      <c r="L17" s="10">
        <f t="shared" si="0"/>
        <v>0.17169861894480587</v>
      </c>
      <c r="M17" s="10">
        <f t="shared" si="4"/>
        <v>0.17306942723437979</v>
      </c>
      <c r="P17" s="8">
        <f t="shared" si="5"/>
        <v>-0.15279009187715775</v>
      </c>
    </row>
    <row r="18" spans="1:16" x14ac:dyDescent="0.2">
      <c r="A18" s="8">
        <v>8</v>
      </c>
      <c r="B18" s="8">
        <v>16</v>
      </c>
      <c r="D18">
        <v>5469.2240868707004</v>
      </c>
      <c r="E18">
        <v>1032.8736426456001</v>
      </c>
      <c r="F18">
        <v>149.87077534791001</v>
      </c>
      <c r="G18">
        <v>123.7703777336</v>
      </c>
      <c r="I18" s="9">
        <f t="shared" si="1"/>
        <v>909.1032649120001</v>
      </c>
      <c r="J18" s="9">
        <f t="shared" si="2"/>
        <v>5319.3533115227901</v>
      </c>
      <c r="K18" s="9">
        <f t="shared" si="3"/>
        <v>909.1032649120001</v>
      </c>
      <c r="L18" s="10">
        <f t="shared" si="0"/>
        <v>0.17090484720063609</v>
      </c>
      <c r="M18" s="10">
        <f t="shared" si="4"/>
        <v>0.17236704270951494</v>
      </c>
      <c r="P18" s="8">
        <f t="shared" si="5"/>
        <v>-0.55800975551781995</v>
      </c>
    </row>
    <row r="19" spans="1:16" x14ac:dyDescent="0.2">
      <c r="A19" s="8">
        <v>8.5</v>
      </c>
      <c r="B19" s="8">
        <v>17</v>
      </c>
      <c r="D19">
        <v>5383.9289239882</v>
      </c>
      <c r="E19">
        <v>1015.8894373149</v>
      </c>
      <c r="F19">
        <v>149.95328031809001</v>
      </c>
      <c r="G19">
        <v>123.58648111332</v>
      </c>
      <c r="I19" s="9">
        <f t="shared" si="1"/>
        <v>892.30295620157995</v>
      </c>
      <c r="J19" s="9">
        <f t="shared" si="2"/>
        <v>5233.97564367011</v>
      </c>
      <c r="K19" s="9">
        <f t="shared" si="3"/>
        <v>892.30295620157995</v>
      </c>
      <c r="L19" s="10">
        <f t="shared" si="0"/>
        <v>0.17048282547526133</v>
      </c>
      <c r="M19" s="10">
        <f t="shared" si="4"/>
        <v>0.17203640820344512</v>
      </c>
      <c r="P19" s="8">
        <f t="shared" si="5"/>
        <v>-0.748759407018741</v>
      </c>
    </row>
    <row r="20" spans="1:16" x14ac:dyDescent="0.2">
      <c r="A20" s="8">
        <v>9</v>
      </c>
      <c r="B20" s="8">
        <v>18</v>
      </c>
      <c r="D20">
        <v>5356.4027640671002</v>
      </c>
      <c r="E20">
        <v>1006.532082922</v>
      </c>
      <c r="F20">
        <v>150.62326043738</v>
      </c>
      <c r="G20">
        <v>123.71272365805</v>
      </c>
      <c r="I20" s="9">
        <f t="shared" si="1"/>
        <v>882.81935926394999</v>
      </c>
      <c r="J20" s="9">
        <f t="shared" si="2"/>
        <v>5205.7795036297202</v>
      </c>
      <c r="K20" s="9">
        <f t="shared" si="3"/>
        <v>882.81935926394999</v>
      </c>
      <c r="L20" s="10">
        <f t="shared" si="0"/>
        <v>0.16958447023128925</v>
      </c>
      <c r="M20" s="10">
        <f t="shared" si="4"/>
        <v>0.17122944017877795</v>
      </c>
      <c r="P20" s="8">
        <f t="shared" si="5"/>
        <v>-1.2143153809168339</v>
      </c>
    </row>
    <row r="21" spans="1:16" x14ac:dyDescent="0.2">
      <c r="A21" s="8">
        <v>9.5</v>
      </c>
      <c r="B21" s="8">
        <v>19</v>
      </c>
      <c r="D21">
        <v>5435.5231527094002</v>
      </c>
      <c r="E21">
        <v>1017.8246305419</v>
      </c>
      <c r="F21">
        <v>149.46819085486999</v>
      </c>
      <c r="G21">
        <v>123.49701789264</v>
      </c>
      <c r="I21" s="9">
        <f t="shared" si="1"/>
        <v>894.32761264926</v>
      </c>
      <c r="J21" s="9">
        <f t="shared" si="2"/>
        <v>5286.0549618545301</v>
      </c>
      <c r="K21" s="9">
        <f t="shared" si="3"/>
        <v>894.32761264926</v>
      </c>
      <c r="L21" s="10">
        <f t="shared" si="0"/>
        <v>0.16918621147584495</v>
      </c>
      <c r="M21" s="10">
        <f t="shared" si="4"/>
        <v>0.17092256864263858</v>
      </c>
      <c r="P21" s="8">
        <f t="shared" si="5"/>
        <v>-1.3913557003618218</v>
      </c>
    </row>
    <row r="22" spans="1:16" x14ac:dyDescent="0.2">
      <c r="A22" s="8">
        <v>10</v>
      </c>
      <c r="B22" s="8">
        <v>20</v>
      </c>
      <c r="D22">
        <v>5427.3950738916001</v>
      </c>
      <c r="E22">
        <v>1013.0699507389</v>
      </c>
      <c r="F22">
        <v>150.0407554672</v>
      </c>
      <c r="G22">
        <v>122.98608349900999</v>
      </c>
      <c r="I22" s="9">
        <f t="shared" si="1"/>
        <v>890.08386723989008</v>
      </c>
      <c r="J22" s="9">
        <f t="shared" si="2"/>
        <v>5277.3543184243999</v>
      </c>
      <c r="K22" s="9">
        <f t="shared" si="3"/>
        <v>890.08386723989008</v>
      </c>
      <c r="L22" s="10">
        <f t="shared" si="0"/>
        <v>0.16866100199723416</v>
      </c>
      <c r="M22" s="10">
        <f t="shared" si="4"/>
        <v>0.17048874638333272</v>
      </c>
      <c r="P22" s="8">
        <f t="shared" si="5"/>
        <v>-1.6416364280438234</v>
      </c>
    </row>
    <row r="23" spans="1:16" x14ac:dyDescent="0.2">
      <c r="A23" s="8">
        <v>10.5</v>
      </c>
      <c r="B23" s="8">
        <v>21</v>
      </c>
      <c r="D23">
        <v>5499.3701492537002</v>
      </c>
      <c r="E23">
        <v>1032.976119403</v>
      </c>
      <c r="F23">
        <v>150.28528827037999</v>
      </c>
      <c r="G23">
        <v>123.46819085487</v>
      </c>
      <c r="I23" s="9">
        <f t="shared" si="1"/>
        <v>909.50792854812994</v>
      </c>
      <c r="J23" s="9">
        <f t="shared" si="2"/>
        <v>5349.0848609833201</v>
      </c>
      <c r="K23" s="9">
        <f t="shared" si="3"/>
        <v>909.50792854812994</v>
      </c>
      <c r="L23" s="10">
        <f t="shared" si="0"/>
        <v>0.17003056638382355</v>
      </c>
      <c r="M23" s="10">
        <f t="shared" si="4"/>
        <v>0.17194969798922705</v>
      </c>
      <c r="P23" s="8">
        <f t="shared" si="5"/>
        <v>-0.79878426177535777</v>
      </c>
    </row>
    <row r="24" spans="1:16" x14ac:dyDescent="0.2">
      <c r="A24" s="8">
        <v>11</v>
      </c>
      <c r="B24" s="8">
        <v>22</v>
      </c>
      <c r="D24">
        <v>5442.1333333332996</v>
      </c>
      <c r="E24">
        <v>1038.7771144279</v>
      </c>
      <c r="F24">
        <v>150.39761431412001</v>
      </c>
      <c r="G24">
        <v>123.11630218688001</v>
      </c>
      <c r="I24" s="9">
        <f t="shared" si="1"/>
        <v>915.66081224101993</v>
      </c>
      <c r="J24" s="9">
        <f t="shared" si="2"/>
        <v>5291.7357190191797</v>
      </c>
      <c r="K24" s="9">
        <f t="shared" si="3"/>
        <v>915.66081224101993</v>
      </c>
      <c r="L24" s="10">
        <f t="shared" si="0"/>
        <v>0.17303600573815828</v>
      </c>
      <c r="M24" s="10">
        <f t="shared" si="4"/>
        <v>0.17504652456286671</v>
      </c>
      <c r="P24" s="8">
        <f t="shared" si="5"/>
        <v>0.98783685258532106</v>
      </c>
    </row>
    <row r="25" spans="1:16" x14ac:dyDescent="0.2">
      <c r="A25" s="8">
        <v>11.5</v>
      </c>
      <c r="B25" s="8">
        <v>23</v>
      </c>
      <c r="D25">
        <v>5257.6776119403003</v>
      </c>
      <c r="E25">
        <v>1072.5711442786001</v>
      </c>
      <c r="F25">
        <v>150.16103379722</v>
      </c>
      <c r="G25">
        <v>123.9731610338</v>
      </c>
      <c r="I25" s="9">
        <f t="shared" si="1"/>
        <v>948.59798324480005</v>
      </c>
      <c r="J25" s="9">
        <f t="shared" si="2"/>
        <v>5107.5165781430806</v>
      </c>
      <c r="K25" s="9">
        <f t="shared" si="3"/>
        <v>948.59798324480005</v>
      </c>
      <c r="L25" s="10">
        <f t="shared" si="0"/>
        <v>0.18572587454815037</v>
      </c>
      <c r="M25" s="10">
        <f t="shared" si="4"/>
        <v>0.18782778059216371</v>
      </c>
      <c r="P25" s="8">
        <f t="shared" si="5"/>
        <v>8.361598781770061</v>
      </c>
    </row>
    <row r="26" spans="1:16" x14ac:dyDescent="0.2">
      <c r="A26" s="8">
        <v>12</v>
      </c>
      <c r="B26" s="8">
        <v>24</v>
      </c>
      <c r="D26">
        <v>5162.0845771144004</v>
      </c>
      <c r="E26">
        <v>1054.671641791</v>
      </c>
      <c r="F26">
        <v>150.25149105368001</v>
      </c>
      <c r="G26">
        <v>123.67395626243</v>
      </c>
      <c r="I26" s="9">
        <f t="shared" si="1"/>
        <v>930.99768552856995</v>
      </c>
      <c r="J26" s="9">
        <f t="shared" si="2"/>
        <v>5011.8330860607202</v>
      </c>
      <c r="K26" s="9">
        <f t="shared" si="3"/>
        <v>930.99768552856995</v>
      </c>
      <c r="L26" s="10">
        <f t="shared" si="0"/>
        <v>0.18575991449474433</v>
      </c>
      <c r="M26" s="10">
        <f t="shared" si="4"/>
        <v>0.1879532077580626</v>
      </c>
      <c r="P26" s="8">
        <f t="shared" si="5"/>
        <v>8.4339602193839216</v>
      </c>
    </row>
    <row r="27" spans="1:16" x14ac:dyDescent="0.2">
      <c r="A27" s="8">
        <v>12.5</v>
      </c>
      <c r="B27" s="8">
        <v>25</v>
      </c>
      <c r="D27">
        <v>5387.9429133858002</v>
      </c>
      <c r="E27">
        <v>1080.1456692913</v>
      </c>
      <c r="F27">
        <v>151.05069582505001</v>
      </c>
      <c r="G27">
        <v>124.05964214712</v>
      </c>
      <c r="I27" s="9">
        <f t="shared" si="1"/>
        <v>956.08602714417998</v>
      </c>
      <c r="J27" s="9">
        <f t="shared" si="2"/>
        <v>5236.8922175607504</v>
      </c>
      <c r="K27" s="9">
        <f t="shared" si="3"/>
        <v>956.08602714417998</v>
      </c>
      <c r="L27" s="10">
        <f t="shared" si="0"/>
        <v>0.18256744409177617</v>
      </c>
      <c r="M27" s="10">
        <f t="shared" si="4"/>
        <v>0.18485212457439937</v>
      </c>
      <c r="P27" s="8">
        <f t="shared" si="5"/>
        <v>6.6448833816681043</v>
      </c>
    </row>
    <row r="28" spans="1:16" x14ac:dyDescent="0.2">
      <c r="A28" s="8">
        <v>13</v>
      </c>
      <c r="B28" s="8">
        <v>26</v>
      </c>
      <c r="D28">
        <v>5689.3081510933998</v>
      </c>
      <c r="E28">
        <v>1110.0586481113</v>
      </c>
      <c r="F28">
        <v>151.30417495029999</v>
      </c>
      <c r="G28">
        <v>123.57256461233</v>
      </c>
      <c r="I28" s="9">
        <f t="shared" si="1"/>
        <v>986.48608349897006</v>
      </c>
      <c r="J28" s="9">
        <f t="shared" si="2"/>
        <v>5538.0039761430999</v>
      </c>
      <c r="K28" s="9">
        <f t="shared" si="3"/>
        <v>986.48608349897006</v>
      </c>
      <c r="L28" s="10">
        <f t="shared" si="0"/>
        <v>0.17813025915990777</v>
      </c>
      <c r="M28" s="10">
        <f t="shared" si="4"/>
        <v>0.1805063268618359</v>
      </c>
      <c r="P28" s="8">
        <f t="shared" si="5"/>
        <v>4.1377058670806619</v>
      </c>
    </row>
    <row r="29" spans="1:16" x14ac:dyDescent="0.2">
      <c r="A29" s="8">
        <v>13.5</v>
      </c>
      <c r="B29" s="8">
        <v>27</v>
      </c>
      <c r="D29">
        <v>5649.0276134121996</v>
      </c>
      <c r="E29">
        <v>1107.0739644969999</v>
      </c>
      <c r="F29">
        <v>150.67395626243001</v>
      </c>
      <c r="G29">
        <v>123.5745526839</v>
      </c>
      <c r="I29" s="9">
        <f t="shared" si="1"/>
        <v>983.49941181309987</v>
      </c>
      <c r="J29" s="9">
        <f t="shared" si="2"/>
        <v>5498.3536571497698</v>
      </c>
      <c r="K29" s="9">
        <f t="shared" si="3"/>
        <v>983.49941181309987</v>
      </c>
      <c r="L29" s="10">
        <f t="shared" si="0"/>
        <v>0.17887161742210034</v>
      </c>
      <c r="M29" s="10">
        <f t="shared" si="4"/>
        <v>0.18133907234333341</v>
      </c>
      <c r="P29" s="8">
        <f t="shared" si="5"/>
        <v>4.6181333707698009</v>
      </c>
    </row>
    <row r="30" spans="1:16" x14ac:dyDescent="0.2">
      <c r="A30" s="8">
        <v>14</v>
      </c>
      <c r="B30" s="8">
        <v>28</v>
      </c>
      <c r="D30">
        <v>5635.0719921105001</v>
      </c>
      <c r="E30">
        <v>1087.4398422091001</v>
      </c>
      <c r="F30">
        <v>151.25347912525001</v>
      </c>
      <c r="G30">
        <v>123.01192842942</v>
      </c>
      <c r="I30" s="9">
        <f t="shared" si="1"/>
        <v>964.42791377968013</v>
      </c>
      <c r="J30" s="9">
        <f t="shared" si="2"/>
        <v>5483.81851298525</v>
      </c>
      <c r="K30" s="9">
        <f t="shared" si="3"/>
        <v>964.42791377968013</v>
      </c>
      <c r="L30" s="10">
        <f t="shared" si="0"/>
        <v>0.17586794885643842</v>
      </c>
      <c r="M30" s="10">
        <f t="shared" si="4"/>
        <v>0.17842679099697639</v>
      </c>
      <c r="P30" s="8">
        <f t="shared" si="5"/>
        <v>2.9379800846124167</v>
      </c>
    </row>
    <row r="31" spans="1:16" x14ac:dyDescent="0.2">
      <c r="A31" s="8">
        <v>14.5</v>
      </c>
      <c r="B31" s="8">
        <v>29</v>
      </c>
      <c r="D31">
        <v>5675.1655104063002</v>
      </c>
      <c r="E31">
        <v>1098.1179385529999</v>
      </c>
      <c r="F31">
        <v>150.39165009940001</v>
      </c>
      <c r="G31">
        <v>122.90954274354</v>
      </c>
      <c r="I31" s="9">
        <f t="shared" si="1"/>
        <v>975.20839580945994</v>
      </c>
      <c r="J31" s="9">
        <f t="shared" si="2"/>
        <v>5524.7738603069001</v>
      </c>
      <c r="K31" s="9">
        <f t="shared" si="3"/>
        <v>975.20839580945994</v>
      </c>
      <c r="L31" s="10">
        <f t="shared" si="0"/>
        <v>0.17651553176065876</v>
      </c>
      <c r="M31" s="10">
        <f t="shared" si="4"/>
        <v>0.17916576112050167</v>
      </c>
      <c r="P31" s="8">
        <f t="shared" si="5"/>
        <v>3.3643067109757063</v>
      </c>
    </row>
    <row r="32" spans="1:16" x14ac:dyDescent="0.2">
      <c r="A32" s="8">
        <v>15</v>
      </c>
      <c r="B32" s="8">
        <v>30</v>
      </c>
      <c r="D32">
        <v>5788.9167492567003</v>
      </c>
      <c r="E32">
        <v>1097.2071357780001</v>
      </c>
      <c r="F32">
        <v>150.34294234591999</v>
      </c>
      <c r="G32">
        <v>123.27137176938</v>
      </c>
      <c r="I32" s="9">
        <f t="shared" si="1"/>
        <v>973.93576400862003</v>
      </c>
      <c r="J32" s="9">
        <f t="shared" si="2"/>
        <v>5638.5738069107801</v>
      </c>
      <c r="K32" s="9">
        <f t="shared" si="3"/>
        <v>973.93576400862003</v>
      </c>
      <c r="L32" s="10">
        <f t="shared" si="0"/>
        <v>0.1727273238518115</v>
      </c>
      <c r="M32" s="10">
        <f t="shared" si="4"/>
        <v>0.17546894043095934</v>
      </c>
      <c r="P32" s="8">
        <f t="shared" si="5"/>
        <v>1.2315370053156405</v>
      </c>
    </row>
    <row r="33" spans="1:16" x14ac:dyDescent="0.2">
      <c r="A33" s="8">
        <v>15.5</v>
      </c>
      <c r="B33" s="8">
        <v>31</v>
      </c>
      <c r="D33">
        <v>5816.7819623389996</v>
      </c>
      <c r="E33">
        <v>1097.9008919723001</v>
      </c>
      <c r="F33">
        <v>150.65606361829001</v>
      </c>
      <c r="G33">
        <v>123.35685884692001</v>
      </c>
      <c r="I33" s="9">
        <f t="shared" si="1"/>
        <v>974.54403312538011</v>
      </c>
      <c r="J33" s="9">
        <f t="shared" si="2"/>
        <v>5666.1258987207093</v>
      </c>
      <c r="K33" s="9">
        <f t="shared" si="3"/>
        <v>974.54403312538011</v>
      </c>
      <c r="L33" s="10">
        <f t="shared" si="0"/>
        <v>0.17199477218559711</v>
      </c>
      <c r="M33" s="10">
        <f t="shared" si="4"/>
        <v>0.17482777598404989</v>
      </c>
      <c r="P33" s="8">
        <f t="shared" si="5"/>
        <v>0.86163642761570691</v>
      </c>
    </row>
    <row r="34" spans="1:16" x14ac:dyDescent="0.2">
      <c r="A34" s="8">
        <v>16</v>
      </c>
      <c r="B34" s="8">
        <v>32</v>
      </c>
      <c r="D34">
        <v>5739.0366699703</v>
      </c>
      <c r="E34">
        <v>1079.8800792863999</v>
      </c>
      <c r="F34">
        <v>150.82306163022</v>
      </c>
      <c r="G34">
        <v>122.94333996024</v>
      </c>
      <c r="I34" s="9">
        <f t="shared" si="1"/>
        <v>956.93673932615991</v>
      </c>
      <c r="J34" s="9">
        <f t="shared" si="2"/>
        <v>5588.2136083400801</v>
      </c>
      <c r="K34" s="9">
        <f t="shared" si="3"/>
        <v>956.93673932615991</v>
      </c>
      <c r="L34" s="10">
        <f t="shared" si="0"/>
        <v>0.17124197577164699</v>
      </c>
      <c r="M34" s="10">
        <f t="shared" si="4"/>
        <v>0.17416636678940467</v>
      </c>
      <c r="P34" s="8">
        <f t="shared" si="5"/>
        <v>0.48005625052603002</v>
      </c>
    </row>
    <row r="35" spans="1:16" x14ac:dyDescent="0.2">
      <c r="A35" s="8">
        <v>16.5</v>
      </c>
      <c r="B35" s="8">
        <v>33</v>
      </c>
      <c r="D35">
        <v>5814.1200787402004</v>
      </c>
      <c r="E35">
        <v>1077.5885826772001</v>
      </c>
      <c r="F35">
        <v>151.52385685885</v>
      </c>
      <c r="G35">
        <v>123.20178926441</v>
      </c>
      <c r="I35" s="9">
        <f t="shared" si="1"/>
        <v>954.3867934127901</v>
      </c>
      <c r="J35" s="9">
        <f t="shared" si="2"/>
        <v>5662.5962218813502</v>
      </c>
      <c r="K35" s="9">
        <f t="shared" si="3"/>
        <v>954.3867934127901</v>
      </c>
      <c r="L35" s="10">
        <f t="shared" si="0"/>
        <v>0.16854226507001466</v>
      </c>
      <c r="M35" s="10">
        <f t="shared" si="4"/>
        <v>0.17155804330707727</v>
      </c>
      <c r="P35" s="8">
        <f t="shared" si="5"/>
        <v>-1.0247376718317076</v>
      </c>
    </row>
    <row r="36" spans="1:16" x14ac:dyDescent="0.2">
      <c r="A36" s="8">
        <v>17</v>
      </c>
      <c r="B36" s="8">
        <v>34</v>
      </c>
      <c r="D36">
        <v>5779.8562992125999</v>
      </c>
      <c r="E36">
        <v>1072.0118110236001</v>
      </c>
      <c r="F36">
        <v>150.87077534791001</v>
      </c>
      <c r="G36">
        <v>123.33399602386</v>
      </c>
      <c r="I36" s="9">
        <f t="shared" si="1"/>
        <v>948.67781499974012</v>
      </c>
      <c r="J36" s="9">
        <f t="shared" si="2"/>
        <v>5628.9855238646896</v>
      </c>
      <c r="K36" s="9">
        <f t="shared" si="3"/>
        <v>948.67781499974012</v>
      </c>
      <c r="L36" s="10">
        <f t="shared" si="0"/>
        <v>0.16853442080774919</v>
      </c>
      <c r="M36" s="10">
        <f t="shared" si="4"/>
        <v>0.17164158626411674</v>
      </c>
      <c r="P36" s="8">
        <f t="shared" si="5"/>
        <v>-0.97654007101242235</v>
      </c>
    </row>
    <row r="37" spans="1:16" x14ac:dyDescent="0.2">
      <c r="A37" s="8">
        <v>17.5</v>
      </c>
      <c r="B37" s="8">
        <v>35</v>
      </c>
      <c r="D37">
        <v>5780.2079601989999</v>
      </c>
      <c r="E37">
        <v>1071.8995024876001</v>
      </c>
      <c r="F37">
        <v>151.13121272366001</v>
      </c>
      <c r="G37">
        <v>122.92147117296</v>
      </c>
      <c r="I37" s="9">
        <f t="shared" si="1"/>
        <v>948.97803131464013</v>
      </c>
      <c r="J37" s="9">
        <f t="shared" si="2"/>
        <v>5629.0767474753402</v>
      </c>
      <c r="K37" s="9">
        <f t="shared" si="3"/>
        <v>948.97803131464013</v>
      </c>
      <c r="L37" s="10">
        <f t="shared" si="0"/>
        <v>0.16858502271091969</v>
      </c>
      <c r="M37" s="10">
        <f t="shared" si="4"/>
        <v>0.17178357538659217</v>
      </c>
      <c r="P37" s="8">
        <f t="shared" si="5"/>
        <v>-0.89462370979817596</v>
      </c>
    </row>
    <row r="38" spans="1:16" x14ac:dyDescent="0.2">
      <c r="A38" s="8">
        <v>18</v>
      </c>
      <c r="B38" s="8">
        <v>36</v>
      </c>
      <c r="D38">
        <v>5684.8328358209001</v>
      </c>
      <c r="E38">
        <v>1062.7333333332999</v>
      </c>
      <c r="F38">
        <v>150.45328031809001</v>
      </c>
      <c r="G38">
        <v>123.40854870775</v>
      </c>
      <c r="I38" s="9">
        <f t="shared" si="1"/>
        <v>939.32478462554991</v>
      </c>
      <c r="J38" s="9">
        <f t="shared" si="2"/>
        <v>5534.37955550281</v>
      </c>
      <c r="K38" s="9">
        <f t="shared" si="3"/>
        <v>939.32478462554991</v>
      </c>
      <c r="L38" s="10">
        <f t="shared" si="0"/>
        <v>0.16972540014744439</v>
      </c>
      <c r="M38" s="10">
        <f t="shared" si="4"/>
        <v>0.17301534004242181</v>
      </c>
      <c r="P38" s="8">
        <f t="shared" si="5"/>
        <v>-0.18399407339525875</v>
      </c>
    </row>
    <row r="39" spans="1:16" x14ac:dyDescent="0.2">
      <c r="A39" s="8">
        <v>18.5</v>
      </c>
      <c r="B39" s="8">
        <v>37</v>
      </c>
      <c r="D39">
        <v>5759.3349950149995</v>
      </c>
      <c r="E39">
        <v>1058.5154536391001</v>
      </c>
      <c r="F39">
        <v>150.8578528827</v>
      </c>
      <c r="G39">
        <v>123.22862823062</v>
      </c>
      <c r="I39" s="9">
        <f t="shared" si="1"/>
        <v>935.28682540848013</v>
      </c>
      <c r="J39" s="9">
        <f t="shared" si="2"/>
        <v>5608.4771421322994</v>
      </c>
      <c r="K39" s="9">
        <f t="shared" si="3"/>
        <v>935.28682540848013</v>
      </c>
      <c r="L39" s="10">
        <f t="shared" si="0"/>
        <v>0.16676306271846394</v>
      </c>
      <c r="M39" s="10">
        <f t="shared" si="4"/>
        <v>0.17014438983274627</v>
      </c>
      <c r="P39" s="8">
        <f t="shared" si="5"/>
        <v>-1.840302601146018</v>
      </c>
    </row>
    <row r="40" spans="1:16" x14ac:dyDescent="0.2">
      <c r="A40" s="8">
        <v>19</v>
      </c>
      <c r="B40" s="8">
        <v>38</v>
      </c>
      <c r="D40">
        <v>5470.0794896957996</v>
      </c>
      <c r="E40">
        <v>1020.985279686</v>
      </c>
      <c r="F40">
        <v>151.43638170974</v>
      </c>
      <c r="G40">
        <v>123.95725646123</v>
      </c>
      <c r="I40" s="9">
        <f t="shared" si="1"/>
        <v>897.02802322476998</v>
      </c>
      <c r="J40" s="9">
        <f t="shared" si="2"/>
        <v>5318.6431079860595</v>
      </c>
      <c r="K40" s="9">
        <f t="shared" si="3"/>
        <v>897.02802322476998</v>
      </c>
      <c r="L40" s="10">
        <f t="shared" si="0"/>
        <v>0.16865730695068873</v>
      </c>
      <c r="M40" s="10">
        <f t="shared" si="4"/>
        <v>0.17213002128427599</v>
      </c>
      <c r="P40" s="8">
        <f t="shared" si="5"/>
        <v>-0.69475215061748785</v>
      </c>
    </row>
    <row r="41" spans="1:16" x14ac:dyDescent="0.2">
      <c r="A41" s="8">
        <v>19.5</v>
      </c>
      <c r="B41" s="8">
        <v>39</v>
      </c>
      <c r="D41">
        <v>5450.6751717369998</v>
      </c>
      <c r="E41">
        <v>1047.3150147203</v>
      </c>
      <c r="F41">
        <v>151.98906560635999</v>
      </c>
      <c r="G41">
        <v>124.35387673955999</v>
      </c>
      <c r="I41" s="9">
        <f t="shared" si="1"/>
        <v>922.96113798074009</v>
      </c>
      <c r="J41" s="9">
        <f t="shared" si="2"/>
        <v>5298.6861061306399</v>
      </c>
      <c r="K41" s="9">
        <f t="shared" si="3"/>
        <v>922.96113798074009</v>
      </c>
      <c r="L41" s="10">
        <f t="shared" si="0"/>
        <v>0.17418679263013215</v>
      </c>
      <c r="M41" s="10">
        <f t="shared" si="4"/>
        <v>0.17775089418302434</v>
      </c>
      <c r="P41" s="8">
        <f t="shared" si="5"/>
        <v>2.5480417105314275</v>
      </c>
    </row>
    <row r="42" spans="1:16" x14ac:dyDescent="0.2">
      <c r="A42" s="8">
        <v>20</v>
      </c>
      <c r="B42" s="8">
        <v>40</v>
      </c>
      <c r="D42">
        <v>5309.5701668301999</v>
      </c>
      <c r="E42">
        <v>1021.6526005888001</v>
      </c>
      <c r="F42">
        <v>151.44333996024</v>
      </c>
      <c r="G42">
        <v>124.15308151092999</v>
      </c>
      <c r="I42" s="9">
        <f t="shared" si="1"/>
        <v>897.4995190778701</v>
      </c>
      <c r="J42" s="9">
        <f t="shared" si="2"/>
        <v>5158.1268268699596</v>
      </c>
      <c r="K42" s="9">
        <f t="shared" si="3"/>
        <v>897.4995190778701</v>
      </c>
      <c r="L42" s="10">
        <f t="shared" si="0"/>
        <v>0.17399717944168663</v>
      </c>
      <c r="M42" s="10">
        <f t="shared" si="4"/>
        <v>0.17765266821388376</v>
      </c>
      <c r="P42" s="8">
        <f t="shared" si="5"/>
        <v>2.491373186714529</v>
      </c>
    </row>
    <row r="43" spans="1:16" x14ac:dyDescent="0.2">
      <c r="A43" s="8">
        <v>20.5</v>
      </c>
      <c r="B43" s="8">
        <v>41</v>
      </c>
      <c r="D43">
        <v>5490.018</v>
      </c>
      <c r="E43">
        <v>1046.2570000000001</v>
      </c>
      <c r="F43">
        <v>152.40854870774999</v>
      </c>
      <c r="G43">
        <v>123.88767395626</v>
      </c>
      <c r="I43" s="9">
        <f t="shared" si="1"/>
        <v>922.3693260437401</v>
      </c>
      <c r="J43" s="9">
        <f t="shared" si="2"/>
        <v>5337.60945129225</v>
      </c>
      <c r="K43" s="9">
        <f t="shared" si="3"/>
        <v>922.3693260437401</v>
      </c>
      <c r="L43" s="10">
        <f t="shared" si="0"/>
        <v>0.17280569784296076</v>
      </c>
      <c r="M43" s="10">
        <f t="shared" si="4"/>
        <v>0.17655257383446282</v>
      </c>
      <c r="P43" s="8">
        <f t="shared" si="5"/>
        <v>1.8567067630946299</v>
      </c>
    </row>
    <row r="44" spans="1:16" x14ac:dyDescent="0.2">
      <c r="A44" s="8">
        <v>21</v>
      </c>
      <c r="B44" s="8">
        <v>42</v>
      </c>
      <c r="D44">
        <v>5539.509</v>
      </c>
      <c r="E44">
        <v>1046.6310000000001</v>
      </c>
      <c r="F44">
        <v>151.77137176938001</v>
      </c>
      <c r="G44">
        <v>123.63220675944</v>
      </c>
      <c r="I44" s="9">
        <f t="shared" si="1"/>
        <v>922.99879324056008</v>
      </c>
      <c r="J44" s="9">
        <f t="shared" si="2"/>
        <v>5387.7376282306204</v>
      </c>
      <c r="K44" s="9">
        <f t="shared" si="3"/>
        <v>922.99879324056008</v>
      </c>
      <c r="L44" s="10">
        <f t="shared" si="0"/>
        <v>0.17131472557316804</v>
      </c>
      <c r="M44" s="10">
        <f t="shared" si="4"/>
        <v>0.17515298878397501</v>
      </c>
      <c r="P44" s="8">
        <f t="shared" si="5"/>
        <v>1.0492581885345595</v>
      </c>
    </row>
    <row r="45" spans="1:16" x14ac:dyDescent="0.2">
      <c r="A45" s="8">
        <v>21.5</v>
      </c>
      <c r="B45" s="8">
        <v>43</v>
      </c>
      <c r="D45">
        <v>5428.6461232603997</v>
      </c>
      <c r="E45">
        <v>1027.7017892644001</v>
      </c>
      <c r="F45">
        <v>152.42644135188999</v>
      </c>
      <c r="G45">
        <v>123.64612326044001</v>
      </c>
      <c r="I45" s="9">
        <f t="shared" si="1"/>
        <v>904.05566600396003</v>
      </c>
      <c r="J45" s="9">
        <f t="shared" si="2"/>
        <v>5276.2196819085093</v>
      </c>
      <c r="K45" s="9">
        <f t="shared" si="3"/>
        <v>904.05566600396003</v>
      </c>
      <c r="L45" s="10">
        <f t="shared" si="0"/>
        <v>0.17134534202657495</v>
      </c>
      <c r="M45" s="10">
        <f t="shared" si="4"/>
        <v>0.17527499245668685</v>
      </c>
      <c r="P45" s="8">
        <f t="shared" si="5"/>
        <v>1.1196445445391003</v>
      </c>
    </row>
    <row r="46" spans="1:16" x14ac:dyDescent="0.2">
      <c r="A46" s="8">
        <v>22</v>
      </c>
      <c r="B46" s="8">
        <v>44</v>
      </c>
      <c r="D46">
        <v>5446.4831013917001</v>
      </c>
      <c r="E46">
        <v>1027.1083499005999</v>
      </c>
      <c r="F46">
        <v>152.87375745527001</v>
      </c>
      <c r="G46">
        <v>123.50198807157</v>
      </c>
      <c r="I46" s="9">
        <f t="shared" si="1"/>
        <v>903.60636182902999</v>
      </c>
      <c r="J46" s="9">
        <f t="shared" si="2"/>
        <v>5293.6093439364304</v>
      </c>
      <c r="K46" s="9">
        <f t="shared" si="3"/>
        <v>903.60636182902999</v>
      </c>
      <c r="L46" s="10">
        <f t="shared" si="0"/>
        <v>0.17069759083451572</v>
      </c>
      <c r="M46" s="10">
        <f t="shared" si="4"/>
        <v>0.17471862848393255</v>
      </c>
      <c r="P46" s="8">
        <f t="shared" si="5"/>
        <v>0.79866705440339369</v>
      </c>
    </row>
    <row r="47" spans="1:16" x14ac:dyDescent="0.2">
      <c r="A47" s="8">
        <v>22.5</v>
      </c>
      <c r="B47" s="8">
        <v>45</v>
      </c>
      <c r="D47">
        <v>5387.2047713718002</v>
      </c>
      <c r="E47">
        <v>1016.3598409543</v>
      </c>
      <c r="F47">
        <v>152.59940357853</v>
      </c>
      <c r="G47">
        <v>123.8449304175</v>
      </c>
      <c r="I47" s="9">
        <f t="shared" si="1"/>
        <v>892.51491053680002</v>
      </c>
      <c r="J47" s="9">
        <f t="shared" si="2"/>
        <v>5234.6053677932705</v>
      </c>
      <c r="K47" s="9">
        <f t="shared" si="3"/>
        <v>892.51491053680002</v>
      </c>
      <c r="L47" s="10">
        <f t="shared" si="0"/>
        <v>0.1705028073421041</v>
      </c>
      <c r="M47" s="10">
        <f t="shared" si="4"/>
        <v>0.17461523221082587</v>
      </c>
      <c r="P47" s="8">
        <f t="shared" si="5"/>
        <v>0.7390156789434208</v>
      </c>
    </row>
    <row r="48" spans="1:16" x14ac:dyDescent="0.2">
      <c r="A48" s="8">
        <v>23</v>
      </c>
      <c r="B48" s="8">
        <v>46</v>
      </c>
      <c r="D48">
        <v>5249.6441351888998</v>
      </c>
      <c r="E48">
        <v>1010.8638170974</v>
      </c>
      <c r="F48">
        <v>151.27733598410001</v>
      </c>
      <c r="G48">
        <v>123.59244532803</v>
      </c>
      <c r="I48" s="9">
        <f t="shared" si="1"/>
        <v>887.27137176937003</v>
      </c>
      <c r="J48" s="9">
        <f t="shared" si="2"/>
        <v>5098.3667992047995</v>
      </c>
      <c r="K48" s="9">
        <f t="shared" si="3"/>
        <v>887.27137176937003</v>
      </c>
      <c r="L48" s="10">
        <f t="shared" si="0"/>
        <v>0.17403050951684354</v>
      </c>
      <c r="M48" s="10">
        <f t="shared" si="4"/>
        <v>0.17823432160487024</v>
      </c>
      <c r="P48" s="8">
        <f t="shared" si="5"/>
        <v>2.8269406474246659</v>
      </c>
    </row>
    <row r="49" spans="1:25" x14ac:dyDescent="0.2">
      <c r="A49" s="8">
        <v>23.5</v>
      </c>
      <c r="B49" s="8">
        <v>47</v>
      </c>
      <c r="D49">
        <v>5316.3773584906003</v>
      </c>
      <c r="E49">
        <v>1015.9116186693</v>
      </c>
      <c r="F49">
        <v>151.05964214712</v>
      </c>
      <c r="G49">
        <v>123.74850894632</v>
      </c>
      <c r="I49" s="9">
        <f t="shared" si="1"/>
        <v>892.16310972297993</v>
      </c>
      <c r="J49" s="9">
        <f t="shared" si="2"/>
        <v>5165.3177163434802</v>
      </c>
      <c r="K49" s="9">
        <f t="shared" si="3"/>
        <v>892.16310972297993</v>
      </c>
      <c r="L49" s="10">
        <f t="shared" si="0"/>
        <v>0.17272182636512448</v>
      </c>
      <c r="M49" s="10">
        <f t="shared" si="4"/>
        <v>0.17701702567245609</v>
      </c>
      <c r="P49" s="8">
        <f t="shared" si="5"/>
        <v>2.1246583065958653</v>
      </c>
    </row>
    <row r="50" spans="1:25" x14ac:dyDescent="0.2">
      <c r="A50" s="8">
        <v>24</v>
      </c>
      <c r="B50" s="8">
        <v>48</v>
      </c>
      <c r="D50">
        <v>5726.3128103277004</v>
      </c>
      <c r="E50">
        <v>1066.3723932472999</v>
      </c>
      <c r="F50">
        <v>151.69184890656001</v>
      </c>
      <c r="G50">
        <v>123.337972167</v>
      </c>
      <c r="I50" s="9">
        <f t="shared" si="1"/>
        <v>943.03442108029992</v>
      </c>
      <c r="J50" s="9">
        <f t="shared" si="2"/>
        <v>5574.6209614211402</v>
      </c>
      <c r="K50" s="9">
        <f t="shared" si="3"/>
        <v>943.03442108029992</v>
      </c>
      <c r="L50" s="10">
        <f t="shared" si="0"/>
        <v>0.16916565764856806</v>
      </c>
      <c r="M50" s="10">
        <f t="shared" si="4"/>
        <v>0.1735522441752046</v>
      </c>
      <c r="P50" s="8">
        <f t="shared" si="5"/>
        <v>0.12575664631968275</v>
      </c>
    </row>
    <row r="51" spans="1:25" x14ac:dyDescent="0.2">
      <c r="A51" s="8">
        <v>24.5</v>
      </c>
      <c r="B51" s="8">
        <v>49</v>
      </c>
      <c r="D51">
        <v>5595.1410129096002</v>
      </c>
      <c r="E51">
        <v>1043.4150943396</v>
      </c>
      <c r="F51">
        <v>150.73956262425</v>
      </c>
      <c r="G51">
        <v>123.17395626243</v>
      </c>
      <c r="I51" s="9">
        <f t="shared" si="1"/>
        <v>920.24113807717004</v>
      </c>
      <c r="J51" s="9">
        <f t="shared" si="2"/>
        <v>5444.4014502853506</v>
      </c>
      <c r="K51" s="9">
        <f t="shared" si="3"/>
        <v>920.24113807717004</v>
      </c>
      <c r="L51" s="10">
        <f t="shared" si="0"/>
        <v>0.16902521727690353</v>
      </c>
      <c r="M51" s="10">
        <f t="shared" si="4"/>
        <v>0.173503191022845</v>
      </c>
      <c r="P51" s="8">
        <f t="shared" si="5"/>
        <v>9.7456902808829876E-2</v>
      </c>
    </row>
    <row r="52" spans="1:25" x14ac:dyDescent="0.2">
      <c r="A52" s="8">
        <v>25</v>
      </c>
      <c r="B52" s="8">
        <v>50</v>
      </c>
      <c r="D52">
        <v>5499.25</v>
      </c>
      <c r="E52">
        <v>1028.0515873016</v>
      </c>
      <c r="F52">
        <v>150.12226640159</v>
      </c>
      <c r="G52">
        <v>122.99105367793</v>
      </c>
      <c r="I52" s="9">
        <f t="shared" si="1"/>
        <v>905.06053362366993</v>
      </c>
      <c r="J52" s="9">
        <f t="shared" si="2"/>
        <v>5349.1277335984096</v>
      </c>
      <c r="K52" s="9">
        <f t="shared" si="3"/>
        <v>905.06053362366993</v>
      </c>
      <c r="L52" s="10">
        <f t="shared" si="0"/>
        <v>0.16919777928257229</v>
      </c>
      <c r="M52" s="10">
        <f t="shared" si="4"/>
        <v>0.1737671402478187</v>
      </c>
      <c r="P52" s="8">
        <f t="shared" si="5"/>
        <v>0.24973448350102093</v>
      </c>
    </row>
    <row r="53" spans="1:25" x14ac:dyDescent="0.2">
      <c r="A53" s="8">
        <v>25.5</v>
      </c>
      <c r="B53" s="8">
        <v>51</v>
      </c>
      <c r="D53">
        <v>5500.2996031745997</v>
      </c>
      <c r="E53">
        <v>1024.373015873</v>
      </c>
      <c r="F53">
        <v>150.70477137176999</v>
      </c>
      <c r="G53">
        <v>122.59343936382</v>
      </c>
      <c r="I53" s="9">
        <f t="shared" si="1"/>
        <v>901.77957650917995</v>
      </c>
      <c r="J53" s="9">
        <f t="shared" si="2"/>
        <v>5349.5948318028295</v>
      </c>
      <c r="K53" s="9">
        <f t="shared" si="3"/>
        <v>901.77957650917995</v>
      </c>
      <c r="L53" s="10">
        <f t="shared" si="0"/>
        <v>0.16856969637180494</v>
      </c>
      <c r="M53" s="10">
        <f t="shared" si="4"/>
        <v>0.17323044455635628</v>
      </c>
      <c r="P53" s="8">
        <f t="shared" si="5"/>
        <v>-5.9895982252252421E-2</v>
      </c>
      <c r="S53" s="11"/>
      <c r="U53" s="12"/>
    </row>
    <row r="54" spans="1:25" x14ac:dyDescent="0.2">
      <c r="A54" s="8">
        <v>26</v>
      </c>
      <c r="B54" s="8">
        <v>52</v>
      </c>
      <c r="D54">
        <v>5618.2757936507996</v>
      </c>
      <c r="E54">
        <v>1036.8095238095</v>
      </c>
      <c r="F54">
        <v>150.56660039760999</v>
      </c>
      <c r="G54">
        <v>123.02485089463001</v>
      </c>
      <c r="I54" s="9">
        <f t="shared" si="1"/>
        <v>913.78467291486993</v>
      </c>
      <c r="J54" s="9">
        <f t="shared" si="2"/>
        <v>5467.7091932531894</v>
      </c>
      <c r="K54" s="9">
        <f t="shared" si="3"/>
        <v>913.78467291486993</v>
      </c>
      <c r="L54" s="10">
        <f t="shared" si="0"/>
        <v>0.16712386131333082</v>
      </c>
      <c r="M54" s="10">
        <f t="shared" si="4"/>
        <v>0.17187599671718706</v>
      </c>
      <c r="P54" s="8">
        <f t="shared" si="5"/>
        <v>-0.84130399791515609</v>
      </c>
      <c r="S54" s="11"/>
    </row>
    <row r="55" spans="1:25" x14ac:dyDescent="0.2">
      <c r="A55" s="8">
        <v>26.5</v>
      </c>
      <c r="B55" s="8">
        <v>53</v>
      </c>
      <c r="D55">
        <v>5750.1339285714002</v>
      </c>
      <c r="E55">
        <v>1050.4474206349</v>
      </c>
      <c r="F55">
        <v>150.53578528827001</v>
      </c>
      <c r="G55">
        <v>122.68986083499</v>
      </c>
      <c r="I55" s="9">
        <f t="shared" si="1"/>
        <v>927.75755979991004</v>
      </c>
      <c r="J55" s="9">
        <f t="shared" si="2"/>
        <v>5599.5981432831304</v>
      </c>
      <c r="K55" s="9">
        <f t="shared" si="3"/>
        <v>927.75755979991004</v>
      </c>
      <c r="L55" s="10">
        <f t="shared" si="0"/>
        <v>0.16568288224625197</v>
      </c>
      <c r="M55" s="10">
        <f t="shared" si="4"/>
        <v>0.17052640486941315</v>
      </c>
      <c r="P55" s="8">
        <f t="shared" si="5"/>
        <v>-1.6199104951359744</v>
      </c>
      <c r="S55" s="11"/>
    </row>
    <row r="56" spans="1:25" x14ac:dyDescent="0.2">
      <c r="A56" s="8">
        <v>27</v>
      </c>
      <c r="B56" s="8">
        <v>54</v>
      </c>
      <c r="D56">
        <v>5461.2212301586997</v>
      </c>
      <c r="E56">
        <v>1012.9593253968</v>
      </c>
      <c r="F56">
        <v>149.48111332008</v>
      </c>
      <c r="G56">
        <v>123.0606361829</v>
      </c>
      <c r="I56" s="9">
        <f t="shared" si="1"/>
        <v>889.89868921389996</v>
      </c>
      <c r="J56" s="9">
        <f t="shared" si="2"/>
        <v>5311.7401168386195</v>
      </c>
      <c r="K56" s="9">
        <f t="shared" si="3"/>
        <v>889.89868921389996</v>
      </c>
      <c r="L56" s="10">
        <f t="shared" si="0"/>
        <v>0.16753430507506448</v>
      </c>
      <c r="M56" s="10">
        <f t="shared" si="4"/>
        <v>0.17246921491753059</v>
      </c>
      <c r="P56" s="8">
        <f t="shared" si="5"/>
        <v>-0.49906456766151053</v>
      </c>
      <c r="S56" s="11"/>
    </row>
    <row r="57" spans="1:25" x14ac:dyDescent="0.2">
      <c r="A57" s="8">
        <v>27.5</v>
      </c>
      <c r="B57" s="8">
        <v>55</v>
      </c>
      <c r="D57">
        <v>5507.4476570288998</v>
      </c>
      <c r="E57">
        <v>1006.0209371884</v>
      </c>
      <c r="F57">
        <v>151.14711729621999</v>
      </c>
      <c r="G57">
        <v>122.91053677932</v>
      </c>
      <c r="I57" s="9">
        <f t="shared" si="1"/>
        <v>883.11040040908006</v>
      </c>
      <c r="J57" s="9">
        <f t="shared" si="2"/>
        <v>5356.3005397326797</v>
      </c>
      <c r="K57" s="9">
        <f t="shared" si="3"/>
        <v>883.11040040908006</v>
      </c>
      <c r="L57" s="10">
        <f t="shared" si="0"/>
        <v>0.16487319818188431</v>
      </c>
      <c r="M57" s="10">
        <f t="shared" si="4"/>
        <v>0.16989949524365536</v>
      </c>
      <c r="P57" s="8">
        <f t="shared" si="5"/>
        <v>-1.9815871817508255</v>
      </c>
      <c r="S57" s="11"/>
    </row>
    <row r="58" spans="1:25" x14ac:dyDescent="0.2">
      <c r="A58" s="8">
        <v>28</v>
      </c>
      <c r="B58" s="8">
        <v>56</v>
      </c>
      <c r="D58">
        <v>5499.9323383085002</v>
      </c>
      <c r="E58">
        <v>1000.7880597014999</v>
      </c>
      <c r="F58">
        <v>151.35685884692001</v>
      </c>
      <c r="G58">
        <v>123.06461232604001</v>
      </c>
      <c r="I58" s="9">
        <f t="shared" si="1"/>
        <v>877.72344737545995</v>
      </c>
      <c r="J58" s="9">
        <f t="shared" si="2"/>
        <v>5348.5754794615805</v>
      </c>
      <c r="K58" s="9">
        <f t="shared" si="3"/>
        <v>877.72344737545995</v>
      </c>
      <c r="L58" s="10">
        <f t="shared" si="0"/>
        <v>0.16410415273111503</v>
      </c>
      <c r="M58" s="10">
        <f t="shared" si="4"/>
        <v>0.16922183701219101</v>
      </c>
      <c r="P58" s="8">
        <f t="shared" si="5"/>
        <v>-2.3725417527817672</v>
      </c>
      <c r="S58" s="11"/>
    </row>
    <row r="59" spans="1:25" x14ac:dyDescent="0.2">
      <c r="A59" s="8">
        <v>28.5</v>
      </c>
      <c r="B59" s="8">
        <v>57</v>
      </c>
      <c r="D59">
        <v>5528.4487562188997</v>
      </c>
      <c r="E59">
        <v>1016.5323383085</v>
      </c>
      <c r="F59">
        <v>151.87176938370001</v>
      </c>
      <c r="G59">
        <v>123.47813121272</v>
      </c>
      <c r="I59" s="9">
        <f t="shared" si="1"/>
        <v>893.05420709578004</v>
      </c>
      <c r="J59" s="9">
        <f t="shared" si="2"/>
        <v>5376.5769868351999</v>
      </c>
      <c r="K59" s="9">
        <f t="shared" si="3"/>
        <v>893.05420709578004</v>
      </c>
      <c r="L59" s="10">
        <f t="shared" si="0"/>
        <v>0.16610088710390739</v>
      </c>
      <c r="M59" s="10">
        <f t="shared" si="4"/>
        <v>0.17130995860428827</v>
      </c>
      <c r="P59" s="8">
        <f t="shared" si="5"/>
        <v>-1.1678626927565317</v>
      </c>
      <c r="R59" s="1"/>
      <c r="S59" s="11"/>
    </row>
    <row r="60" spans="1:25" x14ac:dyDescent="0.2">
      <c r="A60" s="8">
        <v>29</v>
      </c>
      <c r="B60" s="8">
        <v>58</v>
      </c>
      <c r="D60">
        <v>5336.7611940299003</v>
      </c>
      <c r="E60">
        <v>989.67661691542003</v>
      </c>
      <c r="F60">
        <v>152.15308151093001</v>
      </c>
      <c r="G60">
        <v>123.46918489066</v>
      </c>
      <c r="I60" s="9">
        <f t="shared" si="1"/>
        <v>866.20743202476001</v>
      </c>
      <c r="J60" s="9">
        <f t="shared" si="2"/>
        <v>5184.6081125189703</v>
      </c>
      <c r="K60" s="9">
        <f t="shared" si="3"/>
        <v>866.20743202476001</v>
      </c>
      <c r="L60" s="10">
        <f t="shared" si="0"/>
        <v>0.16707288443521498</v>
      </c>
      <c r="M60" s="10">
        <f t="shared" si="4"/>
        <v>0.1723733431549008</v>
      </c>
      <c r="P60" s="8">
        <f t="shared" si="5"/>
        <v>-0.55437490271332035</v>
      </c>
      <c r="S60" s="11"/>
    </row>
    <row r="61" spans="1:25" x14ac:dyDescent="0.2">
      <c r="A61" s="8">
        <v>29.5</v>
      </c>
      <c r="B61" s="8">
        <v>59</v>
      </c>
      <c r="C61" s="2"/>
      <c r="D61">
        <v>5272.7592039801002</v>
      </c>
      <c r="E61">
        <v>981.99203980100003</v>
      </c>
      <c r="F61">
        <v>152.02882703776999</v>
      </c>
      <c r="G61">
        <v>123.69880715706</v>
      </c>
      <c r="I61" s="9">
        <f t="shared" si="1"/>
        <v>858.29323264393997</v>
      </c>
      <c r="J61" s="9">
        <f t="shared" si="2"/>
        <v>5120.7303769423306</v>
      </c>
      <c r="K61" s="9">
        <f t="shared" si="3"/>
        <v>858.29323264393997</v>
      </c>
      <c r="L61" s="10">
        <f t="shared" si="0"/>
        <v>0.16761148692941738</v>
      </c>
      <c r="M61" s="10">
        <f t="shared" si="4"/>
        <v>0.17300333286840813</v>
      </c>
      <c r="P61" s="8">
        <f t="shared" si="5"/>
        <v>-0.19092125194611259</v>
      </c>
      <c r="S61" s="11"/>
    </row>
    <row r="62" spans="1:25" x14ac:dyDescent="0.2">
      <c r="A62" s="8">
        <v>30</v>
      </c>
      <c r="B62" s="8">
        <v>60</v>
      </c>
      <c r="D62">
        <v>5247.1216617211003</v>
      </c>
      <c r="E62">
        <v>981.59545004946006</v>
      </c>
      <c r="F62">
        <v>150.88170974155</v>
      </c>
      <c r="G62">
        <v>122.51689860835</v>
      </c>
      <c r="I62" s="9">
        <f t="shared" si="1"/>
        <v>859.07855144110999</v>
      </c>
      <c r="J62" s="9">
        <f t="shared" si="2"/>
        <v>5096.2399519795499</v>
      </c>
      <c r="K62" s="9">
        <f t="shared" si="3"/>
        <v>859.07855144110999</v>
      </c>
      <c r="L62" s="10">
        <f t="shared" si="0"/>
        <v>0.16857105621712634</v>
      </c>
      <c r="M62" s="10">
        <f t="shared" si="4"/>
        <v>0.17405428937542203</v>
      </c>
      <c r="P62" s="8">
        <f t="shared" si="5"/>
        <v>0.41539655147514271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5313.4926253686999</v>
      </c>
      <c r="E63">
        <v>987.52507374631</v>
      </c>
      <c r="F63">
        <v>150.51192842942001</v>
      </c>
      <c r="G63">
        <v>122.67892644135</v>
      </c>
      <c r="I63" s="9">
        <f t="shared" si="1"/>
        <v>864.84614730496003</v>
      </c>
      <c r="J63" s="9">
        <f t="shared" si="2"/>
        <v>5162.9806969392803</v>
      </c>
      <c r="K63" s="9">
        <f t="shared" si="3"/>
        <v>864.84614730496003</v>
      </c>
      <c r="L63" s="10">
        <f t="shared" si="0"/>
        <v>0.16750908013614274</v>
      </c>
      <c r="M63" s="10">
        <f t="shared" si="4"/>
        <v>0.17308370051374336</v>
      </c>
      <c r="P63" s="8">
        <f t="shared" si="5"/>
        <v>-0.14455555188089628</v>
      </c>
    </row>
    <row r="64" spans="1:25" x14ac:dyDescent="0.2">
      <c r="A64" s="8">
        <v>31</v>
      </c>
      <c r="B64" s="8">
        <v>62</v>
      </c>
      <c r="D64">
        <v>5591.8908554571999</v>
      </c>
      <c r="E64">
        <v>1033.0471976401</v>
      </c>
      <c r="F64">
        <v>150.24453280317999</v>
      </c>
      <c r="G64">
        <v>122.77634194831001</v>
      </c>
      <c r="I64" s="9">
        <f t="shared" si="1"/>
        <v>910.27085569178996</v>
      </c>
      <c r="J64" s="9">
        <f t="shared" si="2"/>
        <v>5441.64632265402</v>
      </c>
      <c r="K64" s="9">
        <f t="shared" si="3"/>
        <v>910.27085569178996</v>
      </c>
      <c r="L64" s="10">
        <f t="shared" si="0"/>
        <v>0.16727857742283944</v>
      </c>
      <c r="M64" s="10">
        <f t="shared" si="4"/>
        <v>0.17294458501974497</v>
      </c>
      <c r="P64" s="8">
        <f t="shared" si="5"/>
        <v>-0.22481405942144975</v>
      </c>
      <c r="U64" s="8">
        <v>30.5</v>
      </c>
      <c r="V64" s="10">
        <f>L62</f>
        <v>0.16857105621712634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5786.6669980119004</v>
      </c>
      <c r="E65">
        <v>1062.2793240557</v>
      </c>
      <c r="F65">
        <v>150.03976143141</v>
      </c>
      <c r="G65">
        <v>123.11829025845</v>
      </c>
      <c r="I65" s="9">
        <f t="shared" si="1"/>
        <v>939.16103379725007</v>
      </c>
      <c r="J65" s="9">
        <f t="shared" si="2"/>
        <v>5636.6272365804907</v>
      </c>
      <c r="K65" s="9">
        <f t="shared" si="3"/>
        <v>939.16103379725007</v>
      </c>
      <c r="L65" s="10">
        <f t="shared" si="0"/>
        <v>0.16661755237286197</v>
      </c>
      <c r="M65" s="10">
        <f t="shared" si="4"/>
        <v>0.17237494718907242</v>
      </c>
      <c r="P65" s="8">
        <f t="shared" si="5"/>
        <v>-0.55344950335657983</v>
      </c>
      <c r="U65" s="8">
        <v>31</v>
      </c>
      <c r="V65" s="10">
        <f t="shared" ref="V65:V83" si="6">L63</f>
        <v>0.16750908013614274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5770.1628599800997</v>
      </c>
      <c r="E66">
        <v>1061.8649453823</v>
      </c>
      <c r="F66">
        <v>149.87773359841</v>
      </c>
      <c r="G66">
        <v>122.53578528827001</v>
      </c>
      <c r="I66" s="9">
        <f t="shared" si="1"/>
        <v>939.32916009402993</v>
      </c>
      <c r="J66" s="9">
        <f t="shared" si="2"/>
        <v>5620.2851263816901</v>
      </c>
      <c r="K66" s="9">
        <f t="shared" si="3"/>
        <v>939.32916009402993</v>
      </c>
      <c r="L66" s="10">
        <f t="shared" ref="L66:L129" si="7">K66/J66</f>
        <v>0.16713194063497008</v>
      </c>
      <c r="M66" s="10">
        <f t="shared" si="4"/>
        <v>0.17298072267048548</v>
      </c>
      <c r="P66" s="8">
        <f t="shared" si="5"/>
        <v>-0.20396552680229732</v>
      </c>
      <c r="U66" s="8">
        <v>31.5</v>
      </c>
      <c r="V66" s="10">
        <f t="shared" si="6"/>
        <v>0.16727857742283944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5557.2293942403003</v>
      </c>
      <c r="E67">
        <v>1027.7547169811</v>
      </c>
      <c r="F67">
        <v>149.83001988071999</v>
      </c>
      <c r="G67">
        <v>122.34990059642</v>
      </c>
      <c r="I67" s="9">
        <f t="shared" ref="I67:I130" si="8">E67-G67</f>
        <v>905.40481638468009</v>
      </c>
      <c r="J67" s="9">
        <f t="shared" ref="J67:J130" si="9">D67-F67</f>
        <v>5407.3993743595802</v>
      </c>
      <c r="K67" s="9">
        <f t="shared" ref="K67:K130" si="10">I67*1</f>
        <v>905.40481638468009</v>
      </c>
      <c r="L67" s="10">
        <f t="shared" si="7"/>
        <v>0.16743812574263775</v>
      </c>
      <c r="M67" s="10">
        <f t="shared" ref="M67:M130" si="11">L67+ABS($N$2)*A67</f>
        <v>0.17337829499745808</v>
      </c>
      <c r="P67" s="8">
        <f t="shared" ref="P67:P130" si="12">(M67-$O$2)/$O$2*100</f>
        <v>2.5401890766693733E-2</v>
      </c>
      <c r="U67" s="8">
        <v>32</v>
      </c>
      <c r="V67" s="10">
        <f t="shared" si="6"/>
        <v>0.16661755237286197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5579.5491559086004</v>
      </c>
      <c r="E68">
        <v>1022.3088381331</v>
      </c>
      <c r="F68">
        <v>149.12823061629999</v>
      </c>
      <c r="G68">
        <v>122.32504970178999</v>
      </c>
      <c r="I68" s="9">
        <f t="shared" si="8"/>
        <v>899.98378843131002</v>
      </c>
      <c r="J68" s="9">
        <f t="shared" si="9"/>
        <v>5430.4209252923001</v>
      </c>
      <c r="K68" s="9">
        <f t="shared" si="10"/>
        <v>899.98378843131002</v>
      </c>
      <c r="L68" s="10">
        <f t="shared" si="7"/>
        <v>0.1657300236597897</v>
      </c>
      <c r="M68" s="10">
        <f t="shared" si="11"/>
        <v>0.17176158013391496</v>
      </c>
      <c r="P68" s="8">
        <f t="shared" si="12"/>
        <v>-0.90731321045775437</v>
      </c>
      <c r="U68" s="8">
        <v>32.5</v>
      </c>
      <c r="V68" s="10">
        <f t="shared" si="6"/>
        <v>0.16713194063497008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5802.1444223108001</v>
      </c>
      <c r="E69">
        <v>1045.5358565736999</v>
      </c>
      <c r="F69">
        <v>150.53081510934001</v>
      </c>
      <c r="G69">
        <v>122.51292246521</v>
      </c>
      <c r="I69" s="9">
        <f t="shared" si="8"/>
        <v>923.02293410848995</v>
      </c>
      <c r="J69" s="9">
        <f t="shared" si="9"/>
        <v>5651.6136072014597</v>
      </c>
      <c r="K69" s="9">
        <f t="shared" si="10"/>
        <v>923.02293410848995</v>
      </c>
      <c r="L69" s="10">
        <f t="shared" si="7"/>
        <v>0.16332024767799869</v>
      </c>
      <c r="M69" s="10">
        <f t="shared" si="11"/>
        <v>0.16944319137142885</v>
      </c>
      <c r="P69" s="8">
        <f t="shared" si="12"/>
        <v>-2.2448380010326643</v>
      </c>
      <c r="U69" s="8">
        <v>33</v>
      </c>
      <c r="V69" s="10">
        <f t="shared" si="6"/>
        <v>0.16743812574263775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5708.1269685038997</v>
      </c>
      <c r="E70">
        <v>1034.0708661417</v>
      </c>
      <c r="F70">
        <v>150.70775347912999</v>
      </c>
      <c r="G70">
        <v>122.36381709742</v>
      </c>
      <c r="I70" s="9">
        <f t="shared" si="8"/>
        <v>911.70704904427998</v>
      </c>
      <c r="J70" s="9">
        <f t="shared" si="9"/>
        <v>5557.41921502477</v>
      </c>
      <c r="K70" s="9">
        <f t="shared" si="10"/>
        <v>911.70704904427998</v>
      </c>
      <c r="L70" s="10">
        <f t="shared" si="7"/>
        <v>0.16405223607739233</v>
      </c>
      <c r="M70" s="10">
        <f t="shared" si="11"/>
        <v>0.17026656699012743</v>
      </c>
      <c r="P70" s="8">
        <f t="shared" si="12"/>
        <v>-1.769816158370112</v>
      </c>
      <c r="U70" s="8">
        <v>33.5</v>
      </c>
      <c r="V70" s="10">
        <f t="shared" si="6"/>
        <v>0.1657300236597897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5481.9645669291003</v>
      </c>
      <c r="E71">
        <v>1013.4547244095</v>
      </c>
      <c r="F71">
        <v>151.46222664016</v>
      </c>
      <c r="G71">
        <v>122.69184890656</v>
      </c>
      <c r="I71" s="9">
        <f t="shared" si="8"/>
        <v>890.76287550294001</v>
      </c>
      <c r="J71" s="9">
        <f t="shared" si="9"/>
        <v>5330.5023402889401</v>
      </c>
      <c r="K71" s="9">
        <f t="shared" si="10"/>
        <v>890.76287550294001</v>
      </c>
      <c r="L71" s="10">
        <f t="shared" si="7"/>
        <v>0.16710674128597347</v>
      </c>
      <c r="M71" s="10">
        <f t="shared" si="11"/>
        <v>0.1734124594180135</v>
      </c>
      <c r="P71" s="8">
        <f t="shared" si="12"/>
        <v>4.5112027473666536E-2</v>
      </c>
      <c r="U71" s="8">
        <v>34</v>
      </c>
      <c r="V71" s="10">
        <f t="shared" si="6"/>
        <v>0.16332024767799869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5638.183531746</v>
      </c>
      <c r="E72">
        <v>1047.5555555556</v>
      </c>
      <c r="F72">
        <v>150.25944333996</v>
      </c>
      <c r="G72">
        <v>122.95626242545001</v>
      </c>
      <c r="I72" s="9">
        <f t="shared" si="8"/>
        <v>924.59929313015004</v>
      </c>
      <c r="J72" s="9">
        <f t="shared" si="9"/>
        <v>5487.92408840604</v>
      </c>
      <c r="K72" s="9">
        <f t="shared" si="10"/>
        <v>924.59929313015004</v>
      </c>
      <c r="L72" s="10">
        <f t="shared" si="7"/>
        <v>0.16847887803030792</v>
      </c>
      <c r="M72" s="10">
        <f t="shared" si="11"/>
        <v>0.17487598338165289</v>
      </c>
      <c r="P72" s="8">
        <f t="shared" si="12"/>
        <v>0.88944823831218889</v>
      </c>
      <c r="U72" s="8">
        <v>34.5</v>
      </c>
      <c r="V72" s="10">
        <f t="shared" si="6"/>
        <v>0.16405223607739233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5740.683531746</v>
      </c>
      <c r="E73">
        <v>1059.7688492064001</v>
      </c>
      <c r="F73">
        <v>150.91650099404001</v>
      </c>
      <c r="G73">
        <v>123.08151093439</v>
      </c>
      <c r="I73" s="9">
        <f t="shared" si="8"/>
        <v>936.68733827201004</v>
      </c>
      <c r="J73" s="9">
        <f t="shared" si="9"/>
        <v>5589.7670307519602</v>
      </c>
      <c r="K73" s="9">
        <f t="shared" si="10"/>
        <v>936.68733827201004</v>
      </c>
      <c r="L73" s="10">
        <f t="shared" si="7"/>
        <v>0.1675718027457761</v>
      </c>
      <c r="M73" s="10">
        <f t="shared" si="11"/>
        <v>0.174060295316426</v>
      </c>
      <c r="P73" s="8">
        <f t="shared" si="12"/>
        <v>0.41886149881854229</v>
      </c>
      <c r="U73" s="8">
        <v>35</v>
      </c>
      <c r="V73" s="10">
        <f t="shared" si="6"/>
        <v>0.16710674128597347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5773.4990138066996</v>
      </c>
      <c r="E74">
        <v>1074.6065088757</v>
      </c>
      <c r="F74">
        <v>149.8578528827</v>
      </c>
      <c r="G74">
        <v>122.32902584493</v>
      </c>
      <c r="I74" s="9">
        <f t="shared" si="8"/>
        <v>952.27748303076999</v>
      </c>
      <c r="J74" s="9">
        <f t="shared" si="9"/>
        <v>5623.6411609239995</v>
      </c>
      <c r="K74" s="9">
        <f t="shared" si="10"/>
        <v>952.27748303076999</v>
      </c>
      <c r="L74" s="10">
        <f t="shared" si="7"/>
        <v>0.16933468117555084</v>
      </c>
      <c r="M74" s="10">
        <f t="shared" si="11"/>
        <v>0.17591456096550565</v>
      </c>
      <c r="P74" s="8">
        <f t="shared" si="12"/>
        <v>1.4886243936731383</v>
      </c>
      <c r="U74" s="8">
        <v>35.5</v>
      </c>
      <c r="V74" s="10">
        <f t="shared" si="6"/>
        <v>0.16847887803030792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5849.6454183266997</v>
      </c>
      <c r="E75">
        <v>1091.5637450198999</v>
      </c>
      <c r="F75">
        <v>149.42942345924999</v>
      </c>
      <c r="G75">
        <v>122.22862823062</v>
      </c>
      <c r="I75" s="9">
        <f t="shared" si="8"/>
        <v>969.33511678927994</v>
      </c>
      <c r="J75" s="9">
        <f t="shared" si="9"/>
        <v>5700.2159948674498</v>
      </c>
      <c r="K75" s="9">
        <f t="shared" si="10"/>
        <v>969.33511678927994</v>
      </c>
      <c r="L75" s="10">
        <f t="shared" si="7"/>
        <v>0.17005234848329995</v>
      </c>
      <c r="M75" s="10">
        <f t="shared" si="11"/>
        <v>0.17672361549255969</v>
      </c>
      <c r="P75" s="8">
        <f t="shared" si="12"/>
        <v>1.9553841124794125</v>
      </c>
      <c r="U75" s="8">
        <v>36</v>
      </c>
      <c r="V75" s="10">
        <f t="shared" si="6"/>
        <v>0.1675718027457761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5881.0946215139002</v>
      </c>
      <c r="E76">
        <v>1083.9322709163</v>
      </c>
      <c r="F76">
        <v>149.05467196819001</v>
      </c>
      <c r="G76">
        <v>122.48210735587</v>
      </c>
      <c r="I76" s="9">
        <f t="shared" si="8"/>
        <v>961.45016356043004</v>
      </c>
      <c r="J76" s="9">
        <f t="shared" si="9"/>
        <v>5732.0399495457104</v>
      </c>
      <c r="K76" s="9">
        <f t="shared" si="10"/>
        <v>961.45016356043004</v>
      </c>
      <c r="L76" s="10">
        <f t="shared" si="7"/>
        <v>0.16773263480772307</v>
      </c>
      <c r="M76" s="10">
        <f t="shared" si="11"/>
        <v>0.17449528903628775</v>
      </c>
      <c r="P76" s="8">
        <f t="shared" si="12"/>
        <v>0.66981806549702327</v>
      </c>
      <c r="U76" s="8">
        <v>36.5</v>
      </c>
      <c r="V76" s="10">
        <f t="shared" si="6"/>
        <v>0.16933468117555084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5871.1065737052004</v>
      </c>
      <c r="E77">
        <v>1079.5318725100001</v>
      </c>
      <c r="F77">
        <v>149.88170974155</v>
      </c>
      <c r="G77">
        <v>122.15208747515</v>
      </c>
      <c r="I77" s="9">
        <f t="shared" si="8"/>
        <v>957.3797850348501</v>
      </c>
      <c r="J77" s="9">
        <f t="shared" si="9"/>
        <v>5721.22486396365</v>
      </c>
      <c r="K77" s="9">
        <f t="shared" si="10"/>
        <v>957.3797850348501</v>
      </c>
      <c r="L77" s="10">
        <f t="shared" si="7"/>
        <v>0.16733825497143279</v>
      </c>
      <c r="M77" s="10">
        <f t="shared" si="11"/>
        <v>0.17419229641930239</v>
      </c>
      <c r="P77" s="8">
        <f t="shared" si="12"/>
        <v>0.49501557199955598</v>
      </c>
      <c r="U77" s="8">
        <v>37</v>
      </c>
      <c r="V77" s="10">
        <f t="shared" si="6"/>
        <v>0.17005234848329995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5829.5886454183001</v>
      </c>
      <c r="E78">
        <v>1071.3077689243</v>
      </c>
      <c r="F78">
        <v>148.84890656063999</v>
      </c>
      <c r="G78">
        <v>122.39363817096999</v>
      </c>
      <c r="I78" s="9">
        <f t="shared" si="8"/>
        <v>948.91413075333003</v>
      </c>
      <c r="J78" s="9">
        <f t="shared" si="9"/>
        <v>5680.7397388576601</v>
      </c>
      <c r="K78" s="9">
        <f t="shared" si="10"/>
        <v>948.91413075333003</v>
      </c>
      <c r="L78" s="10">
        <f t="shared" si="7"/>
        <v>0.16704059231274468</v>
      </c>
      <c r="M78" s="10">
        <f t="shared" si="11"/>
        <v>0.17398602097991922</v>
      </c>
      <c r="P78" s="8">
        <f t="shared" si="12"/>
        <v>0.37601115033997617</v>
      </c>
      <c r="U78" s="8">
        <v>37.5</v>
      </c>
      <c r="V78" s="10">
        <f t="shared" si="6"/>
        <v>0.16773263480772307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5818.0766932270999</v>
      </c>
      <c r="E79">
        <v>1068.5966135458</v>
      </c>
      <c r="F79">
        <v>148.93041749503001</v>
      </c>
      <c r="G79">
        <v>122.30417495029999</v>
      </c>
      <c r="I79" s="9">
        <f t="shared" si="8"/>
        <v>946.29243859550002</v>
      </c>
      <c r="J79" s="9">
        <f t="shared" si="9"/>
        <v>5669.1462757320696</v>
      </c>
      <c r="K79" s="9">
        <f t="shared" si="10"/>
        <v>946.29243859550002</v>
      </c>
      <c r="L79" s="10">
        <f t="shared" si="7"/>
        <v>0.16691974286257116</v>
      </c>
      <c r="M79" s="10">
        <f t="shared" si="11"/>
        <v>0.17395655874905061</v>
      </c>
      <c r="P79" s="8">
        <f t="shared" si="12"/>
        <v>0.35901380079703338</v>
      </c>
      <c r="U79" s="8">
        <v>38</v>
      </c>
      <c r="V79" s="10">
        <f t="shared" si="6"/>
        <v>0.16733825497143279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5773.9260000000004</v>
      </c>
      <c r="E80">
        <v>1052.873</v>
      </c>
      <c r="F80">
        <v>149.31610337972</v>
      </c>
      <c r="G80">
        <v>122.63021868787</v>
      </c>
      <c r="I80" s="9">
        <f t="shared" si="8"/>
        <v>930.24278131213009</v>
      </c>
      <c r="J80" s="9">
        <f t="shared" si="9"/>
        <v>5624.6098966202808</v>
      </c>
      <c r="K80" s="9">
        <f t="shared" si="10"/>
        <v>930.24278131213009</v>
      </c>
      <c r="L80" s="10">
        <f t="shared" si="7"/>
        <v>0.16538796439395645</v>
      </c>
      <c r="M80" s="10">
        <f t="shared" si="11"/>
        <v>0.17251616749974083</v>
      </c>
      <c r="P80" s="8">
        <f t="shared" si="12"/>
        <v>-0.47197668503204127</v>
      </c>
      <c r="U80" s="8">
        <v>38.5</v>
      </c>
      <c r="V80" s="10">
        <f t="shared" si="6"/>
        <v>0.16704059231274468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5736.4641101278003</v>
      </c>
      <c r="E81">
        <v>1044.5604719764001</v>
      </c>
      <c r="F81">
        <v>149.76441351889</v>
      </c>
      <c r="G81">
        <v>122.50596421471</v>
      </c>
      <c r="I81" s="9">
        <f t="shared" si="8"/>
        <v>922.05450776169005</v>
      </c>
      <c r="J81" s="9">
        <f t="shared" si="9"/>
        <v>5586.69969660891</v>
      </c>
      <c r="K81" s="9">
        <f t="shared" si="10"/>
        <v>922.05450776169005</v>
      </c>
      <c r="L81" s="10">
        <f t="shared" si="7"/>
        <v>0.1650445804920159</v>
      </c>
      <c r="M81" s="10">
        <f t="shared" si="11"/>
        <v>0.17226417081710521</v>
      </c>
      <c r="P81" s="8">
        <f t="shared" si="12"/>
        <v>-0.6173586052783866</v>
      </c>
      <c r="U81" s="8">
        <v>39</v>
      </c>
      <c r="V81" s="10">
        <f t="shared" si="6"/>
        <v>0.16691974286257116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5810.9572989076996</v>
      </c>
      <c r="E82">
        <v>1063.2820258193001</v>
      </c>
      <c r="F82">
        <v>150.25546719682001</v>
      </c>
      <c r="G82">
        <v>122.52087475149</v>
      </c>
      <c r="H82" s="13"/>
      <c r="I82" s="14">
        <f t="shared" si="8"/>
        <v>940.76115106781003</v>
      </c>
      <c r="J82" s="14">
        <f t="shared" si="9"/>
        <v>5660.7018317108796</v>
      </c>
      <c r="K82" s="9">
        <f t="shared" si="10"/>
        <v>940.76115106781003</v>
      </c>
      <c r="L82" s="15">
        <f t="shared" si="7"/>
        <v>0.16619160998689736</v>
      </c>
      <c r="M82" s="15">
        <f t="shared" si="11"/>
        <v>0.17350258753129161</v>
      </c>
      <c r="N82" s="13"/>
      <c r="O82" s="13"/>
      <c r="P82" s="13">
        <f t="shared" si="12"/>
        <v>9.7108736475973137E-2</v>
      </c>
      <c r="U82" s="8">
        <v>39.5</v>
      </c>
      <c r="V82" s="10">
        <f t="shared" si="6"/>
        <v>0.16538796439395645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5768.5413758723998</v>
      </c>
      <c r="E83">
        <v>1066.1555333998001</v>
      </c>
      <c r="F83">
        <v>149.42445328031999</v>
      </c>
      <c r="G83">
        <v>122.56858846919</v>
      </c>
      <c r="I83" s="9">
        <f t="shared" si="8"/>
        <v>943.58694493061012</v>
      </c>
      <c r="J83" s="9">
        <f t="shared" si="9"/>
        <v>5619.1169225920803</v>
      </c>
      <c r="K83" s="9">
        <f t="shared" si="10"/>
        <v>943.58694493061012</v>
      </c>
      <c r="L83" s="10">
        <f t="shared" si="7"/>
        <v>0.16792441907319069</v>
      </c>
      <c r="M83" s="10">
        <f t="shared" si="11"/>
        <v>0.17532678383688988</v>
      </c>
      <c r="P83" s="8">
        <f t="shared" si="12"/>
        <v>1.1495240263932831</v>
      </c>
      <c r="U83" s="8">
        <v>40</v>
      </c>
      <c r="V83" s="10">
        <f t="shared" si="6"/>
        <v>0.1650445804920159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5760.1056829511999</v>
      </c>
      <c r="E84">
        <v>1063.8853439681</v>
      </c>
      <c r="F84">
        <v>149.29522862823001</v>
      </c>
      <c r="G84">
        <v>122.30616302187001</v>
      </c>
      <c r="I84" s="9">
        <f t="shared" si="8"/>
        <v>941.57918094622994</v>
      </c>
      <c r="J84" s="9">
        <f t="shared" si="9"/>
        <v>5610.8104543229701</v>
      </c>
      <c r="K84" s="9">
        <f t="shared" si="10"/>
        <v>941.57918094622994</v>
      </c>
      <c r="L84" s="10">
        <f t="shared" si="7"/>
        <v>0.1678151826035702</v>
      </c>
      <c r="M84" s="10">
        <f t="shared" si="11"/>
        <v>0.17530893458657429</v>
      </c>
      <c r="P84" s="8">
        <f t="shared" si="12"/>
        <v>1.1392264373191041</v>
      </c>
      <c r="U84" s="8">
        <v>150.5</v>
      </c>
      <c r="V84" s="10">
        <f>L302</f>
        <v>0.14259495401077651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5818.9012961116996</v>
      </c>
      <c r="E85">
        <v>1063.5832502492999</v>
      </c>
      <c r="F85">
        <v>148.7972166998</v>
      </c>
      <c r="G85">
        <v>122.59542743538999</v>
      </c>
      <c r="I85" s="9">
        <f t="shared" si="8"/>
        <v>940.98782281390993</v>
      </c>
      <c r="J85" s="9">
        <f t="shared" si="9"/>
        <v>5670.1040794118999</v>
      </c>
      <c r="K85" s="9">
        <f t="shared" si="10"/>
        <v>940.98782281390993</v>
      </c>
      <c r="L85" s="10">
        <f t="shared" si="7"/>
        <v>0.16595600532812596</v>
      </c>
      <c r="M85" s="10">
        <f t="shared" si="11"/>
        <v>0.17354114453043498</v>
      </c>
      <c r="P85" s="8">
        <f t="shared" si="12"/>
        <v>0.11935303951906458</v>
      </c>
      <c r="U85" s="8">
        <v>151</v>
      </c>
      <c r="V85" s="10">
        <f t="shared" ref="V85:V103" si="13">L303</f>
        <v>0.14351302364196358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5804.5992023928002</v>
      </c>
      <c r="E86">
        <v>1076.6331006979001</v>
      </c>
      <c r="F86">
        <v>148.56858846918999</v>
      </c>
      <c r="G86">
        <v>122.29522862823001</v>
      </c>
      <c r="I86" s="9">
        <f t="shared" si="8"/>
        <v>954.33787206967008</v>
      </c>
      <c r="J86" s="9">
        <f t="shared" si="9"/>
        <v>5656.03061392361</v>
      </c>
      <c r="K86" s="9">
        <f t="shared" si="10"/>
        <v>954.33787206967008</v>
      </c>
      <c r="L86" s="10">
        <f t="shared" si="7"/>
        <v>0.16872926212958425</v>
      </c>
      <c r="M86" s="10">
        <f t="shared" si="11"/>
        <v>0.17640578855119821</v>
      </c>
      <c r="P86" s="8">
        <f t="shared" si="12"/>
        <v>1.7720234009101732</v>
      </c>
      <c r="U86" s="8">
        <v>151.5</v>
      </c>
      <c r="V86" s="10">
        <f t="shared" si="13"/>
        <v>0.14341617096946507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5811.969123506</v>
      </c>
      <c r="E87">
        <v>1080.5617529880999</v>
      </c>
      <c r="F87">
        <v>148.36580516898999</v>
      </c>
      <c r="G87">
        <v>122.23558648111</v>
      </c>
      <c r="I87" s="9">
        <f t="shared" si="8"/>
        <v>958.32616650698992</v>
      </c>
      <c r="J87" s="9">
        <f t="shared" si="9"/>
        <v>5663.60331833701</v>
      </c>
      <c r="K87" s="9">
        <f t="shared" si="10"/>
        <v>958.32616650698992</v>
      </c>
      <c r="L87" s="10">
        <f t="shared" si="7"/>
        <v>0.16920785454804432</v>
      </c>
      <c r="M87" s="10">
        <f t="shared" si="11"/>
        <v>0.17697576818896321</v>
      </c>
      <c r="P87" s="8">
        <f t="shared" si="12"/>
        <v>2.1008560401850849</v>
      </c>
      <c r="U87" s="8">
        <v>152</v>
      </c>
      <c r="V87" s="10">
        <f t="shared" si="13"/>
        <v>0.14352890101601595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5688.2260956174996</v>
      </c>
      <c r="E88">
        <v>1070.6563745020001</v>
      </c>
      <c r="F88">
        <v>149.51491053678001</v>
      </c>
      <c r="G88">
        <v>122.78727634195</v>
      </c>
      <c r="I88" s="9">
        <f t="shared" si="8"/>
        <v>947.86909816005004</v>
      </c>
      <c r="J88" s="9">
        <f t="shared" si="9"/>
        <v>5538.7111850807196</v>
      </c>
      <c r="K88" s="9">
        <f t="shared" si="10"/>
        <v>947.86909816005004</v>
      </c>
      <c r="L88" s="10">
        <f t="shared" si="7"/>
        <v>0.17113531767340853</v>
      </c>
      <c r="M88" s="10">
        <f t="shared" si="11"/>
        <v>0.17899461853363235</v>
      </c>
      <c r="P88" s="8">
        <f t="shared" si="12"/>
        <v>3.2655711337658841</v>
      </c>
      <c r="U88" s="8">
        <v>152.5</v>
      </c>
      <c r="V88" s="10">
        <f t="shared" si="13"/>
        <v>0.14347324529781483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5638.0298804780996</v>
      </c>
      <c r="E89">
        <v>1119.3864541833</v>
      </c>
      <c r="F89">
        <v>150.57654075547001</v>
      </c>
      <c r="G89">
        <v>123.28628230616</v>
      </c>
      <c r="I89" s="9">
        <f t="shared" si="8"/>
        <v>996.10017187713993</v>
      </c>
      <c r="J89" s="9">
        <f t="shared" si="9"/>
        <v>5487.4533397226296</v>
      </c>
      <c r="K89" s="9">
        <f t="shared" si="10"/>
        <v>996.10017187713993</v>
      </c>
      <c r="L89" s="10">
        <f t="shared" si="7"/>
        <v>0.18152321490673287</v>
      </c>
      <c r="M89" s="10">
        <f t="shared" si="11"/>
        <v>0.1894739029862616</v>
      </c>
      <c r="P89" s="8">
        <f t="shared" si="12"/>
        <v>9.3112796748336759</v>
      </c>
      <c r="U89" s="8">
        <v>153</v>
      </c>
      <c r="V89" s="10">
        <f t="shared" si="13"/>
        <v>0.14380450814793563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5589.5408366534002</v>
      </c>
      <c r="E90">
        <v>1120.2400398406</v>
      </c>
      <c r="F90">
        <v>149.93240556660001</v>
      </c>
      <c r="G90">
        <v>123.65407554671999</v>
      </c>
      <c r="I90" s="9">
        <f t="shared" si="8"/>
        <v>996.58596429388001</v>
      </c>
      <c r="J90" s="9">
        <f t="shared" si="9"/>
        <v>5439.6084310868</v>
      </c>
      <c r="K90" s="9">
        <f t="shared" si="10"/>
        <v>996.58596429388001</v>
      </c>
      <c r="L90" s="10">
        <f t="shared" si="7"/>
        <v>0.18320913663536775</v>
      </c>
      <c r="M90" s="10">
        <f t="shared" si="11"/>
        <v>0.19125121193420141</v>
      </c>
      <c r="P90" s="8">
        <f t="shared" si="12"/>
        <v>10.336644711468406</v>
      </c>
      <c r="U90" s="8">
        <v>153.5</v>
      </c>
      <c r="V90" s="10">
        <f t="shared" si="13"/>
        <v>0.14317534777934662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5560.4093625497999</v>
      </c>
      <c r="E91">
        <v>1105.8047808765</v>
      </c>
      <c r="F91">
        <v>150.13320079523001</v>
      </c>
      <c r="G91">
        <v>122.58548707753999</v>
      </c>
      <c r="I91" s="9">
        <f t="shared" si="8"/>
        <v>983.21929379896005</v>
      </c>
      <c r="J91" s="9">
        <f t="shared" si="9"/>
        <v>5410.2761617545702</v>
      </c>
      <c r="K91" s="9">
        <f t="shared" si="10"/>
        <v>983.21929379896005</v>
      </c>
      <c r="L91" s="10">
        <f t="shared" si="7"/>
        <v>0.1817318126474525</v>
      </c>
      <c r="M91" s="10">
        <f t="shared" si="11"/>
        <v>0.1898652751655911</v>
      </c>
      <c r="P91" s="8">
        <f t="shared" si="12"/>
        <v>9.5370701033695653</v>
      </c>
      <c r="U91" s="8">
        <v>154</v>
      </c>
      <c r="V91" s="10">
        <f t="shared" si="13"/>
        <v>0.14353459476618805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5640.4830677291002</v>
      </c>
      <c r="E92">
        <v>1104.5338645418001</v>
      </c>
      <c r="F92">
        <v>149.90954274353999</v>
      </c>
      <c r="G92">
        <v>122.8111332008</v>
      </c>
      <c r="I92" s="9">
        <f t="shared" si="8"/>
        <v>981.7227313410001</v>
      </c>
      <c r="J92" s="9">
        <f t="shared" si="9"/>
        <v>5490.5735249855607</v>
      </c>
      <c r="K92" s="9">
        <f t="shared" si="10"/>
        <v>981.7227313410001</v>
      </c>
      <c r="L92" s="10">
        <f t="shared" si="7"/>
        <v>0.17880149075020024</v>
      </c>
      <c r="M92" s="10">
        <f t="shared" si="11"/>
        <v>0.18702634048764377</v>
      </c>
      <c r="P92" s="8">
        <f t="shared" si="12"/>
        <v>7.8992319754338931</v>
      </c>
      <c r="U92" s="8">
        <v>154.5</v>
      </c>
      <c r="V92" s="10">
        <f t="shared" si="13"/>
        <v>0.14397213175428453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5711.9501992032001</v>
      </c>
      <c r="E93">
        <v>1108.0876494024001</v>
      </c>
      <c r="F93">
        <v>150.04970178926001</v>
      </c>
      <c r="G93">
        <v>122.48508946322001</v>
      </c>
      <c r="I93" s="9">
        <f t="shared" si="8"/>
        <v>985.60255993918008</v>
      </c>
      <c r="J93" s="9">
        <f t="shared" si="9"/>
        <v>5561.9004974139398</v>
      </c>
      <c r="K93" s="9">
        <f t="shared" si="10"/>
        <v>985.60255993918008</v>
      </c>
      <c r="L93" s="10">
        <f t="shared" si="7"/>
        <v>0.17720607558467572</v>
      </c>
      <c r="M93" s="10">
        <f t="shared" si="11"/>
        <v>0.18552231254142415</v>
      </c>
      <c r="P93" s="8">
        <f t="shared" si="12"/>
        <v>7.0315282079134676</v>
      </c>
      <c r="U93" s="8">
        <v>155</v>
      </c>
      <c r="V93" s="10">
        <f t="shared" si="13"/>
        <v>0.14578890619520721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5890.1414342629996</v>
      </c>
      <c r="E94">
        <v>1122.3326693227</v>
      </c>
      <c r="F94">
        <v>149.86182902585</v>
      </c>
      <c r="G94">
        <v>121.80019880716</v>
      </c>
      <c r="I94" s="9">
        <f t="shared" si="8"/>
        <v>1000.53247051554</v>
      </c>
      <c r="J94" s="9">
        <f t="shared" si="9"/>
        <v>5740.2796052371496</v>
      </c>
      <c r="K94" s="9">
        <f t="shared" si="10"/>
        <v>1000.53247051554</v>
      </c>
      <c r="L94" s="10">
        <f t="shared" si="7"/>
        <v>0.17430030230630286</v>
      </c>
      <c r="M94" s="10">
        <f t="shared" si="11"/>
        <v>0.18270792648235623</v>
      </c>
      <c r="P94" s="8">
        <f t="shared" si="12"/>
        <v>5.4078526686069655</v>
      </c>
      <c r="U94" s="8">
        <v>155.5</v>
      </c>
      <c r="V94" s="10">
        <f t="shared" si="13"/>
        <v>0.14568112513877468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5637.5537848606</v>
      </c>
      <c r="E95">
        <v>1071.3027888445999</v>
      </c>
      <c r="F95">
        <v>149.75844930418</v>
      </c>
      <c r="G95">
        <v>122.2902584493</v>
      </c>
      <c r="I95" s="9">
        <f t="shared" si="8"/>
        <v>949.0125303952999</v>
      </c>
      <c r="J95" s="9">
        <f t="shared" si="9"/>
        <v>5487.7953355564196</v>
      </c>
      <c r="K95" s="9">
        <f t="shared" si="10"/>
        <v>949.0125303952999</v>
      </c>
      <c r="L95" s="10">
        <f t="shared" si="7"/>
        <v>0.17293147290797745</v>
      </c>
      <c r="M95" s="10">
        <f t="shared" si="11"/>
        <v>0.18143048430333575</v>
      </c>
      <c r="P95" s="8">
        <f t="shared" si="12"/>
        <v>4.6708707565941969</v>
      </c>
      <c r="U95" s="8">
        <v>156</v>
      </c>
      <c r="V95" s="10">
        <f t="shared" si="13"/>
        <v>0.1466846849175219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5675.6825396824997</v>
      </c>
      <c r="E96">
        <v>1100.7757936508001</v>
      </c>
      <c r="F96">
        <v>148.97614314115</v>
      </c>
      <c r="G96">
        <v>122.57952286282</v>
      </c>
      <c r="I96" s="9">
        <f t="shared" si="8"/>
        <v>978.1962707879801</v>
      </c>
      <c r="J96" s="9">
        <f t="shared" si="9"/>
        <v>5526.7063965413499</v>
      </c>
      <c r="K96" s="9">
        <f t="shared" si="10"/>
        <v>978.1962707879801</v>
      </c>
      <c r="L96" s="10">
        <f t="shared" si="7"/>
        <v>0.17699443404486656</v>
      </c>
      <c r="M96" s="10">
        <f t="shared" si="11"/>
        <v>0.1855848326595298</v>
      </c>
      <c r="P96" s="8">
        <f t="shared" si="12"/>
        <v>7.0675973129872451</v>
      </c>
      <c r="U96" s="8">
        <v>156.5</v>
      </c>
      <c r="V96" s="10">
        <f t="shared" si="13"/>
        <v>0.14586527086974083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5797.6805555556002</v>
      </c>
      <c r="E97">
        <v>1125.3799603175</v>
      </c>
      <c r="F97">
        <v>150.06958250496999</v>
      </c>
      <c r="G97">
        <v>122.48707753479</v>
      </c>
      <c r="I97" s="9">
        <f t="shared" si="8"/>
        <v>1002.89288278271</v>
      </c>
      <c r="J97" s="9">
        <f t="shared" si="9"/>
        <v>5647.6109730506305</v>
      </c>
      <c r="K97" s="9">
        <f t="shared" si="10"/>
        <v>1002.89288278271</v>
      </c>
      <c r="L97" s="10">
        <f t="shared" si="7"/>
        <v>0.17757825168346969</v>
      </c>
      <c r="M97" s="10">
        <f t="shared" si="11"/>
        <v>0.18626003751743786</v>
      </c>
      <c r="P97" s="8">
        <f t="shared" si="12"/>
        <v>7.4571364838035352</v>
      </c>
      <c r="U97" s="8">
        <v>157</v>
      </c>
      <c r="V97" s="10">
        <f t="shared" si="13"/>
        <v>0.14539168643306138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5742.1623762376003</v>
      </c>
      <c r="E98">
        <v>1114.5722772276999</v>
      </c>
      <c r="F98">
        <v>148.34990059642001</v>
      </c>
      <c r="G98">
        <v>122.07654075547001</v>
      </c>
      <c r="I98" s="9">
        <f t="shared" si="8"/>
        <v>992.49573647222996</v>
      </c>
      <c r="J98" s="9">
        <f t="shared" si="9"/>
        <v>5593.8124756411798</v>
      </c>
      <c r="K98" s="9">
        <f t="shared" si="10"/>
        <v>992.49573647222996</v>
      </c>
      <c r="L98" s="10">
        <f t="shared" si="7"/>
        <v>0.17742742374617537</v>
      </c>
      <c r="M98" s="10">
        <f t="shared" si="11"/>
        <v>0.18620059679944845</v>
      </c>
      <c r="P98" s="8">
        <f t="shared" si="12"/>
        <v>7.4228439461727218</v>
      </c>
      <c r="U98" s="8">
        <v>157.5</v>
      </c>
      <c r="V98" s="10">
        <f t="shared" si="13"/>
        <v>0.14586681854253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5777.0356435643998</v>
      </c>
      <c r="E99">
        <v>1104.2910891089</v>
      </c>
      <c r="F99">
        <v>148.72166998012</v>
      </c>
      <c r="G99">
        <v>122.02783300199</v>
      </c>
      <c r="I99" s="9">
        <f t="shared" si="8"/>
        <v>982.26325610691003</v>
      </c>
      <c r="J99" s="9">
        <f t="shared" si="9"/>
        <v>5628.3139735842797</v>
      </c>
      <c r="K99" s="9">
        <f t="shared" si="10"/>
        <v>982.26325610691003</v>
      </c>
      <c r="L99" s="10">
        <f t="shared" si="7"/>
        <v>0.174521759219018</v>
      </c>
      <c r="M99" s="10">
        <f t="shared" si="11"/>
        <v>0.18338631949159601</v>
      </c>
      <c r="P99" s="8">
        <f t="shared" si="12"/>
        <v>5.7992311476149059</v>
      </c>
      <c r="U99" s="8">
        <v>158</v>
      </c>
      <c r="V99" s="10">
        <f t="shared" si="13"/>
        <v>0.1460896586394245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5825.9108910891</v>
      </c>
      <c r="E100">
        <v>1101.6336633663</v>
      </c>
      <c r="F100">
        <v>147.89065606362001</v>
      </c>
      <c r="G100">
        <v>121.85288270378</v>
      </c>
      <c r="I100" s="9">
        <f t="shared" si="8"/>
        <v>979.78078066251999</v>
      </c>
      <c r="J100" s="9">
        <f t="shared" si="9"/>
        <v>5678.0202350254804</v>
      </c>
      <c r="K100" s="9">
        <f t="shared" si="10"/>
        <v>979.78078066251999</v>
      </c>
      <c r="L100" s="10">
        <f t="shared" si="7"/>
        <v>0.17255676100247699</v>
      </c>
      <c r="M100" s="10">
        <f t="shared" si="11"/>
        <v>0.18151270849435994</v>
      </c>
      <c r="P100" s="8">
        <f t="shared" si="12"/>
        <v>4.718307534954822</v>
      </c>
      <c r="U100" s="8">
        <v>158.5</v>
      </c>
      <c r="V100" s="10">
        <f t="shared" si="13"/>
        <v>0.14649719114408064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5743.6089108911001</v>
      </c>
      <c r="E101">
        <v>1073.9603960396</v>
      </c>
      <c r="F101">
        <v>148.36083499006</v>
      </c>
      <c r="G101">
        <v>121.71968190855</v>
      </c>
      <c r="I101" s="9">
        <f t="shared" si="8"/>
        <v>952.24071413105003</v>
      </c>
      <c r="J101" s="9">
        <f t="shared" si="9"/>
        <v>5595.2480759010405</v>
      </c>
      <c r="K101" s="9">
        <f t="shared" si="10"/>
        <v>952.24071413105003</v>
      </c>
      <c r="L101" s="10">
        <f t="shared" si="7"/>
        <v>0.17018739852347017</v>
      </c>
      <c r="M101" s="10">
        <f t="shared" si="11"/>
        <v>0.17923473323465805</v>
      </c>
      <c r="P101" s="8">
        <f t="shared" si="12"/>
        <v>3.4040981014600158</v>
      </c>
      <c r="U101" s="8">
        <v>159</v>
      </c>
      <c r="V101" s="10">
        <f t="shared" si="13"/>
        <v>0.14640883557966156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5798.0623762375999</v>
      </c>
      <c r="E102">
        <v>1077.0227722771999</v>
      </c>
      <c r="F102">
        <v>148.22564612325999</v>
      </c>
      <c r="G102">
        <v>122.01391650099001</v>
      </c>
      <c r="I102" s="9">
        <f t="shared" si="8"/>
        <v>955.00885577620988</v>
      </c>
      <c r="J102" s="9">
        <f t="shared" si="9"/>
        <v>5649.8367301143398</v>
      </c>
      <c r="K102" s="9">
        <f t="shared" si="10"/>
        <v>955.00885577620988</v>
      </c>
      <c r="L102" s="10">
        <f t="shared" si="7"/>
        <v>0.16903300066812421</v>
      </c>
      <c r="M102" s="10">
        <f t="shared" si="11"/>
        <v>0.17817172259861702</v>
      </c>
      <c r="P102" s="8">
        <f t="shared" si="12"/>
        <v>2.7908260302026404</v>
      </c>
      <c r="U102" s="8">
        <v>159.5</v>
      </c>
      <c r="V102" s="10">
        <f t="shared" si="13"/>
        <v>0.14625159458535789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5743.0992063492004</v>
      </c>
      <c r="E103">
        <v>1063.6736111110999</v>
      </c>
      <c r="F103">
        <v>148.7564612326</v>
      </c>
      <c r="G103">
        <v>121.53280318092</v>
      </c>
      <c r="I103" s="9">
        <f t="shared" si="8"/>
        <v>942.1408079301799</v>
      </c>
      <c r="J103" s="9">
        <f t="shared" si="9"/>
        <v>5594.3427451166008</v>
      </c>
      <c r="K103" s="9">
        <f t="shared" si="10"/>
        <v>942.1408079301799</v>
      </c>
      <c r="L103" s="10">
        <f t="shared" si="7"/>
        <v>0.16840956138280785</v>
      </c>
      <c r="M103" s="10">
        <f t="shared" si="11"/>
        <v>0.1776396705326056</v>
      </c>
      <c r="P103" s="8">
        <f t="shared" si="12"/>
        <v>2.4838745647358378</v>
      </c>
      <c r="U103" s="8">
        <v>160</v>
      </c>
      <c r="V103" s="10">
        <f t="shared" si="13"/>
        <v>0.14729633070627993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5815.5486111111004</v>
      </c>
      <c r="E104">
        <v>1082.2390873016</v>
      </c>
      <c r="F104">
        <v>149.28628230615999</v>
      </c>
      <c r="G104">
        <v>122.0745526839</v>
      </c>
      <c r="I104" s="9">
        <f t="shared" si="8"/>
        <v>960.16453461769993</v>
      </c>
      <c r="J104" s="9">
        <f t="shared" si="9"/>
        <v>5666.2623288049408</v>
      </c>
      <c r="K104" s="9">
        <f t="shared" si="10"/>
        <v>960.16453461769993</v>
      </c>
      <c r="L104" s="10">
        <f t="shared" si="7"/>
        <v>0.16945289132425434</v>
      </c>
      <c r="M104" s="10">
        <f t="shared" si="11"/>
        <v>0.17877438769335699</v>
      </c>
      <c r="P104" s="8">
        <f t="shared" si="12"/>
        <v>3.1385155625503085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5724.8521825397002</v>
      </c>
      <c r="E105">
        <v>1063.6329365079</v>
      </c>
      <c r="F105">
        <v>149.07852882704</v>
      </c>
      <c r="G105">
        <v>122.24751491054</v>
      </c>
      <c r="I105" s="9">
        <f t="shared" si="8"/>
        <v>941.38542159736005</v>
      </c>
      <c r="J105" s="9">
        <f t="shared" si="9"/>
        <v>5575.7736537126602</v>
      </c>
      <c r="K105" s="9">
        <f t="shared" si="10"/>
        <v>941.38542159736005</v>
      </c>
      <c r="L105" s="10">
        <f t="shared" si="7"/>
        <v>0.16883494203006846</v>
      </c>
      <c r="M105" s="10">
        <f t="shared" si="11"/>
        <v>0.17824782561847605</v>
      </c>
      <c r="P105" s="8">
        <f t="shared" si="12"/>
        <v>2.8347313826379703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5603.9761904761999</v>
      </c>
      <c r="E106">
        <v>1043.2876984126999</v>
      </c>
      <c r="F106">
        <v>148.76838966202999</v>
      </c>
      <c r="G106">
        <v>121.86978131213</v>
      </c>
      <c r="I106" s="9">
        <f t="shared" si="8"/>
        <v>921.41791710056987</v>
      </c>
      <c r="J106" s="9">
        <f t="shared" si="9"/>
        <v>5455.2078008141698</v>
      </c>
      <c r="K106" s="9">
        <f t="shared" si="10"/>
        <v>921.41791710056987</v>
      </c>
      <c r="L106" s="10">
        <f t="shared" si="7"/>
        <v>0.16890610784121765</v>
      </c>
      <c r="M106" s="10">
        <f t="shared" si="11"/>
        <v>0.17841037864893017</v>
      </c>
      <c r="P106" s="8">
        <f t="shared" si="12"/>
        <v>2.928511473161838</v>
      </c>
      <c r="X106" s="8">
        <v>-13</v>
      </c>
    </row>
    <row r="107" spans="1:25" x14ac:dyDescent="0.2">
      <c r="A107" s="8">
        <v>52.5</v>
      </c>
      <c r="B107" s="8">
        <v>105</v>
      </c>
      <c r="D107">
        <v>5749.9084577113999</v>
      </c>
      <c r="E107">
        <v>1064.4407960199001</v>
      </c>
      <c r="F107">
        <v>148.57952286282</v>
      </c>
      <c r="G107">
        <v>121.53280318092</v>
      </c>
      <c r="I107" s="9">
        <f t="shared" si="8"/>
        <v>942.90799283898002</v>
      </c>
      <c r="J107" s="9">
        <f t="shared" si="9"/>
        <v>5601.3289348485796</v>
      </c>
      <c r="K107" s="9">
        <f t="shared" si="10"/>
        <v>942.90799283898002</v>
      </c>
      <c r="L107" s="10">
        <f t="shared" si="7"/>
        <v>0.16833647939736102</v>
      </c>
      <c r="M107" s="10">
        <f t="shared" si="11"/>
        <v>0.17793213742437847</v>
      </c>
      <c r="P107" s="8">
        <f t="shared" si="12"/>
        <v>2.6526045570901489</v>
      </c>
      <c r="X107" s="8">
        <v>-13</v>
      </c>
    </row>
    <row r="108" spans="1:25" x14ac:dyDescent="0.2">
      <c r="A108" s="8">
        <v>53</v>
      </c>
      <c r="B108" s="8">
        <v>106</v>
      </c>
      <c r="D108">
        <v>5774.6756218906003</v>
      </c>
      <c r="E108">
        <v>1066.4905472636999</v>
      </c>
      <c r="F108">
        <v>148.31709741551001</v>
      </c>
      <c r="G108">
        <v>121.65606361829001</v>
      </c>
      <c r="I108" s="9">
        <f t="shared" si="8"/>
        <v>944.83448364540993</v>
      </c>
      <c r="J108" s="9">
        <f t="shared" si="9"/>
        <v>5626.3585244750902</v>
      </c>
      <c r="K108" s="9">
        <f t="shared" si="10"/>
        <v>944.83448364540993</v>
      </c>
      <c r="L108" s="10">
        <f t="shared" si="7"/>
        <v>0.16793001717457351</v>
      </c>
      <c r="M108" s="10">
        <f t="shared" si="11"/>
        <v>0.17761706242089587</v>
      </c>
      <c r="P108" s="8">
        <f t="shared" si="12"/>
        <v>2.4708314934575646</v>
      </c>
      <c r="X108" s="8">
        <v>-13</v>
      </c>
    </row>
    <row r="109" spans="1:25" x14ac:dyDescent="0.2">
      <c r="A109" s="8">
        <v>53.5</v>
      </c>
      <c r="B109" s="8">
        <v>107</v>
      </c>
      <c r="D109">
        <v>5717.7562189054997</v>
      </c>
      <c r="E109">
        <v>1050.7691542289001</v>
      </c>
      <c r="F109">
        <v>148.56958250496999</v>
      </c>
      <c r="G109">
        <v>121.4393638171</v>
      </c>
      <c r="I109" s="9">
        <f t="shared" si="8"/>
        <v>929.3297904118001</v>
      </c>
      <c r="J109" s="9">
        <f t="shared" si="9"/>
        <v>5569.18663640053</v>
      </c>
      <c r="K109" s="9">
        <f t="shared" si="10"/>
        <v>929.3297904118001</v>
      </c>
      <c r="L109" s="10">
        <f t="shared" si="7"/>
        <v>0.16686993112021892</v>
      </c>
      <c r="M109" s="10">
        <f t="shared" si="11"/>
        <v>0.17664836358584621</v>
      </c>
      <c r="P109" s="8">
        <f t="shared" si="12"/>
        <v>1.9119697842200838</v>
      </c>
      <c r="X109" s="8">
        <v>-13</v>
      </c>
    </row>
    <row r="110" spans="1:25" x14ac:dyDescent="0.2">
      <c r="A110" s="8">
        <v>54</v>
      </c>
      <c r="B110" s="8">
        <v>108</v>
      </c>
      <c r="D110">
        <v>5745.4577114428002</v>
      </c>
      <c r="E110">
        <v>1058.6706467662</v>
      </c>
      <c r="F110">
        <v>148.02485089462999</v>
      </c>
      <c r="G110">
        <v>121.63717693837</v>
      </c>
      <c r="I110" s="9">
        <f t="shared" si="8"/>
        <v>937.03346982783</v>
      </c>
      <c r="J110" s="9">
        <f t="shared" si="9"/>
        <v>5597.4328605481705</v>
      </c>
      <c r="K110" s="9">
        <f t="shared" si="10"/>
        <v>937.03346982783</v>
      </c>
      <c r="L110" s="10">
        <f t="shared" si="7"/>
        <v>0.16740414636006262</v>
      </c>
      <c r="M110" s="10">
        <f t="shared" si="11"/>
        <v>0.17727396604499485</v>
      </c>
      <c r="P110" s="8">
        <f t="shared" si="12"/>
        <v>2.2728923403053884</v>
      </c>
      <c r="X110" s="8">
        <v>-13</v>
      </c>
    </row>
    <row r="111" spans="1:25" x14ac:dyDescent="0.2">
      <c r="A111" s="8">
        <v>54.5</v>
      </c>
      <c r="B111" s="8">
        <v>109</v>
      </c>
      <c r="D111">
        <v>5711.2935323382999</v>
      </c>
      <c r="E111">
        <v>1043.6995024876001</v>
      </c>
      <c r="F111">
        <v>147.76242544732</v>
      </c>
      <c r="G111">
        <v>121.10337972167</v>
      </c>
      <c r="I111" s="9">
        <f t="shared" si="8"/>
        <v>922.59612276593009</v>
      </c>
      <c r="J111" s="9">
        <f t="shared" si="9"/>
        <v>5563.5311068909796</v>
      </c>
      <c r="K111" s="9">
        <f t="shared" si="10"/>
        <v>922.59612276593009</v>
      </c>
      <c r="L111" s="10">
        <f t="shared" si="7"/>
        <v>0.16582923777009248</v>
      </c>
      <c r="M111" s="10">
        <f t="shared" si="11"/>
        <v>0.17579044467432964</v>
      </c>
      <c r="P111" s="8">
        <f t="shared" si="12"/>
        <v>1.4170192258737109</v>
      </c>
      <c r="X111" s="8">
        <v>-13</v>
      </c>
    </row>
    <row r="112" spans="1:25" x14ac:dyDescent="0.2">
      <c r="A112" s="8">
        <v>55</v>
      </c>
      <c r="B112" s="8">
        <v>110</v>
      </c>
      <c r="D112">
        <v>5682.3555776891999</v>
      </c>
      <c r="E112">
        <v>1038.8446215138999</v>
      </c>
      <c r="F112">
        <v>148.7435387674</v>
      </c>
      <c r="G112">
        <v>122.0745526839</v>
      </c>
      <c r="I112" s="9">
        <f t="shared" si="8"/>
        <v>916.7700688299999</v>
      </c>
      <c r="J112" s="9">
        <f t="shared" si="9"/>
        <v>5533.6120389217995</v>
      </c>
      <c r="K112" s="9">
        <f t="shared" si="10"/>
        <v>916.7700688299999</v>
      </c>
      <c r="L112" s="10">
        <f t="shared" si="7"/>
        <v>0.16567299304355074</v>
      </c>
      <c r="M112" s="10">
        <f t="shared" si="11"/>
        <v>0.17572558716709283</v>
      </c>
      <c r="P112" s="8">
        <f t="shared" si="12"/>
        <v>1.3796016343171076</v>
      </c>
      <c r="X112" s="8">
        <v>-13</v>
      </c>
    </row>
    <row r="113" spans="1:24" x14ac:dyDescent="0.2">
      <c r="A113" s="8">
        <v>55.5</v>
      </c>
      <c r="B113" s="8">
        <v>111</v>
      </c>
      <c r="D113">
        <v>5626.3486055777003</v>
      </c>
      <c r="E113">
        <v>1061.6543824701</v>
      </c>
      <c r="F113">
        <v>148.36580516898999</v>
      </c>
      <c r="G113">
        <v>121.75149105368</v>
      </c>
      <c r="I113" s="9">
        <f t="shared" si="8"/>
        <v>939.90289141642006</v>
      </c>
      <c r="J113" s="9">
        <f t="shared" si="9"/>
        <v>5477.9828004087103</v>
      </c>
      <c r="K113" s="9">
        <f t="shared" si="10"/>
        <v>939.90289141642006</v>
      </c>
      <c r="L113" s="10">
        <f t="shared" si="7"/>
        <v>0.17157828450032633</v>
      </c>
      <c r="M113" s="10">
        <f t="shared" si="11"/>
        <v>0.18172226584317333</v>
      </c>
      <c r="P113" s="8">
        <f t="shared" si="12"/>
        <v>4.8392053557260475</v>
      </c>
      <c r="X113" s="8">
        <v>-13</v>
      </c>
    </row>
    <row r="114" spans="1:24" x14ac:dyDescent="0.2">
      <c r="A114" s="8">
        <v>56</v>
      </c>
      <c r="B114" s="8">
        <v>112</v>
      </c>
      <c r="D114">
        <v>5674.5537848606</v>
      </c>
      <c r="E114">
        <v>1069.9003984064</v>
      </c>
      <c r="F114">
        <v>148.11630218688001</v>
      </c>
      <c r="G114">
        <v>121.73956262425</v>
      </c>
      <c r="I114" s="9">
        <f t="shared" si="8"/>
        <v>948.16083578215</v>
      </c>
      <c r="J114" s="9">
        <f t="shared" si="9"/>
        <v>5526.4374826737203</v>
      </c>
      <c r="K114" s="9">
        <f t="shared" si="10"/>
        <v>948.16083578215</v>
      </c>
      <c r="L114" s="10">
        <f t="shared" si="7"/>
        <v>0.17156818271350907</v>
      </c>
      <c r="M114" s="10">
        <f t="shared" si="11"/>
        <v>0.181803551275661</v>
      </c>
      <c r="P114" s="8">
        <f t="shared" si="12"/>
        <v>4.8861005455337638</v>
      </c>
      <c r="X114" s="8">
        <v>-13</v>
      </c>
    </row>
    <row r="115" spans="1:24" x14ac:dyDescent="0.2">
      <c r="A115" s="8">
        <v>56.5</v>
      </c>
      <c r="B115" s="8">
        <v>113</v>
      </c>
      <c r="D115">
        <v>5579.9661354582004</v>
      </c>
      <c r="E115">
        <v>1054.3386454183001</v>
      </c>
      <c r="F115">
        <v>148.25049701789001</v>
      </c>
      <c r="G115">
        <v>121.91351888668</v>
      </c>
      <c r="I115" s="9">
        <f t="shared" si="8"/>
        <v>932.42512653162009</v>
      </c>
      <c r="J115" s="9">
        <f t="shared" si="9"/>
        <v>5431.7156384403106</v>
      </c>
      <c r="K115" s="9">
        <f t="shared" si="10"/>
        <v>932.42512653162009</v>
      </c>
      <c r="L115" s="10">
        <f t="shared" si="7"/>
        <v>0.17166309663430046</v>
      </c>
      <c r="M115" s="10">
        <f t="shared" si="11"/>
        <v>0.18198985241575732</v>
      </c>
      <c r="P115" s="8">
        <f t="shared" si="12"/>
        <v>4.9935813949164158</v>
      </c>
      <c r="X115" s="8">
        <v>-13</v>
      </c>
    </row>
    <row r="116" spans="1:24" x14ac:dyDescent="0.2">
      <c r="A116" s="8">
        <v>57</v>
      </c>
      <c r="B116" s="8">
        <v>114</v>
      </c>
      <c r="D116">
        <v>5508.5976095617998</v>
      </c>
      <c r="E116">
        <v>1037.6354581672999</v>
      </c>
      <c r="F116">
        <v>148.76938369781001</v>
      </c>
      <c r="G116">
        <v>121.53379721669999</v>
      </c>
      <c r="I116" s="9">
        <f t="shared" si="8"/>
        <v>916.10166095059992</v>
      </c>
      <c r="J116" s="9">
        <f t="shared" si="9"/>
        <v>5359.8282258639902</v>
      </c>
      <c r="K116" s="9">
        <f t="shared" si="10"/>
        <v>916.10166095059992</v>
      </c>
      <c r="L116" s="10">
        <f t="shared" si="7"/>
        <v>0.17091996652615238</v>
      </c>
      <c r="M116" s="10">
        <f t="shared" si="11"/>
        <v>0.18133810952691418</v>
      </c>
      <c r="P116" s="8">
        <f t="shared" si="12"/>
        <v>4.6175779027437605</v>
      </c>
      <c r="X116" s="8">
        <v>-13</v>
      </c>
    </row>
    <row r="117" spans="1:24" x14ac:dyDescent="0.2">
      <c r="A117" s="8">
        <v>57.5</v>
      </c>
      <c r="B117" s="8">
        <v>115</v>
      </c>
      <c r="D117">
        <v>5721.8446215139002</v>
      </c>
      <c r="E117">
        <v>1057.735059761</v>
      </c>
      <c r="F117">
        <v>148.70178926441</v>
      </c>
      <c r="G117">
        <v>121.61232604374</v>
      </c>
      <c r="I117" s="9">
        <f t="shared" si="8"/>
        <v>936.12273371725996</v>
      </c>
      <c r="J117" s="9">
        <f t="shared" si="9"/>
        <v>5573.1428322494903</v>
      </c>
      <c r="K117" s="9">
        <f t="shared" si="10"/>
        <v>936.12273371725996</v>
      </c>
      <c r="L117" s="10">
        <f t="shared" si="7"/>
        <v>0.16797034669563857</v>
      </c>
      <c r="M117" s="10">
        <f t="shared" si="11"/>
        <v>0.1784798769157053</v>
      </c>
      <c r="P117" s="8">
        <f t="shared" si="12"/>
        <v>2.9686064116026394</v>
      </c>
      <c r="X117" s="8">
        <v>-13</v>
      </c>
    </row>
    <row r="118" spans="1:24" x14ac:dyDescent="0.2">
      <c r="A118" s="8">
        <v>58</v>
      </c>
      <c r="B118" s="8">
        <v>116</v>
      </c>
      <c r="D118">
        <v>5787.0846613546</v>
      </c>
      <c r="E118">
        <v>1058.5388446214999</v>
      </c>
      <c r="F118">
        <v>148.55069582505001</v>
      </c>
      <c r="G118">
        <v>121.49005964215</v>
      </c>
      <c r="I118" s="9">
        <f t="shared" si="8"/>
        <v>937.04878497934999</v>
      </c>
      <c r="J118" s="9">
        <f t="shared" si="9"/>
        <v>5638.5339655295502</v>
      </c>
      <c r="K118" s="9">
        <f t="shared" si="10"/>
        <v>937.04878497934999</v>
      </c>
      <c r="L118" s="10">
        <f t="shared" si="7"/>
        <v>0.16618659933732363</v>
      </c>
      <c r="M118" s="10">
        <f t="shared" si="11"/>
        <v>0.17678751677669527</v>
      </c>
      <c r="P118" s="8">
        <f t="shared" si="12"/>
        <v>1.9922500398268423</v>
      </c>
      <c r="X118" s="8">
        <v>-13</v>
      </c>
    </row>
    <row r="119" spans="1:24" x14ac:dyDescent="0.2">
      <c r="A119" s="8">
        <v>58.5</v>
      </c>
      <c r="B119" s="8">
        <v>117</v>
      </c>
      <c r="D119">
        <v>5685.6035856573999</v>
      </c>
      <c r="E119">
        <v>1035.3655378486001</v>
      </c>
      <c r="F119">
        <v>148.98608349900999</v>
      </c>
      <c r="G119">
        <v>121.56858846919</v>
      </c>
      <c r="I119" s="9">
        <f t="shared" si="8"/>
        <v>913.79694937941008</v>
      </c>
      <c r="J119" s="9">
        <f t="shared" si="9"/>
        <v>5536.6175021583895</v>
      </c>
      <c r="K119" s="9">
        <f t="shared" si="10"/>
        <v>913.79694937941008</v>
      </c>
      <c r="L119" s="10">
        <f t="shared" si="7"/>
        <v>0.16504606811346031</v>
      </c>
      <c r="M119" s="10">
        <f t="shared" si="11"/>
        <v>0.17573837277213689</v>
      </c>
      <c r="P119" s="8">
        <f t="shared" si="12"/>
        <v>1.3869779052797864</v>
      </c>
      <c r="X119" s="8">
        <v>-13</v>
      </c>
    </row>
    <row r="120" spans="1:24" x14ac:dyDescent="0.2">
      <c r="A120" s="8">
        <v>59</v>
      </c>
      <c r="B120" s="8">
        <v>118</v>
      </c>
      <c r="D120">
        <v>5653.6623634558</v>
      </c>
      <c r="E120">
        <v>1031.4250248261999</v>
      </c>
      <c r="F120">
        <v>148.58151093439</v>
      </c>
      <c r="G120">
        <v>121.59940357853</v>
      </c>
      <c r="I120" s="9">
        <f t="shared" si="8"/>
        <v>909.82562124766991</v>
      </c>
      <c r="J120" s="9">
        <f t="shared" si="9"/>
        <v>5505.0808525214097</v>
      </c>
      <c r="K120" s="9">
        <f t="shared" si="10"/>
        <v>909.82562124766991</v>
      </c>
      <c r="L120" s="10">
        <f t="shared" si="7"/>
        <v>0.16527016507504266</v>
      </c>
      <c r="M120" s="10">
        <f t="shared" si="11"/>
        <v>0.17605385695302417</v>
      </c>
      <c r="P120" s="8">
        <f t="shared" si="12"/>
        <v>1.5689870315310994</v>
      </c>
      <c r="X120" s="8">
        <v>-13</v>
      </c>
    </row>
    <row r="121" spans="1:24" x14ac:dyDescent="0.2">
      <c r="A121" s="8">
        <v>59.5</v>
      </c>
      <c r="B121" s="8">
        <v>119</v>
      </c>
      <c r="D121">
        <v>5493.7962598425001</v>
      </c>
      <c r="E121">
        <v>1004.5826771654</v>
      </c>
      <c r="F121">
        <v>148.46023856859</v>
      </c>
      <c r="G121">
        <v>121.29324055666</v>
      </c>
      <c r="I121" s="9">
        <f t="shared" si="8"/>
        <v>883.28943660874006</v>
      </c>
      <c r="J121" s="9">
        <f t="shared" si="9"/>
        <v>5345.3360212739099</v>
      </c>
      <c r="K121" s="9">
        <f t="shared" si="10"/>
        <v>883.28943660874006</v>
      </c>
      <c r="L121" s="10">
        <f t="shared" si="7"/>
        <v>0.16524488509110283</v>
      </c>
      <c r="M121" s="10">
        <f t="shared" si="11"/>
        <v>0.17611996418838927</v>
      </c>
      <c r="P121" s="8">
        <f t="shared" si="12"/>
        <v>1.6071256162102161</v>
      </c>
      <c r="X121" s="8">
        <v>-13</v>
      </c>
    </row>
    <row r="122" spans="1:24" x14ac:dyDescent="0.2">
      <c r="A122" s="8">
        <v>60</v>
      </c>
      <c r="B122" s="8">
        <v>120</v>
      </c>
      <c r="D122">
        <v>5616.5009940358004</v>
      </c>
      <c r="E122">
        <v>1034.1550695824999</v>
      </c>
      <c r="F122">
        <v>148.47415506958001</v>
      </c>
      <c r="G122">
        <v>121.29622266401999</v>
      </c>
      <c r="I122" s="9">
        <f t="shared" si="8"/>
        <v>912.85884691847991</v>
      </c>
      <c r="J122" s="9">
        <f t="shared" si="9"/>
        <v>5468.0268389662206</v>
      </c>
      <c r="K122" s="9">
        <f t="shared" si="10"/>
        <v>912.85884691847991</v>
      </c>
      <c r="L122" s="10">
        <f t="shared" si="7"/>
        <v>0.16694483655662964</v>
      </c>
      <c r="M122" s="10">
        <f t="shared" si="11"/>
        <v>0.17791130287322102</v>
      </c>
      <c r="P122" s="8">
        <f t="shared" si="12"/>
        <v>2.640584688324175</v>
      </c>
      <c r="X122" s="8">
        <v>-13</v>
      </c>
    </row>
    <row r="123" spans="1:24" x14ac:dyDescent="0.2">
      <c r="A123" s="8">
        <v>60.5</v>
      </c>
      <c r="B123" s="8">
        <v>121</v>
      </c>
      <c r="D123">
        <v>5816.6242544732004</v>
      </c>
      <c r="E123">
        <v>1064.4423459244999</v>
      </c>
      <c r="F123">
        <v>148.55666003976</v>
      </c>
      <c r="G123">
        <v>121.39960238569</v>
      </c>
      <c r="I123" s="9">
        <f t="shared" si="8"/>
        <v>943.04274353880987</v>
      </c>
      <c r="J123" s="9">
        <f t="shared" si="9"/>
        <v>5668.0675944334407</v>
      </c>
      <c r="K123" s="9">
        <f t="shared" si="10"/>
        <v>943.04274353880987</v>
      </c>
      <c r="L123" s="10">
        <f t="shared" si="7"/>
        <v>0.16637817524705667</v>
      </c>
      <c r="M123" s="10">
        <f t="shared" si="11"/>
        <v>0.17743602878295295</v>
      </c>
      <c r="P123" s="8">
        <f t="shared" si="12"/>
        <v>2.3663895712939316</v>
      </c>
      <c r="X123" s="8">
        <v>-13</v>
      </c>
    </row>
    <row r="124" spans="1:24" x14ac:dyDescent="0.2">
      <c r="A124" s="8">
        <v>61</v>
      </c>
      <c r="B124" s="8">
        <v>122</v>
      </c>
      <c r="D124">
        <v>5943.6427860697004</v>
      </c>
      <c r="E124">
        <v>1077.7253731343001</v>
      </c>
      <c r="F124">
        <v>148.73658051690001</v>
      </c>
      <c r="G124">
        <v>121.09443339960001</v>
      </c>
      <c r="I124" s="9">
        <f t="shared" si="8"/>
        <v>956.63093973470006</v>
      </c>
      <c r="J124" s="9">
        <f t="shared" si="9"/>
        <v>5794.9062055528002</v>
      </c>
      <c r="K124" s="9">
        <f t="shared" si="10"/>
        <v>956.63093973470006</v>
      </c>
      <c r="L124" s="10">
        <f t="shared" si="7"/>
        <v>0.16508135003428293</v>
      </c>
      <c r="M124" s="10">
        <f t="shared" si="11"/>
        <v>0.17623059078948414</v>
      </c>
      <c r="P124" s="8">
        <f t="shared" si="12"/>
        <v>1.6709483123238573</v>
      </c>
      <c r="X124" s="8">
        <v>-13</v>
      </c>
    </row>
    <row r="125" spans="1:24" x14ac:dyDescent="0.2">
      <c r="A125" s="8">
        <v>61.5</v>
      </c>
      <c r="B125" s="8">
        <v>123</v>
      </c>
      <c r="D125">
        <v>5772.4746268657</v>
      </c>
      <c r="E125">
        <v>1046.5631840796</v>
      </c>
      <c r="F125">
        <v>147.73260437376001</v>
      </c>
      <c r="G125">
        <v>121.16998011928</v>
      </c>
      <c r="I125" s="9">
        <f t="shared" si="8"/>
        <v>925.39320396031997</v>
      </c>
      <c r="J125" s="9">
        <f t="shared" si="9"/>
        <v>5624.7420224919397</v>
      </c>
      <c r="K125" s="9">
        <f t="shared" si="10"/>
        <v>925.39320396031997</v>
      </c>
      <c r="L125" s="10">
        <f t="shared" si="7"/>
        <v>0.1645218927836874</v>
      </c>
      <c r="M125" s="10">
        <f t="shared" si="11"/>
        <v>0.17576252075819354</v>
      </c>
      <c r="P125" s="8">
        <f t="shared" si="12"/>
        <v>1.4009093608302345</v>
      </c>
      <c r="X125" s="8">
        <v>-13</v>
      </c>
    </row>
    <row r="126" spans="1:24" x14ac:dyDescent="0.2">
      <c r="A126" s="8">
        <v>62</v>
      </c>
      <c r="B126" s="8">
        <v>124</v>
      </c>
      <c r="D126">
        <v>5836.5499505440002</v>
      </c>
      <c r="E126">
        <v>1051.2057368942001</v>
      </c>
      <c r="F126">
        <v>148.46918489065999</v>
      </c>
      <c r="G126">
        <v>120.72862823062</v>
      </c>
      <c r="I126" s="9">
        <f t="shared" si="8"/>
        <v>930.47710866358011</v>
      </c>
      <c r="J126" s="9">
        <f t="shared" si="9"/>
        <v>5688.0807656533407</v>
      </c>
      <c r="K126" s="9">
        <f t="shared" si="10"/>
        <v>930.47710866358011</v>
      </c>
      <c r="L126" s="10">
        <f t="shared" si="7"/>
        <v>0.16358366679357519</v>
      </c>
      <c r="M126" s="10">
        <f t="shared" si="11"/>
        <v>0.17491568198738627</v>
      </c>
      <c r="P126" s="8">
        <f t="shared" si="12"/>
        <v>0.91235115700246172</v>
      </c>
      <c r="X126" s="8">
        <v>-13</v>
      </c>
    </row>
    <row r="127" spans="1:24" x14ac:dyDescent="0.2">
      <c r="A127" s="8">
        <v>62.5</v>
      </c>
      <c r="B127" s="8">
        <v>125</v>
      </c>
      <c r="D127">
        <v>5785.9208704252997</v>
      </c>
      <c r="E127">
        <v>1039.1533135509001</v>
      </c>
      <c r="F127">
        <v>148.15506958251001</v>
      </c>
      <c r="G127">
        <v>120.65506958251</v>
      </c>
      <c r="I127" s="9">
        <f t="shared" si="8"/>
        <v>918.49824396839006</v>
      </c>
      <c r="J127" s="9">
        <f t="shared" si="9"/>
        <v>5637.7658008427898</v>
      </c>
      <c r="K127" s="9">
        <f t="shared" si="10"/>
        <v>918.49824396839006</v>
      </c>
      <c r="L127" s="10">
        <f t="shared" si="7"/>
        <v>0.16291883636441296</v>
      </c>
      <c r="M127" s="10">
        <f t="shared" si="11"/>
        <v>0.17434223877752897</v>
      </c>
      <c r="P127" s="8">
        <f t="shared" si="12"/>
        <v>0.58152031379715075</v>
      </c>
      <c r="X127" s="8">
        <v>-13</v>
      </c>
    </row>
    <row r="128" spans="1:24" x14ac:dyDescent="0.2">
      <c r="A128" s="8">
        <v>63</v>
      </c>
      <c r="B128" s="8">
        <v>126</v>
      </c>
      <c r="D128">
        <v>5673.9950298210997</v>
      </c>
      <c r="E128">
        <v>1014.8886679921</v>
      </c>
      <c r="F128">
        <v>147.72465208748</v>
      </c>
      <c r="G128">
        <v>121.01491053677999</v>
      </c>
      <c r="I128" s="9">
        <f t="shared" si="8"/>
        <v>893.87375745531995</v>
      </c>
      <c r="J128" s="9">
        <f t="shared" si="9"/>
        <v>5526.2703777336201</v>
      </c>
      <c r="K128" s="9">
        <f t="shared" si="10"/>
        <v>893.87375745531995</v>
      </c>
      <c r="L128" s="10">
        <f t="shared" si="7"/>
        <v>0.16174991384006562</v>
      </c>
      <c r="M128" s="10">
        <f t="shared" si="11"/>
        <v>0.17326470347248654</v>
      </c>
      <c r="P128" s="8">
        <f t="shared" si="12"/>
        <v>-4.0131329160456884E-2</v>
      </c>
      <c r="X128" s="8">
        <v>-13</v>
      </c>
    </row>
    <row r="129" spans="1:24" x14ac:dyDescent="0.2">
      <c r="A129" s="8">
        <v>63.5</v>
      </c>
      <c r="B129" s="8">
        <v>127</v>
      </c>
      <c r="D129">
        <v>5523.3207171314998</v>
      </c>
      <c r="E129">
        <v>994.72808764939998</v>
      </c>
      <c r="F129">
        <v>147.31212723658001</v>
      </c>
      <c r="G129">
        <v>120.9254473161</v>
      </c>
      <c r="I129" s="9">
        <f t="shared" si="8"/>
        <v>873.80264033330002</v>
      </c>
      <c r="J129" s="9">
        <f t="shared" si="9"/>
        <v>5376.0085898949201</v>
      </c>
      <c r="K129" s="9">
        <f t="shared" si="10"/>
        <v>873.80264033330002</v>
      </c>
      <c r="L129" s="10">
        <f t="shared" si="7"/>
        <v>0.16253743380837482</v>
      </c>
      <c r="M129" s="10">
        <f t="shared" si="11"/>
        <v>0.17414361066010067</v>
      </c>
      <c r="P129" s="8">
        <f t="shared" si="12"/>
        <v>0.46692778494073911</v>
      </c>
      <c r="X129" s="8">
        <v>-13</v>
      </c>
    </row>
    <row r="130" spans="1:24" x14ac:dyDescent="0.2">
      <c r="A130" s="8">
        <v>64</v>
      </c>
      <c r="B130" s="8">
        <v>128</v>
      </c>
      <c r="D130">
        <v>5476.8187250995998</v>
      </c>
      <c r="E130">
        <v>1006.2679282869</v>
      </c>
      <c r="F130">
        <v>147.52783300198999</v>
      </c>
      <c r="G130">
        <v>120.91153081511</v>
      </c>
      <c r="I130" s="9">
        <f t="shared" si="8"/>
        <v>885.35639747178993</v>
      </c>
      <c r="J130" s="9">
        <f t="shared" si="9"/>
        <v>5329.2908920976097</v>
      </c>
      <c r="K130" s="9">
        <f t="shared" si="10"/>
        <v>885.35639747178993</v>
      </c>
      <c r="L130" s="10">
        <f t="shared" ref="L130:L193" si="14">K130/J130</f>
        <v>0.16613024422904293</v>
      </c>
      <c r="M130" s="10">
        <f t="shared" si="11"/>
        <v>0.17782780830007372</v>
      </c>
      <c r="P130" s="8">
        <f t="shared" si="12"/>
        <v>2.5924150011388281</v>
      </c>
      <c r="X130" s="8">
        <v>-13</v>
      </c>
    </row>
    <row r="131" spans="1:24" x14ac:dyDescent="0.2">
      <c r="A131" s="8">
        <v>64.5</v>
      </c>
      <c r="B131" s="8">
        <v>129</v>
      </c>
      <c r="D131">
        <v>5504.2029556650004</v>
      </c>
      <c r="E131">
        <v>1006.6019704434</v>
      </c>
      <c r="F131">
        <v>147.48807157057999</v>
      </c>
      <c r="G131">
        <v>121.14115308151</v>
      </c>
      <c r="I131" s="9">
        <f t="shared" ref="I131:I194" si="15">E131-G131</f>
        <v>885.46081736189001</v>
      </c>
      <c r="J131" s="9">
        <f t="shared" ref="J131:J194" si="16">D131-F131</f>
        <v>5356.7148840944201</v>
      </c>
      <c r="K131" s="9">
        <f t="shared" ref="K131:K194" si="17">I131*1</f>
        <v>885.46081736189001</v>
      </c>
      <c r="L131" s="10">
        <f t="shared" si="14"/>
        <v>0.16529922471533254</v>
      </c>
      <c r="M131" s="10">
        <f t="shared" ref="M131:M181" si="18">L131+ABS($N$2)*A131</f>
        <v>0.17708817600566826</v>
      </c>
      <c r="P131" s="8">
        <f t="shared" ref="P131:P194" si="19">(M131-$O$2)/$O$2*100</f>
        <v>2.1657063551668458</v>
      </c>
      <c r="X131" s="8">
        <v>-13</v>
      </c>
    </row>
    <row r="132" spans="1:24" x14ac:dyDescent="0.2">
      <c r="A132" s="8">
        <v>65</v>
      </c>
      <c r="B132" s="8">
        <v>130</v>
      </c>
      <c r="D132">
        <v>5495.7665024630996</v>
      </c>
      <c r="E132">
        <v>996.39901477832996</v>
      </c>
      <c r="F132">
        <v>147.53677932406001</v>
      </c>
      <c r="G132">
        <v>120.77435387673999</v>
      </c>
      <c r="I132" s="9">
        <f t="shared" si="15"/>
        <v>875.62466090159</v>
      </c>
      <c r="J132" s="9">
        <f t="shared" si="16"/>
        <v>5348.2297231390394</v>
      </c>
      <c r="K132" s="9">
        <f t="shared" si="17"/>
        <v>875.62466090159</v>
      </c>
      <c r="L132" s="10">
        <f t="shared" si="14"/>
        <v>0.16372233546984949</v>
      </c>
      <c r="M132" s="10">
        <f t="shared" si="18"/>
        <v>0.17560267397949014</v>
      </c>
      <c r="P132" s="8">
        <f t="shared" si="19"/>
        <v>1.3086905610030339</v>
      </c>
      <c r="X132" s="8">
        <v>-13</v>
      </c>
    </row>
    <row r="133" spans="1:24" x14ac:dyDescent="0.2">
      <c r="A133" s="8">
        <v>65.5</v>
      </c>
      <c r="B133" s="8">
        <v>131</v>
      </c>
      <c r="D133">
        <v>5276.1210629920997</v>
      </c>
      <c r="E133">
        <v>960.06397637794998</v>
      </c>
      <c r="F133">
        <v>147.66699801192999</v>
      </c>
      <c r="G133">
        <v>120.60536779324001</v>
      </c>
      <c r="I133" s="9">
        <f t="shared" si="15"/>
        <v>839.45860858470996</v>
      </c>
      <c r="J133" s="9">
        <f t="shared" si="16"/>
        <v>5128.4540649801693</v>
      </c>
      <c r="K133" s="9">
        <f t="shared" si="17"/>
        <v>839.45860858470996</v>
      </c>
      <c r="L133" s="10">
        <f t="shared" si="14"/>
        <v>0.16368648289491036</v>
      </c>
      <c r="M133" s="10">
        <f t="shared" si="18"/>
        <v>0.17565820862385592</v>
      </c>
      <c r="P133" s="8">
        <f t="shared" si="19"/>
        <v>1.3407296067303511</v>
      </c>
      <c r="X133" s="8">
        <v>-13</v>
      </c>
    </row>
    <row r="134" spans="1:24" x14ac:dyDescent="0.2">
      <c r="A134" s="8">
        <v>66</v>
      </c>
      <c r="B134" s="8">
        <v>132</v>
      </c>
      <c r="D134">
        <v>5135.5088582676999</v>
      </c>
      <c r="E134">
        <v>946.91141732283995</v>
      </c>
      <c r="F134">
        <v>147.54671968190999</v>
      </c>
      <c r="G134">
        <v>121.08449304174999</v>
      </c>
      <c r="I134" s="9">
        <f t="shared" si="15"/>
        <v>825.82692428108999</v>
      </c>
      <c r="J134" s="9">
        <f t="shared" si="16"/>
        <v>4987.9621385857899</v>
      </c>
      <c r="K134" s="9">
        <f t="shared" si="17"/>
        <v>825.82692428108999</v>
      </c>
      <c r="L134" s="10">
        <f t="shared" si="14"/>
        <v>0.16556399213471823</v>
      </c>
      <c r="M134" s="10">
        <f t="shared" si="18"/>
        <v>0.17762710508296872</v>
      </c>
      <c r="P134" s="8">
        <f t="shared" si="19"/>
        <v>2.4766253058255163</v>
      </c>
      <c r="X134" s="8">
        <v>-13</v>
      </c>
    </row>
    <row r="135" spans="1:24" x14ac:dyDescent="0.2">
      <c r="A135" s="8">
        <v>66.5</v>
      </c>
      <c r="B135" s="8">
        <v>133</v>
      </c>
      <c r="D135">
        <v>5030.9064960630003</v>
      </c>
      <c r="E135">
        <v>943.33956692913</v>
      </c>
      <c r="F135">
        <v>147.18787276341999</v>
      </c>
      <c r="G135">
        <v>120.83896620278</v>
      </c>
      <c r="I135" s="9">
        <f t="shared" si="15"/>
        <v>822.50060072635006</v>
      </c>
      <c r="J135" s="9">
        <f t="shared" si="16"/>
        <v>4883.71862329958</v>
      </c>
      <c r="K135" s="9">
        <f t="shared" si="17"/>
        <v>822.50060072635006</v>
      </c>
      <c r="L135" s="10">
        <f t="shared" si="14"/>
        <v>0.16841686922795013</v>
      </c>
      <c r="M135" s="10">
        <f t="shared" si="18"/>
        <v>0.18057136939550555</v>
      </c>
      <c r="P135" s="8">
        <f t="shared" si="19"/>
        <v>4.1752302040825686</v>
      </c>
      <c r="X135" s="8">
        <v>-13</v>
      </c>
    </row>
    <row r="136" spans="1:24" x14ac:dyDescent="0.2">
      <c r="A136" s="8">
        <v>67</v>
      </c>
      <c r="B136" s="8">
        <v>134</v>
      </c>
      <c r="D136">
        <v>4984.8366141732004</v>
      </c>
      <c r="E136">
        <v>938.18996062992005</v>
      </c>
      <c r="F136">
        <v>147.43737574553001</v>
      </c>
      <c r="G136">
        <v>121.01590457256999</v>
      </c>
      <c r="I136" s="9">
        <f t="shared" si="15"/>
        <v>817.17405605735007</v>
      </c>
      <c r="J136" s="9">
        <f t="shared" si="16"/>
        <v>4837.3992384276708</v>
      </c>
      <c r="K136" s="9">
        <f t="shared" si="17"/>
        <v>817.17405605735007</v>
      </c>
      <c r="L136" s="10">
        <f t="shared" si="14"/>
        <v>0.16892838812348288</v>
      </c>
      <c r="M136" s="10">
        <f t="shared" si="18"/>
        <v>0.18117427551034324</v>
      </c>
      <c r="P136" s="8">
        <f t="shared" si="19"/>
        <v>4.5230587857393676</v>
      </c>
      <c r="X136" s="8">
        <v>-13</v>
      </c>
    </row>
    <row r="137" spans="1:24" x14ac:dyDescent="0.2">
      <c r="A137" s="8">
        <v>67.5</v>
      </c>
      <c r="B137" s="8">
        <v>135</v>
      </c>
      <c r="D137">
        <v>4959.8986220471998</v>
      </c>
      <c r="E137">
        <v>930.96161417323003</v>
      </c>
      <c r="F137">
        <v>147.23359840954001</v>
      </c>
      <c r="G137">
        <v>120.72564612326001</v>
      </c>
      <c r="I137" s="9">
        <f t="shared" si="15"/>
        <v>810.23596804996998</v>
      </c>
      <c r="J137" s="9">
        <f t="shared" si="16"/>
        <v>4812.6650236376599</v>
      </c>
      <c r="K137" s="9">
        <f t="shared" si="17"/>
        <v>810.23596804996998</v>
      </c>
      <c r="L137" s="10">
        <f t="shared" si="14"/>
        <v>0.16835494763721409</v>
      </c>
      <c r="M137" s="10">
        <f t="shared" si="18"/>
        <v>0.18069222224337939</v>
      </c>
      <c r="P137" s="8">
        <f t="shared" si="19"/>
        <v>4.2449526262485087</v>
      </c>
      <c r="X137" s="8">
        <v>-13</v>
      </c>
    </row>
    <row r="138" spans="1:24" x14ac:dyDescent="0.2">
      <c r="A138" s="8">
        <v>68</v>
      </c>
      <c r="B138" s="8">
        <v>136</v>
      </c>
      <c r="D138">
        <v>4921.3937007874001</v>
      </c>
      <c r="E138">
        <v>918.41929133858002</v>
      </c>
      <c r="F138">
        <v>146.04970178926001</v>
      </c>
      <c r="G138">
        <v>120.63320079523</v>
      </c>
      <c r="I138" s="9">
        <f t="shared" si="15"/>
        <v>797.78609054335004</v>
      </c>
      <c r="J138" s="9">
        <f t="shared" si="16"/>
        <v>4775.3439989981398</v>
      </c>
      <c r="K138" s="9">
        <f t="shared" si="17"/>
        <v>797.78609054335004</v>
      </c>
      <c r="L138" s="10">
        <f t="shared" si="14"/>
        <v>0.16706358551566639</v>
      </c>
      <c r="M138" s="10">
        <f t="shared" si="18"/>
        <v>0.17949224734113658</v>
      </c>
      <c r="P138" s="8">
        <f t="shared" si="19"/>
        <v>3.5526631337406411</v>
      </c>
      <c r="X138" s="8">
        <v>-13</v>
      </c>
    </row>
    <row r="139" spans="1:24" x14ac:dyDescent="0.2">
      <c r="A139" s="8">
        <v>68.5</v>
      </c>
      <c r="B139" s="8">
        <v>137</v>
      </c>
      <c r="D139">
        <v>4909.7814960630003</v>
      </c>
      <c r="E139">
        <v>916.58759842519999</v>
      </c>
      <c r="F139">
        <v>146.93538767396001</v>
      </c>
      <c r="G139">
        <v>120.49204771372</v>
      </c>
      <c r="I139" s="9">
        <f t="shared" si="15"/>
        <v>796.09555071147997</v>
      </c>
      <c r="J139" s="9">
        <f t="shared" si="16"/>
        <v>4762.8461083890406</v>
      </c>
      <c r="K139" s="9">
        <f t="shared" si="17"/>
        <v>796.09555071147997</v>
      </c>
      <c r="L139" s="10">
        <f t="shared" si="14"/>
        <v>0.16714702356418293</v>
      </c>
      <c r="M139" s="10">
        <f t="shared" si="18"/>
        <v>0.17966707260895806</v>
      </c>
      <c r="P139" s="8">
        <f t="shared" si="19"/>
        <v>3.6535233231591642</v>
      </c>
      <c r="X139" s="8">
        <v>-13</v>
      </c>
    </row>
    <row r="140" spans="1:24" x14ac:dyDescent="0.2">
      <c r="A140" s="8">
        <v>69</v>
      </c>
      <c r="B140" s="8">
        <v>138</v>
      </c>
      <c r="D140">
        <v>4915.2391732284004</v>
      </c>
      <c r="E140">
        <v>914.07972440945002</v>
      </c>
      <c r="F140">
        <v>146.8578528827</v>
      </c>
      <c r="G140">
        <v>120.36083499006</v>
      </c>
      <c r="I140" s="9">
        <f t="shared" si="15"/>
        <v>793.71888941939005</v>
      </c>
      <c r="J140" s="9">
        <f t="shared" si="16"/>
        <v>4768.3813203457003</v>
      </c>
      <c r="K140" s="9">
        <f t="shared" si="17"/>
        <v>793.71888941939005</v>
      </c>
      <c r="L140" s="10">
        <f t="shared" si="14"/>
        <v>0.1664545756927524</v>
      </c>
      <c r="M140" s="10">
        <f t="shared" si="18"/>
        <v>0.17906601195683247</v>
      </c>
      <c r="P140" s="8">
        <f t="shared" si="19"/>
        <v>3.306759425807019</v>
      </c>
      <c r="X140" s="8">
        <v>-13</v>
      </c>
    </row>
    <row r="141" spans="1:24" x14ac:dyDescent="0.2">
      <c r="A141" s="8">
        <v>69.5</v>
      </c>
      <c r="B141" s="8">
        <v>139</v>
      </c>
      <c r="D141">
        <v>5130.9018830525001</v>
      </c>
      <c r="E141">
        <v>936.77898909811995</v>
      </c>
      <c r="F141">
        <v>147.56958250496999</v>
      </c>
      <c r="G141">
        <v>120.48807157058</v>
      </c>
      <c r="I141" s="9">
        <f t="shared" si="15"/>
        <v>816.29091752753993</v>
      </c>
      <c r="J141" s="9">
        <f t="shared" si="16"/>
        <v>4983.3323005475304</v>
      </c>
      <c r="K141" s="9">
        <f t="shared" si="17"/>
        <v>816.29091752753993</v>
      </c>
      <c r="L141" s="10">
        <f t="shared" si="14"/>
        <v>0.16380423144526246</v>
      </c>
      <c r="M141" s="10">
        <f t="shared" si="18"/>
        <v>0.17650705492864746</v>
      </c>
      <c r="P141" s="8">
        <f t="shared" si="19"/>
        <v>1.830445997017329</v>
      </c>
      <c r="X141" s="8">
        <v>-13</v>
      </c>
    </row>
    <row r="142" spans="1:24" x14ac:dyDescent="0.2">
      <c r="A142" s="8">
        <v>70</v>
      </c>
      <c r="B142" s="8">
        <v>140</v>
      </c>
      <c r="D142">
        <v>5396.0644841269996</v>
      </c>
      <c r="E142">
        <v>958.55654761904998</v>
      </c>
      <c r="F142">
        <v>147.65109343936001</v>
      </c>
      <c r="G142">
        <v>120.48409542744</v>
      </c>
      <c r="I142" s="9">
        <f t="shared" si="15"/>
        <v>838.07245219160995</v>
      </c>
      <c r="J142" s="9">
        <f t="shared" si="16"/>
        <v>5248.4133906876395</v>
      </c>
      <c r="K142" s="9">
        <f t="shared" si="17"/>
        <v>838.07245219160995</v>
      </c>
      <c r="L142" s="10">
        <f t="shared" si="14"/>
        <v>0.1596811054705824</v>
      </c>
      <c r="M142" s="10">
        <f t="shared" si="18"/>
        <v>0.17247531617327233</v>
      </c>
      <c r="P142" s="8">
        <f t="shared" si="19"/>
        <v>-0.49554463134182869</v>
      </c>
      <c r="X142" s="8">
        <v>-13</v>
      </c>
    </row>
    <row r="143" spans="1:24" x14ac:dyDescent="0.2">
      <c r="A143" s="8">
        <v>70.5</v>
      </c>
      <c r="B143" s="8">
        <v>141</v>
      </c>
      <c r="D143">
        <v>5502.6299603175003</v>
      </c>
      <c r="E143">
        <v>968.01091269841004</v>
      </c>
      <c r="F143">
        <v>147.26540755466999</v>
      </c>
      <c r="G143">
        <v>120.75049701789</v>
      </c>
      <c r="I143" s="9">
        <f t="shared" si="15"/>
        <v>847.26041568052005</v>
      </c>
      <c r="J143" s="9">
        <f t="shared" si="16"/>
        <v>5355.3645527628305</v>
      </c>
      <c r="K143" s="9">
        <f t="shared" si="17"/>
        <v>847.26041568052005</v>
      </c>
      <c r="L143" s="10">
        <f t="shared" si="14"/>
        <v>0.15820779469502572</v>
      </c>
      <c r="M143" s="10">
        <f t="shared" si="18"/>
        <v>0.17109339261702056</v>
      </c>
      <c r="P143" s="8">
        <f t="shared" si="19"/>
        <v>-1.2928039370607354</v>
      </c>
      <c r="X143" s="8">
        <v>-13</v>
      </c>
    </row>
    <row r="144" spans="1:24" x14ac:dyDescent="0.2">
      <c r="A144" s="8">
        <v>71</v>
      </c>
      <c r="B144" s="8">
        <v>142</v>
      </c>
      <c r="D144">
        <v>5547.7619047619</v>
      </c>
      <c r="E144">
        <v>967.42063492064005</v>
      </c>
      <c r="F144">
        <v>147.59642147117</v>
      </c>
      <c r="G144">
        <v>121.05566600397999</v>
      </c>
      <c r="I144" s="9">
        <f t="shared" si="15"/>
        <v>846.36496891666002</v>
      </c>
      <c r="J144" s="9">
        <f t="shared" si="16"/>
        <v>5400.1654832907298</v>
      </c>
      <c r="K144" s="9">
        <f t="shared" si="17"/>
        <v>846.36496891666002</v>
      </c>
      <c r="L144" s="10">
        <f t="shared" si="14"/>
        <v>0.15672945052063586</v>
      </c>
      <c r="M144" s="10">
        <f t="shared" si="18"/>
        <v>0.16970643566193563</v>
      </c>
      <c r="P144" s="8">
        <f t="shared" si="19"/>
        <v>-2.0929671111166193</v>
      </c>
    </row>
    <row r="145" spans="1:16" x14ac:dyDescent="0.2">
      <c r="A145" s="8">
        <v>71.5</v>
      </c>
      <c r="B145" s="8">
        <v>143</v>
      </c>
      <c r="D145">
        <v>5637.0228174602998</v>
      </c>
      <c r="E145">
        <v>976.81646825397002</v>
      </c>
      <c r="F145">
        <v>148.02385685885</v>
      </c>
      <c r="G145">
        <v>121.2902584493</v>
      </c>
      <c r="I145" s="9">
        <f t="shared" si="15"/>
        <v>855.52620980466997</v>
      </c>
      <c r="J145" s="9">
        <f t="shared" si="16"/>
        <v>5488.9989606014497</v>
      </c>
      <c r="K145" s="9">
        <f t="shared" si="17"/>
        <v>855.52620980466997</v>
      </c>
      <c r="L145" s="10">
        <f t="shared" si="14"/>
        <v>0.15586197336625598</v>
      </c>
      <c r="M145" s="10">
        <f t="shared" si="18"/>
        <v>0.16893034572686069</v>
      </c>
      <c r="P145" s="8">
        <f t="shared" si="19"/>
        <v>-2.5407088982900841</v>
      </c>
    </row>
    <row r="146" spans="1:16" x14ac:dyDescent="0.2">
      <c r="A146" s="8">
        <v>72</v>
      </c>
      <c r="B146" s="8">
        <v>144</v>
      </c>
      <c r="D146">
        <v>5680.8472222221999</v>
      </c>
      <c r="E146">
        <v>977.65773809524001</v>
      </c>
      <c r="F146">
        <v>147.40357852883</v>
      </c>
      <c r="G146">
        <v>120.85288270378</v>
      </c>
      <c r="I146" s="9">
        <f t="shared" si="15"/>
        <v>856.80485539146002</v>
      </c>
      <c r="J146" s="9">
        <f t="shared" si="16"/>
        <v>5533.4436436933702</v>
      </c>
      <c r="K146" s="9">
        <f t="shared" si="17"/>
        <v>856.80485539146002</v>
      </c>
      <c r="L146" s="10">
        <f t="shared" si="14"/>
        <v>0.15484116412172841</v>
      </c>
      <c r="M146" s="10">
        <f t="shared" si="18"/>
        <v>0.16800092370163805</v>
      </c>
      <c r="P146" s="8">
        <f t="shared" si="19"/>
        <v>-3.0769110313217194</v>
      </c>
    </row>
    <row r="147" spans="1:16" x14ac:dyDescent="0.2">
      <c r="A147" s="8">
        <v>72.5</v>
      </c>
      <c r="B147" s="8">
        <v>145</v>
      </c>
      <c r="D147">
        <v>5745.6351084813004</v>
      </c>
      <c r="E147">
        <v>982.83136094675001</v>
      </c>
      <c r="F147">
        <v>147.96421471172999</v>
      </c>
      <c r="G147">
        <v>120.58051689861</v>
      </c>
      <c r="I147" s="9">
        <f t="shared" si="15"/>
        <v>862.25084404814004</v>
      </c>
      <c r="J147" s="9">
        <f t="shared" si="16"/>
        <v>5597.6708937695703</v>
      </c>
      <c r="K147" s="9">
        <f t="shared" si="17"/>
        <v>862.25084404814004</v>
      </c>
      <c r="L147" s="10">
        <f t="shared" si="14"/>
        <v>0.15403743099792799</v>
      </c>
      <c r="M147" s="10">
        <f t="shared" si="18"/>
        <v>0.16728857779714257</v>
      </c>
      <c r="P147" s="8">
        <f t="shared" si="19"/>
        <v>-3.4878776138656695</v>
      </c>
    </row>
    <row r="148" spans="1:16" x14ac:dyDescent="0.2">
      <c r="A148" s="8">
        <v>73</v>
      </c>
      <c r="B148" s="8">
        <v>146</v>
      </c>
      <c r="D148">
        <v>5534.6341222880001</v>
      </c>
      <c r="E148">
        <v>953.62130177514996</v>
      </c>
      <c r="F148">
        <v>147.7027833002</v>
      </c>
      <c r="G148">
        <v>120.89960238569</v>
      </c>
      <c r="I148" s="9">
        <f t="shared" si="15"/>
        <v>832.7216993894599</v>
      </c>
      <c r="J148" s="9">
        <f t="shared" si="16"/>
        <v>5386.9313389877998</v>
      </c>
      <c r="K148" s="9">
        <f t="shared" si="17"/>
        <v>832.7216993894599</v>
      </c>
      <c r="L148" s="10">
        <f t="shared" si="14"/>
        <v>0.15458182905778928</v>
      </c>
      <c r="M148" s="10">
        <f t="shared" si="18"/>
        <v>0.16792436307630876</v>
      </c>
      <c r="P148" s="8">
        <f t="shared" si="19"/>
        <v>-3.1210803854942419</v>
      </c>
    </row>
    <row r="149" spans="1:16" x14ac:dyDescent="0.2">
      <c r="A149" s="8">
        <v>73.5</v>
      </c>
      <c r="B149" s="8">
        <v>147</v>
      </c>
      <c r="D149">
        <v>5365.4776564051999</v>
      </c>
      <c r="E149">
        <v>933.87487586891996</v>
      </c>
      <c r="F149">
        <v>147.34890656063999</v>
      </c>
      <c r="G149">
        <v>120.70178926441</v>
      </c>
      <c r="I149" s="9">
        <f t="shared" si="15"/>
        <v>813.17308660450999</v>
      </c>
      <c r="J149" s="9">
        <f t="shared" si="16"/>
        <v>5218.1287498445599</v>
      </c>
      <c r="K149" s="9">
        <f t="shared" si="17"/>
        <v>813.17308660450999</v>
      </c>
      <c r="L149" s="10">
        <f t="shared" si="14"/>
        <v>0.15583614847156332</v>
      </c>
      <c r="M149" s="10">
        <f t="shared" si="18"/>
        <v>0.16927006970938774</v>
      </c>
      <c r="P149" s="8">
        <f t="shared" si="19"/>
        <v>-2.3447153462442656</v>
      </c>
    </row>
    <row r="150" spans="1:16" x14ac:dyDescent="0.2">
      <c r="A150" s="8">
        <v>74</v>
      </c>
      <c r="B150" s="8">
        <v>148</v>
      </c>
      <c r="D150">
        <v>5308.6355511419997</v>
      </c>
      <c r="E150">
        <v>926.14001986097003</v>
      </c>
      <c r="F150">
        <v>147.66302186879</v>
      </c>
      <c r="G150">
        <v>120.53379721669999</v>
      </c>
      <c r="I150" s="9">
        <f t="shared" si="15"/>
        <v>805.60622264427002</v>
      </c>
      <c r="J150" s="9">
        <f t="shared" si="16"/>
        <v>5160.9725292732101</v>
      </c>
      <c r="K150" s="9">
        <f t="shared" si="17"/>
        <v>805.60622264427002</v>
      </c>
      <c r="L150" s="10">
        <f t="shared" si="14"/>
        <v>0.15609581683972243</v>
      </c>
      <c r="M150" s="10">
        <f t="shared" si="18"/>
        <v>0.16962112529685178</v>
      </c>
      <c r="P150" s="8">
        <f t="shared" si="19"/>
        <v>-2.1421843649434948</v>
      </c>
    </row>
    <row r="151" spans="1:16" x14ac:dyDescent="0.2">
      <c r="A151" s="8">
        <v>74.5</v>
      </c>
      <c r="B151" s="8">
        <v>149</v>
      </c>
      <c r="D151">
        <v>5385.1469712015996</v>
      </c>
      <c r="E151">
        <v>932.71400198610002</v>
      </c>
      <c r="F151">
        <v>147.14115308151</v>
      </c>
      <c r="G151">
        <v>121.08349900595999</v>
      </c>
      <c r="I151" s="9">
        <f t="shared" si="15"/>
        <v>811.63050298014002</v>
      </c>
      <c r="J151" s="9">
        <f t="shared" si="16"/>
        <v>5238.0058181200893</v>
      </c>
      <c r="K151" s="9">
        <f t="shared" si="17"/>
        <v>811.63050298014002</v>
      </c>
      <c r="L151" s="10">
        <f t="shared" si="14"/>
        <v>0.15495028664772134</v>
      </c>
      <c r="M151" s="10">
        <f t="shared" si="18"/>
        <v>0.16856698232415562</v>
      </c>
      <c r="P151" s="8">
        <f t="shared" si="19"/>
        <v>-2.7503405040715569</v>
      </c>
    </row>
    <row r="152" spans="1:16" x14ac:dyDescent="0.2">
      <c r="A152" s="8">
        <v>75</v>
      </c>
      <c r="B152" s="8">
        <v>150</v>
      </c>
      <c r="D152">
        <v>5488.6613704071997</v>
      </c>
      <c r="E152">
        <v>949.42403177756</v>
      </c>
      <c r="F152">
        <v>147.28528827037999</v>
      </c>
      <c r="G152">
        <v>120.2902584493</v>
      </c>
      <c r="I152" s="9">
        <f t="shared" si="15"/>
        <v>829.13377332825996</v>
      </c>
      <c r="J152" s="9">
        <f t="shared" si="16"/>
        <v>5341.3760821368196</v>
      </c>
      <c r="K152" s="9">
        <f t="shared" si="17"/>
        <v>829.13377332825996</v>
      </c>
      <c r="L152" s="10">
        <f t="shared" si="14"/>
        <v>0.1552284955371584</v>
      </c>
      <c r="M152" s="10">
        <f t="shared" si="18"/>
        <v>0.16893657843289761</v>
      </c>
      <c r="P152" s="8">
        <f t="shared" si="19"/>
        <v>-2.5371131256691868</v>
      </c>
    </row>
    <row r="153" spans="1:16" x14ac:dyDescent="0.2">
      <c r="A153" s="8">
        <v>75.5</v>
      </c>
      <c r="B153" s="8">
        <v>151</v>
      </c>
      <c r="D153">
        <v>5465.1002979145997</v>
      </c>
      <c r="E153">
        <v>942.37835153923004</v>
      </c>
      <c r="F153">
        <v>147.66799204770999</v>
      </c>
      <c r="G153">
        <v>120.17594433399999</v>
      </c>
      <c r="I153" s="9">
        <f t="shared" si="15"/>
        <v>822.20240720523009</v>
      </c>
      <c r="J153" s="9">
        <f t="shared" si="16"/>
        <v>5317.4323058668897</v>
      </c>
      <c r="K153" s="9">
        <f t="shared" si="17"/>
        <v>822.20240720523009</v>
      </c>
      <c r="L153" s="10">
        <f t="shared" si="14"/>
        <v>0.15462395380154975</v>
      </c>
      <c r="M153" s="10">
        <f t="shared" si="18"/>
        <v>0.16842342391659387</v>
      </c>
      <c r="P153" s="8">
        <f t="shared" si="19"/>
        <v>-2.8331622172010644</v>
      </c>
    </row>
    <row r="154" spans="1:16" x14ac:dyDescent="0.2">
      <c r="A154" s="8">
        <v>76</v>
      </c>
      <c r="B154" s="8">
        <v>152</v>
      </c>
      <c r="D154">
        <v>5398.1718281718004</v>
      </c>
      <c r="E154">
        <v>923.09190809191</v>
      </c>
      <c r="F154">
        <v>147.64512922464999</v>
      </c>
      <c r="G154">
        <v>120.38966202783</v>
      </c>
      <c r="I154" s="9">
        <f t="shared" si="15"/>
        <v>802.70224606407999</v>
      </c>
      <c r="J154" s="9">
        <f t="shared" si="16"/>
        <v>5250.5266989471502</v>
      </c>
      <c r="K154" s="9">
        <f t="shared" si="17"/>
        <v>802.70224606407999</v>
      </c>
      <c r="L154" s="10">
        <f t="shared" si="14"/>
        <v>0.15288032841067925</v>
      </c>
      <c r="M154" s="10">
        <f t="shared" si="18"/>
        <v>0.16677118574502831</v>
      </c>
      <c r="P154" s="8">
        <f t="shared" si="19"/>
        <v>-3.7863714244581459</v>
      </c>
    </row>
    <row r="155" spans="1:16" x14ac:dyDescent="0.2">
      <c r="A155" s="8">
        <v>76.5</v>
      </c>
      <c r="B155" s="8">
        <v>153</v>
      </c>
      <c r="D155">
        <v>5374.0039564787003</v>
      </c>
      <c r="E155">
        <v>926.55786350148003</v>
      </c>
      <c r="F155">
        <v>147.25049701789001</v>
      </c>
      <c r="G155">
        <v>119.83896620278</v>
      </c>
      <c r="I155" s="9">
        <f t="shared" si="15"/>
        <v>806.71889729870009</v>
      </c>
      <c r="J155" s="9">
        <f t="shared" si="16"/>
        <v>5226.7534594608105</v>
      </c>
      <c r="K155" s="9">
        <f t="shared" si="17"/>
        <v>806.71889729870009</v>
      </c>
      <c r="L155" s="10">
        <f t="shared" si="14"/>
        <v>0.15434416479669213</v>
      </c>
      <c r="M155" s="10">
        <f t="shared" si="18"/>
        <v>0.16832640935034612</v>
      </c>
      <c r="P155" s="8">
        <f t="shared" si="19"/>
        <v>-2.8891318584893919</v>
      </c>
    </row>
    <row r="156" spans="1:16" x14ac:dyDescent="0.2">
      <c r="A156" s="8">
        <v>77</v>
      </c>
      <c r="B156" s="8">
        <v>154</v>
      </c>
      <c r="D156">
        <v>5239.9820717131997</v>
      </c>
      <c r="E156">
        <v>904.90239043824999</v>
      </c>
      <c r="F156">
        <v>146.80417495029999</v>
      </c>
      <c r="G156">
        <v>120.25248508946</v>
      </c>
      <c r="I156" s="9">
        <f t="shared" si="15"/>
        <v>784.64990534878996</v>
      </c>
      <c r="J156" s="9">
        <f t="shared" si="16"/>
        <v>5093.1778967628998</v>
      </c>
      <c r="K156" s="9">
        <f t="shared" si="17"/>
        <v>784.64990534878996</v>
      </c>
      <c r="L156" s="10">
        <f t="shared" si="14"/>
        <v>0.15405900230728134</v>
      </c>
      <c r="M156" s="10">
        <f t="shared" si="18"/>
        <v>0.16813263408024026</v>
      </c>
      <c r="P156" s="8">
        <f t="shared" si="19"/>
        <v>-3.0009246827821605</v>
      </c>
    </row>
    <row r="157" spans="1:16" x14ac:dyDescent="0.2">
      <c r="A157" s="8">
        <v>77.5</v>
      </c>
      <c r="B157" s="8">
        <v>155</v>
      </c>
      <c r="D157">
        <v>5118.6712871287</v>
      </c>
      <c r="E157">
        <v>892.04554455445998</v>
      </c>
      <c r="F157">
        <v>145.76938369781001</v>
      </c>
      <c r="G157">
        <v>120.22266401591</v>
      </c>
      <c r="I157" s="9">
        <f t="shared" si="15"/>
        <v>771.82288053854995</v>
      </c>
      <c r="J157" s="9">
        <f t="shared" si="16"/>
        <v>4972.9019034308903</v>
      </c>
      <c r="K157" s="9">
        <f t="shared" si="17"/>
        <v>771.82288053854995</v>
      </c>
      <c r="L157" s="10">
        <f t="shared" si="14"/>
        <v>0.15520573209096605</v>
      </c>
      <c r="M157" s="10">
        <f t="shared" si="18"/>
        <v>0.16937075108322991</v>
      </c>
      <c r="P157" s="8">
        <f t="shared" si="19"/>
        <v>-2.2866302504044129</v>
      </c>
    </row>
    <row r="158" spans="1:16" x14ac:dyDescent="0.2">
      <c r="A158" s="8">
        <v>78</v>
      </c>
      <c r="B158" s="8">
        <v>156</v>
      </c>
      <c r="D158">
        <v>5038.0554455445999</v>
      </c>
      <c r="E158">
        <v>887.20297029702999</v>
      </c>
      <c r="F158">
        <v>147.08648111331999</v>
      </c>
      <c r="G158">
        <v>119.83697813121</v>
      </c>
      <c r="I158" s="9">
        <f t="shared" si="15"/>
        <v>767.36599216581999</v>
      </c>
      <c r="J158" s="9">
        <f t="shared" si="16"/>
        <v>4890.9689644312803</v>
      </c>
      <c r="K158" s="9">
        <f t="shared" si="17"/>
        <v>767.36599216581999</v>
      </c>
      <c r="L158" s="10">
        <f t="shared" si="14"/>
        <v>0.15689447177979568</v>
      </c>
      <c r="M158" s="10">
        <f t="shared" si="18"/>
        <v>0.17115087799136444</v>
      </c>
      <c r="P158" s="8">
        <f t="shared" si="19"/>
        <v>-1.2596394762401202</v>
      </c>
    </row>
    <row r="159" spans="1:16" x14ac:dyDescent="0.2">
      <c r="A159" s="8">
        <v>78.5</v>
      </c>
      <c r="B159" s="8">
        <v>157</v>
      </c>
      <c r="D159">
        <v>5162.8834661355004</v>
      </c>
      <c r="E159">
        <v>900.79382470120004</v>
      </c>
      <c r="F159">
        <v>146.33001988071999</v>
      </c>
      <c r="G159">
        <v>120.04572564612</v>
      </c>
      <c r="I159" s="9">
        <f t="shared" si="15"/>
        <v>780.74809905508005</v>
      </c>
      <c r="J159" s="9">
        <f t="shared" si="16"/>
        <v>5016.5534462547803</v>
      </c>
      <c r="K159" s="9">
        <f t="shared" si="17"/>
        <v>780.74809905508005</v>
      </c>
      <c r="L159" s="10">
        <f t="shared" si="14"/>
        <v>0.15563436279901791</v>
      </c>
      <c r="M159" s="10">
        <f t="shared" si="18"/>
        <v>0.1699821562298916</v>
      </c>
      <c r="P159" s="8">
        <f t="shared" si="19"/>
        <v>-1.933898407506687</v>
      </c>
    </row>
    <row r="160" spans="1:16" x14ac:dyDescent="0.2">
      <c r="A160" s="8">
        <v>79</v>
      </c>
      <c r="B160" s="8">
        <v>158</v>
      </c>
      <c r="D160">
        <v>5019.3237907206003</v>
      </c>
      <c r="E160">
        <v>878.28331688055005</v>
      </c>
      <c r="F160">
        <v>146.70775347912999</v>
      </c>
      <c r="G160">
        <v>120.2027833002</v>
      </c>
      <c r="I160" s="9">
        <f t="shared" si="15"/>
        <v>758.08053358034999</v>
      </c>
      <c r="J160" s="9">
        <f t="shared" si="16"/>
        <v>4872.6160372414706</v>
      </c>
      <c r="K160" s="9">
        <f t="shared" si="17"/>
        <v>758.08053358034999</v>
      </c>
      <c r="L160" s="10">
        <f t="shared" si="14"/>
        <v>0.15557978050934657</v>
      </c>
      <c r="M160" s="10">
        <f t="shared" si="18"/>
        <v>0.17001896115952519</v>
      </c>
      <c r="P160" s="8">
        <f t="shared" si="19"/>
        <v>-1.9126649083641585</v>
      </c>
    </row>
    <row r="161" spans="1:16" x14ac:dyDescent="0.2">
      <c r="A161" s="8">
        <v>79.5</v>
      </c>
      <c r="B161" s="8">
        <v>159</v>
      </c>
      <c r="D161">
        <v>4996.6544916090998</v>
      </c>
      <c r="E161">
        <v>879.41855873642999</v>
      </c>
      <c r="F161">
        <v>146.25944333996</v>
      </c>
      <c r="G161">
        <v>120.36182902585</v>
      </c>
      <c r="I161" s="9">
        <f t="shared" si="15"/>
        <v>759.05672971057993</v>
      </c>
      <c r="J161" s="9">
        <f t="shared" si="16"/>
        <v>4850.3950482691398</v>
      </c>
      <c r="K161" s="9">
        <f t="shared" si="17"/>
        <v>759.05672971057993</v>
      </c>
      <c r="L161" s="10">
        <f t="shared" si="14"/>
        <v>0.15649379527992235</v>
      </c>
      <c r="M161" s="10">
        <f t="shared" si="18"/>
        <v>0.17102436314940592</v>
      </c>
      <c r="P161" s="8">
        <f t="shared" si="19"/>
        <v>-1.3326284159008419</v>
      </c>
    </row>
    <row r="162" spans="1:16" x14ac:dyDescent="0.2">
      <c r="A162" s="8">
        <v>80</v>
      </c>
      <c r="B162" s="4">
        <v>160</v>
      </c>
      <c r="C162" s="4" t="s">
        <v>6</v>
      </c>
      <c r="D162">
        <v>4942.2300098716996</v>
      </c>
      <c r="E162">
        <v>880.07601184600003</v>
      </c>
      <c r="F162">
        <v>146.28131212724</v>
      </c>
      <c r="G162">
        <v>119.85188866799</v>
      </c>
      <c r="H162" s="4"/>
      <c r="I162" s="5">
        <f t="shared" si="15"/>
        <v>760.22412317801002</v>
      </c>
      <c r="J162" s="5">
        <f t="shared" si="16"/>
        <v>4795.9486977444594</v>
      </c>
      <c r="K162" s="9">
        <f t="shared" si="17"/>
        <v>760.22412317801002</v>
      </c>
      <c r="L162" s="6">
        <f t="shared" si="14"/>
        <v>0.15851381469854844</v>
      </c>
      <c r="M162" s="6">
        <f t="shared" si="18"/>
        <v>0.17313576978733691</v>
      </c>
      <c r="N162" s="4"/>
      <c r="O162" s="4"/>
      <c r="P162" s="4">
        <f t="shared" si="19"/>
        <v>-0.11451574777836013</v>
      </c>
    </row>
    <row r="163" spans="1:16" x14ac:dyDescent="0.2">
      <c r="A163" s="8">
        <v>80.5</v>
      </c>
      <c r="B163" s="8">
        <v>161</v>
      </c>
      <c r="D163">
        <v>4887.5054294175998</v>
      </c>
      <c r="E163">
        <v>870.67423494571005</v>
      </c>
      <c r="F163">
        <v>146.46620278329999</v>
      </c>
      <c r="G163">
        <v>120.05566600397999</v>
      </c>
      <c r="I163" s="9">
        <f t="shared" si="15"/>
        <v>750.61856894173002</v>
      </c>
      <c r="J163" s="9">
        <f t="shared" si="16"/>
        <v>4741.0392266342997</v>
      </c>
      <c r="K163" s="9">
        <f t="shared" si="17"/>
        <v>750.61856894173002</v>
      </c>
      <c r="L163" s="10">
        <f t="shared" si="14"/>
        <v>0.1583236360342456</v>
      </c>
      <c r="M163" s="10">
        <f t="shared" si="18"/>
        <v>0.173036978342339</v>
      </c>
      <c r="P163" s="8">
        <f t="shared" si="19"/>
        <v>-0.17151050591363209</v>
      </c>
    </row>
    <row r="164" spans="1:16" x14ac:dyDescent="0.2">
      <c r="A164" s="8">
        <v>81</v>
      </c>
      <c r="B164" s="8">
        <v>162</v>
      </c>
      <c r="D164">
        <v>4834.8138613861001</v>
      </c>
      <c r="E164">
        <v>857.70891089109</v>
      </c>
      <c r="F164">
        <v>146.40755467196999</v>
      </c>
      <c r="G164">
        <v>120.27236580517</v>
      </c>
      <c r="I164" s="9">
        <f t="shared" si="15"/>
        <v>737.43654508591999</v>
      </c>
      <c r="J164" s="9">
        <f t="shared" si="16"/>
        <v>4688.4063067141306</v>
      </c>
      <c r="K164" s="9">
        <f t="shared" si="17"/>
        <v>737.43654508591999</v>
      </c>
      <c r="L164" s="10">
        <f t="shared" si="14"/>
        <v>0.15728938510083021</v>
      </c>
      <c r="M164" s="10">
        <f t="shared" si="18"/>
        <v>0.17209411462822854</v>
      </c>
      <c r="P164" s="8">
        <f t="shared" si="19"/>
        <v>-0.7154674177837238</v>
      </c>
    </row>
    <row r="165" spans="1:16" x14ac:dyDescent="0.2">
      <c r="A165" s="8">
        <v>81.5</v>
      </c>
      <c r="B165" s="8">
        <v>163</v>
      </c>
      <c r="D165">
        <v>4817.7428003972</v>
      </c>
      <c r="E165">
        <v>855.02979145977997</v>
      </c>
      <c r="F165">
        <v>145.80318091450999</v>
      </c>
      <c r="G165">
        <v>120.28031809145</v>
      </c>
      <c r="I165" s="9">
        <f t="shared" si="15"/>
        <v>734.74947336832997</v>
      </c>
      <c r="J165" s="9">
        <f t="shared" si="16"/>
        <v>4671.9396194826895</v>
      </c>
      <c r="K165" s="9">
        <f t="shared" si="17"/>
        <v>734.74947336832997</v>
      </c>
      <c r="L165" s="10">
        <f t="shared" si="14"/>
        <v>0.15726861501041545</v>
      </c>
      <c r="M165" s="10">
        <f t="shared" si="18"/>
        <v>0.17216473175711872</v>
      </c>
      <c r="P165" s="8">
        <f t="shared" si="19"/>
        <v>-0.67472698543770826</v>
      </c>
    </row>
    <row r="166" spans="1:16" x14ac:dyDescent="0.2">
      <c r="A166" s="8">
        <v>82</v>
      </c>
      <c r="B166" s="8">
        <v>164</v>
      </c>
      <c r="D166">
        <v>5015.3120638086002</v>
      </c>
      <c r="E166">
        <v>878.99401794616006</v>
      </c>
      <c r="F166">
        <v>146.13419483101001</v>
      </c>
      <c r="G166">
        <v>120.53180914513</v>
      </c>
      <c r="I166" s="9">
        <f t="shared" si="15"/>
        <v>758.4622088010301</v>
      </c>
      <c r="J166" s="9">
        <f t="shared" si="16"/>
        <v>4869.1778689775902</v>
      </c>
      <c r="K166" s="9">
        <f t="shared" si="17"/>
        <v>758.4622088010301</v>
      </c>
      <c r="L166" s="10">
        <f t="shared" si="14"/>
        <v>0.15576802269502815</v>
      </c>
      <c r="M166" s="10">
        <f t="shared" si="18"/>
        <v>0.17075552666103636</v>
      </c>
      <c r="P166" s="8">
        <f t="shared" si="19"/>
        <v>-1.4877255564769565</v>
      </c>
    </row>
    <row r="167" spans="1:16" x14ac:dyDescent="0.2">
      <c r="A167" s="8">
        <v>82.5</v>
      </c>
      <c r="B167" s="8">
        <v>165</v>
      </c>
      <c r="D167">
        <v>5028.2622133598998</v>
      </c>
      <c r="E167">
        <v>881.05184446659996</v>
      </c>
      <c r="F167">
        <v>145.83697813121</v>
      </c>
      <c r="G167">
        <v>120.5407554672</v>
      </c>
      <c r="I167" s="9">
        <f t="shared" si="15"/>
        <v>760.51108899939993</v>
      </c>
      <c r="J167" s="9">
        <f t="shared" si="16"/>
        <v>4882.4252352286894</v>
      </c>
      <c r="K167" s="9">
        <f t="shared" si="17"/>
        <v>760.51108899939993</v>
      </c>
      <c r="L167" s="10">
        <f t="shared" si="14"/>
        <v>0.15576502503550946</v>
      </c>
      <c r="M167" s="10">
        <f t="shared" si="18"/>
        <v>0.17084391622082257</v>
      </c>
      <c r="P167" s="8">
        <f t="shared" si="19"/>
        <v>-1.4367318537144891</v>
      </c>
    </row>
    <row r="168" spans="1:16" x14ac:dyDescent="0.2">
      <c r="A168" s="8">
        <v>83</v>
      </c>
      <c r="B168" s="8">
        <v>166</v>
      </c>
      <c r="D168">
        <v>5050.2472691162002</v>
      </c>
      <c r="E168">
        <v>885.42403177756</v>
      </c>
      <c r="F168">
        <v>146.44333996024</v>
      </c>
      <c r="G168">
        <v>120.26640159046001</v>
      </c>
      <c r="I168" s="9">
        <f t="shared" si="15"/>
        <v>765.15763018710004</v>
      </c>
      <c r="J168" s="9">
        <f t="shared" si="16"/>
        <v>4903.8039291559598</v>
      </c>
      <c r="K168" s="9">
        <f t="shared" si="17"/>
        <v>765.15763018710004</v>
      </c>
      <c r="L168" s="10">
        <f t="shared" si="14"/>
        <v>0.15603348772527262</v>
      </c>
      <c r="M168" s="10">
        <f t="shared" si="18"/>
        <v>0.17120376612989066</v>
      </c>
      <c r="P168" s="8">
        <f t="shared" si="19"/>
        <v>-1.2291272525998012</v>
      </c>
    </row>
    <row r="169" spans="1:16" x14ac:dyDescent="0.2">
      <c r="A169" s="8">
        <v>83.5</v>
      </c>
      <c r="B169" s="8">
        <v>167</v>
      </c>
      <c r="D169">
        <v>5274.4647467725999</v>
      </c>
      <c r="E169">
        <v>911.86891757696003</v>
      </c>
      <c r="F169">
        <v>146.50497017892999</v>
      </c>
      <c r="G169">
        <v>120.26242544732</v>
      </c>
      <c r="I169" s="9">
        <f t="shared" si="15"/>
        <v>791.60649212964006</v>
      </c>
      <c r="J169" s="9">
        <f t="shared" si="16"/>
        <v>5127.9597765936696</v>
      </c>
      <c r="K169" s="9">
        <f t="shared" si="17"/>
        <v>791.60649212964006</v>
      </c>
      <c r="L169" s="10">
        <f t="shared" si="14"/>
        <v>0.15437065160746591</v>
      </c>
      <c r="M169" s="10">
        <f t="shared" si="18"/>
        <v>0.16963231723138888</v>
      </c>
      <c r="P169" s="8">
        <f t="shared" si="19"/>
        <v>-2.1357275143323742</v>
      </c>
    </row>
    <row r="170" spans="1:16" x14ac:dyDescent="0.2">
      <c r="A170" s="8">
        <v>84</v>
      </c>
      <c r="B170" s="8">
        <v>168</v>
      </c>
      <c r="D170">
        <v>5461.9374379344999</v>
      </c>
      <c r="E170">
        <v>938.61767626614005</v>
      </c>
      <c r="F170">
        <v>146.44333996024</v>
      </c>
      <c r="G170">
        <v>120.17495029821001</v>
      </c>
      <c r="I170" s="9">
        <f t="shared" si="15"/>
        <v>818.44272596793007</v>
      </c>
      <c r="J170" s="9">
        <f t="shared" si="16"/>
        <v>5315.4940979742596</v>
      </c>
      <c r="K170" s="9">
        <f t="shared" si="17"/>
        <v>818.44272596793007</v>
      </c>
      <c r="L170" s="10">
        <f t="shared" si="14"/>
        <v>0.15397302882526753</v>
      </c>
      <c r="M170" s="10">
        <f t="shared" si="18"/>
        <v>0.16932608166849544</v>
      </c>
      <c r="P170" s="8">
        <f t="shared" si="19"/>
        <v>-2.3124009281072118</v>
      </c>
    </row>
    <row r="171" spans="1:16" x14ac:dyDescent="0.2">
      <c r="A171" s="8">
        <v>84.5</v>
      </c>
      <c r="B171" s="8">
        <v>169</v>
      </c>
      <c r="D171">
        <v>5469.3088381330999</v>
      </c>
      <c r="E171">
        <v>939.76564051639002</v>
      </c>
      <c r="F171">
        <v>146.98906560635999</v>
      </c>
      <c r="G171">
        <v>120.32206759443</v>
      </c>
      <c r="I171" s="9">
        <f t="shared" si="15"/>
        <v>819.44357292196003</v>
      </c>
      <c r="J171" s="9">
        <f t="shared" si="16"/>
        <v>5322.3197725267401</v>
      </c>
      <c r="K171" s="9">
        <f t="shared" si="17"/>
        <v>819.44357292196003</v>
      </c>
      <c r="L171" s="10">
        <f t="shared" si="14"/>
        <v>0.15396361134703751</v>
      </c>
      <c r="M171" s="10">
        <f t="shared" si="18"/>
        <v>0.16940805140957035</v>
      </c>
      <c r="P171" s="8">
        <f t="shared" si="19"/>
        <v>-2.2651109470053656</v>
      </c>
    </row>
    <row r="172" spans="1:16" x14ac:dyDescent="0.2">
      <c r="A172" s="8">
        <v>85</v>
      </c>
      <c r="B172" s="8">
        <v>170</v>
      </c>
      <c r="D172">
        <v>5575.8939544102996</v>
      </c>
      <c r="E172">
        <v>948.25867195242995</v>
      </c>
      <c r="F172">
        <v>147.36481113319999</v>
      </c>
      <c r="G172">
        <v>120.32703777336</v>
      </c>
      <c r="I172" s="9">
        <f t="shared" si="15"/>
        <v>827.93163417906999</v>
      </c>
      <c r="J172" s="9">
        <f t="shared" si="16"/>
        <v>5428.5291432770991</v>
      </c>
      <c r="K172" s="9">
        <f t="shared" si="17"/>
        <v>827.93163417906999</v>
      </c>
      <c r="L172" s="10">
        <f t="shared" si="14"/>
        <v>0.15251491008469811</v>
      </c>
      <c r="M172" s="10">
        <f t="shared" si="18"/>
        <v>0.16805073736653586</v>
      </c>
      <c r="P172" s="8">
        <f t="shared" si="19"/>
        <v>-3.0481725329351206</v>
      </c>
    </row>
    <row r="173" spans="1:16" x14ac:dyDescent="0.2">
      <c r="A173" s="8">
        <v>85.5</v>
      </c>
      <c r="B173" s="8">
        <v>171</v>
      </c>
      <c r="D173">
        <v>5523.8919722498003</v>
      </c>
      <c r="E173">
        <v>940.56491575817995</v>
      </c>
      <c r="F173">
        <v>146.85586481113</v>
      </c>
      <c r="G173">
        <v>120.42047713718</v>
      </c>
      <c r="I173" s="9">
        <f t="shared" si="15"/>
        <v>820.14443862099995</v>
      </c>
      <c r="J173" s="9">
        <f t="shared" si="16"/>
        <v>5377.0361074386701</v>
      </c>
      <c r="K173" s="9">
        <f t="shared" si="17"/>
        <v>820.14443862099995</v>
      </c>
      <c r="L173" s="10">
        <f t="shared" si="14"/>
        <v>0.1525272328906998</v>
      </c>
      <c r="M173" s="10">
        <f t="shared" si="18"/>
        <v>0.16815444739184249</v>
      </c>
      <c r="P173" s="8">
        <f t="shared" si="19"/>
        <v>-2.988340147563302</v>
      </c>
    </row>
    <row r="174" spans="1:16" x14ac:dyDescent="0.2">
      <c r="A174" s="8">
        <v>86</v>
      </c>
      <c r="B174" s="8">
        <v>172</v>
      </c>
      <c r="D174">
        <v>5633.8156590684002</v>
      </c>
      <c r="E174">
        <v>957.56392467789999</v>
      </c>
      <c r="F174">
        <v>147.80914512922999</v>
      </c>
      <c r="G174">
        <v>120.26938369781</v>
      </c>
      <c r="I174" s="9">
        <f t="shared" si="15"/>
        <v>837.29454098009001</v>
      </c>
      <c r="J174" s="9">
        <f t="shared" si="16"/>
        <v>5486.00651393917</v>
      </c>
      <c r="K174" s="9">
        <f t="shared" si="17"/>
        <v>837.29454098009001</v>
      </c>
      <c r="L174" s="10">
        <f t="shared" si="14"/>
        <v>0.15262368698481171</v>
      </c>
      <c r="M174" s="10">
        <f t="shared" si="18"/>
        <v>0.16834228870525933</v>
      </c>
      <c r="P174" s="8">
        <f t="shared" si="19"/>
        <v>-2.8799707414246352</v>
      </c>
    </row>
    <row r="175" spans="1:16" x14ac:dyDescent="0.2">
      <c r="A175" s="8">
        <v>86.5</v>
      </c>
      <c r="B175" s="8">
        <v>173</v>
      </c>
      <c r="D175">
        <v>5630.2903865213002</v>
      </c>
      <c r="E175">
        <v>956.97621407333997</v>
      </c>
      <c r="F175">
        <v>146.66103379722</v>
      </c>
      <c r="G175">
        <v>120.25546719682001</v>
      </c>
      <c r="I175" s="9">
        <f t="shared" si="15"/>
        <v>836.72074687652002</v>
      </c>
      <c r="J175" s="9">
        <f t="shared" si="16"/>
        <v>5483.6293527240805</v>
      </c>
      <c r="K175" s="9">
        <f t="shared" si="17"/>
        <v>836.72074687652002</v>
      </c>
      <c r="L175" s="10">
        <f t="shared" si="14"/>
        <v>0.15258521192006999</v>
      </c>
      <c r="M175" s="10">
        <f t="shared" si="18"/>
        <v>0.16839520085982254</v>
      </c>
      <c r="P175" s="8">
        <f t="shared" si="19"/>
        <v>-2.8494446624528171</v>
      </c>
    </row>
    <row r="176" spans="1:16" x14ac:dyDescent="0.2">
      <c r="A176" s="8">
        <v>87</v>
      </c>
      <c r="B176" s="8">
        <v>174</v>
      </c>
      <c r="D176">
        <v>5610.9841427155998</v>
      </c>
      <c r="E176">
        <v>952.31813676907996</v>
      </c>
      <c r="F176">
        <v>147.04473161033999</v>
      </c>
      <c r="G176">
        <v>120.03081510934</v>
      </c>
      <c r="I176" s="9">
        <f t="shared" si="15"/>
        <v>832.28732165973997</v>
      </c>
      <c r="J176" s="9">
        <f t="shared" si="16"/>
        <v>5463.9394111052598</v>
      </c>
      <c r="K176" s="9">
        <f t="shared" si="17"/>
        <v>832.28732165973997</v>
      </c>
      <c r="L176" s="10">
        <f t="shared" si="14"/>
        <v>0.15232367327649096</v>
      </c>
      <c r="M176" s="10">
        <f t="shared" si="18"/>
        <v>0.16822504943554845</v>
      </c>
      <c r="P176" s="8">
        <f t="shared" si="19"/>
        <v>-2.9476084181614093</v>
      </c>
    </row>
    <row r="177" spans="1:16" x14ac:dyDescent="0.2">
      <c r="A177" s="8">
        <v>87.5</v>
      </c>
      <c r="B177" s="8">
        <v>175</v>
      </c>
      <c r="D177">
        <v>5694.6429277942998</v>
      </c>
      <c r="E177">
        <v>964.15232443126001</v>
      </c>
      <c r="F177">
        <v>146.84691848906999</v>
      </c>
      <c r="G177">
        <v>120.02186878728</v>
      </c>
      <c r="I177" s="9">
        <f t="shared" si="15"/>
        <v>844.13045564397999</v>
      </c>
      <c r="J177" s="9">
        <f t="shared" si="16"/>
        <v>5547.7960093052297</v>
      </c>
      <c r="K177" s="9">
        <f t="shared" si="17"/>
        <v>844.13045564397999</v>
      </c>
      <c r="L177" s="10">
        <f t="shared" si="14"/>
        <v>0.15215600109090771</v>
      </c>
      <c r="M177" s="10">
        <f t="shared" si="18"/>
        <v>0.16814876446927013</v>
      </c>
      <c r="P177" s="8">
        <f t="shared" si="19"/>
        <v>-2.9916187391206979</v>
      </c>
    </row>
    <row r="178" spans="1:16" x14ac:dyDescent="0.2">
      <c r="A178" s="8">
        <v>88</v>
      </c>
      <c r="B178" s="8">
        <v>176</v>
      </c>
      <c r="D178">
        <v>5727.1374876359996</v>
      </c>
      <c r="E178">
        <v>968.26706231454</v>
      </c>
      <c r="F178">
        <v>146.16600397613999</v>
      </c>
      <c r="G178">
        <v>119.83300198807</v>
      </c>
      <c r="I178" s="9">
        <f t="shared" si="15"/>
        <v>848.43406032646999</v>
      </c>
      <c r="J178" s="9">
        <f t="shared" si="16"/>
        <v>5580.9714836598596</v>
      </c>
      <c r="K178" s="9">
        <f t="shared" si="17"/>
        <v>848.43406032646999</v>
      </c>
      <c r="L178" s="10">
        <f t="shared" si="14"/>
        <v>0.15202264745672708</v>
      </c>
      <c r="M178" s="10">
        <f t="shared" si="18"/>
        <v>0.16810679805439441</v>
      </c>
      <c r="P178" s="8">
        <f t="shared" si="19"/>
        <v>-3.0158300022082729</v>
      </c>
    </row>
    <row r="179" spans="1:16" x14ac:dyDescent="0.2">
      <c r="A179" s="8">
        <v>88.5</v>
      </c>
      <c r="B179" s="8">
        <v>177</v>
      </c>
      <c r="D179">
        <v>5556.4945598416998</v>
      </c>
      <c r="E179">
        <v>942.88526211672001</v>
      </c>
      <c r="F179">
        <v>146.48608349900999</v>
      </c>
      <c r="G179">
        <v>120.02783300199</v>
      </c>
      <c r="I179" s="9">
        <f t="shared" si="15"/>
        <v>822.85742911473005</v>
      </c>
      <c r="J179" s="9">
        <f t="shared" si="16"/>
        <v>5410.0084763426894</v>
      </c>
      <c r="K179" s="9">
        <f t="shared" si="17"/>
        <v>822.85742911473005</v>
      </c>
      <c r="L179" s="10">
        <f t="shared" si="14"/>
        <v>0.1520991016396713</v>
      </c>
      <c r="M179" s="10">
        <f t="shared" si="18"/>
        <v>0.16827463945664356</v>
      </c>
      <c r="P179" s="8">
        <f t="shared" si="19"/>
        <v>-2.9189989443522277</v>
      </c>
    </row>
    <row r="180" spans="1:16" x14ac:dyDescent="0.2">
      <c r="A180" s="8">
        <v>89</v>
      </c>
      <c r="B180" s="8">
        <v>178</v>
      </c>
      <c r="D180">
        <v>5439.1424332344004</v>
      </c>
      <c r="E180">
        <v>925.63105835806005</v>
      </c>
      <c r="F180">
        <v>147.58151093439</v>
      </c>
      <c r="G180">
        <v>120.13121272366</v>
      </c>
      <c r="I180" s="9">
        <f t="shared" si="15"/>
        <v>805.4998456344</v>
      </c>
      <c r="J180" s="9">
        <f t="shared" si="16"/>
        <v>5291.5609223000101</v>
      </c>
      <c r="K180" s="9">
        <f t="shared" si="17"/>
        <v>805.4998456344</v>
      </c>
      <c r="L180" s="10">
        <f t="shared" si="14"/>
        <v>0.1522234851799239</v>
      </c>
      <c r="M180" s="10">
        <f t="shared" si="18"/>
        <v>0.16849041021620109</v>
      </c>
      <c r="P180" s="8">
        <f t="shared" si="19"/>
        <v>-2.7945164827999638</v>
      </c>
    </row>
    <row r="181" spans="1:16" x14ac:dyDescent="0.2">
      <c r="A181" s="8">
        <v>89.5</v>
      </c>
      <c r="B181" s="8">
        <v>179</v>
      </c>
      <c r="D181">
        <v>5445.8278931751001</v>
      </c>
      <c r="E181">
        <v>921.04352126607</v>
      </c>
      <c r="F181">
        <v>147.82306163022</v>
      </c>
      <c r="G181">
        <v>120.41550695825001</v>
      </c>
      <c r="I181" s="9">
        <f t="shared" si="15"/>
        <v>800.62801430781997</v>
      </c>
      <c r="J181" s="9">
        <f t="shared" si="16"/>
        <v>5298.0048315448803</v>
      </c>
      <c r="K181" s="9">
        <f t="shared" si="17"/>
        <v>800.62801430781997</v>
      </c>
      <c r="L181" s="10">
        <f t="shared" si="14"/>
        <v>0.15111877768415691</v>
      </c>
      <c r="M181" s="10">
        <f t="shared" si="18"/>
        <v>0.16747708993973903</v>
      </c>
      <c r="P181" s="8">
        <f t="shared" si="19"/>
        <v>-3.3791211929724017</v>
      </c>
    </row>
    <row r="182" spans="1:16" x14ac:dyDescent="0.2">
      <c r="A182" s="8">
        <v>90</v>
      </c>
      <c r="B182" s="8">
        <v>180</v>
      </c>
      <c r="D182">
        <v>5313.8417408506002</v>
      </c>
      <c r="E182">
        <v>903.46290801187001</v>
      </c>
      <c r="F182">
        <v>148.08250497018</v>
      </c>
      <c r="G182">
        <v>120.37276341947999</v>
      </c>
      <c r="I182" s="9">
        <f t="shared" si="15"/>
        <v>783.09014459239006</v>
      </c>
      <c r="J182" s="9">
        <f t="shared" si="16"/>
        <v>5165.7592358804204</v>
      </c>
      <c r="K182" s="9">
        <f t="shared" si="17"/>
        <v>783.09014459239006</v>
      </c>
      <c r="L182" s="10">
        <f t="shared" si="14"/>
        <v>0.15159245888836415</v>
      </c>
      <c r="M182" s="10">
        <f>L182+ABS($N$2)*A182</f>
        <v>0.1680421583632512</v>
      </c>
      <c r="P182" s="8">
        <f t="shared" si="19"/>
        <v>-3.0531219313092528</v>
      </c>
    </row>
    <row r="183" spans="1:16" x14ac:dyDescent="0.2">
      <c r="A183" s="8">
        <v>90.5</v>
      </c>
      <c r="B183" s="8">
        <v>181</v>
      </c>
      <c r="D183">
        <v>5554.6864490603002</v>
      </c>
      <c r="E183">
        <v>945.14638971316003</v>
      </c>
      <c r="F183">
        <v>146.77435387674001</v>
      </c>
      <c r="G183">
        <v>120.41053677932</v>
      </c>
      <c r="I183" s="9">
        <f t="shared" si="15"/>
        <v>824.73585293384008</v>
      </c>
      <c r="J183" s="9">
        <f t="shared" si="16"/>
        <v>5407.9120951835603</v>
      </c>
      <c r="K183" s="9">
        <f t="shared" si="17"/>
        <v>824.73585293384008</v>
      </c>
      <c r="L183" s="10">
        <f t="shared" si="14"/>
        <v>0.15250541029843537</v>
      </c>
      <c r="M183" s="10">
        <f t="shared" ref="M183:M241" si="20">L183+ABS($N$2)*A183</f>
        <v>0.16904649699262733</v>
      </c>
      <c r="P183" s="8">
        <f t="shared" si="19"/>
        <v>-2.4736989127633509</v>
      </c>
    </row>
    <row r="184" spans="1:16" x14ac:dyDescent="0.2">
      <c r="A184" s="8">
        <v>91</v>
      </c>
      <c r="B184" s="8">
        <v>182</v>
      </c>
      <c r="D184">
        <v>5473.2878338278997</v>
      </c>
      <c r="E184">
        <v>934.83976261127998</v>
      </c>
      <c r="F184">
        <v>146.96222664016</v>
      </c>
      <c r="G184">
        <v>120.40159045726</v>
      </c>
      <c r="I184" s="9">
        <f t="shared" si="15"/>
        <v>814.43817215401998</v>
      </c>
      <c r="J184" s="9">
        <f t="shared" si="16"/>
        <v>5326.3256071877395</v>
      </c>
      <c r="K184" s="9">
        <f t="shared" si="17"/>
        <v>814.43817215401998</v>
      </c>
      <c r="L184" s="10">
        <f t="shared" si="14"/>
        <v>0.15290807063221157</v>
      </c>
      <c r="M184" s="10">
        <f t="shared" si="20"/>
        <v>0.16954054454570847</v>
      </c>
      <c r="P184" s="8">
        <f t="shared" si="19"/>
        <v>-2.1886730100065215</v>
      </c>
    </row>
    <row r="185" spans="1:16" x14ac:dyDescent="0.2">
      <c r="A185" s="8">
        <v>91.5</v>
      </c>
      <c r="B185" s="8">
        <v>183</v>
      </c>
      <c r="D185">
        <v>5438.5756676558003</v>
      </c>
      <c r="E185">
        <v>930.03857566765998</v>
      </c>
      <c r="F185">
        <v>146.65606361829001</v>
      </c>
      <c r="G185">
        <v>120.50497017892999</v>
      </c>
      <c r="I185" s="9">
        <f t="shared" si="15"/>
        <v>809.53360548873002</v>
      </c>
      <c r="J185" s="9">
        <f t="shared" si="16"/>
        <v>5291.91960403751</v>
      </c>
      <c r="K185" s="9">
        <f t="shared" si="17"/>
        <v>809.53360548873002</v>
      </c>
      <c r="L185" s="10">
        <f t="shared" si="14"/>
        <v>0.15297541649557378</v>
      </c>
      <c r="M185" s="10">
        <f t="shared" si="20"/>
        <v>0.16969927762837561</v>
      </c>
      <c r="P185" s="8">
        <f t="shared" si="19"/>
        <v>-2.0970967236704827</v>
      </c>
    </row>
    <row r="186" spans="1:16" x14ac:dyDescent="0.2">
      <c r="A186" s="8">
        <v>92</v>
      </c>
      <c r="B186" s="8">
        <v>184</v>
      </c>
      <c r="D186">
        <v>5421.4836795252004</v>
      </c>
      <c r="E186">
        <v>924.62710187932998</v>
      </c>
      <c r="F186">
        <v>146.19880715706</v>
      </c>
      <c r="G186">
        <v>120.18687872763</v>
      </c>
      <c r="I186" s="9">
        <f t="shared" si="15"/>
        <v>804.44022315170002</v>
      </c>
      <c r="J186" s="9">
        <f t="shared" si="16"/>
        <v>5275.28487236814</v>
      </c>
      <c r="K186" s="9">
        <f t="shared" si="17"/>
        <v>804.44022315170002</v>
      </c>
      <c r="L186" s="10">
        <f t="shared" si="14"/>
        <v>0.15249228100748558</v>
      </c>
      <c r="M186" s="10">
        <f t="shared" si="20"/>
        <v>0.16930752935959234</v>
      </c>
      <c r="P186" s="8">
        <f t="shared" si="19"/>
        <v>-2.3231041257252394</v>
      </c>
    </row>
    <row r="187" spans="1:16" x14ac:dyDescent="0.2">
      <c r="A187" s="8">
        <v>92.5</v>
      </c>
      <c r="B187" s="8">
        <v>185</v>
      </c>
      <c r="D187">
        <v>5428.6132542038004</v>
      </c>
      <c r="E187">
        <v>924.23244312561997</v>
      </c>
      <c r="F187">
        <v>147.25149105368001</v>
      </c>
      <c r="G187">
        <v>120.28031809145</v>
      </c>
      <c r="I187" s="9">
        <f t="shared" si="15"/>
        <v>803.95212503416997</v>
      </c>
      <c r="J187" s="9">
        <f t="shared" si="16"/>
        <v>5281.3617631501202</v>
      </c>
      <c r="K187" s="9">
        <f t="shared" si="17"/>
        <v>803.95212503416997</v>
      </c>
      <c r="L187" s="10">
        <f t="shared" si="14"/>
        <v>0.15222439989693962</v>
      </c>
      <c r="M187" s="10">
        <f t="shared" si="20"/>
        <v>0.16913103546835129</v>
      </c>
      <c r="P187" s="8">
        <f t="shared" si="19"/>
        <v>-2.4249269773279178</v>
      </c>
    </row>
    <row r="188" spans="1:16" x14ac:dyDescent="0.2">
      <c r="A188" s="8">
        <v>93</v>
      </c>
      <c r="B188" s="8">
        <v>186</v>
      </c>
      <c r="D188">
        <v>5523.1008902077001</v>
      </c>
      <c r="E188">
        <v>940.25914935706999</v>
      </c>
      <c r="F188">
        <v>146.70675944333999</v>
      </c>
      <c r="G188">
        <v>120.12624254473</v>
      </c>
      <c r="I188" s="9">
        <f t="shared" si="15"/>
        <v>820.13290681234002</v>
      </c>
      <c r="J188" s="9">
        <f t="shared" si="16"/>
        <v>5376.3941307643599</v>
      </c>
      <c r="K188" s="9">
        <f t="shared" si="17"/>
        <v>820.13290681234002</v>
      </c>
      <c r="L188" s="10">
        <f t="shared" si="14"/>
        <v>0.15254330074490688</v>
      </c>
      <c r="M188" s="10">
        <f t="shared" si="20"/>
        <v>0.16954132353562348</v>
      </c>
      <c r="P188" s="8">
        <f t="shared" si="19"/>
        <v>-2.1882235951629876</v>
      </c>
    </row>
    <row r="189" spans="1:16" x14ac:dyDescent="0.2">
      <c r="A189" s="8">
        <v>93.5</v>
      </c>
      <c r="B189" s="8">
        <v>187</v>
      </c>
      <c r="D189">
        <v>5682.9594460930002</v>
      </c>
      <c r="E189">
        <v>958.38278931750995</v>
      </c>
      <c r="F189">
        <v>146.41153081511001</v>
      </c>
      <c r="G189">
        <v>119.84393638170999</v>
      </c>
      <c r="I189" s="9">
        <f t="shared" si="15"/>
        <v>838.53885293579992</v>
      </c>
      <c r="J189" s="9">
        <f t="shared" si="16"/>
        <v>5536.5479152778898</v>
      </c>
      <c r="K189" s="9">
        <f t="shared" si="17"/>
        <v>838.53885293579992</v>
      </c>
      <c r="L189" s="10">
        <f t="shared" si="14"/>
        <v>0.15145517852774007</v>
      </c>
      <c r="M189" s="10">
        <f t="shared" si="20"/>
        <v>0.16854458853776161</v>
      </c>
      <c r="P189" s="8">
        <f t="shared" si="19"/>
        <v>-2.7632599267937046</v>
      </c>
    </row>
    <row r="190" spans="1:16" x14ac:dyDescent="0.2">
      <c r="A190" s="8">
        <v>94</v>
      </c>
      <c r="B190" s="8">
        <v>188</v>
      </c>
      <c r="D190">
        <v>5581.1958456972998</v>
      </c>
      <c r="E190">
        <v>939.09396636992994</v>
      </c>
      <c r="F190">
        <v>146.60735586480999</v>
      </c>
      <c r="G190">
        <v>120.10934393638</v>
      </c>
      <c r="I190" s="9">
        <f t="shared" si="15"/>
        <v>818.98462243354993</v>
      </c>
      <c r="J190" s="9">
        <f t="shared" si="16"/>
        <v>5434.5884898324894</v>
      </c>
      <c r="K190" s="9">
        <f t="shared" si="17"/>
        <v>818.98462243354993</v>
      </c>
      <c r="L190" s="10">
        <f t="shared" si="14"/>
        <v>0.15069855315922798</v>
      </c>
      <c r="M190" s="10">
        <f t="shared" si="20"/>
        <v>0.16787935038855445</v>
      </c>
      <c r="P190" s="8">
        <f t="shared" si="19"/>
        <v>-3.1470491042596116</v>
      </c>
    </row>
    <row r="191" spans="1:16" x14ac:dyDescent="0.2">
      <c r="A191" s="8">
        <v>94.5</v>
      </c>
      <c r="B191" s="8">
        <v>189</v>
      </c>
      <c r="D191">
        <v>5486.1789264414001</v>
      </c>
      <c r="E191">
        <v>921.67395626243001</v>
      </c>
      <c r="F191">
        <v>146.62326043738</v>
      </c>
      <c r="G191">
        <v>119.99701789264</v>
      </c>
      <c r="I191" s="9">
        <f t="shared" si="15"/>
        <v>801.67693836979004</v>
      </c>
      <c r="J191" s="9">
        <f t="shared" si="16"/>
        <v>5339.5556660040202</v>
      </c>
      <c r="K191" s="9">
        <f t="shared" si="17"/>
        <v>801.67693836979004</v>
      </c>
      <c r="L191" s="10">
        <f t="shared" si="14"/>
        <v>0.15013926036466316</v>
      </c>
      <c r="M191" s="10">
        <f t="shared" si="20"/>
        <v>0.16741144481329456</v>
      </c>
      <c r="P191" s="8">
        <f t="shared" si="19"/>
        <v>-3.4169931777838474</v>
      </c>
    </row>
    <row r="192" spans="1:16" x14ac:dyDescent="0.2">
      <c r="A192" s="8">
        <v>95</v>
      </c>
      <c r="B192" s="8">
        <v>190</v>
      </c>
      <c r="D192">
        <v>5439.8916500994001</v>
      </c>
      <c r="E192">
        <v>925.35288270377998</v>
      </c>
      <c r="F192">
        <v>146.98906560635999</v>
      </c>
      <c r="G192">
        <v>119.69483101391999</v>
      </c>
      <c r="I192" s="9">
        <f t="shared" si="15"/>
        <v>805.65805168986003</v>
      </c>
      <c r="J192" s="9">
        <f t="shared" si="16"/>
        <v>5292.9025844930402</v>
      </c>
      <c r="K192" s="9">
        <f t="shared" si="17"/>
        <v>805.65805168986003</v>
      </c>
      <c r="L192" s="10">
        <f t="shared" si="14"/>
        <v>0.1522147893011008</v>
      </c>
      <c r="M192" s="10">
        <f t="shared" si="20"/>
        <v>0.16957836096903711</v>
      </c>
      <c r="P192" s="8">
        <f t="shared" si="19"/>
        <v>-2.1668559599451247</v>
      </c>
    </row>
    <row r="193" spans="1:16" x14ac:dyDescent="0.2">
      <c r="A193" s="8">
        <v>95.5</v>
      </c>
      <c r="B193" s="8">
        <v>191</v>
      </c>
      <c r="D193">
        <v>5317.2866995074</v>
      </c>
      <c r="E193">
        <v>911.88177339901995</v>
      </c>
      <c r="F193">
        <v>145.64811133200999</v>
      </c>
      <c r="G193">
        <v>119.80914512923</v>
      </c>
      <c r="I193" s="9">
        <f t="shared" si="15"/>
        <v>792.0726282697899</v>
      </c>
      <c r="J193" s="9">
        <f t="shared" si="16"/>
        <v>5171.6385881753904</v>
      </c>
      <c r="K193" s="9">
        <f t="shared" si="17"/>
        <v>792.0726282697899</v>
      </c>
      <c r="L193" s="10">
        <f t="shared" si="14"/>
        <v>0.15315699555665233</v>
      </c>
      <c r="M193" s="10">
        <f t="shared" si="20"/>
        <v>0.17061195444389357</v>
      </c>
      <c r="P193" s="8">
        <f t="shared" si="19"/>
        <v>-1.5705552366296307</v>
      </c>
    </row>
    <row r="194" spans="1:16" x14ac:dyDescent="0.2">
      <c r="A194" s="8">
        <v>96</v>
      </c>
      <c r="B194" s="8">
        <v>192</v>
      </c>
      <c r="D194">
        <v>5341.9044334974997</v>
      </c>
      <c r="E194">
        <v>911.90541871921005</v>
      </c>
      <c r="F194">
        <v>146.64512922464999</v>
      </c>
      <c r="G194">
        <v>119.60536779324001</v>
      </c>
      <c r="I194" s="9">
        <f t="shared" si="15"/>
        <v>792.30005092597003</v>
      </c>
      <c r="J194" s="9">
        <f t="shared" si="16"/>
        <v>5195.2593042728495</v>
      </c>
      <c r="K194" s="9">
        <f t="shared" si="17"/>
        <v>792.30005092597003</v>
      </c>
      <c r="L194" s="10">
        <f t="shared" ref="L194:L257" si="21">K194/J194</f>
        <v>0.15250442846507037</v>
      </c>
      <c r="M194" s="10">
        <f t="shared" si="20"/>
        <v>0.17005077457161655</v>
      </c>
      <c r="P194" s="8">
        <f t="shared" si="19"/>
        <v>-1.894311115405237</v>
      </c>
    </row>
    <row r="195" spans="1:16" x14ac:dyDescent="0.2">
      <c r="A195" s="8">
        <v>96.5</v>
      </c>
      <c r="B195" s="8">
        <v>193</v>
      </c>
      <c r="D195">
        <v>5278.3428571429004</v>
      </c>
      <c r="E195">
        <v>903.44827586206998</v>
      </c>
      <c r="F195">
        <v>146.38071570577</v>
      </c>
      <c r="G195">
        <v>120.21669980119</v>
      </c>
      <c r="I195" s="9">
        <f t="shared" ref="I195:I241" si="22">E195-G195</f>
        <v>783.23157606088</v>
      </c>
      <c r="J195" s="9">
        <f t="shared" ref="J195:J241" si="23">D195-F195</f>
        <v>5131.9621414371304</v>
      </c>
      <c r="K195" s="9">
        <f t="shared" ref="K195:K258" si="24">I195*1</f>
        <v>783.23157606088</v>
      </c>
      <c r="L195" s="10">
        <f t="shared" si="21"/>
        <v>0.15261834644819644</v>
      </c>
      <c r="M195" s="10">
        <f t="shared" si="20"/>
        <v>0.17025607977404755</v>
      </c>
      <c r="P195" s="8">
        <f t="shared" ref="P195:P241" si="25">(M195-$O$2)/$O$2*100</f>
        <v>-1.7758664428253874</v>
      </c>
    </row>
    <row r="196" spans="1:16" x14ac:dyDescent="0.2">
      <c r="A196" s="8">
        <v>97</v>
      </c>
      <c r="B196" s="8">
        <v>194</v>
      </c>
      <c r="D196">
        <v>5301.9712871287002</v>
      </c>
      <c r="E196">
        <v>910.08118811881002</v>
      </c>
      <c r="F196">
        <v>145.54671968190999</v>
      </c>
      <c r="G196">
        <v>120.10735586481</v>
      </c>
      <c r="I196" s="9">
        <f t="shared" si="22"/>
        <v>789.97383225400006</v>
      </c>
      <c r="J196" s="9">
        <f t="shared" si="23"/>
        <v>5156.4245674467902</v>
      </c>
      <c r="K196" s="9">
        <f t="shared" si="24"/>
        <v>789.97383225400006</v>
      </c>
      <c r="L196" s="10">
        <f t="shared" si="21"/>
        <v>0.15320185952902565</v>
      </c>
      <c r="M196" s="10">
        <f t="shared" si="20"/>
        <v>0.1709309800741817</v>
      </c>
      <c r="P196" s="8">
        <f t="shared" si="25"/>
        <v>-1.3865029774728947</v>
      </c>
    </row>
    <row r="197" spans="1:16" x14ac:dyDescent="0.2">
      <c r="A197" s="8">
        <v>97.5</v>
      </c>
      <c r="B197" s="8">
        <v>195</v>
      </c>
      <c r="D197">
        <v>5505.1755424063003</v>
      </c>
      <c r="E197">
        <v>920.96942800788997</v>
      </c>
      <c r="F197">
        <v>146.00497017892999</v>
      </c>
      <c r="G197">
        <v>119.78727634195</v>
      </c>
      <c r="I197" s="9">
        <f t="shared" si="22"/>
        <v>801.18215166593995</v>
      </c>
      <c r="J197" s="9">
        <f t="shared" si="23"/>
        <v>5359.17057222737</v>
      </c>
      <c r="K197" s="9">
        <f t="shared" si="24"/>
        <v>801.18215166593995</v>
      </c>
      <c r="L197" s="10">
        <f t="shared" si="21"/>
        <v>0.1494974158534674</v>
      </c>
      <c r="M197" s="10">
        <f t="shared" si="20"/>
        <v>0.16731792361792835</v>
      </c>
      <c r="P197" s="8">
        <f t="shared" si="25"/>
        <v>-3.4709474236249842</v>
      </c>
    </row>
    <row r="198" spans="1:16" x14ac:dyDescent="0.2">
      <c r="A198" s="8">
        <v>98</v>
      </c>
      <c r="B198" s="8">
        <v>196</v>
      </c>
      <c r="D198">
        <v>5553.1918892186004</v>
      </c>
      <c r="E198">
        <v>930.98516320475005</v>
      </c>
      <c r="F198">
        <v>145.08349900595999</v>
      </c>
      <c r="G198">
        <v>119.47216699801</v>
      </c>
      <c r="I198" s="9">
        <f t="shared" si="22"/>
        <v>811.51299620674001</v>
      </c>
      <c r="J198" s="9">
        <f t="shared" si="23"/>
        <v>5408.1083902126402</v>
      </c>
      <c r="K198" s="9">
        <f t="shared" si="24"/>
        <v>811.51299620674001</v>
      </c>
      <c r="L198" s="10">
        <f t="shared" si="21"/>
        <v>0.15005486903246631</v>
      </c>
      <c r="M198" s="10">
        <f t="shared" si="20"/>
        <v>0.1679667640162322</v>
      </c>
      <c r="P198" s="8">
        <f t="shared" si="25"/>
        <v>-3.0966184362263083</v>
      </c>
    </row>
    <row r="199" spans="1:16" x14ac:dyDescent="0.2">
      <c r="A199" s="8">
        <v>98.5</v>
      </c>
      <c r="B199" s="8">
        <v>197</v>
      </c>
      <c r="D199">
        <v>5530.5974282888001</v>
      </c>
      <c r="E199">
        <v>950.75173095945001</v>
      </c>
      <c r="F199">
        <v>145.95129224652001</v>
      </c>
      <c r="G199">
        <v>120.38071570577</v>
      </c>
      <c r="I199" s="9">
        <f t="shared" si="22"/>
        <v>830.37101525368007</v>
      </c>
      <c r="J199" s="9">
        <f t="shared" si="23"/>
        <v>5384.64613604228</v>
      </c>
      <c r="K199" s="9">
        <f t="shared" si="24"/>
        <v>830.37101525368007</v>
      </c>
      <c r="L199" s="10">
        <f t="shared" si="21"/>
        <v>0.15421087928054703</v>
      </c>
      <c r="M199" s="10">
        <f t="shared" si="20"/>
        <v>0.17221416148361784</v>
      </c>
      <c r="P199" s="8">
        <f t="shared" si="25"/>
        <v>-0.64620998878308966</v>
      </c>
    </row>
    <row r="200" spans="1:16" x14ac:dyDescent="0.2">
      <c r="A200" s="8">
        <v>99</v>
      </c>
      <c r="B200" s="8">
        <v>198</v>
      </c>
      <c r="D200">
        <v>5687.1510934394</v>
      </c>
      <c r="E200">
        <v>970.98508946321999</v>
      </c>
      <c r="F200">
        <v>146.05864811133</v>
      </c>
      <c r="G200">
        <v>120.06560636183001</v>
      </c>
      <c r="I200" s="9">
        <f t="shared" si="22"/>
        <v>850.91948310139003</v>
      </c>
      <c r="J200" s="9">
        <f t="shared" si="23"/>
        <v>5541.0924453280704</v>
      </c>
      <c r="K200" s="9">
        <f t="shared" si="24"/>
        <v>850.91948310139003</v>
      </c>
      <c r="L200" s="10">
        <f t="shared" si="21"/>
        <v>0.15356529267416144</v>
      </c>
      <c r="M200" s="10">
        <f t="shared" si="20"/>
        <v>0.17165996209653719</v>
      </c>
      <c r="P200" s="8">
        <f t="shared" si="25"/>
        <v>-0.96593868620263335</v>
      </c>
    </row>
    <row r="201" spans="1:16" x14ac:dyDescent="0.2">
      <c r="A201" s="8">
        <v>99.5</v>
      </c>
      <c r="B201" s="8">
        <v>199</v>
      </c>
      <c r="D201">
        <v>5503.1660039761</v>
      </c>
      <c r="E201">
        <v>946.81809145129</v>
      </c>
      <c r="F201">
        <v>145.81908548708</v>
      </c>
      <c r="G201">
        <v>119.77137176938</v>
      </c>
      <c r="I201" s="9">
        <f t="shared" si="22"/>
        <v>827.04671968190996</v>
      </c>
      <c r="J201" s="9">
        <f t="shared" si="23"/>
        <v>5357.34691848902</v>
      </c>
      <c r="K201" s="9">
        <f t="shared" si="24"/>
        <v>827.04671968190996</v>
      </c>
      <c r="L201" s="10">
        <f t="shared" si="21"/>
        <v>0.15437617392811465</v>
      </c>
      <c r="M201" s="10">
        <f t="shared" si="20"/>
        <v>0.17256223056979533</v>
      </c>
      <c r="P201" s="8">
        <f t="shared" si="25"/>
        <v>-0.44540197973463513</v>
      </c>
    </row>
    <row r="202" spans="1:16" x14ac:dyDescent="0.2">
      <c r="A202" s="8">
        <v>100</v>
      </c>
      <c r="B202" s="8">
        <v>200</v>
      </c>
      <c r="D202">
        <v>5433.6580516899003</v>
      </c>
      <c r="E202">
        <v>926.39860834989997</v>
      </c>
      <c r="F202">
        <v>145.37077534791001</v>
      </c>
      <c r="G202">
        <v>120.02186878728</v>
      </c>
      <c r="I202" s="9">
        <f t="shared" si="22"/>
        <v>806.37673956261995</v>
      </c>
      <c r="J202" s="9">
        <f t="shared" si="23"/>
        <v>5288.28727634199</v>
      </c>
      <c r="K202" s="9">
        <f t="shared" si="24"/>
        <v>806.37673956261995</v>
      </c>
      <c r="L202" s="10">
        <f t="shared" si="21"/>
        <v>0.15248353529697165</v>
      </c>
      <c r="M202" s="10">
        <f t="shared" si="20"/>
        <v>0.17076097915795724</v>
      </c>
      <c r="P202" s="8">
        <f t="shared" si="25"/>
        <v>-1.484579902081016</v>
      </c>
    </row>
    <row r="203" spans="1:16" x14ac:dyDescent="0.2">
      <c r="A203" s="8">
        <v>100.5</v>
      </c>
      <c r="B203" s="8">
        <v>201</v>
      </c>
      <c r="D203">
        <v>5609.6398009949999</v>
      </c>
      <c r="E203">
        <v>944.88059701493</v>
      </c>
      <c r="F203">
        <v>146.03677932406001</v>
      </c>
      <c r="G203">
        <v>119.55467196818999</v>
      </c>
      <c r="I203" s="9">
        <f t="shared" si="22"/>
        <v>825.32592504674005</v>
      </c>
      <c r="J203" s="9">
        <f t="shared" si="23"/>
        <v>5463.6030216709396</v>
      </c>
      <c r="K203" s="9">
        <f t="shared" si="24"/>
        <v>825.32592504674005</v>
      </c>
      <c r="L203" s="10">
        <f t="shared" si="21"/>
        <v>0.15105891144967001</v>
      </c>
      <c r="M203" s="10">
        <f t="shared" si="20"/>
        <v>0.16942774252996054</v>
      </c>
      <c r="P203" s="8">
        <f t="shared" si="25"/>
        <v>-2.2537507462908719</v>
      </c>
    </row>
    <row r="204" spans="1:16" x14ac:dyDescent="0.2">
      <c r="A204" s="8">
        <v>101</v>
      </c>
      <c r="B204" s="8">
        <v>202</v>
      </c>
      <c r="D204">
        <v>5640.1393034825996</v>
      </c>
      <c r="E204">
        <v>941.07661691542</v>
      </c>
      <c r="F204">
        <v>145.13220675944001</v>
      </c>
      <c r="G204">
        <v>120.14015904573</v>
      </c>
      <c r="I204" s="9">
        <f t="shared" si="22"/>
        <v>820.93645786969</v>
      </c>
      <c r="J204" s="9">
        <f t="shared" si="23"/>
        <v>5495.0070967231595</v>
      </c>
      <c r="K204" s="9">
        <f t="shared" si="24"/>
        <v>820.93645786969</v>
      </c>
      <c r="L204" s="10">
        <f t="shared" si="21"/>
        <v>0.14939679665914163</v>
      </c>
      <c r="M204" s="10">
        <f t="shared" si="20"/>
        <v>0.16785701495873709</v>
      </c>
      <c r="P204" s="8">
        <f t="shared" si="25"/>
        <v>-3.1599348599069224</v>
      </c>
    </row>
    <row r="205" spans="1:16" x14ac:dyDescent="0.2">
      <c r="A205" s="8">
        <v>101.5</v>
      </c>
      <c r="B205" s="8">
        <v>203</v>
      </c>
      <c r="D205">
        <v>5704.4238805969999</v>
      </c>
      <c r="E205">
        <v>950.59402985074996</v>
      </c>
      <c r="F205">
        <v>146.33499005964001</v>
      </c>
      <c r="G205">
        <v>119.66401590456999</v>
      </c>
      <c r="I205" s="9">
        <f t="shared" si="22"/>
        <v>830.93001394618</v>
      </c>
      <c r="J205" s="9">
        <f t="shared" si="23"/>
        <v>5558.0888905373595</v>
      </c>
      <c r="K205" s="9">
        <f t="shared" si="24"/>
        <v>830.93001394618</v>
      </c>
      <c r="L205" s="10">
        <f t="shared" si="21"/>
        <v>0.14949923081669986</v>
      </c>
      <c r="M205" s="10">
        <f t="shared" si="20"/>
        <v>0.16805083633560025</v>
      </c>
      <c r="P205" s="8">
        <f t="shared" si="25"/>
        <v>-3.0481154357048106</v>
      </c>
    </row>
    <row r="206" spans="1:16" x14ac:dyDescent="0.2">
      <c r="A206" s="8">
        <v>102</v>
      </c>
      <c r="B206" s="8">
        <v>204</v>
      </c>
      <c r="D206">
        <v>5413.8507462687003</v>
      </c>
      <c r="E206">
        <v>923.23880597015</v>
      </c>
      <c r="F206">
        <v>145.07654075547001</v>
      </c>
      <c r="G206">
        <v>120.02186878728</v>
      </c>
      <c r="I206" s="9">
        <f t="shared" si="22"/>
        <v>803.21693718286997</v>
      </c>
      <c r="J206" s="9">
        <f t="shared" si="23"/>
        <v>5268.7742055132303</v>
      </c>
      <c r="K206" s="9">
        <f t="shared" si="24"/>
        <v>803.21693718286997</v>
      </c>
      <c r="L206" s="10">
        <f t="shared" si="21"/>
        <v>0.15244854037251893</v>
      </c>
      <c r="M206" s="10">
        <f t="shared" si="20"/>
        <v>0.17109153311072423</v>
      </c>
      <c r="P206" s="8">
        <f t="shared" si="25"/>
        <v>-1.2938767233896797</v>
      </c>
    </row>
    <row r="207" spans="1:16" x14ac:dyDescent="0.2">
      <c r="A207" s="8">
        <v>102.5</v>
      </c>
      <c r="B207" s="8">
        <v>205</v>
      </c>
      <c r="D207">
        <v>5443.7313432835999</v>
      </c>
      <c r="E207">
        <v>919.05572139304002</v>
      </c>
      <c r="F207">
        <v>145.68787276341999</v>
      </c>
      <c r="G207">
        <v>119.69681908549001</v>
      </c>
      <c r="I207" s="9">
        <f t="shared" si="22"/>
        <v>799.35890230755001</v>
      </c>
      <c r="J207" s="9">
        <f t="shared" si="23"/>
        <v>5298.0434705201797</v>
      </c>
      <c r="K207" s="9">
        <f t="shared" si="24"/>
        <v>799.35890230755001</v>
      </c>
      <c r="L207" s="10">
        <f t="shared" si="21"/>
        <v>0.1508781320416509</v>
      </c>
      <c r="M207" s="10">
        <f t="shared" si="20"/>
        <v>0.16961251199916114</v>
      </c>
      <c r="P207" s="8">
        <f t="shared" si="25"/>
        <v>-2.1471535484455231</v>
      </c>
    </row>
    <row r="208" spans="1:16" x14ac:dyDescent="0.2">
      <c r="A208" s="8">
        <v>103</v>
      </c>
      <c r="B208" s="8">
        <v>206</v>
      </c>
      <c r="D208">
        <v>5516.3104477611996</v>
      </c>
      <c r="E208">
        <v>925.01592039801005</v>
      </c>
      <c r="F208">
        <v>146.86580516898999</v>
      </c>
      <c r="G208">
        <v>119.8449304175</v>
      </c>
      <c r="I208" s="9">
        <f t="shared" si="22"/>
        <v>805.17098998051006</v>
      </c>
      <c r="J208" s="9">
        <f t="shared" si="23"/>
        <v>5369.4446425922097</v>
      </c>
      <c r="K208" s="9">
        <f t="shared" si="24"/>
        <v>805.17098998051006</v>
      </c>
      <c r="L208" s="10">
        <f t="shared" si="21"/>
        <v>0.14995423988425685</v>
      </c>
      <c r="M208" s="10">
        <f t="shared" si="20"/>
        <v>0.16878000706107202</v>
      </c>
      <c r="P208" s="8">
        <f t="shared" si="25"/>
        <v>-2.6274422778371278</v>
      </c>
    </row>
    <row r="209" spans="1:16" x14ac:dyDescent="0.2">
      <c r="A209" s="8">
        <v>103.5</v>
      </c>
      <c r="B209" s="8">
        <v>207</v>
      </c>
      <c r="D209">
        <v>5581.1800995024996</v>
      </c>
      <c r="E209">
        <v>926.66467661692002</v>
      </c>
      <c r="F209">
        <v>146.07355864811001</v>
      </c>
      <c r="G209">
        <v>119.52286282306</v>
      </c>
      <c r="I209" s="9">
        <f t="shared" si="22"/>
        <v>807.14181379386002</v>
      </c>
      <c r="J209" s="9">
        <f t="shared" si="23"/>
        <v>5435.10654085439</v>
      </c>
      <c r="K209" s="9">
        <f t="shared" si="24"/>
        <v>807.14181379386002</v>
      </c>
      <c r="L209" s="10">
        <f t="shared" si="21"/>
        <v>0.14850524230330517</v>
      </c>
      <c r="M209" s="10">
        <f t="shared" si="20"/>
        <v>0.16742239669942527</v>
      </c>
      <c r="P209" s="8">
        <f t="shared" si="25"/>
        <v>-3.4106748158937288</v>
      </c>
    </row>
    <row r="210" spans="1:16" x14ac:dyDescent="0.2">
      <c r="A210" s="8">
        <v>104</v>
      </c>
      <c r="B210" s="8">
        <v>208</v>
      </c>
      <c r="D210">
        <v>5393.1153081511002</v>
      </c>
      <c r="E210">
        <v>909.15506958251001</v>
      </c>
      <c r="F210">
        <v>145.23558648111</v>
      </c>
      <c r="G210">
        <v>119.87773359841</v>
      </c>
      <c r="I210" s="9">
        <f t="shared" si="22"/>
        <v>789.27733598409998</v>
      </c>
      <c r="J210" s="9">
        <f t="shared" si="23"/>
        <v>5247.8797216699904</v>
      </c>
      <c r="K210" s="9">
        <f t="shared" si="24"/>
        <v>789.27733598409998</v>
      </c>
      <c r="L210" s="10">
        <f t="shared" si="21"/>
        <v>0.15039928082287196</v>
      </c>
      <c r="M210" s="10">
        <f t="shared" si="20"/>
        <v>0.169407822438297</v>
      </c>
      <c r="P210" s="8">
        <f t="shared" si="25"/>
        <v>-2.2652430451070309</v>
      </c>
    </row>
    <row r="211" spans="1:16" x14ac:dyDescent="0.2">
      <c r="A211" s="8">
        <v>104.5</v>
      </c>
      <c r="B211" s="8">
        <v>209</v>
      </c>
      <c r="D211">
        <v>5333.6928429423997</v>
      </c>
      <c r="E211">
        <v>909.62027833002003</v>
      </c>
      <c r="F211">
        <v>145.78528827037999</v>
      </c>
      <c r="G211">
        <v>119.71471172962001</v>
      </c>
      <c r="I211" s="9">
        <f t="shared" si="22"/>
        <v>789.90556660039999</v>
      </c>
      <c r="J211" s="9">
        <f t="shared" si="23"/>
        <v>5187.9075546720196</v>
      </c>
      <c r="K211" s="9">
        <f t="shared" si="24"/>
        <v>789.90556660039999</v>
      </c>
      <c r="L211" s="10">
        <f t="shared" si="21"/>
        <v>0.1522589904072294</v>
      </c>
      <c r="M211" s="10">
        <f t="shared" si="20"/>
        <v>0.17135891924195934</v>
      </c>
      <c r="P211" s="8">
        <f t="shared" si="25"/>
        <v>-1.1396163228176142</v>
      </c>
    </row>
    <row r="212" spans="1:16" x14ac:dyDescent="0.2">
      <c r="A212" s="8">
        <v>105</v>
      </c>
      <c r="B212" s="8">
        <v>210</v>
      </c>
      <c r="D212">
        <v>5016.4771371769002</v>
      </c>
      <c r="E212">
        <v>868.78330019881002</v>
      </c>
      <c r="F212">
        <v>144.89065606362001</v>
      </c>
      <c r="G212">
        <v>119.62524850894999</v>
      </c>
      <c r="I212" s="9">
        <f t="shared" si="22"/>
        <v>749.15805168986003</v>
      </c>
      <c r="J212" s="9">
        <f t="shared" si="23"/>
        <v>4871.5864811132806</v>
      </c>
      <c r="K212" s="9">
        <f t="shared" si="24"/>
        <v>749.15805168986003</v>
      </c>
      <c r="L212" s="10">
        <f t="shared" si="21"/>
        <v>0.15378112542890926</v>
      </c>
      <c r="M212" s="10">
        <f t="shared" si="20"/>
        <v>0.17297244148294413</v>
      </c>
      <c r="P212" s="8">
        <f t="shared" si="25"/>
        <v>-0.20874310932476781</v>
      </c>
    </row>
    <row r="213" spans="1:16" x14ac:dyDescent="0.2">
      <c r="A213" s="8">
        <v>105.5</v>
      </c>
      <c r="B213" s="8">
        <v>211</v>
      </c>
      <c r="D213">
        <v>4902.3280788176999</v>
      </c>
      <c r="E213">
        <v>859.54778325123004</v>
      </c>
      <c r="F213">
        <v>145.40059642147</v>
      </c>
      <c r="G213">
        <v>119.42147117296</v>
      </c>
      <c r="I213" s="9">
        <f t="shared" si="22"/>
        <v>740.12631207827008</v>
      </c>
      <c r="J213" s="9">
        <f t="shared" si="23"/>
        <v>4756.9274823962296</v>
      </c>
      <c r="K213" s="9">
        <f t="shared" si="24"/>
        <v>740.12631207827008</v>
      </c>
      <c r="L213" s="10">
        <f t="shared" si="21"/>
        <v>0.15558915178278959</v>
      </c>
      <c r="M213" s="10">
        <f t="shared" si="20"/>
        <v>0.1748718550561294</v>
      </c>
      <c r="P213" s="8">
        <f t="shared" si="25"/>
        <v>0.88706652484783066</v>
      </c>
    </row>
    <row r="214" spans="1:16" x14ac:dyDescent="0.2">
      <c r="A214" s="8">
        <v>106</v>
      </c>
      <c r="B214" s="8">
        <v>212</v>
      </c>
      <c r="D214">
        <v>4860.8740079364998</v>
      </c>
      <c r="E214">
        <v>859.36408730158996</v>
      </c>
      <c r="F214">
        <v>144.78926441351999</v>
      </c>
      <c r="G214">
        <v>119.83300198807</v>
      </c>
      <c r="I214" s="9">
        <f t="shared" si="22"/>
        <v>739.53108531351995</v>
      </c>
      <c r="J214" s="9">
        <f t="shared" si="23"/>
        <v>4716.0847435229798</v>
      </c>
      <c r="K214" s="9">
        <f t="shared" si="24"/>
        <v>739.53108531351995</v>
      </c>
      <c r="L214" s="10">
        <f t="shared" si="21"/>
        <v>0.15681038945052547</v>
      </c>
      <c r="M214" s="10">
        <f t="shared" si="20"/>
        <v>0.17618447994317021</v>
      </c>
      <c r="P214" s="8">
        <f t="shared" si="25"/>
        <v>1.6443460439479844</v>
      </c>
    </row>
    <row r="215" spans="1:16" x14ac:dyDescent="0.2">
      <c r="A215" s="8">
        <v>106.5</v>
      </c>
      <c r="B215" s="8">
        <v>213</v>
      </c>
      <c r="D215">
        <v>5132.6120434352997</v>
      </c>
      <c r="E215">
        <v>894.37314906219001</v>
      </c>
      <c r="F215">
        <v>145.00099403579</v>
      </c>
      <c r="G215">
        <v>119.61133200795</v>
      </c>
      <c r="I215" s="9">
        <f t="shared" si="22"/>
        <v>774.76181705424005</v>
      </c>
      <c r="J215" s="9">
        <f t="shared" si="23"/>
        <v>4987.6110493995093</v>
      </c>
      <c r="K215" s="9">
        <f t="shared" si="24"/>
        <v>774.76181705424005</v>
      </c>
      <c r="L215" s="10">
        <f t="shared" si="21"/>
        <v>0.15533725653036209</v>
      </c>
      <c r="M215" s="10">
        <f t="shared" si="20"/>
        <v>0.17480273424231177</v>
      </c>
      <c r="P215" s="8">
        <f t="shared" si="25"/>
        <v>0.84718934655843359</v>
      </c>
    </row>
    <row r="216" spans="1:16" x14ac:dyDescent="0.2">
      <c r="A216" s="8">
        <v>107</v>
      </c>
      <c r="B216" s="8">
        <v>214</v>
      </c>
      <c r="D216">
        <v>5366.3201970442997</v>
      </c>
      <c r="E216">
        <v>917.54187192118002</v>
      </c>
      <c r="F216">
        <v>145.05765407555</v>
      </c>
      <c r="G216">
        <v>119.55168986084</v>
      </c>
      <c r="I216" s="9">
        <f t="shared" si="22"/>
        <v>797.99018206033998</v>
      </c>
      <c r="J216" s="9">
        <f t="shared" si="23"/>
        <v>5221.2625429687496</v>
      </c>
      <c r="K216" s="9">
        <f t="shared" si="24"/>
        <v>797.99018206033998</v>
      </c>
      <c r="L216" s="10">
        <f t="shared" si="21"/>
        <v>0.15283471679373012</v>
      </c>
      <c r="M216" s="10">
        <f t="shared" si="20"/>
        <v>0.1723915817249847</v>
      </c>
      <c r="P216" s="8">
        <f t="shared" si="25"/>
        <v>-0.54385270728752144</v>
      </c>
    </row>
    <row r="217" spans="1:16" x14ac:dyDescent="0.2">
      <c r="A217" s="8">
        <v>107.5</v>
      </c>
      <c r="B217" s="8">
        <v>215</v>
      </c>
      <c r="D217">
        <v>5363.5408866995003</v>
      </c>
      <c r="E217">
        <v>916.15467980296</v>
      </c>
      <c r="F217">
        <v>145.67495029821001</v>
      </c>
      <c r="G217">
        <v>119.99602385686001</v>
      </c>
      <c r="I217" s="9">
        <f t="shared" si="22"/>
        <v>796.1586559461</v>
      </c>
      <c r="J217" s="9">
        <f t="shared" si="23"/>
        <v>5217.8659364012901</v>
      </c>
      <c r="K217" s="9">
        <f t="shared" si="24"/>
        <v>796.1586559461</v>
      </c>
      <c r="L217" s="10">
        <f t="shared" si="21"/>
        <v>0.15258319505525714</v>
      </c>
      <c r="M217" s="10">
        <f t="shared" si="20"/>
        <v>0.17223144720581665</v>
      </c>
      <c r="P217" s="8">
        <f t="shared" si="25"/>
        <v>-0.63623751033685094</v>
      </c>
    </row>
    <row r="218" spans="1:16" x14ac:dyDescent="0.2">
      <c r="A218" s="8">
        <v>108</v>
      </c>
      <c r="B218" s="8">
        <v>216</v>
      </c>
      <c r="D218">
        <v>5460.7684729064003</v>
      </c>
      <c r="E218">
        <v>927.05714285713998</v>
      </c>
      <c r="F218">
        <v>146.24055666004</v>
      </c>
      <c r="G218">
        <v>119.50397614313999</v>
      </c>
      <c r="I218" s="9">
        <f t="shared" si="22"/>
        <v>807.55316671399999</v>
      </c>
      <c r="J218" s="9">
        <f t="shared" si="23"/>
        <v>5314.5279162463603</v>
      </c>
      <c r="K218" s="9">
        <f t="shared" si="24"/>
        <v>807.55316671399999</v>
      </c>
      <c r="L218" s="10">
        <f t="shared" si="21"/>
        <v>0.15195200391088981</v>
      </c>
      <c r="M218" s="10">
        <f t="shared" si="20"/>
        <v>0.17169164328075426</v>
      </c>
      <c r="P218" s="8">
        <f t="shared" si="25"/>
        <v>-0.94766117814585082</v>
      </c>
    </row>
    <row r="219" spans="1:16" x14ac:dyDescent="0.2">
      <c r="A219" s="8">
        <v>108.5</v>
      </c>
      <c r="B219" s="8">
        <v>217</v>
      </c>
      <c r="D219">
        <v>5422.8886699507002</v>
      </c>
      <c r="E219">
        <v>920.08472906403995</v>
      </c>
      <c r="F219">
        <v>145.30417495029999</v>
      </c>
      <c r="G219">
        <v>119.71968190855</v>
      </c>
      <c r="I219" s="9">
        <f t="shared" si="22"/>
        <v>800.36504715548995</v>
      </c>
      <c r="J219" s="9">
        <f t="shared" si="23"/>
        <v>5277.5844950004002</v>
      </c>
      <c r="K219" s="9">
        <f t="shared" si="24"/>
        <v>800.36504715548995</v>
      </c>
      <c r="L219" s="10">
        <f t="shared" si="21"/>
        <v>0.15165366805850244</v>
      </c>
      <c r="M219" s="10">
        <f t="shared" si="20"/>
        <v>0.17148469464767183</v>
      </c>
      <c r="P219" s="8">
        <f t="shared" si="25"/>
        <v>-1.0670539786986455</v>
      </c>
    </row>
    <row r="220" spans="1:16" x14ac:dyDescent="0.2">
      <c r="A220" s="8">
        <v>109</v>
      </c>
      <c r="B220" s="8">
        <v>218</v>
      </c>
      <c r="D220">
        <v>5512.8807881773</v>
      </c>
      <c r="E220">
        <v>932.62955665025004</v>
      </c>
      <c r="F220">
        <v>145.70775347912999</v>
      </c>
      <c r="G220">
        <v>119.64910536779</v>
      </c>
      <c r="I220" s="9">
        <f t="shared" si="22"/>
        <v>812.98045128246008</v>
      </c>
      <c r="J220" s="9">
        <f t="shared" si="23"/>
        <v>5367.1730346981703</v>
      </c>
      <c r="K220" s="9">
        <f t="shared" si="24"/>
        <v>812.98045128246008</v>
      </c>
      <c r="L220" s="10">
        <f t="shared" si="21"/>
        <v>0.15147274850775871</v>
      </c>
      <c r="M220" s="10">
        <f t="shared" si="20"/>
        <v>0.17139516231623303</v>
      </c>
      <c r="P220" s="8">
        <f t="shared" si="25"/>
        <v>-1.1187069692561673</v>
      </c>
    </row>
    <row r="221" spans="1:16" x14ac:dyDescent="0.2">
      <c r="A221" s="8">
        <v>109.5</v>
      </c>
      <c r="B221" s="8">
        <v>219</v>
      </c>
      <c r="D221">
        <v>5441.0926108373997</v>
      </c>
      <c r="E221">
        <v>917.76847290640001</v>
      </c>
      <c r="F221">
        <v>145.80616302186999</v>
      </c>
      <c r="G221">
        <v>119.3449304175</v>
      </c>
      <c r="I221" s="9">
        <f t="shared" si="22"/>
        <v>798.42354248890001</v>
      </c>
      <c r="J221" s="9">
        <f t="shared" si="23"/>
        <v>5295.2864478155298</v>
      </c>
      <c r="K221" s="9">
        <f t="shared" si="24"/>
        <v>798.42354248890001</v>
      </c>
      <c r="L221" s="10">
        <f t="shared" si="21"/>
        <v>0.15078004756820559</v>
      </c>
      <c r="M221" s="10">
        <f t="shared" si="20"/>
        <v>0.17079384859598484</v>
      </c>
      <c r="P221" s="8">
        <f t="shared" si="25"/>
        <v>-1.4656168666636757</v>
      </c>
    </row>
    <row r="222" spans="1:16" x14ac:dyDescent="0.2">
      <c r="A222" s="8">
        <v>110</v>
      </c>
      <c r="B222" s="8">
        <v>220</v>
      </c>
      <c r="D222">
        <v>5580.8608349900996</v>
      </c>
      <c r="E222">
        <v>926.61829025844997</v>
      </c>
      <c r="F222">
        <v>145.84791252484999</v>
      </c>
      <c r="G222">
        <v>119.41351888668</v>
      </c>
      <c r="I222" s="9">
        <f t="shared" si="22"/>
        <v>807.20477137176999</v>
      </c>
      <c r="J222" s="9">
        <f t="shared" si="23"/>
        <v>5435.0129224652501</v>
      </c>
      <c r="K222" s="9">
        <f t="shared" si="24"/>
        <v>807.20477137176999</v>
      </c>
      <c r="L222" s="10">
        <f t="shared" si="21"/>
        <v>0.14851938401751447</v>
      </c>
      <c r="M222" s="10">
        <f t="shared" si="20"/>
        <v>0.16862457226459862</v>
      </c>
      <c r="P222" s="8">
        <f t="shared" si="25"/>
        <v>-2.7171157169794897</v>
      </c>
    </row>
    <row r="223" spans="1:16" x14ac:dyDescent="0.2">
      <c r="A223" s="8">
        <v>110.5</v>
      </c>
      <c r="B223" s="8">
        <v>221</v>
      </c>
      <c r="D223">
        <v>5374.1073558648004</v>
      </c>
      <c r="E223">
        <v>899.60636182902999</v>
      </c>
      <c r="F223">
        <v>145.8787276342</v>
      </c>
      <c r="G223">
        <v>119.36978131213</v>
      </c>
      <c r="I223" s="9">
        <f t="shared" si="22"/>
        <v>780.23658051689995</v>
      </c>
      <c r="J223" s="9">
        <f t="shared" si="23"/>
        <v>5228.2286282306004</v>
      </c>
      <c r="K223" s="9">
        <f t="shared" si="24"/>
        <v>780.23658051689995</v>
      </c>
      <c r="L223" s="10">
        <f t="shared" si="21"/>
        <v>0.1492353598126708</v>
      </c>
      <c r="M223" s="10">
        <f t="shared" si="20"/>
        <v>0.16943193527905989</v>
      </c>
      <c r="P223" s="8">
        <f t="shared" si="25"/>
        <v>-2.2513318655786354</v>
      </c>
    </row>
    <row r="224" spans="1:16" x14ac:dyDescent="0.2">
      <c r="A224" s="8">
        <v>111</v>
      </c>
      <c r="B224" s="8">
        <v>222</v>
      </c>
      <c r="D224">
        <v>5439.7044776119001</v>
      </c>
      <c r="E224">
        <v>915.85771144278999</v>
      </c>
      <c r="F224">
        <v>145.13021868787001</v>
      </c>
      <c r="G224">
        <v>119.43141153082</v>
      </c>
      <c r="I224" s="9">
        <f t="shared" si="22"/>
        <v>796.42629991196998</v>
      </c>
      <c r="J224" s="9">
        <f t="shared" si="23"/>
        <v>5294.5742589240299</v>
      </c>
      <c r="K224" s="9">
        <f t="shared" si="24"/>
        <v>796.42629991196998</v>
      </c>
      <c r="L224" s="10">
        <f t="shared" si="21"/>
        <v>0.15042310504373221</v>
      </c>
      <c r="M224" s="10">
        <f t="shared" si="20"/>
        <v>0.17071106772942624</v>
      </c>
      <c r="P224" s="8">
        <f t="shared" si="25"/>
        <v>-1.5133748022605853</v>
      </c>
    </row>
    <row r="225" spans="1:16" x14ac:dyDescent="0.2">
      <c r="A225" s="8">
        <v>111.5</v>
      </c>
      <c r="B225" s="8">
        <v>223</v>
      </c>
      <c r="D225">
        <v>5352.6252485089999</v>
      </c>
      <c r="E225">
        <v>904.77335984094998</v>
      </c>
      <c r="F225">
        <v>145.11431411531001</v>
      </c>
      <c r="G225">
        <v>118.90755467197</v>
      </c>
      <c r="I225" s="9">
        <f t="shared" si="22"/>
        <v>785.86580516897993</v>
      </c>
      <c r="J225" s="9">
        <f t="shared" si="23"/>
        <v>5207.5109343936901</v>
      </c>
      <c r="K225" s="9">
        <f t="shared" si="24"/>
        <v>785.86580516897993</v>
      </c>
      <c r="L225" s="10">
        <f t="shared" si="21"/>
        <v>0.15091006338145657</v>
      </c>
      <c r="M225" s="10">
        <f t="shared" si="20"/>
        <v>0.17128941328645553</v>
      </c>
      <c r="P225" s="8">
        <f t="shared" si="25"/>
        <v>-1.1797156970395866</v>
      </c>
    </row>
    <row r="226" spans="1:16" x14ac:dyDescent="0.2">
      <c r="A226" s="8">
        <v>112</v>
      </c>
      <c r="B226" s="8">
        <v>224</v>
      </c>
      <c r="D226">
        <v>5139.7970443349996</v>
      </c>
      <c r="E226">
        <v>870.99507389163</v>
      </c>
      <c r="F226">
        <v>144.52882703776999</v>
      </c>
      <c r="G226">
        <v>119.21371769384</v>
      </c>
      <c r="I226" s="9">
        <f t="shared" si="22"/>
        <v>751.78135619779005</v>
      </c>
      <c r="J226" s="9">
        <f t="shared" si="23"/>
        <v>4995.26821729723</v>
      </c>
      <c r="K226" s="9">
        <f t="shared" si="24"/>
        <v>751.78135619779005</v>
      </c>
      <c r="L226" s="10">
        <f t="shared" si="21"/>
        <v>0.15049869666549226</v>
      </c>
      <c r="M226" s="10">
        <f t="shared" si="20"/>
        <v>0.17096943378979612</v>
      </c>
      <c r="P226" s="8">
        <f t="shared" si="25"/>
        <v>-1.3643182607609081</v>
      </c>
    </row>
    <row r="227" spans="1:16" x14ac:dyDescent="0.2">
      <c r="A227" s="8">
        <v>112.5</v>
      </c>
      <c r="B227" s="8">
        <v>225</v>
      </c>
      <c r="D227">
        <v>5200.3820335637001</v>
      </c>
      <c r="E227">
        <v>885.62882527146996</v>
      </c>
      <c r="F227">
        <v>145.57753479125</v>
      </c>
      <c r="G227">
        <v>118.9393638171</v>
      </c>
      <c r="I227" s="9">
        <f t="shared" si="22"/>
        <v>766.68946145436996</v>
      </c>
      <c r="J227" s="9">
        <f t="shared" si="23"/>
        <v>5054.8044987724497</v>
      </c>
      <c r="K227" s="9">
        <f t="shared" si="24"/>
        <v>766.68946145436996</v>
      </c>
      <c r="L227" s="10">
        <f t="shared" si="21"/>
        <v>0.15167539350741638</v>
      </c>
      <c r="M227" s="10">
        <f t="shared" si="20"/>
        <v>0.17223751785102517</v>
      </c>
      <c r="P227" s="8">
        <f t="shared" si="25"/>
        <v>-0.63273523384527719</v>
      </c>
    </row>
    <row r="228" spans="1:16" x14ac:dyDescent="0.2">
      <c r="A228" s="8">
        <v>113</v>
      </c>
      <c r="B228" s="8">
        <v>226</v>
      </c>
      <c r="D228">
        <v>5154.6426456071003</v>
      </c>
      <c r="E228">
        <v>871.21717670286</v>
      </c>
      <c r="F228">
        <v>145.13320079523001</v>
      </c>
      <c r="G228">
        <v>119.3717693837</v>
      </c>
      <c r="I228" s="9">
        <f t="shared" si="22"/>
        <v>751.84540731916002</v>
      </c>
      <c r="J228" s="9">
        <f t="shared" si="23"/>
        <v>5009.5094448118707</v>
      </c>
      <c r="K228" s="9">
        <f t="shared" si="24"/>
        <v>751.84540731916002</v>
      </c>
      <c r="L228" s="10">
        <f t="shared" si="21"/>
        <v>0.15008363904729502</v>
      </c>
      <c r="M228" s="10">
        <f t="shared" si="20"/>
        <v>0.17073715061020875</v>
      </c>
      <c r="P228" s="8">
        <f t="shared" si="25"/>
        <v>-1.4983270672901954</v>
      </c>
    </row>
    <row r="229" spans="1:16" x14ac:dyDescent="0.2">
      <c r="A229" s="8">
        <v>113.5</v>
      </c>
      <c r="B229" s="8">
        <v>227</v>
      </c>
      <c r="D229">
        <v>5250.6726013848001</v>
      </c>
      <c r="E229">
        <v>887.52621167160999</v>
      </c>
      <c r="F229">
        <v>144.36878727633999</v>
      </c>
      <c r="G229">
        <v>119.20178926441</v>
      </c>
      <c r="I229" s="9">
        <f t="shared" si="22"/>
        <v>768.32442240720002</v>
      </c>
      <c r="J229" s="9">
        <f t="shared" si="23"/>
        <v>5106.3038141084598</v>
      </c>
      <c r="K229" s="9">
        <f t="shared" si="24"/>
        <v>768.32442240720002</v>
      </c>
      <c r="L229" s="10">
        <f t="shared" si="21"/>
        <v>0.15046586540431817</v>
      </c>
      <c r="M229" s="10">
        <f t="shared" si="20"/>
        <v>0.17121076418653683</v>
      </c>
      <c r="P229" s="8">
        <f t="shared" si="25"/>
        <v>-1.2250899339233339</v>
      </c>
    </row>
    <row r="230" spans="1:16" x14ac:dyDescent="0.2">
      <c r="A230" s="8">
        <v>114</v>
      </c>
      <c r="B230" s="8">
        <v>228</v>
      </c>
      <c r="D230">
        <v>5348.8506429278004</v>
      </c>
      <c r="E230">
        <v>905.16815034619003</v>
      </c>
      <c r="F230">
        <v>144.99801192843</v>
      </c>
      <c r="G230">
        <v>119.05168986084</v>
      </c>
      <c r="I230" s="9">
        <f t="shared" si="22"/>
        <v>786.11646048534999</v>
      </c>
      <c r="J230" s="9">
        <f t="shared" si="23"/>
        <v>5203.8526309993704</v>
      </c>
      <c r="K230" s="9">
        <f t="shared" si="24"/>
        <v>786.11646048534999</v>
      </c>
      <c r="L230" s="10">
        <f t="shared" si="21"/>
        <v>0.15106432026965005</v>
      </c>
      <c r="M230" s="10">
        <f t="shared" si="20"/>
        <v>0.17190060627117365</v>
      </c>
      <c r="P230" s="8">
        <f t="shared" si="25"/>
        <v>-0.82710625460537779</v>
      </c>
    </row>
    <row r="231" spans="1:16" x14ac:dyDescent="0.2">
      <c r="A231" s="8">
        <v>114.5</v>
      </c>
      <c r="B231" s="8">
        <v>229</v>
      </c>
      <c r="D231">
        <v>5347.8021760633001</v>
      </c>
      <c r="E231">
        <v>909.05539070227996</v>
      </c>
      <c r="F231">
        <v>145.00994035785001</v>
      </c>
      <c r="G231">
        <v>119.43538767395999</v>
      </c>
      <c r="I231" s="9">
        <f t="shared" si="22"/>
        <v>789.62000302831996</v>
      </c>
      <c r="J231" s="9">
        <f t="shared" si="23"/>
        <v>5202.7922357054504</v>
      </c>
      <c r="K231" s="9">
        <f t="shared" si="24"/>
        <v>789.62000302831996</v>
      </c>
      <c r="L231" s="10">
        <f t="shared" si="21"/>
        <v>0.1517685056899557</v>
      </c>
      <c r="M231" s="10">
        <f t="shared" si="20"/>
        <v>0.1726961789107842</v>
      </c>
      <c r="P231" s="8">
        <f t="shared" si="25"/>
        <v>-0.36812450598736074</v>
      </c>
    </row>
    <row r="232" spans="1:16" x14ac:dyDescent="0.2">
      <c r="A232" s="8">
        <v>115</v>
      </c>
      <c r="B232" s="8">
        <v>230</v>
      </c>
      <c r="D232">
        <v>5182.5222551929</v>
      </c>
      <c r="E232">
        <v>888.05143422354001</v>
      </c>
      <c r="F232">
        <v>144.76341948309999</v>
      </c>
      <c r="G232">
        <v>119.45427435388</v>
      </c>
      <c r="I232" s="9">
        <f t="shared" si="22"/>
        <v>768.59715986966</v>
      </c>
      <c r="J232" s="9">
        <f t="shared" si="23"/>
        <v>5037.7588357098002</v>
      </c>
      <c r="K232" s="9">
        <f t="shared" si="24"/>
        <v>768.59715986966</v>
      </c>
      <c r="L232" s="10">
        <f t="shared" si="21"/>
        <v>0.15256727940637271</v>
      </c>
      <c r="M232" s="10">
        <f t="shared" si="20"/>
        <v>0.17358633984650615</v>
      </c>
      <c r="P232" s="8">
        <f t="shared" si="25"/>
        <v>0.14542712020872067</v>
      </c>
    </row>
    <row r="233" spans="1:16" x14ac:dyDescent="0.2">
      <c r="A233" s="8">
        <v>115.5</v>
      </c>
      <c r="B233" s="8">
        <v>231</v>
      </c>
      <c r="D233">
        <v>5159.1839762610998</v>
      </c>
      <c r="E233">
        <v>893.83481701285996</v>
      </c>
      <c r="F233">
        <v>144.22365805168999</v>
      </c>
      <c r="G233">
        <v>119.34691848907001</v>
      </c>
      <c r="I233" s="9">
        <f t="shared" si="22"/>
        <v>774.48789852378991</v>
      </c>
      <c r="J233" s="9">
        <f t="shared" si="23"/>
        <v>5014.9603182094097</v>
      </c>
      <c r="K233" s="9">
        <f t="shared" si="24"/>
        <v>774.48789852378991</v>
      </c>
      <c r="L233" s="10">
        <f t="shared" si="21"/>
        <v>0.15443549886359234</v>
      </c>
      <c r="M233" s="10">
        <f t="shared" si="20"/>
        <v>0.17554594652303071</v>
      </c>
      <c r="P233" s="8">
        <f t="shared" si="25"/>
        <v>1.2759633581505727</v>
      </c>
    </row>
    <row r="234" spans="1:16" x14ac:dyDescent="0.2">
      <c r="A234" s="8">
        <v>116</v>
      </c>
      <c r="B234" s="8">
        <v>232</v>
      </c>
      <c r="D234">
        <v>5012.0751730959</v>
      </c>
      <c r="E234">
        <v>873.21562809099999</v>
      </c>
      <c r="F234">
        <v>144.8986083499</v>
      </c>
      <c r="G234">
        <v>118.86083499006</v>
      </c>
      <c r="I234" s="9">
        <f t="shared" si="22"/>
        <v>754.35479310094001</v>
      </c>
      <c r="J234" s="9">
        <f t="shared" si="23"/>
        <v>4867.1765647459997</v>
      </c>
      <c r="K234" s="9">
        <f t="shared" si="24"/>
        <v>754.35479310094001</v>
      </c>
      <c r="L234" s="10">
        <f t="shared" si="21"/>
        <v>0.15498817087608718</v>
      </c>
      <c r="M234" s="10">
        <f t="shared" si="20"/>
        <v>0.17619000575483049</v>
      </c>
      <c r="P234" s="8">
        <f t="shared" si="25"/>
        <v>1.6475339950816581</v>
      </c>
    </row>
    <row r="235" spans="1:16" x14ac:dyDescent="0.2">
      <c r="A235" s="8">
        <v>116.5</v>
      </c>
      <c r="B235" s="8">
        <v>233</v>
      </c>
      <c r="D235">
        <v>5121.5202769534999</v>
      </c>
      <c r="E235">
        <v>875.73590504450999</v>
      </c>
      <c r="F235">
        <v>144.45129224652001</v>
      </c>
      <c r="G235">
        <v>119.37574552684001</v>
      </c>
      <c r="I235" s="9">
        <f t="shared" si="22"/>
        <v>756.36015951767001</v>
      </c>
      <c r="J235" s="9">
        <f t="shared" si="23"/>
        <v>4977.0689847069798</v>
      </c>
      <c r="K235" s="9">
        <f t="shared" si="24"/>
        <v>756.36015951767001</v>
      </c>
      <c r="L235" s="10">
        <f t="shared" si="21"/>
        <v>0.15196899256203497</v>
      </c>
      <c r="M235" s="10">
        <f t="shared" si="20"/>
        <v>0.17326221466008321</v>
      </c>
      <c r="P235" s="8">
        <f t="shared" si="25"/>
        <v>-4.1567174753919758E-2</v>
      </c>
    </row>
    <row r="236" spans="1:16" x14ac:dyDescent="0.2">
      <c r="A236" s="8">
        <v>117</v>
      </c>
      <c r="B236" s="8">
        <v>234</v>
      </c>
      <c r="D236">
        <v>5358.5184815185003</v>
      </c>
      <c r="E236">
        <v>912.82617382617002</v>
      </c>
      <c r="F236">
        <v>144.96023856859</v>
      </c>
      <c r="G236">
        <v>119.09145129225</v>
      </c>
      <c r="I236" s="9">
        <f t="shared" si="22"/>
        <v>793.73472253392003</v>
      </c>
      <c r="J236" s="9">
        <f t="shared" si="23"/>
        <v>5213.55824294991</v>
      </c>
      <c r="K236" s="9">
        <f t="shared" si="24"/>
        <v>793.73472253392003</v>
      </c>
      <c r="L236" s="10">
        <f t="shared" si="21"/>
        <v>0.15224433784877273</v>
      </c>
      <c r="M236" s="10">
        <f t="shared" si="20"/>
        <v>0.17362894716612587</v>
      </c>
      <c r="P236" s="8">
        <f t="shared" si="25"/>
        <v>0.17000813404619836</v>
      </c>
    </row>
    <row r="237" spans="1:16" x14ac:dyDescent="0.2">
      <c r="A237" s="8">
        <v>117.5</v>
      </c>
      <c r="B237" s="8">
        <v>235</v>
      </c>
      <c r="D237">
        <v>5380.5844155843997</v>
      </c>
      <c r="E237">
        <v>907.95204795204995</v>
      </c>
      <c r="F237">
        <v>144.69781312127</v>
      </c>
      <c r="G237">
        <v>119.24751491054</v>
      </c>
      <c r="I237" s="9">
        <f t="shared" si="22"/>
        <v>788.70453304150999</v>
      </c>
      <c r="J237" s="9">
        <f t="shared" si="23"/>
        <v>5235.8866024631297</v>
      </c>
      <c r="K237" s="9">
        <f t="shared" si="24"/>
        <v>788.70453304150999</v>
      </c>
      <c r="L237" s="10">
        <f t="shared" si="21"/>
        <v>0.15063438017746181</v>
      </c>
      <c r="M237" s="10">
        <f t="shared" si="20"/>
        <v>0.17211037671411988</v>
      </c>
      <c r="P237" s="8">
        <f t="shared" si="25"/>
        <v>-0.70608549557202382</v>
      </c>
    </row>
    <row r="238" spans="1:16" x14ac:dyDescent="0.2">
      <c r="A238" s="8">
        <v>118</v>
      </c>
      <c r="B238" s="8">
        <v>236</v>
      </c>
      <c r="D238">
        <v>5416.6313686313997</v>
      </c>
      <c r="E238">
        <v>908.88811188810996</v>
      </c>
      <c r="F238">
        <v>144.86381709742</v>
      </c>
      <c r="G238">
        <v>119.4125248509</v>
      </c>
      <c r="I238" s="9">
        <f t="shared" si="22"/>
        <v>789.47558703720995</v>
      </c>
      <c r="J238" s="9">
        <f t="shared" si="23"/>
        <v>5271.7675515339797</v>
      </c>
      <c r="K238" s="9">
        <f t="shared" si="24"/>
        <v>789.47558703720995</v>
      </c>
      <c r="L238" s="10">
        <f t="shared" si="21"/>
        <v>0.14975538646568137</v>
      </c>
      <c r="M238" s="10">
        <f t="shared" si="20"/>
        <v>0.17132277022164438</v>
      </c>
      <c r="P238" s="8">
        <f t="shared" si="25"/>
        <v>-1.1604714147713915</v>
      </c>
    </row>
    <row r="239" spans="1:16" x14ac:dyDescent="0.2">
      <c r="A239" s="8">
        <v>118.5</v>
      </c>
      <c r="B239" s="8">
        <v>237</v>
      </c>
      <c r="D239">
        <v>5365.8991008990997</v>
      </c>
      <c r="E239">
        <v>899.34465534466005</v>
      </c>
      <c r="F239">
        <v>144.38767395625999</v>
      </c>
      <c r="G239">
        <v>119.51888667992</v>
      </c>
      <c r="I239" s="9">
        <f t="shared" si="22"/>
        <v>779.82576866474005</v>
      </c>
      <c r="J239" s="9">
        <f t="shared" si="23"/>
        <v>5221.5114269428395</v>
      </c>
      <c r="K239" s="9">
        <f t="shared" si="24"/>
        <v>779.82576866474005</v>
      </c>
      <c r="L239" s="10">
        <f t="shared" si="21"/>
        <v>0.14934866648780329</v>
      </c>
      <c r="M239" s="10">
        <f t="shared" si="20"/>
        <v>0.17100743746307123</v>
      </c>
      <c r="P239" s="8">
        <f t="shared" si="25"/>
        <v>-1.3423931824647806</v>
      </c>
    </row>
    <row r="240" spans="1:16" x14ac:dyDescent="0.2">
      <c r="A240" s="8">
        <v>119</v>
      </c>
      <c r="B240" s="8">
        <v>238</v>
      </c>
      <c r="D240">
        <v>5324.0019980019997</v>
      </c>
      <c r="E240">
        <v>892.73326673327006</v>
      </c>
      <c r="F240">
        <v>144.93538767396001</v>
      </c>
      <c r="G240">
        <v>119.42147117296</v>
      </c>
      <c r="I240" s="9">
        <f t="shared" si="22"/>
        <v>773.31179556031009</v>
      </c>
      <c r="J240" s="9">
        <f t="shared" si="23"/>
        <v>5179.06661032804</v>
      </c>
      <c r="K240" s="9">
        <f t="shared" si="24"/>
        <v>773.31179556031009</v>
      </c>
      <c r="L240" s="10">
        <f t="shared" si="21"/>
        <v>0.14931489662986375</v>
      </c>
      <c r="M240" s="10">
        <f t="shared" si="20"/>
        <v>0.17106505482443662</v>
      </c>
      <c r="P240" s="8">
        <f t="shared" si="25"/>
        <v>-1.3091525756948077</v>
      </c>
    </row>
    <row r="241" spans="1:16" x14ac:dyDescent="0.2">
      <c r="A241" s="8">
        <v>119.5</v>
      </c>
      <c r="B241" s="8">
        <v>239</v>
      </c>
      <c r="D241">
        <v>5256.9753208292004</v>
      </c>
      <c r="E241">
        <v>883.51431391904998</v>
      </c>
      <c r="F241">
        <v>144.40755467196999</v>
      </c>
      <c r="G241">
        <v>119.48310139165</v>
      </c>
      <c r="I241" s="9">
        <f t="shared" si="22"/>
        <v>764.03121252739993</v>
      </c>
      <c r="J241" s="9">
        <f t="shared" si="23"/>
        <v>5112.5677661572308</v>
      </c>
      <c r="K241" s="9">
        <f t="shared" si="24"/>
        <v>764.03121252739993</v>
      </c>
      <c r="L241" s="10">
        <f t="shared" si="21"/>
        <v>0.14944177710169898</v>
      </c>
      <c r="M241" s="10">
        <f t="shared" si="20"/>
        <v>0.17128332251557676</v>
      </c>
      <c r="P241" s="8">
        <f t="shared" si="25"/>
        <v>-1.1832295844323648</v>
      </c>
    </row>
    <row r="242" spans="1:16" x14ac:dyDescent="0.2">
      <c r="A242" s="8">
        <v>120</v>
      </c>
      <c r="B242" s="8">
        <v>240</v>
      </c>
      <c r="D242">
        <v>5243.1076011845998</v>
      </c>
      <c r="E242">
        <v>876.71865745311004</v>
      </c>
      <c r="F242">
        <v>144.83996023857</v>
      </c>
      <c r="G242">
        <v>119.32902584493</v>
      </c>
      <c r="I242" s="9">
        <f>E242-G242</f>
        <v>757.38963160818003</v>
      </c>
      <c r="J242" s="9">
        <f>D242-F242</f>
        <v>5098.26764094603</v>
      </c>
      <c r="K242" s="9">
        <f t="shared" si="24"/>
        <v>757.38963160818003</v>
      </c>
      <c r="L242" s="10">
        <f t="shared" si="21"/>
        <v>0.14855823290352788</v>
      </c>
      <c r="M242" s="10">
        <f>L242+ABS($N$2)*A242</f>
        <v>0.17049116553671059</v>
      </c>
      <c r="O242" s="11"/>
      <c r="P242" s="8">
        <f>(M242-$O$2)/$O$2*100</f>
        <v>-1.6402407701337007</v>
      </c>
    </row>
    <row r="243" spans="1:16" x14ac:dyDescent="0.2">
      <c r="A243" s="8">
        <v>120.5</v>
      </c>
      <c r="B243" s="8">
        <v>241</v>
      </c>
      <c r="D243">
        <v>5105.7305034551</v>
      </c>
      <c r="E243">
        <v>863.69693978281998</v>
      </c>
      <c r="F243">
        <v>144.09443339960001</v>
      </c>
      <c r="G243">
        <v>119.30815109344</v>
      </c>
      <c r="I243" s="9">
        <f t="shared" ref="I243:I274" si="26">E243-G243</f>
        <v>744.38878868938002</v>
      </c>
      <c r="J243" s="9">
        <f t="shared" ref="J243:J274" si="27">D243-F243</f>
        <v>4961.6360700554997</v>
      </c>
      <c r="K243" s="9">
        <f t="shared" si="24"/>
        <v>744.38878868938002</v>
      </c>
      <c r="L243" s="10">
        <f t="shared" si="21"/>
        <v>0.15002889735946584</v>
      </c>
      <c r="M243" s="10">
        <f t="shared" ref="M243:M274" si="28">L243+ABS($N$2)*A243</f>
        <v>0.17205321721195349</v>
      </c>
      <c r="P243" s="8">
        <f t="shared" ref="P243:P274" si="29">(M243-$O$2)/$O$2*100</f>
        <v>-0.73906195422362964</v>
      </c>
    </row>
    <row r="244" spans="1:16" x14ac:dyDescent="0.2">
      <c r="A244" s="8">
        <v>121</v>
      </c>
      <c r="B244" s="8">
        <v>242</v>
      </c>
      <c r="D244">
        <v>4946.4001976284999</v>
      </c>
      <c r="E244">
        <v>845.75098814229</v>
      </c>
      <c r="F244">
        <v>144.34890656063999</v>
      </c>
      <c r="G244">
        <v>118.91650099404001</v>
      </c>
      <c r="I244" s="9">
        <f t="shared" si="26"/>
        <v>726.83448714824999</v>
      </c>
      <c r="J244" s="9">
        <f t="shared" si="27"/>
        <v>4802.0512910678599</v>
      </c>
      <c r="K244" s="9">
        <f t="shared" si="24"/>
        <v>726.83448714824999</v>
      </c>
      <c r="L244" s="10">
        <f t="shared" si="21"/>
        <v>0.15135916779985489</v>
      </c>
      <c r="M244" s="10">
        <f t="shared" si="28"/>
        <v>0.17347487487164748</v>
      </c>
      <c r="N244" s="1"/>
      <c r="P244" s="8">
        <f t="shared" si="29"/>
        <v>8.1120749522895802E-2</v>
      </c>
    </row>
    <row r="245" spans="1:16" x14ac:dyDescent="0.2">
      <c r="A245" s="8">
        <v>121.5</v>
      </c>
      <c r="B245" s="8">
        <v>243</v>
      </c>
      <c r="D245">
        <v>4831.0889328063004</v>
      </c>
      <c r="E245">
        <v>831.80731225295995</v>
      </c>
      <c r="F245">
        <v>144.15308151093001</v>
      </c>
      <c r="G245">
        <v>118.82803180915</v>
      </c>
      <c r="I245" s="9">
        <f t="shared" si="26"/>
        <v>712.9792804438099</v>
      </c>
      <c r="J245" s="9">
        <f t="shared" si="27"/>
        <v>4686.9358512953704</v>
      </c>
      <c r="K245" s="9">
        <f t="shared" si="24"/>
        <v>712.9792804438099</v>
      </c>
      <c r="L245" s="10">
        <f t="shared" si="21"/>
        <v>0.15212055446561262</v>
      </c>
      <c r="M245" s="10">
        <f t="shared" si="28"/>
        <v>0.17432764875671014</v>
      </c>
      <c r="P245" s="8">
        <f t="shared" si="29"/>
        <v>0.57310303932793716</v>
      </c>
    </row>
    <row r="246" spans="1:16" x14ac:dyDescent="0.2">
      <c r="A246" s="8">
        <v>122</v>
      </c>
      <c r="B246" s="8">
        <v>244</v>
      </c>
      <c r="D246">
        <v>4819.4584980236996</v>
      </c>
      <c r="E246">
        <v>825.29644268774996</v>
      </c>
      <c r="F246">
        <v>144.43836978131</v>
      </c>
      <c r="G246">
        <v>119.1083499006</v>
      </c>
      <c r="I246" s="9">
        <f t="shared" si="26"/>
        <v>706.18809278714991</v>
      </c>
      <c r="J246" s="9">
        <f t="shared" si="27"/>
        <v>4675.0201282423895</v>
      </c>
      <c r="K246" s="9">
        <f t="shared" si="24"/>
        <v>706.18809278714991</v>
      </c>
      <c r="L246" s="10">
        <f t="shared" si="21"/>
        <v>0.15105562616104648</v>
      </c>
      <c r="M246" s="10">
        <f t="shared" si="28"/>
        <v>0.17335410767144893</v>
      </c>
      <c r="P246" s="8">
        <f t="shared" si="29"/>
        <v>1.1447739211776133E-2</v>
      </c>
    </row>
    <row r="247" spans="1:16" x14ac:dyDescent="0.2">
      <c r="A247" s="8">
        <v>122.5</v>
      </c>
      <c r="B247" s="8">
        <v>245</v>
      </c>
      <c r="D247">
        <v>4769.5098814229004</v>
      </c>
      <c r="E247">
        <v>824.29940711462996</v>
      </c>
      <c r="F247">
        <v>144.05268389662001</v>
      </c>
      <c r="G247">
        <v>118.4393638171</v>
      </c>
      <c r="I247" s="9">
        <f t="shared" si="26"/>
        <v>705.86004329752996</v>
      </c>
      <c r="J247" s="9">
        <f t="shared" si="27"/>
        <v>4625.4571975262807</v>
      </c>
      <c r="K247" s="9">
        <f t="shared" si="24"/>
        <v>705.86004329752996</v>
      </c>
      <c r="L247" s="10">
        <f t="shared" si="21"/>
        <v>0.15260330236652664</v>
      </c>
      <c r="M247" s="10">
        <f t="shared" si="28"/>
        <v>0.174993171096234</v>
      </c>
      <c r="P247" s="8">
        <f t="shared" si="29"/>
        <v>0.95705617186469949</v>
      </c>
    </row>
    <row r="248" spans="1:16" x14ac:dyDescent="0.2">
      <c r="A248" s="8">
        <v>123</v>
      </c>
      <c r="B248" s="8">
        <v>246</v>
      </c>
      <c r="D248">
        <v>4763.3310276680004</v>
      </c>
      <c r="E248">
        <v>820.51877470355998</v>
      </c>
      <c r="F248">
        <v>143.52186878728</v>
      </c>
      <c r="G248">
        <v>118.86381709742</v>
      </c>
      <c r="I248" s="9">
        <f t="shared" si="26"/>
        <v>701.65495760613999</v>
      </c>
      <c r="J248" s="9">
        <f t="shared" si="27"/>
        <v>4619.8091588807201</v>
      </c>
      <c r="K248" s="9">
        <f t="shared" si="24"/>
        <v>701.65495760613999</v>
      </c>
      <c r="L248" s="10">
        <f t="shared" si="21"/>
        <v>0.15187964123092387</v>
      </c>
      <c r="M248" s="10">
        <f t="shared" si="28"/>
        <v>0.17436089717993616</v>
      </c>
      <c r="P248" s="8">
        <f t="shared" si="29"/>
        <v>0.5922847188770759</v>
      </c>
    </row>
    <row r="249" spans="1:16" x14ac:dyDescent="0.2">
      <c r="A249" s="8">
        <v>123.5</v>
      </c>
      <c r="B249" s="8">
        <v>247</v>
      </c>
      <c r="D249">
        <v>4779.7134387351998</v>
      </c>
      <c r="E249">
        <v>821.30138339920995</v>
      </c>
      <c r="F249">
        <v>144.18787276341999</v>
      </c>
      <c r="G249">
        <v>118.76441351889</v>
      </c>
      <c r="I249" s="9">
        <f t="shared" si="26"/>
        <v>702.53696988031993</v>
      </c>
      <c r="J249" s="9">
        <f t="shared" si="27"/>
        <v>4635.5255659717795</v>
      </c>
      <c r="K249" s="9">
        <f t="shared" si="24"/>
        <v>702.53696988031993</v>
      </c>
      <c r="L249" s="10">
        <f t="shared" si="21"/>
        <v>0.15155497685903538</v>
      </c>
      <c r="M249" s="10">
        <f t="shared" si="28"/>
        <v>0.1741276200273526</v>
      </c>
      <c r="P249" s="8">
        <f t="shared" si="29"/>
        <v>0.45770246947009857</v>
      </c>
    </row>
    <row r="250" spans="1:16" x14ac:dyDescent="0.2">
      <c r="A250" s="8">
        <v>124</v>
      </c>
      <c r="B250" s="8">
        <v>248</v>
      </c>
      <c r="D250">
        <v>4701.3418972332001</v>
      </c>
      <c r="E250">
        <v>811.37648221344</v>
      </c>
      <c r="F250">
        <v>144.48111332008</v>
      </c>
      <c r="G250">
        <v>118.48707753479</v>
      </c>
      <c r="I250" s="9">
        <f t="shared" si="26"/>
        <v>692.88940467864995</v>
      </c>
      <c r="J250" s="9">
        <f t="shared" si="27"/>
        <v>4556.86078391312</v>
      </c>
      <c r="K250" s="9">
        <f t="shared" si="24"/>
        <v>692.88940467864995</v>
      </c>
      <c r="L250" s="10">
        <f t="shared" si="21"/>
        <v>0.15205410863652585</v>
      </c>
      <c r="M250" s="10">
        <f t="shared" si="28"/>
        <v>0.17471813902414801</v>
      </c>
      <c r="P250" s="8">
        <f t="shared" si="29"/>
        <v>0.79838467527595847</v>
      </c>
    </row>
    <row r="251" spans="1:16" x14ac:dyDescent="0.2">
      <c r="A251" s="8">
        <v>124.5</v>
      </c>
      <c r="B251" s="8">
        <v>249</v>
      </c>
      <c r="D251">
        <v>4743.5247035573002</v>
      </c>
      <c r="E251">
        <v>815.82905138340004</v>
      </c>
      <c r="F251">
        <v>143.73061630218999</v>
      </c>
      <c r="G251">
        <v>118.71471172962001</v>
      </c>
      <c r="I251" s="9">
        <f t="shared" si="26"/>
        <v>697.11433965378001</v>
      </c>
      <c r="J251" s="9">
        <f t="shared" si="27"/>
        <v>4599.7940872551098</v>
      </c>
      <c r="K251" s="9">
        <f t="shared" si="24"/>
        <v>697.11433965378001</v>
      </c>
      <c r="L251" s="10">
        <f t="shared" si="21"/>
        <v>0.15155337965786581</v>
      </c>
      <c r="M251" s="10">
        <f t="shared" si="28"/>
        <v>0.17430879726479287</v>
      </c>
      <c r="P251" s="8">
        <f t="shared" si="29"/>
        <v>0.56222723705237998</v>
      </c>
    </row>
    <row r="252" spans="1:16" x14ac:dyDescent="0.2">
      <c r="A252" s="8">
        <v>125</v>
      </c>
      <c r="B252" s="8">
        <v>250</v>
      </c>
      <c r="D252">
        <v>4700.3142292490002</v>
      </c>
      <c r="E252">
        <v>809.59584980237003</v>
      </c>
      <c r="F252">
        <v>143.48409542744</v>
      </c>
      <c r="G252">
        <v>118.55864811133</v>
      </c>
      <c r="I252" s="9">
        <f t="shared" si="26"/>
        <v>691.03720169104008</v>
      </c>
      <c r="J252" s="9">
        <f t="shared" si="27"/>
        <v>4556.8301338215606</v>
      </c>
      <c r="K252" s="9">
        <f t="shared" si="24"/>
        <v>691.03720169104008</v>
      </c>
      <c r="L252" s="10">
        <f t="shared" si="21"/>
        <v>0.15164866396095075</v>
      </c>
      <c r="M252" s="10">
        <f t="shared" si="28"/>
        <v>0.17449546878718275</v>
      </c>
      <c r="P252" s="8">
        <f t="shared" si="29"/>
        <v>0.66992176737915954</v>
      </c>
    </row>
    <row r="253" spans="1:16" x14ac:dyDescent="0.2">
      <c r="A253" s="8">
        <v>125.5</v>
      </c>
      <c r="B253" s="8">
        <v>251</v>
      </c>
      <c r="D253">
        <v>4733.2529644268998</v>
      </c>
      <c r="E253">
        <v>810.27173913043998</v>
      </c>
      <c r="F253">
        <v>144.01192842942001</v>
      </c>
      <c r="G253">
        <v>119.25149105368</v>
      </c>
      <c r="I253" s="9">
        <f t="shared" si="26"/>
        <v>691.02024807676003</v>
      </c>
      <c r="J253" s="9">
        <f t="shared" si="27"/>
        <v>4589.2410359974801</v>
      </c>
      <c r="K253" s="9">
        <f t="shared" si="24"/>
        <v>691.02024807676003</v>
      </c>
      <c r="L253" s="10">
        <f t="shared" si="21"/>
        <v>0.15057397130734176</v>
      </c>
      <c r="M253" s="10">
        <f t="shared" si="28"/>
        <v>0.1735121633528787</v>
      </c>
      <c r="P253" s="8">
        <f t="shared" si="29"/>
        <v>0.10263321924180481</v>
      </c>
    </row>
    <row r="254" spans="1:16" x14ac:dyDescent="0.2">
      <c r="A254" s="8">
        <v>126</v>
      </c>
      <c r="B254" s="8">
        <v>252</v>
      </c>
      <c r="D254">
        <v>4760.0790513833999</v>
      </c>
      <c r="E254">
        <v>815.89031620552998</v>
      </c>
      <c r="F254">
        <v>143.51192842942001</v>
      </c>
      <c r="G254">
        <v>118.72266401591</v>
      </c>
      <c r="I254" s="9">
        <f t="shared" si="26"/>
        <v>697.16765218961996</v>
      </c>
      <c r="J254" s="9">
        <f t="shared" si="27"/>
        <v>4616.5671229539803</v>
      </c>
      <c r="K254" s="9">
        <f t="shared" si="24"/>
        <v>697.16765218961996</v>
      </c>
      <c r="L254" s="10">
        <f t="shared" si="21"/>
        <v>0.15101429993798654</v>
      </c>
      <c r="M254" s="10">
        <f t="shared" si="28"/>
        <v>0.17404387920282841</v>
      </c>
      <c r="P254" s="8">
        <f t="shared" si="29"/>
        <v>0.40939071494615514</v>
      </c>
    </row>
    <row r="255" spans="1:16" x14ac:dyDescent="0.2">
      <c r="A255" s="8">
        <v>126.5</v>
      </c>
      <c r="B255" s="8">
        <v>253</v>
      </c>
      <c r="D255">
        <v>4791.3310276680004</v>
      </c>
      <c r="E255">
        <v>817.90316205533998</v>
      </c>
      <c r="F255">
        <v>143.98707753478999</v>
      </c>
      <c r="G255">
        <v>119.02385685885</v>
      </c>
      <c r="I255" s="9">
        <f t="shared" si="26"/>
        <v>698.87930519649001</v>
      </c>
      <c r="J255" s="9">
        <f t="shared" si="27"/>
        <v>4647.3439501332105</v>
      </c>
      <c r="K255" s="9">
        <f t="shared" si="24"/>
        <v>698.87930519649001</v>
      </c>
      <c r="L255" s="10">
        <f t="shared" si="21"/>
        <v>0.1503825222956561</v>
      </c>
      <c r="M255" s="10">
        <f t="shared" si="28"/>
        <v>0.1735034887798029</v>
      </c>
      <c r="P255" s="8">
        <f t="shared" si="29"/>
        <v>9.7628684746007791E-2</v>
      </c>
    </row>
    <row r="256" spans="1:16" x14ac:dyDescent="0.2">
      <c r="A256" s="8">
        <v>127</v>
      </c>
      <c r="B256" s="8">
        <v>254</v>
      </c>
      <c r="D256">
        <v>4729.4891304348002</v>
      </c>
      <c r="E256">
        <v>809.69861660079005</v>
      </c>
      <c r="F256">
        <v>143.55566600398001</v>
      </c>
      <c r="G256">
        <v>118.96918489066</v>
      </c>
      <c r="I256" s="9">
        <f t="shared" si="26"/>
        <v>690.72943171013003</v>
      </c>
      <c r="J256" s="9">
        <f t="shared" si="27"/>
        <v>4585.9334644308201</v>
      </c>
      <c r="K256" s="9">
        <f t="shared" si="24"/>
        <v>690.72943171013003</v>
      </c>
      <c r="L256" s="10">
        <f t="shared" si="21"/>
        <v>0.15061915683416036</v>
      </c>
      <c r="M256" s="10">
        <f t="shared" si="28"/>
        <v>0.17383151053761206</v>
      </c>
      <c r="P256" s="8">
        <f t="shared" si="29"/>
        <v>0.28687098958155854</v>
      </c>
    </row>
    <row r="257" spans="1:16" x14ac:dyDescent="0.2">
      <c r="A257" s="8">
        <v>127.5</v>
      </c>
      <c r="B257" s="8">
        <v>255</v>
      </c>
      <c r="D257">
        <v>4747.8883399209999</v>
      </c>
      <c r="E257">
        <v>810.24209486166001</v>
      </c>
      <c r="F257">
        <v>143.18588469184999</v>
      </c>
      <c r="G257">
        <v>118.78429423459001</v>
      </c>
      <c r="I257" s="9">
        <f t="shared" si="26"/>
        <v>691.45780062707001</v>
      </c>
      <c r="J257" s="9">
        <f t="shared" si="27"/>
        <v>4604.7024552291496</v>
      </c>
      <c r="K257" s="9">
        <f t="shared" si="24"/>
        <v>691.45780062707001</v>
      </c>
      <c r="L257" s="10">
        <f t="shared" si="21"/>
        <v>0.150163405203705</v>
      </c>
      <c r="M257" s="10">
        <f t="shared" si="28"/>
        <v>0.17346714612646164</v>
      </c>
      <c r="P257" s="8">
        <f t="shared" si="29"/>
        <v>7.6661882031226689E-2</v>
      </c>
    </row>
    <row r="258" spans="1:16" x14ac:dyDescent="0.2">
      <c r="A258" s="8">
        <v>128</v>
      </c>
      <c r="B258" s="8">
        <v>256</v>
      </c>
      <c r="D258">
        <v>4973.9285004965004</v>
      </c>
      <c r="E258">
        <v>841.98709036743003</v>
      </c>
      <c r="F258">
        <v>144.27932405567</v>
      </c>
      <c r="G258">
        <v>118.82703777336</v>
      </c>
      <c r="I258" s="9">
        <f t="shared" si="26"/>
        <v>723.16005259407007</v>
      </c>
      <c r="J258" s="9">
        <f t="shared" si="27"/>
        <v>4829.6491764408302</v>
      </c>
      <c r="K258" s="9">
        <f t="shared" si="24"/>
        <v>723.16005259407007</v>
      </c>
      <c r="L258" s="10">
        <f t="shared" ref="L258:L321" si="30">K258/J258</f>
        <v>0.14973345395803611</v>
      </c>
      <c r="M258" s="10">
        <f t="shared" si="28"/>
        <v>0.17312858210009768</v>
      </c>
      <c r="P258" s="8">
        <f t="shared" si="29"/>
        <v>-0.11866246813213689</v>
      </c>
    </row>
    <row r="259" spans="1:16" x14ac:dyDescent="0.2">
      <c r="A259" s="8">
        <v>128.5</v>
      </c>
      <c r="B259" s="8">
        <v>257</v>
      </c>
      <c r="D259">
        <v>4978.0938735177997</v>
      </c>
      <c r="E259">
        <v>838.86561264822001</v>
      </c>
      <c r="F259">
        <v>143.50795228627999</v>
      </c>
      <c r="G259">
        <v>118.79324055666</v>
      </c>
      <c r="I259" s="9">
        <f t="shared" si="26"/>
        <v>720.07237209156006</v>
      </c>
      <c r="J259" s="9">
        <f t="shared" si="27"/>
        <v>4834.5859212315199</v>
      </c>
      <c r="K259" s="9">
        <f t="shared" ref="K259:K321" si="31">I259*1</f>
        <v>720.07237209156006</v>
      </c>
      <c r="L259" s="10">
        <f t="shared" si="30"/>
        <v>0.1489418915753048</v>
      </c>
      <c r="M259" s="10">
        <f t="shared" si="28"/>
        <v>0.1724284069366713</v>
      </c>
      <c r="P259" s="8">
        <f t="shared" si="29"/>
        <v>-0.52260750702344561</v>
      </c>
    </row>
    <row r="260" spans="1:16" x14ac:dyDescent="0.2">
      <c r="A260" s="8">
        <v>129</v>
      </c>
      <c r="B260" s="8">
        <v>258</v>
      </c>
      <c r="D260">
        <v>5085.4318181817998</v>
      </c>
      <c r="E260">
        <v>849.19466403162005</v>
      </c>
      <c r="F260">
        <v>143.88270377734</v>
      </c>
      <c r="G260">
        <v>119.23658051690001</v>
      </c>
      <c r="I260" s="9">
        <f t="shared" si="26"/>
        <v>729.9580835147201</v>
      </c>
      <c r="J260" s="9">
        <f t="shared" si="27"/>
        <v>4941.5491144044599</v>
      </c>
      <c r="K260" s="9">
        <f t="shared" si="31"/>
        <v>729.9580835147201</v>
      </c>
      <c r="L260" s="10">
        <f t="shared" si="30"/>
        <v>0.14771847180207423</v>
      </c>
      <c r="M260" s="10">
        <f t="shared" si="28"/>
        <v>0.17129637438274567</v>
      </c>
      <c r="P260" s="8">
        <f t="shared" si="29"/>
        <v>-1.1756997015308521</v>
      </c>
    </row>
    <row r="261" spans="1:16" x14ac:dyDescent="0.2">
      <c r="A261" s="8">
        <v>129.5</v>
      </c>
      <c r="B261" s="8">
        <v>259</v>
      </c>
      <c r="D261">
        <v>5277.2071713146997</v>
      </c>
      <c r="E261">
        <v>873.88247011952001</v>
      </c>
      <c r="F261">
        <v>144.18986083498999</v>
      </c>
      <c r="G261">
        <v>118.78031809145</v>
      </c>
      <c r="I261" s="9">
        <f t="shared" si="26"/>
        <v>755.10215202807001</v>
      </c>
      <c r="J261" s="9">
        <f t="shared" si="27"/>
        <v>5133.0173104797095</v>
      </c>
      <c r="K261" s="9">
        <f t="shared" si="31"/>
        <v>755.10215202807001</v>
      </c>
      <c r="L261" s="10">
        <f t="shared" si="30"/>
        <v>0.14710687814873186</v>
      </c>
      <c r="M261" s="10">
        <f t="shared" si="28"/>
        <v>0.1707761679487082</v>
      </c>
      <c r="P261" s="8">
        <f t="shared" si="29"/>
        <v>-1.4758171852765727</v>
      </c>
    </row>
    <row r="262" spans="1:16" x14ac:dyDescent="0.2">
      <c r="A262" s="8">
        <v>130</v>
      </c>
      <c r="B262" s="8">
        <v>260</v>
      </c>
      <c r="D262">
        <v>5287.530876494</v>
      </c>
      <c r="E262">
        <v>880.04183266932</v>
      </c>
      <c r="F262">
        <v>144.23956262425</v>
      </c>
      <c r="G262">
        <v>119.24155069583</v>
      </c>
      <c r="I262" s="9">
        <f t="shared" si="26"/>
        <v>760.80028197348997</v>
      </c>
      <c r="J262" s="9">
        <f t="shared" si="27"/>
        <v>5143.2913138697504</v>
      </c>
      <c r="K262" s="9">
        <f t="shared" si="31"/>
        <v>760.80028197348997</v>
      </c>
      <c r="L262" s="10">
        <f t="shared" si="30"/>
        <v>0.14792090036235436</v>
      </c>
      <c r="M262" s="10">
        <f t="shared" si="28"/>
        <v>0.17168157738163564</v>
      </c>
      <c r="P262" s="8">
        <f t="shared" si="29"/>
        <v>-0.95346839642969827</v>
      </c>
    </row>
    <row r="263" spans="1:16" x14ac:dyDescent="0.2">
      <c r="A263" s="8">
        <v>130.5</v>
      </c>
      <c r="B263" s="8">
        <v>261</v>
      </c>
      <c r="D263">
        <v>5361.4203187250996</v>
      </c>
      <c r="E263">
        <v>891.84063745020001</v>
      </c>
      <c r="F263">
        <v>144.15208747515001</v>
      </c>
      <c r="G263">
        <v>118.80914512923</v>
      </c>
      <c r="I263" s="9">
        <f t="shared" si="26"/>
        <v>773.03149232096996</v>
      </c>
      <c r="J263" s="9">
        <f t="shared" si="27"/>
        <v>5217.2682312499492</v>
      </c>
      <c r="K263" s="9">
        <f t="shared" si="31"/>
        <v>773.03149232096996</v>
      </c>
      <c r="L263" s="10">
        <f t="shared" si="30"/>
        <v>0.14816786449481967</v>
      </c>
      <c r="M263" s="10">
        <f t="shared" si="28"/>
        <v>0.17201992873340588</v>
      </c>
      <c r="P263" s="8">
        <f t="shared" si="29"/>
        <v>-0.75826674248796078</v>
      </c>
    </row>
    <row r="264" spans="1:16" x14ac:dyDescent="0.2">
      <c r="A264" s="8">
        <v>131</v>
      </c>
      <c r="B264" s="8">
        <v>262</v>
      </c>
      <c r="D264">
        <v>5356.8025793651004</v>
      </c>
      <c r="E264">
        <v>882.89980158729998</v>
      </c>
      <c r="F264">
        <v>144.03180914513001</v>
      </c>
      <c r="G264">
        <v>119.07057654076</v>
      </c>
      <c r="I264" s="9">
        <f t="shared" si="26"/>
        <v>763.82922504653993</v>
      </c>
      <c r="J264" s="9">
        <f t="shared" si="27"/>
        <v>5212.7707702199705</v>
      </c>
      <c r="K264" s="9">
        <f t="shared" si="31"/>
        <v>763.82922504653993</v>
      </c>
      <c r="L264" s="10">
        <f t="shared" si="30"/>
        <v>0.14653036911007455</v>
      </c>
      <c r="M264" s="10">
        <f t="shared" si="28"/>
        <v>0.1704738205679657</v>
      </c>
      <c r="P264" s="8">
        <f t="shared" si="29"/>
        <v>-1.6502474290959201</v>
      </c>
    </row>
    <row r="265" spans="1:16" x14ac:dyDescent="0.2">
      <c r="A265" s="8">
        <v>131.5</v>
      </c>
      <c r="B265" s="8">
        <v>263</v>
      </c>
      <c r="D265">
        <v>5339.1656746032004</v>
      </c>
      <c r="E265">
        <v>879.23214285714005</v>
      </c>
      <c r="F265">
        <v>144.72266401591</v>
      </c>
      <c r="G265">
        <v>119.04771371769</v>
      </c>
      <c r="I265" s="9">
        <f t="shared" si="26"/>
        <v>760.18442913945</v>
      </c>
      <c r="J265" s="9">
        <f t="shared" si="27"/>
        <v>5194.4430105872907</v>
      </c>
      <c r="K265" s="9">
        <f t="shared" si="31"/>
        <v>760.18442913945</v>
      </c>
      <c r="L265" s="10">
        <f t="shared" si="30"/>
        <v>0.14634570589956333</v>
      </c>
      <c r="M265" s="10">
        <f t="shared" si="28"/>
        <v>0.17038054457675941</v>
      </c>
      <c r="P265" s="8">
        <f t="shared" si="29"/>
        <v>-1.7040602117588555</v>
      </c>
    </row>
    <row r="266" spans="1:16" x14ac:dyDescent="0.2">
      <c r="A266" s="8">
        <v>132</v>
      </c>
      <c r="B266" s="8">
        <v>264</v>
      </c>
      <c r="D266">
        <v>5362.7777777778001</v>
      </c>
      <c r="E266">
        <v>884.43154761904998</v>
      </c>
      <c r="F266">
        <v>144.50298210736</v>
      </c>
      <c r="G266">
        <v>118.62326043738</v>
      </c>
      <c r="I266" s="9">
        <f t="shared" si="26"/>
        <v>765.80828718167004</v>
      </c>
      <c r="J266" s="9">
        <f t="shared" si="27"/>
        <v>5218.2747956704397</v>
      </c>
      <c r="K266" s="9">
        <f t="shared" si="31"/>
        <v>765.80828718167004</v>
      </c>
      <c r="L266" s="10">
        <f t="shared" si="30"/>
        <v>0.1467550708170936</v>
      </c>
      <c r="M266" s="10">
        <f t="shared" si="28"/>
        <v>0.17088129671359459</v>
      </c>
      <c r="P266" s="8">
        <f t="shared" si="29"/>
        <v>-1.415166300699614</v>
      </c>
    </row>
    <row r="267" spans="1:16" x14ac:dyDescent="0.2">
      <c r="A267" s="8">
        <v>132.5</v>
      </c>
      <c r="B267" s="8">
        <v>265</v>
      </c>
      <c r="D267">
        <v>5418.3561507937002</v>
      </c>
      <c r="E267">
        <v>891.52876984126999</v>
      </c>
      <c r="F267">
        <v>144.58648111331999</v>
      </c>
      <c r="G267">
        <v>119.1083499006</v>
      </c>
      <c r="I267" s="9">
        <f t="shared" si="26"/>
        <v>772.42041994066994</v>
      </c>
      <c r="J267" s="9">
        <f t="shared" si="27"/>
        <v>5273.7696696803805</v>
      </c>
      <c r="K267" s="9">
        <f t="shared" si="31"/>
        <v>772.42041994066994</v>
      </c>
      <c r="L267" s="10">
        <f t="shared" si="30"/>
        <v>0.14646457246349229</v>
      </c>
      <c r="M267" s="10">
        <f t="shared" si="28"/>
        <v>0.17068218557929821</v>
      </c>
      <c r="P267" s="8">
        <f t="shared" si="29"/>
        <v>-1.5300374916362534</v>
      </c>
    </row>
    <row r="268" spans="1:16" x14ac:dyDescent="0.2">
      <c r="A268" s="8">
        <v>133</v>
      </c>
      <c r="B268" s="8">
        <v>266</v>
      </c>
      <c r="D268">
        <v>5407.8720238095002</v>
      </c>
      <c r="E268">
        <v>895.19841269841004</v>
      </c>
      <c r="F268">
        <v>144.30119284294</v>
      </c>
      <c r="G268">
        <v>118.85188866799</v>
      </c>
      <c r="I268" s="9">
        <f t="shared" si="26"/>
        <v>776.34652403042003</v>
      </c>
      <c r="J268" s="9">
        <f t="shared" si="27"/>
        <v>5263.5708309665606</v>
      </c>
      <c r="K268" s="9">
        <f t="shared" si="31"/>
        <v>776.34652403042003</v>
      </c>
      <c r="L268" s="10">
        <f t="shared" si="30"/>
        <v>0.1474942674777035</v>
      </c>
      <c r="M268" s="10">
        <f t="shared" si="28"/>
        <v>0.17180326781281435</v>
      </c>
      <c r="P268" s="8">
        <f t="shared" si="29"/>
        <v>-0.8832627557231163</v>
      </c>
    </row>
    <row r="269" spans="1:16" x14ac:dyDescent="0.2">
      <c r="A269" s="8">
        <v>133.5</v>
      </c>
      <c r="B269" s="8">
        <v>267</v>
      </c>
      <c r="D269">
        <v>5374.6001984126997</v>
      </c>
      <c r="E269">
        <v>889.46726190475999</v>
      </c>
      <c r="F269">
        <v>144.85984095427</v>
      </c>
      <c r="G269">
        <v>118.44234592445</v>
      </c>
      <c r="I269" s="9">
        <f t="shared" si="26"/>
        <v>771.02491598030997</v>
      </c>
      <c r="J269" s="9">
        <f t="shared" si="27"/>
        <v>5229.7403574584296</v>
      </c>
      <c r="K269" s="9">
        <f t="shared" si="31"/>
        <v>771.02491598030997</v>
      </c>
      <c r="L269" s="10">
        <f t="shared" si="30"/>
        <v>0.14743082127981891</v>
      </c>
      <c r="M269" s="10">
        <f t="shared" si="28"/>
        <v>0.17183120883423469</v>
      </c>
      <c r="P269" s="8">
        <f t="shared" si="29"/>
        <v>-0.86714302229945384</v>
      </c>
    </row>
    <row r="270" spans="1:16" x14ac:dyDescent="0.2">
      <c r="A270" s="8">
        <v>134</v>
      </c>
      <c r="B270" s="8">
        <v>268</v>
      </c>
      <c r="D270">
        <v>5508.5540138751003</v>
      </c>
      <c r="E270">
        <v>895.48860257680997</v>
      </c>
      <c r="F270">
        <v>143.91848906561</v>
      </c>
      <c r="G270">
        <v>118.73658051690001</v>
      </c>
      <c r="I270" s="9">
        <f t="shared" si="26"/>
        <v>776.7520220599099</v>
      </c>
      <c r="J270" s="9">
        <f t="shared" si="27"/>
        <v>5364.6355248094906</v>
      </c>
      <c r="K270" s="9">
        <f t="shared" si="31"/>
        <v>776.7520220599099</v>
      </c>
      <c r="L270" s="10">
        <f t="shared" si="30"/>
        <v>0.1447912012787661</v>
      </c>
      <c r="M270" s="10">
        <f t="shared" si="28"/>
        <v>0.16928297605248682</v>
      </c>
      <c r="P270" s="8">
        <f t="shared" si="29"/>
        <v>-2.337269419085708</v>
      </c>
    </row>
    <row r="271" spans="1:16" x14ac:dyDescent="0.2">
      <c r="A271" s="8">
        <v>134.5</v>
      </c>
      <c r="B271" s="8">
        <v>269</v>
      </c>
      <c r="D271">
        <v>5570.7155599604002</v>
      </c>
      <c r="E271">
        <v>904.39048562933999</v>
      </c>
      <c r="F271">
        <v>144.68091451292</v>
      </c>
      <c r="G271">
        <v>119.18986083499</v>
      </c>
      <c r="I271" s="9">
        <f t="shared" si="26"/>
        <v>785.20062479435001</v>
      </c>
      <c r="J271" s="9">
        <f t="shared" si="27"/>
        <v>5426.0346454474802</v>
      </c>
      <c r="K271" s="9">
        <f t="shared" si="31"/>
        <v>785.20062479435001</v>
      </c>
      <c r="L271" s="10">
        <f t="shared" si="30"/>
        <v>0.14470984357852276</v>
      </c>
      <c r="M271" s="10">
        <f t="shared" si="28"/>
        <v>0.16929300557154839</v>
      </c>
      <c r="P271" s="8">
        <f t="shared" si="29"/>
        <v>-2.3314831891835226</v>
      </c>
    </row>
    <row r="272" spans="1:16" x14ac:dyDescent="0.2">
      <c r="A272" s="8">
        <v>135</v>
      </c>
      <c r="B272" s="8">
        <v>270</v>
      </c>
      <c r="D272">
        <v>5548.9682854311004</v>
      </c>
      <c r="E272">
        <v>902.27750247769995</v>
      </c>
      <c r="F272">
        <v>144.07753479125</v>
      </c>
      <c r="G272">
        <v>119.2097415507</v>
      </c>
      <c r="I272" s="9">
        <f t="shared" si="26"/>
        <v>783.06776092699999</v>
      </c>
      <c r="J272" s="9">
        <f t="shared" si="27"/>
        <v>5404.89075063985</v>
      </c>
      <c r="K272" s="9">
        <f t="shared" si="31"/>
        <v>783.06776092699999</v>
      </c>
      <c r="L272" s="10">
        <f t="shared" si="30"/>
        <v>0.14488133008688431</v>
      </c>
      <c r="M272" s="10">
        <f t="shared" si="28"/>
        <v>0.16955587929921487</v>
      </c>
      <c r="P272" s="8">
        <f t="shared" si="29"/>
        <v>-2.1798260843726287</v>
      </c>
    </row>
    <row r="273" spans="1:16" x14ac:dyDescent="0.2">
      <c r="A273" s="8">
        <v>135.5</v>
      </c>
      <c r="B273" s="8">
        <v>271</v>
      </c>
      <c r="D273">
        <v>5538.6333002972997</v>
      </c>
      <c r="E273">
        <v>902.15361744301003</v>
      </c>
      <c r="F273">
        <v>144.82206759443</v>
      </c>
      <c r="G273">
        <v>119.00894632207</v>
      </c>
      <c r="I273" s="9">
        <f t="shared" si="26"/>
        <v>783.14467112094007</v>
      </c>
      <c r="J273" s="9">
        <f t="shared" si="27"/>
        <v>5393.8112327028693</v>
      </c>
      <c r="K273" s="9">
        <f t="shared" si="31"/>
        <v>783.14467112094007</v>
      </c>
      <c r="L273" s="10">
        <f t="shared" si="30"/>
        <v>0.14519319222235774</v>
      </c>
      <c r="M273" s="10">
        <f t="shared" si="28"/>
        <v>0.16995912865399324</v>
      </c>
      <c r="P273" s="8">
        <f t="shared" si="29"/>
        <v>-1.9471834760548461</v>
      </c>
    </row>
    <row r="274" spans="1:16" x14ac:dyDescent="0.2">
      <c r="A274" s="8">
        <v>136</v>
      </c>
      <c r="B274" s="8">
        <v>272</v>
      </c>
      <c r="D274">
        <v>5537.5817641228996</v>
      </c>
      <c r="E274">
        <v>905.02675916749001</v>
      </c>
      <c r="F274">
        <v>144.57455268390001</v>
      </c>
      <c r="G274">
        <v>118.91948310139</v>
      </c>
      <c r="I274" s="9">
        <f t="shared" si="26"/>
        <v>786.10727606609998</v>
      </c>
      <c r="J274" s="9">
        <f t="shared" si="27"/>
        <v>5393.0072114389995</v>
      </c>
      <c r="K274" s="9">
        <f t="shared" si="31"/>
        <v>786.10727606609998</v>
      </c>
      <c r="L274" s="10">
        <f t="shared" si="30"/>
        <v>0.14576418039988961</v>
      </c>
      <c r="M274" s="10">
        <f t="shared" si="28"/>
        <v>0.17062150405083004</v>
      </c>
      <c r="P274" s="8">
        <f t="shared" si="29"/>
        <v>-1.5650458776194192</v>
      </c>
    </row>
    <row r="275" spans="1:16" x14ac:dyDescent="0.2">
      <c r="A275" s="8">
        <v>136.5</v>
      </c>
      <c r="B275" s="8">
        <v>273</v>
      </c>
      <c r="D275">
        <v>5349.7958374627997</v>
      </c>
      <c r="E275">
        <v>874.62338949455</v>
      </c>
      <c r="F275">
        <v>144.78031809145</v>
      </c>
      <c r="G275">
        <v>119.24055666004</v>
      </c>
      <c r="I275" s="9">
        <f>E275-G275</f>
        <v>755.38283283451005</v>
      </c>
      <c r="J275" s="9">
        <f>D275-F275</f>
        <v>5205.0155193713499</v>
      </c>
      <c r="K275" s="9">
        <f t="shared" si="31"/>
        <v>755.38283283451005</v>
      </c>
      <c r="L275" s="10">
        <f t="shared" si="30"/>
        <v>0.14512595207895623</v>
      </c>
      <c r="M275" s="10">
        <f>L275+ABS($N$2)*A275</f>
        <v>0.17007466294920159</v>
      </c>
      <c r="O275" s="11"/>
      <c r="P275" s="8">
        <f>(M275-$O$2)/$O$2*100</f>
        <v>-1.8805294331681517</v>
      </c>
    </row>
    <row r="276" spans="1:16" x14ac:dyDescent="0.2">
      <c r="A276" s="8">
        <v>137</v>
      </c>
      <c r="B276" s="8">
        <v>274</v>
      </c>
      <c r="D276">
        <v>5302.2190287412996</v>
      </c>
      <c r="E276">
        <v>865.98017839445004</v>
      </c>
      <c r="F276">
        <v>144.91053677932001</v>
      </c>
      <c r="G276">
        <v>118.89264413519</v>
      </c>
      <c r="I276" s="9">
        <f t="shared" ref="I276:I291" si="32">E276-G276</f>
        <v>747.08753425926</v>
      </c>
      <c r="J276" s="9">
        <f t="shared" ref="J276:J291" si="33">D276-F276</f>
        <v>5157.3084919619796</v>
      </c>
      <c r="K276" s="9">
        <f t="shared" si="31"/>
        <v>747.08753425926</v>
      </c>
      <c r="L276" s="10">
        <f t="shared" si="30"/>
        <v>0.14485996628350764</v>
      </c>
      <c r="M276" s="10">
        <f t="shared" ref="M276:M291" si="34">L276+ABS($N$2)*A276</f>
        <v>0.16990006437305791</v>
      </c>
      <c r="P276" s="8">
        <f t="shared" ref="P276:P291" si="35">(M276-$O$2)/$O$2*100</f>
        <v>-1.981258839629231</v>
      </c>
    </row>
    <row r="277" spans="1:16" x14ac:dyDescent="0.2">
      <c r="A277" s="8">
        <v>137.5</v>
      </c>
      <c r="B277" s="8">
        <v>275</v>
      </c>
      <c r="D277">
        <v>5316.7640671273002</v>
      </c>
      <c r="E277">
        <v>862.96347482725002</v>
      </c>
      <c r="F277">
        <v>145.13121272366001</v>
      </c>
      <c r="G277">
        <v>118.96123260437</v>
      </c>
      <c r="I277" s="9">
        <f t="shared" si="32"/>
        <v>744.00224222288</v>
      </c>
      <c r="J277" s="9">
        <f t="shared" si="33"/>
        <v>5171.6328544036405</v>
      </c>
      <c r="K277" s="9">
        <f t="shared" si="31"/>
        <v>744.00224222288</v>
      </c>
      <c r="L277" s="10">
        <f t="shared" si="30"/>
        <v>0.14386215401763541</v>
      </c>
      <c r="M277" s="10">
        <f t="shared" si="34"/>
        <v>0.16899363932649061</v>
      </c>
      <c r="N277" s="1"/>
      <c r="P277" s="8">
        <f t="shared" si="35"/>
        <v>-2.5041935562734321</v>
      </c>
    </row>
    <row r="278" spans="1:16" x14ac:dyDescent="0.2">
      <c r="A278" s="8">
        <v>138</v>
      </c>
      <c r="B278" s="8">
        <v>276</v>
      </c>
      <c r="D278">
        <v>5363.7127344521004</v>
      </c>
      <c r="E278">
        <v>870.94175715695997</v>
      </c>
      <c r="F278">
        <v>144.69681908549001</v>
      </c>
      <c r="G278">
        <v>119.16003976143</v>
      </c>
      <c r="I278" s="9">
        <f t="shared" si="32"/>
        <v>751.78171739552999</v>
      </c>
      <c r="J278" s="9">
        <f t="shared" si="33"/>
        <v>5219.01591536661</v>
      </c>
      <c r="K278" s="9">
        <f t="shared" si="31"/>
        <v>751.78171739552999</v>
      </c>
      <c r="L278" s="10">
        <f t="shared" si="30"/>
        <v>0.14404664204644815</v>
      </c>
      <c r="M278" s="10">
        <f t="shared" si="34"/>
        <v>0.16926951457460829</v>
      </c>
      <c r="P278" s="8">
        <f t="shared" si="35"/>
        <v>-2.3450356145882294</v>
      </c>
    </row>
    <row r="279" spans="1:16" x14ac:dyDescent="0.2">
      <c r="A279" s="8">
        <v>138.5</v>
      </c>
      <c r="B279" s="8">
        <v>277</v>
      </c>
      <c r="D279">
        <v>5450.3711747284997</v>
      </c>
      <c r="E279">
        <v>885.47384007897006</v>
      </c>
      <c r="F279">
        <v>145.21669980119</v>
      </c>
      <c r="G279">
        <v>118.57256461233</v>
      </c>
      <c r="I279" s="9">
        <f t="shared" si="32"/>
        <v>766.90127546664007</v>
      </c>
      <c r="J279" s="9">
        <f t="shared" si="33"/>
        <v>5305.1544749273098</v>
      </c>
      <c r="K279" s="9">
        <f t="shared" si="31"/>
        <v>766.90127546664007</v>
      </c>
      <c r="L279" s="10">
        <f t="shared" si="30"/>
        <v>0.14455776529997236</v>
      </c>
      <c r="M279" s="10">
        <f t="shared" si="34"/>
        <v>0.16987202504743742</v>
      </c>
      <c r="P279" s="8">
        <f t="shared" si="35"/>
        <v>-1.9974352867097374</v>
      </c>
    </row>
    <row r="280" spans="1:16" x14ac:dyDescent="0.2">
      <c r="A280" s="8">
        <v>139</v>
      </c>
      <c r="B280" s="8">
        <v>278</v>
      </c>
      <c r="D280">
        <v>5380.3553800591999</v>
      </c>
      <c r="E280">
        <v>878.60612043435003</v>
      </c>
      <c r="F280">
        <v>144.17296222664001</v>
      </c>
      <c r="G280">
        <v>118.73359840953999</v>
      </c>
      <c r="I280" s="9">
        <f t="shared" si="32"/>
        <v>759.87252202481</v>
      </c>
      <c r="J280" s="9">
        <f t="shared" si="33"/>
        <v>5236.1824178325596</v>
      </c>
      <c r="K280" s="9">
        <f t="shared" si="31"/>
        <v>759.87252202481</v>
      </c>
      <c r="L280" s="10">
        <f t="shared" si="30"/>
        <v>0.14511956639191115</v>
      </c>
      <c r="M280" s="10">
        <f t="shared" si="34"/>
        <v>0.17052521335868115</v>
      </c>
      <c r="P280" s="8">
        <f t="shared" si="35"/>
        <v>-1.6205979014795817</v>
      </c>
    </row>
    <row r="281" spans="1:16" x14ac:dyDescent="0.2">
      <c r="A281" s="8">
        <v>139.5</v>
      </c>
      <c r="B281" s="8">
        <v>279</v>
      </c>
      <c r="D281">
        <v>5017.3346495557998</v>
      </c>
      <c r="E281">
        <v>833.60019743337</v>
      </c>
      <c r="F281">
        <v>143.57753479125</v>
      </c>
      <c r="G281">
        <v>118.23359840953999</v>
      </c>
      <c r="I281" s="9">
        <f t="shared" si="32"/>
        <v>715.36659902382996</v>
      </c>
      <c r="J281" s="9">
        <f t="shared" si="33"/>
        <v>4873.7571147645494</v>
      </c>
      <c r="K281" s="9">
        <f t="shared" si="31"/>
        <v>715.36659902382996</v>
      </c>
      <c r="L281" s="10">
        <f t="shared" si="30"/>
        <v>0.14677928796588979</v>
      </c>
      <c r="M281" s="10">
        <f t="shared" si="34"/>
        <v>0.1722763221519647</v>
      </c>
      <c r="P281" s="8">
        <f t="shared" si="35"/>
        <v>-0.61034825745573951</v>
      </c>
    </row>
    <row r="282" spans="1:16" x14ac:dyDescent="0.2">
      <c r="A282" s="8">
        <v>140</v>
      </c>
      <c r="B282" s="8">
        <v>280</v>
      </c>
      <c r="D282">
        <v>4789.8219584569997</v>
      </c>
      <c r="E282">
        <v>807.09099901087995</v>
      </c>
      <c r="F282">
        <v>143.18489065605999</v>
      </c>
      <c r="G282">
        <v>118.11530815109001</v>
      </c>
      <c r="I282" s="9">
        <f t="shared" si="32"/>
        <v>688.97569085978989</v>
      </c>
      <c r="J282" s="9">
        <f t="shared" si="33"/>
        <v>4646.6370678009398</v>
      </c>
      <c r="K282" s="9">
        <f t="shared" si="31"/>
        <v>688.97569085978989</v>
      </c>
      <c r="L282" s="10">
        <f t="shared" si="30"/>
        <v>0.14827404869514663</v>
      </c>
      <c r="M282" s="10">
        <f t="shared" si="34"/>
        <v>0.17386247010052647</v>
      </c>
      <c r="P282" s="8">
        <f t="shared" si="35"/>
        <v>0.30473217989330664</v>
      </c>
    </row>
    <row r="283" spans="1:16" x14ac:dyDescent="0.2">
      <c r="A283" s="8">
        <v>140.5</v>
      </c>
      <c r="B283" s="8">
        <v>281</v>
      </c>
      <c r="D283">
        <v>4726.2611275964</v>
      </c>
      <c r="E283">
        <v>796.30069238377996</v>
      </c>
      <c r="F283">
        <v>143.15705765408001</v>
      </c>
      <c r="G283">
        <v>118.32504970178999</v>
      </c>
      <c r="I283" s="9">
        <f t="shared" si="32"/>
        <v>677.97564268198994</v>
      </c>
      <c r="J283" s="9">
        <f t="shared" si="33"/>
        <v>4583.1040699423202</v>
      </c>
      <c r="K283" s="9">
        <f t="shared" si="31"/>
        <v>677.97564268198994</v>
      </c>
      <c r="L283" s="10">
        <f t="shared" si="30"/>
        <v>0.14792935799306919</v>
      </c>
      <c r="M283" s="10">
        <f t="shared" si="34"/>
        <v>0.17360916661775397</v>
      </c>
      <c r="P283" s="8">
        <f t="shared" si="35"/>
        <v>0.15859634054258762</v>
      </c>
    </row>
    <row r="284" spans="1:16" x14ac:dyDescent="0.2">
      <c r="A284" s="8">
        <v>141</v>
      </c>
      <c r="B284" s="8">
        <v>282</v>
      </c>
      <c r="D284">
        <v>4689.5420375865997</v>
      </c>
      <c r="E284">
        <v>792.25717111770996</v>
      </c>
      <c r="F284">
        <v>143.09045725646001</v>
      </c>
      <c r="G284">
        <v>118.40954274354</v>
      </c>
      <c r="I284" s="9">
        <f t="shared" si="32"/>
        <v>673.84762837416997</v>
      </c>
      <c r="J284" s="9">
        <f t="shared" si="33"/>
        <v>4546.4515803301401</v>
      </c>
      <c r="K284" s="9">
        <f t="shared" si="31"/>
        <v>673.84762837416997</v>
      </c>
      <c r="L284" s="10">
        <f t="shared" si="30"/>
        <v>0.14821396785341737</v>
      </c>
      <c r="M284" s="10">
        <f t="shared" si="34"/>
        <v>0.17398516369740707</v>
      </c>
      <c r="P284" s="8">
        <f t="shared" si="35"/>
        <v>0.37551656693314006</v>
      </c>
    </row>
    <row r="285" spans="1:16" x14ac:dyDescent="0.2">
      <c r="A285" s="8">
        <v>141.5</v>
      </c>
      <c r="B285" s="8">
        <v>283</v>
      </c>
      <c r="D285">
        <v>4789.4572564611999</v>
      </c>
      <c r="E285">
        <v>805.97912524850994</v>
      </c>
      <c r="F285">
        <v>143.62723658051999</v>
      </c>
      <c r="G285">
        <v>119.01192842942</v>
      </c>
      <c r="I285" s="9">
        <f t="shared" si="32"/>
        <v>686.96719681908996</v>
      </c>
      <c r="J285" s="9">
        <f t="shared" si="33"/>
        <v>4645.8300198806801</v>
      </c>
      <c r="K285" s="9">
        <f t="shared" si="31"/>
        <v>686.96719681908996</v>
      </c>
      <c r="L285" s="10">
        <f t="shared" si="30"/>
        <v>0.14786748414801743</v>
      </c>
      <c r="M285" s="10">
        <f t="shared" si="34"/>
        <v>0.17373006721131207</v>
      </c>
      <c r="P285" s="8">
        <f t="shared" si="35"/>
        <v>0.22834630814757739</v>
      </c>
    </row>
    <row r="286" spans="1:16" x14ac:dyDescent="0.2">
      <c r="A286" s="8">
        <v>142</v>
      </c>
      <c r="B286" s="8">
        <v>284</v>
      </c>
      <c r="D286">
        <v>5063.8702970296999</v>
      </c>
      <c r="E286">
        <v>836.93366336634006</v>
      </c>
      <c r="F286">
        <v>143.33896620278</v>
      </c>
      <c r="G286">
        <v>118.45029821074</v>
      </c>
      <c r="I286" s="9">
        <f t="shared" si="32"/>
        <v>718.48336515560004</v>
      </c>
      <c r="J286" s="9">
        <f t="shared" si="33"/>
        <v>4920.5313308269197</v>
      </c>
      <c r="K286" s="9">
        <f t="shared" si="31"/>
        <v>718.48336515560004</v>
      </c>
      <c r="L286" s="10">
        <f t="shared" si="30"/>
        <v>0.1460174352827168</v>
      </c>
      <c r="M286" s="10">
        <f t="shared" si="34"/>
        <v>0.17197140556531634</v>
      </c>
      <c r="P286" s="8">
        <f t="shared" si="35"/>
        <v>-0.7862607274861424</v>
      </c>
    </row>
    <row r="287" spans="1:16" x14ac:dyDescent="0.2">
      <c r="A287" s="8">
        <v>142.5</v>
      </c>
      <c r="B287" s="8">
        <v>285</v>
      </c>
      <c r="D287">
        <v>5203.5781094527001</v>
      </c>
      <c r="E287">
        <v>858.47363184079995</v>
      </c>
      <c r="F287">
        <v>143.81610337972</v>
      </c>
      <c r="G287">
        <v>118.72166998012</v>
      </c>
      <c r="I287" s="9">
        <f t="shared" si="32"/>
        <v>739.75196186068001</v>
      </c>
      <c r="J287" s="9">
        <f t="shared" si="33"/>
        <v>5059.7620060729805</v>
      </c>
      <c r="K287" s="9">
        <f t="shared" si="31"/>
        <v>739.75196186068001</v>
      </c>
      <c r="L287" s="10">
        <f t="shared" si="30"/>
        <v>0.14620291645591088</v>
      </c>
      <c r="M287" s="10">
        <f t="shared" si="34"/>
        <v>0.17224827395781536</v>
      </c>
      <c r="P287" s="8">
        <f t="shared" si="35"/>
        <v>-0.62652982096770582</v>
      </c>
    </row>
    <row r="288" spans="1:16" x14ac:dyDescent="0.2">
      <c r="A288" s="8">
        <v>143</v>
      </c>
      <c r="B288" s="8">
        <v>286</v>
      </c>
      <c r="D288">
        <v>5165.6019900498004</v>
      </c>
      <c r="E288">
        <v>846.89054726367999</v>
      </c>
      <c r="F288">
        <v>143.98807157057999</v>
      </c>
      <c r="G288">
        <v>119.22067594433</v>
      </c>
      <c r="I288" s="9">
        <f t="shared" si="32"/>
        <v>727.66987131935002</v>
      </c>
      <c r="J288" s="9">
        <f t="shared" si="33"/>
        <v>5021.61391847922</v>
      </c>
      <c r="K288" s="9">
        <f t="shared" si="31"/>
        <v>727.66987131935002</v>
      </c>
      <c r="L288" s="10">
        <f t="shared" si="30"/>
        <v>0.14490757018208253</v>
      </c>
      <c r="M288" s="10">
        <f t="shared" si="34"/>
        <v>0.17104431490329194</v>
      </c>
      <c r="P288" s="8">
        <f t="shared" si="35"/>
        <v>-1.3211178505160295</v>
      </c>
    </row>
    <row r="289" spans="1:16" x14ac:dyDescent="0.2">
      <c r="A289" s="8">
        <v>143.5</v>
      </c>
      <c r="B289" s="8">
        <v>287</v>
      </c>
      <c r="D289">
        <v>5299.8258706467996</v>
      </c>
      <c r="E289">
        <v>863.56616915423001</v>
      </c>
      <c r="F289">
        <v>144.46918489065999</v>
      </c>
      <c r="G289">
        <v>118.63618290258</v>
      </c>
      <c r="I289" s="9">
        <f t="shared" si="32"/>
        <v>744.92998625165001</v>
      </c>
      <c r="J289" s="9">
        <f t="shared" si="33"/>
        <v>5155.35668575614</v>
      </c>
      <c r="K289" s="9">
        <f t="shared" si="31"/>
        <v>744.92998625165001</v>
      </c>
      <c r="L289" s="10">
        <f t="shared" si="30"/>
        <v>0.1444963038755078</v>
      </c>
      <c r="M289" s="10">
        <f t="shared" si="34"/>
        <v>0.17072443581602215</v>
      </c>
      <c r="P289" s="8">
        <f t="shared" si="35"/>
        <v>-1.5056624860546488</v>
      </c>
    </row>
    <row r="290" spans="1:16" x14ac:dyDescent="0.2">
      <c r="A290" s="8">
        <v>144</v>
      </c>
      <c r="B290" s="8">
        <v>288</v>
      </c>
      <c r="D290">
        <v>5316.2825870647002</v>
      </c>
      <c r="E290">
        <v>864.28955223880996</v>
      </c>
      <c r="F290">
        <v>144.55566600398001</v>
      </c>
      <c r="G290">
        <v>118.74155069583</v>
      </c>
      <c r="I290" s="9">
        <f t="shared" si="32"/>
        <v>745.54800154297993</v>
      </c>
      <c r="J290" s="9">
        <f t="shared" si="33"/>
        <v>5171.7269210607201</v>
      </c>
      <c r="K290" s="9">
        <f t="shared" si="31"/>
        <v>745.54800154297993</v>
      </c>
      <c r="L290" s="10">
        <f t="shared" si="30"/>
        <v>0.14415842385391614</v>
      </c>
      <c r="M290" s="10">
        <f t="shared" si="34"/>
        <v>0.17047794301373542</v>
      </c>
      <c r="P290" s="8">
        <f t="shared" si="35"/>
        <v>-1.6478691077789678</v>
      </c>
    </row>
    <row r="291" spans="1:16" x14ac:dyDescent="0.2">
      <c r="A291" s="8">
        <v>144.5</v>
      </c>
      <c r="B291" s="8">
        <v>289</v>
      </c>
      <c r="D291">
        <v>5314.4960552268003</v>
      </c>
      <c r="E291">
        <v>863.44970414200998</v>
      </c>
      <c r="F291">
        <v>144.54771371768999</v>
      </c>
      <c r="G291">
        <v>118.79423459245</v>
      </c>
      <c r="I291" s="9">
        <f t="shared" si="32"/>
        <v>744.65546954955994</v>
      </c>
      <c r="J291" s="9">
        <f t="shared" si="33"/>
        <v>5169.9483415091099</v>
      </c>
      <c r="K291" s="9">
        <f t="shared" si="31"/>
        <v>744.65546954955994</v>
      </c>
      <c r="L291" s="10">
        <f t="shared" si="30"/>
        <v>0.14403537914891326</v>
      </c>
      <c r="M291" s="10">
        <f t="shared" si="34"/>
        <v>0.17044628552803745</v>
      </c>
      <c r="P291" s="8">
        <f t="shared" si="35"/>
        <v>-1.6661329436866705</v>
      </c>
    </row>
    <row r="292" spans="1:16" x14ac:dyDescent="0.2">
      <c r="A292" s="8">
        <v>145</v>
      </c>
      <c r="B292" s="8">
        <v>290</v>
      </c>
      <c r="D292">
        <v>5323.8175542405997</v>
      </c>
      <c r="E292">
        <v>861.29881656805003</v>
      </c>
      <c r="F292">
        <v>144.35586481113</v>
      </c>
      <c r="G292">
        <v>118.8787276342</v>
      </c>
      <c r="I292" s="9">
        <f>E292-G292</f>
        <v>742.42008893385002</v>
      </c>
      <c r="J292" s="9">
        <f>D292-F292</f>
        <v>5179.4616894294695</v>
      </c>
      <c r="K292" s="9">
        <f t="shared" si="31"/>
        <v>742.42008893385002</v>
      </c>
      <c r="L292" s="10">
        <f t="shared" si="30"/>
        <v>0.14333923744411931</v>
      </c>
      <c r="M292" s="10">
        <f>L292+ABS($N$2)*A292</f>
        <v>0.16984153104254843</v>
      </c>
      <c r="O292" s="11"/>
      <c r="P292" s="8">
        <f>(M292-$O$2)/$O$2*100</f>
        <v>-2.0150278872963665</v>
      </c>
    </row>
    <row r="293" spans="1:16" x14ac:dyDescent="0.2">
      <c r="A293" s="8">
        <v>145.5</v>
      </c>
      <c r="B293" s="8">
        <v>291</v>
      </c>
      <c r="D293">
        <v>5395.7502477701</v>
      </c>
      <c r="E293">
        <v>875.44598612488005</v>
      </c>
      <c r="F293">
        <v>144.36679920476999</v>
      </c>
      <c r="G293">
        <v>119.35188866799</v>
      </c>
      <c r="I293" s="9">
        <f t="shared" ref="I293:I301" si="36">E293-G293</f>
        <v>756.09409745689004</v>
      </c>
      <c r="J293" s="9">
        <f t="shared" ref="J293:J301" si="37">D293-F293</f>
        <v>5251.3834485653297</v>
      </c>
      <c r="K293" s="9">
        <f t="shared" si="31"/>
        <v>756.09409745689004</v>
      </c>
      <c r="L293" s="10">
        <f t="shared" si="30"/>
        <v>0.1439799825822001</v>
      </c>
      <c r="M293" s="10">
        <f t="shared" ref="M293:M301" si="38">L293+ABS($N$2)*A293</f>
        <v>0.17057366339993416</v>
      </c>
      <c r="P293" s="8">
        <f t="shared" ref="P293:P301" si="39">(M293-$O$2)/$O$2*100</f>
        <v>-1.5926461048142191</v>
      </c>
    </row>
    <row r="294" spans="1:16" x14ac:dyDescent="0.2">
      <c r="A294" s="8">
        <v>146</v>
      </c>
      <c r="B294" s="8">
        <v>292</v>
      </c>
      <c r="D294">
        <v>5451.2378592666</v>
      </c>
      <c r="E294">
        <v>879.58077304261997</v>
      </c>
      <c r="F294">
        <v>144.22166998012</v>
      </c>
      <c r="G294">
        <v>118.90059642147</v>
      </c>
      <c r="I294" s="9">
        <f t="shared" si="36"/>
        <v>760.68017662114994</v>
      </c>
      <c r="J294" s="9">
        <f t="shared" si="37"/>
        <v>5307.0161892864799</v>
      </c>
      <c r="K294" s="9">
        <f t="shared" si="31"/>
        <v>760.68017662114994</v>
      </c>
      <c r="L294" s="10">
        <f t="shared" si="30"/>
        <v>0.14333481366738063</v>
      </c>
      <c r="M294" s="10">
        <f t="shared" si="38"/>
        <v>0.17001988170441962</v>
      </c>
      <c r="N294" s="1"/>
      <c r="P294" s="8">
        <f t="shared" si="39"/>
        <v>-1.91213382762522</v>
      </c>
    </row>
    <row r="295" spans="1:16" x14ac:dyDescent="0.2">
      <c r="A295" s="8">
        <v>146.5</v>
      </c>
      <c r="B295" s="8">
        <v>293</v>
      </c>
      <c r="D295">
        <v>5446.3968410661</v>
      </c>
      <c r="E295">
        <v>877.71865745311004</v>
      </c>
      <c r="F295">
        <v>144.49900596422</v>
      </c>
      <c r="G295">
        <v>118.77534791252999</v>
      </c>
      <c r="I295" s="9">
        <f t="shared" si="36"/>
        <v>758.94330954058</v>
      </c>
      <c r="J295" s="9">
        <f t="shared" si="37"/>
        <v>5301.8978351018804</v>
      </c>
      <c r="K295" s="9">
        <f t="shared" si="31"/>
        <v>758.94330954058</v>
      </c>
      <c r="L295" s="10">
        <f t="shared" si="30"/>
        <v>0.14314559298293161</v>
      </c>
      <c r="M295" s="10">
        <f t="shared" si="38"/>
        <v>0.16992204823927554</v>
      </c>
      <c r="P295" s="8">
        <f t="shared" si="39"/>
        <v>-1.9685759080456471</v>
      </c>
    </row>
    <row r="296" spans="1:16" x14ac:dyDescent="0.2">
      <c r="A296" s="8">
        <v>147</v>
      </c>
      <c r="B296" s="8">
        <v>294</v>
      </c>
      <c r="D296">
        <v>5407.4284304046996</v>
      </c>
      <c r="E296">
        <v>873.07206317867997</v>
      </c>
      <c r="F296">
        <v>144.71471172962001</v>
      </c>
      <c r="G296">
        <v>119.01988071571</v>
      </c>
      <c r="I296" s="9">
        <f t="shared" si="36"/>
        <v>754.05218246296999</v>
      </c>
      <c r="J296" s="9">
        <f t="shared" si="37"/>
        <v>5262.7137186750797</v>
      </c>
      <c r="K296" s="9">
        <f t="shared" si="31"/>
        <v>754.05218246296999</v>
      </c>
      <c r="L296" s="10">
        <f t="shared" si="30"/>
        <v>0.14328200673108382</v>
      </c>
      <c r="M296" s="10">
        <f t="shared" si="38"/>
        <v>0.17014984920673265</v>
      </c>
      <c r="P296" s="8">
        <f t="shared" si="39"/>
        <v>-1.8371529792336097</v>
      </c>
    </row>
    <row r="297" spans="1:16" x14ac:dyDescent="0.2">
      <c r="A297" s="8">
        <v>147.5</v>
      </c>
      <c r="B297" s="8">
        <v>295</v>
      </c>
      <c r="D297">
        <v>5422.2142152023998</v>
      </c>
      <c r="E297">
        <v>876.32971372162001</v>
      </c>
      <c r="F297">
        <v>144.61431411531001</v>
      </c>
      <c r="G297">
        <v>118.63817097416</v>
      </c>
      <c r="I297" s="9">
        <f t="shared" si="36"/>
        <v>757.69154274746006</v>
      </c>
      <c r="J297" s="9">
        <f t="shared" si="37"/>
        <v>5277.5999010870901</v>
      </c>
      <c r="K297" s="9">
        <f t="shared" si="31"/>
        <v>757.69154274746006</v>
      </c>
      <c r="L297" s="10">
        <f t="shared" si="30"/>
        <v>0.1435674467462737</v>
      </c>
      <c r="M297" s="10">
        <f t="shared" si="38"/>
        <v>0.17052667644122746</v>
      </c>
      <c r="P297" s="8">
        <f t="shared" si="39"/>
        <v>-1.6197538199312183</v>
      </c>
    </row>
    <row r="298" spans="1:16" x14ac:dyDescent="0.2">
      <c r="A298" s="8">
        <v>148</v>
      </c>
      <c r="B298" s="8">
        <v>296</v>
      </c>
      <c r="D298">
        <v>5353.5626850937997</v>
      </c>
      <c r="E298">
        <v>863.43632773938998</v>
      </c>
      <c r="F298">
        <v>143.98210735587</v>
      </c>
      <c r="G298">
        <v>118.59045725646</v>
      </c>
      <c r="I298" s="9">
        <f t="shared" si="36"/>
        <v>744.84587048292997</v>
      </c>
      <c r="J298" s="9">
        <f t="shared" si="37"/>
        <v>5209.5805777379301</v>
      </c>
      <c r="K298" s="9">
        <f t="shared" si="31"/>
        <v>744.84587048292997</v>
      </c>
      <c r="L298" s="10">
        <f t="shared" si="30"/>
        <v>0.14297616849730196</v>
      </c>
      <c r="M298" s="10">
        <f t="shared" si="38"/>
        <v>0.17002678541156066</v>
      </c>
      <c r="P298" s="8">
        <f t="shared" si="39"/>
        <v>-1.9081509410630408</v>
      </c>
    </row>
    <row r="299" spans="1:16" x14ac:dyDescent="0.2">
      <c r="A299" s="8">
        <v>148.5</v>
      </c>
      <c r="B299" s="8">
        <v>297</v>
      </c>
      <c r="D299">
        <v>5470.0358208955004</v>
      </c>
      <c r="E299">
        <v>880.14029850745999</v>
      </c>
      <c r="F299">
        <v>144.40059642147</v>
      </c>
      <c r="G299">
        <v>118.72365805168999</v>
      </c>
      <c r="I299" s="9">
        <f t="shared" si="36"/>
        <v>761.41664045576999</v>
      </c>
      <c r="J299" s="9">
        <f t="shared" si="37"/>
        <v>5325.6352244740301</v>
      </c>
      <c r="K299" s="9">
        <f t="shared" si="31"/>
        <v>761.41664045576999</v>
      </c>
      <c r="L299" s="10">
        <f t="shared" si="30"/>
        <v>0.1429719851928028</v>
      </c>
      <c r="M299" s="10">
        <f t="shared" si="38"/>
        <v>0.17011398932636643</v>
      </c>
      <c r="P299" s="8">
        <f t="shared" si="39"/>
        <v>-1.8578412605749328</v>
      </c>
    </row>
    <row r="300" spans="1:16" x14ac:dyDescent="0.2">
      <c r="A300" s="8">
        <v>149</v>
      </c>
      <c r="B300" s="8">
        <v>298</v>
      </c>
      <c r="D300">
        <v>5456.7223880597003</v>
      </c>
      <c r="E300">
        <v>876.93034825870996</v>
      </c>
      <c r="F300">
        <v>143.67992047714</v>
      </c>
      <c r="G300">
        <v>118.21669980119</v>
      </c>
      <c r="I300" s="9">
        <f t="shared" si="36"/>
        <v>758.71364845751998</v>
      </c>
      <c r="J300" s="9">
        <f t="shared" si="37"/>
        <v>5313.0424675825607</v>
      </c>
      <c r="K300" s="9">
        <f t="shared" si="31"/>
        <v>758.71364845751998</v>
      </c>
      <c r="L300" s="10">
        <f t="shared" si="30"/>
        <v>0.14280210502490778</v>
      </c>
      <c r="M300" s="10">
        <f t="shared" si="38"/>
        <v>0.17003549637777632</v>
      </c>
      <c r="P300" s="8">
        <f t="shared" si="39"/>
        <v>-1.9031254106378459</v>
      </c>
    </row>
    <row r="301" spans="1:16" x14ac:dyDescent="0.2">
      <c r="A301" s="8">
        <v>149.5</v>
      </c>
      <c r="B301" s="8">
        <v>299</v>
      </c>
      <c r="D301">
        <v>5487.3064039409001</v>
      </c>
      <c r="E301">
        <v>885.23940886699995</v>
      </c>
      <c r="F301">
        <v>144.69681908549001</v>
      </c>
      <c r="G301">
        <v>118.48508946322001</v>
      </c>
      <c r="I301" s="9">
        <f t="shared" si="36"/>
        <v>766.75431940377996</v>
      </c>
      <c r="J301" s="9">
        <f t="shared" si="37"/>
        <v>5342.6095848554105</v>
      </c>
      <c r="K301" s="9">
        <f t="shared" si="31"/>
        <v>766.75431940377996</v>
      </c>
      <c r="L301" s="10">
        <f t="shared" si="30"/>
        <v>0.1435168164968077</v>
      </c>
      <c r="M301" s="10">
        <f t="shared" si="38"/>
        <v>0.17084159506898117</v>
      </c>
      <c r="P301" s="8">
        <f t="shared" si="39"/>
        <v>-1.4380709725804863</v>
      </c>
    </row>
    <row r="302" spans="1:16" x14ac:dyDescent="0.2">
      <c r="A302" s="8">
        <v>150</v>
      </c>
      <c r="B302" s="8">
        <v>300</v>
      </c>
      <c r="D302">
        <v>5440.7025948104001</v>
      </c>
      <c r="E302">
        <v>874.01896207585003</v>
      </c>
      <c r="F302">
        <v>144.10934393637999</v>
      </c>
      <c r="G302">
        <v>118.75149105368</v>
      </c>
      <c r="I302" s="9">
        <f>E302-G302</f>
        <v>755.26747102217007</v>
      </c>
      <c r="J302" s="9">
        <f>D302-F302</f>
        <v>5296.5932508740198</v>
      </c>
      <c r="K302" s="9">
        <f t="shared" si="31"/>
        <v>755.26747102217007</v>
      </c>
      <c r="L302" s="10">
        <f t="shared" si="30"/>
        <v>0.14259495401077651</v>
      </c>
      <c r="M302" s="10">
        <f>L302+ABS($N$2)*A302</f>
        <v>0.17001111980225492</v>
      </c>
      <c r="O302" s="11"/>
      <c r="P302" s="8">
        <f>(M302-$O$2)/$O$2*100</f>
        <v>-1.9171887440169435</v>
      </c>
    </row>
    <row r="303" spans="1:16" x14ac:dyDescent="0.2">
      <c r="A303" s="8">
        <v>150.5</v>
      </c>
      <c r="B303" s="8">
        <v>301</v>
      </c>
      <c r="D303">
        <v>5452.5209580838</v>
      </c>
      <c r="E303">
        <v>880.51097804390997</v>
      </c>
      <c r="F303">
        <v>144.28330019881</v>
      </c>
      <c r="G303">
        <v>118.7097415507</v>
      </c>
      <c r="I303" s="9">
        <f t="shared" ref="I303:I309" si="40">E303-G303</f>
        <v>761.80123649321001</v>
      </c>
      <c r="J303" s="9">
        <f t="shared" ref="J303:J309" si="41">D303-F303</f>
        <v>5308.2376578849899</v>
      </c>
      <c r="K303" s="9">
        <f t="shared" si="31"/>
        <v>761.80123649321001</v>
      </c>
      <c r="L303" s="10">
        <f t="shared" si="30"/>
        <v>0.14351302364196358</v>
      </c>
      <c r="M303" s="10">
        <f t="shared" ref="M303:M309" si="42">L303+ABS($N$2)*A303</f>
        <v>0.17102057665274692</v>
      </c>
      <c r="P303" s="8">
        <f t="shared" ref="P303:P309" si="43">(M303-$O$2)/$O$2*100</f>
        <v>-1.3348129214647004</v>
      </c>
    </row>
    <row r="304" spans="1:16" x14ac:dyDescent="0.2">
      <c r="A304" s="8">
        <v>151</v>
      </c>
      <c r="B304" s="8">
        <v>302</v>
      </c>
      <c r="D304">
        <v>5478.7075848303002</v>
      </c>
      <c r="E304">
        <v>883.26746506986001</v>
      </c>
      <c r="F304">
        <v>143.58250497018</v>
      </c>
      <c r="G304">
        <v>118.12425447315999</v>
      </c>
      <c r="I304" s="9">
        <f t="shared" si="40"/>
        <v>765.14321059669999</v>
      </c>
      <c r="J304" s="9">
        <f t="shared" si="41"/>
        <v>5335.1250798601204</v>
      </c>
      <c r="K304" s="9">
        <f t="shared" si="31"/>
        <v>765.14321059669999</v>
      </c>
      <c r="L304" s="10">
        <f t="shared" si="30"/>
        <v>0.14341617096946507</v>
      </c>
      <c r="M304" s="10">
        <f t="shared" si="42"/>
        <v>0.17101511119955334</v>
      </c>
      <c r="N304" s="1"/>
      <c r="P304" s="8">
        <f t="shared" si="43"/>
        <v>-1.3379660505931801</v>
      </c>
    </row>
    <row r="305" spans="1:16" x14ac:dyDescent="0.2">
      <c r="A305" s="8">
        <v>151.5</v>
      </c>
      <c r="B305" s="8">
        <v>303</v>
      </c>
      <c r="D305">
        <v>5536.0249500997998</v>
      </c>
      <c r="E305">
        <v>892.43512974051998</v>
      </c>
      <c r="F305">
        <v>144.42345924452999</v>
      </c>
      <c r="G305">
        <v>118.58449304174999</v>
      </c>
      <c r="I305" s="9">
        <f t="shared" si="40"/>
        <v>773.85063669877002</v>
      </c>
      <c r="J305" s="9">
        <f t="shared" si="41"/>
        <v>5391.6014908552697</v>
      </c>
      <c r="K305" s="9">
        <f t="shared" si="31"/>
        <v>773.85063669877002</v>
      </c>
      <c r="L305" s="10">
        <f t="shared" si="30"/>
        <v>0.14352890101601595</v>
      </c>
      <c r="M305" s="10">
        <f t="shared" si="42"/>
        <v>0.17121922846540916</v>
      </c>
      <c r="P305" s="8">
        <f t="shared" si="43"/>
        <v>-1.2202067223544779</v>
      </c>
    </row>
    <row r="306" spans="1:16" x14ac:dyDescent="0.2">
      <c r="A306" s="8">
        <v>152</v>
      </c>
      <c r="B306" s="8">
        <v>304</v>
      </c>
      <c r="D306">
        <v>5460.9860279441</v>
      </c>
      <c r="E306">
        <v>881.31536926147999</v>
      </c>
      <c r="F306">
        <v>144.31212723658001</v>
      </c>
      <c r="G306">
        <v>118.51491053677999</v>
      </c>
      <c r="I306" s="9">
        <f t="shared" si="40"/>
        <v>762.80045872469998</v>
      </c>
      <c r="J306" s="9">
        <f t="shared" si="41"/>
        <v>5316.6739007075203</v>
      </c>
      <c r="K306" s="9">
        <f t="shared" si="31"/>
        <v>762.80045872469998</v>
      </c>
      <c r="L306" s="10">
        <f t="shared" si="30"/>
        <v>0.14347324529781483</v>
      </c>
      <c r="M306" s="10">
        <f t="shared" si="42"/>
        <v>0.17125495996651294</v>
      </c>
      <c r="P306" s="8">
        <f t="shared" si="43"/>
        <v>-1.1995925055742378</v>
      </c>
    </row>
    <row r="307" spans="1:16" x14ac:dyDescent="0.2">
      <c r="A307" s="8">
        <v>152.5</v>
      </c>
      <c r="B307" s="8">
        <v>305</v>
      </c>
      <c r="D307">
        <v>5510.1327345309001</v>
      </c>
      <c r="E307">
        <v>889.81836327345002</v>
      </c>
      <c r="F307">
        <v>143.99204771372001</v>
      </c>
      <c r="G307">
        <v>118.14314115307999</v>
      </c>
      <c r="I307" s="9">
        <f t="shared" si="40"/>
        <v>771.67522212036999</v>
      </c>
      <c r="J307" s="9">
        <f t="shared" si="41"/>
        <v>5366.1406868171798</v>
      </c>
      <c r="K307" s="9">
        <f t="shared" si="31"/>
        <v>771.67522212036999</v>
      </c>
      <c r="L307" s="10">
        <f t="shared" si="30"/>
        <v>0.14380450814793563</v>
      </c>
      <c r="M307" s="10">
        <f t="shared" si="42"/>
        <v>0.17167761003593868</v>
      </c>
      <c r="P307" s="8">
        <f t="shared" si="43"/>
        <v>-0.95575723741630669</v>
      </c>
    </row>
    <row r="308" spans="1:16" x14ac:dyDescent="0.2">
      <c r="A308" s="8">
        <v>153</v>
      </c>
      <c r="B308" s="8">
        <v>306</v>
      </c>
      <c r="D308">
        <v>5431.3752495010003</v>
      </c>
      <c r="E308">
        <v>875.26546906188003</v>
      </c>
      <c r="F308">
        <v>144.00596421470999</v>
      </c>
      <c r="G308">
        <v>118.24453280317999</v>
      </c>
      <c r="I308" s="9">
        <f t="shared" si="40"/>
        <v>757.02093625869998</v>
      </c>
      <c r="J308" s="9">
        <f t="shared" si="41"/>
        <v>5287.3692852862905</v>
      </c>
      <c r="K308" s="9">
        <f t="shared" si="31"/>
        <v>757.02093625869998</v>
      </c>
      <c r="L308" s="10">
        <f t="shared" si="30"/>
        <v>0.14317534777934662</v>
      </c>
      <c r="M308" s="10">
        <f t="shared" si="42"/>
        <v>0.1711398368866546</v>
      </c>
      <c r="P308" s="8">
        <f t="shared" si="43"/>
        <v>-1.2660093101108252</v>
      </c>
    </row>
    <row r="309" spans="1:16" x14ac:dyDescent="0.2">
      <c r="A309" s="8">
        <v>153.5</v>
      </c>
      <c r="B309" s="8">
        <v>307</v>
      </c>
      <c r="D309">
        <v>5481.5453639082998</v>
      </c>
      <c r="E309">
        <v>884.66799601195999</v>
      </c>
      <c r="F309">
        <v>143.57852882704</v>
      </c>
      <c r="G309">
        <v>118.48508946322001</v>
      </c>
      <c r="I309" s="9">
        <f t="shared" si="40"/>
        <v>766.18290654873999</v>
      </c>
      <c r="J309" s="9">
        <f t="shared" si="41"/>
        <v>5337.9668350812599</v>
      </c>
      <c r="K309" s="9">
        <f t="shared" si="31"/>
        <v>766.18290654873999</v>
      </c>
      <c r="L309" s="10">
        <f t="shared" si="30"/>
        <v>0.14353459476618805</v>
      </c>
      <c r="M309" s="10">
        <f t="shared" si="42"/>
        <v>0.17159047109280096</v>
      </c>
      <c r="P309" s="8">
        <f t="shared" si="43"/>
        <v>-1.0060294344512066</v>
      </c>
    </row>
    <row r="310" spans="1:16" x14ac:dyDescent="0.2">
      <c r="A310" s="8">
        <v>154</v>
      </c>
      <c r="B310" s="8">
        <v>308</v>
      </c>
      <c r="D310">
        <v>5312.6620139581</v>
      </c>
      <c r="E310">
        <v>862.29511465603002</v>
      </c>
      <c r="F310">
        <v>143.47017892644001</v>
      </c>
      <c r="G310">
        <v>118.07554671968001</v>
      </c>
      <c r="I310" s="9">
        <f>E310-G310</f>
        <v>744.21956793635002</v>
      </c>
      <c r="J310" s="9">
        <f>D310-F310</f>
        <v>5169.19183503166</v>
      </c>
      <c r="K310" s="9">
        <f t="shared" si="31"/>
        <v>744.21956793635002</v>
      </c>
      <c r="L310" s="10">
        <f t="shared" si="30"/>
        <v>0.14397213175428453</v>
      </c>
      <c r="M310" s="10">
        <f>L310+ABS($N$2)*A310</f>
        <v>0.17211939530020237</v>
      </c>
      <c r="O310" s="11"/>
      <c r="P310" s="8">
        <f>(M310-$O$2)/$O$2*100</f>
        <v>-0.70088249310045991</v>
      </c>
    </row>
    <row r="311" spans="1:16" x14ac:dyDescent="0.2">
      <c r="A311" s="8">
        <v>154.5</v>
      </c>
      <c r="B311" s="8">
        <v>309</v>
      </c>
      <c r="D311">
        <v>5116.4563492063999</v>
      </c>
      <c r="E311">
        <v>843.31944444444002</v>
      </c>
      <c r="F311">
        <v>142.65805168986</v>
      </c>
      <c r="G311">
        <v>118.19483101391999</v>
      </c>
      <c r="I311" s="9">
        <f t="shared" ref="I311:I319" si="44">E311-G311</f>
        <v>725.12461343052007</v>
      </c>
      <c r="J311" s="9">
        <f t="shared" ref="J311:J319" si="45">D311-F311</f>
        <v>4973.7982975165396</v>
      </c>
      <c r="K311" s="9">
        <f t="shared" si="31"/>
        <v>725.12461343052007</v>
      </c>
      <c r="L311" s="10">
        <f t="shared" si="30"/>
        <v>0.14578890619520721</v>
      </c>
      <c r="M311" s="10">
        <f t="shared" ref="M311:M319" si="46">L311+ABS($N$2)*A311</f>
        <v>0.17402755696042996</v>
      </c>
      <c r="P311" s="8">
        <f t="shared" ref="P311:P319" si="47">(M311-$O$2)/$O$2*100</f>
        <v>0.39997408724378225</v>
      </c>
    </row>
    <row r="312" spans="1:16" x14ac:dyDescent="0.2">
      <c r="A312" s="8">
        <v>155</v>
      </c>
      <c r="B312" s="8">
        <v>310</v>
      </c>
      <c r="D312">
        <v>5048.6567460318001</v>
      </c>
      <c r="E312">
        <v>832.82936507936995</v>
      </c>
      <c r="F312">
        <v>143.17892644135</v>
      </c>
      <c r="G312">
        <v>118.19383697812999</v>
      </c>
      <c r="I312" s="9">
        <f t="shared" si="44"/>
        <v>714.63552810123997</v>
      </c>
      <c r="J312" s="9">
        <f t="shared" si="45"/>
        <v>4905.4778195904501</v>
      </c>
      <c r="K312" s="9">
        <f t="shared" si="31"/>
        <v>714.63552810123997</v>
      </c>
      <c r="L312" s="10">
        <f t="shared" si="30"/>
        <v>0.14568112513877468</v>
      </c>
      <c r="M312" s="10">
        <f t="shared" si="46"/>
        <v>0.17401116312330236</v>
      </c>
      <c r="N312" s="1"/>
      <c r="P312" s="8">
        <f t="shared" si="47"/>
        <v>0.39051615511194709</v>
      </c>
    </row>
    <row r="313" spans="1:16" x14ac:dyDescent="0.2">
      <c r="A313" s="8">
        <v>155.5</v>
      </c>
      <c r="B313" s="8">
        <v>311</v>
      </c>
      <c r="D313">
        <v>4853.6626984126997</v>
      </c>
      <c r="E313">
        <v>809.19841269841004</v>
      </c>
      <c r="F313">
        <v>142.42644135188999</v>
      </c>
      <c r="G313">
        <v>118.13220675944</v>
      </c>
      <c r="I313" s="9">
        <f t="shared" si="44"/>
        <v>691.06620593897003</v>
      </c>
      <c r="J313" s="9">
        <f t="shared" si="45"/>
        <v>4711.2362570608093</v>
      </c>
      <c r="K313" s="9">
        <f t="shared" si="31"/>
        <v>691.06620593897003</v>
      </c>
      <c r="L313" s="10">
        <f t="shared" si="30"/>
        <v>0.1466846849175219</v>
      </c>
      <c r="M313" s="10">
        <f t="shared" si="46"/>
        <v>0.17510611012135452</v>
      </c>
      <c r="P313" s="8">
        <f t="shared" si="47"/>
        <v>1.0222129515930811</v>
      </c>
    </row>
    <row r="314" spans="1:16" x14ac:dyDescent="0.2">
      <c r="A314" s="8">
        <v>156</v>
      </c>
      <c r="B314" s="8">
        <v>312</v>
      </c>
      <c r="D314">
        <v>4890.8224206348996</v>
      </c>
      <c r="E314">
        <v>810.56349206349</v>
      </c>
      <c r="F314">
        <v>142.78727634194999</v>
      </c>
      <c r="G314">
        <v>117.99005964215</v>
      </c>
      <c r="I314" s="9">
        <f t="shared" si="44"/>
        <v>692.57343242134004</v>
      </c>
      <c r="J314" s="9">
        <f t="shared" si="45"/>
        <v>4748.0351442929496</v>
      </c>
      <c r="K314" s="9">
        <f t="shared" si="31"/>
        <v>692.57343242134004</v>
      </c>
      <c r="L314" s="10">
        <f t="shared" si="30"/>
        <v>0.14586527086974083</v>
      </c>
      <c r="M314" s="10">
        <f t="shared" si="46"/>
        <v>0.17437808329287838</v>
      </c>
      <c r="P314" s="8">
        <f t="shared" si="47"/>
        <v>0.602199730753333</v>
      </c>
    </row>
    <row r="315" spans="1:16" x14ac:dyDescent="0.2">
      <c r="A315" s="8">
        <v>156.5</v>
      </c>
      <c r="B315" s="8">
        <v>313</v>
      </c>
      <c r="D315">
        <v>4847.6478174602998</v>
      </c>
      <c r="E315">
        <v>802.33333333332996</v>
      </c>
      <c r="F315">
        <v>143.11928429424</v>
      </c>
      <c r="G315">
        <v>118.33399602386</v>
      </c>
      <c r="I315" s="9">
        <f t="shared" si="44"/>
        <v>683.99933730946998</v>
      </c>
      <c r="J315" s="9">
        <f t="shared" si="45"/>
        <v>4704.5285331660598</v>
      </c>
      <c r="K315" s="9">
        <f t="shared" si="31"/>
        <v>683.99933730946998</v>
      </c>
      <c r="L315" s="10">
        <f t="shared" si="30"/>
        <v>0.14539168643306138</v>
      </c>
      <c r="M315" s="10">
        <f t="shared" si="46"/>
        <v>0.17399588607550384</v>
      </c>
      <c r="P315" s="8">
        <f t="shared" si="47"/>
        <v>0.3817025210536924</v>
      </c>
    </row>
    <row r="316" spans="1:16" x14ac:dyDescent="0.2">
      <c r="A316" s="8">
        <v>157</v>
      </c>
      <c r="B316" s="8">
        <v>314</v>
      </c>
      <c r="D316">
        <v>4812.6904761904998</v>
      </c>
      <c r="E316">
        <v>798.85317460318004</v>
      </c>
      <c r="F316">
        <v>142.88767395625999</v>
      </c>
      <c r="G316">
        <v>117.68389662028</v>
      </c>
      <c r="I316" s="9">
        <f t="shared" si="44"/>
        <v>681.16927798289998</v>
      </c>
      <c r="J316" s="9">
        <f t="shared" si="45"/>
        <v>4669.8028022342396</v>
      </c>
      <c r="K316" s="9">
        <f t="shared" si="31"/>
        <v>681.16927798289998</v>
      </c>
      <c r="L316" s="10">
        <f t="shared" si="30"/>
        <v>0.14586681854253</v>
      </c>
      <c r="M316" s="10">
        <f t="shared" si="46"/>
        <v>0.17456240540427739</v>
      </c>
      <c r="P316" s="8">
        <f t="shared" si="47"/>
        <v>0.70853883894626757</v>
      </c>
    </row>
    <row r="317" spans="1:16" x14ac:dyDescent="0.2">
      <c r="A317" s="8">
        <v>157.5</v>
      </c>
      <c r="B317" s="8">
        <v>315</v>
      </c>
      <c r="D317">
        <v>4829.8869047619</v>
      </c>
      <c r="E317">
        <v>802.74603174602998</v>
      </c>
      <c r="F317">
        <v>142.82604373757999</v>
      </c>
      <c r="G317">
        <v>118.01491053677999</v>
      </c>
      <c r="I317" s="9">
        <f t="shared" si="44"/>
        <v>684.73112120924998</v>
      </c>
      <c r="J317" s="9">
        <f t="shared" si="45"/>
        <v>4687.0608610243198</v>
      </c>
      <c r="K317" s="9">
        <f t="shared" si="31"/>
        <v>684.73112120924998</v>
      </c>
      <c r="L317" s="10">
        <f t="shared" si="30"/>
        <v>0.1460896586394245</v>
      </c>
      <c r="M317" s="10">
        <f t="shared" si="46"/>
        <v>0.17487663272047682</v>
      </c>
      <c r="P317" s="8">
        <f t="shared" si="47"/>
        <v>0.88982285485128965</v>
      </c>
    </row>
    <row r="318" spans="1:16" x14ac:dyDescent="0.2">
      <c r="A318" s="8">
        <v>158</v>
      </c>
      <c r="B318" s="8">
        <v>316</v>
      </c>
      <c r="D318">
        <v>4822.4639684106996</v>
      </c>
      <c r="E318">
        <v>803.48667324778</v>
      </c>
      <c r="F318">
        <v>142.07654075547001</v>
      </c>
      <c r="G318">
        <v>117.82306163022</v>
      </c>
      <c r="I318" s="9">
        <f t="shared" si="44"/>
        <v>685.66361161756004</v>
      </c>
      <c r="J318" s="9">
        <f t="shared" si="45"/>
        <v>4680.3874276552297</v>
      </c>
      <c r="K318" s="9">
        <f t="shared" si="31"/>
        <v>685.66361161756004</v>
      </c>
      <c r="L318" s="10">
        <f t="shared" si="30"/>
        <v>0.14649719114408064</v>
      </c>
      <c r="M318" s="10">
        <f t="shared" si="46"/>
        <v>0.17537555244443789</v>
      </c>
      <c r="P318" s="8">
        <f t="shared" si="47"/>
        <v>1.1776596103181043</v>
      </c>
    </row>
    <row r="319" spans="1:16" x14ac:dyDescent="0.2">
      <c r="A319" s="8">
        <v>158.5</v>
      </c>
      <c r="B319" s="8">
        <v>317</v>
      </c>
      <c r="D319">
        <v>4758.8616915422999</v>
      </c>
      <c r="E319">
        <v>794.24477611939994</v>
      </c>
      <c r="F319">
        <v>141.86282306163</v>
      </c>
      <c r="G319">
        <v>118.27534791252999</v>
      </c>
      <c r="I319" s="9">
        <f t="shared" si="44"/>
        <v>675.96942820686991</v>
      </c>
      <c r="J319" s="9">
        <f t="shared" si="45"/>
        <v>4616.9988684806704</v>
      </c>
      <c r="K319" s="9">
        <f t="shared" si="31"/>
        <v>675.96942820686991</v>
      </c>
      <c r="L319" s="10">
        <f t="shared" si="30"/>
        <v>0.14640883557966156</v>
      </c>
      <c r="M319" s="10">
        <f t="shared" si="46"/>
        <v>0.17537858409932375</v>
      </c>
      <c r="P319" s="8">
        <f t="shared" si="47"/>
        <v>1.1794086325838737</v>
      </c>
    </row>
    <row r="320" spans="1:16" x14ac:dyDescent="0.2">
      <c r="A320" s="8">
        <v>159</v>
      </c>
      <c r="B320" s="8">
        <v>318</v>
      </c>
      <c r="D320">
        <v>4749.6497512438</v>
      </c>
      <c r="E320">
        <v>791.81890547264004</v>
      </c>
      <c r="F320">
        <v>141.99701789264</v>
      </c>
      <c r="G320">
        <v>117.94234592445</v>
      </c>
      <c r="I320" s="9">
        <f>E320-G320</f>
        <v>673.87655954819002</v>
      </c>
      <c r="J320" s="9">
        <f>D320-F320</f>
        <v>4607.6527333511604</v>
      </c>
      <c r="K320" s="9">
        <f t="shared" si="31"/>
        <v>673.87655954819002</v>
      </c>
      <c r="L320" s="10">
        <f t="shared" si="30"/>
        <v>0.14625159458535789</v>
      </c>
      <c r="M320" s="10">
        <f>L320+ABS($N$2)*A320</f>
        <v>0.17531273032432498</v>
      </c>
      <c r="O320" s="11"/>
      <c r="P320" s="8">
        <f>(M320-$O$2)/$O$2*100</f>
        <v>1.1414162742533684</v>
      </c>
    </row>
    <row r="321" spans="1:16" x14ac:dyDescent="0.2">
      <c r="A321" s="8">
        <v>159.5</v>
      </c>
      <c r="B321" s="8">
        <v>319</v>
      </c>
      <c r="D321">
        <v>4690.1900497511997</v>
      </c>
      <c r="E321">
        <v>787.55820895522004</v>
      </c>
      <c r="F321">
        <v>142.13320079523001</v>
      </c>
      <c r="G321">
        <v>117.64612326044001</v>
      </c>
      <c r="I321" s="9">
        <f t="shared" ref="I321" si="48">E321-G321</f>
        <v>669.91208569477999</v>
      </c>
      <c r="J321" s="9">
        <f t="shared" ref="J321" si="49">D321-F321</f>
        <v>4548.0568489559701</v>
      </c>
      <c r="K321" s="9">
        <f t="shared" si="31"/>
        <v>669.91208569477999</v>
      </c>
      <c r="L321" s="10">
        <f t="shared" si="30"/>
        <v>0.14729633070627993</v>
      </c>
      <c r="M321" s="10">
        <f t="shared" ref="M321" si="50">L321+ABS($N$2)*A321</f>
        <v>0.17644885366455196</v>
      </c>
      <c r="P321" s="8">
        <f t="shared" ref="P321" si="51">(M321-$O$2)/$O$2*100</f>
        <v>1.7968685250979708</v>
      </c>
    </row>
    <row r="322" spans="1:16" x14ac:dyDescent="0.2">
      <c r="A322" s="8">
        <v>160</v>
      </c>
      <c r="D322">
        <v>4726.8134920635002</v>
      </c>
      <c r="E322">
        <v>795.22619047619003</v>
      </c>
      <c r="F322">
        <v>141.82405566599999</v>
      </c>
      <c r="G322">
        <v>117.72266401591</v>
      </c>
      <c r="I322" s="9">
        <f t="shared" ref="I322" si="52">E322-G322</f>
        <v>677.50352646028</v>
      </c>
      <c r="J322" s="9">
        <f t="shared" ref="J322" si="53">D322-F322</f>
        <v>4584.9894363975</v>
      </c>
      <c r="K322" s="9">
        <f t="shared" ref="K322" si="54">I322*1</f>
        <v>677.50352646028</v>
      </c>
      <c r="L322" s="10">
        <f t="shared" ref="L322" si="55">K322/J322</f>
        <v>0.14776555886519238</v>
      </c>
      <c r="M322" s="10">
        <f t="shared" ref="M322" si="56">L322+ABS($N$2)*A322</f>
        <v>0.17700946904276935</v>
      </c>
      <c r="P322" s="8">
        <f t="shared" ref="P322" si="57">(M322-$O$2)/$O$2*100</f>
        <v>2.1202987359739089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7FFF5-28DE-444B-BB66-E226CACA11C0}">
  <dimension ref="A1:Y798"/>
  <sheetViews>
    <sheetView zoomScale="75" zoomScaleNormal="70" workbookViewId="0">
      <selection activeCell="P2" sqref="P2:P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1193.2888735314</v>
      </c>
      <c r="E2">
        <v>298.26123013131001</v>
      </c>
      <c r="F2">
        <v>134.29338842975</v>
      </c>
      <c r="G2">
        <v>116.00137741047</v>
      </c>
      <c r="H2" s="4"/>
      <c r="I2" s="5">
        <f>E2-G2</f>
        <v>182.25985272084</v>
      </c>
      <c r="J2" s="5">
        <f>D2-F2</f>
        <v>1058.99548510165</v>
      </c>
      <c r="K2" s="9">
        <f>I2*1</f>
        <v>182.25985272084</v>
      </c>
      <c r="L2" s="6">
        <f t="shared" ref="L2:L65" si="0">K2/J2</f>
        <v>0.17210635482864725</v>
      </c>
      <c r="M2" s="6">
        <f>L2+ABS($N$2)*A2</f>
        <v>0.17210635482864725</v>
      </c>
      <c r="N2" s="4">
        <f>LINEST(V64:V103,U64:U103)</f>
        <v>2.4199648065641313E-4</v>
      </c>
      <c r="O2" s="7">
        <f>AVERAGE(M62:M81)</f>
        <v>0.16899346345705946</v>
      </c>
      <c r="P2" s="4">
        <f>(M2-$O$2)/$O$2*100</f>
        <v>1.8420188023300488</v>
      </c>
    </row>
    <row r="3" spans="1:16" x14ac:dyDescent="0.2">
      <c r="A3" s="8">
        <v>0.5</v>
      </c>
      <c r="B3" s="8">
        <v>1</v>
      </c>
      <c r="D3">
        <v>1200.8631651692999</v>
      </c>
      <c r="E3">
        <v>293.12992398065001</v>
      </c>
      <c r="F3">
        <v>133.96694214876001</v>
      </c>
      <c r="G3">
        <v>115.89187327824</v>
      </c>
      <c r="I3" s="9">
        <f t="shared" ref="I3:I66" si="1">E3-G3</f>
        <v>177.23805070241002</v>
      </c>
      <c r="J3" s="9">
        <f t="shared" ref="J3:J66" si="2">D3-F3</f>
        <v>1066.89622302054</v>
      </c>
      <c r="K3" s="9">
        <f t="shared" ref="K3:K66" si="3">I3*1</f>
        <v>177.23805070241002</v>
      </c>
      <c r="L3" s="10">
        <f t="shared" si="0"/>
        <v>0.16612492094181669</v>
      </c>
      <c r="M3" s="10">
        <f t="shared" ref="M3:M66" si="4">L3+ABS($N$2)*A3</f>
        <v>0.1662459191821449</v>
      </c>
      <c r="P3" s="8">
        <f t="shared" ref="P3:P66" si="5">(M3-$O$2)/$O$2*100</f>
        <v>-1.6258287265724296</v>
      </c>
    </row>
    <row r="4" spans="1:16" ht="16" x14ac:dyDescent="0.2">
      <c r="A4" s="8">
        <v>1</v>
      </c>
      <c r="B4" s="8">
        <v>2</v>
      </c>
      <c r="D4">
        <v>1188.7429163787001</v>
      </c>
      <c r="E4">
        <v>289.78299930892001</v>
      </c>
      <c r="F4">
        <v>134.60674931130001</v>
      </c>
      <c r="G4">
        <v>115.75344352617</v>
      </c>
      <c r="I4" s="9">
        <f t="shared" si="1"/>
        <v>174.02955578275001</v>
      </c>
      <c r="J4" s="9">
        <f t="shared" si="2"/>
        <v>1054.1361670674</v>
      </c>
      <c r="K4" s="9">
        <f t="shared" si="3"/>
        <v>174.02955578275001</v>
      </c>
      <c r="L4" s="10">
        <f t="shared" si="0"/>
        <v>0.16509210215877432</v>
      </c>
      <c r="M4" s="10">
        <f t="shared" si="4"/>
        <v>0.16533409863943074</v>
      </c>
      <c r="N4" s="1" t="s">
        <v>7</v>
      </c>
      <c r="P4" s="8">
        <f t="shared" si="5"/>
        <v>-2.165388378207032</v>
      </c>
    </row>
    <row r="5" spans="1:16" x14ac:dyDescent="0.2">
      <c r="A5" s="8">
        <v>1.5</v>
      </c>
      <c r="B5" s="8">
        <v>3</v>
      </c>
      <c r="D5">
        <v>1127.3552176917999</v>
      </c>
      <c r="E5">
        <v>279.74222529371002</v>
      </c>
      <c r="F5">
        <v>134.40702479339001</v>
      </c>
      <c r="G5">
        <v>115.91391184573</v>
      </c>
      <c r="I5" s="9">
        <f t="shared" si="1"/>
        <v>163.82831344798001</v>
      </c>
      <c r="J5" s="9">
        <f t="shared" si="2"/>
        <v>992.94819289840984</v>
      </c>
      <c r="K5" s="9">
        <f t="shared" si="3"/>
        <v>163.82831344798001</v>
      </c>
      <c r="L5" s="10">
        <f t="shared" si="0"/>
        <v>0.16499180382187528</v>
      </c>
      <c r="M5" s="10">
        <f t="shared" si="4"/>
        <v>0.16535479854285989</v>
      </c>
      <c r="N5" s="8">
        <f>RSQ(V64:V83,U64:U83)</f>
        <v>0.14097314014380771</v>
      </c>
      <c r="P5" s="8">
        <f t="shared" si="5"/>
        <v>-2.1531394408779208</v>
      </c>
    </row>
    <row r="6" spans="1:16" x14ac:dyDescent="0.2">
      <c r="A6" s="8">
        <v>2</v>
      </c>
      <c r="B6" s="8">
        <v>4</v>
      </c>
      <c r="D6">
        <v>1057.8286109190999</v>
      </c>
      <c r="E6">
        <v>272.56599861783002</v>
      </c>
      <c r="F6">
        <v>134.16184573003</v>
      </c>
      <c r="G6">
        <v>115.86776859504</v>
      </c>
      <c r="I6" s="9">
        <f t="shared" si="1"/>
        <v>156.69823002279003</v>
      </c>
      <c r="J6" s="9">
        <f t="shared" si="2"/>
        <v>923.66676518906991</v>
      </c>
      <c r="K6" s="9">
        <f t="shared" si="3"/>
        <v>156.69823002279003</v>
      </c>
      <c r="L6" s="10">
        <f t="shared" si="0"/>
        <v>0.16964801152146541</v>
      </c>
      <c r="M6" s="10">
        <f t="shared" si="4"/>
        <v>0.17013200448277824</v>
      </c>
      <c r="P6" s="8">
        <f t="shared" si="5"/>
        <v>0.67371897257320823</v>
      </c>
    </row>
    <row r="7" spans="1:16" x14ac:dyDescent="0.2">
      <c r="A7" s="8">
        <v>2.5</v>
      </c>
      <c r="B7" s="8">
        <v>5</v>
      </c>
      <c r="D7">
        <v>718.53282653765996</v>
      </c>
      <c r="E7">
        <v>243.49619903248001</v>
      </c>
      <c r="F7">
        <v>134.84504132231001</v>
      </c>
      <c r="G7">
        <v>116.20730027547999</v>
      </c>
      <c r="I7" s="9">
        <f t="shared" si="1"/>
        <v>127.28889875700001</v>
      </c>
      <c r="J7" s="9">
        <f t="shared" si="2"/>
        <v>583.68778521535</v>
      </c>
      <c r="K7" s="9">
        <f t="shared" si="3"/>
        <v>127.28889875700001</v>
      </c>
      <c r="L7" s="10">
        <f t="shared" si="0"/>
        <v>0.21807703018838595</v>
      </c>
      <c r="M7" s="10">
        <f t="shared" si="4"/>
        <v>0.21868202139002699</v>
      </c>
      <c r="P7" s="8">
        <f t="shared" si="5"/>
        <v>29.402650798735298</v>
      </c>
    </row>
    <row r="8" spans="1:16" x14ac:dyDescent="0.2">
      <c r="A8" s="8">
        <v>3</v>
      </c>
      <c r="B8" s="8">
        <v>6</v>
      </c>
      <c r="D8">
        <v>710.82861091914003</v>
      </c>
      <c r="E8">
        <v>242.88942639945</v>
      </c>
      <c r="F8">
        <v>134.91253443526</v>
      </c>
      <c r="G8">
        <v>116.27134986226</v>
      </c>
      <c r="I8" s="9">
        <f t="shared" si="1"/>
        <v>126.61807653719001</v>
      </c>
      <c r="J8" s="9">
        <f t="shared" si="2"/>
        <v>575.91607648388003</v>
      </c>
      <c r="K8" s="9">
        <f t="shared" si="3"/>
        <v>126.61807653719001</v>
      </c>
      <c r="L8" s="10">
        <f t="shared" si="0"/>
        <v>0.21985508254992089</v>
      </c>
      <c r="M8" s="10">
        <f t="shared" si="4"/>
        <v>0.22058107199189014</v>
      </c>
      <c r="P8" s="8">
        <f t="shared" si="5"/>
        <v>30.5263928435545</v>
      </c>
    </row>
    <row r="9" spans="1:16" x14ac:dyDescent="0.2">
      <c r="A9" s="8">
        <v>3.5</v>
      </c>
      <c r="B9" s="8">
        <v>7</v>
      </c>
      <c r="D9">
        <v>753.16447823082001</v>
      </c>
      <c r="E9">
        <v>246.63579820318</v>
      </c>
      <c r="F9">
        <v>134.66666666667001</v>
      </c>
      <c r="G9">
        <v>115.75344352617</v>
      </c>
      <c r="I9" s="9">
        <f t="shared" si="1"/>
        <v>130.88235467701</v>
      </c>
      <c r="J9" s="9">
        <f t="shared" si="2"/>
        <v>618.49781156414997</v>
      </c>
      <c r="K9" s="9">
        <f t="shared" si="3"/>
        <v>130.88235467701</v>
      </c>
      <c r="L9" s="10">
        <f t="shared" si="0"/>
        <v>0.21161328662750656</v>
      </c>
      <c r="M9" s="10">
        <f t="shared" si="4"/>
        <v>0.21246027430980399</v>
      </c>
      <c r="P9" s="8">
        <f t="shared" si="5"/>
        <v>25.721001252684118</v>
      </c>
    </row>
    <row r="10" spans="1:16" x14ac:dyDescent="0.2">
      <c r="A10" s="8">
        <v>4</v>
      </c>
      <c r="B10" s="8">
        <v>8</v>
      </c>
      <c r="D10">
        <v>1424.2222986924</v>
      </c>
      <c r="E10">
        <v>322.34480385410001</v>
      </c>
      <c r="F10">
        <v>134.74862258952999</v>
      </c>
      <c r="G10">
        <v>116.19628099174</v>
      </c>
      <c r="I10" s="9">
        <f t="shared" si="1"/>
        <v>206.14852286236001</v>
      </c>
      <c r="J10" s="9">
        <f t="shared" si="2"/>
        <v>1289.4736761028701</v>
      </c>
      <c r="K10" s="9">
        <f t="shared" si="3"/>
        <v>206.14852286236001</v>
      </c>
      <c r="L10" s="10">
        <f t="shared" si="0"/>
        <v>0.15987028404131157</v>
      </c>
      <c r="M10" s="10">
        <f t="shared" si="4"/>
        <v>0.16083826996393721</v>
      </c>
      <c r="P10" s="8">
        <f t="shared" si="5"/>
        <v>-4.8257449290010221</v>
      </c>
    </row>
    <row r="11" spans="1:16" x14ac:dyDescent="0.2">
      <c r="A11" s="8">
        <v>4.5</v>
      </c>
      <c r="B11" s="8">
        <v>9</v>
      </c>
      <c r="D11">
        <v>1685.7274604267</v>
      </c>
      <c r="E11">
        <v>345.89057123192998</v>
      </c>
      <c r="F11">
        <v>134.51584022039</v>
      </c>
      <c r="G11">
        <v>116.42975206612</v>
      </c>
      <c r="I11" s="9">
        <f t="shared" si="1"/>
        <v>229.46081916580999</v>
      </c>
      <c r="J11" s="9">
        <f t="shared" si="2"/>
        <v>1551.21162020631</v>
      </c>
      <c r="K11" s="9">
        <f t="shared" si="3"/>
        <v>229.46081916580999</v>
      </c>
      <c r="L11" s="10">
        <f t="shared" si="0"/>
        <v>0.14792360769918153</v>
      </c>
      <c r="M11" s="10">
        <f t="shared" si="4"/>
        <v>0.14901259186213539</v>
      </c>
      <c r="P11" s="8">
        <f t="shared" si="5"/>
        <v>-11.823458248727544</v>
      </c>
    </row>
    <row r="12" spans="1:16" x14ac:dyDescent="0.2">
      <c r="A12" s="8">
        <v>5</v>
      </c>
      <c r="B12" s="8">
        <v>10</v>
      </c>
      <c r="D12">
        <v>1953.7707618393999</v>
      </c>
      <c r="E12">
        <v>386.17433081675</v>
      </c>
      <c r="F12">
        <v>134.54820936639001</v>
      </c>
      <c r="G12">
        <v>116.04958677686</v>
      </c>
      <c r="I12" s="9">
        <f t="shared" si="1"/>
        <v>270.12474403989</v>
      </c>
      <c r="J12" s="9">
        <f t="shared" si="2"/>
        <v>1819.22255247301</v>
      </c>
      <c r="K12" s="9">
        <f t="shared" si="3"/>
        <v>270.12474403989</v>
      </c>
      <c r="L12" s="10">
        <f t="shared" si="0"/>
        <v>0.14848361662661258</v>
      </c>
      <c r="M12" s="10">
        <f t="shared" si="4"/>
        <v>0.14969359902989465</v>
      </c>
      <c r="P12" s="8">
        <f t="shared" si="5"/>
        <v>-11.420479841262511</v>
      </c>
    </row>
    <row r="13" spans="1:16" x14ac:dyDescent="0.2">
      <c r="A13" s="8">
        <v>5.5</v>
      </c>
      <c r="B13" s="8">
        <v>11</v>
      </c>
      <c r="D13">
        <v>2004.7117364448</v>
      </c>
      <c r="E13">
        <v>388.42759094028997</v>
      </c>
      <c r="F13">
        <v>134.73691460054999</v>
      </c>
      <c r="G13">
        <v>116.16322314049999</v>
      </c>
      <c r="I13" s="9">
        <f t="shared" si="1"/>
        <v>272.26436779978997</v>
      </c>
      <c r="J13" s="9">
        <f t="shared" si="2"/>
        <v>1869.9748218442501</v>
      </c>
      <c r="K13" s="9">
        <f t="shared" si="3"/>
        <v>272.26436779978997</v>
      </c>
      <c r="L13" s="10">
        <f t="shared" si="0"/>
        <v>0.1455978789763977</v>
      </c>
      <c r="M13" s="10">
        <f t="shared" si="4"/>
        <v>0.14692885962000798</v>
      </c>
      <c r="P13" s="8">
        <f t="shared" si="5"/>
        <v>-13.056483597460558</v>
      </c>
    </row>
    <row r="14" spans="1:16" x14ac:dyDescent="0.2">
      <c r="A14" s="8">
        <v>6</v>
      </c>
      <c r="B14" s="8">
        <v>12</v>
      </c>
      <c r="D14">
        <v>2023.5161290322999</v>
      </c>
      <c r="E14">
        <v>389.37817433082</v>
      </c>
      <c r="F14">
        <v>134.82506887052</v>
      </c>
      <c r="G14">
        <v>115.92217630854</v>
      </c>
      <c r="I14" s="9">
        <f t="shared" si="1"/>
        <v>273.45599802228003</v>
      </c>
      <c r="J14" s="9">
        <f t="shared" si="2"/>
        <v>1888.6910601617799</v>
      </c>
      <c r="K14" s="9">
        <f t="shared" si="3"/>
        <v>273.45599802228003</v>
      </c>
      <c r="L14" s="10">
        <f t="shared" si="0"/>
        <v>0.1447859863321726</v>
      </c>
      <c r="M14" s="10">
        <f t="shared" si="4"/>
        <v>0.14623796521611107</v>
      </c>
      <c r="P14" s="8">
        <f t="shared" si="5"/>
        <v>-13.46531266680055</v>
      </c>
    </row>
    <row r="15" spans="1:16" x14ac:dyDescent="0.2">
      <c r="A15" s="8">
        <v>6.5</v>
      </c>
      <c r="B15" s="8">
        <v>13</v>
      </c>
      <c r="D15">
        <v>2018.4124914207</v>
      </c>
      <c r="E15">
        <v>393.57995881949</v>
      </c>
      <c r="F15">
        <v>134.71625344353001</v>
      </c>
      <c r="G15">
        <v>116.50413223141</v>
      </c>
      <c r="I15" s="9">
        <f t="shared" si="1"/>
        <v>277.07582658808002</v>
      </c>
      <c r="J15" s="9">
        <f t="shared" si="2"/>
        <v>1883.6962379771701</v>
      </c>
      <c r="K15" s="9">
        <f t="shared" si="3"/>
        <v>277.07582658808002</v>
      </c>
      <c r="L15" s="10">
        <f t="shared" si="0"/>
        <v>0.14709156444757845</v>
      </c>
      <c r="M15" s="10">
        <f t="shared" si="4"/>
        <v>0.14866454157184514</v>
      </c>
      <c r="P15" s="8">
        <f t="shared" si="5"/>
        <v>-12.029413131934428</v>
      </c>
    </row>
    <row r="16" spans="1:16" x14ac:dyDescent="0.2">
      <c r="A16" s="8">
        <v>7</v>
      </c>
      <c r="B16" s="8">
        <v>14</v>
      </c>
      <c r="D16">
        <v>1973.5696636924999</v>
      </c>
      <c r="E16">
        <v>389.53466026081003</v>
      </c>
      <c r="F16">
        <v>134.67630853995001</v>
      </c>
      <c r="G16">
        <v>116.17355371901</v>
      </c>
      <c r="I16" s="9">
        <f t="shared" si="1"/>
        <v>273.36110654180004</v>
      </c>
      <c r="J16" s="9">
        <f t="shared" si="2"/>
        <v>1838.8933551525499</v>
      </c>
      <c r="K16" s="9">
        <f t="shared" si="3"/>
        <v>273.36110654180004</v>
      </c>
      <c r="L16" s="10">
        <f t="shared" si="0"/>
        <v>0.14865522558763214</v>
      </c>
      <c r="M16" s="10">
        <f t="shared" si="4"/>
        <v>0.15034920095222704</v>
      </c>
      <c r="P16" s="8">
        <f t="shared" si="5"/>
        <v>-11.032534704852564</v>
      </c>
    </row>
    <row r="17" spans="1:16" x14ac:dyDescent="0.2">
      <c r="A17" s="8">
        <v>7.5</v>
      </c>
      <c r="B17" s="8">
        <v>15</v>
      </c>
      <c r="D17">
        <v>2015.2810143934</v>
      </c>
      <c r="E17">
        <v>394.82316655243</v>
      </c>
      <c r="F17">
        <v>134.95454545454999</v>
      </c>
      <c r="G17">
        <v>116.08539944904</v>
      </c>
      <c r="I17" s="9">
        <f t="shared" si="1"/>
        <v>278.73776710339001</v>
      </c>
      <c r="J17" s="9">
        <f t="shared" si="2"/>
        <v>1880.32646893885</v>
      </c>
      <c r="K17" s="9">
        <f t="shared" si="3"/>
        <v>278.73776710339001</v>
      </c>
      <c r="L17" s="10">
        <f t="shared" si="0"/>
        <v>0.14823902748159146</v>
      </c>
      <c r="M17" s="10">
        <f t="shared" si="4"/>
        <v>0.15005400108651457</v>
      </c>
      <c r="P17" s="8">
        <f t="shared" si="5"/>
        <v>-11.207215937885865</v>
      </c>
    </row>
    <row r="18" spans="1:16" x14ac:dyDescent="0.2">
      <c r="A18" s="8">
        <v>8</v>
      </c>
      <c r="B18" s="8">
        <v>16</v>
      </c>
      <c r="D18">
        <v>1955.2611377656001</v>
      </c>
      <c r="E18">
        <v>386.97464016449999</v>
      </c>
      <c r="F18">
        <v>134.36776859503999</v>
      </c>
      <c r="G18">
        <v>115.96831955923</v>
      </c>
      <c r="I18" s="9">
        <f t="shared" si="1"/>
        <v>271.00632060526999</v>
      </c>
      <c r="J18" s="9">
        <f t="shared" si="2"/>
        <v>1820.8933691705602</v>
      </c>
      <c r="K18" s="9">
        <f t="shared" si="3"/>
        <v>271.00632060526999</v>
      </c>
      <c r="L18" s="10">
        <f t="shared" si="0"/>
        <v>0.14883151599849956</v>
      </c>
      <c r="M18" s="10">
        <f t="shared" si="4"/>
        <v>0.15076748784375085</v>
      </c>
      <c r="P18" s="8">
        <f t="shared" si="5"/>
        <v>-10.785018095057712</v>
      </c>
    </row>
    <row r="19" spans="1:16" x14ac:dyDescent="0.2">
      <c r="A19" s="8">
        <v>8.5</v>
      </c>
      <c r="B19" s="8">
        <v>17</v>
      </c>
      <c r="D19">
        <v>1951.2474297464</v>
      </c>
      <c r="E19">
        <v>386.09801233721998</v>
      </c>
      <c r="F19">
        <v>134.82300275482001</v>
      </c>
      <c r="G19">
        <v>116.39325068871</v>
      </c>
      <c r="I19" s="9">
        <f t="shared" si="1"/>
        <v>269.70476164850999</v>
      </c>
      <c r="J19" s="9">
        <f t="shared" si="2"/>
        <v>1816.42442699158</v>
      </c>
      <c r="K19" s="9">
        <f t="shared" si="3"/>
        <v>269.70476164850999</v>
      </c>
      <c r="L19" s="10">
        <f t="shared" si="0"/>
        <v>0.14848113559847001</v>
      </c>
      <c r="M19" s="10">
        <f t="shared" si="4"/>
        <v>0.15053810568404952</v>
      </c>
      <c r="P19" s="8">
        <f t="shared" si="5"/>
        <v>-10.920752433539755</v>
      </c>
    </row>
    <row r="20" spans="1:16" x14ac:dyDescent="0.2">
      <c r="A20" s="8">
        <v>9</v>
      </c>
      <c r="B20" s="8">
        <v>18</v>
      </c>
      <c r="D20">
        <v>1947.8677176148001</v>
      </c>
      <c r="E20">
        <v>384.57505140506998</v>
      </c>
      <c r="F20">
        <v>134.97589531680001</v>
      </c>
      <c r="G20">
        <v>116.3044077135</v>
      </c>
      <c r="I20" s="9">
        <f t="shared" si="1"/>
        <v>268.27064369157</v>
      </c>
      <c r="J20" s="9">
        <f t="shared" si="2"/>
        <v>1812.8918222980001</v>
      </c>
      <c r="K20" s="9">
        <f t="shared" si="3"/>
        <v>268.27064369157</v>
      </c>
      <c r="L20" s="10">
        <f t="shared" si="0"/>
        <v>0.14797939975895161</v>
      </c>
      <c r="M20" s="10">
        <f t="shared" si="4"/>
        <v>0.15015736808485933</v>
      </c>
      <c r="P20" s="8">
        <f t="shared" si="5"/>
        <v>-11.146049667764993</v>
      </c>
    </row>
    <row r="21" spans="1:16" x14ac:dyDescent="0.2">
      <c r="A21" s="8">
        <v>9.5</v>
      </c>
      <c r="B21" s="8">
        <v>19</v>
      </c>
      <c r="D21">
        <v>1956.2858122001001</v>
      </c>
      <c r="E21">
        <v>382.56134338587998</v>
      </c>
      <c r="F21">
        <v>135.20592286501</v>
      </c>
      <c r="G21">
        <v>116.34366391185</v>
      </c>
      <c r="I21" s="9">
        <f t="shared" si="1"/>
        <v>266.21767947402998</v>
      </c>
      <c r="J21" s="9">
        <f t="shared" si="2"/>
        <v>1821.07988933509</v>
      </c>
      <c r="K21" s="9">
        <f t="shared" si="3"/>
        <v>266.21767947402998</v>
      </c>
      <c r="L21" s="10">
        <f t="shared" si="0"/>
        <v>0.14618671099115316</v>
      </c>
      <c r="M21" s="10">
        <f t="shared" si="4"/>
        <v>0.14848567755738909</v>
      </c>
      <c r="P21" s="8">
        <f t="shared" si="5"/>
        <v>-12.135253920564395</v>
      </c>
    </row>
    <row r="22" spans="1:16" x14ac:dyDescent="0.2">
      <c r="A22" s="8">
        <v>10</v>
      </c>
      <c r="B22" s="8">
        <v>20</v>
      </c>
      <c r="D22">
        <v>1953.4410751206001</v>
      </c>
      <c r="E22">
        <v>396.11922811853998</v>
      </c>
      <c r="F22">
        <v>135.48209366391001</v>
      </c>
      <c r="G22">
        <v>116.51033057850999</v>
      </c>
      <c r="I22" s="9">
        <f t="shared" si="1"/>
        <v>279.60889754003</v>
      </c>
      <c r="J22" s="9">
        <f t="shared" si="2"/>
        <v>1817.95898145669</v>
      </c>
      <c r="K22" s="9">
        <f t="shared" si="3"/>
        <v>279.60889754003</v>
      </c>
      <c r="L22" s="10">
        <f t="shared" si="0"/>
        <v>0.15380374386444387</v>
      </c>
      <c r="M22" s="10">
        <f t="shared" si="4"/>
        <v>0.15622370867100799</v>
      </c>
      <c r="P22" s="8">
        <f t="shared" si="5"/>
        <v>-7.5563601838932719</v>
      </c>
    </row>
    <row r="23" spans="1:16" x14ac:dyDescent="0.2">
      <c r="A23" s="8">
        <v>10.5</v>
      </c>
      <c r="B23" s="8">
        <v>21</v>
      </c>
      <c r="D23">
        <v>1975.7780840799001</v>
      </c>
      <c r="E23">
        <v>397.90282563749003</v>
      </c>
      <c r="F23">
        <v>135.15840220385999</v>
      </c>
      <c r="G23">
        <v>116.30234159779999</v>
      </c>
      <c r="I23" s="9">
        <f t="shared" si="1"/>
        <v>281.60048403969006</v>
      </c>
      <c r="J23" s="9">
        <f t="shared" si="2"/>
        <v>1840.61968187604</v>
      </c>
      <c r="K23" s="9">
        <f t="shared" si="3"/>
        <v>281.60048403969006</v>
      </c>
      <c r="L23" s="10">
        <f t="shared" si="0"/>
        <v>0.15299221605229743</v>
      </c>
      <c r="M23" s="10">
        <f t="shared" si="4"/>
        <v>0.15553317909918976</v>
      </c>
      <c r="P23" s="8">
        <f t="shared" si="5"/>
        <v>-7.9649733679136636</v>
      </c>
    </row>
    <row r="24" spans="1:16" x14ac:dyDescent="0.2">
      <c r="A24" s="8">
        <v>11</v>
      </c>
      <c r="B24" s="8">
        <v>22</v>
      </c>
      <c r="D24">
        <v>1919.1909028256</v>
      </c>
      <c r="E24">
        <v>379.15024121296</v>
      </c>
      <c r="F24">
        <v>135.04614325068999</v>
      </c>
      <c r="G24">
        <v>116.71487603305999</v>
      </c>
      <c r="I24" s="9">
        <f t="shared" si="1"/>
        <v>262.43536517990003</v>
      </c>
      <c r="J24" s="9">
        <f t="shared" si="2"/>
        <v>1784.14475957491</v>
      </c>
      <c r="K24" s="9">
        <f t="shared" si="3"/>
        <v>262.43536517990003</v>
      </c>
      <c r="L24" s="10">
        <f t="shared" si="0"/>
        <v>0.14709308971231003</v>
      </c>
      <c r="M24" s="10">
        <f t="shared" si="4"/>
        <v>0.14975505099953057</v>
      </c>
      <c r="P24" s="8">
        <f t="shared" si="5"/>
        <v>-11.384116322592138</v>
      </c>
    </row>
    <row r="25" spans="1:16" x14ac:dyDescent="0.2">
      <c r="A25" s="8">
        <v>11.5</v>
      </c>
      <c r="B25" s="8">
        <v>23</v>
      </c>
      <c r="D25">
        <v>1979.7834482758999</v>
      </c>
      <c r="E25">
        <v>392.75310344828</v>
      </c>
      <c r="F25">
        <v>135.43181818182001</v>
      </c>
      <c r="G25">
        <v>116.38085399449</v>
      </c>
      <c r="I25" s="9">
        <f t="shared" si="1"/>
        <v>276.37224945379</v>
      </c>
      <c r="J25" s="9">
        <f t="shared" si="2"/>
        <v>1844.3516300940798</v>
      </c>
      <c r="K25" s="9">
        <f t="shared" si="3"/>
        <v>276.37224945379</v>
      </c>
      <c r="L25" s="10">
        <f t="shared" si="0"/>
        <v>0.14984791671189746</v>
      </c>
      <c r="M25" s="10">
        <f t="shared" si="4"/>
        <v>0.15263087623944621</v>
      </c>
      <c r="P25" s="8">
        <f t="shared" si="5"/>
        <v>-9.6823787635850831</v>
      </c>
    </row>
    <row r="26" spans="1:16" x14ac:dyDescent="0.2">
      <c r="A26" s="8">
        <v>12</v>
      </c>
      <c r="B26" s="8">
        <v>24</v>
      </c>
      <c r="D26">
        <v>1996.1910344828</v>
      </c>
      <c r="E26">
        <v>394.22965517240999</v>
      </c>
      <c r="F26">
        <v>134.96625344353001</v>
      </c>
      <c r="G26">
        <v>116.47314049587</v>
      </c>
      <c r="I26" s="9">
        <f t="shared" si="1"/>
        <v>277.75651467654001</v>
      </c>
      <c r="J26" s="9">
        <f t="shared" si="2"/>
        <v>1861.2247810392701</v>
      </c>
      <c r="K26" s="9">
        <f t="shared" si="3"/>
        <v>277.75651467654001</v>
      </c>
      <c r="L26" s="10">
        <f t="shared" si="0"/>
        <v>0.14923319177033867</v>
      </c>
      <c r="M26" s="10">
        <f t="shared" si="4"/>
        <v>0.15213714953821564</v>
      </c>
      <c r="P26" s="8">
        <f t="shared" si="5"/>
        <v>-9.9745360406362344</v>
      </c>
    </row>
    <row r="27" spans="1:16" x14ac:dyDescent="0.2">
      <c r="A27" s="8">
        <v>12.5</v>
      </c>
      <c r="B27" s="8">
        <v>25</v>
      </c>
      <c r="D27">
        <v>1966.0096551724</v>
      </c>
      <c r="E27">
        <v>393.31931034483</v>
      </c>
      <c r="F27">
        <v>135.07644628099001</v>
      </c>
      <c r="G27">
        <v>116.45661157025</v>
      </c>
      <c r="I27" s="9">
        <f t="shared" si="1"/>
        <v>276.86269877458</v>
      </c>
      <c r="J27" s="9">
        <f t="shared" si="2"/>
        <v>1830.93320889141</v>
      </c>
      <c r="K27" s="9">
        <f t="shared" si="3"/>
        <v>276.86269877458</v>
      </c>
      <c r="L27" s="10">
        <f t="shared" si="0"/>
        <v>0.15121398062478439</v>
      </c>
      <c r="M27" s="10">
        <f t="shared" si="4"/>
        <v>0.15423893663298954</v>
      </c>
      <c r="P27" s="8">
        <f t="shared" si="5"/>
        <v>-8.7308269339180544</v>
      </c>
    </row>
    <row r="28" spans="1:16" x14ac:dyDescent="0.2">
      <c r="A28" s="8">
        <v>13</v>
      </c>
      <c r="B28" s="8">
        <v>26</v>
      </c>
      <c r="D28">
        <v>1887.635862069</v>
      </c>
      <c r="E28">
        <v>382.11379310345001</v>
      </c>
      <c r="F28">
        <v>135.20661157025</v>
      </c>
      <c r="G28">
        <v>116.70936639119</v>
      </c>
      <c r="I28" s="9">
        <f t="shared" si="1"/>
        <v>265.40442671226003</v>
      </c>
      <c r="J28" s="9">
        <f t="shared" si="2"/>
        <v>1752.42925049875</v>
      </c>
      <c r="K28" s="9">
        <f t="shared" si="3"/>
        <v>265.40442671226003</v>
      </c>
      <c r="L28" s="10">
        <f t="shared" si="0"/>
        <v>0.1514494389070056</v>
      </c>
      <c r="M28" s="10">
        <f t="shared" si="4"/>
        <v>0.15459539315553897</v>
      </c>
      <c r="P28" s="8">
        <f t="shared" si="5"/>
        <v>-8.5198977563880618</v>
      </c>
    </row>
    <row r="29" spans="1:16" x14ac:dyDescent="0.2">
      <c r="A29" s="8">
        <v>13.5</v>
      </c>
      <c r="B29" s="8">
        <v>27</v>
      </c>
      <c r="D29">
        <v>1840.3029045643</v>
      </c>
      <c r="E29">
        <v>375.25518672199001</v>
      </c>
      <c r="F29">
        <v>135.48622589531999</v>
      </c>
      <c r="G29">
        <v>116.35192837466001</v>
      </c>
      <c r="I29" s="9">
        <f t="shared" si="1"/>
        <v>258.90325834733</v>
      </c>
      <c r="J29" s="9">
        <f t="shared" si="2"/>
        <v>1704.8166786689799</v>
      </c>
      <c r="K29" s="9">
        <f t="shared" si="3"/>
        <v>258.90325834733</v>
      </c>
      <c r="L29" s="10">
        <f t="shared" si="0"/>
        <v>0.15186574696668639</v>
      </c>
      <c r="M29" s="10">
        <f t="shared" si="4"/>
        <v>0.15513269945554797</v>
      </c>
      <c r="P29" s="8">
        <f t="shared" si="5"/>
        <v>-8.2019527370852696</v>
      </c>
    </row>
    <row r="30" spans="1:16" x14ac:dyDescent="0.2">
      <c r="A30" s="8">
        <v>14</v>
      </c>
      <c r="B30" s="8">
        <v>28</v>
      </c>
      <c r="D30">
        <v>1938.2482710927</v>
      </c>
      <c r="E30">
        <v>387.82641770401</v>
      </c>
      <c r="F30">
        <v>135.1129476584</v>
      </c>
      <c r="G30">
        <v>116.90151515152</v>
      </c>
      <c r="I30" s="9">
        <f t="shared" si="1"/>
        <v>270.92490255248998</v>
      </c>
      <c r="J30" s="9">
        <f t="shared" si="2"/>
        <v>1803.1353234343001</v>
      </c>
      <c r="K30" s="9">
        <f t="shared" si="3"/>
        <v>270.92490255248998</v>
      </c>
      <c r="L30" s="10">
        <f t="shared" si="0"/>
        <v>0.15025211864658006</v>
      </c>
      <c r="M30" s="10">
        <f t="shared" si="4"/>
        <v>0.15364006937576985</v>
      </c>
      <c r="P30" s="8">
        <f t="shared" si="5"/>
        <v>-9.0851999640748478</v>
      </c>
    </row>
    <row r="31" spans="1:16" x14ac:dyDescent="0.2">
      <c r="A31" s="8">
        <v>14.5</v>
      </c>
      <c r="B31" s="8">
        <v>29</v>
      </c>
      <c r="D31">
        <v>1883.8035961272999</v>
      </c>
      <c r="E31">
        <v>374.46542185339001</v>
      </c>
      <c r="F31">
        <v>135.84917355371999</v>
      </c>
      <c r="G31">
        <v>116.61570247934</v>
      </c>
      <c r="I31" s="9">
        <f t="shared" si="1"/>
        <v>257.84971937404998</v>
      </c>
      <c r="J31" s="9">
        <f t="shared" si="2"/>
        <v>1747.9544225735799</v>
      </c>
      <c r="K31" s="9">
        <f t="shared" si="3"/>
        <v>257.84971937404998</v>
      </c>
      <c r="L31" s="10">
        <f t="shared" si="0"/>
        <v>0.1475151274221487</v>
      </c>
      <c r="M31" s="10">
        <f t="shared" si="4"/>
        <v>0.15102407639166668</v>
      </c>
      <c r="P31" s="8">
        <f t="shared" si="5"/>
        <v>-10.633184679334491</v>
      </c>
    </row>
    <row r="32" spans="1:16" x14ac:dyDescent="0.2">
      <c r="A32" s="8">
        <v>15</v>
      </c>
      <c r="B32" s="8">
        <v>30</v>
      </c>
      <c r="D32">
        <v>1975.1112637363001</v>
      </c>
      <c r="E32">
        <v>393.74862637362997</v>
      </c>
      <c r="F32">
        <v>135.03856749311001</v>
      </c>
      <c r="G32">
        <v>116.22589531680001</v>
      </c>
      <c r="I32" s="9">
        <f t="shared" si="1"/>
        <v>277.52273105682997</v>
      </c>
      <c r="J32" s="9">
        <f t="shared" si="2"/>
        <v>1840.07269624319</v>
      </c>
      <c r="K32" s="9">
        <f t="shared" si="3"/>
        <v>277.52273105682997</v>
      </c>
      <c r="L32" s="10">
        <f t="shared" si="0"/>
        <v>0.15082161244142045</v>
      </c>
      <c r="M32" s="10">
        <f t="shared" si="4"/>
        <v>0.15445155965126664</v>
      </c>
      <c r="P32" s="8">
        <f t="shared" si="5"/>
        <v>-8.6050096307351289</v>
      </c>
    </row>
    <row r="33" spans="1:16" x14ac:dyDescent="0.2">
      <c r="A33" s="8">
        <v>15.5</v>
      </c>
      <c r="B33" s="8">
        <v>31</v>
      </c>
      <c r="D33">
        <v>1936.2603021978</v>
      </c>
      <c r="E33">
        <v>390.6771978022</v>
      </c>
      <c r="F33">
        <v>135.16873278237</v>
      </c>
      <c r="G33">
        <v>116.3326446281</v>
      </c>
      <c r="I33" s="9">
        <f t="shared" si="1"/>
        <v>274.34455317409999</v>
      </c>
      <c r="J33" s="9">
        <f t="shared" si="2"/>
        <v>1801.0915694154301</v>
      </c>
      <c r="K33" s="9">
        <f t="shared" si="3"/>
        <v>274.34455317409999</v>
      </c>
      <c r="L33" s="10">
        <f t="shared" si="0"/>
        <v>0.15232126885316688</v>
      </c>
      <c r="M33" s="10">
        <f t="shared" si="4"/>
        <v>0.15607221430334128</v>
      </c>
      <c r="P33" s="8">
        <f t="shared" si="5"/>
        <v>-7.6460052888385297</v>
      </c>
    </row>
    <row r="34" spans="1:16" x14ac:dyDescent="0.2">
      <c r="A34" s="8">
        <v>16</v>
      </c>
      <c r="B34" s="8">
        <v>32</v>
      </c>
      <c r="D34">
        <v>1856.9203296702999</v>
      </c>
      <c r="E34">
        <v>379.61607142857002</v>
      </c>
      <c r="F34">
        <v>135.05578512397</v>
      </c>
      <c r="G34">
        <v>116.88636363636</v>
      </c>
      <c r="I34" s="9">
        <f t="shared" si="1"/>
        <v>262.72970779221004</v>
      </c>
      <c r="J34" s="9">
        <f t="shared" si="2"/>
        <v>1721.8645445463299</v>
      </c>
      <c r="K34" s="9">
        <f t="shared" si="3"/>
        <v>262.72970779221004</v>
      </c>
      <c r="L34" s="10">
        <f t="shared" si="0"/>
        <v>0.15258442287133164</v>
      </c>
      <c r="M34" s="10">
        <f t="shared" si="4"/>
        <v>0.15645636656183426</v>
      </c>
      <c r="P34" s="8">
        <f t="shared" si="5"/>
        <v>-7.4186874679983239</v>
      </c>
    </row>
    <row r="35" spans="1:16" x14ac:dyDescent="0.2">
      <c r="A35" s="8">
        <v>16.5</v>
      </c>
      <c r="B35" s="8">
        <v>33</v>
      </c>
      <c r="D35">
        <v>1914.8402489626999</v>
      </c>
      <c r="E35">
        <v>388.69502074689001</v>
      </c>
      <c r="F35">
        <v>135.46212121212</v>
      </c>
      <c r="G35">
        <v>116.53236914601</v>
      </c>
      <c r="I35" s="9">
        <f t="shared" si="1"/>
        <v>272.16265160088</v>
      </c>
      <c r="J35" s="9">
        <f t="shared" si="2"/>
        <v>1779.37812775058</v>
      </c>
      <c r="K35" s="9">
        <f t="shared" si="3"/>
        <v>272.16265160088</v>
      </c>
      <c r="L35" s="10">
        <f t="shared" si="0"/>
        <v>0.15295380299236191</v>
      </c>
      <c r="M35" s="10">
        <f t="shared" si="4"/>
        <v>0.15694674492319274</v>
      </c>
      <c r="P35" s="8">
        <f t="shared" si="5"/>
        <v>-7.1285115337775968</v>
      </c>
    </row>
    <row r="36" spans="1:16" x14ac:dyDescent="0.2">
      <c r="A36" s="8">
        <v>17</v>
      </c>
      <c r="B36" s="8">
        <v>34</v>
      </c>
      <c r="D36">
        <v>1911.9211618257</v>
      </c>
      <c r="E36">
        <v>388.01452282157999</v>
      </c>
      <c r="F36">
        <v>135.41666666667001</v>
      </c>
      <c r="G36">
        <v>116.40633608815</v>
      </c>
      <c r="I36" s="9">
        <f t="shared" si="1"/>
        <v>271.60818673342999</v>
      </c>
      <c r="J36" s="9">
        <f t="shared" si="2"/>
        <v>1776.5044951590301</v>
      </c>
      <c r="K36" s="9">
        <f t="shared" si="3"/>
        <v>271.60818673342999</v>
      </c>
      <c r="L36" s="10">
        <f t="shared" si="0"/>
        <v>0.15288910749934018</v>
      </c>
      <c r="M36" s="10">
        <f t="shared" si="4"/>
        <v>0.15700304767049919</v>
      </c>
      <c r="P36" s="8">
        <f t="shared" si="5"/>
        <v>-7.095195010076222</v>
      </c>
    </row>
    <row r="37" spans="1:16" x14ac:dyDescent="0.2">
      <c r="A37" s="8">
        <v>17.5</v>
      </c>
      <c r="B37" s="8">
        <v>35</v>
      </c>
      <c r="D37">
        <v>1911.9253112033</v>
      </c>
      <c r="E37">
        <v>386.81051175657001</v>
      </c>
      <c r="F37">
        <v>135.92837465565</v>
      </c>
      <c r="G37">
        <v>116.43526170798999</v>
      </c>
      <c r="I37" s="9">
        <f t="shared" si="1"/>
        <v>270.37525004858003</v>
      </c>
      <c r="J37" s="9">
        <f t="shared" si="2"/>
        <v>1775.99693654765</v>
      </c>
      <c r="K37" s="9">
        <f t="shared" si="3"/>
        <v>270.37525004858003</v>
      </c>
      <c r="L37" s="10">
        <f t="shared" si="0"/>
        <v>0.1522385790676874</v>
      </c>
      <c r="M37" s="10">
        <f t="shared" si="4"/>
        <v>0.15647351747917462</v>
      </c>
      <c r="P37" s="8">
        <f t="shared" si="5"/>
        <v>-7.408538603663863</v>
      </c>
    </row>
    <row r="38" spans="1:16" x14ac:dyDescent="0.2">
      <c r="A38" s="8">
        <v>18</v>
      </c>
      <c r="B38" s="8">
        <v>36</v>
      </c>
      <c r="D38">
        <v>1923.6403872752001</v>
      </c>
      <c r="E38">
        <v>390.51383125864999</v>
      </c>
      <c r="F38">
        <v>135.10123966942001</v>
      </c>
      <c r="G38">
        <v>116.54476584021999</v>
      </c>
      <c r="I38" s="9">
        <f t="shared" si="1"/>
        <v>273.96906541842998</v>
      </c>
      <c r="J38" s="9">
        <f t="shared" si="2"/>
        <v>1788.53914760578</v>
      </c>
      <c r="K38" s="9">
        <f t="shared" si="3"/>
        <v>273.96906541842998</v>
      </c>
      <c r="L38" s="10">
        <f t="shared" si="0"/>
        <v>0.15318035715638512</v>
      </c>
      <c r="M38" s="10">
        <f t="shared" si="4"/>
        <v>0.15753629380820056</v>
      </c>
      <c r="P38" s="8">
        <f t="shared" si="5"/>
        <v>-6.7796525466028577</v>
      </c>
    </row>
    <row r="39" spans="1:16" x14ac:dyDescent="0.2">
      <c r="A39" s="8">
        <v>18.5</v>
      </c>
      <c r="B39" s="8">
        <v>37</v>
      </c>
      <c r="D39">
        <v>1932.2164591978001</v>
      </c>
      <c r="E39">
        <v>392.39764868602998</v>
      </c>
      <c r="F39">
        <v>135.57782369146</v>
      </c>
      <c r="G39">
        <v>116.66666666667</v>
      </c>
      <c r="I39" s="9">
        <f t="shared" si="1"/>
        <v>275.73098201936</v>
      </c>
      <c r="J39" s="9">
        <f t="shared" si="2"/>
        <v>1796.6386355063401</v>
      </c>
      <c r="K39" s="9">
        <f t="shared" si="3"/>
        <v>275.73098201936</v>
      </c>
      <c r="L39" s="10">
        <f t="shared" si="0"/>
        <v>0.15347047345536557</v>
      </c>
      <c r="M39" s="10">
        <f t="shared" si="4"/>
        <v>0.15794740834750923</v>
      </c>
      <c r="P39" s="8">
        <f t="shared" si="5"/>
        <v>-6.5363800963562033</v>
      </c>
    </row>
    <row r="40" spans="1:16" x14ac:dyDescent="0.2">
      <c r="A40" s="8">
        <v>19</v>
      </c>
      <c r="B40" s="8">
        <v>38</v>
      </c>
      <c r="D40">
        <v>1931.6645919779</v>
      </c>
      <c r="E40">
        <v>398.66874135545999</v>
      </c>
      <c r="F40">
        <v>135.44421487603</v>
      </c>
      <c r="G40">
        <v>116.64325068871</v>
      </c>
      <c r="I40" s="9">
        <f t="shared" si="1"/>
        <v>282.02549066674999</v>
      </c>
      <c r="J40" s="9">
        <f t="shared" si="2"/>
        <v>1796.2203771018701</v>
      </c>
      <c r="K40" s="9">
        <f t="shared" si="3"/>
        <v>282.02549066674999</v>
      </c>
      <c r="L40" s="10">
        <f t="shared" si="0"/>
        <v>0.15701051734074348</v>
      </c>
      <c r="M40" s="10">
        <f t="shared" si="4"/>
        <v>0.16160845047321531</v>
      </c>
      <c r="P40" s="8">
        <f t="shared" si="5"/>
        <v>-4.3699991897737771</v>
      </c>
    </row>
    <row r="41" spans="1:16" x14ac:dyDescent="0.2">
      <c r="A41" s="8">
        <v>19.5</v>
      </c>
      <c r="B41" s="8">
        <v>39</v>
      </c>
      <c r="D41">
        <v>1919.9896480330999</v>
      </c>
      <c r="E41">
        <v>402.70876466529</v>
      </c>
      <c r="F41">
        <v>135.77410468319999</v>
      </c>
      <c r="G41">
        <v>116.64944903580999</v>
      </c>
      <c r="I41" s="9">
        <f t="shared" si="1"/>
        <v>286.05931562948001</v>
      </c>
      <c r="J41" s="9">
        <f t="shared" si="2"/>
        <v>1784.2155433498999</v>
      </c>
      <c r="K41" s="9">
        <f t="shared" si="3"/>
        <v>286.05931562948001</v>
      </c>
      <c r="L41" s="10">
        <f t="shared" si="0"/>
        <v>0.16032777917201529</v>
      </c>
      <c r="M41" s="10">
        <f t="shared" si="4"/>
        <v>0.16504671054481534</v>
      </c>
      <c r="P41" s="8">
        <f t="shared" si="5"/>
        <v>-2.3354470826896598</v>
      </c>
    </row>
    <row r="42" spans="1:16" x14ac:dyDescent="0.2">
      <c r="A42" s="8">
        <v>20</v>
      </c>
      <c r="B42" s="8">
        <v>40</v>
      </c>
      <c r="D42">
        <v>1879.8288474809999</v>
      </c>
      <c r="E42">
        <v>398.91994478951</v>
      </c>
      <c r="F42">
        <v>135.59228650137999</v>
      </c>
      <c r="G42">
        <v>117.08608815427</v>
      </c>
      <c r="I42" s="9">
        <f t="shared" si="1"/>
        <v>281.83385663524001</v>
      </c>
      <c r="J42" s="9">
        <f t="shared" si="2"/>
        <v>1744.23656097962</v>
      </c>
      <c r="K42" s="9">
        <f t="shared" si="3"/>
        <v>281.83385663524001</v>
      </c>
      <c r="L42" s="10">
        <f t="shared" si="0"/>
        <v>0.1615800648490896</v>
      </c>
      <c r="M42" s="10">
        <f t="shared" si="4"/>
        <v>0.16641999446221786</v>
      </c>
      <c r="P42" s="8">
        <f t="shared" si="5"/>
        <v>-1.5228216181837717</v>
      </c>
    </row>
    <row r="43" spans="1:16" x14ac:dyDescent="0.2">
      <c r="A43" s="8">
        <v>20.5</v>
      </c>
      <c r="B43" s="8">
        <v>41</v>
      </c>
      <c r="D43">
        <v>1958.9813664595999</v>
      </c>
      <c r="E43">
        <v>412.28502415459002</v>
      </c>
      <c r="F43">
        <v>135.66391184573001</v>
      </c>
      <c r="G43">
        <v>116.52272727272999</v>
      </c>
      <c r="I43" s="9">
        <f t="shared" si="1"/>
        <v>295.76229688186004</v>
      </c>
      <c r="J43" s="9">
        <f t="shared" si="2"/>
        <v>1823.3174546138698</v>
      </c>
      <c r="K43" s="9">
        <f t="shared" si="3"/>
        <v>295.76229688186004</v>
      </c>
      <c r="L43" s="10">
        <f t="shared" si="0"/>
        <v>0.1622110818571057</v>
      </c>
      <c r="M43" s="10">
        <f t="shared" si="4"/>
        <v>0.16717200971056217</v>
      </c>
      <c r="P43" s="8">
        <f t="shared" si="5"/>
        <v>-1.0778249698161286</v>
      </c>
    </row>
    <row r="44" spans="1:16" x14ac:dyDescent="0.2">
      <c r="A44" s="8">
        <v>21</v>
      </c>
      <c r="B44" s="8">
        <v>42</v>
      </c>
      <c r="D44">
        <v>1963.9613526569999</v>
      </c>
      <c r="E44">
        <v>407.65079365078998</v>
      </c>
      <c r="F44">
        <v>135.64738292011</v>
      </c>
      <c r="G44">
        <v>116.59022038568</v>
      </c>
      <c r="I44" s="9">
        <f t="shared" si="1"/>
        <v>291.06057326510995</v>
      </c>
      <c r="J44" s="9">
        <f t="shared" si="2"/>
        <v>1828.3139697368899</v>
      </c>
      <c r="K44" s="9">
        <f t="shared" si="3"/>
        <v>291.06057326510995</v>
      </c>
      <c r="L44" s="10">
        <f t="shared" si="0"/>
        <v>0.15919616547424623</v>
      </c>
      <c r="M44" s="10">
        <f t="shared" si="4"/>
        <v>0.16427809156803092</v>
      </c>
      <c r="P44" s="8">
        <f t="shared" si="5"/>
        <v>-2.7902688024538285</v>
      </c>
    </row>
    <row r="45" spans="1:16" x14ac:dyDescent="0.2">
      <c r="A45" s="8">
        <v>21.5</v>
      </c>
      <c r="B45" s="8">
        <v>43</v>
      </c>
      <c r="D45">
        <v>1972.690459849</v>
      </c>
      <c r="E45">
        <v>410.74262182567003</v>
      </c>
      <c r="F45">
        <v>136.68732782369</v>
      </c>
      <c r="G45">
        <v>116.81611570248</v>
      </c>
      <c r="I45" s="9">
        <f t="shared" si="1"/>
        <v>293.92650612319005</v>
      </c>
      <c r="J45" s="9">
        <f t="shared" si="2"/>
        <v>1836.0031320253102</v>
      </c>
      <c r="K45" s="9">
        <f t="shared" si="3"/>
        <v>293.92650612319005</v>
      </c>
      <c r="L45" s="10">
        <f t="shared" si="0"/>
        <v>0.16009041651195732</v>
      </c>
      <c r="M45" s="10">
        <f t="shared" si="4"/>
        <v>0.1652933408460702</v>
      </c>
      <c r="P45" s="8">
        <f t="shared" si="5"/>
        <v>-2.189506348527761</v>
      </c>
    </row>
    <row r="46" spans="1:16" x14ac:dyDescent="0.2">
      <c r="A46" s="8">
        <v>22</v>
      </c>
      <c r="B46" s="8">
        <v>44</v>
      </c>
      <c r="D46">
        <v>1982.1811942346999</v>
      </c>
      <c r="E46">
        <v>405.84076870281001</v>
      </c>
      <c r="F46">
        <v>135.67079889806999</v>
      </c>
      <c r="G46">
        <v>116.78305785124</v>
      </c>
      <c r="I46" s="9">
        <f t="shared" si="1"/>
        <v>289.05771085156999</v>
      </c>
      <c r="J46" s="9">
        <f t="shared" si="2"/>
        <v>1846.5103953366299</v>
      </c>
      <c r="K46" s="9">
        <f t="shared" si="3"/>
        <v>289.05771085156999</v>
      </c>
      <c r="L46" s="10">
        <f t="shared" si="0"/>
        <v>0.15654269349448913</v>
      </c>
      <c r="M46" s="10">
        <f t="shared" si="4"/>
        <v>0.16186661606893021</v>
      </c>
      <c r="P46" s="8">
        <f t="shared" si="5"/>
        <v>-4.2172325735782943</v>
      </c>
    </row>
    <row r="47" spans="1:16" x14ac:dyDescent="0.2">
      <c r="A47" s="8">
        <v>22.5</v>
      </c>
      <c r="B47" s="8">
        <v>45</v>
      </c>
      <c r="D47">
        <v>1977.9196980096001</v>
      </c>
      <c r="E47">
        <v>404.33287577214003</v>
      </c>
      <c r="F47">
        <v>135.60468319559001</v>
      </c>
      <c r="G47">
        <v>116.74931129477</v>
      </c>
      <c r="I47" s="9">
        <f t="shared" si="1"/>
        <v>287.58356447737003</v>
      </c>
      <c r="J47" s="9">
        <f t="shared" si="2"/>
        <v>1842.3150148140101</v>
      </c>
      <c r="K47" s="9">
        <f t="shared" si="3"/>
        <v>287.58356447737003</v>
      </c>
      <c r="L47" s="10">
        <f t="shared" si="0"/>
        <v>0.15609901790134564</v>
      </c>
      <c r="M47" s="10">
        <f t="shared" si="4"/>
        <v>0.16154393871611494</v>
      </c>
      <c r="P47" s="8">
        <f t="shared" si="5"/>
        <v>-4.4081733036008259</v>
      </c>
    </row>
    <row r="48" spans="1:16" x14ac:dyDescent="0.2">
      <c r="A48" s="8">
        <v>23</v>
      </c>
      <c r="B48" s="8">
        <v>46</v>
      </c>
      <c r="D48">
        <v>1971.2566918325001</v>
      </c>
      <c r="E48">
        <v>404.97323266987001</v>
      </c>
      <c r="F48">
        <v>136.17837465565</v>
      </c>
      <c r="G48">
        <v>116.89944903580999</v>
      </c>
      <c r="I48" s="9">
        <f t="shared" si="1"/>
        <v>288.07378363406002</v>
      </c>
      <c r="J48" s="9">
        <f t="shared" si="2"/>
        <v>1835.0783171768501</v>
      </c>
      <c r="K48" s="9">
        <f t="shared" si="3"/>
        <v>288.07378363406002</v>
      </c>
      <c r="L48" s="10">
        <f t="shared" si="0"/>
        <v>0.15698173802044754</v>
      </c>
      <c r="M48" s="10">
        <f t="shared" si="4"/>
        <v>0.16254765707554505</v>
      </c>
      <c r="P48" s="8">
        <f t="shared" si="5"/>
        <v>-3.8142341423473192</v>
      </c>
    </row>
    <row r="49" spans="1:25" x14ac:dyDescent="0.2">
      <c r="A49" s="8">
        <v>23.5</v>
      </c>
      <c r="B49" s="8">
        <v>47</v>
      </c>
      <c r="D49">
        <v>1964.3129718600001</v>
      </c>
      <c r="E49">
        <v>399.11256005490998</v>
      </c>
      <c r="F49">
        <v>136.17011019284001</v>
      </c>
      <c r="G49">
        <v>116.69146005509999</v>
      </c>
      <c r="I49" s="9">
        <f t="shared" si="1"/>
        <v>282.42109999981</v>
      </c>
      <c r="J49" s="9">
        <f t="shared" si="2"/>
        <v>1828.1428616671601</v>
      </c>
      <c r="K49" s="9">
        <f t="shared" si="3"/>
        <v>282.42109999981</v>
      </c>
      <c r="L49" s="10">
        <f t="shared" si="0"/>
        <v>0.15448524615973303</v>
      </c>
      <c r="M49" s="10">
        <f t="shared" si="4"/>
        <v>0.16017216345515872</v>
      </c>
      <c r="P49" s="8">
        <f t="shared" si="5"/>
        <v>-5.2199060374558153</v>
      </c>
    </row>
    <row r="50" spans="1:25" x14ac:dyDescent="0.2">
      <c r="A50" s="8">
        <v>24</v>
      </c>
      <c r="B50" s="8">
        <v>48</v>
      </c>
      <c r="D50">
        <v>1948.9409746054</v>
      </c>
      <c r="E50">
        <v>398.35552505148002</v>
      </c>
      <c r="F50">
        <v>135.87878787879001</v>
      </c>
      <c r="G50">
        <v>116.6391184573</v>
      </c>
      <c r="I50" s="9">
        <f t="shared" si="1"/>
        <v>281.71640659418</v>
      </c>
      <c r="J50" s="9">
        <f t="shared" si="2"/>
        <v>1813.06218672661</v>
      </c>
      <c r="K50" s="9">
        <f t="shared" si="3"/>
        <v>281.71640659418</v>
      </c>
      <c r="L50" s="10">
        <f t="shared" si="0"/>
        <v>0.15538154656614642</v>
      </c>
      <c r="M50" s="10">
        <f t="shared" si="4"/>
        <v>0.16118946210190033</v>
      </c>
      <c r="P50" s="8">
        <f t="shared" si="5"/>
        <v>-4.6179308924230043</v>
      </c>
    </row>
    <row r="51" spans="1:25" x14ac:dyDescent="0.2">
      <c r="A51" s="8">
        <v>24.5</v>
      </c>
      <c r="B51" s="8">
        <v>49</v>
      </c>
      <c r="D51">
        <v>1933.3561076604999</v>
      </c>
      <c r="E51">
        <v>395.68668046929002</v>
      </c>
      <c r="F51">
        <v>135.68526170799001</v>
      </c>
      <c r="G51">
        <v>116.80853994490001</v>
      </c>
      <c r="I51" s="9">
        <f t="shared" si="1"/>
        <v>278.87814052439001</v>
      </c>
      <c r="J51" s="9">
        <f t="shared" si="2"/>
        <v>1797.6708459525098</v>
      </c>
      <c r="K51" s="9">
        <f t="shared" si="3"/>
        <v>278.87814052439001</v>
      </c>
      <c r="L51" s="10">
        <f t="shared" si="0"/>
        <v>0.15513303848270638</v>
      </c>
      <c r="M51" s="10">
        <f t="shared" si="4"/>
        <v>0.1610619522587885</v>
      </c>
      <c r="P51" s="8">
        <f t="shared" si="5"/>
        <v>-4.6933834220672814</v>
      </c>
    </row>
    <row r="52" spans="1:25" x14ac:dyDescent="0.2">
      <c r="A52" s="8">
        <v>25</v>
      </c>
      <c r="B52" s="8">
        <v>50</v>
      </c>
      <c r="D52">
        <v>1825.8833678399001</v>
      </c>
      <c r="E52">
        <v>394.81711525190002</v>
      </c>
      <c r="F52">
        <v>136.09297520660999</v>
      </c>
      <c r="G52">
        <v>116.9152892562</v>
      </c>
      <c r="I52" s="9">
        <f t="shared" si="1"/>
        <v>277.90182599570005</v>
      </c>
      <c r="J52" s="9">
        <f t="shared" si="2"/>
        <v>1689.7903926332901</v>
      </c>
      <c r="K52" s="9">
        <f t="shared" si="3"/>
        <v>277.90182599570005</v>
      </c>
      <c r="L52" s="10">
        <f t="shared" si="0"/>
        <v>0.16445934786185573</v>
      </c>
      <c r="M52" s="10">
        <f t="shared" si="4"/>
        <v>0.17050925987826607</v>
      </c>
      <c r="P52" s="8">
        <f t="shared" si="5"/>
        <v>0.89695565153723755</v>
      </c>
    </row>
    <row r="53" spans="1:25" x14ac:dyDescent="0.2">
      <c r="A53" s="8">
        <v>25.5</v>
      </c>
      <c r="B53" s="8">
        <v>51</v>
      </c>
      <c r="D53">
        <v>1761.9643347051001</v>
      </c>
      <c r="E53">
        <v>403.40534979424001</v>
      </c>
      <c r="F53">
        <v>136.35192837465999</v>
      </c>
      <c r="G53">
        <v>116.84986225895</v>
      </c>
      <c r="I53" s="9">
        <f t="shared" si="1"/>
        <v>286.55548753529001</v>
      </c>
      <c r="J53" s="9">
        <f t="shared" si="2"/>
        <v>1625.6124063304401</v>
      </c>
      <c r="K53" s="9">
        <f t="shared" si="3"/>
        <v>286.55548753529001</v>
      </c>
      <c r="L53" s="10">
        <f t="shared" si="0"/>
        <v>0.17627540637570746</v>
      </c>
      <c r="M53" s="10">
        <f t="shared" si="4"/>
        <v>0.18244631663244598</v>
      </c>
      <c r="P53" s="8">
        <f t="shared" si="5"/>
        <v>7.960576048436832</v>
      </c>
      <c r="S53" s="11"/>
      <c r="U53" s="12"/>
    </row>
    <row r="54" spans="1:25" x14ac:dyDescent="0.2">
      <c r="A54" s="8">
        <v>26</v>
      </c>
      <c r="B54" s="8">
        <v>52</v>
      </c>
      <c r="D54">
        <v>1955.2379972565</v>
      </c>
      <c r="E54">
        <v>429.97873799726</v>
      </c>
      <c r="F54">
        <v>136.03168044077</v>
      </c>
      <c r="G54">
        <v>116.95592286501</v>
      </c>
      <c r="I54" s="9">
        <f t="shared" si="1"/>
        <v>313.02281513225</v>
      </c>
      <c r="J54" s="9">
        <f t="shared" si="2"/>
        <v>1819.2063168157299</v>
      </c>
      <c r="K54" s="9">
        <f t="shared" si="3"/>
        <v>313.02281513225</v>
      </c>
      <c r="L54" s="10">
        <f t="shared" si="0"/>
        <v>0.17206559379155703</v>
      </c>
      <c r="M54" s="10">
        <f t="shared" si="4"/>
        <v>0.17835750228862376</v>
      </c>
      <c r="P54" s="8">
        <f t="shared" si="5"/>
        <v>5.541065695682172</v>
      </c>
      <c r="S54" s="11"/>
    </row>
    <row r="55" spans="1:25" x14ac:dyDescent="0.2">
      <c r="A55" s="8">
        <v>26.5</v>
      </c>
      <c r="B55" s="8">
        <v>53</v>
      </c>
      <c r="D55">
        <v>1939.3834019204</v>
      </c>
      <c r="E55">
        <v>423.04183813443001</v>
      </c>
      <c r="F55">
        <v>136.16873278237</v>
      </c>
      <c r="G55">
        <v>116.83608815427</v>
      </c>
      <c r="I55" s="9">
        <f t="shared" si="1"/>
        <v>306.20574998016002</v>
      </c>
      <c r="J55" s="9">
        <f t="shared" si="2"/>
        <v>1803.2146691380301</v>
      </c>
      <c r="K55" s="9">
        <f t="shared" si="3"/>
        <v>306.20574998016002</v>
      </c>
      <c r="L55" s="10">
        <f t="shared" si="0"/>
        <v>0.16981103538079137</v>
      </c>
      <c r="M55" s="10">
        <f t="shared" si="4"/>
        <v>0.17622394211818632</v>
      </c>
      <c r="P55" s="8">
        <f t="shared" si="5"/>
        <v>4.2785552252818908</v>
      </c>
      <c r="S55" s="11"/>
    </row>
    <row r="56" spans="1:25" x14ac:dyDescent="0.2">
      <c r="A56" s="8">
        <v>27</v>
      </c>
      <c r="B56" s="8">
        <v>54</v>
      </c>
      <c r="D56">
        <v>1932.6234567900999</v>
      </c>
      <c r="E56">
        <v>417.38477366255</v>
      </c>
      <c r="F56">
        <v>136.05509641872999</v>
      </c>
      <c r="G56">
        <v>116.55991735537</v>
      </c>
      <c r="I56" s="9">
        <f t="shared" si="1"/>
        <v>300.82485630717997</v>
      </c>
      <c r="J56" s="9">
        <f t="shared" si="2"/>
        <v>1796.5683603713699</v>
      </c>
      <c r="K56" s="9">
        <f t="shared" si="3"/>
        <v>300.82485630717997</v>
      </c>
      <c r="L56" s="10">
        <f t="shared" si="0"/>
        <v>0.16744414682055087</v>
      </c>
      <c r="M56" s="10">
        <f t="shared" si="4"/>
        <v>0.17397805179827402</v>
      </c>
      <c r="P56" s="8">
        <f t="shared" si="5"/>
        <v>2.9495746398979108</v>
      </c>
      <c r="S56" s="11"/>
    </row>
    <row r="57" spans="1:25" x14ac:dyDescent="0.2">
      <c r="A57" s="8">
        <v>27.5</v>
      </c>
      <c r="B57" s="8">
        <v>55</v>
      </c>
      <c r="D57">
        <v>1913.2990397804999</v>
      </c>
      <c r="E57">
        <v>413.92318244170002</v>
      </c>
      <c r="F57">
        <v>136.38636363635999</v>
      </c>
      <c r="G57">
        <v>116.75</v>
      </c>
      <c r="I57" s="9">
        <f t="shared" si="1"/>
        <v>297.17318244170002</v>
      </c>
      <c r="J57" s="9">
        <f t="shared" si="2"/>
        <v>1776.9126761441398</v>
      </c>
      <c r="K57" s="9">
        <f t="shared" si="3"/>
        <v>297.17318244170002</v>
      </c>
      <c r="L57" s="10">
        <f t="shared" si="0"/>
        <v>0.16724129802853288</v>
      </c>
      <c r="M57" s="10">
        <f t="shared" si="4"/>
        <v>0.17389620124658425</v>
      </c>
      <c r="P57" s="8">
        <f t="shared" si="5"/>
        <v>2.9011404874665834</v>
      </c>
      <c r="S57" s="11"/>
    </row>
    <row r="58" spans="1:25" x14ac:dyDescent="0.2">
      <c r="A58" s="8">
        <v>28</v>
      </c>
      <c r="B58" s="8">
        <v>56</v>
      </c>
      <c r="D58">
        <v>1939.1076817558001</v>
      </c>
      <c r="E58">
        <v>415.85459533608002</v>
      </c>
      <c r="F58">
        <v>136.19146005510001</v>
      </c>
      <c r="G58">
        <v>116.62121212120999</v>
      </c>
      <c r="I58" s="9">
        <f t="shared" si="1"/>
        <v>299.23338321487006</v>
      </c>
      <c r="J58" s="9">
        <f t="shared" si="2"/>
        <v>1802.9162217007001</v>
      </c>
      <c r="K58" s="9">
        <f t="shared" si="3"/>
        <v>299.23338321487006</v>
      </c>
      <c r="L58" s="10">
        <f t="shared" si="0"/>
        <v>0.1659718735752467</v>
      </c>
      <c r="M58" s="10">
        <f t="shared" si="4"/>
        <v>0.17274777503362626</v>
      </c>
      <c r="P58" s="8">
        <f t="shared" si="5"/>
        <v>2.2215720654312521</v>
      </c>
      <c r="S58" s="11"/>
    </row>
    <row r="59" spans="1:25" x14ac:dyDescent="0.2">
      <c r="A59" s="8">
        <v>28.5</v>
      </c>
      <c r="B59" s="8">
        <v>57</v>
      </c>
      <c r="D59">
        <v>2021.5386740332001</v>
      </c>
      <c r="E59">
        <v>428.42748618784998</v>
      </c>
      <c r="F59">
        <v>136.18250688705001</v>
      </c>
      <c r="G59">
        <v>116.93526170798999</v>
      </c>
      <c r="I59" s="9">
        <f t="shared" si="1"/>
        <v>311.49222447986</v>
      </c>
      <c r="J59" s="9">
        <f t="shared" si="2"/>
        <v>1885.35616714615</v>
      </c>
      <c r="K59" s="9">
        <f t="shared" si="3"/>
        <v>311.49222447986</v>
      </c>
      <c r="L59" s="10">
        <f t="shared" si="0"/>
        <v>0.16521664707595463</v>
      </c>
      <c r="M59" s="10">
        <f t="shared" si="4"/>
        <v>0.1721135467746624</v>
      </c>
      <c r="P59" s="8">
        <f t="shared" si="5"/>
        <v>1.8462745562911904</v>
      </c>
      <c r="R59" s="1"/>
      <c r="S59" s="11"/>
    </row>
    <row r="60" spans="1:25" x14ac:dyDescent="0.2">
      <c r="A60" s="8">
        <v>29</v>
      </c>
      <c r="B60" s="8">
        <v>58</v>
      </c>
      <c r="D60">
        <v>2029.9689226518999</v>
      </c>
      <c r="E60">
        <v>422.78522099448003</v>
      </c>
      <c r="F60">
        <v>136.13498622590001</v>
      </c>
      <c r="G60">
        <v>116.37465564738</v>
      </c>
      <c r="I60" s="9">
        <f t="shared" si="1"/>
        <v>306.41056534710003</v>
      </c>
      <c r="J60" s="9">
        <f t="shared" si="2"/>
        <v>1893.8339364259998</v>
      </c>
      <c r="K60" s="9">
        <f t="shared" si="3"/>
        <v>306.41056534710003</v>
      </c>
      <c r="L60" s="10">
        <f t="shared" si="0"/>
        <v>0.16179378743489573</v>
      </c>
      <c r="M60" s="10">
        <f t="shared" si="4"/>
        <v>0.16881168537393171</v>
      </c>
      <c r="P60" s="8">
        <f t="shared" si="5"/>
        <v>-0.10756515631383416</v>
      </c>
      <c r="S60" s="11"/>
    </row>
    <row r="61" spans="1:25" x14ac:dyDescent="0.2">
      <c r="A61" s="8">
        <v>29.5</v>
      </c>
      <c r="B61" s="8">
        <v>59</v>
      </c>
      <c r="C61" s="2"/>
      <c r="D61">
        <v>2016.2845303867</v>
      </c>
      <c r="E61">
        <v>420.81767955801001</v>
      </c>
      <c r="F61">
        <v>135.80922865014</v>
      </c>
      <c r="G61">
        <v>116.62878787879001</v>
      </c>
      <c r="I61" s="9">
        <f t="shared" si="1"/>
        <v>304.18889167921998</v>
      </c>
      <c r="J61" s="9">
        <f t="shared" si="2"/>
        <v>1880.4753017365599</v>
      </c>
      <c r="K61" s="9">
        <f t="shared" si="3"/>
        <v>304.18889167921998</v>
      </c>
      <c r="L61" s="10">
        <f t="shared" si="0"/>
        <v>0.16176170535093498</v>
      </c>
      <c r="M61" s="10">
        <f t="shared" si="4"/>
        <v>0.16890060153029918</v>
      </c>
      <c r="P61" s="8">
        <f t="shared" si="5"/>
        <v>-5.4950011000795364E-2</v>
      </c>
      <c r="S61" s="11"/>
    </row>
    <row r="62" spans="1:25" x14ac:dyDescent="0.2">
      <c r="A62" s="8">
        <v>30</v>
      </c>
      <c r="B62" s="8">
        <v>60</v>
      </c>
      <c r="D62">
        <v>2021.1111878453</v>
      </c>
      <c r="E62">
        <v>420.41712707182</v>
      </c>
      <c r="F62">
        <v>135.85468319559001</v>
      </c>
      <c r="G62">
        <v>116.53305785124</v>
      </c>
      <c r="I62" s="9">
        <f t="shared" si="1"/>
        <v>303.88406922057999</v>
      </c>
      <c r="J62" s="9">
        <f t="shared" si="2"/>
        <v>1885.25650464971</v>
      </c>
      <c r="K62" s="9">
        <f t="shared" si="3"/>
        <v>303.88406922057999</v>
      </c>
      <c r="L62" s="10">
        <f t="shared" si="0"/>
        <v>0.16118977363085304</v>
      </c>
      <c r="M62" s="10">
        <f t="shared" si="4"/>
        <v>0.16844966805054543</v>
      </c>
      <c r="P62" s="8">
        <f t="shared" si="5"/>
        <v>-0.32178487581101423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2034.8680939226999</v>
      </c>
      <c r="E63">
        <v>420.06146408839999</v>
      </c>
      <c r="F63">
        <v>136.55027548209</v>
      </c>
      <c r="G63">
        <v>116.59573002755</v>
      </c>
      <c r="I63" s="9">
        <f t="shared" si="1"/>
        <v>303.46573406084997</v>
      </c>
      <c r="J63" s="9">
        <f t="shared" si="2"/>
        <v>1898.3178184406099</v>
      </c>
      <c r="K63" s="9">
        <f t="shared" si="3"/>
        <v>303.46573406084997</v>
      </c>
      <c r="L63" s="10">
        <f t="shared" si="0"/>
        <v>0.15986034114673939</v>
      </c>
      <c r="M63" s="10">
        <f t="shared" si="4"/>
        <v>0.16724123380675998</v>
      </c>
      <c r="P63" s="8">
        <f t="shared" si="5"/>
        <v>-1.0368623818072757</v>
      </c>
    </row>
    <row r="64" spans="1:25" x14ac:dyDescent="0.2">
      <c r="A64" s="8">
        <v>31</v>
      </c>
      <c r="B64" s="8">
        <v>62</v>
      </c>
      <c r="D64">
        <v>2027.7092541437</v>
      </c>
      <c r="E64">
        <v>418.87707182320003</v>
      </c>
      <c r="F64">
        <v>136.19490358127001</v>
      </c>
      <c r="G64">
        <v>116.53443526171</v>
      </c>
      <c r="I64" s="9">
        <f t="shared" si="1"/>
        <v>302.34263656149005</v>
      </c>
      <c r="J64" s="9">
        <f t="shared" si="2"/>
        <v>1891.5143505624301</v>
      </c>
      <c r="K64" s="9">
        <f t="shared" si="3"/>
        <v>302.34263656149005</v>
      </c>
      <c r="L64" s="10">
        <f t="shared" si="0"/>
        <v>0.15984157692041318</v>
      </c>
      <c r="M64" s="10">
        <f t="shared" si="4"/>
        <v>0.16734346782076198</v>
      </c>
      <c r="P64" s="8">
        <f t="shared" si="5"/>
        <v>-0.97636654255371913</v>
      </c>
      <c r="U64" s="8">
        <v>30.5</v>
      </c>
      <c r="V64" s="10">
        <f>L62</f>
        <v>0.16118977363085304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2024.6464088398</v>
      </c>
      <c r="E65">
        <v>418.04212707182</v>
      </c>
      <c r="F65">
        <v>136.41322314050001</v>
      </c>
      <c r="G65">
        <v>116.63842975207</v>
      </c>
      <c r="I65" s="9">
        <f t="shared" si="1"/>
        <v>301.40369731974999</v>
      </c>
      <c r="J65" s="9">
        <f t="shared" si="2"/>
        <v>1888.2331856993001</v>
      </c>
      <c r="K65" s="9">
        <f t="shared" si="3"/>
        <v>301.40369731974999</v>
      </c>
      <c r="L65" s="10">
        <f t="shared" si="0"/>
        <v>0.15962207401207509</v>
      </c>
      <c r="M65" s="10">
        <f t="shared" si="4"/>
        <v>0.16724496315275211</v>
      </c>
      <c r="P65" s="8">
        <f t="shared" si="5"/>
        <v>-1.0346555828484041</v>
      </c>
      <c r="U65" s="8">
        <v>31</v>
      </c>
      <c r="V65" s="10">
        <f t="shared" ref="V65:V83" si="6">L63</f>
        <v>0.15986034114673939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2033.6098066298</v>
      </c>
      <c r="E66">
        <v>419.30179558011002</v>
      </c>
      <c r="F66">
        <v>135.95523415977999</v>
      </c>
      <c r="G66">
        <v>116.98966942149001</v>
      </c>
      <c r="I66" s="9">
        <f t="shared" si="1"/>
        <v>302.31212615862</v>
      </c>
      <c r="J66" s="9">
        <f t="shared" si="2"/>
        <v>1897.65457247002</v>
      </c>
      <c r="K66" s="9">
        <f t="shared" si="3"/>
        <v>302.31212615862</v>
      </c>
      <c r="L66" s="10">
        <f t="shared" ref="L66:L129" si="7">K66/J66</f>
        <v>0.15930830117576419</v>
      </c>
      <c r="M66" s="10">
        <f t="shared" si="4"/>
        <v>0.16705218855676943</v>
      </c>
      <c r="P66" s="8">
        <f t="shared" si="5"/>
        <v>-1.1487278031811565</v>
      </c>
      <c r="U66" s="8">
        <v>31.5</v>
      </c>
      <c r="V66" s="10">
        <f t="shared" si="6"/>
        <v>0.15984157692041318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2033.2368784529999</v>
      </c>
      <c r="E67">
        <v>418.38397790055001</v>
      </c>
      <c r="F67">
        <v>136.31336088154001</v>
      </c>
      <c r="G67">
        <v>116.65151515152</v>
      </c>
      <c r="I67" s="9">
        <f t="shared" ref="I67:I130" si="8">E67-G67</f>
        <v>301.73246274902999</v>
      </c>
      <c r="J67" s="9">
        <f t="shared" ref="J67:J130" si="9">D67-F67</f>
        <v>1896.9235175714598</v>
      </c>
      <c r="K67" s="9">
        <f t="shared" ref="K67:K130" si="10">I67*1</f>
        <v>301.73246274902999</v>
      </c>
      <c r="L67" s="10">
        <f t="shared" si="7"/>
        <v>0.15906411616179633</v>
      </c>
      <c r="M67" s="10">
        <f t="shared" ref="M67:M130" si="11">L67+ABS($N$2)*A67</f>
        <v>0.16692900178312975</v>
      </c>
      <c r="P67" s="8">
        <f t="shared" ref="P67:P130" si="12">(M67-$O$2)/$O$2*100</f>
        <v>-1.2216222046092797</v>
      </c>
      <c r="U67" s="8">
        <v>32</v>
      </c>
      <c r="V67" s="10">
        <f t="shared" si="6"/>
        <v>0.15962207401207509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2018.4675414364999</v>
      </c>
      <c r="E68">
        <v>417.31629834253999</v>
      </c>
      <c r="F68">
        <v>136.07506887052</v>
      </c>
      <c r="G68">
        <v>116.78719008265</v>
      </c>
      <c r="I68" s="9">
        <f t="shared" si="8"/>
        <v>300.52910825988999</v>
      </c>
      <c r="J68" s="9">
        <f t="shared" si="9"/>
        <v>1882.3924725659799</v>
      </c>
      <c r="K68" s="9">
        <f t="shared" si="10"/>
        <v>300.52910825988999</v>
      </c>
      <c r="L68" s="10">
        <f t="shared" si="7"/>
        <v>0.15965273588786949</v>
      </c>
      <c r="M68" s="10">
        <f t="shared" si="11"/>
        <v>0.16763861974953112</v>
      </c>
      <c r="P68" s="8">
        <f t="shared" si="12"/>
        <v>-0.80171367567278495</v>
      </c>
      <c r="U68" s="8">
        <v>32.5</v>
      </c>
      <c r="V68" s="10">
        <f t="shared" si="6"/>
        <v>0.15930830117576419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2041.4060773481001</v>
      </c>
      <c r="E69">
        <v>420.94682320442001</v>
      </c>
      <c r="F69">
        <v>136.11570247934</v>
      </c>
      <c r="G69">
        <v>116.36432506887</v>
      </c>
      <c r="I69" s="9">
        <f t="shared" si="8"/>
        <v>304.58249813555</v>
      </c>
      <c r="J69" s="9">
        <f t="shared" si="9"/>
        <v>1905.2903748687602</v>
      </c>
      <c r="K69" s="9">
        <f t="shared" si="10"/>
        <v>304.58249813555</v>
      </c>
      <c r="L69" s="10">
        <f t="shared" si="7"/>
        <v>0.15986145847009287</v>
      </c>
      <c r="M69" s="10">
        <f t="shared" si="11"/>
        <v>0.16796834057208271</v>
      </c>
      <c r="P69" s="8">
        <f t="shared" si="12"/>
        <v>-0.6066050508735964</v>
      </c>
      <c r="U69" s="8">
        <v>33</v>
      </c>
      <c r="V69" s="10">
        <f t="shared" si="6"/>
        <v>0.15906411616179633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2035.6415745856</v>
      </c>
      <c r="E70">
        <v>418.87016574585999</v>
      </c>
      <c r="F70">
        <v>136.22107438016999</v>
      </c>
      <c r="G70">
        <v>116.75964187328</v>
      </c>
      <c r="I70" s="9">
        <f t="shared" si="8"/>
        <v>302.11052387257996</v>
      </c>
      <c r="J70" s="9">
        <f t="shared" si="9"/>
        <v>1899.42050020543</v>
      </c>
      <c r="K70" s="9">
        <f t="shared" si="10"/>
        <v>302.11052387257996</v>
      </c>
      <c r="L70" s="10">
        <f t="shared" si="7"/>
        <v>0.15905405034846443</v>
      </c>
      <c r="M70" s="10">
        <f t="shared" si="11"/>
        <v>0.16728193069078248</v>
      </c>
      <c r="P70" s="8">
        <f t="shared" si="12"/>
        <v>-1.0127804539090162</v>
      </c>
      <c r="U70" s="8">
        <v>33.5</v>
      </c>
      <c r="V70" s="10">
        <f t="shared" si="6"/>
        <v>0.15965273588786949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2033.7334254144</v>
      </c>
      <c r="E71">
        <v>416.12016574585999</v>
      </c>
      <c r="F71">
        <v>136.22245179063</v>
      </c>
      <c r="G71">
        <v>117.00482093664</v>
      </c>
      <c r="I71" s="9">
        <f t="shared" si="8"/>
        <v>299.11534480922001</v>
      </c>
      <c r="J71" s="9">
        <f t="shared" si="9"/>
        <v>1897.51097362377</v>
      </c>
      <c r="K71" s="9">
        <f t="shared" si="10"/>
        <v>299.11534480922001</v>
      </c>
      <c r="L71" s="10">
        <f t="shared" si="7"/>
        <v>0.15763563371545869</v>
      </c>
      <c r="M71" s="10">
        <f t="shared" si="11"/>
        <v>0.16598451229810493</v>
      </c>
      <c r="P71" s="8">
        <f t="shared" si="12"/>
        <v>-1.7805133390375705</v>
      </c>
      <c r="U71" s="8">
        <v>34</v>
      </c>
      <c r="V71" s="10">
        <f t="shared" si="6"/>
        <v>0.15986145847009287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2047.9198895028001</v>
      </c>
      <c r="E72">
        <v>417.96685082873</v>
      </c>
      <c r="F72">
        <v>136.64049586777</v>
      </c>
      <c r="G72">
        <v>116.64669421488</v>
      </c>
      <c r="I72" s="9">
        <f t="shared" si="8"/>
        <v>301.32015661385003</v>
      </c>
      <c r="J72" s="9">
        <f t="shared" si="9"/>
        <v>1911.2793936350301</v>
      </c>
      <c r="K72" s="9">
        <f t="shared" si="10"/>
        <v>301.32015661385003</v>
      </c>
      <c r="L72" s="10">
        <f t="shared" si="7"/>
        <v>0.15765364164826487</v>
      </c>
      <c r="M72" s="10">
        <f t="shared" si="11"/>
        <v>0.16612351847123932</v>
      </c>
      <c r="P72" s="8">
        <f t="shared" si="12"/>
        <v>-1.6982579841316612</v>
      </c>
      <c r="U72" s="8">
        <v>34.5</v>
      </c>
      <c r="V72" s="10">
        <f t="shared" si="6"/>
        <v>0.15905405034846443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2053.4917127071999</v>
      </c>
      <c r="E73">
        <v>414.09392265192997</v>
      </c>
      <c r="F73">
        <v>136.07644628099001</v>
      </c>
      <c r="G73">
        <v>116.57162534435</v>
      </c>
      <c r="I73" s="9">
        <f t="shared" si="8"/>
        <v>297.52229730757995</v>
      </c>
      <c r="J73" s="9">
        <f t="shared" si="9"/>
        <v>1917.4152664262099</v>
      </c>
      <c r="K73" s="9">
        <f t="shared" si="10"/>
        <v>297.52229730757995</v>
      </c>
      <c r="L73" s="10">
        <f t="shared" si="7"/>
        <v>0.155168419964716</v>
      </c>
      <c r="M73" s="10">
        <f t="shared" si="11"/>
        <v>0.16375929502801867</v>
      </c>
      <c r="P73" s="8">
        <f t="shared" si="12"/>
        <v>-3.0972608774130288</v>
      </c>
      <c r="U73" s="8">
        <v>35</v>
      </c>
      <c r="V73" s="10">
        <f t="shared" si="6"/>
        <v>0.15763563371545869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2053.2803867402999</v>
      </c>
      <c r="E74">
        <v>412.39779005525003</v>
      </c>
      <c r="F74">
        <v>136.0282369146</v>
      </c>
      <c r="G74">
        <v>116.45592286501</v>
      </c>
      <c r="I74" s="9">
        <f t="shared" si="8"/>
        <v>295.94186719024003</v>
      </c>
      <c r="J74" s="9">
        <f t="shared" si="9"/>
        <v>1917.2521498256999</v>
      </c>
      <c r="K74" s="9">
        <f t="shared" si="10"/>
        <v>295.94186719024003</v>
      </c>
      <c r="L74" s="10">
        <f t="shared" si="7"/>
        <v>0.15435730100349321</v>
      </c>
      <c r="M74" s="10">
        <f t="shared" si="11"/>
        <v>0.16306917430712409</v>
      </c>
      <c r="P74" s="8">
        <f t="shared" si="12"/>
        <v>-3.5056321284525342</v>
      </c>
      <c r="U74" s="8">
        <v>35.5</v>
      </c>
      <c r="V74" s="10">
        <f t="shared" si="6"/>
        <v>0.15765364164826487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2042.5645833333001</v>
      </c>
      <c r="E75">
        <v>411.27291666667003</v>
      </c>
      <c r="F75">
        <v>136.26997245179001</v>
      </c>
      <c r="G75">
        <v>116.69490358127</v>
      </c>
      <c r="I75" s="9">
        <f t="shared" si="8"/>
        <v>294.57801308540002</v>
      </c>
      <c r="J75" s="9">
        <f t="shared" si="9"/>
        <v>1906.2946108815102</v>
      </c>
      <c r="K75" s="9">
        <f t="shared" si="10"/>
        <v>294.57801308540002</v>
      </c>
      <c r="L75" s="10">
        <f t="shared" si="7"/>
        <v>0.15452911181928014</v>
      </c>
      <c r="M75" s="10">
        <f t="shared" si="11"/>
        <v>0.16336198336323923</v>
      </c>
      <c r="P75" s="8">
        <f t="shared" si="12"/>
        <v>-3.3323656303731299</v>
      </c>
      <c r="U75" s="8">
        <v>36</v>
      </c>
      <c r="V75" s="10">
        <f t="shared" si="6"/>
        <v>0.155168419964716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2025.1486860304001</v>
      </c>
      <c r="E76">
        <v>406.49723374826999</v>
      </c>
      <c r="F76">
        <v>136.22589531680001</v>
      </c>
      <c r="G76">
        <v>116.5544077135</v>
      </c>
      <c r="I76" s="9">
        <f t="shared" si="8"/>
        <v>289.94282603477001</v>
      </c>
      <c r="J76" s="9">
        <f t="shared" si="9"/>
        <v>1888.9227907136001</v>
      </c>
      <c r="K76" s="9">
        <f t="shared" si="10"/>
        <v>289.94282603477001</v>
      </c>
      <c r="L76" s="10">
        <f t="shared" si="7"/>
        <v>0.15349638823788819</v>
      </c>
      <c r="M76" s="10">
        <f t="shared" si="11"/>
        <v>0.16245025802217547</v>
      </c>
      <c r="P76" s="8">
        <f t="shared" si="12"/>
        <v>-3.8718689474913255</v>
      </c>
      <c r="U76" s="8">
        <v>36.5</v>
      </c>
      <c r="V76" s="10">
        <f t="shared" si="6"/>
        <v>0.15435730100349321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1998.8928077455</v>
      </c>
      <c r="E77">
        <v>405.47095435684997</v>
      </c>
      <c r="F77">
        <v>135.95247933883999</v>
      </c>
      <c r="G77">
        <v>116.64738292011</v>
      </c>
      <c r="I77" s="9">
        <f t="shared" si="8"/>
        <v>288.82357143673994</v>
      </c>
      <c r="J77" s="9">
        <f t="shared" si="9"/>
        <v>1862.94032840666</v>
      </c>
      <c r="K77" s="9">
        <f t="shared" si="10"/>
        <v>288.82357143673994</v>
      </c>
      <c r="L77" s="10">
        <f t="shared" si="7"/>
        <v>0.15503640510255401</v>
      </c>
      <c r="M77" s="10">
        <f t="shared" si="11"/>
        <v>0.1641112731271695</v>
      </c>
      <c r="P77" s="8">
        <f t="shared" si="12"/>
        <v>-2.8889817570550602</v>
      </c>
      <c r="U77" s="8">
        <v>37</v>
      </c>
      <c r="V77" s="10">
        <f t="shared" si="6"/>
        <v>0.15452911181928014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1958.8004115225999</v>
      </c>
      <c r="E78">
        <v>425.06790123457</v>
      </c>
      <c r="F78">
        <v>136.26652892562001</v>
      </c>
      <c r="G78">
        <v>116.52341597796</v>
      </c>
      <c r="I78" s="9">
        <f t="shared" si="8"/>
        <v>308.54448525661002</v>
      </c>
      <c r="J78" s="9">
        <f t="shared" si="9"/>
        <v>1822.53388259698</v>
      </c>
      <c r="K78" s="9">
        <f t="shared" si="10"/>
        <v>308.54448525661002</v>
      </c>
      <c r="L78" s="10">
        <f t="shared" si="7"/>
        <v>0.16929423820475495</v>
      </c>
      <c r="M78" s="10">
        <f t="shared" si="11"/>
        <v>0.17849010446969865</v>
      </c>
      <c r="P78" s="8">
        <f t="shared" si="12"/>
        <v>5.6195315596051163</v>
      </c>
      <c r="U78" s="8">
        <v>37.5</v>
      </c>
      <c r="V78" s="10">
        <f t="shared" si="6"/>
        <v>0.15349638823788819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1985.3145216793</v>
      </c>
      <c r="E79">
        <v>448.88575361321</v>
      </c>
      <c r="F79">
        <v>136.66184573003</v>
      </c>
      <c r="G79">
        <v>117.13360881542999</v>
      </c>
      <c r="I79" s="9">
        <f t="shared" si="8"/>
        <v>331.75214479778003</v>
      </c>
      <c r="J79" s="9">
        <f t="shared" si="9"/>
        <v>1848.6526759492699</v>
      </c>
      <c r="K79" s="9">
        <f t="shared" si="10"/>
        <v>331.75214479778003</v>
      </c>
      <c r="L79" s="10">
        <f t="shared" si="7"/>
        <v>0.17945617860717275</v>
      </c>
      <c r="M79" s="10">
        <f t="shared" si="11"/>
        <v>0.18877304311244467</v>
      </c>
      <c r="P79" s="8">
        <f t="shared" si="12"/>
        <v>11.704345985199078</v>
      </c>
      <c r="U79" s="8">
        <v>38</v>
      </c>
      <c r="V79" s="10">
        <f t="shared" si="6"/>
        <v>0.15503640510255401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1966.7692842252</v>
      </c>
      <c r="E80">
        <v>428.16191799861002</v>
      </c>
      <c r="F80">
        <v>135.61707988980999</v>
      </c>
      <c r="G80">
        <v>116.79820936639</v>
      </c>
      <c r="I80" s="9">
        <f t="shared" si="8"/>
        <v>311.36370863222004</v>
      </c>
      <c r="J80" s="9">
        <f t="shared" si="9"/>
        <v>1831.15220433539</v>
      </c>
      <c r="K80" s="9">
        <f t="shared" si="10"/>
        <v>311.36370863222004</v>
      </c>
      <c r="L80" s="10">
        <f t="shared" si="7"/>
        <v>0.17003704437842093</v>
      </c>
      <c r="M80" s="10">
        <f t="shared" si="11"/>
        <v>0.17947490712402103</v>
      </c>
      <c r="P80" s="8">
        <f t="shared" si="12"/>
        <v>6.2022775630164348</v>
      </c>
      <c r="U80" s="8">
        <v>38.5</v>
      </c>
      <c r="V80" s="10">
        <f t="shared" si="6"/>
        <v>0.16929423820475495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2015.7222605100001</v>
      </c>
      <c r="E81">
        <v>431.79324603722</v>
      </c>
      <c r="F81">
        <v>135.77066115702999</v>
      </c>
      <c r="G81">
        <v>116.78305785124</v>
      </c>
      <c r="I81" s="9">
        <f t="shared" si="8"/>
        <v>315.01018818597998</v>
      </c>
      <c r="J81" s="9">
        <f t="shared" si="9"/>
        <v>1879.9515993529701</v>
      </c>
      <c r="K81" s="9">
        <f t="shared" si="10"/>
        <v>315.01018818597998</v>
      </c>
      <c r="L81" s="10">
        <f t="shared" si="7"/>
        <v>0.16756292464891023</v>
      </c>
      <c r="M81" s="10">
        <f t="shared" si="11"/>
        <v>0.17712178563483855</v>
      </c>
      <c r="P81" s="8">
        <f t="shared" si="12"/>
        <v>4.809844127399912</v>
      </c>
      <c r="U81" s="8">
        <v>39</v>
      </c>
      <c r="V81" s="10">
        <f t="shared" si="6"/>
        <v>0.17945617860717275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2023.2446588559999</v>
      </c>
      <c r="E82">
        <v>428.78084079945</v>
      </c>
      <c r="F82">
        <v>136.18870523416001</v>
      </c>
      <c r="G82">
        <v>116.60055096419001</v>
      </c>
      <c r="H82" s="13"/>
      <c r="I82" s="14">
        <f t="shared" si="8"/>
        <v>312.18028983526</v>
      </c>
      <c r="J82" s="14">
        <f t="shared" si="9"/>
        <v>1887.0559536218398</v>
      </c>
      <c r="K82" s="9">
        <f t="shared" si="10"/>
        <v>312.18028983526</v>
      </c>
      <c r="L82" s="15">
        <f t="shared" si="7"/>
        <v>0.16543245007446131</v>
      </c>
      <c r="M82" s="15">
        <f t="shared" si="11"/>
        <v>0.17511230930071783</v>
      </c>
      <c r="N82" s="13"/>
      <c r="O82" s="13"/>
      <c r="P82" s="13">
        <f t="shared" si="12"/>
        <v>3.6207588852767376</v>
      </c>
      <c r="U82" s="8">
        <v>39.5</v>
      </c>
      <c r="V82" s="10">
        <f t="shared" si="6"/>
        <v>0.17003704437842093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2045.9931082011999</v>
      </c>
      <c r="E83">
        <v>427.22674017919002</v>
      </c>
      <c r="F83">
        <v>136.24380165289</v>
      </c>
      <c r="G83">
        <v>116.45936639119</v>
      </c>
      <c r="I83" s="9">
        <f t="shared" si="8"/>
        <v>310.76737378799999</v>
      </c>
      <c r="J83" s="9">
        <f t="shared" si="9"/>
        <v>1909.74930654831</v>
      </c>
      <c r="K83" s="9">
        <f t="shared" si="10"/>
        <v>310.76737378799999</v>
      </c>
      <c r="L83" s="10">
        <f t="shared" si="7"/>
        <v>0.16272678970083379</v>
      </c>
      <c r="M83" s="10">
        <f t="shared" si="11"/>
        <v>0.17252764716741853</v>
      </c>
      <c r="P83" s="8">
        <f t="shared" si="12"/>
        <v>2.0913138520633345</v>
      </c>
      <c r="U83" s="8">
        <v>40</v>
      </c>
      <c r="V83" s="10">
        <f t="shared" si="6"/>
        <v>0.16756292464891023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2059.1907073509001</v>
      </c>
      <c r="E84">
        <v>430.72122052704998</v>
      </c>
      <c r="F84">
        <v>136.141184573</v>
      </c>
      <c r="G84">
        <v>116.9738292011</v>
      </c>
      <c r="I84" s="9">
        <f t="shared" si="8"/>
        <v>313.74739132594999</v>
      </c>
      <c r="J84" s="9">
        <f t="shared" si="9"/>
        <v>1923.0495227779002</v>
      </c>
      <c r="K84" s="9">
        <f t="shared" si="10"/>
        <v>313.74739132594999</v>
      </c>
      <c r="L84" s="10">
        <f t="shared" si="7"/>
        <v>0.16315096808985599</v>
      </c>
      <c r="M84" s="10">
        <f t="shared" si="11"/>
        <v>0.17307282379676892</v>
      </c>
      <c r="P84" s="8">
        <f t="shared" si="12"/>
        <v>2.4139160511057329</v>
      </c>
      <c r="U84" s="8">
        <v>150.5</v>
      </c>
      <c r="V84" s="10">
        <f>L302</f>
        <v>0.18719761578132085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2058.3756868132</v>
      </c>
      <c r="E85">
        <v>435.65041208791001</v>
      </c>
      <c r="F85">
        <v>136.41115702478999</v>
      </c>
      <c r="G85">
        <v>116.59710743802</v>
      </c>
      <c r="I85" s="9">
        <f t="shared" si="8"/>
        <v>319.05330464989004</v>
      </c>
      <c r="J85" s="9">
        <f t="shared" si="9"/>
        <v>1921.9645297884099</v>
      </c>
      <c r="K85" s="9">
        <f t="shared" si="10"/>
        <v>319.05330464989004</v>
      </c>
      <c r="L85" s="10">
        <f t="shared" si="7"/>
        <v>0.16600374237136145</v>
      </c>
      <c r="M85" s="10">
        <f t="shared" si="11"/>
        <v>0.17604659631860259</v>
      </c>
      <c r="P85" s="8">
        <f t="shared" si="12"/>
        <v>4.1736128233949739</v>
      </c>
      <c r="U85" s="8">
        <v>151</v>
      </c>
      <c r="V85" s="10">
        <f t="shared" ref="V85:V103" si="13">L303</f>
        <v>0.19164751869829699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2026.7561813187001</v>
      </c>
      <c r="E86">
        <v>431.08035714286001</v>
      </c>
      <c r="F86">
        <v>135.90977961433001</v>
      </c>
      <c r="G86">
        <v>116.57506887052</v>
      </c>
      <c r="I86" s="9">
        <f t="shared" si="8"/>
        <v>314.50528827234001</v>
      </c>
      <c r="J86" s="9">
        <f t="shared" si="9"/>
        <v>1890.84640170437</v>
      </c>
      <c r="K86" s="9">
        <f t="shared" si="10"/>
        <v>314.50528827234001</v>
      </c>
      <c r="L86" s="10">
        <f t="shared" si="7"/>
        <v>0.16633042641054896</v>
      </c>
      <c r="M86" s="10">
        <f t="shared" si="11"/>
        <v>0.17649427859811831</v>
      </c>
      <c r="P86" s="8">
        <f t="shared" si="12"/>
        <v>4.4385238266714255</v>
      </c>
      <c r="U86" s="8">
        <v>151.5</v>
      </c>
      <c r="V86" s="10">
        <f t="shared" si="13"/>
        <v>0.19829332433073335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2031.2534340658999</v>
      </c>
      <c r="E87">
        <v>444.26785714286001</v>
      </c>
      <c r="F87">
        <v>136.13774104683</v>
      </c>
      <c r="G87">
        <v>116.61019283747</v>
      </c>
      <c r="I87" s="9">
        <f t="shared" si="8"/>
        <v>327.65766430539003</v>
      </c>
      <c r="J87" s="9">
        <f t="shared" si="9"/>
        <v>1895.11569301907</v>
      </c>
      <c r="K87" s="9">
        <f t="shared" si="10"/>
        <v>327.65766430539003</v>
      </c>
      <c r="L87" s="10">
        <f t="shared" si="7"/>
        <v>0.17289586356778319</v>
      </c>
      <c r="M87" s="10">
        <f t="shared" si="11"/>
        <v>0.18318071399568076</v>
      </c>
      <c r="P87" s="8">
        <f t="shared" si="12"/>
        <v>8.3951475094930039</v>
      </c>
      <c r="U87" s="8">
        <v>152</v>
      </c>
      <c r="V87" s="10">
        <f t="shared" si="13"/>
        <v>0.2066484499779519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2062.2960164834999</v>
      </c>
      <c r="E88">
        <v>463.02815934066001</v>
      </c>
      <c r="F88">
        <v>135.77341597796001</v>
      </c>
      <c r="G88">
        <v>116.59159779613999</v>
      </c>
      <c r="I88" s="9">
        <f t="shared" si="8"/>
        <v>346.43656154452003</v>
      </c>
      <c r="J88" s="9">
        <f t="shared" si="9"/>
        <v>1926.5226005055399</v>
      </c>
      <c r="K88" s="9">
        <f t="shared" si="10"/>
        <v>346.43656154452003</v>
      </c>
      <c r="L88" s="10">
        <f t="shared" si="7"/>
        <v>0.17982481049202922</v>
      </c>
      <c r="M88" s="10">
        <f t="shared" si="11"/>
        <v>0.190230659160255</v>
      </c>
      <c r="P88" s="8">
        <f t="shared" si="12"/>
        <v>12.566874048706522</v>
      </c>
      <c r="U88" s="8">
        <v>152.5</v>
      </c>
      <c r="V88" s="10">
        <f t="shared" si="13"/>
        <v>0.20016346040272368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2054.1806318681001</v>
      </c>
      <c r="E89">
        <v>467.1146978022</v>
      </c>
      <c r="F89">
        <v>136.34159779614001</v>
      </c>
      <c r="G89">
        <v>116.69972451791</v>
      </c>
      <c r="I89" s="9">
        <f t="shared" si="8"/>
        <v>350.41497328429</v>
      </c>
      <c r="J89" s="9">
        <f t="shared" si="9"/>
        <v>1917.8390340719602</v>
      </c>
      <c r="K89" s="9">
        <f t="shared" si="10"/>
        <v>350.41497328429</v>
      </c>
      <c r="L89" s="10">
        <f t="shared" si="7"/>
        <v>0.182713443129942</v>
      </c>
      <c r="M89" s="10">
        <f t="shared" si="11"/>
        <v>0.19324029003849597</v>
      </c>
      <c r="P89" s="8">
        <f t="shared" si="12"/>
        <v>14.347789604062127</v>
      </c>
      <c r="U89" s="8">
        <v>153</v>
      </c>
      <c r="V89" s="10">
        <f t="shared" si="13"/>
        <v>0.19501109916719611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2054.6641483517001</v>
      </c>
      <c r="E90">
        <v>479.20604395603999</v>
      </c>
      <c r="F90">
        <v>136.14393939394</v>
      </c>
      <c r="G90">
        <v>116.53374655647001</v>
      </c>
      <c r="I90" s="9">
        <f t="shared" si="8"/>
        <v>362.67229739956997</v>
      </c>
      <c r="J90" s="9">
        <f t="shared" si="9"/>
        <v>1918.5202089577601</v>
      </c>
      <c r="K90" s="9">
        <f t="shared" si="10"/>
        <v>362.67229739956997</v>
      </c>
      <c r="L90" s="10">
        <f t="shared" si="7"/>
        <v>0.18903751740858252</v>
      </c>
      <c r="M90" s="10">
        <f t="shared" si="11"/>
        <v>0.19968536255746469</v>
      </c>
      <c r="P90" s="8">
        <f t="shared" si="12"/>
        <v>18.161589491420727</v>
      </c>
      <c r="U90" s="8">
        <v>153.5</v>
      </c>
      <c r="V90" s="10">
        <f t="shared" si="13"/>
        <v>0.1928003169846601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2055.9017857142999</v>
      </c>
      <c r="E91">
        <v>488.43612637362997</v>
      </c>
      <c r="F91">
        <v>135.93595041322001</v>
      </c>
      <c r="G91">
        <v>116.84986225895</v>
      </c>
      <c r="I91" s="9">
        <f t="shared" si="8"/>
        <v>371.58626411467998</v>
      </c>
      <c r="J91" s="9">
        <f t="shared" si="9"/>
        <v>1919.9658353010798</v>
      </c>
      <c r="K91" s="9">
        <f t="shared" si="10"/>
        <v>371.58626411467998</v>
      </c>
      <c r="L91" s="10">
        <f t="shared" si="7"/>
        <v>0.19353795639619265</v>
      </c>
      <c r="M91" s="10">
        <f t="shared" si="11"/>
        <v>0.20430679978540303</v>
      </c>
      <c r="P91" s="8">
        <f t="shared" si="12"/>
        <v>20.896273504280565</v>
      </c>
      <c r="U91" s="8">
        <v>154</v>
      </c>
      <c r="V91" s="10">
        <f t="shared" si="13"/>
        <v>0.19156944597185255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2057.0865384614999</v>
      </c>
      <c r="E92">
        <v>486.0625</v>
      </c>
      <c r="F92">
        <v>136.67424242423999</v>
      </c>
      <c r="G92">
        <v>116.51239669422</v>
      </c>
      <c r="I92" s="9">
        <f t="shared" si="8"/>
        <v>369.55010330578</v>
      </c>
      <c r="J92" s="9">
        <f t="shared" si="9"/>
        <v>1920.4122960372599</v>
      </c>
      <c r="K92" s="9">
        <f t="shared" si="10"/>
        <v>369.55010330578</v>
      </c>
      <c r="L92" s="10">
        <f t="shared" si="7"/>
        <v>0.19243268962000543</v>
      </c>
      <c r="M92" s="10">
        <f t="shared" si="11"/>
        <v>0.20332253124954403</v>
      </c>
      <c r="P92" s="8">
        <f t="shared" si="12"/>
        <v>20.313843559521725</v>
      </c>
      <c r="U92" s="8">
        <v>154.5</v>
      </c>
      <c r="V92" s="10">
        <f t="shared" si="13"/>
        <v>0.19524874847830836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2048.8921703297001</v>
      </c>
      <c r="E93">
        <v>475.64629120878999</v>
      </c>
      <c r="F93">
        <v>135.98829201102001</v>
      </c>
      <c r="G93">
        <v>116.62052341598</v>
      </c>
      <c r="I93" s="9">
        <f t="shared" si="8"/>
        <v>359.02576779280997</v>
      </c>
      <c r="J93" s="9">
        <f t="shared" si="9"/>
        <v>1912.9038783186802</v>
      </c>
      <c r="K93" s="9">
        <f t="shared" si="10"/>
        <v>359.02576779280997</v>
      </c>
      <c r="L93" s="10">
        <f t="shared" si="7"/>
        <v>0.18768625640948075</v>
      </c>
      <c r="M93" s="10">
        <f t="shared" si="11"/>
        <v>0.19869709627934756</v>
      </c>
      <c r="P93" s="8">
        <f t="shared" si="12"/>
        <v>17.576793927201614</v>
      </c>
      <c r="U93" s="8">
        <v>155</v>
      </c>
      <c r="V93" s="10">
        <f t="shared" si="13"/>
        <v>0.19499462782865981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2038.6627747253001</v>
      </c>
      <c r="E94">
        <v>471.25824175823999</v>
      </c>
      <c r="F94">
        <v>136.33539944904001</v>
      </c>
      <c r="G94">
        <v>116.70661157025</v>
      </c>
      <c r="I94" s="9">
        <f t="shared" si="8"/>
        <v>354.55163018798999</v>
      </c>
      <c r="J94" s="9">
        <f t="shared" si="9"/>
        <v>1902.32737527626</v>
      </c>
      <c r="K94" s="9">
        <f t="shared" si="10"/>
        <v>354.55163018798999</v>
      </c>
      <c r="L94" s="10">
        <f t="shared" si="7"/>
        <v>0.18637782055599197</v>
      </c>
      <c r="M94" s="10">
        <f t="shared" si="11"/>
        <v>0.19750965866618697</v>
      </c>
      <c r="P94" s="8">
        <f t="shared" si="12"/>
        <v>16.87414094354801</v>
      </c>
      <c r="U94" s="8">
        <v>155.5</v>
      </c>
      <c r="V94" s="10">
        <f t="shared" si="13"/>
        <v>0.19314398691306378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2016.0013736264</v>
      </c>
      <c r="E95">
        <v>465.41552197802002</v>
      </c>
      <c r="F95">
        <v>136.69834710743999</v>
      </c>
      <c r="G95">
        <v>116.81749311295</v>
      </c>
      <c r="I95" s="9">
        <f t="shared" si="8"/>
        <v>348.59802886507003</v>
      </c>
      <c r="J95" s="9">
        <f t="shared" si="9"/>
        <v>1879.30302651896</v>
      </c>
      <c r="K95" s="9">
        <f t="shared" si="10"/>
        <v>348.59802886507003</v>
      </c>
      <c r="L95" s="10">
        <f t="shared" si="7"/>
        <v>0.18549325145864287</v>
      </c>
      <c r="M95" s="10">
        <f t="shared" si="11"/>
        <v>0.19674608780916608</v>
      </c>
      <c r="P95" s="8">
        <f t="shared" si="12"/>
        <v>16.422306392435381</v>
      </c>
      <c r="U95" s="8">
        <v>156</v>
      </c>
      <c r="V95" s="10">
        <f t="shared" si="13"/>
        <v>0.19036476068255079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1997.4615384614999</v>
      </c>
      <c r="E96">
        <v>458.65453296702998</v>
      </c>
      <c r="F96">
        <v>136.38842975207001</v>
      </c>
      <c r="G96">
        <v>116.42699724518</v>
      </c>
      <c r="I96" s="9">
        <f t="shared" si="8"/>
        <v>342.22753572184996</v>
      </c>
      <c r="J96" s="9">
        <f t="shared" si="9"/>
        <v>1861.07310870943</v>
      </c>
      <c r="K96" s="9">
        <f t="shared" si="10"/>
        <v>342.22753572184996</v>
      </c>
      <c r="L96" s="10">
        <f t="shared" si="7"/>
        <v>0.18388720685947113</v>
      </c>
      <c r="M96" s="10">
        <f t="shared" si="11"/>
        <v>0.19526104145032255</v>
      </c>
      <c r="P96" s="8">
        <f t="shared" si="12"/>
        <v>15.543546747852515</v>
      </c>
      <c r="U96" s="8">
        <v>156.5</v>
      </c>
      <c r="V96" s="10">
        <f t="shared" si="13"/>
        <v>0.18913800686029461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2013.5797799175</v>
      </c>
      <c r="E97">
        <v>453.97317744153997</v>
      </c>
      <c r="F97">
        <v>136.16253443526</v>
      </c>
      <c r="G97">
        <v>116.70592286501</v>
      </c>
      <c r="I97" s="9">
        <f t="shared" si="8"/>
        <v>337.26725457652998</v>
      </c>
      <c r="J97" s="9">
        <f t="shared" si="9"/>
        <v>1877.4172454822401</v>
      </c>
      <c r="K97" s="9">
        <f t="shared" si="10"/>
        <v>337.26725457652998</v>
      </c>
      <c r="L97" s="10">
        <f t="shared" si="7"/>
        <v>0.17964427214468157</v>
      </c>
      <c r="M97" s="10">
        <f t="shared" si="11"/>
        <v>0.1911391049758612</v>
      </c>
      <c r="P97" s="8">
        <f t="shared" si="12"/>
        <v>13.104436743157738</v>
      </c>
      <c r="U97" s="8">
        <v>157</v>
      </c>
      <c r="V97" s="10">
        <f t="shared" si="13"/>
        <v>0.18424416160068818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2038.3438789546001</v>
      </c>
      <c r="E98">
        <v>457.38033012379998</v>
      </c>
      <c r="F98">
        <v>135.98898071625001</v>
      </c>
      <c r="G98">
        <v>116.46831955923</v>
      </c>
      <c r="I98" s="9">
        <f t="shared" si="8"/>
        <v>340.91201056456998</v>
      </c>
      <c r="J98" s="9">
        <f t="shared" si="9"/>
        <v>1902.35489823835</v>
      </c>
      <c r="K98" s="9">
        <f t="shared" si="10"/>
        <v>340.91201056456998</v>
      </c>
      <c r="L98" s="10">
        <f t="shared" si="7"/>
        <v>0.1792052633713441</v>
      </c>
      <c r="M98" s="10">
        <f t="shared" si="11"/>
        <v>0.19082109444285192</v>
      </c>
      <c r="P98" s="8">
        <f t="shared" si="12"/>
        <v>12.916257551783222</v>
      </c>
      <c r="U98" s="8">
        <v>157.5</v>
      </c>
      <c r="V98" s="10">
        <f t="shared" si="13"/>
        <v>0.18196793454310445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2015.9773039889999</v>
      </c>
      <c r="E99">
        <v>449.80123796423999</v>
      </c>
      <c r="F99">
        <v>136.22245179063</v>
      </c>
      <c r="G99">
        <v>116.39531680441</v>
      </c>
      <c r="I99" s="9">
        <f t="shared" si="8"/>
        <v>333.40592115982997</v>
      </c>
      <c r="J99" s="9">
        <f t="shared" si="9"/>
        <v>1879.7548521983699</v>
      </c>
      <c r="K99" s="9">
        <f t="shared" si="10"/>
        <v>333.40592115982997</v>
      </c>
      <c r="L99" s="10">
        <f t="shared" si="7"/>
        <v>0.17736670330703622</v>
      </c>
      <c r="M99" s="10">
        <f t="shared" si="11"/>
        <v>0.18910353261887225</v>
      </c>
      <c r="P99" s="8">
        <f t="shared" si="12"/>
        <v>11.899909470121417</v>
      </c>
      <c r="U99" s="8">
        <v>158</v>
      </c>
      <c r="V99" s="10">
        <f t="shared" si="13"/>
        <v>0.18102977655574073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2058.7752420470001</v>
      </c>
      <c r="E100">
        <v>465.07468879667999</v>
      </c>
      <c r="F100">
        <v>136.40564738291999</v>
      </c>
      <c r="G100">
        <v>116.21143250689001</v>
      </c>
      <c r="I100" s="9">
        <f t="shared" si="8"/>
        <v>348.86325628979</v>
      </c>
      <c r="J100" s="9">
        <f t="shared" si="9"/>
        <v>1922.3695946640801</v>
      </c>
      <c r="K100" s="9">
        <f t="shared" si="10"/>
        <v>348.86325628979</v>
      </c>
      <c r="L100" s="10">
        <f t="shared" si="7"/>
        <v>0.18147564196714799</v>
      </c>
      <c r="M100" s="10">
        <f t="shared" si="11"/>
        <v>0.19333346951931224</v>
      </c>
      <c r="P100" s="8">
        <f t="shared" si="12"/>
        <v>14.402927524139109</v>
      </c>
      <c r="U100" s="8">
        <v>158.5</v>
      </c>
      <c r="V100" s="10">
        <f t="shared" si="13"/>
        <v>0.18241057930027277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2056.8312586444999</v>
      </c>
      <c r="E101">
        <v>471.32434301520999</v>
      </c>
      <c r="F101">
        <v>136.24380165289</v>
      </c>
      <c r="G101">
        <v>116.48484848485</v>
      </c>
      <c r="I101" s="9">
        <f t="shared" si="8"/>
        <v>354.83949453035996</v>
      </c>
      <c r="J101" s="9">
        <f t="shared" si="9"/>
        <v>1920.58745699161</v>
      </c>
      <c r="K101" s="9">
        <f t="shared" si="10"/>
        <v>354.83949453035996</v>
      </c>
      <c r="L101" s="10">
        <f t="shared" si="7"/>
        <v>0.18475570755115583</v>
      </c>
      <c r="M101" s="10">
        <f t="shared" si="11"/>
        <v>0.19673453334364829</v>
      </c>
      <c r="P101" s="8">
        <f t="shared" si="12"/>
        <v>16.415469166141879</v>
      </c>
      <c r="U101" s="8">
        <v>159</v>
      </c>
      <c r="V101" s="10">
        <f t="shared" si="13"/>
        <v>0.18121215753412351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2051.1936376210001</v>
      </c>
      <c r="E102">
        <v>471.00691562932002</v>
      </c>
      <c r="F102">
        <v>136.33195592287001</v>
      </c>
      <c r="G102">
        <v>116.28099173554</v>
      </c>
      <c r="I102" s="9">
        <f t="shared" si="8"/>
        <v>354.72592389378002</v>
      </c>
      <c r="J102" s="9">
        <f t="shared" si="9"/>
        <v>1914.86168169813</v>
      </c>
      <c r="K102" s="9">
        <f t="shared" si="10"/>
        <v>354.72592389378002</v>
      </c>
      <c r="L102" s="10">
        <f t="shared" si="7"/>
        <v>0.18524884971284369</v>
      </c>
      <c r="M102" s="10">
        <f t="shared" si="11"/>
        <v>0.19734867374566434</v>
      </c>
      <c r="P102" s="8">
        <f t="shared" si="12"/>
        <v>16.778879909642079</v>
      </c>
      <c r="U102" s="8">
        <v>159.5</v>
      </c>
      <c r="V102" s="10">
        <f t="shared" si="13"/>
        <v>0.17987195920243146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2049.4986168741002</v>
      </c>
      <c r="E103">
        <v>470.30290456431999</v>
      </c>
      <c r="F103">
        <v>136.10950413223</v>
      </c>
      <c r="G103">
        <v>116.32162534435</v>
      </c>
      <c r="I103" s="9">
        <f t="shared" si="8"/>
        <v>353.98127921997002</v>
      </c>
      <c r="J103" s="9">
        <f t="shared" si="9"/>
        <v>1913.3891127418701</v>
      </c>
      <c r="K103" s="9">
        <f t="shared" si="10"/>
        <v>353.98127921997002</v>
      </c>
      <c r="L103" s="10">
        <f t="shared" si="7"/>
        <v>0.18500224385238501</v>
      </c>
      <c r="M103" s="10">
        <f t="shared" si="11"/>
        <v>0.19722306612553386</v>
      </c>
      <c r="P103" s="8">
        <f t="shared" si="12"/>
        <v>16.704552999262859</v>
      </c>
      <c r="U103" s="8">
        <v>160</v>
      </c>
      <c r="V103" s="10">
        <f t="shared" si="13"/>
        <v>0.1801091574864439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2053.4253112033002</v>
      </c>
      <c r="E104">
        <v>476.00207468880001</v>
      </c>
      <c r="F104">
        <v>136.61776859503999</v>
      </c>
      <c r="G104">
        <v>116.45661157025</v>
      </c>
      <c r="I104" s="9">
        <f t="shared" si="8"/>
        <v>359.54546311855</v>
      </c>
      <c r="J104" s="9">
        <f t="shared" si="9"/>
        <v>1916.8075426082603</v>
      </c>
      <c r="K104" s="9">
        <f t="shared" si="10"/>
        <v>359.54546311855</v>
      </c>
      <c r="L104" s="10">
        <f t="shared" si="7"/>
        <v>0.18757515041353875</v>
      </c>
      <c r="M104" s="10">
        <f t="shared" si="11"/>
        <v>0.19991697092701582</v>
      </c>
      <c r="P104" s="8">
        <f t="shared" si="12"/>
        <v>18.298641164789135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2049.4847856155002</v>
      </c>
      <c r="E105">
        <v>471.75864453665002</v>
      </c>
      <c r="F105">
        <v>136.34366391185</v>
      </c>
      <c r="G105">
        <v>116.66322314049999</v>
      </c>
      <c r="I105" s="9">
        <f t="shared" si="8"/>
        <v>355.09542139615002</v>
      </c>
      <c r="J105" s="9">
        <f t="shared" si="9"/>
        <v>1913.1411217036502</v>
      </c>
      <c r="K105" s="9">
        <f t="shared" si="10"/>
        <v>355.09542139615002</v>
      </c>
      <c r="L105" s="10">
        <f t="shared" si="7"/>
        <v>0.18560858755674955</v>
      </c>
      <c r="M105" s="10">
        <f t="shared" si="11"/>
        <v>0.19807140631055484</v>
      </c>
      <c r="P105" s="8">
        <f t="shared" si="12"/>
        <v>17.206548856183403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2047.7821576763999</v>
      </c>
      <c r="E106">
        <v>471.26970954357</v>
      </c>
      <c r="F106">
        <v>136.41597796143</v>
      </c>
      <c r="G106">
        <v>116.51997245179</v>
      </c>
      <c r="I106" s="9">
        <f t="shared" si="8"/>
        <v>354.74973709177999</v>
      </c>
      <c r="J106" s="9">
        <f t="shared" si="9"/>
        <v>1911.36617971497</v>
      </c>
      <c r="K106" s="9">
        <f t="shared" si="10"/>
        <v>354.74973709177999</v>
      </c>
      <c r="L106" s="10">
        <f t="shared" si="7"/>
        <v>0.1856000911058715</v>
      </c>
      <c r="M106" s="10">
        <f t="shared" si="11"/>
        <v>0.198183908100005</v>
      </c>
      <c r="P106" s="8">
        <f t="shared" si="12"/>
        <v>17.273120537211025</v>
      </c>
      <c r="X106" s="8">
        <v>-13</v>
      </c>
    </row>
    <row r="107" spans="1:25" x14ac:dyDescent="0.2">
      <c r="A107" s="8">
        <v>52.5</v>
      </c>
      <c r="B107" s="8">
        <v>105</v>
      </c>
      <c r="D107">
        <v>2046.7047026278999</v>
      </c>
      <c r="E107">
        <v>471.60857538035998</v>
      </c>
      <c r="F107">
        <v>136.19834710743999</v>
      </c>
      <c r="G107">
        <v>116.4979338843</v>
      </c>
      <c r="I107" s="9">
        <f t="shared" si="8"/>
        <v>355.11064149606</v>
      </c>
      <c r="J107" s="9">
        <f t="shared" si="9"/>
        <v>1910.5063555204599</v>
      </c>
      <c r="K107" s="9">
        <f t="shared" si="10"/>
        <v>355.11064149606</v>
      </c>
      <c r="L107" s="10">
        <f t="shared" si="7"/>
        <v>0.18587252561079326</v>
      </c>
      <c r="M107" s="10">
        <f t="shared" si="11"/>
        <v>0.19857734084525494</v>
      </c>
      <c r="P107" s="8">
        <f t="shared" si="12"/>
        <v>17.505929982737246</v>
      </c>
      <c r="X107" s="8">
        <v>-13</v>
      </c>
    </row>
    <row r="108" spans="1:25" x14ac:dyDescent="0.2">
      <c r="A108" s="8">
        <v>53</v>
      </c>
      <c r="B108" s="8">
        <v>106</v>
      </c>
      <c r="D108">
        <v>2041.3201936375999</v>
      </c>
      <c r="E108">
        <v>471.12448132780003</v>
      </c>
      <c r="F108">
        <v>135.66046831956001</v>
      </c>
      <c r="G108">
        <v>116.66046831956</v>
      </c>
      <c r="I108" s="9">
        <f t="shared" si="8"/>
        <v>354.46401300824004</v>
      </c>
      <c r="J108" s="9">
        <f t="shared" si="9"/>
        <v>1905.6597253180398</v>
      </c>
      <c r="K108" s="9">
        <f t="shared" si="10"/>
        <v>354.46401300824004</v>
      </c>
      <c r="L108" s="10">
        <f t="shared" si="7"/>
        <v>0.18600593185600475</v>
      </c>
      <c r="M108" s="10">
        <f t="shared" si="11"/>
        <v>0.19883174533079465</v>
      </c>
      <c r="P108" s="8">
        <f t="shared" si="12"/>
        <v>17.656471003872273</v>
      </c>
      <c r="X108" s="8">
        <v>-13</v>
      </c>
    </row>
    <row r="109" spans="1:25" x14ac:dyDescent="0.2">
      <c r="A109" s="8">
        <v>53.5</v>
      </c>
      <c r="B109" s="8">
        <v>107</v>
      </c>
      <c r="D109">
        <v>2033.0677731674</v>
      </c>
      <c r="E109">
        <v>465.84301521438999</v>
      </c>
      <c r="F109">
        <v>136.29132231405001</v>
      </c>
      <c r="G109">
        <v>116.55234159779999</v>
      </c>
      <c r="I109" s="9">
        <f t="shared" si="8"/>
        <v>349.29067361658997</v>
      </c>
      <c r="J109" s="9">
        <f t="shared" si="9"/>
        <v>1896.7764508533501</v>
      </c>
      <c r="K109" s="9">
        <f t="shared" si="10"/>
        <v>349.29067361658997</v>
      </c>
      <c r="L109" s="10">
        <f t="shared" si="7"/>
        <v>0.18414962578191324</v>
      </c>
      <c r="M109" s="10">
        <f t="shared" si="11"/>
        <v>0.19709643749703135</v>
      </c>
      <c r="P109" s="8">
        <f t="shared" si="12"/>
        <v>16.629621918549965</v>
      </c>
      <c r="X109" s="8">
        <v>-13</v>
      </c>
    </row>
    <row r="110" spans="1:25" x14ac:dyDescent="0.2">
      <c r="A110" s="8">
        <v>54</v>
      </c>
      <c r="B110" s="8">
        <v>108</v>
      </c>
      <c r="D110">
        <v>2026.8941908714</v>
      </c>
      <c r="E110">
        <v>458.70954356847</v>
      </c>
      <c r="F110">
        <v>136.49724517906</v>
      </c>
      <c r="G110">
        <v>116.21625344352999</v>
      </c>
      <c r="I110" s="9">
        <f t="shared" si="8"/>
        <v>342.49329012494002</v>
      </c>
      <c r="J110" s="9">
        <f t="shared" si="9"/>
        <v>1890.3969456923401</v>
      </c>
      <c r="K110" s="9">
        <f t="shared" si="10"/>
        <v>342.49329012494002</v>
      </c>
      <c r="L110" s="10">
        <f t="shared" si="7"/>
        <v>0.18117532981915874</v>
      </c>
      <c r="M110" s="10">
        <f t="shared" si="11"/>
        <v>0.19424313977460506</v>
      </c>
      <c r="P110" s="8">
        <f t="shared" si="12"/>
        <v>14.941214767138872</v>
      </c>
      <c r="X110" s="8">
        <v>-13</v>
      </c>
    </row>
    <row r="111" spans="1:25" x14ac:dyDescent="0.2">
      <c r="A111" s="8">
        <v>54.5</v>
      </c>
      <c r="B111" s="8">
        <v>109</v>
      </c>
      <c r="D111">
        <v>2027.3188105117999</v>
      </c>
      <c r="E111">
        <v>463.05809128631</v>
      </c>
      <c r="F111">
        <v>136.49173553719001</v>
      </c>
      <c r="G111">
        <v>116.35674931130001</v>
      </c>
      <c r="I111" s="9">
        <f t="shared" si="8"/>
        <v>346.70134197501</v>
      </c>
      <c r="J111" s="9">
        <f t="shared" si="9"/>
        <v>1890.82707497461</v>
      </c>
      <c r="K111" s="9">
        <f t="shared" si="10"/>
        <v>346.70134197501</v>
      </c>
      <c r="L111" s="10">
        <f t="shared" si="7"/>
        <v>0.18335962424256352</v>
      </c>
      <c r="M111" s="10">
        <f t="shared" si="11"/>
        <v>0.19654843243833803</v>
      </c>
      <c r="P111" s="8">
        <f t="shared" si="12"/>
        <v>16.305346027942775</v>
      </c>
      <c r="X111" s="8">
        <v>-13</v>
      </c>
    </row>
    <row r="112" spans="1:25" x14ac:dyDescent="0.2">
      <c r="A112" s="8">
        <v>55</v>
      </c>
      <c r="B112" s="8">
        <v>110</v>
      </c>
      <c r="D112">
        <v>2025.8817427386</v>
      </c>
      <c r="E112">
        <v>462.02143845090001</v>
      </c>
      <c r="F112">
        <v>135.88154269973001</v>
      </c>
      <c r="G112">
        <v>116.43319559229001</v>
      </c>
      <c r="I112" s="9">
        <f t="shared" si="8"/>
        <v>345.58824285860999</v>
      </c>
      <c r="J112" s="9">
        <f t="shared" si="9"/>
        <v>1890.0002000388699</v>
      </c>
      <c r="K112" s="9">
        <f t="shared" si="10"/>
        <v>345.58824285860999</v>
      </c>
      <c r="L112" s="10">
        <f t="shared" si="7"/>
        <v>0.18285090279435029</v>
      </c>
      <c r="M112" s="10">
        <f t="shared" si="11"/>
        <v>0.19616070923045301</v>
      </c>
      <c r="P112" s="8">
        <f t="shared" si="12"/>
        <v>16.075915137567812</v>
      </c>
      <c r="X112" s="8">
        <v>-13</v>
      </c>
    </row>
    <row r="113" spans="1:24" x14ac:dyDescent="0.2">
      <c r="A113" s="8">
        <v>55.5</v>
      </c>
      <c r="B113" s="8">
        <v>111</v>
      </c>
      <c r="D113">
        <v>2026.2372060857999</v>
      </c>
      <c r="E113">
        <v>460.59128630704998</v>
      </c>
      <c r="F113">
        <v>135.84090909091</v>
      </c>
      <c r="G113">
        <v>116.22727272727001</v>
      </c>
      <c r="I113" s="9">
        <f t="shared" si="8"/>
        <v>344.36401357977996</v>
      </c>
      <c r="J113" s="9">
        <f t="shared" si="9"/>
        <v>1890.39629699489</v>
      </c>
      <c r="K113" s="9">
        <f t="shared" si="10"/>
        <v>344.36401357977996</v>
      </c>
      <c r="L113" s="10">
        <f t="shared" si="7"/>
        <v>0.18216498526113586</v>
      </c>
      <c r="M113" s="10">
        <f t="shared" si="11"/>
        <v>0.19559578993756679</v>
      </c>
      <c r="P113" s="8">
        <f t="shared" si="12"/>
        <v>15.741630437242845</v>
      </c>
      <c r="X113" s="8">
        <v>-13</v>
      </c>
    </row>
    <row r="114" spans="1:24" x14ac:dyDescent="0.2">
      <c r="A114" s="8">
        <v>56</v>
      </c>
      <c r="B114" s="8">
        <v>112</v>
      </c>
      <c r="D114">
        <v>1998.2710926694001</v>
      </c>
      <c r="E114">
        <v>449.56016597510001</v>
      </c>
      <c r="F114">
        <v>135.76584022039</v>
      </c>
      <c r="G114">
        <v>116.31887052342</v>
      </c>
      <c r="I114" s="9">
        <f t="shared" si="8"/>
        <v>333.24129545168</v>
      </c>
      <c r="J114" s="9">
        <f t="shared" si="9"/>
        <v>1862.5052524490102</v>
      </c>
      <c r="K114" s="9">
        <f t="shared" si="10"/>
        <v>333.24129545168</v>
      </c>
      <c r="L114" s="10">
        <f t="shared" si="7"/>
        <v>0.17892099633732611</v>
      </c>
      <c r="M114" s="10">
        <f t="shared" si="11"/>
        <v>0.19247279925408525</v>
      </c>
      <c r="P114" s="8">
        <f t="shared" si="12"/>
        <v>13.893635479570959</v>
      </c>
      <c r="X114" s="8">
        <v>-13</v>
      </c>
    </row>
    <row r="115" spans="1:24" x14ac:dyDescent="0.2">
      <c r="A115" s="8">
        <v>56.5</v>
      </c>
      <c r="B115" s="8">
        <v>113</v>
      </c>
      <c r="D115">
        <v>2055.492733564</v>
      </c>
      <c r="E115">
        <v>461.52387543253002</v>
      </c>
      <c r="F115">
        <v>135.79132231405001</v>
      </c>
      <c r="G115">
        <v>116.34779614324999</v>
      </c>
      <c r="I115" s="9">
        <f t="shared" si="8"/>
        <v>345.17607928928004</v>
      </c>
      <c r="J115" s="9">
        <f t="shared" si="9"/>
        <v>1919.7014112499501</v>
      </c>
      <c r="K115" s="9">
        <f t="shared" si="10"/>
        <v>345.17607928928004</v>
      </c>
      <c r="L115" s="10">
        <f t="shared" si="7"/>
        <v>0.17980717067063573</v>
      </c>
      <c r="M115" s="10">
        <f t="shared" si="11"/>
        <v>0.19347997182772309</v>
      </c>
      <c r="P115" s="8">
        <f t="shared" si="12"/>
        <v>14.489618633613926</v>
      </c>
      <c r="X115" s="8">
        <v>-13</v>
      </c>
    </row>
    <row r="116" spans="1:24" x14ac:dyDescent="0.2">
      <c r="A116" s="8">
        <v>57</v>
      </c>
      <c r="B116" s="8">
        <v>114</v>
      </c>
      <c r="D116">
        <v>2030.1141868512</v>
      </c>
      <c r="E116">
        <v>452.71903114187</v>
      </c>
      <c r="F116">
        <v>135.58402203857</v>
      </c>
      <c r="G116">
        <v>115.90082644628001</v>
      </c>
      <c r="I116" s="9">
        <f t="shared" si="8"/>
        <v>336.81820469559</v>
      </c>
      <c r="J116" s="9">
        <f t="shared" si="9"/>
        <v>1894.5301648126299</v>
      </c>
      <c r="K116" s="9">
        <f t="shared" si="10"/>
        <v>336.81820469559</v>
      </c>
      <c r="L116" s="10">
        <f t="shared" si="7"/>
        <v>0.17778455627224152</v>
      </c>
      <c r="M116" s="10">
        <f t="shared" si="11"/>
        <v>0.19157835566965706</v>
      </c>
      <c r="P116" s="8">
        <f t="shared" si="12"/>
        <v>13.364358449483065</v>
      </c>
      <c r="X116" s="8">
        <v>-13</v>
      </c>
    </row>
    <row r="117" spans="1:24" x14ac:dyDescent="0.2">
      <c r="A117" s="8">
        <v>57.5</v>
      </c>
      <c r="B117" s="8">
        <v>115</v>
      </c>
      <c r="D117">
        <v>1981.2690984170999</v>
      </c>
      <c r="E117">
        <v>447.21335168616997</v>
      </c>
      <c r="F117">
        <v>136.03168044077</v>
      </c>
      <c r="G117">
        <v>116.28236914601</v>
      </c>
      <c r="I117" s="9">
        <f t="shared" si="8"/>
        <v>330.93098254015996</v>
      </c>
      <c r="J117" s="9">
        <f t="shared" si="9"/>
        <v>1845.2374179763299</v>
      </c>
      <c r="K117" s="9">
        <f t="shared" si="10"/>
        <v>330.93098254015996</v>
      </c>
      <c r="L117" s="10">
        <f t="shared" si="7"/>
        <v>0.17934330797556211</v>
      </c>
      <c r="M117" s="10">
        <f t="shared" si="11"/>
        <v>0.19325810561330586</v>
      </c>
      <c r="P117" s="8">
        <f t="shared" si="12"/>
        <v>14.35833177205221</v>
      </c>
      <c r="X117" s="8">
        <v>-13</v>
      </c>
    </row>
    <row r="118" spans="1:24" x14ac:dyDescent="0.2">
      <c r="A118" s="8">
        <v>58</v>
      </c>
      <c r="B118" s="8">
        <v>116</v>
      </c>
      <c r="D118">
        <v>2001.7026841019001</v>
      </c>
      <c r="E118">
        <v>476.55402615279002</v>
      </c>
      <c r="F118">
        <v>135.78925619834999</v>
      </c>
      <c r="G118">
        <v>116.18870523416</v>
      </c>
      <c r="I118" s="9">
        <f t="shared" si="8"/>
        <v>360.36532091863</v>
      </c>
      <c r="J118" s="9">
        <f t="shared" si="9"/>
        <v>1865.9134279035502</v>
      </c>
      <c r="K118" s="9">
        <f t="shared" si="10"/>
        <v>360.36532091863</v>
      </c>
      <c r="L118" s="10">
        <f t="shared" si="7"/>
        <v>0.19313078277351753</v>
      </c>
      <c r="M118" s="10">
        <f t="shared" si="11"/>
        <v>0.20716657865158949</v>
      </c>
      <c r="P118" s="8">
        <f t="shared" si="12"/>
        <v>22.588515800334292</v>
      </c>
      <c r="X118" s="8">
        <v>-13</v>
      </c>
    </row>
    <row r="119" spans="1:24" x14ac:dyDescent="0.2">
      <c r="A119" s="8">
        <v>58.5</v>
      </c>
      <c r="B119" s="8">
        <v>117</v>
      </c>
      <c r="D119">
        <v>2017.7260839641999</v>
      </c>
      <c r="E119">
        <v>490.88024776325</v>
      </c>
      <c r="F119">
        <v>136.29958677686</v>
      </c>
      <c r="G119">
        <v>116.47520661157</v>
      </c>
      <c r="I119" s="9">
        <f t="shared" si="8"/>
        <v>374.40504115168</v>
      </c>
      <c r="J119" s="9">
        <f t="shared" si="9"/>
        <v>1881.4264971873399</v>
      </c>
      <c r="K119" s="9">
        <f t="shared" si="10"/>
        <v>374.40504115168</v>
      </c>
      <c r="L119" s="10">
        <f t="shared" si="7"/>
        <v>0.19900062091790516</v>
      </c>
      <c r="M119" s="10">
        <f t="shared" si="11"/>
        <v>0.21315741503630534</v>
      </c>
      <c r="P119" s="8">
        <f t="shared" si="12"/>
        <v>26.133526513862922</v>
      </c>
      <c r="X119" s="8">
        <v>-13</v>
      </c>
    </row>
    <row r="120" spans="1:24" x14ac:dyDescent="0.2">
      <c r="A120" s="8">
        <v>59</v>
      </c>
      <c r="B120" s="8">
        <v>118</v>
      </c>
      <c r="D120">
        <v>2017.8981417755999</v>
      </c>
      <c r="E120">
        <v>494.62629043358999</v>
      </c>
      <c r="F120">
        <v>135.7217630854</v>
      </c>
      <c r="G120">
        <v>116.23553719008</v>
      </c>
      <c r="I120" s="9">
        <f t="shared" si="8"/>
        <v>378.39075324351001</v>
      </c>
      <c r="J120" s="9">
        <f t="shared" si="9"/>
        <v>1882.1763786902</v>
      </c>
      <c r="K120" s="9">
        <f t="shared" si="10"/>
        <v>378.39075324351001</v>
      </c>
      <c r="L120" s="10">
        <f t="shared" si="7"/>
        <v>0.20103894487658527</v>
      </c>
      <c r="M120" s="10">
        <f t="shared" si="11"/>
        <v>0.21531673723531364</v>
      </c>
      <c r="P120" s="8">
        <f t="shared" si="12"/>
        <v>27.411281377770408</v>
      </c>
      <c r="X120" s="8">
        <v>-13</v>
      </c>
    </row>
    <row r="121" spans="1:24" x14ac:dyDescent="0.2">
      <c r="A121" s="8">
        <v>59.5</v>
      </c>
      <c r="B121" s="8">
        <v>119</v>
      </c>
      <c r="D121">
        <v>2013.7240192705001</v>
      </c>
      <c r="E121">
        <v>485.74191328286003</v>
      </c>
      <c r="F121">
        <v>135.99517906336001</v>
      </c>
      <c r="G121">
        <v>116.30165289256</v>
      </c>
      <c r="I121" s="9">
        <f t="shared" si="8"/>
        <v>369.44026039030001</v>
      </c>
      <c r="J121" s="9">
        <f t="shared" si="9"/>
        <v>1877.7288402071401</v>
      </c>
      <c r="K121" s="9">
        <f t="shared" si="10"/>
        <v>369.44026039030001</v>
      </c>
      <c r="L121" s="10">
        <f t="shared" si="7"/>
        <v>0.19674846148155531</v>
      </c>
      <c r="M121" s="10">
        <f t="shared" si="11"/>
        <v>0.21114725208061189</v>
      </c>
      <c r="P121" s="8">
        <f t="shared" si="12"/>
        <v>24.944034971070661</v>
      </c>
      <c r="X121" s="8">
        <v>-13</v>
      </c>
    </row>
    <row r="122" spans="1:24" x14ac:dyDescent="0.2">
      <c r="A122" s="8">
        <v>60</v>
      </c>
      <c r="B122" s="8">
        <v>120</v>
      </c>
      <c r="D122">
        <v>2008.1679284239999</v>
      </c>
      <c r="E122">
        <v>481.32622161045998</v>
      </c>
      <c r="F122">
        <v>135.81887052342</v>
      </c>
      <c r="G122">
        <v>116.21763085399</v>
      </c>
      <c r="I122" s="9">
        <f t="shared" si="8"/>
        <v>365.10859075646999</v>
      </c>
      <c r="J122" s="9">
        <f t="shared" si="9"/>
        <v>1872.34905790058</v>
      </c>
      <c r="K122" s="9">
        <f t="shared" si="10"/>
        <v>365.10859075646999</v>
      </c>
      <c r="L122" s="10">
        <f t="shared" si="7"/>
        <v>0.19500028011115486</v>
      </c>
      <c r="M122" s="10">
        <f t="shared" si="11"/>
        <v>0.20952006895053965</v>
      </c>
      <c r="P122" s="8">
        <f t="shared" si="12"/>
        <v>23.981167475023575</v>
      </c>
      <c r="X122" s="8">
        <v>-13</v>
      </c>
    </row>
    <row r="123" spans="1:24" x14ac:dyDescent="0.2">
      <c r="A123" s="8">
        <v>60.5</v>
      </c>
      <c r="B123" s="8">
        <v>121</v>
      </c>
      <c r="D123">
        <v>2003.2422573985</v>
      </c>
      <c r="E123">
        <v>475.14039917411998</v>
      </c>
      <c r="F123">
        <v>135.64256198346999</v>
      </c>
      <c r="G123">
        <v>116.08815426997</v>
      </c>
      <c r="I123" s="9">
        <f t="shared" si="8"/>
        <v>359.05224490414997</v>
      </c>
      <c r="J123" s="9">
        <f t="shared" si="9"/>
        <v>1867.5996954150301</v>
      </c>
      <c r="K123" s="9">
        <f t="shared" si="10"/>
        <v>359.05224490414997</v>
      </c>
      <c r="L123" s="10">
        <f t="shared" si="7"/>
        <v>0.19225332162220077</v>
      </c>
      <c r="M123" s="10">
        <f t="shared" si="11"/>
        <v>0.20689410870191377</v>
      </c>
      <c r="P123" s="8">
        <f t="shared" si="12"/>
        <v>22.427284741983357</v>
      </c>
      <c r="X123" s="8">
        <v>-13</v>
      </c>
    </row>
    <row r="124" spans="1:24" x14ac:dyDescent="0.2">
      <c r="A124" s="8">
        <v>61</v>
      </c>
      <c r="B124" s="8">
        <v>122</v>
      </c>
      <c r="D124">
        <v>1996.4315209910999</v>
      </c>
      <c r="E124">
        <v>470.53200275293</v>
      </c>
      <c r="F124">
        <v>136.20523415977999</v>
      </c>
      <c r="G124">
        <v>116.0544077135</v>
      </c>
      <c r="I124" s="9">
        <f t="shared" si="8"/>
        <v>354.47759503943001</v>
      </c>
      <c r="J124" s="9">
        <f t="shared" si="9"/>
        <v>1860.2262868313198</v>
      </c>
      <c r="K124" s="9">
        <f t="shared" si="10"/>
        <v>354.47759503943001</v>
      </c>
      <c r="L124" s="10">
        <f t="shared" si="7"/>
        <v>0.19055616918694424</v>
      </c>
      <c r="M124" s="10">
        <f t="shared" si="11"/>
        <v>0.20531795450698542</v>
      </c>
      <c r="P124" s="8">
        <f t="shared" si="12"/>
        <v>21.494613050022419</v>
      </c>
      <c r="X124" s="8">
        <v>-13</v>
      </c>
    </row>
    <row r="125" spans="1:24" x14ac:dyDescent="0.2">
      <c r="A125" s="8">
        <v>61.5</v>
      </c>
      <c r="B125" s="8">
        <v>123</v>
      </c>
      <c r="D125">
        <v>1993.4342739159999</v>
      </c>
      <c r="E125">
        <v>469.02477632485</v>
      </c>
      <c r="F125">
        <v>135.85399449036001</v>
      </c>
      <c r="G125">
        <v>116.07575757575999</v>
      </c>
      <c r="I125" s="9">
        <f t="shared" si="8"/>
        <v>352.94901874908999</v>
      </c>
      <c r="J125" s="9">
        <f t="shared" si="9"/>
        <v>1857.5802794256399</v>
      </c>
      <c r="K125" s="9">
        <f t="shared" si="10"/>
        <v>352.94901874908999</v>
      </c>
      <c r="L125" s="10">
        <f t="shared" si="7"/>
        <v>0.19000471885835327</v>
      </c>
      <c r="M125" s="10">
        <f t="shared" si="11"/>
        <v>0.20488750241872267</v>
      </c>
      <c r="P125" s="8">
        <f t="shared" si="12"/>
        <v>21.239897820535372</v>
      </c>
      <c r="X125" s="8">
        <v>-13</v>
      </c>
    </row>
    <row r="126" spans="1:24" x14ac:dyDescent="0.2">
      <c r="A126" s="8">
        <v>62</v>
      </c>
      <c r="B126" s="8">
        <v>124</v>
      </c>
      <c r="D126">
        <v>1990.2505161734</v>
      </c>
      <c r="E126">
        <v>462.83344803853998</v>
      </c>
      <c r="F126">
        <v>135.88498622590001</v>
      </c>
      <c r="G126">
        <v>115.84159779613999</v>
      </c>
      <c r="I126" s="9">
        <f t="shared" si="8"/>
        <v>346.99185024240001</v>
      </c>
      <c r="J126" s="9">
        <f t="shared" si="9"/>
        <v>1854.3655299474999</v>
      </c>
      <c r="K126" s="9">
        <f t="shared" si="10"/>
        <v>346.99185024240001</v>
      </c>
      <c r="L126" s="10">
        <f t="shared" si="7"/>
        <v>0.18712160285476398</v>
      </c>
      <c r="M126" s="10">
        <f t="shared" si="11"/>
        <v>0.20212538465546159</v>
      </c>
      <c r="P126" s="8">
        <f t="shared" si="12"/>
        <v>19.605445394531973</v>
      </c>
      <c r="X126" s="8">
        <v>-13</v>
      </c>
    </row>
    <row r="127" spans="1:24" x14ac:dyDescent="0.2">
      <c r="A127" s="8">
        <v>62.5</v>
      </c>
      <c r="B127" s="8">
        <v>125</v>
      </c>
      <c r="D127">
        <v>1989.8410185821999</v>
      </c>
      <c r="E127">
        <v>459.27529249828001</v>
      </c>
      <c r="F127">
        <v>135.59641873277999</v>
      </c>
      <c r="G127">
        <v>115.96556473829</v>
      </c>
      <c r="I127" s="9">
        <f t="shared" si="8"/>
        <v>343.30972775998998</v>
      </c>
      <c r="J127" s="9">
        <f t="shared" si="9"/>
        <v>1854.24459984942</v>
      </c>
      <c r="K127" s="9">
        <f t="shared" si="10"/>
        <v>343.30972775998998</v>
      </c>
      <c r="L127" s="10">
        <f t="shared" si="7"/>
        <v>0.1851480262031609</v>
      </c>
      <c r="M127" s="10">
        <f t="shared" si="11"/>
        <v>0.20027280624418672</v>
      </c>
      <c r="P127" s="8">
        <f t="shared" si="12"/>
        <v>18.509202750954458</v>
      </c>
      <c r="X127" s="8">
        <v>-13</v>
      </c>
    </row>
    <row r="128" spans="1:24" x14ac:dyDescent="0.2">
      <c r="A128" s="8">
        <v>63</v>
      </c>
      <c r="B128" s="8">
        <v>126</v>
      </c>
      <c r="D128">
        <v>2053.6819444444</v>
      </c>
      <c r="E128">
        <v>470.05</v>
      </c>
      <c r="F128">
        <v>135.96763085398999</v>
      </c>
      <c r="G128">
        <v>115.9738292011</v>
      </c>
      <c r="I128" s="9">
        <f t="shared" si="8"/>
        <v>354.07617079890002</v>
      </c>
      <c r="J128" s="9">
        <f t="shared" si="9"/>
        <v>1917.71431359041</v>
      </c>
      <c r="K128" s="9">
        <f t="shared" si="10"/>
        <v>354.07617079890002</v>
      </c>
      <c r="L128" s="10">
        <f t="shared" si="7"/>
        <v>0.18463447255393664</v>
      </c>
      <c r="M128" s="10">
        <f t="shared" si="11"/>
        <v>0.19988025083529068</v>
      </c>
      <c r="P128" s="8">
        <f t="shared" si="12"/>
        <v>18.276912459445171</v>
      </c>
      <c r="X128" s="8">
        <v>-13</v>
      </c>
    </row>
    <row r="129" spans="1:24" x14ac:dyDescent="0.2">
      <c r="A129" s="8">
        <v>63.5</v>
      </c>
      <c r="B129" s="8">
        <v>127</v>
      </c>
      <c r="D129">
        <v>2027.9652777778001</v>
      </c>
      <c r="E129">
        <v>464.59305555556</v>
      </c>
      <c r="F129">
        <v>135.73760330579</v>
      </c>
      <c r="G129">
        <v>115.86776859504</v>
      </c>
      <c r="I129" s="9">
        <f t="shared" si="8"/>
        <v>348.72528696052001</v>
      </c>
      <c r="J129" s="9">
        <f t="shared" si="9"/>
        <v>1892.2276744720102</v>
      </c>
      <c r="K129" s="9">
        <f t="shared" si="10"/>
        <v>348.72528696052001</v>
      </c>
      <c r="L129" s="10">
        <f t="shared" si="7"/>
        <v>0.1842935137590275</v>
      </c>
      <c r="M129" s="10">
        <f t="shared" si="11"/>
        <v>0.19966029028070972</v>
      </c>
      <c r="P129" s="8">
        <f t="shared" si="12"/>
        <v>18.146753250869128</v>
      </c>
      <c r="X129" s="8">
        <v>-13</v>
      </c>
    </row>
    <row r="130" spans="1:24" x14ac:dyDescent="0.2">
      <c r="A130" s="8">
        <v>64</v>
      </c>
      <c r="B130" s="8">
        <v>128</v>
      </c>
      <c r="D130">
        <v>2001.4666666666999</v>
      </c>
      <c r="E130">
        <v>458.21666666666999</v>
      </c>
      <c r="F130">
        <v>136.39807162534001</v>
      </c>
      <c r="G130">
        <v>116.14600550964001</v>
      </c>
      <c r="I130" s="9">
        <f t="shared" si="8"/>
        <v>342.07066115702997</v>
      </c>
      <c r="J130" s="9">
        <f t="shared" si="9"/>
        <v>1865.0685950413599</v>
      </c>
      <c r="K130" s="9">
        <f t="shared" si="10"/>
        <v>342.07066115702997</v>
      </c>
      <c r="L130" s="10">
        <f t="shared" ref="L130:L193" si="14">K130/J130</f>
        <v>0.18340915828323417</v>
      </c>
      <c r="M130" s="10">
        <f t="shared" si="11"/>
        <v>0.19889693304524461</v>
      </c>
      <c r="P130" s="8">
        <f t="shared" si="12"/>
        <v>17.695045107933126</v>
      </c>
      <c r="X130" s="8">
        <v>-13</v>
      </c>
    </row>
    <row r="131" spans="1:24" x14ac:dyDescent="0.2">
      <c r="A131" s="8">
        <v>64.5</v>
      </c>
      <c r="B131" s="8">
        <v>129</v>
      </c>
      <c r="D131">
        <v>1949.2333333332999</v>
      </c>
      <c r="E131">
        <v>449.43263888888998</v>
      </c>
      <c r="F131">
        <v>135.73484848485</v>
      </c>
      <c r="G131">
        <v>115.93388429752</v>
      </c>
      <c r="I131" s="9">
        <f t="shared" ref="I131:I194" si="15">E131-G131</f>
        <v>333.49875459137002</v>
      </c>
      <c r="J131" s="9">
        <f t="shared" ref="J131:J194" si="16">D131-F131</f>
        <v>1813.4984848484498</v>
      </c>
      <c r="K131" s="9">
        <f t="shared" ref="K131:K194" si="17">I131*1</f>
        <v>333.49875459137002</v>
      </c>
      <c r="L131" s="10">
        <f t="shared" si="14"/>
        <v>0.18389800563811323</v>
      </c>
      <c r="M131" s="10">
        <f t="shared" ref="M131:M181" si="18">L131+ABS($N$2)*A131</f>
        <v>0.19950677864045188</v>
      </c>
      <c r="P131" s="8">
        <f t="shared" ref="P131:P194" si="19">(M131-$O$2)/$O$2*100</f>
        <v>18.055914447333482</v>
      </c>
      <c r="X131" s="8">
        <v>-13</v>
      </c>
    </row>
    <row r="132" spans="1:24" x14ac:dyDescent="0.2">
      <c r="A132" s="8">
        <v>65</v>
      </c>
      <c r="B132" s="8">
        <v>130</v>
      </c>
      <c r="D132">
        <v>1936.2357388316</v>
      </c>
      <c r="E132">
        <v>446.69003436425999</v>
      </c>
      <c r="F132">
        <v>135.42630853995001</v>
      </c>
      <c r="G132">
        <v>116.12672176309</v>
      </c>
      <c r="I132" s="9">
        <f t="shared" si="15"/>
        <v>330.56331260116997</v>
      </c>
      <c r="J132" s="9">
        <f t="shared" si="16"/>
        <v>1800.80943029165</v>
      </c>
      <c r="K132" s="9">
        <f t="shared" si="17"/>
        <v>330.56331260116997</v>
      </c>
      <c r="L132" s="10">
        <f t="shared" si="14"/>
        <v>0.1835637391945652</v>
      </c>
      <c r="M132" s="10">
        <f t="shared" si="18"/>
        <v>0.19929351043723206</v>
      </c>
      <c r="P132" s="8">
        <f t="shared" si="19"/>
        <v>17.929715363145821</v>
      </c>
      <c r="X132" s="8">
        <v>-13</v>
      </c>
    </row>
    <row r="133" spans="1:24" x14ac:dyDescent="0.2">
      <c r="A133" s="8">
        <v>65.5</v>
      </c>
      <c r="B133" s="8">
        <v>131</v>
      </c>
      <c r="D133">
        <v>1938.3649484535999</v>
      </c>
      <c r="E133">
        <v>451.89209621993001</v>
      </c>
      <c r="F133">
        <v>135.73071625343999</v>
      </c>
      <c r="G133">
        <v>115.98071625343999</v>
      </c>
      <c r="I133" s="9">
        <f t="shared" si="15"/>
        <v>335.91137996649002</v>
      </c>
      <c r="J133" s="9">
        <f t="shared" si="16"/>
        <v>1802.6342322001599</v>
      </c>
      <c r="K133" s="9">
        <f t="shared" si="17"/>
        <v>335.91137996649002</v>
      </c>
      <c r="L133" s="10">
        <f t="shared" si="14"/>
        <v>0.18634472482889766</v>
      </c>
      <c r="M133" s="10">
        <f t="shared" si="18"/>
        <v>0.20219549431189271</v>
      </c>
      <c r="P133" s="8">
        <f t="shared" si="19"/>
        <v>19.646932002946819</v>
      </c>
      <c r="X133" s="8">
        <v>-13</v>
      </c>
    </row>
    <row r="134" spans="1:24" x14ac:dyDescent="0.2">
      <c r="A134" s="8">
        <v>66</v>
      </c>
      <c r="B134" s="8">
        <v>132</v>
      </c>
      <c r="D134">
        <v>1956.3683848797</v>
      </c>
      <c r="E134">
        <v>459.16288659793997</v>
      </c>
      <c r="F134">
        <v>135.23415977961</v>
      </c>
      <c r="G134">
        <v>115.8326446281</v>
      </c>
      <c r="I134" s="9">
        <f t="shared" si="15"/>
        <v>343.33024196983996</v>
      </c>
      <c r="J134" s="9">
        <f t="shared" si="16"/>
        <v>1821.1342251000899</v>
      </c>
      <c r="K134" s="9">
        <f t="shared" si="17"/>
        <v>343.33024196983996</v>
      </c>
      <c r="L134" s="10">
        <f t="shared" si="14"/>
        <v>0.18852550088721245</v>
      </c>
      <c r="M134" s="10">
        <f t="shared" si="18"/>
        <v>0.20449726861053572</v>
      </c>
      <c r="P134" s="8">
        <f t="shared" si="19"/>
        <v>21.008981310391114</v>
      </c>
      <c r="X134" s="8">
        <v>-13</v>
      </c>
    </row>
    <row r="135" spans="1:24" x14ac:dyDescent="0.2">
      <c r="A135" s="8">
        <v>66.5</v>
      </c>
      <c r="B135" s="8">
        <v>133</v>
      </c>
      <c r="D135">
        <v>2001.3172413793</v>
      </c>
      <c r="E135">
        <v>463.99793103448002</v>
      </c>
      <c r="F135">
        <v>136.10674931130001</v>
      </c>
      <c r="G135">
        <v>115.9738292011</v>
      </c>
      <c r="I135" s="9">
        <f t="shared" si="15"/>
        <v>348.02410183338003</v>
      </c>
      <c r="J135" s="9">
        <f t="shared" si="16"/>
        <v>1865.2104920679999</v>
      </c>
      <c r="K135" s="9">
        <f t="shared" si="17"/>
        <v>348.02410183338003</v>
      </c>
      <c r="L135" s="10">
        <f t="shared" si="14"/>
        <v>0.18658703846744829</v>
      </c>
      <c r="M135" s="10">
        <f t="shared" si="18"/>
        <v>0.20267980443109976</v>
      </c>
      <c r="P135" s="8">
        <f t="shared" si="19"/>
        <v>19.933517122453594</v>
      </c>
      <c r="X135" s="8">
        <v>-13</v>
      </c>
    </row>
    <row r="136" spans="1:24" x14ac:dyDescent="0.2">
      <c r="A136" s="8">
        <v>67</v>
      </c>
      <c r="B136" s="8">
        <v>134</v>
      </c>
      <c r="D136">
        <v>1999.0510344828001</v>
      </c>
      <c r="E136">
        <v>458.37655172413997</v>
      </c>
      <c r="F136">
        <v>135.51584022039</v>
      </c>
      <c r="G136">
        <v>115.86776859504</v>
      </c>
      <c r="I136" s="9">
        <f t="shared" si="15"/>
        <v>342.50878312909998</v>
      </c>
      <c r="J136" s="9">
        <f t="shared" si="16"/>
        <v>1863.5351942624102</v>
      </c>
      <c r="K136" s="9">
        <f t="shared" si="17"/>
        <v>342.50878312909998</v>
      </c>
      <c r="L136" s="10">
        <f t="shared" si="14"/>
        <v>0.18379517820948127</v>
      </c>
      <c r="M136" s="10">
        <f t="shared" si="18"/>
        <v>0.20000894241346096</v>
      </c>
      <c r="P136" s="8">
        <f t="shared" si="19"/>
        <v>18.353064267649856</v>
      </c>
      <c r="X136" s="8">
        <v>-13</v>
      </c>
    </row>
    <row r="137" spans="1:24" x14ac:dyDescent="0.2">
      <c r="A137" s="8">
        <v>67.5</v>
      </c>
      <c r="B137" s="8">
        <v>135</v>
      </c>
      <c r="D137">
        <v>1873.2365517241001</v>
      </c>
      <c r="E137">
        <v>436.04758620690001</v>
      </c>
      <c r="F137">
        <v>135.93250688705001</v>
      </c>
      <c r="G137">
        <v>116.04407713499</v>
      </c>
      <c r="I137" s="9">
        <f t="shared" si="15"/>
        <v>320.00350907191</v>
      </c>
      <c r="J137" s="9">
        <f t="shared" si="16"/>
        <v>1737.30404483705</v>
      </c>
      <c r="K137" s="9">
        <f t="shared" si="17"/>
        <v>320.00350907191</v>
      </c>
      <c r="L137" s="10">
        <f t="shared" si="14"/>
        <v>0.18419545503442644</v>
      </c>
      <c r="M137" s="10">
        <f t="shared" si="18"/>
        <v>0.20053021747873434</v>
      </c>
      <c r="P137" s="8">
        <f t="shared" si="19"/>
        <v>18.661522982330165</v>
      </c>
      <c r="X137" s="8">
        <v>-13</v>
      </c>
    </row>
    <row r="138" spans="1:24" x14ac:dyDescent="0.2">
      <c r="A138" s="8">
        <v>68</v>
      </c>
      <c r="B138" s="8">
        <v>136</v>
      </c>
      <c r="D138">
        <v>1883.7393103448001</v>
      </c>
      <c r="E138">
        <v>443.47793103447998</v>
      </c>
      <c r="F138">
        <v>135.85123966942001</v>
      </c>
      <c r="G138">
        <v>115.90358126722001</v>
      </c>
      <c r="I138" s="9">
        <f t="shared" si="15"/>
        <v>327.57434976725995</v>
      </c>
      <c r="J138" s="9">
        <f t="shared" si="16"/>
        <v>1747.88807067538</v>
      </c>
      <c r="K138" s="9">
        <f t="shared" si="17"/>
        <v>327.57434976725995</v>
      </c>
      <c r="L138" s="10">
        <f t="shared" si="14"/>
        <v>0.18741151407978082</v>
      </c>
      <c r="M138" s="10">
        <f t="shared" si="18"/>
        <v>0.20386727476441691</v>
      </c>
      <c r="P138" s="8">
        <f t="shared" si="19"/>
        <v>20.636189467895449</v>
      </c>
      <c r="X138" s="8">
        <v>-13</v>
      </c>
    </row>
    <row r="139" spans="1:24" x14ac:dyDescent="0.2">
      <c r="A139" s="8">
        <v>68.5</v>
      </c>
      <c r="B139" s="8">
        <v>137</v>
      </c>
      <c r="D139">
        <v>1958.6124137930999</v>
      </c>
      <c r="E139">
        <v>465.24</v>
      </c>
      <c r="F139">
        <v>135.51652892562001</v>
      </c>
      <c r="G139">
        <v>115.60537190082999</v>
      </c>
      <c r="I139" s="9">
        <f t="shared" si="15"/>
        <v>349.63462809917002</v>
      </c>
      <c r="J139" s="9">
        <f t="shared" si="16"/>
        <v>1823.09588486748</v>
      </c>
      <c r="K139" s="9">
        <f t="shared" si="17"/>
        <v>349.63462809917002</v>
      </c>
      <c r="L139" s="10">
        <f t="shared" si="14"/>
        <v>0.19178071268839753</v>
      </c>
      <c r="M139" s="10">
        <f t="shared" si="18"/>
        <v>0.20835747161336182</v>
      </c>
      <c r="P139" s="8">
        <f t="shared" si="19"/>
        <v>23.293213448048302</v>
      </c>
      <c r="X139" s="8">
        <v>-13</v>
      </c>
    </row>
    <row r="140" spans="1:24" x14ac:dyDescent="0.2">
      <c r="A140" s="8">
        <v>69</v>
      </c>
      <c r="B140" s="8">
        <v>138</v>
      </c>
      <c r="D140">
        <v>1961.7462068965999</v>
      </c>
      <c r="E140">
        <v>464.72551724137998</v>
      </c>
      <c r="F140">
        <v>135.84779614325001</v>
      </c>
      <c r="G140">
        <v>115.9738292011</v>
      </c>
      <c r="I140" s="9">
        <f t="shared" si="15"/>
        <v>348.75168804027999</v>
      </c>
      <c r="J140" s="9">
        <f t="shared" si="16"/>
        <v>1825.8984107533499</v>
      </c>
      <c r="K140" s="9">
        <f t="shared" si="17"/>
        <v>348.75168804027999</v>
      </c>
      <c r="L140" s="10">
        <f t="shared" si="14"/>
        <v>0.19100278853760985</v>
      </c>
      <c r="M140" s="10">
        <f t="shared" si="18"/>
        <v>0.20770054570290236</v>
      </c>
      <c r="P140" s="8">
        <f t="shared" si="19"/>
        <v>22.904484856408793</v>
      </c>
      <c r="X140" s="8">
        <v>-13</v>
      </c>
    </row>
    <row r="141" spans="1:24" x14ac:dyDescent="0.2">
      <c r="A141" s="8">
        <v>69.5</v>
      </c>
      <c r="B141" s="8">
        <v>139</v>
      </c>
      <c r="D141">
        <v>1974.3703448276001</v>
      </c>
      <c r="E141">
        <v>472.10413793102998</v>
      </c>
      <c r="F141">
        <v>136.08126721763</v>
      </c>
      <c r="G141">
        <v>116.06129476584</v>
      </c>
      <c r="I141" s="9">
        <f t="shared" si="15"/>
        <v>356.04284316518999</v>
      </c>
      <c r="J141" s="9">
        <f t="shared" si="16"/>
        <v>1838.28907760997</v>
      </c>
      <c r="K141" s="9">
        <f t="shared" si="17"/>
        <v>356.04284316518999</v>
      </c>
      <c r="L141" s="10">
        <f t="shared" si="14"/>
        <v>0.19368163990186729</v>
      </c>
      <c r="M141" s="10">
        <f t="shared" si="18"/>
        <v>0.21050039530748801</v>
      </c>
      <c r="P141" s="8">
        <f t="shared" si="19"/>
        <v>24.561264679314238</v>
      </c>
      <c r="X141" s="8">
        <v>-13</v>
      </c>
    </row>
    <row r="142" spans="1:24" x14ac:dyDescent="0.2">
      <c r="A142" s="8">
        <v>70</v>
      </c>
      <c r="B142" s="8">
        <v>140</v>
      </c>
      <c r="D142">
        <v>2004.1468965516999</v>
      </c>
      <c r="E142">
        <v>477.64413793103</v>
      </c>
      <c r="F142">
        <v>135.41322314050001</v>
      </c>
      <c r="G142">
        <v>116.10192837466001</v>
      </c>
      <c r="I142" s="9">
        <f t="shared" si="15"/>
        <v>361.54220955636998</v>
      </c>
      <c r="J142" s="9">
        <f t="shared" si="16"/>
        <v>1868.7336734112</v>
      </c>
      <c r="K142" s="9">
        <f t="shared" si="17"/>
        <v>361.54220955636998</v>
      </c>
      <c r="L142" s="10">
        <f t="shared" si="14"/>
        <v>0.19346909337616217</v>
      </c>
      <c r="M142" s="10">
        <f t="shared" si="18"/>
        <v>0.21040884702211107</v>
      </c>
      <c r="P142" s="8">
        <f t="shared" si="19"/>
        <v>24.507092000972627</v>
      </c>
      <c r="X142" s="8">
        <v>-13</v>
      </c>
    </row>
    <row r="143" spans="1:24" x14ac:dyDescent="0.2">
      <c r="A143" s="8">
        <v>70.5</v>
      </c>
      <c r="B143" s="8">
        <v>141</v>
      </c>
      <c r="D143">
        <v>2012.6482758621</v>
      </c>
      <c r="E143">
        <v>472.53379310345002</v>
      </c>
      <c r="F143">
        <v>135.57438016528999</v>
      </c>
      <c r="G143">
        <v>115.83677685950001</v>
      </c>
      <c r="I143" s="9">
        <f t="shared" si="15"/>
        <v>356.69701624395003</v>
      </c>
      <c r="J143" s="9">
        <f t="shared" si="16"/>
        <v>1877.07389569681</v>
      </c>
      <c r="K143" s="9">
        <f t="shared" si="17"/>
        <v>356.69701624395003</v>
      </c>
      <c r="L143" s="10">
        <f t="shared" si="14"/>
        <v>0.19002822268301614</v>
      </c>
      <c r="M143" s="10">
        <f t="shared" si="18"/>
        <v>0.20708897456929326</v>
      </c>
      <c r="P143" s="8">
        <f t="shared" si="19"/>
        <v>22.542594448875661</v>
      </c>
      <c r="X143" s="8">
        <v>-13</v>
      </c>
    </row>
    <row r="144" spans="1:24" x14ac:dyDescent="0.2">
      <c r="A144" s="8">
        <v>71</v>
      </c>
      <c r="B144" s="8">
        <v>142</v>
      </c>
      <c r="D144">
        <v>1967.1012396694</v>
      </c>
      <c r="E144">
        <v>459.13223140496001</v>
      </c>
      <c r="F144">
        <v>135.80303030303</v>
      </c>
      <c r="G144">
        <v>115.5805785124</v>
      </c>
      <c r="I144" s="9">
        <f t="shared" si="15"/>
        <v>343.55165289256001</v>
      </c>
      <c r="J144" s="9">
        <f t="shared" si="16"/>
        <v>1831.29820936637</v>
      </c>
      <c r="K144" s="9">
        <f t="shared" si="17"/>
        <v>343.55165289256001</v>
      </c>
      <c r="L144" s="10">
        <f t="shared" si="14"/>
        <v>0.18760005941983041</v>
      </c>
      <c r="M144" s="10">
        <f t="shared" si="18"/>
        <v>0.20478180954643574</v>
      </c>
      <c r="P144" s="8">
        <f t="shared" si="19"/>
        <v>21.177355240411387</v>
      </c>
    </row>
    <row r="145" spans="1:16" x14ac:dyDescent="0.2">
      <c r="A145" s="8">
        <v>71.5</v>
      </c>
      <c r="B145" s="8">
        <v>143</v>
      </c>
      <c r="D145">
        <v>1968.7279614325</v>
      </c>
      <c r="E145">
        <v>472.66873278237</v>
      </c>
      <c r="F145">
        <v>136.03374655646999</v>
      </c>
      <c r="G145">
        <v>115.75413223141</v>
      </c>
      <c r="I145" s="9">
        <f t="shared" si="15"/>
        <v>356.91460055096002</v>
      </c>
      <c r="J145" s="9">
        <f t="shared" si="16"/>
        <v>1832.6942148760299</v>
      </c>
      <c r="K145" s="9">
        <f t="shared" si="17"/>
        <v>356.91460055096002</v>
      </c>
      <c r="L145" s="10">
        <f t="shared" si="14"/>
        <v>0.19474858252613789</v>
      </c>
      <c r="M145" s="10">
        <f t="shared" si="18"/>
        <v>0.21205133089307143</v>
      </c>
      <c r="P145" s="8">
        <f t="shared" si="19"/>
        <v>25.479013540043105</v>
      </c>
    </row>
    <row r="146" spans="1:16" x14ac:dyDescent="0.2">
      <c r="A146" s="8">
        <v>72</v>
      </c>
      <c r="B146" s="8">
        <v>144</v>
      </c>
      <c r="D146">
        <v>1968.4283746557001</v>
      </c>
      <c r="E146">
        <v>482.70523415977999</v>
      </c>
      <c r="F146">
        <v>135.61501377411</v>
      </c>
      <c r="G146">
        <v>115.93870523416</v>
      </c>
      <c r="I146" s="9">
        <f t="shared" si="15"/>
        <v>366.76652892561998</v>
      </c>
      <c r="J146" s="9">
        <f t="shared" si="16"/>
        <v>1832.8133608815901</v>
      </c>
      <c r="K146" s="9">
        <f t="shared" si="17"/>
        <v>366.76652892561998</v>
      </c>
      <c r="L146" s="10">
        <f t="shared" si="14"/>
        <v>0.20011122613663396</v>
      </c>
      <c r="M146" s="10">
        <f t="shared" si="18"/>
        <v>0.21753497274389572</v>
      </c>
      <c r="P146" s="8">
        <f t="shared" si="19"/>
        <v>28.723897536528366</v>
      </c>
    </row>
    <row r="147" spans="1:16" x14ac:dyDescent="0.2">
      <c r="A147" s="8">
        <v>72.5</v>
      </c>
      <c r="B147" s="8">
        <v>145</v>
      </c>
      <c r="D147">
        <v>1988.0895316803999</v>
      </c>
      <c r="E147">
        <v>484.72796143251003</v>
      </c>
      <c r="F147">
        <v>135.50137741047001</v>
      </c>
      <c r="G147">
        <v>116.03168044077</v>
      </c>
      <c r="I147" s="9">
        <f t="shared" si="15"/>
        <v>368.69628099174003</v>
      </c>
      <c r="J147" s="9">
        <f t="shared" si="16"/>
        <v>1852.5881542699299</v>
      </c>
      <c r="K147" s="9">
        <f t="shared" si="17"/>
        <v>368.69628099174003</v>
      </c>
      <c r="L147" s="10">
        <f t="shared" si="14"/>
        <v>0.19901686197331661</v>
      </c>
      <c r="M147" s="10">
        <f t="shared" si="18"/>
        <v>0.21656160682090655</v>
      </c>
      <c r="P147" s="8">
        <f t="shared" si="19"/>
        <v>28.147919091517981</v>
      </c>
    </row>
    <row r="148" spans="1:16" x14ac:dyDescent="0.2">
      <c r="A148" s="8">
        <v>73</v>
      </c>
      <c r="B148" s="8">
        <v>146</v>
      </c>
      <c r="D148">
        <v>2004.2155647382999</v>
      </c>
      <c r="E148">
        <v>486.64187327823998</v>
      </c>
      <c r="F148">
        <v>135.83953168043999</v>
      </c>
      <c r="G148">
        <v>116.07162534435</v>
      </c>
      <c r="I148" s="9">
        <f t="shared" si="15"/>
        <v>370.57024793388996</v>
      </c>
      <c r="J148" s="9">
        <f t="shared" si="16"/>
        <v>1868.37603305786</v>
      </c>
      <c r="K148" s="9">
        <f t="shared" si="17"/>
        <v>370.57024793388996</v>
      </c>
      <c r="L148" s="10">
        <f t="shared" si="14"/>
        <v>0.19833815108803321</v>
      </c>
      <c r="M148" s="10">
        <f t="shared" si="18"/>
        <v>0.21600389417595137</v>
      </c>
      <c r="P148" s="8">
        <f t="shared" si="19"/>
        <v>27.817898844849147</v>
      </c>
    </row>
    <row r="149" spans="1:16" x14ac:dyDescent="0.2">
      <c r="A149" s="8">
        <v>73.5</v>
      </c>
      <c r="B149" s="8">
        <v>147</v>
      </c>
      <c r="D149">
        <v>2056.1797362942002</v>
      </c>
      <c r="E149">
        <v>488.96530187370001</v>
      </c>
      <c r="F149">
        <v>135.31336088154001</v>
      </c>
      <c r="G149">
        <v>115.36845730028</v>
      </c>
      <c r="I149" s="9">
        <f t="shared" si="15"/>
        <v>373.59684457342001</v>
      </c>
      <c r="J149" s="9">
        <f t="shared" si="16"/>
        <v>1920.8663754126601</v>
      </c>
      <c r="K149" s="9">
        <f t="shared" si="17"/>
        <v>373.59684457342001</v>
      </c>
      <c r="L149" s="10">
        <f t="shared" si="14"/>
        <v>0.19449392698810719</v>
      </c>
      <c r="M149" s="10">
        <f t="shared" si="18"/>
        <v>0.21228066831635356</v>
      </c>
      <c r="P149" s="8">
        <f t="shared" si="19"/>
        <v>25.614721406247291</v>
      </c>
    </row>
    <row r="150" spans="1:16" x14ac:dyDescent="0.2">
      <c r="A150" s="8">
        <v>74</v>
      </c>
      <c r="B150" s="8">
        <v>148</v>
      </c>
      <c r="D150">
        <v>2049.0700902151002</v>
      </c>
      <c r="E150">
        <v>478.23178348368998</v>
      </c>
      <c r="F150">
        <v>135.54958677686</v>
      </c>
      <c r="G150">
        <v>115.81267217631</v>
      </c>
      <c r="I150" s="9">
        <f t="shared" si="15"/>
        <v>362.41911130737998</v>
      </c>
      <c r="J150" s="9">
        <f t="shared" si="16"/>
        <v>1913.5205034382402</v>
      </c>
      <c r="K150" s="9">
        <f t="shared" si="17"/>
        <v>362.41911130737998</v>
      </c>
      <c r="L150" s="10">
        <f t="shared" si="14"/>
        <v>0.18939912619497951</v>
      </c>
      <c r="M150" s="10">
        <f t="shared" si="18"/>
        <v>0.20730686576355409</v>
      </c>
      <c r="P150" s="8">
        <f t="shared" si="19"/>
        <v>22.671529136527763</v>
      </c>
    </row>
    <row r="151" spans="1:16" x14ac:dyDescent="0.2">
      <c r="A151" s="8">
        <v>74.5</v>
      </c>
      <c r="B151" s="8">
        <v>149</v>
      </c>
      <c r="D151">
        <v>2030.1443442054001</v>
      </c>
      <c r="E151">
        <v>470.39278278973001</v>
      </c>
      <c r="F151">
        <v>135.38774104683</v>
      </c>
      <c r="G151">
        <v>115.70454545455</v>
      </c>
      <c r="I151" s="9">
        <f t="shared" si="15"/>
        <v>354.68823733518002</v>
      </c>
      <c r="J151" s="9">
        <f t="shared" si="16"/>
        <v>1894.7566031585702</v>
      </c>
      <c r="K151" s="9">
        <f t="shared" si="17"/>
        <v>354.68823733518002</v>
      </c>
      <c r="L151" s="10">
        <f t="shared" si="14"/>
        <v>0.18719461736874946</v>
      </c>
      <c r="M151" s="10">
        <f t="shared" si="18"/>
        <v>0.20522335517765222</v>
      </c>
      <c r="P151" s="8">
        <f t="shared" si="19"/>
        <v>21.438634950397731</v>
      </c>
    </row>
    <row r="152" spans="1:16" x14ac:dyDescent="0.2">
      <c r="A152" s="8">
        <v>75</v>
      </c>
      <c r="B152" s="8">
        <v>150</v>
      </c>
      <c r="D152">
        <v>2059.0353920888001</v>
      </c>
      <c r="E152">
        <v>469.62179042332002</v>
      </c>
      <c r="F152">
        <v>135.83402203857</v>
      </c>
      <c r="G152">
        <v>115.96487603305999</v>
      </c>
      <c r="I152" s="9">
        <f t="shared" si="15"/>
        <v>353.65691439026</v>
      </c>
      <c r="J152" s="9">
        <f t="shared" si="16"/>
        <v>1923.20137005023</v>
      </c>
      <c r="K152" s="9">
        <f t="shared" si="17"/>
        <v>353.65691439026</v>
      </c>
      <c r="L152" s="10">
        <f t="shared" si="14"/>
        <v>0.18388969553459875</v>
      </c>
      <c r="M152" s="10">
        <f t="shared" si="18"/>
        <v>0.20203943158382973</v>
      </c>
      <c r="P152" s="8">
        <f t="shared" si="19"/>
        <v>19.554583621612746</v>
      </c>
    </row>
    <row r="153" spans="1:16" x14ac:dyDescent="0.2">
      <c r="A153" s="8">
        <v>75.5</v>
      </c>
      <c r="B153" s="8">
        <v>151</v>
      </c>
      <c r="D153">
        <v>1987.9456671252001</v>
      </c>
      <c r="E153">
        <v>456.45804676754</v>
      </c>
      <c r="F153">
        <v>135.39325068871</v>
      </c>
      <c r="G153">
        <v>115.84297520661001</v>
      </c>
      <c r="I153" s="9">
        <f t="shared" si="15"/>
        <v>340.61507156093001</v>
      </c>
      <c r="J153" s="9">
        <f t="shared" si="16"/>
        <v>1852.5524164364901</v>
      </c>
      <c r="K153" s="9">
        <f t="shared" si="17"/>
        <v>340.61507156093001</v>
      </c>
      <c r="L153" s="10">
        <f t="shared" si="14"/>
        <v>0.18386258253147089</v>
      </c>
      <c r="M153" s="10">
        <f t="shared" si="18"/>
        <v>0.20213331682103008</v>
      </c>
      <c r="P153" s="8">
        <f t="shared" si="19"/>
        <v>19.610139165170331</v>
      </c>
    </row>
    <row r="154" spans="1:16" x14ac:dyDescent="0.2">
      <c r="A154" s="8">
        <v>76</v>
      </c>
      <c r="B154" s="8">
        <v>152</v>
      </c>
      <c r="D154">
        <v>1963.0006896551999</v>
      </c>
      <c r="E154">
        <v>461.16137931035001</v>
      </c>
      <c r="F154">
        <v>135.35468319559001</v>
      </c>
      <c r="G154">
        <v>115.80785123967</v>
      </c>
      <c r="I154" s="9">
        <f t="shared" si="15"/>
        <v>345.35352807068</v>
      </c>
      <c r="J154" s="9">
        <f t="shared" si="16"/>
        <v>1827.6460064596099</v>
      </c>
      <c r="K154" s="9">
        <f t="shared" si="17"/>
        <v>345.35352807068</v>
      </c>
      <c r="L154" s="10">
        <f t="shared" si="14"/>
        <v>0.18896084189720913</v>
      </c>
      <c r="M154" s="10">
        <f t="shared" si="18"/>
        <v>0.20735257442709654</v>
      </c>
      <c r="P154" s="8">
        <f t="shared" si="19"/>
        <v>22.69857672914312</v>
      </c>
    </row>
    <row r="155" spans="1:16" x14ac:dyDescent="0.2">
      <c r="A155" s="8">
        <v>76.5</v>
      </c>
      <c r="B155" s="8">
        <v>153</v>
      </c>
      <c r="D155">
        <v>1979.9986206896999</v>
      </c>
      <c r="E155">
        <v>473.91862068965997</v>
      </c>
      <c r="F155">
        <v>135.56542699725</v>
      </c>
      <c r="G155">
        <v>115.76584022039</v>
      </c>
      <c r="I155" s="9">
        <f t="shared" si="15"/>
        <v>358.15278046926994</v>
      </c>
      <c r="J155" s="9">
        <f t="shared" si="16"/>
        <v>1844.43319369245</v>
      </c>
      <c r="K155" s="9">
        <f t="shared" si="17"/>
        <v>358.15278046926994</v>
      </c>
      <c r="L155" s="10">
        <f t="shared" si="14"/>
        <v>0.19418040278936236</v>
      </c>
      <c r="M155" s="10">
        <f t="shared" si="18"/>
        <v>0.21269313355957797</v>
      </c>
      <c r="P155" s="8">
        <f t="shared" si="19"/>
        <v>25.858793120493935</v>
      </c>
    </row>
    <row r="156" spans="1:16" x14ac:dyDescent="0.2">
      <c r="A156" s="8">
        <v>77</v>
      </c>
      <c r="B156" s="8">
        <v>154</v>
      </c>
      <c r="D156">
        <v>1994.3406896552001</v>
      </c>
      <c r="E156">
        <v>481.62551724138001</v>
      </c>
      <c r="F156">
        <v>136.30165289256001</v>
      </c>
      <c r="G156">
        <v>115.81680440770999</v>
      </c>
      <c r="I156" s="9">
        <f t="shared" si="15"/>
        <v>365.80871283367003</v>
      </c>
      <c r="J156" s="9">
        <f t="shared" si="16"/>
        <v>1858.0390367626401</v>
      </c>
      <c r="K156" s="9">
        <f t="shared" si="17"/>
        <v>365.80871283367003</v>
      </c>
      <c r="L156" s="10">
        <f t="shared" si="14"/>
        <v>0.1968789167481852</v>
      </c>
      <c r="M156" s="10">
        <f t="shared" si="18"/>
        <v>0.215512645758729</v>
      </c>
      <c r="P156" s="8">
        <f t="shared" si="19"/>
        <v>27.527208064760373</v>
      </c>
    </row>
    <row r="157" spans="1:16" x14ac:dyDescent="0.2">
      <c r="A157" s="8">
        <v>77.5</v>
      </c>
      <c r="B157" s="8">
        <v>155</v>
      </c>
      <c r="D157">
        <v>1996.7013793102999</v>
      </c>
      <c r="E157">
        <v>480.64482758621</v>
      </c>
      <c r="F157">
        <v>135.41046831956001</v>
      </c>
      <c r="G157">
        <v>115.93663911845999</v>
      </c>
      <c r="I157" s="9">
        <f t="shared" si="15"/>
        <v>364.70818846775001</v>
      </c>
      <c r="J157" s="9">
        <f t="shared" si="16"/>
        <v>1861.2909109907398</v>
      </c>
      <c r="K157" s="9">
        <f t="shared" si="17"/>
        <v>364.70818846775001</v>
      </c>
      <c r="L157" s="10">
        <f t="shared" si="14"/>
        <v>0.19594367882751912</v>
      </c>
      <c r="M157" s="10">
        <f t="shared" si="18"/>
        <v>0.21469840607839114</v>
      </c>
      <c r="P157" s="8">
        <f t="shared" si="19"/>
        <v>27.045390801724778</v>
      </c>
    </row>
    <row r="158" spans="1:16" x14ac:dyDescent="0.2">
      <c r="A158" s="8">
        <v>78</v>
      </c>
      <c r="B158" s="8">
        <v>156</v>
      </c>
      <c r="D158">
        <v>2043.7434482758999</v>
      </c>
      <c r="E158">
        <v>474.89034482759001</v>
      </c>
      <c r="F158">
        <v>135.52479338843</v>
      </c>
      <c r="G158">
        <v>115.73966942149001</v>
      </c>
      <c r="I158" s="9">
        <f t="shared" si="15"/>
        <v>359.15067540609999</v>
      </c>
      <c r="J158" s="9">
        <f t="shared" si="16"/>
        <v>1908.2186548874699</v>
      </c>
      <c r="K158" s="9">
        <f t="shared" si="17"/>
        <v>359.15067540609999</v>
      </c>
      <c r="L158" s="10">
        <f t="shared" si="14"/>
        <v>0.18821253763881665</v>
      </c>
      <c r="M158" s="10">
        <f t="shared" si="18"/>
        <v>0.20708826313001688</v>
      </c>
      <c r="P158" s="8">
        <f t="shared" si="19"/>
        <v>22.542173462606829</v>
      </c>
    </row>
    <row r="159" spans="1:16" x14ac:dyDescent="0.2">
      <c r="A159" s="8">
        <v>78.5</v>
      </c>
      <c r="B159" s="8">
        <v>157</v>
      </c>
      <c r="D159">
        <v>2073.6855172413998</v>
      </c>
      <c r="E159">
        <v>468.03862068965998</v>
      </c>
      <c r="F159">
        <v>135.3629476584</v>
      </c>
      <c r="G159">
        <v>115.79958677686</v>
      </c>
      <c r="I159" s="9">
        <f t="shared" si="15"/>
        <v>352.23903391279998</v>
      </c>
      <c r="J159" s="9">
        <f t="shared" si="16"/>
        <v>1938.3225695829997</v>
      </c>
      <c r="K159" s="9">
        <f t="shared" si="17"/>
        <v>352.23903391279998</v>
      </c>
      <c r="L159" s="10">
        <f t="shared" si="14"/>
        <v>0.18172364055409973</v>
      </c>
      <c r="M159" s="10">
        <f t="shared" si="18"/>
        <v>0.20072036428562817</v>
      </c>
      <c r="P159" s="8">
        <f t="shared" si="19"/>
        <v>18.774040237734042</v>
      </c>
    </row>
    <row r="160" spans="1:16" x14ac:dyDescent="0.2">
      <c r="A160" s="8">
        <v>79</v>
      </c>
      <c r="B160" s="8">
        <v>158</v>
      </c>
      <c r="D160">
        <v>2079.7517241379001</v>
      </c>
      <c r="E160">
        <v>460.79655172413999</v>
      </c>
      <c r="F160">
        <v>135.78581267217999</v>
      </c>
      <c r="G160">
        <v>115.58333333333</v>
      </c>
      <c r="I160" s="9">
        <f t="shared" si="15"/>
        <v>345.21321839080997</v>
      </c>
      <c r="J160" s="9">
        <f t="shared" si="16"/>
        <v>1943.9659114657202</v>
      </c>
      <c r="K160" s="9">
        <f t="shared" si="17"/>
        <v>345.21321839080997</v>
      </c>
      <c r="L160" s="10">
        <f t="shared" si="14"/>
        <v>0.17758192998894953</v>
      </c>
      <c r="M160" s="10">
        <f t="shared" si="18"/>
        <v>0.19669965196080616</v>
      </c>
      <c r="P160" s="8">
        <f t="shared" si="19"/>
        <v>16.394828496302598</v>
      </c>
    </row>
    <row r="161" spans="1:16" x14ac:dyDescent="0.2">
      <c r="A161" s="8">
        <v>79.5</v>
      </c>
      <c r="B161" s="8">
        <v>159</v>
      </c>
      <c r="D161">
        <v>2065.8675862068999</v>
      </c>
      <c r="E161">
        <v>455.87862068966001</v>
      </c>
      <c r="F161">
        <v>135.92217630854</v>
      </c>
      <c r="G161">
        <v>116.1108815427</v>
      </c>
      <c r="I161" s="9">
        <f t="shared" si="15"/>
        <v>339.76773914696003</v>
      </c>
      <c r="J161" s="9">
        <f t="shared" si="16"/>
        <v>1929.9454098983599</v>
      </c>
      <c r="K161" s="9">
        <f t="shared" si="17"/>
        <v>339.76773914696003</v>
      </c>
      <c r="L161" s="10">
        <f t="shared" si="14"/>
        <v>0.17605044028932082</v>
      </c>
      <c r="M161" s="10">
        <f t="shared" si="18"/>
        <v>0.19528916050150566</v>
      </c>
      <c r="P161" s="8">
        <f t="shared" si="19"/>
        <v>15.560185883241473</v>
      </c>
    </row>
    <row r="162" spans="1:16" x14ac:dyDescent="0.2">
      <c r="A162" s="8">
        <v>80</v>
      </c>
      <c r="B162" s="4">
        <v>160</v>
      </c>
      <c r="C162" s="4" t="s">
        <v>6</v>
      </c>
      <c r="D162">
        <v>2095.2055172413998</v>
      </c>
      <c r="E162">
        <v>456.18413793103002</v>
      </c>
      <c r="F162">
        <v>135.68181818182001</v>
      </c>
      <c r="G162">
        <v>115.75344352617</v>
      </c>
      <c r="H162" s="4"/>
      <c r="I162" s="5">
        <f t="shared" si="15"/>
        <v>340.43069440485999</v>
      </c>
      <c r="J162" s="5">
        <f t="shared" si="16"/>
        <v>1959.5236990595797</v>
      </c>
      <c r="K162" s="9">
        <f t="shared" si="17"/>
        <v>340.43069440485999</v>
      </c>
      <c r="L162" s="6">
        <f t="shared" si="14"/>
        <v>0.17373134837217866</v>
      </c>
      <c r="M162" s="6">
        <f t="shared" si="18"/>
        <v>0.19309106682469171</v>
      </c>
      <c r="N162" s="4"/>
      <c r="O162" s="4"/>
      <c r="P162" s="4">
        <f t="shared" si="19"/>
        <v>14.259488429122205</v>
      </c>
    </row>
    <row r="163" spans="1:16" x14ac:dyDescent="0.2">
      <c r="A163" s="8">
        <v>80.5</v>
      </c>
      <c r="B163" s="8">
        <v>161</v>
      </c>
      <c r="D163">
        <v>2056.44</v>
      </c>
      <c r="E163">
        <v>447.04068965517001</v>
      </c>
      <c r="F163">
        <v>135.40771349862001</v>
      </c>
      <c r="G163">
        <v>115.65564738291999</v>
      </c>
      <c r="I163" s="9">
        <f t="shared" si="15"/>
        <v>331.38504227225002</v>
      </c>
      <c r="J163" s="9">
        <f t="shared" si="16"/>
        <v>1921.03228650138</v>
      </c>
      <c r="K163" s="9">
        <f t="shared" si="17"/>
        <v>331.38504227225002</v>
      </c>
      <c r="L163" s="10">
        <f t="shared" si="14"/>
        <v>0.17250362974157746</v>
      </c>
      <c r="M163" s="10">
        <f t="shared" si="18"/>
        <v>0.19198434643441872</v>
      </c>
      <c r="P163" s="8">
        <f t="shared" si="19"/>
        <v>13.604598963202594</v>
      </c>
    </row>
    <row r="164" spans="1:16" x14ac:dyDescent="0.2">
      <c r="A164" s="8">
        <v>81</v>
      </c>
      <c r="B164" s="8">
        <v>162</v>
      </c>
      <c r="D164">
        <v>2054.8751724138001</v>
      </c>
      <c r="E164">
        <v>449.67241379310002</v>
      </c>
      <c r="F164">
        <v>135.56611570248</v>
      </c>
      <c r="G164">
        <v>115.86363636364</v>
      </c>
      <c r="I164" s="9">
        <f t="shared" si="15"/>
        <v>333.80877742946001</v>
      </c>
      <c r="J164" s="9">
        <f t="shared" si="16"/>
        <v>1919.3090567113202</v>
      </c>
      <c r="K164" s="9">
        <f t="shared" si="17"/>
        <v>333.80877742946001</v>
      </c>
      <c r="L164" s="10">
        <f t="shared" si="14"/>
        <v>0.17392132666816648</v>
      </c>
      <c r="M164" s="10">
        <f t="shared" si="18"/>
        <v>0.19352304160133593</v>
      </c>
      <c r="P164" s="8">
        <f t="shared" si="19"/>
        <v>14.515104692501518</v>
      </c>
    </row>
    <row r="165" spans="1:16" x14ac:dyDescent="0.2">
      <c r="A165" s="8">
        <v>81.5</v>
      </c>
      <c r="B165" s="8">
        <v>163</v>
      </c>
      <c r="D165">
        <v>2043.4020689654999</v>
      </c>
      <c r="E165">
        <v>451.76482758621</v>
      </c>
      <c r="F165">
        <v>135.66253443526</v>
      </c>
      <c r="G165">
        <v>115.73347107438001</v>
      </c>
      <c r="I165" s="9">
        <f t="shared" si="15"/>
        <v>336.03135651182998</v>
      </c>
      <c r="J165" s="9">
        <f t="shared" si="16"/>
        <v>1907.7395345302398</v>
      </c>
      <c r="K165" s="9">
        <f t="shared" si="17"/>
        <v>336.03135651182998</v>
      </c>
      <c r="L165" s="10">
        <f t="shared" si="14"/>
        <v>0.17614110858932011</v>
      </c>
      <c r="M165" s="10">
        <f t="shared" si="18"/>
        <v>0.19586382176281777</v>
      </c>
      <c r="P165" s="8">
        <f t="shared" si="19"/>
        <v>15.900235284890748</v>
      </c>
    </row>
    <row r="166" spans="1:16" x14ac:dyDescent="0.2">
      <c r="A166" s="8">
        <v>82</v>
      </c>
      <c r="B166" s="8">
        <v>164</v>
      </c>
      <c r="D166">
        <v>1979.8262068966001</v>
      </c>
      <c r="E166">
        <v>466.48965517240998</v>
      </c>
      <c r="F166">
        <v>135.55303030303</v>
      </c>
      <c r="G166">
        <v>115.43801652893001</v>
      </c>
      <c r="I166" s="9">
        <f t="shared" si="15"/>
        <v>351.05163864347998</v>
      </c>
      <c r="J166" s="9">
        <f t="shared" si="16"/>
        <v>1844.27317659357</v>
      </c>
      <c r="K166" s="9">
        <f t="shared" si="17"/>
        <v>351.05163864347998</v>
      </c>
      <c r="L166" s="10">
        <f t="shared" si="14"/>
        <v>0.19034687653587376</v>
      </c>
      <c r="M166" s="10">
        <f t="shared" si="18"/>
        <v>0.21019058794969964</v>
      </c>
      <c r="P166" s="8">
        <f t="shared" si="19"/>
        <v>24.377939625521787</v>
      </c>
    </row>
    <row r="167" spans="1:16" x14ac:dyDescent="0.2">
      <c r="A167" s="8">
        <v>82.5</v>
      </c>
      <c r="B167" s="8">
        <v>165</v>
      </c>
      <c r="D167">
        <v>1999.9304407714001</v>
      </c>
      <c r="E167">
        <v>484.15358126721998</v>
      </c>
      <c r="F167">
        <v>135.62947658402001</v>
      </c>
      <c r="G167">
        <v>115.53994490357999</v>
      </c>
      <c r="I167" s="9">
        <f t="shared" si="15"/>
        <v>368.61363636364001</v>
      </c>
      <c r="J167" s="9">
        <f t="shared" si="16"/>
        <v>1864.30096418738</v>
      </c>
      <c r="K167" s="9">
        <f t="shared" si="17"/>
        <v>368.61363636364001</v>
      </c>
      <c r="L167" s="10">
        <f t="shared" si="14"/>
        <v>0.19772217224825231</v>
      </c>
      <c r="M167" s="10">
        <f t="shared" si="18"/>
        <v>0.2176868819024064</v>
      </c>
      <c r="P167" s="8">
        <f t="shared" si="19"/>
        <v>28.813788089336214</v>
      </c>
    </row>
    <row r="168" spans="1:16" x14ac:dyDescent="0.2">
      <c r="A168" s="8">
        <v>83</v>
      </c>
      <c r="B168" s="8">
        <v>166</v>
      </c>
      <c r="D168">
        <v>2010.2639558925</v>
      </c>
      <c r="E168">
        <v>517.57891109579998</v>
      </c>
      <c r="F168">
        <v>135.52685950412999</v>
      </c>
      <c r="G168">
        <v>115.78443526171</v>
      </c>
      <c r="I168" s="9">
        <f t="shared" si="15"/>
        <v>401.79447583409001</v>
      </c>
      <c r="J168" s="9">
        <f t="shared" si="16"/>
        <v>1874.73709638837</v>
      </c>
      <c r="K168" s="9">
        <f t="shared" si="17"/>
        <v>401.79447583409001</v>
      </c>
      <c r="L168" s="10">
        <f t="shared" si="14"/>
        <v>0.21432043810736776</v>
      </c>
      <c r="M168" s="10">
        <f t="shared" si="18"/>
        <v>0.23440614600185006</v>
      </c>
      <c r="P168" s="8">
        <f t="shared" si="19"/>
        <v>38.707226425601775</v>
      </c>
    </row>
    <row r="169" spans="1:16" x14ac:dyDescent="0.2">
      <c r="A169" s="8">
        <v>83.5</v>
      </c>
      <c r="B169" s="8">
        <v>167</v>
      </c>
      <c r="D169">
        <v>2008.4169538250001</v>
      </c>
      <c r="E169">
        <v>517.46450723638998</v>
      </c>
      <c r="F169">
        <v>135.68319559228999</v>
      </c>
      <c r="G169">
        <v>115.71212121212</v>
      </c>
      <c r="I169" s="9">
        <f t="shared" si="15"/>
        <v>401.75238602426998</v>
      </c>
      <c r="J169" s="9">
        <f t="shared" si="16"/>
        <v>1872.73375823271</v>
      </c>
      <c r="K169" s="9">
        <f t="shared" si="17"/>
        <v>401.75238602426998</v>
      </c>
      <c r="L169" s="10">
        <f t="shared" si="14"/>
        <v>0.21452723018321718</v>
      </c>
      <c r="M169" s="10">
        <f t="shared" si="18"/>
        <v>0.23473393631802766</v>
      </c>
      <c r="P169" s="8">
        <f t="shared" si="19"/>
        <v>38.901192694753306</v>
      </c>
    </row>
    <row r="170" spans="1:16" x14ac:dyDescent="0.2">
      <c r="A170" s="8">
        <v>84</v>
      </c>
      <c r="B170" s="8">
        <v>168</v>
      </c>
      <c r="D170">
        <v>2003.2370778773</v>
      </c>
      <c r="E170">
        <v>493.82563749139001</v>
      </c>
      <c r="F170">
        <v>135.58264462810001</v>
      </c>
      <c r="G170">
        <v>115.43801652893001</v>
      </c>
      <c r="I170" s="9">
        <f t="shared" si="15"/>
        <v>378.38762096246001</v>
      </c>
      <c r="J170" s="9">
        <f t="shared" si="16"/>
        <v>1867.6544332491999</v>
      </c>
      <c r="K170" s="9">
        <f t="shared" si="17"/>
        <v>378.38762096246001</v>
      </c>
      <c r="L170" s="10">
        <f t="shared" si="14"/>
        <v>0.20260044589949686</v>
      </c>
      <c r="M170" s="10">
        <f t="shared" si="18"/>
        <v>0.22292815027463556</v>
      </c>
      <c r="P170" s="8">
        <f t="shared" si="19"/>
        <v>31.915250279062235</v>
      </c>
    </row>
    <row r="171" spans="1:16" x14ac:dyDescent="0.2">
      <c r="A171" s="8">
        <v>84.5</v>
      </c>
      <c r="B171" s="8">
        <v>169</v>
      </c>
      <c r="D171">
        <v>2021.7976519337001</v>
      </c>
      <c r="E171">
        <v>492.27348066297998</v>
      </c>
      <c r="F171">
        <v>136.08539944904001</v>
      </c>
      <c r="G171">
        <v>115.5282369146</v>
      </c>
      <c r="I171" s="9">
        <f t="shared" si="15"/>
        <v>376.74524374837995</v>
      </c>
      <c r="J171" s="9">
        <f t="shared" si="16"/>
        <v>1885.71225248466</v>
      </c>
      <c r="K171" s="9">
        <f t="shared" si="17"/>
        <v>376.74524374837995</v>
      </c>
      <c r="L171" s="10">
        <f t="shared" si="14"/>
        <v>0.19978935983046794</v>
      </c>
      <c r="M171" s="10">
        <f t="shared" si="18"/>
        <v>0.22023806244593486</v>
      </c>
      <c r="P171" s="8">
        <f t="shared" si="19"/>
        <v>30.323420764671432</v>
      </c>
    </row>
    <row r="172" spans="1:16" x14ac:dyDescent="0.2">
      <c r="A172" s="8">
        <v>85</v>
      </c>
      <c r="B172" s="8">
        <v>170</v>
      </c>
      <c r="D172">
        <v>2052.7572413793</v>
      </c>
      <c r="E172">
        <v>493.17172413793003</v>
      </c>
      <c r="F172">
        <v>136.09504132231001</v>
      </c>
      <c r="G172">
        <v>115.51308539945001</v>
      </c>
      <c r="I172" s="9">
        <f t="shared" si="15"/>
        <v>377.65863873848002</v>
      </c>
      <c r="J172" s="9">
        <f t="shared" si="16"/>
        <v>1916.6622000569901</v>
      </c>
      <c r="K172" s="9">
        <f t="shared" si="17"/>
        <v>377.65863873848002</v>
      </c>
      <c r="L172" s="10">
        <f t="shared" si="14"/>
        <v>0.19703974895902404</v>
      </c>
      <c r="M172" s="10">
        <f t="shared" si="18"/>
        <v>0.21760944981481917</v>
      </c>
      <c r="P172" s="8">
        <f t="shared" si="19"/>
        <v>28.767968513831203</v>
      </c>
    </row>
    <row r="173" spans="1:16" x14ac:dyDescent="0.2">
      <c r="A173" s="8">
        <v>85.5</v>
      </c>
      <c r="B173" s="8">
        <v>171</v>
      </c>
      <c r="D173">
        <v>2058.6</v>
      </c>
      <c r="E173">
        <v>484.97655172413999</v>
      </c>
      <c r="F173">
        <v>136.33677685949999</v>
      </c>
      <c r="G173">
        <v>115.7217630854</v>
      </c>
      <c r="I173" s="9">
        <f t="shared" si="15"/>
        <v>369.25478863874002</v>
      </c>
      <c r="J173" s="9">
        <f t="shared" si="16"/>
        <v>1922.2632231405</v>
      </c>
      <c r="K173" s="9">
        <f t="shared" si="17"/>
        <v>369.25478863874002</v>
      </c>
      <c r="L173" s="10">
        <f t="shared" si="14"/>
        <v>0.1920937695699497</v>
      </c>
      <c r="M173" s="10">
        <f t="shared" si="18"/>
        <v>0.21278446866607301</v>
      </c>
      <c r="P173" s="8">
        <f t="shared" si="19"/>
        <v>25.912839652606245</v>
      </c>
    </row>
    <row r="174" spans="1:16" x14ac:dyDescent="0.2">
      <c r="A174" s="8">
        <v>86</v>
      </c>
      <c r="B174" s="8">
        <v>172</v>
      </c>
      <c r="D174">
        <v>2004.3351800554001</v>
      </c>
      <c r="E174">
        <v>490.49653739612</v>
      </c>
      <c r="F174">
        <v>135.03305785123999</v>
      </c>
      <c r="G174">
        <v>115.58677685950001</v>
      </c>
      <c r="I174" s="9">
        <f t="shared" si="15"/>
        <v>374.90976053662001</v>
      </c>
      <c r="J174" s="9">
        <f t="shared" si="16"/>
        <v>1869.30212220416</v>
      </c>
      <c r="K174" s="9">
        <f t="shared" si="17"/>
        <v>374.90976053662001</v>
      </c>
      <c r="L174" s="10">
        <f t="shared" si="14"/>
        <v>0.20056135179183915</v>
      </c>
      <c r="M174" s="10">
        <f t="shared" si="18"/>
        <v>0.22137304912829067</v>
      </c>
      <c r="P174" s="8">
        <f t="shared" si="19"/>
        <v>30.99503649414266</v>
      </c>
    </row>
    <row r="175" spans="1:16" x14ac:dyDescent="0.2">
      <c r="A175" s="8">
        <v>86.5</v>
      </c>
      <c r="B175" s="8">
        <v>173</v>
      </c>
      <c r="D175">
        <v>2003.0573997234001</v>
      </c>
      <c r="E175">
        <v>520.32019363762004</v>
      </c>
      <c r="F175">
        <v>135.96625344353001</v>
      </c>
      <c r="G175">
        <v>116.01446280992</v>
      </c>
      <c r="I175" s="9">
        <f t="shared" si="15"/>
        <v>404.30573082770002</v>
      </c>
      <c r="J175" s="9">
        <f t="shared" si="16"/>
        <v>1867.0911462798701</v>
      </c>
      <c r="K175" s="9">
        <f t="shared" si="17"/>
        <v>404.30573082770002</v>
      </c>
      <c r="L175" s="10">
        <f t="shared" si="14"/>
        <v>0.21654311394131376</v>
      </c>
      <c r="M175" s="10">
        <f t="shared" si="18"/>
        <v>0.23747580951809349</v>
      </c>
      <c r="P175" s="8">
        <f t="shared" si="19"/>
        <v>40.523665625940097</v>
      </c>
    </row>
    <row r="176" spans="1:16" x14ac:dyDescent="0.2">
      <c r="A176" s="8">
        <v>87</v>
      </c>
      <c r="B176" s="8">
        <v>174</v>
      </c>
      <c r="D176">
        <v>2012.6286307053999</v>
      </c>
      <c r="E176">
        <v>538.46818810512002</v>
      </c>
      <c r="F176">
        <v>135.86432506886999</v>
      </c>
      <c r="G176">
        <v>115.83608815427</v>
      </c>
      <c r="I176" s="9">
        <f t="shared" si="15"/>
        <v>422.63209995085003</v>
      </c>
      <c r="J176" s="9">
        <f t="shared" si="16"/>
        <v>1876.76430563653</v>
      </c>
      <c r="K176" s="9">
        <f t="shared" si="17"/>
        <v>422.63209995085003</v>
      </c>
      <c r="L176" s="10">
        <f t="shared" si="14"/>
        <v>0.22519188940324003</v>
      </c>
      <c r="M176" s="10">
        <f t="shared" si="18"/>
        <v>0.24624558322034798</v>
      </c>
      <c r="P176" s="8">
        <f t="shared" si="19"/>
        <v>45.713081549404407</v>
      </c>
    </row>
    <row r="177" spans="1:16" x14ac:dyDescent="0.2">
      <c r="A177" s="8">
        <v>87.5</v>
      </c>
      <c r="B177" s="8">
        <v>175</v>
      </c>
      <c r="D177">
        <v>2023.4619640387</v>
      </c>
      <c r="E177">
        <v>547.88658367912001</v>
      </c>
      <c r="F177">
        <v>136.22727272726999</v>
      </c>
      <c r="G177">
        <v>115.71418732782</v>
      </c>
      <c r="I177" s="9">
        <f t="shared" si="15"/>
        <v>432.17239635129999</v>
      </c>
      <c r="J177" s="9">
        <f t="shared" si="16"/>
        <v>1887.23469131143</v>
      </c>
      <c r="K177" s="9">
        <f t="shared" si="17"/>
        <v>432.17239635129999</v>
      </c>
      <c r="L177" s="10">
        <f t="shared" si="14"/>
        <v>0.22899769612171847</v>
      </c>
      <c r="M177" s="10">
        <f t="shared" si="18"/>
        <v>0.2501723881791546</v>
      </c>
      <c r="P177" s="8">
        <f t="shared" si="19"/>
        <v>48.036724652798405</v>
      </c>
    </row>
    <row r="178" spans="1:16" x14ac:dyDescent="0.2">
      <c r="A178" s="8">
        <v>88</v>
      </c>
      <c r="B178" s="8">
        <v>176</v>
      </c>
      <c r="D178">
        <v>1991.4688796681</v>
      </c>
      <c r="E178">
        <v>529.80843706777</v>
      </c>
      <c r="F178">
        <v>135.70041322314</v>
      </c>
      <c r="G178">
        <v>116.04201101928</v>
      </c>
      <c r="I178" s="9">
        <f t="shared" si="15"/>
        <v>413.76642604849002</v>
      </c>
      <c r="J178" s="9">
        <f t="shared" si="16"/>
        <v>1855.76846644496</v>
      </c>
      <c r="K178" s="9">
        <f t="shared" si="17"/>
        <v>413.76642604849002</v>
      </c>
      <c r="L178" s="10">
        <f t="shared" si="14"/>
        <v>0.2229623110479563</v>
      </c>
      <c r="M178" s="10">
        <f t="shared" si="18"/>
        <v>0.24425800134572065</v>
      </c>
      <c r="P178" s="8">
        <f t="shared" si="19"/>
        <v>44.536952109858142</v>
      </c>
    </row>
    <row r="179" spans="1:16" x14ac:dyDescent="0.2">
      <c r="A179" s="8">
        <v>88.5</v>
      </c>
      <c r="B179" s="8">
        <v>177</v>
      </c>
      <c r="D179">
        <v>1952.104281768</v>
      </c>
      <c r="E179">
        <v>511.75690607734998</v>
      </c>
      <c r="F179">
        <v>136.03374655646999</v>
      </c>
      <c r="G179">
        <v>115.89256198347</v>
      </c>
      <c r="I179" s="9">
        <f t="shared" si="15"/>
        <v>395.86434409387999</v>
      </c>
      <c r="J179" s="9">
        <f t="shared" si="16"/>
        <v>1816.0705352115299</v>
      </c>
      <c r="K179" s="9">
        <f t="shared" si="17"/>
        <v>395.86434409387999</v>
      </c>
      <c r="L179" s="10">
        <f t="shared" si="14"/>
        <v>0.21797850712212069</v>
      </c>
      <c r="M179" s="10">
        <f t="shared" si="18"/>
        <v>0.23939519566021325</v>
      </c>
      <c r="P179" s="8">
        <f t="shared" si="19"/>
        <v>41.659441000238793</v>
      </c>
    </row>
    <row r="180" spans="1:16" x14ac:dyDescent="0.2">
      <c r="A180" s="8">
        <v>89</v>
      </c>
      <c r="B180" s="8">
        <v>178</v>
      </c>
      <c r="D180">
        <v>1975.0593922651999</v>
      </c>
      <c r="E180">
        <v>532.21201657459005</v>
      </c>
      <c r="F180">
        <v>135.95936639119</v>
      </c>
      <c r="G180">
        <v>115.87327823692</v>
      </c>
      <c r="I180" s="9">
        <f t="shared" si="15"/>
        <v>416.33873833767007</v>
      </c>
      <c r="J180" s="9">
        <f t="shared" si="16"/>
        <v>1839.1000258740098</v>
      </c>
      <c r="K180" s="9">
        <f t="shared" si="17"/>
        <v>416.33873833767007</v>
      </c>
      <c r="L180" s="10">
        <f t="shared" si="14"/>
        <v>0.22638178047972685</v>
      </c>
      <c r="M180" s="10">
        <f t="shared" si="18"/>
        <v>0.24791946725814762</v>
      </c>
      <c r="P180" s="8">
        <f t="shared" si="19"/>
        <v>46.703583787513139</v>
      </c>
    </row>
    <row r="181" spans="1:16" x14ac:dyDescent="0.2">
      <c r="A181" s="8">
        <v>89.5</v>
      </c>
      <c r="B181" s="8">
        <v>179</v>
      </c>
      <c r="D181">
        <v>1970.7700276242999</v>
      </c>
      <c r="E181">
        <v>521.32182320441996</v>
      </c>
      <c r="F181">
        <v>136.13223140496001</v>
      </c>
      <c r="G181">
        <v>115.70867768594999</v>
      </c>
      <c r="I181" s="9">
        <f t="shared" si="15"/>
        <v>405.61314551846999</v>
      </c>
      <c r="J181" s="9">
        <f t="shared" si="16"/>
        <v>1834.6377962193399</v>
      </c>
      <c r="K181" s="9">
        <f t="shared" si="17"/>
        <v>405.61314551846999</v>
      </c>
      <c r="L181" s="10">
        <f t="shared" si="14"/>
        <v>0.22108622549601992</v>
      </c>
      <c r="M181" s="10">
        <f t="shared" si="18"/>
        <v>0.2427449105147689</v>
      </c>
      <c r="P181" s="8">
        <f t="shared" si="19"/>
        <v>43.641597461223334</v>
      </c>
    </row>
    <row r="182" spans="1:16" x14ac:dyDescent="0.2">
      <c r="A182" s="8">
        <v>90</v>
      </c>
      <c r="B182" s="8">
        <v>180</v>
      </c>
      <c r="D182">
        <v>2084.5631067960999</v>
      </c>
      <c r="E182">
        <v>568.87864077669997</v>
      </c>
      <c r="F182">
        <v>135.98209366391001</v>
      </c>
      <c r="G182">
        <v>115.82575757575999</v>
      </c>
      <c r="I182" s="9">
        <f t="shared" si="15"/>
        <v>453.05288320093996</v>
      </c>
      <c r="J182" s="9">
        <f t="shared" si="16"/>
        <v>1948.5810131321898</v>
      </c>
      <c r="K182" s="9">
        <f t="shared" si="17"/>
        <v>453.05288320093996</v>
      </c>
      <c r="L182" s="10">
        <f t="shared" si="14"/>
        <v>0.23250400170567878</v>
      </c>
      <c r="M182" s="10">
        <f>L182+ABS($N$2)*A182</f>
        <v>0.25428368496475595</v>
      </c>
      <c r="P182" s="8">
        <f t="shared" si="19"/>
        <v>50.469538740099487</v>
      </c>
    </row>
    <row r="183" spans="1:16" x14ac:dyDescent="0.2">
      <c r="A183" s="8">
        <v>90.5</v>
      </c>
      <c r="B183" s="8">
        <v>181</v>
      </c>
      <c r="D183">
        <v>2059.4632454923999</v>
      </c>
      <c r="E183">
        <v>541.00901525659003</v>
      </c>
      <c r="F183">
        <v>136.23829201102001</v>
      </c>
      <c r="G183">
        <v>115.33884297521</v>
      </c>
      <c r="I183" s="9">
        <f t="shared" si="15"/>
        <v>425.67017228138002</v>
      </c>
      <c r="J183" s="9">
        <f t="shared" si="16"/>
        <v>1923.22495348138</v>
      </c>
      <c r="K183" s="9">
        <f t="shared" si="17"/>
        <v>425.67017228138002</v>
      </c>
      <c r="L183" s="10">
        <f t="shared" si="14"/>
        <v>0.22133145241841892</v>
      </c>
      <c r="M183" s="10">
        <f t="shared" ref="M183:M241" si="20">L183+ABS($N$2)*A183</f>
        <v>0.24323213391782431</v>
      </c>
      <c r="P183" s="8">
        <f t="shared" si="19"/>
        <v>43.929906484003503</v>
      </c>
    </row>
    <row r="184" spans="1:16" x14ac:dyDescent="0.2">
      <c r="A184" s="8">
        <v>91</v>
      </c>
      <c r="B184" s="8">
        <v>182</v>
      </c>
      <c r="D184">
        <v>2115.5961138099001</v>
      </c>
      <c r="E184">
        <v>543.08674531575002</v>
      </c>
      <c r="F184">
        <v>135.85468319559001</v>
      </c>
      <c r="G184">
        <v>115.99104683196001</v>
      </c>
      <c r="I184" s="9">
        <f t="shared" si="15"/>
        <v>427.09569848378999</v>
      </c>
      <c r="J184" s="9">
        <f t="shared" si="16"/>
        <v>1979.74143061431</v>
      </c>
      <c r="K184" s="9">
        <f t="shared" si="17"/>
        <v>427.09569848378999</v>
      </c>
      <c r="L184" s="10">
        <f t="shared" si="14"/>
        <v>0.21573307093505792</v>
      </c>
      <c r="M184" s="10">
        <f t="shared" si="20"/>
        <v>0.23775475067479152</v>
      </c>
      <c r="P184" s="8">
        <f t="shared" si="19"/>
        <v>40.688725948979688</v>
      </c>
    </row>
    <row r="185" spans="1:16" x14ac:dyDescent="0.2">
      <c r="A185" s="8">
        <v>91.5</v>
      </c>
      <c r="B185" s="8">
        <v>183</v>
      </c>
      <c r="D185">
        <v>2135.6419153366001</v>
      </c>
      <c r="E185">
        <v>536.14087439278001</v>
      </c>
      <c r="F185">
        <v>135.75688705234001</v>
      </c>
      <c r="G185">
        <v>116.0826446281</v>
      </c>
      <c r="I185" s="9">
        <f t="shared" si="15"/>
        <v>420.05822976467999</v>
      </c>
      <c r="J185" s="9">
        <f t="shared" si="16"/>
        <v>1999.88502828426</v>
      </c>
      <c r="K185" s="9">
        <f t="shared" si="17"/>
        <v>420.05822976467999</v>
      </c>
      <c r="L185" s="10">
        <f t="shared" si="14"/>
        <v>0.21004118928029381</v>
      </c>
      <c r="M185" s="10">
        <f t="shared" si="20"/>
        <v>0.23218386726035561</v>
      </c>
      <c r="P185" s="8">
        <f t="shared" si="19"/>
        <v>37.392217728795515</v>
      </c>
    </row>
    <row r="186" spans="1:16" x14ac:dyDescent="0.2">
      <c r="A186" s="8">
        <v>92</v>
      </c>
      <c r="B186" s="8">
        <v>184</v>
      </c>
      <c r="D186">
        <v>2108.4163775155998</v>
      </c>
      <c r="E186">
        <v>521.39278278972995</v>
      </c>
      <c r="F186">
        <v>135.62672176308999</v>
      </c>
      <c r="G186">
        <v>115.42561983471001</v>
      </c>
      <c r="I186" s="9">
        <f t="shared" si="15"/>
        <v>405.96716295501994</v>
      </c>
      <c r="J186" s="9">
        <f t="shared" si="16"/>
        <v>1972.7896557525098</v>
      </c>
      <c r="K186" s="9">
        <f t="shared" si="17"/>
        <v>405.96716295501994</v>
      </c>
      <c r="L186" s="10">
        <f t="shared" si="14"/>
        <v>0.20578329867619161</v>
      </c>
      <c r="M186" s="10">
        <f t="shared" si="20"/>
        <v>0.2280469748965816</v>
      </c>
      <c r="P186" s="8">
        <f t="shared" si="19"/>
        <v>34.944257743156676</v>
      </c>
    </row>
    <row r="187" spans="1:16" x14ac:dyDescent="0.2">
      <c r="A187" s="8">
        <v>92.5</v>
      </c>
      <c r="B187" s="8">
        <v>185</v>
      </c>
      <c r="D187">
        <v>2043.8794178794001</v>
      </c>
      <c r="E187">
        <v>515.18087318086998</v>
      </c>
      <c r="F187">
        <v>136.18870523416001</v>
      </c>
      <c r="G187">
        <v>115.71694214876</v>
      </c>
      <c r="I187" s="9">
        <f t="shared" si="15"/>
        <v>399.46393103211</v>
      </c>
      <c r="J187" s="9">
        <f t="shared" si="16"/>
        <v>1907.6907126452402</v>
      </c>
      <c r="K187" s="9">
        <f t="shared" si="17"/>
        <v>399.46393103211</v>
      </c>
      <c r="L187" s="10">
        <f t="shared" si="14"/>
        <v>0.20939659053967177</v>
      </c>
      <c r="M187" s="10">
        <f t="shared" si="20"/>
        <v>0.23178126500038998</v>
      </c>
      <c r="P187" s="8">
        <f t="shared" si="19"/>
        <v>37.153982325052851</v>
      </c>
    </row>
    <row r="188" spans="1:16" x14ac:dyDescent="0.2">
      <c r="A188" s="8">
        <v>93</v>
      </c>
      <c r="B188" s="8">
        <v>186</v>
      </c>
      <c r="D188">
        <v>2098.8253638254</v>
      </c>
      <c r="E188">
        <v>548.30699930699996</v>
      </c>
      <c r="F188">
        <v>135.65082644628001</v>
      </c>
      <c r="G188">
        <v>115.43250688705</v>
      </c>
      <c r="I188" s="9">
        <f t="shared" si="15"/>
        <v>432.87449241994995</v>
      </c>
      <c r="J188" s="9">
        <f t="shared" si="16"/>
        <v>1963.17453737912</v>
      </c>
      <c r="K188" s="9">
        <f t="shared" si="17"/>
        <v>432.87449241994995</v>
      </c>
      <c r="L188" s="10">
        <f t="shared" si="14"/>
        <v>0.22049720194407504</v>
      </c>
      <c r="M188" s="10">
        <f t="shared" si="20"/>
        <v>0.24300287464512146</v>
      </c>
      <c r="P188" s="8">
        <f t="shared" si="19"/>
        <v>43.794244862534285</v>
      </c>
    </row>
    <row r="189" spans="1:16" x14ac:dyDescent="0.2">
      <c r="A189" s="8">
        <v>93.5</v>
      </c>
      <c r="B189" s="8">
        <v>187</v>
      </c>
      <c r="D189">
        <v>2056.6292446292</v>
      </c>
      <c r="E189">
        <v>572.29036729037</v>
      </c>
      <c r="F189">
        <v>135.93112947658</v>
      </c>
      <c r="G189">
        <v>115.74104683196001</v>
      </c>
      <c r="I189" s="9">
        <f t="shared" si="15"/>
        <v>456.54932045840997</v>
      </c>
      <c r="J189" s="9">
        <f t="shared" si="16"/>
        <v>1920.6981151526199</v>
      </c>
      <c r="K189" s="9">
        <f t="shared" si="17"/>
        <v>456.54932045840997</v>
      </c>
      <c r="L189" s="10">
        <f t="shared" si="14"/>
        <v>0.23769967641277778</v>
      </c>
      <c r="M189" s="10">
        <f t="shared" si="20"/>
        <v>0.26032634735415239</v>
      </c>
      <c r="P189" s="8">
        <f t="shared" si="19"/>
        <v>54.045216914736017</v>
      </c>
    </row>
    <row r="190" spans="1:16" x14ac:dyDescent="0.2">
      <c r="A190" s="8">
        <v>94</v>
      </c>
      <c r="B190" s="8">
        <v>188</v>
      </c>
      <c r="D190">
        <v>2062.6439393938999</v>
      </c>
      <c r="E190">
        <v>580.23071625344005</v>
      </c>
      <c r="F190">
        <v>135.84779614325001</v>
      </c>
      <c r="G190">
        <v>115.77066115703001</v>
      </c>
      <c r="I190" s="9">
        <f t="shared" si="15"/>
        <v>464.46005509641003</v>
      </c>
      <c r="J190" s="9">
        <f t="shared" si="16"/>
        <v>1926.7961432506499</v>
      </c>
      <c r="K190" s="9">
        <f t="shared" si="17"/>
        <v>464.46005509641003</v>
      </c>
      <c r="L190" s="10">
        <f t="shared" si="14"/>
        <v>0.24105303341163586</v>
      </c>
      <c r="M190" s="10">
        <f t="shared" si="20"/>
        <v>0.26380070259333871</v>
      </c>
      <c r="P190" s="8">
        <f t="shared" si="19"/>
        <v>56.101127935264415</v>
      </c>
    </row>
    <row r="191" spans="1:16" x14ac:dyDescent="0.2">
      <c r="A191" s="8">
        <v>94.5</v>
      </c>
      <c r="B191" s="8">
        <v>189</v>
      </c>
      <c r="D191">
        <v>2017.0179063360999</v>
      </c>
      <c r="E191">
        <v>548.29132231405003</v>
      </c>
      <c r="F191">
        <v>135.70798898071999</v>
      </c>
      <c r="G191">
        <v>116.11639118457001</v>
      </c>
      <c r="I191" s="9">
        <f t="shared" si="15"/>
        <v>432.17493112948</v>
      </c>
      <c r="J191" s="9">
        <f t="shared" si="16"/>
        <v>1881.3099173553799</v>
      </c>
      <c r="K191" s="9">
        <f t="shared" si="17"/>
        <v>432.17493112948</v>
      </c>
      <c r="L191" s="10">
        <f t="shared" si="14"/>
        <v>0.22972022160867717</v>
      </c>
      <c r="M191" s="10">
        <f t="shared" si="20"/>
        <v>0.2525888890307082</v>
      </c>
      <c r="P191" s="8">
        <f t="shared" si="19"/>
        <v>49.466662120271884</v>
      </c>
    </row>
    <row r="192" spans="1:16" x14ac:dyDescent="0.2">
      <c r="A192" s="8">
        <v>95</v>
      </c>
      <c r="B192" s="8">
        <v>190</v>
      </c>
      <c r="D192">
        <v>2028.5300957592001</v>
      </c>
      <c r="E192">
        <v>545.52530779753999</v>
      </c>
      <c r="F192">
        <v>135.56198347106999</v>
      </c>
      <c r="G192">
        <v>115.8870523416</v>
      </c>
      <c r="I192" s="9">
        <f t="shared" si="15"/>
        <v>429.63825545594</v>
      </c>
      <c r="J192" s="9">
        <f t="shared" si="16"/>
        <v>1892.9681122881302</v>
      </c>
      <c r="K192" s="9">
        <f t="shared" si="17"/>
        <v>429.63825545594</v>
      </c>
      <c r="L192" s="10">
        <f t="shared" si="14"/>
        <v>0.22696539506765046</v>
      </c>
      <c r="M192" s="10">
        <f t="shared" si="20"/>
        <v>0.2499550607300097</v>
      </c>
      <c r="P192" s="8">
        <f t="shared" si="19"/>
        <v>47.90812355504049</v>
      </c>
    </row>
    <row r="193" spans="1:16" x14ac:dyDescent="0.2">
      <c r="A193" s="8">
        <v>95.5</v>
      </c>
      <c r="B193" s="8">
        <v>191</v>
      </c>
      <c r="D193">
        <v>2126.9380222841</v>
      </c>
      <c r="E193">
        <v>562.54456824512999</v>
      </c>
      <c r="F193">
        <v>135.65771349862001</v>
      </c>
      <c r="G193">
        <v>115.58195592286999</v>
      </c>
      <c r="I193" s="9">
        <f t="shared" si="15"/>
        <v>446.96261232225999</v>
      </c>
      <c r="J193" s="9">
        <f t="shared" si="16"/>
        <v>1991.28030878548</v>
      </c>
      <c r="K193" s="9">
        <f t="shared" si="17"/>
        <v>446.96261232225999</v>
      </c>
      <c r="L193" s="10">
        <f t="shared" si="14"/>
        <v>0.22445991674314855</v>
      </c>
      <c r="M193" s="10">
        <f t="shared" si="20"/>
        <v>0.24757058064583601</v>
      </c>
      <c r="P193" s="8">
        <f t="shared" si="19"/>
        <v>46.497134020063847</v>
      </c>
    </row>
    <row r="194" spans="1:16" x14ac:dyDescent="0.2">
      <c r="A194" s="8">
        <v>96</v>
      </c>
      <c r="B194" s="8">
        <v>192</v>
      </c>
      <c r="D194">
        <v>2144.3816155989002</v>
      </c>
      <c r="E194">
        <v>551.14136490250996</v>
      </c>
      <c r="F194">
        <v>135.56336088154001</v>
      </c>
      <c r="G194">
        <v>116.03512396694001</v>
      </c>
      <c r="I194" s="9">
        <f t="shared" si="15"/>
        <v>435.10624093556999</v>
      </c>
      <c r="J194" s="9">
        <f t="shared" si="16"/>
        <v>2008.8182547173601</v>
      </c>
      <c r="K194" s="9">
        <f t="shared" si="17"/>
        <v>435.10624093556999</v>
      </c>
      <c r="L194" s="10">
        <f t="shared" ref="L194:L257" si="21">K194/J194</f>
        <v>0.21659811180717753</v>
      </c>
      <c r="M194" s="10">
        <f t="shared" si="20"/>
        <v>0.2398297739501932</v>
      </c>
      <c r="P194" s="8">
        <f t="shared" si="19"/>
        <v>41.916597863640419</v>
      </c>
    </row>
    <row r="195" spans="1:16" x14ac:dyDescent="0.2">
      <c r="A195" s="8">
        <v>96.5</v>
      </c>
      <c r="B195" s="8">
        <v>193</v>
      </c>
      <c r="D195">
        <v>2125.2089136489999</v>
      </c>
      <c r="E195">
        <v>538.76183844010995</v>
      </c>
      <c r="F195">
        <v>135.55440771350001</v>
      </c>
      <c r="G195">
        <v>115.78168044077</v>
      </c>
      <c r="I195" s="9">
        <f t="shared" ref="I195:I241" si="22">E195-G195</f>
        <v>422.98015799933995</v>
      </c>
      <c r="J195" s="9">
        <f t="shared" ref="J195:J241" si="23">D195-F195</f>
        <v>1989.6545059354999</v>
      </c>
      <c r="K195" s="9">
        <f t="shared" ref="K195:K258" si="24">I195*1</f>
        <v>422.98015799933995</v>
      </c>
      <c r="L195" s="10">
        <f t="shared" si="21"/>
        <v>0.2125897520084585</v>
      </c>
      <c r="M195" s="10">
        <f t="shared" si="20"/>
        <v>0.23594241239180236</v>
      </c>
      <c r="P195" s="8">
        <f t="shared" ref="P195:P241" si="25">(M195-$O$2)/$O$2*100</f>
        <v>39.616294953179867</v>
      </c>
    </row>
    <row r="196" spans="1:16" x14ac:dyDescent="0.2">
      <c r="A196" s="8">
        <v>97</v>
      </c>
      <c r="B196" s="8">
        <v>194</v>
      </c>
      <c r="D196">
        <v>2058.3120274913999</v>
      </c>
      <c r="E196">
        <v>518.07560137457006</v>
      </c>
      <c r="F196">
        <v>135.66460055095999</v>
      </c>
      <c r="G196">
        <v>115.84022038568</v>
      </c>
      <c r="I196" s="9">
        <f t="shared" si="22"/>
        <v>402.23538098889003</v>
      </c>
      <c r="J196" s="9">
        <f t="shared" si="23"/>
        <v>1922.64742694044</v>
      </c>
      <c r="K196" s="9">
        <f t="shared" si="24"/>
        <v>402.23538098889003</v>
      </c>
      <c r="L196" s="10">
        <f t="shared" si="21"/>
        <v>0.20920912245932571</v>
      </c>
      <c r="M196" s="10">
        <f t="shared" si="20"/>
        <v>0.23268278108299778</v>
      </c>
      <c r="P196" s="8">
        <f t="shared" si="25"/>
        <v>37.687444427175443</v>
      </c>
    </row>
    <row r="197" spans="1:16" x14ac:dyDescent="0.2">
      <c r="A197" s="8">
        <v>97.5</v>
      </c>
      <c r="B197" s="8">
        <v>195</v>
      </c>
      <c r="D197">
        <v>1986.4103092784001</v>
      </c>
      <c r="E197">
        <v>518.54914089347005</v>
      </c>
      <c r="F197">
        <v>135.97107438016999</v>
      </c>
      <c r="G197">
        <v>116.09022038568</v>
      </c>
      <c r="I197" s="9">
        <f t="shared" si="22"/>
        <v>402.45892050779003</v>
      </c>
      <c r="J197" s="9">
        <f t="shared" si="23"/>
        <v>1850.4392348982301</v>
      </c>
      <c r="K197" s="9">
        <f t="shared" si="24"/>
        <v>402.45892050779003</v>
      </c>
      <c r="L197" s="10">
        <f t="shared" si="21"/>
        <v>0.21749372414810711</v>
      </c>
      <c r="M197" s="10">
        <f t="shared" si="20"/>
        <v>0.24108838101210739</v>
      </c>
      <c r="P197" s="8">
        <f t="shared" si="25"/>
        <v>42.661364576013291</v>
      </c>
    </row>
    <row r="198" spans="1:16" x14ac:dyDescent="0.2">
      <c r="A198" s="8">
        <v>98</v>
      </c>
      <c r="B198" s="8">
        <v>196</v>
      </c>
      <c r="D198">
        <v>2011.5822436338999</v>
      </c>
      <c r="E198">
        <v>568.33860977287998</v>
      </c>
      <c r="F198">
        <v>135.15840220385999</v>
      </c>
      <c r="G198">
        <v>115.4979338843</v>
      </c>
      <c r="I198" s="9">
        <f t="shared" si="22"/>
        <v>452.84067588857999</v>
      </c>
      <c r="J198" s="9">
        <f t="shared" si="23"/>
        <v>1876.4238414300398</v>
      </c>
      <c r="K198" s="9">
        <f t="shared" si="24"/>
        <v>452.84067588857999</v>
      </c>
      <c r="L198" s="10">
        <f t="shared" si="21"/>
        <v>0.24133176411970228</v>
      </c>
      <c r="M198" s="10">
        <f t="shared" si="20"/>
        <v>0.26504741922403074</v>
      </c>
      <c r="P198" s="8">
        <f t="shared" si="25"/>
        <v>56.838858617379714</v>
      </c>
    </row>
    <row r="199" spans="1:16" x14ac:dyDescent="0.2">
      <c r="A199" s="8">
        <v>98.5</v>
      </c>
      <c r="B199" s="8">
        <v>197</v>
      </c>
      <c r="D199">
        <v>2018.3771507225999</v>
      </c>
      <c r="E199">
        <v>580.49965588437999</v>
      </c>
      <c r="F199">
        <v>135.21969696970001</v>
      </c>
      <c r="G199">
        <v>115.45523415978001</v>
      </c>
      <c r="I199" s="9">
        <f t="shared" si="22"/>
        <v>465.0444217246</v>
      </c>
      <c r="J199" s="9">
        <f t="shared" si="23"/>
        <v>1883.1574537529</v>
      </c>
      <c r="K199" s="9">
        <f t="shared" si="24"/>
        <v>465.0444217246</v>
      </c>
      <c r="L199" s="10">
        <f t="shared" si="21"/>
        <v>0.24694930357407127</v>
      </c>
      <c r="M199" s="10">
        <f t="shared" si="20"/>
        <v>0.27078595691872798</v>
      </c>
      <c r="P199" s="8">
        <f t="shared" si="25"/>
        <v>60.23457439082167</v>
      </c>
    </row>
    <row r="200" spans="1:16" x14ac:dyDescent="0.2">
      <c r="A200" s="8">
        <v>99</v>
      </c>
      <c r="B200" s="8">
        <v>198</v>
      </c>
      <c r="D200">
        <v>2018.9660899654</v>
      </c>
      <c r="E200">
        <v>577.06574394463996</v>
      </c>
      <c r="F200">
        <v>135.46487603305999</v>
      </c>
      <c r="G200">
        <v>115.69490358127</v>
      </c>
      <c r="I200" s="9">
        <f t="shared" si="22"/>
        <v>461.37084036336995</v>
      </c>
      <c r="J200" s="9">
        <f t="shared" si="23"/>
        <v>1883.5012139323401</v>
      </c>
      <c r="K200" s="9">
        <f t="shared" si="24"/>
        <v>461.37084036336995</v>
      </c>
      <c r="L200" s="10">
        <f t="shared" si="21"/>
        <v>0.24495383223041739</v>
      </c>
      <c r="M200" s="10">
        <f t="shared" si="20"/>
        <v>0.26891148381540231</v>
      </c>
      <c r="P200" s="8">
        <f t="shared" si="25"/>
        <v>59.125375807053985</v>
      </c>
    </row>
    <row r="201" spans="1:16" x14ac:dyDescent="0.2">
      <c r="A201" s="8">
        <v>99.5</v>
      </c>
      <c r="B201" s="8">
        <v>199</v>
      </c>
      <c r="D201">
        <v>2028.7937716263</v>
      </c>
      <c r="E201">
        <v>569.10311418685001</v>
      </c>
      <c r="F201">
        <v>135.62947658402001</v>
      </c>
      <c r="G201">
        <v>116.03856749310999</v>
      </c>
      <c r="I201" s="9">
        <f t="shared" si="22"/>
        <v>453.06454669374</v>
      </c>
      <c r="J201" s="9">
        <f t="shared" si="23"/>
        <v>1893.1642950422799</v>
      </c>
      <c r="K201" s="9">
        <f t="shared" si="24"/>
        <v>453.06454669374</v>
      </c>
      <c r="L201" s="10">
        <f t="shared" si="21"/>
        <v>0.23931602126672358</v>
      </c>
      <c r="M201" s="10">
        <f t="shared" si="20"/>
        <v>0.26339467109203668</v>
      </c>
      <c r="P201" s="8">
        <f t="shared" si="25"/>
        <v>55.860863316150798</v>
      </c>
    </row>
    <row r="202" spans="1:16" x14ac:dyDescent="0.2">
      <c r="A202" s="8">
        <v>100</v>
      </c>
      <c r="B202" s="8">
        <v>200</v>
      </c>
      <c r="D202">
        <v>2082.9730103806</v>
      </c>
      <c r="E202">
        <v>573.81384083044998</v>
      </c>
      <c r="F202">
        <v>135.57506887052</v>
      </c>
      <c r="G202">
        <v>115.45454545455</v>
      </c>
      <c r="I202" s="9">
        <f t="shared" si="22"/>
        <v>458.35929537589999</v>
      </c>
      <c r="J202" s="9">
        <f t="shared" si="23"/>
        <v>1947.39794151008</v>
      </c>
      <c r="K202" s="9">
        <f t="shared" si="24"/>
        <v>458.35929537589999</v>
      </c>
      <c r="L202" s="10">
        <f t="shared" si="21"/>
        <v>0.2353701242081381</v>
      </c>
      <c r="M202" s="10">
        <f t="shared" si="20"/>
        <v>0.25956977227377942</v>
      </c>
      <c r="P202" s="8">
        <f t="shared" si="25"/>
        <v>53.597522036546117</v>
      </c>
    </row>
    <row r="203" spans="1:16" x14ac:dyDescent="0.2">
      <c r="A203" s="8">
        <v>100.5</v>
      </c>
      <c r="B203" s="8">
        <v>201</v>
      </c>
      <c r="D203">
        <v>2105.1743944637001</v>
      </c>
      <c r="E203">
        <v>583.30657439445997</v>
      </c>
      <c r="F203">
        <v>135.28236914601001</v>
      </c>
      <c r="G203">
        <v>115.68112947658</v>
      </c>
      <c r="I203" s="9">
        <f t="shared" si="22"/>
        <v>467.62544491787997</v>
      </c>
      <c r="J203" s="9">
        <f t="shared" si="23"/>
        <v>1969.89202531769</v>
      </c>
      <c r="K203" s="9">
        <f t="shared" si="24"/>
        <v>467.62544491787997</v>
      </c>
      <c r="L203" s="10">
        <f t="shared" si="21"/>
        <v>0.23738633331563677</v>
      </c>
      <c r="M203" s="10">
        <f t="shared" si="20"/>
        <v>0.26170697962160627</v>
      </c>
      <c r="P203" s="8">
        <f t="shared" si="25"/>
        <v>54.862190683549684</v>
      </c>
    </row>
    <row r="204" spans="1:16" x14ac:dyDescent="0.2">
      <c r="A204" s="8">
        <v>101</v>
      </c>
      <c r="B204" s="8">
        <v>202</v>
      </c>
      <c r="D204">
        <v>2038.0404386565999</v>
      </c>
      <c r="E204">
        <v>593.32008224812</v>
      </c>
      <c r="F204">
        <v>135.58333333332999</v>
      </c>
      <c r="G204">
        <v>115.58608815427</v>
      </c>
      <c r="I204" s="9">
        <f t="shared" si="22"/>
        <v>477.73399409385001</v>
      </c>
      <c r="J204" s="9">
        <f t="shared" si="23"/>
        <v>1902.4571053232698</v>
      </c>
      <c r="K204" s="9">
        <f t="shared" si="24"/>
        <v>477.73399409385001</v>
      </c>
      <c r="L204" s="10">
        <f t="shared" si="21"/>
        <v>0.25111420002958351</v>
      </c>
      <c r="M204" s="10">
        <f t="shared" si="20"/>
        <v>0.27555584457588123</v>
      </c>
      <c r="P204" s="8">
        <f t="shared" si="25"/>
        <v>63.057102291946833</v>
      </c>
    </row>
    <row r="205" spans="1:16" x14ac:dyDescent="0.2">
      <c r="A205" s="8">
        <v>101.5</v>
      </c>
      <c r="B205" s="8">
        <v>203</v>
      </c>
      <c r="D205">
        <v>2054.3317340643998</v>
      </c>
      <c r="E205">
        <v>609.45784784098998</v>
      </c>
      <c r="F205">
        <v>135.95179063360999</v>
      </c>
      <c r="G205">
        <v>115.56955922864999</v>
      </c>
      <c r="I205" s="9">
        <f t="shared" si="22"/>
        <v>493.88828861233998</v>
      </c>
      <c r="J205" s="9">
        <f t="shared" si="23"/>
        <v>1918.3799434307898</v>
      </c>
      <c r="K205" s="9">
        <f t="shared" si="24"/>
        <v>493.88828861233998</v>
      </c>
      <c r="L205" s="10">
        <f t="shared" si="21"/>
        <v>0.25745071527858066</v>
      </c>
      <c r="M205" s="10">
        <f t="shared" si="20"/>
        <v>0.28201335806520661</v>
      </c>
      <c r="P205" s="8">
        <f t="shared" si="25"/>
        <v>66.878263984964747</v>
      </c>
    </row>
    <row r="206" spans="1:16" x14ac:dyDescent="0.2">
      <c r="A206" s="8">
        <v>102</v>
      </c>
      <c r="B206" s="8">
        <v>204</v>
      </c>
      <c r="D206">
        <v>2051.1425633996</v>
      </c>
      <c r="E206">
        <v>591.44276901987996</v>
      </c>
      <c r="F206">
        <v>135.00482093663999</v>
      </c>
      <c r="G206">
        <v>115.43663911845999</v>
      </c>
      <c r="I206" s="9">
        <f t="shared" si="22"/>
        <v>476.00612990141997</v>
      </c>
      <c r="J206" s="9">
        <f t="shared" si="23"/>
        <v>1916.13774246296</v>
      </c>
      <c r="K206" s="9">
        <f t="shared" si="24"/>
        <v>476.00612990141997</v>
      </c>
      <c r="L206" s="10">
        <f t="shared" si="21"/>
        <v>0.24841957827602335</v>
      </c>
      <c r="M206" s="10">
        <f t="shared" si="20"/>
        <v>0.27310321930297748</v>
      </c>
      <c r="P206" s="8">
        <f t="shared" si="25"/>
        <v>61.605788600440093</v>
      </c>
    </row>
    <row r="207" spans="1:16" x14ac:dyDescent="0.2">
      <c r="A207" s="8">
        <v>102.5</v>
      </c>
      <c r="B207" s="8">
        <v>205</v>
      </c>
      <c r="D207">
        <v>2068.2234407127999</v>
      </c>
      <c r="E207">
        <v>581.41603838244998</v>
      </c>
      <c r="F207">
        <v>135.95316804408</v>
      </c>
      <c r="G207">
        <v>115.74311294765999</v>
      </c>
      <c r="I207" s="9">
        <f t="shared" si="22"/>
        <v>465.67292543478999</v>
      </c>
      <c r="J207" s="9">
        <f t="shared" si="23"/>
        <v>1932.2702726687198</v>
      </c>
      <c r="K207" s="9">
        <f t="shared" si="24"/>
        <v>465.67292543478999</v>
      </c>
      <c r="L207" s="10">
        <f t="shared" si="21"/>
        <v>0.24099782107170459</v>
      </c>
      <c r="M207" s="10">
        <f t="shared" si="20"/>
        <v>0.26580246033898691</v>
      </c>
      <c r="P207" s="8">
        <f t="shared" si="25"/>
        <v>57.285645788617281</v>
      </c>
    </row>
    <row r="208" spans="1:16" x14ac:dyDescent="0.2">
      <c r="A208" s="8">
        <v>103</v>
      </c>
      <c r="B208" s="8">
        <v>206</v>
      </c>
      <c r="D208">
        <v>2075.3454420836001</v>
      </c>
      <c r="E208">
        <v>563.92254969157</v>
      </c>
      <c r="F208">
        <v>135.11914600551</v>
      </c>
      <c r="G208">
        <v>115.43939393939</v>
      </c>
      <c r="I208" s="9">
        <f t="shared" si="22"/>
        <v>448.48315575217998</v>
      </c>
      <c r="J208" s="9">
        <f t="shared" si="23"/>
        <v>1940.2262960780902</v>
      </c>
      <c r="K208" s="9">
        <f t="shared" si="24"/>
        <v>448.48315575217998</v>
      </c>
      <c r="L208" s="10">
        <f t="shared" si="21"/>
        <v>0.23114992135645679</v>
      </c>
      <c r="M208" s="10">
        <f t="shared" si="20"/>
        <v>0.25607555886406735</v>
      </c>
      <c r="P208" s="8">
        <f t="shared" si="25"/>
        <v>51.529860164760223</v>
      </c>
    </row>
    <row r="209" spans="1:16" x14ac:dyDescent="0.2">
      <c r="A209" s="8">
        <v>103.5</v>
      </c>
      <c r="B209" s="8">
        <v>207</v>
      </c>
      <c r="D209">
        <v>2101.1953392734999</v>
      </c>
      <c r="E209">
        <v>569.75531185744001</v>
      </c>
      <c r="F209">
        <v>135.73347107437999</v>
      </c>
      <c r="G209">
        <v>115.73760330579</v>
      </c>
      <c r="I209" s="9">
        <f t="shared" si="22"/>
        <v>454.01770855165</v>
      </c>
      <c r="J209" s="9">
        <f t="shared" si="23"/>
        <v>1965.4618681991199</v>
      </c>
      <c r="K209" s="9">
        <f t="shared" si="24"/>
        <v>454.01770855165</v>
      </c>
      <c r="L209" s="10">
        <f t="shared" si="21"/>
        <v>0.23099797350311846</v>
      </c>
      <c r="M209" s="10">
        <f t="shared" si="20"/>
        <v>0.25604460925105721</v>
      </c>
      <c r="P209" s="8">
        <f t="shared" si="25"/>
        <v>51.511546075932749</v>
      </c>
    </row>
    <row r="210" spans="1:16" x14ac:dyDescent="0.2">
      <c r="A210" s="8">
        <v>104</v>
      </c>
      <c r="B210" s="8">
        <v>208</v>
      </c>
      <c r="D210">
        <v>2113.2522275531001</v>
      </c>
      <c r="E210">
        <v>597.09047292666003</v>
      </c>
      <c r="F210">
        <v>135.57851239669</v>
      </c>
      <c r="G210">
        <v>115.86432506887</v>
      </c>
      <c r="I210" s="9">
        <f t="shared" si="22"/>
        <v>481.22614785779001</v>
      </c>
      <c r="J210" s="9">
        <f t="shared" si="23"/>
        <v>1977.67371515641</v>
      </c>
      <c r="K210" s="9">
        <f t="shared" si="24"/>
        <v>481.22614785779001</v>
      </c>
      <c r="L210" s="10">
        <f t="shared" si="21"/>
        <v>0.24332939461640712</v>
      </c>
      <c r="M210" s="10">
        <f t="shared" si="20"/>
        <v>0.26849702860467412</v>
      </c>
      <c r="P210" s="8">
        <f t="shared" si="25"/>
        <v>58.880126551698318</v>
      </c>
    </row>
    <row r="211" spans="1:16" x14ac:dyDescent="0.2">
      <c r="A211" s="8">
        <v>104.5</v>
      </c>
      <c r="B211" s="8">
        <v>209</v>
      </c>
      <c r="D211">
        <v>2109.8204249485998</v>
      </c>
      <c r="E211">
        <v>590.66826593557005</v>
      </c>
      <c r="F211">
        <v>135.10330578512</v>
      </c>
      <c r="G211">
        <v>115.87741046831999</v>
      </c>
      <c r="I211" s="9">
        <f t="shared" si="22"/>
        <v>474.79085546725003</v>
      </c>
      <c r="J211" s="9">
        <f t="shared" si="23"/>
        <v>1974.7171191634798</v>
      </c>
      <c r="K211" s="9">
        <f t="shared" si="24"/>
        <v>474.79085546725003</v>
      </c>
      <c r="L211" s="10">
        <f t="shared" si="21"/>
        <v>0.24043487082766501</v>
      </c>
      <c r="M211" s="10">
        <f t="shared" si="20"/>
        <v>0.26572350305626019</v>
      </c>
      <c r="P211" s="8">
        <f t="shared" si="25"/>
        <v>57.238923695873858</v>
      </c>
    </row>
    <row r="212" spans="1:16" x14ac:dyDescent="0.2">
      <c r="A212" s="8">
        <v>105</v>
      </c>
      <c r="B212" s="8">
        <v>210</v>
      </c>
      <c r="D212">
        <v>2129.0843043179998</v>
      </c>
      <c r="E212">
        <v>610.41603838244998</v>
      </c>
      <c r="F212">
        <v>135.73002754820999</v>
      </c>
      <c r="G212">
        <v>115.43181818182001</v>
      </c>
      <c r="I212" s="9">
        <f t="shared" si="22"/>
        <v>494.98422020062998</v>
      </c>
      <c r="J212" s="9">
        <f t="shared" si="23"/>
        <v>1993.3542767697897</v>
      </c>
      <c r="K212" s="9">
        <f t="shared" si="24"/>
        <v>494.98422020062998</v>
      </c>
      <c r="L212" s="10">
        <f t="shared" si="21"/>
        <v>0.24831723390522775</v>
      </c>
      <c r="M212" s="10">
        <f t="shared" si="20"/>
        <v>0.27372686437415111</v>
      </c>
      <c r="P212" s="8">
        <f t="shared" si="25"/>
        <v>61.974823626065266</v>
      </c>
    </row>
    <row r="213" spans="1:16" x14ac:dyDescent="0.2">
      <c r="A213" s="8">
        <v>105.5</v>
      </c>
      <c r="B213" s="8">
        <v>211</v>
      </c>
      <c r="D213">
        <v>2142.3104866346998</v>
      </c>
      <c r="E213">
        <v>611.07676490746996</v>
      </c>
      <c r="F213">
        <v>136.16184573003</v>
      </c>
      <c r="G213">
        <v>115.5826446281</v>
      </c>
      <c r="I213" s="9">
        <f t="shared" si="22"/>
        <v>495.49412027936995</v>
      </c>
      <c r="J213" s="9">
        <f t="shared" si="23"/>
        <v>2006.1486409046697</v>
      </c>
      <c r="K213" s="9">
        <f t="shared" si="24"/>
        <v>495.49412027936995</v>
      </c>
      <c r="L213" s="10">
        <f t="shared" si="21"/>
        <v>0.24698774067704557</v>
      </c>
      <c r="M213" s="10">
        <f t="shared" si="20"/>
        <v>0.27251836938629714</v>
      </c>
      <c r="P213" s="8">
        <f t="shared" si="25"/>
        <v>61.25971017544294</v>
      </c>
    </row>
    <row r="214" spans="1:16" x14ac:dyDescent="0.2">
      <c r="A214" s="8">
        <v>106</v>
      </c>
      <c r="B214" s="8">
        <v>212</v>
      </c>
      <c r="D214">
        <v>2145.1124057574002</v>
      </c>
      <c r="E214">
        <v>588.41535298148995</v>
      </c>
      <c r="F214">
        <v>135.58953168043999</v>
      </c>
      <c r="G214">
        <v>115.22107438016999</v>
      </c>
      <c r="I214" s="9">
        <f t="shared" si="22"/>
        <v>473.19427860131998</v>
      </c>
      <c r="J214" s="9">
        <f t="shared" si="23"/>
        <v>2009.5228740769603</v>
      </c>
      <c r="K214" s="9">
        <f t="shared" si="24"/>
        <v>473.19427860131998</v>
      </c>
      <c r="L214" s="10">
        <f t="shared" si="21"/>
        <v>0.23547593545989051</v>
      </c>
      <c r="M214" s="10">
        <f t="shared" si="20"/>
        <v>0.26112756240947033</v>
      </c>
      <c r="P214" s="8">
        <f t="shared" si="25"/>
        <v>54.519327000965198</v>
      </c>
    </row>
    <row r="215" spans="1:16" x14ac:dyDescent="0.2">
      <c r="A215" s="8">
        <v>106.5</v>
      </c>
      <c r="B215" s="8">
        <v>213</v>
      </c>
      <c r="D215">
        <v>2207.0418381344002</v>
      </c>
      <c r="E215">
        <v>592.76611796982002</v>
      </c>
      <c r="F215">
        <v>136.21418732782001</v>
      </c>
      <c r="G215">
        <v>115.68181818182001</v>
      </c>
      <c r="I215" s="9">
        <f t="shared" si="22"/>
        <v>477.08429978800001</v>
      </c>
      <c r="J215" s="9">
        <f t="shared" si="23"/>
        <v>2070.8276508065801</v>
      </c>
      <c r="K215" s="9">
        <f t="shared" si="24"/>
        <v>477.08429978800001</v>
      </c>
      <c r="L215" s="10">
        <f t="shared" si="21"/>
        <v>0.23038339265084534</v>
      </c>
      <c r="M215" s="10">
        <f t="shared" si="20"/>
        <v>0.25615601784075337</v>
      </c>
      <c r="P215" s="8">
        <f t="shared" si="25"/>
        <v>51.577470868180384</v>
      </c>
    </row>
    <row r="216" spans="1:16" x14ac:dyDescent="0.2">
      <c r="A216" s="8">
        <v>107</v>
      </c>
      <c r="B216" s="8">
        <v>214</v>
      </c>
      <c r="D216">
        <v>2189.9060356652999</v>
      </c>
      <c r="E216">
        <v>580.02880658436004</v>
      </c>
      <c r="F216">
        <v>135.16391184573001</v>
      </c>
      <c r="G216">
        <v>115.29683195592</v>
      </c>
      <c r="I216" s="9">
        <f t="shared" si="22"/>
        <v>464.73197462844007</v>
      </c>
      <c r="J216" s="9">
        <f t="shared" si="23"/>
        <v>2054.7421238195698</v>
      </c>
      <c r="K216" s="9">
        <f t="shared" si="24"/>
        <v>464.73197462844007</v>
      </c>
      <c r="L216" s="10">
        <f t="shared" si="21"/>
        <v>0.22617532839816787</v>
      </c>
      <c r="M216" s="10">
        <f t="shared" si="20"/>
        <v>0.25206895182840405</v>
      </c>
      <c r="P216" s="8">
        <f t="shared" si="25"/>
        <v>49.158995071104471</v>
      </c>
    </row>
    <row r="217" spans="1:16" x14ac:dyDescent="0.2">
      <c r="A217" s="8">
        <v>107.5</v>
      </c>
      <c r="B217" s="8">
        <v>215</v>
      </c>
      <c r="D217">
        <v>2206.6447187929002</v>
      </c>
      <c r="E217">
        <v>569.15363511659996</v>
      </c>
      <c r="F217">
        <v>135.24655647383</v>
      </c>
      <c r="G217">
        <v>115.46143250689001</v>
      </c>
      <c r="I217" s="9">
        <f t="shared" si="22"/>
        <v>453.69220260970997</v>
      </c>
      <c r="J217" s="9">
        <f t="shared" si="23"/>
        <v>2071.3981623190703</v>
      </c>
      <c r="K217" s="9">
        <f t="shared" si="24"/>
        <v>453.69220260970997</v>
      </c>
      <c r="L217" s="10">
        <f t="shared" si="21"/>
        <v>0.21902703732331735</v>
      </c>
      <c r="M217" s="10">
        <f t="shared" si="20"/>
        <v>0.24504165899388175</v>
      </c>
      <c r="P217" s="8">
        <f t="shared" si="25"/>
        <v>45.000672795930846</v>
      </c>
    </row>
    <row r="218" spans="1:16" x14ac:dyDescent="0.2">
      <c r="A218" s="8">
        <v>108</v>
      </c>
      <c r="B218" s="8">
        <v>216</v>
      </c>
      <c r="D218">
        <v>2190.340877915</v>
      </c>
      <c r="E218">
        <v>555.97530864197995</v>
      </c>
      <c r="F218">
        <v>135.09779614325001</v>
      </c>
      <c r="G218">
        <v>115.43044077135001</v>
      </c>
      <c r="I218" s="9">
        <f t="shared" si="22"/>
        <v>440.54486787062996</v>
      </c>
      <c r="J218" s="9">
        <f t="shared" si="23"/>
        <v>2055.24308177175</v>
      </c>
      <c r="K218" s="9">
        <f t="shared" si="24"/>
        <v>440.54486787062996</v>
      </c>
      <c r="L218" s="10">
        <f t="shared" si="21"/>
        <v>0.21435170942935486</v>
      </c>
      <c r="M218" s="10">
        <f t="shared" si="20"/>
        <v>0.24048732934024747</v>
      </c>
      <c r="P218" s="8">
        <f t="shared" si="25"/>
        <v>42.305698942819944</v>
      </c>
    </row>
    <row r="219" spans="1:16" x14ac:dyDescent="0.2">
      <c r="A219" s="8">
        <v>108.5</v>
      </c>
      <c r="B219" s="8">
        <v>217</v>
      </c>
      <c r="D219">
        <v>2115.5507246377001</v>
      </c>
      <c r="E219">
        <v>549.20772946859995</v>
      </c>
      <c r="F219">
        <v>135.38154269973001</v>
      </c>
      <c r="G219">
        <v>115.76790633608999</v>
      </c>
      <c r="I219" s="9">
        <f t="shared" si="22"/>
        <v>433.43982313250996</v>
      </c>
      <c r="J219" s="9">
        <f t="shared" si="23"/>
        <v>1980.1691819379701</v>
      </c>
      <c r="K219" s="9">
        <f t="shared" si="24"/>
        <v>433.43982313250996</v>
      </c>
      <c r="L219" s="10">
        <f t="shared" si="21"/>
        <v>0.21889029840789012</v>
      </c>
      <c r="M219" s="10">
        <f t="shared" si="20"/>
        <v>0.24514691655911094</v>
      </c>
      <c r="P219" s="8">
        <f t="shared" si="25"/>
        <v>45.062957787951227</v>
      </c>
    </row>
    <row r="220" spans="1:16" x14ac:dyDescent="0.2">
      <c r="A220" s="8">
        <v>109</v>
      </c>
      <c r="B220" s="8">
        <v>218</v>
      </c>
      <c r="D220">
        <v>2063.7308488612998</v>
      </c>
      <c r="E220">
        <v>546.74879227052998</v>
      </c>
      <c r="F220">
        <v>135.05716253444001</v>
      </c>
      <c r="G220">
        <v>115.57231404959001</v>
      </c>
      <c r="I220" s="9">
        <f t="shared" si="22"/>
        <v>431.17647822094</v>
      </c>
      <c r="J220" s="9">
        <f t="shared" si="23"/>
        <v>1928.6736863268598</v>
      </c>
      <c r="K220" s="9">
        <f t="shared" si="24"/>
        <v>431.17647822094</v>
      </c>
      <c r="L220" s="10">
        <f t="shared" si="21"/>
        <v>0.22356113492796773</v>
      </c>
      <c r="M220" s="10">
        <f t="shared" si="20"/>
        <v>0.24993875131951676</v>
      </c>
      <c r="P220" s="8">
        <f t="shared" si="25"/>
        <v>47.898472643011523</v>
      </c>
    </row>
    <row r="221" spans="1:16" x14ac:dyDescent="0.2">
      <c r="A221" s="8">
        <v>109.5</v>
      </c>
      <c r="B221" s="8">
        <v>219</v>
      </c>
      <c r="D221">
        <v>1992.3091286306999</v>
      </c>
      <c r="E221">
        <v>537.54011065007001</v>
      </c>
      <c r="F221">
        <v>135.28099173554</v>
      </c>
      <c r="G221">
        <v>115.39944903580999</v>
      </c>
      <c r="I221" s="9">
        <f t="shared" si="22"/>
        <v>422.14066161426001</v>
      </c>
      <c r="J221" s="9">
        <f t="shared" si="23"/>
        <v>1857.0281368951598</v>
      </c>
      <c r="K221" s="9">
        <f t="shared" si="24"/>
        <v>422.14066161426001</v>
      </c>
      <c r="L221" s="10">
        <f t="shared" si="21"/>
        <v>0.22732055224540323</v>
      </c>
      <c r="M221" s="10">
        <f t="shared" si="20"/>
        <v>0.25381916687728046</v>
      </c>
      <c r="P221" s="8">
        <f t="shared" si="25"/>
        <v>50.19466533495531</v>
      </c>
    </row>
    <row r="222" spans="1:16" x14ac:dyDescent="0.2">
      <c r="A222" s="8">
        <v>110</v>
      </c>
      <c r="B222" s="8">
        <v>220</v>
      </c>
      <c r="D222">
        <v>1938.7680660701999</v>
      </c>
      <c r="E222">
        <v>526.67033723330997</v>
      </c>
      <c r="F222">
        <v>134.84159779614001</v>
      </c>
      <c r="G222">
        <v>115.49311294765999</v>
      </c>
      <c r="I222" s="9">
        <f t="shared" si="22"/>
        <v>411.17722428564997</v>
      </c>
      <c r="J222" s="9">
        <f t="shared" si="23"/>
        <v>1803.92646827406</v>
      </c>
      <c r="K222" s="9">
        <f t="shared" si="24"/>
        <v>411.17722428564997</v>
      </c>
      <c r="L222" s="10">
        <f t="shared" si="21"/>
        <v>0.22793458132417746</v>
      </c>
      <c r="M222" s="10">
        <f t="shared" si="20"/>
        <v>0.25455419419638292</v>
      </c>
      <c r="P222" s="8">
        <f t="shared" si="25"/>
        <v>50.629609565380676</v>
      </c>
    </row>
    <row r="223" spans="1:16" x14ac:dyDescent="0.2">
      <c r="A223" s="8">
        <v>110.5</v>
      </c>
      <c r="B223" s="8">
        <v>221</v>
      </c>
      <c r="D223">
        <v>1975.2684101857999</v>
      </c>
      <c r="E223">
        <v>541.61940812113005</v>
      </c>
      <c r="F223">
        <v>135.34917355371999</v>
      </c>
      <c r="G223">
        <v>115.53374655647001</v>
      </c>
      <c r="I223" s="9">
        <f t="shared" si="22"/>
        <v>426.08566156466003</v>
      </c>
      <c r="J223" s="9">
        <f t="shared" si="23"/>
        <v>1839.9192366320799</v>
      </c>
      <c r="K223" s="9">
        <f t="shared" si="24"/>
        <v>426.08566156466003</v>
      </c>
      <c r="L223" s="10">
        <f t="shared" si="21"/>
        <v>0.2315784590331246</v>
      </c>
      <c r="M223" s="10">
        <f t="shared" si="20"/>
        <v>0.25831907014565825</v>
      </c>
      <c r="P223" s="8">
        <f t="shared" si="25"/>
        <v>52.857432980711735</v>
      </c>
    </row>
    <row r="224" spans="1:16" x14ac:dyDescent="0.2">
      <c r="A224" s="8">
        <v>111</v>
      </c>
      <c r="B224" s="8">
        <v>222</v>
      </c>
      <c r="D224">
        <v>1979.7150722643</v>
      </c>
      <c r="E224">
        <v>546.49070887818004</v>
      </c>
      <c r="F224">
        <v>135.54407713499</v>
      </c>
      <c r="G224">
        <v>115.83953168044</v>
      </c>
      <c r="I224" s="9">
        <f t="shared" si="22"/>
        <v>430.65117719774003</v>
      </c>
      <c r="J224" s="9">
        <f t="shared" si="23"/>
        <v>1844.1709951293101</v>
      </c>
      <c r="K224" s="9">
        <f t="shared" si="24"/>
        <v>430.65117719774003</v>
      </c>
      <c r="L224" s="10">
        <f t="shared" si="21"/>
        <v>0.23352019868826943</v>
      </c>
      <c r="M224" s="10">
        <f t="shared" si="20"/>
        <v>0.26038180804113126</v>
      </c>
      <c r="P224" s="8">
        <f t="shared" si="25"/>
        <v>54.078035158616174</v>
      </c>
    </row>
    <row r="225" spans="1:16" x14ac:dyDescent="0.2">
      <c r="A225" s="8">
        <v>111.5</v>
      </c>
      <c r="B225" s="8">
        <v>223</v>
      </c>
      <c r="D225">
        <v>1922.1796283551</v>
      </c>
      <c r="E225">
        <v>526.57536132140001</v>
      </c>
      <c r="F225">
        <v>135.2782369146</v>
      </c>
      <c r="G225">
        <v>115.39049586777</v>
      </c>
      <c r="I225" s="9">
        <f t="shared" si="22"/>
        <v>411.18486545362998</v>
      </c>
      <c r="J225" s="9">
        <f t="shared" si="23"/>
        <v>1786.9013914405</v>
      </c>
      <c r="K225" s="9">
        <f t="shared" si="24"/>
        <v>411.18486545362998</v>
      </c>
      <c r="L225" s="10">
        <f t="shared" si="21"/>
        <v>0.23011055194386285</v>
      </c>
      <c r="M225" s="10">
        <f t="shared" si="20"/>
        <v>0.25709315953705292</v>
      </c>
      <c r="P225" s="8">
        <f t="shared" si="25"/>
        <v>52.132014030459374</v>
      </c>
    </row>
    <row r="226" spans="1:16" x14ac:dyDescent="0.2">
      <c r="A226" s="8">
        <v>112</v>
      </c>
      <c r="B226" s="8">
        <v>224</v>
      </c>
      <c r="D226">
        <v>1932.8327598072999</v>
      </c>
      <c r="E226">
        <v>526.37302133517005</v>
      </c>
      <c r="F226">
        <v>135.08884297521001</v>
      </c>
      <c r="G226">
        <v>115.5303030303</v>
      </c>
      <c r="I226" s="9">
        <f t="shared" si="22"/>
        <v>410.84271830487006</v>
      </c>
      <c r="J226" s="9">
        <f t="shared" si="23"/>
        <v>1797.7439168320898</v>
      </c>
      <c r="K226" s="9">
        <f t="shared" si="24"/>
        <v>410.84271830487006</v>
      </c>
      <c r="L226" s="10">
        <f t="shared" si="21"/>
        <v>0.22853239243820675</v>
      </c>
      <c r="M226" s="10">
        <f t="shared" si="20"/>
        <v>0.25563599827172501</v>
      </c>
      <c r="P226" s="8">
        <f t="shared" si="25"/>
        <v>51.269755079421195</v>
      </c>
    </row>
    <row r="227" spans="1:16" x14ac:dyDescent="0.2">
      <c r="A227" s="8">
        <v>112.5</v>
      </c>
      <c r="B227" s="8">
        <v>225</v>
      </c>
      <c r="D227">
        <v>1849.0034411562001</v>
      </c>
      <c r="E227">
        <v>495.07983482449998</v>
      </c>
      <c r="F227">
        <v>135.32920110193001</v>
      </c>
      <c r="G227">
        <v>115.66184573003</v>
      </c>
      <c r="I227" s="9">
        <f t="shared" si="22"/>
        <v>379.41798909446999</v>
      </c>
      <c r="J227" s="9">
        <f t="shared" si="23"/>
        <v>1713.6742400542701</v>
      </c>
      <c r="K227" s="9">
        <f t="shared" si="24"/>
        <v>379.41798909446999</v>
      </c>
      <c r="L227" s="10">
        <f t="shared" si="21"/>
        <v>0.22140613439019441</v>
      </c>
      <c r="M227" s="10">
        <f t="shared" si="20"/>
        <v>0.24863073846404088</v>
      </c>
      <c r="P227" s="8">
        <f t="shared" si="25"/>
        <v>47.124470602507607</v>
      </c>
    </row>
    <row r="228" spans="1:16" x14ac:dyDescent="0.2">
      <c r="A228" s="8">
        <v>113</v>
      </c>
      <c r="B228" s="8">
        <v>226</v>
      </c>
      <c r="D228">
        <v>2096.5482093664</v>
      </c>
      <c r="E228">
        <v>559.97727272727002</v>
      </c>
      <c r="F228">
        <v>135.17424242423999</v>
      </c>
      <c r="G228">
        <v>115.55991735537</v>
      </c>
      <c r="I228" s="9">
        <f t="shared" si="22"/>
        <v>444.41735537190004</v>
      </c>
      <c r="J228" s="9">
        <f t="shared" si="23"/>
        <v>1961.37396694216</v>
      </c>
      <c r="K228" s="9">
        <f t="shared" si="24"/>
        <v>444.41735537190004</v>
      </c>
      <c r="L228" s="10">
        <f t="shared" si="21"/>
        <v>0.2265847119734947</v>
      </c>
      <c r="M228" s="10">
        <f t="shared" si="20"/>
        <v>0.25393031428766938</v>
      </c>
      <c r="P228" s="8">
        <f t="shared" si="25"/>
        <v>50.260435577256523</v>
      </c>
    </row>
    <row r="229" spans="1:16" x14ac:dyDescent="0.2">
      <c r="A229" s="8">
        <v>113.5</v>
      </c>
      <c r="B229" s="8">
        <v>227</v>
      </c>
      <c r="D229">
        <v>2059.4786501376998</v>
      </c>
      <c r="E229">
        <v>544.05922865013997</v>
      </c>
      <c r="F229">
        <v>135.34504132231001</v>
      </c>
      <c r="G229">
        <v>115.2520661157</v>
      </c>
      <c r="I229" s="9">
        <f t="shared" si="22"/>
        <v>428.80716253443995</v>
      </c>
      <c r="J229" s="9">
        <f t="shared" si="23"/>
        <v>1924.1336088153898</v>
      </c>
      <c r="K229" s="9">
        <f t="shared" si="24"/>
        <v>428.80716253443995</v>
      </c>
      <c r="L229" s="10">
        <f t="shared" si="21"/>
        <v>0.22285726966665217</v>
      </c>
      <c r="M229" s="10">
        <f t="shared" si="20"/>
        <v>0.25032387022115504</v>
      </c>
      <c r="P229" s="8">
        <f t="shared" si="25"/>
        <v>48.126362464167919</v>
      </c>
    </row>
    <row r="230" spans="1:16" x14ac:dyDescent="0.2">
      <c r="A230" s="8">
        <v>114</v>
      </c>
      <c r="B230" s="8">
        <v>228</v>
      </c>
      <c r="D230">
        <v>2090.1351351351</v>
      </c>
      <c r="E230">
        <v>544.92584892585</v>
      </c>
      <c r="F230">
        <v>134.84297520660999</v>
      </c>
      <c r="G230">
        <v>115.40013774105</v>
      </c>
      <c r="I230" s="9">
        <f t="shared" si="22"/>
        <v>429.5257111848</v>
      </c>
      <c r="J230" s="9">
        <f t="shared" si="23"/>
        <v>1955.29215992849</v>
      </c>
      <c r="K230" s="9">
        <f t="shared" si="24"/>
        <v>429.5257111848</v>
      </c>
      <c r="L230" s="10">
        <f t="shared" si="21"/>
        <v>0.21967341760348941</v>
      </c>
      <c r="M230" s="10">
        <f t="shared" si="20"/>
        <v>0.24726101639832052</v>
      </c>
      <c r="P230" s="8">
        <f t="shared" si="25"/>
        <v>46.313952824067968</v>
      </c>
    </row>
    <row r="231" spans="1:16" x14ac:dyDescent="0.2">
      <c r="A231" s="8">
        <v>114.5</v>
      </c>
      <c r="B231" s="8">
        <v>229</v>
      </c>
      <c r="D231">
        <v>2095.2695772696002</v>
      </c>
      <c r="E231">
        <v>535.67636867636998</v>
      </c>
      <c r="F231">
        <v>135.00895316803999</v>
      </c>
      <c r="G231">
        <v>115.24173553719</v>
      </c>
      <c r="I231" s="9">
        <f t="shared" si="22"/>
        <v>420.43463313917999</v>
      </c>
      <c r="J231" s="9">
        <f t="shared" si="23"/>
        <v>1960.2606241015601</v>
      </c>
      <c r="K231" s="9">
        <f t="shared" si="24"/>
        <v>420.43463313917999</v>
      </c>
      <c r="L231" s="10">
        <f t="shared" si="21"/>
        <v>0.21447894630433462</v>
      </c>
      <c r="M231" s="10">
        <f t="shared" si="20"/>
        <v>0.24218754333949391</v>
      </c>
      <c r="P231" s="8">
        <f t="shared" si="25"/>
        <v>43.311781642390429</v>
      </c>
    </row>
    <row r="232" spans="1:16" x14ac:dyDescent="0.2">
      <c r="A232" s="8">
        <v>115</v>
      </c>
      <c r="B232" s="8">
        <v>230</v>
      </c>
      <c r="D232">
        <v>2094.6618156618001</v>
      </c>
      <c r="E232">
        <v>526.58419958419995</v>
      </c>
      <c r="F232">
        <v>134.94421487603</v>
      </c>
      <c r="G232">
        <v>115.64531680441</v>
      </c>
      <c r="I232" s="9">
        <f t="shared" si="22"/>
        <v>410.93888277978994</v>
      </c>
      <c r="J232" s="9">
        <f t="shared" si="23"/>
        <v>1959.7176007857702</v>
      </c>
      <c r="K232" s="9">
        <f t="shared" si="24"/>
        <v>410.93888277978994</v>
      </c>
      <c r="L232" s="10">
        <f t="shared" si="21"/>
        <v>0.20969290810830066</v>
      </c>
      <c r="M232" s="10">
        <f t="shared" si="20"/>
        <v>0.23752250338378816</v>
      </c>
      <c r="P232" s="8">
        <f t="shared" si="25"/>
        <v>40.551296200957296</v>
      </c>
    </row>
    <row r="233" spans="1:16" x14ac:dyDescent="0.2">
      <c r="A233" s="8">
        <v>115.5</v>
      </c>
      <c r="B233" s="8">
        <v>231</v>
      </c>
      <c r="D233">
        <v>2096.9112959112999</v>
      </c>
      <c r="E233">
        <v>523.41233541233998</v>
      </c>
      <c r="F233">
        <v>135.30509641872999</v>
      </c>
      <c r="G233">
        <v>115.1694214876</v>
      </c>
      <c r="I233" s="9">
        <f t="shared" si="22"/>
        <v>408.24291392473998</v>
      </c>
      <c r="J233" s="9">
        <f t="shared" si="23"/>
        <v>1961.6061994925699</v>
      </c>
      <c r="K233" s="9">
        <f t="shared" si="24"/>
        <v>408.24291392473998</v>
      </c>
      <c r="L233" s="10">
        <f t="shared" si="21"/>
        <v>0.20811665156357306</v>
      </c>
      <c r="M233" s="10">
        <f t="shared" si="20"/>
        <v>0.23606724507938878</v>
      </c>
      <c r="P233" s="8">
        <f t="shared" si="25"/>
        <v>39.690163305856203</v>
      </c>
    </row>
    <row r="234" spans="1:16" x14ac:dyDescent="0.2">
      <c r="A234" s="8">
        <v>116</v>
      </c>
      <c r="B234" s="8">
        <v>232</v>
      </c>
      <c r="D234">
        <v>2046.6258644536999</v>
      </c>
      <c r="E234">
        <v>525.60165975103996</v>
      </c>
      <c r="F234">
        <v>135.03236914601001</v>
      </c>
      <c r="G234">
        <v>115.29338842975</v>
      </c>
      <c r="I234" s="9">
        <f t="shared" si="22"/>
        <v>410.30827132128996</v>
      </c>
      <c r="J234" s="9">
        <f t="shared" si="23"/>
        <v>1911.5934953076899</v>
      </c>
      <c r="K234" s="9">
        <f t="shared" si="24"/>
        <v>410.30827132128996</v>
      </c>
      <c r="L234" s="10">
        <f t="shared" si="21"/>
        <v>0.21464201062017466</v>
      </c>
      <c r="M234" s="10">
        <f t="shared" si="20"/>
        <v>0.24271360237631859</v>
      </c>
      <c r="P234" s="8">
        <f t="shared" si="25"/>
        <v>43.623071218959375</v>
      </c>
    </row>
    <row r="235" spans="1:16" x14ac:dyDescent="0.2">
      <c r="A235" s="8">
        <v>116.5</v>
      </c>
      <c r="B235" s="8">
        <v>233</v>
      </c>
      <c r="D235">
        <v>2045.5</v>
      </c>
      <c r="E235">
        <v>556.77017783858003</v>
      </c>
      <c r="F235">
        <v>135.64600550963999</v>
      </c>
      <c r="G235">
        <v>115.52134986226</v>
      </c>
      <c r="I235" s="9">
        <f t="shared" si="22"/>
        <v>441.24882797632006</v>
      </c>
      <c r="J235" s="9">
        <f t="shared" si="23"/>
        <v>1909.85399449036</v>
      </c>
      <c r="K235" s="9">
        <f t="shared" si="24"/>
        <v>441.24882797632006</v>
      </c>
      <c r="L235" s="10">
        <f t="shared" si="21"/>
        <v>0.23103798994543887</v>
      </c>
      <c r="M235" s="10">
        <f t="shared" si="20"/>
        <v>0.25923057994191101</v>
      </c>
      <c r="P235" s="8">
        <f t="shared" si="25"/>
        <v>53.396808751588452</v>
      </c>
    </row>
    <row r="236" spans="1:16" x14ac:dyDescent="0.2">
      <c r="A236" s="8">
        <v>117</v>
      </c>
      <c r="B236" s="8">
        <v>234</v>
      </c>
      <c r="D236">
        <v>2038.8905608754999</v>
      </c>
      <c r="E236">
        <v>554.96922024623996</v>
      </c>
      <c r="F236">
        <v>135.11432506886999</v>
      </c>
      <c r="G236">
        <v>115.58126721763</v>
      </c>
      <c r="I236" s="9">
        <f t="shared" si="22"/>
        <v>439.38795302860996</v>
      </c>
      <c r="J236" s="9">
        <f t="shared" si="23"/>
        <v>1903.77623580663</v>
      </c>
      <c r="K236" s="9">
        <f t="shared" si="24"/>
        <v>439.38795302860996</v>
      </c>
      <c r="L236" s="10">
        <f t="shared" si="21"/>
        <v>0.23079810786819768</v>
      </c>
      <c r="M236" s="10">
        <f t="shared" si="20"/>
        <v>0.25911169610499801</v>
      </c>
      <c r="P236" s="8">
        <f t="shared" si="25"/>
        <v>53.326460565048563</v>
      </c>
    </row>
    <row r="237" spans="1:16" x14ac:dyDescent="0.2">
      <c r="A237" s="8">
        <v>117.5</v>
      </c>
      <c r="B237" s="8">
        <v>235</v>
      </c>
      <c r="D237">
        <v>2039.4336525307999</v>
      </c>
      <c r="E237">
        <v>546.88372093022997</v>
      </c>
      <c r="F237">
        <v>135.33195592287001</v>
      </c>
      <c r="G237">
        <v>115.36707988981</v>
      </c>
      <c r="I237" s="9">
        <f t="shared" si="22"/>
        <v>431.51664104041998</v>
      </c>
      <c r="J237" s="9">
        <f t="shared" si="23"/>
        <v>1904.1016966079299</v>
      </c>
      <c r="K237" s="9">
        <f t="shared" si="24"/>
        <v>431.51664104041998</v>
      </c>
      <c r="L237" s="10">
        <f t="shared" si="21"/>
        <v>0.22662478680059325</v>
      </c>
      <c r="M237" s="10">
        <f t="shared" si="20"/>
        <v>0.25505937327772177</v>
      </c>
      <c r="P237" s="8">
        <f t="shared" si="25"/>
        <v>50.928543660821127</v>
      </c>
    </row>
    <row r="238" spans="1:16" x14ac:dyDescent="0.2">
      <c r="A238" s="8">
        <v>118</v>
      </c>
      <c r="B238" s="8">
        <v>236</v>
      </c>
      <c r="D238">
        <v>2022.1771545828001</v>
      </c>
      <c r="E238">
        <v>536.56224350205002</v>
      </c>
      <c r="F238">
        <v>134.79269972451999</v>
      </c>
      <c r="G238">
        <v>115.39049586777</v>
      </c>
      <c r="I238" s="9">
        <f t="shared" si="22"/>
        <v>421.17174763428</v>
      </c>
      <c r="J238" s="9">
        <f t="shared" si="23"/>
        <v>1887.3844548582802</v>
      </c>
      <c r="K238" s="9">
        <f t="shared" si="24"/>
        <v>421.17174763428</v>
      </c>
      <c r="L238" s="10">
        <f t="shared" si="21"/>
        <v>0.22315101014536273</v>
      </c>
      <c r="M238" s="10">
        <f t="shared" si="20"/>
        <v>0.25170659486281949</v>
      </c>
      <c r="P238" s="8">
        <f t="shared" si="25"/>
        <v>48.944574372118893</v>
      </c>
    </row>
    <row r="239" spans="1:16" x14ac:dyDescent="0.2">
      <c r="A239" s="8">
        <v>118.5</v>
      </c>
      <c r="B239" s="8">
        <v>237</v>
      </c>
      <c r="D239">
        <v>1996.9110807114</v>
      </c>
      <c r="E239">
        <v>523.52941176470995</v>
      </c>
      <c r="F239">
        <v>135.09986225895</v>
      </c>
      <c r="G239">
        <v>115.45454545455</v>
      </c>
      <c r="I239" s="9">
        <f t="shared" si="22"/>
        <v>408.07486631015996</v>
      </c>
      <c r="J239" s="9">
        <f t="shared" si="23"/>
        <v>1861.81121845245</v>
      </c>
      <c r="K239" s="9">
        <f t="shared" si="24"/>
        <v>408.07486631015996</v>
      </c>
      <c r="L239" s="10">
        <f t="shared" si="21"/>
        <v>0.2191816561559633</v>
      </c>
      <c r="M239" s="10">
        <f t="shared" si="20"/>
        <v>0.24785823911374827</v>
      </c>
      <c r="P239" s="8">
        <f t="shared" si="25"/>
        <v>46.66735271493387</v>
      </c>
    </row>
    <row r="240" spans="1:16" x14ac:dyDescent="0.2">
      <c r="A240" s="8">
        <v>119</v>
      </c>
      <c r="B240" s="8">
        <v>238</v>
      </c>
      <c r="D240">
        <v>1941.3775649795</v>
      </c>
      <c r="E240">
        <v>511.39945280438002</v>
      </c>
      <c r="F240">
        <v>134.97520661157</v>
      </c>
      <c r="G240">
        <v>114.87052341598</v>
      </c>
      <c r="I240" s="9">
        <f t="shared" si="22"/>
        <v>396.5289293884</v>
      </c>
      <c r="J240" s="9">
        <f t="shared" si="23"/>
        <v>1806.40235836793</v>
      </c>
      <c r="K240" s="9">
        <f t="shared" si="24"/>
        <v>396.5289293884</v>
      </c>
      <c r="L240" s="10">
        <f t="shared" si="21"/>
        <v>0.21951307113364307</v>
      </c>
      <c r="M240" s="10">
        <f t="shared" si="20"/>
        <v>0.24831065233175623</v>
      </c>
      <c r="P240" s="8">
        <f t="shared" si="25"/>
        <v>46.935063198376866</v>
      </c>
    </row>
    <row r="241" spans="1:16" x14ac:dyDescent="0.2">
      <c r="A241" s="8">
        <v>119.5</v>
      </c>
      <c r="B241" s="8">
        <v>239</v>
      </c>
      <c r="D241">
        <v>1920.6354309165999</v>
      </c>
      <c r="E241">
        <v>503.61080711353998</v>
      </c>
      <c r="F241">
        <v>134.76652892562001</v>
      </c>
      <c r="G241">
        <v>115.30991735537</v>
      </c>
      <c r="I241" s="9">
        <f t="shared" si="22"/>
        <v>388.30088975817</v>
      </c>
      <c r="J241" s="9">
        <f t="shared" si="23"/>
        <v>1785.86890199098</v>
      </c>
      <c r="K241" s="9">
        <f t="shared" si="24"/>
        <v>388.30088975817</v>
      </c>
      <c r="L241" s="10">
        <f t="shared" si="21"/>
        <v>0.21742967209142389</v>
      </c>
      <c r="M241" s="10">
        <f t="shared" si="20"/>
        <v>0.24634825152986525</v>
      </c>
      <c r="P241" s="8">
        <f t="shared" si="25"/>
        <v>45.773834378192582</v>
      </c>
    </row>
    <row r="242" spans="1:16" x14ac:dyDescent="0.2">
      <c r="A242" s="8">
        <v>120</v>
      </c>
      <c r="B242" s="8">
        <v>240</v>
      </c>
      <c r="D242">
        <v>1933.3803009576</v>
      </c>
      <c r="E242">
        <v>506.61080711353998</v>
      </c>
      <c r="F242">
        <v>134.97314049587001</v>
      </c>
      <c r="G242">
        <v>115.42011019284</v>
      </c>
      <c r="I242" s="9">
        <f>E242-G242</f>
        <v>391.19069692069996</v>
      </c>
      <c r="J242" s="9">
        <f>D242-F242</f>
        <v>1798.40716046173</v>
      </c>
      <c r="K242" s="9">
        <f t="shared" si="24"/>
        <v>391.19069692069996</v>
      </c>
      <c r="L242" s="10">
        <f t="shared" si="21"/>
        <v>0.21752065134141491</v>
      </c>
      <c r="M242" s="10">
        <f>L242+ABS($N$2)*A242</f>
        <v>0.24656022902018448</v>
      </c>
      <c r="O242" s="11"/>
      <c r="P242" s="8">
        <f>(M242-$O$2)/$O$2*100</f>
        <v>45.899269697395383</v>
      </c>
    </row>
    <row r="243" spans="1:16" x14ac:dyDescent="0.2">
      <c r="A243" s="8">
        <v>120.5</v>
      </c>
      <c r="B243" s="8">
        <v>241</v>
      </c>
      <c r="D243">
        <v>2077.2958333332999</v>
      </c>
      <c r="E243">
        <v>545.93194444443998</v>
      </c>
      <c r="F243">
        <v>134.54889807162999</v>
      </c>
      <c r="G243">
        <v>115.16666666667</v>
      </c>
      <c r="I243" s="9">
        <f t="shared" ref="I243:I274" si="26">E243-G243</f>
        <v>430.76527777777</v>
      </c>
      <c r="J243" s="9">
        <f t="shared" ref="J243:J274" si="27">D243-F243</f>
        <v>1942.7469352616699</v>
      </c>
      <c r="K243" s="9">
        <f t="shared" si="24"/>
        <v>430.76527777777</v>
      </c>
      <c r="L243" s="10">
        <f t="shared" si="21"/>
        <v>0.22172999990848005</v>
      </c>
      <c r="M243" s="10">
        <f t="shared" ref="M243:M274" si="28">L243+ABS($N$2)*A243</f>
        <v>0.25089057582757784</v>
      </c>
      <c r="P243" s="8">
        <f t="shared" ref="P243:P274" si="29">(M243-$O$2)/$O$2*100</f>
        <v>48.461704195634823</v>
      </c>
    </row>
    <row r="244" spans="1:16" x14ac:dyDescent="0.2">
      <c r="A244" s="8">
        <v>121</v>
      </c>
      <c r="B244" s="8">
        <v>242</v>
      </c>
      <c r="D244">
        <v>2065.9104166666998</v>
      </c>
      <c r="E244">
        <v>542.92222222221994</v>
      </c>
      <c r="F244">
        <v>134.87809917355</v>
      </c>
      <c r="G244">
        <v>115.23553719008</v>
      </c>
      <c r="I244" s="9">
        <f t="shared" si="26"/>
        <v>427.68668503213996</v>
      </c>
      <c r="J244" s="9">
        <f t="shared" si="27"/>
        <v>1931.0323174931498</v>
      </c>
      <c r="K244" s="9">
        <f t="shared" si="24"/>
        <v>427.68668503213996</v>
      </c>
      <c r="L244" s="10">
        <f t="shared" si="21"/>
        <v>0.22148085309486654</v>
      </c>
      <c r="M244" s="10">
        <f t="shared" si="28"/>
        <v>0.25076242725429254</v>
      </c>
      <c r="N244" s="1"/>
      <c r="P244" s="8">
        <f t="shared" si="29"/>
        <v>48.385873704523632</v>
      </c>
    </row>
    <row r="245" spans="1:16" x14ac:dyDescent="0.2">
      <c r="A245" s="8">
        <v>121.5</v>
      </c>
      <c r="B245" s="8">
        <v>243</v>
      </c>
      <c r="D245">
        <v>2079.9604166667</v>
      </c>
      <c r="E245">
        <v>540.46111111110997</v>
      </c>
      <c r="F245">
        <v>135.18801652893001</v>
      </c>
      <c r="G245">
        <v>115.37465564738</v>
      </c>
      <c r="I245" s="9">
        <f t="shared" si="26"/>
        <v>425.08645546372998</v>
      </c>
      <c r="J245" s="9">
        <f t="shared" si="27"/>
        <v>1944.7724001377701</v>
      </c>
      <c r="K245" s="9">
        <f t="shared" si="24"/>
        <v>425.08645546372998</v>
      </c>
      <c r="L245" s="10">
        <f t="shared" si="21"/>
        <v>0.21857902520295761</v>
      </c>
      <c r="M245" s="10">
        <f t="shared" si="28"/>
        <v>0.2479815976027118</v>
      </c>
      <c r="P245" s="8">
        <f t="shared" si="29"/>
        <v>46.740348726992572</v>
      </c>
    </row>
    <row r="246" spans="1:16" x14ac:dyDescent="0.2">
      <c r="A246" s="8">
        <v>122</v>
      </c>
      <c r="B246" s="8">
        <v>244</v>
      </c>
      <c r="D246">
        <v>2072.2847222221999</v>
      </c>
      <c r="E246">
        <v>536.15833333333001</v>
      </c>
      <c r="F246">
        <v>135.13498622590001</v>
      </c>
      <c r="G246">
        <v>115.38223140496</v>
      </c>
      <c r="I246" s="9">
        <f t="shared" si="26"/>
        <v>420.77610192837</v>
      </c>
      <c r="J246" s="9">
        <f t="shared" si="27"/>
        <v>1937.1497359962998</v>
      </c>
      <c r="K246" s="9">
        <f t="shared" si="24"/>
        <v>420.77610192837</v>
      </c>
      <c r="L246" s="10">
        <f t="shared" si="21"/>
        <v>0.21721403054677119</v>
      </c>
      <c r="M246" s="10">
        <f t="shared" si="28"/>
        <v>0.24673760118685359</v>
      </c>
      <c r="P246" s="8">
        <f t="shared" si="29"/>
        <v>46.004227701711429</v>
      </c>
    </row>
    <row r="247" spans="1:16" x14ac:dyDescent="0.2">
      <c r="A247" s="8">
        <v>122.5</v>
      </c>
      <c r="B247" s="8">
        <v>245</v>
      </c>
      <c r="D247">
        <v>2106.1728907330998</v>
      </c>
      <c r="E247">
        <v>550.05532503458005</v>
      </c>
      <c r="F247">
        <v>135.23209366391001</v>
      </c>
      <c r="G247">
        <v>115.47796143251</v>
      </c>
      <c r="I247" s="9">
        <f t="shared" si="26"/>
        <v>434.57736360207002</v>
      </c>
      <c r="J247" s="9">
        <f t="shared" si="27"/>
        <v>1970.9407970691898</v>
      </c>
      <c r="K247" s="9">
        <f t="shared" si="24"/>
        <v>434.57736360207002</v>
      </c>
      <c r="L247" s="10">
        <f t="shared" si="21"/>
        <v>0.22049234773986678</v>
      </c>
      <c r="M247" s="10">
        <f t="shared" si="28"/>
        <v>0.25013691662027737</v>
      </c>
      <c r="P247" s="8">
        <f t="shared" si="29"/>
        <v>48.015734752862869</v>
      </c>
    </row>
    <row r="248" spans="1:16" x14ac:dyDescent="0.2">
      <c r="A248" s="8">
        <v>123</v>
      </c>
      <c r="B248" s="8">
        <v>246</v>
      </c>
      <c r="D248">
        <v>2087.4163208852001</v>
      </c>
      <c r="E248">
        <v>564.87690179805998</v>
      </c>
      <c r="F248">
        <v>134.93801652893001</v>
      </c>
      <c r="G248">
        <v>115.38636363636</v>
      </c>
      <c r="I248" s="9">
        <f t="shared" si="26"/>
        <v>449.49053816169999</v>
      </c>
      <c r="J248" s="9">
        <f t="shared" si="27"/>
        <v>1952.4783043562702</v>
      </c>
      <c r="K248" s="9">
        <f t="shared" si="24"/>
        <v>449.49053816169999</v>
      </c>
      <c r="L248" s="10">
        <f t="shared" si="21"/>
        <v>0.23021538173244721</v>
      </c>
      <c r="M248" s="10">
        <f t="shared" si="28"/>
        <v>0.25998094885318601</v>
      </c>
      <c r="P248" s="8">
        <f t="shared" si="29"/>
        <v>53.840831198329809</v>
      </c>
    </row>
    <row r="249" spans="1:16" x14ac:dyDescent="0.2">
      <c r="A249" s="8">
        <v>123.5</v>
      </c>
      <c r="B249" s="8">
        <v>247</v>
      </c>
      <c r="D249">
        <v>2058.9965421852999</v>
      </c>
      <c r="E249">
        <v>578.21645919778996</v>
      </c>
      <c r="F249">
        <v>135.07300275482001</v>
      </c>
      <c r="G249">
        <v>115.43870523416</v>
      </c>
      <c r="I249" s="9">
        <f t="shared" si="26"/>
        <v>462.77775396362995</v>
      </c>
      <c r="J249" s="9">
        <f t="shared" si="27"/>
        <v>1923.9235394304799</v>
      </c>
      <c r="K249" s="9">
        <f t="shared" si="24"/>
        <v>462.77775396362995</v>
      </c>
      <c r="L249" s="10">
        <f t="shared" si="21"/>
        <v>0.24053853725425153</v>
      </c>
      <c r="M249" s="10">
        <f t="shared" si="28"/>
        <v>0.27042510261531855</v>
      </c>
      <c r="P249" s="8">
        <f t="shared" si="29"/>
        <v>60.021042875443783</v>
      </c>
    </row>
    <row r="250" spans="1:16" x14ac:dyDescent="0.2">
      <c r="A250" s="8">
        <v>124</v>
      </c>
      <c r="B250" s="8">
        <v>248</v>
      </c>
      <c r="D250">
        <v>2061.9861782999001</v>
      </c>
      <c r="E250">
        <v>581.44989633725004</v>
      </c>
      <c r="F250">
        <v>135.15082644628001</v>
      </c>
      <c r="G250">
        <v>115.641184573</v>
      </c>
      <c r="I250" s="9">
        <f t="shared" si="26"/>
        <v>465.80871176425001</v>
      </c>
      <c r="J250" s="9">
        <f t="shared" si="27"/>
        <v>1926.8353518536201</v>
      </c>
      <c r="K250" s="9">
        <f t="shared" si="24"/>
        <v>465.80871176425001</v>
      </c>
      <c r="L250" s="10">
        <f t="shared" si="21"/>
        <v>0.24174806182382991</v>
      </c>
      <c r="M250" s="10">
        <f t="shared" si="28"/>
        <v>0.27175562542522513</v>
      </c>
      <c r="P250" s="8">
        <f t="shared" si="29"/>
        <v>60.808364930799307</v>
      </c>
    </row>
    <row r="251" spans="1:16" x14ac:dyDescent="0.2">
      <c r="A251" s="8">
        <v>124.5</v>
      </c>
      <c r="B251" s="8">
        <v>249</v>
      </c>
      <c r="D251">
        <v>2066.8279198341002</v>
      </c>
      <c r="E251">
        <v>570.01865929508995</v>
      </c>
      <c r="F251">
        <v>134.63223140496001</v>
      </c>
      <c r="G251">
        <v>115.37809917355</v>
      </c>
      <c r="I251" s="9">
        <f t="shared" si="26"/>
        <v>454.64056012153992</v>
      </c>
      <c r="J251" s="9">
        <f t="shared" si="27"/>
        <v>1932.1956884291401</v>
      </c>
      <c r="K251" s="9">
        <f t="shared" si="24"/>
        <v>454.64056012153992</v>
      </c>
      <c r="L251" s="10">
        <f t="shared" si="21"/>
        <v>0.23529736808964682</v>
      </c>
      <c r="M251" s="10">
        <f t="shared" si="28"/>
        <v>0.26542592993137026</v>
      </c>
      <c r="P251" s="8">
        <f t="shared" si="29"/>
        <v>57.062838113152168</v>
      </c>
    </row>
    <row r="252" spans="1:16" x14ac:dyDescent="0.2">
      <c r="A252" s="8">
        <v>125</v>
      </c>
      <c r="B252" s="8">
        <v>250</v>
      </c>
      <c r="D252">
        <v>2069.3565998618001</v>
      </c>
      <c r="E252">
        <v>570.59156876296004</v>
      </c>
      <c r="F252">
        <v>134.66460055095999</v>
      </c>
      <c r="G252">
        <v>115.26308539945001</v>
      </c>
      <c r="I252" s="9">
        <f t="shared" si="26"/>
        <v>455.32848336351003</v>
      </c>
      <c r="J252" s="9">
        <f t="shared" si="27"/>
        <v>1934.6919993108402</v>
      </c>
      <c r="K252" s="9">
        <f t="shared" si="24"/>
        <v>455.32848336351003</v>
      </c>
      <c r="L252" s="10">
        <f t="shared" si="21"/>
        <v>0.23534933908120947</v>
      </c>
      <c r="M252" s="10">
        <f t="shared" si="28"/>
        <v>0.26559889916326113</v>
      </c>
      <c r="P252" s="8">
        <f t="shared" si="29"/>
        <v>57.165190729846607</v>
      </c>
    </row>
    <row r="253" spans="1:16" x14ac:dyDescent="0.2">
      <c r="A253" s="8">
        <v>125.5</v>
      </c>
      <c r="B253" s="8">
        <v>251</v>
      </c>
      <c r="D253">
        <v>2144.4268041237001</v>
      </c>
      <c r="E253">
        <v>593.86460481100005</v>
      </c>
      <c r="F253">
        <v>134.44972451791</v>
      </c>
      <c r="G253">
        <v>115.15013774105</v>
      </c>
      <c r="I253" s="9">
        <f t="shared" si="26"/>
        <v>478.71446706995005</v>
      </c>
      <c r="J253" s="9">
        <f t="shared" si="27"/>
        <v>2009.9770796057901</v>
      </c>
      <c r="K253" s="9">
        <f t="shared" si="24"/>
        <v>478.71446706995005</v>
      </c>
      <c r="L253" s="10">
        <f t="shared" si="21"/>
        <v>0.2381691174129402</v>
      </c>
      <c r="M253" s="10">
        <f t="shared" si="28"/>
        <v>0.26853967573532006</v>
      </c>
      <c r="P253" s="8">
        <f t="shared" si="29"/>
        <v>58.90536251631702</v>
      </c>
    </row>
    <row r="254" spans="1:16" x14ac:dyDescent="0.2">
      <c r="A254" s="8">
        <v>126</v>
      </c>
      <c r="B254" s="8">
        <v>252</v>
      </c>
      <c r="D254">
        <v>2138.818556701</v>
      </c>
      <c r="E254">
        <v>572.45773195875995</v>
      </c>
      <c r="F254">
        <v>135.24242424241999</v>
      </c>
      <c r="G254">
        <v>115.17975206612</v>
      </c>
      <c r="I254" s="9">
        <f t="shared" si="26"/>
        <v>457.27797989263996</v>
      </c>
      <c r="J254" s="9">
        <f t="shared" si="27"/>
        <v>2003.5761324585801</v>
      </c>
      <c r="K254" s="9">
        <f t="shared" si="24"/>
        <v>457.27797989263996</v>
      </c>
      <c r="L254" s="10">
        <f t="shared" si="21"/>
        <v>0.2282308979851522</v>
      </c>
      <c r="M254" s="10">
        <f t="shared" si="28"/>
        <v>0.25872245454786025</v>
      </c>
      <c r="P254" s="8">
        <f t="shared" si="29"/>
        <v>53.096131208412423</v>
      </c>
    </row>
    <row r="255" spans="1:16" x14ac:dyDescent="0.2">
      <c r="A255" s="8">
        <v>126.5</v>
      </c>
      <c r="B255" s="8">
        <v>253</v>
      </c>
      <c r="D255">
        <v>2172.2668052668</v>
      </c>
      <c r="E255">
        <v>569.40887040887003</v>
      </c>
      <c r="F255">
        <v>135.03236914601001</v>
      </c>
      <c r="G255">
        <v>115.42975206612</v>
      </c>
      <c r="I255" s="9">
        <f t="shared" si="26"/>
        <v>453.97911834275004</v>
      </c>
      <c r="J255" s="9">
        <f t="shared" si="27"/>
        <v>2037.23443612079</v>
      </c>
      <c r="K255" s="9">
        <f t="shared" si="24"/>
        <v>453.97911834275004</v>
      </c>
      <c r="L255" s="10">
        <f t="shared" si="21"/>
        <v>0.22284088188063256</v>
      </c>
      <c r="M255" s="10">
        <f t="shared" si="28"/>
        <v>0.25345343668366882</v>
      </c>
      <c r="P255" s="8">
        <f t="shared" si="29"/>
        <v>49.97824856585077</v>
      </c>
    </row>
    <row r="256" spans="1:16" x14ac:dyDescent="0.2">
      <c r="A256" s="8">
        <v>127</v>
      </c>
      <c r="B256" s="8">
        <v>254</v>
      </c>
      <c r="D256">
        <v>2097.3957033956999</v>
      </c>
      <c r="E256">
        <v>545.21483021483004</v>
      </c>
      <c r="F256">
        <v>134.90909090909</v>
      </c>
      <c r="G256">
        <v>115.01859504132</v>
      </c>
      <c r="I256" s="9">
        <f t="shared" si="26"/>
        <v>430.19623517351005</v>
      </c>
      <c r="J256" s="9">
        <f t="shared" si="27"/>
        <v>1962.4866124866098</v>
      </c>
      <c r="K256" s="9">
        <f t="shared" si="24"/>
        <v>430.19623517351005</v>
      </c>
      <c r="L256" s="10">
        <f t="shared" si="21"/>
        <v>0.21920976807501422</v>
      </c>
      <c r="M256" s="10">
        <f t="shared" si="28"/>
        <v>0.24994332111837869</v>
      </c>
      <c r="P256" s="8">
        <f t="shared" si="29"/>
        <v>47.901176770596372</v>
      </c>
    </row>
    <row r="257" spans="1:16" x14ac:dyDescent="0.2">
      <c r="A257" s="8">
        <v>127.5</v>
      </c>
      <c r="B257" s="8">
        <v>255</v>
      </c>
      <c r="D257">
        <v>2115.5675675675998</v>
      </c>
      <c r="E257">
        <v>540.49203049203004</v>
      </c>
      <c r="F257">
        <v>135.01101928374999</v>
      </c>
      <c r="G257">
        <v>115.13636363636</v>
      </c>
      <c r="I257" s="9">
        <f t="shared" si="26"/>
        <v>425.35566685567005</v>
      </c>
      <c r="J257" s="9">
        <f t="shared" si="27"/>
        <v>1980.5565482838497</v>
      </c>
      <c r="K257" s="9">
        <f t="shared" si="24"/>
        <v>425.35566685567005</v>
      </c>
      <c r="L257" s="10">
        <f t="shared" si="21"/>
        <v>0.21476572694894289</v>
      </c>
      <c r="M257" s="10">
        <f t="shared" si="28"/>
        <v>0.24562027823263555</v>
      </c>
      <c r="P257" s="8">
        <f t="shared" si="29"/>
        <v>45.343064286653103</v>
      </c>
    </row>
    <row r="258" spans="1:16" x14ac:dyDescent="0.2">
      <c r="A258" s="8">
        <v>128</v>
      </c>
      <c r="B258" s="8">
        <v>256</v>
      </c>
      <c r="D258">
        <v>2046.2241498958999</v>
      </c>
      <c r="E258">
        <v>524.42956280361</v>
      </c>
      <c r="F258">
        <v>134.40495867768999</v>
      </c>
      <c r="G258">
        <v>115.11570247934</v>
      </c>
      <c r="I258" s="9">
        <f t="shared" si="26"/>
        <v>409.31386032426997</v>
      </c>
      <c r="J258" s="9">
        <f t="shared" si="27"/>
        <v>1911.8191912182099</v>
      </c>
      <c r="K258" s="9">
        <f t="shared" si="24"/>
        <v>409.31386032426997</v>
      </c>
      <c r="L258" s="10">
        <f t="shared" ref="L258:L321" si="30">K258/J258</f>
        <v>0.21409653287529531</v>
      </c>
      <c r="M258" s="10">
        <f t="shared" si="28"/>
        <v>0.24507208239931619</v>
      </c>
      <c r="P258" s="8">
        <f t="shared" si="29"/>
        <v>45.018675507285522</v>
      </c>
    </row>
    <row r="259" spans="1:16" x14ac:dyDescent="0.2">
      <c r="A259" s="8">
        <v>128.5</v>
      </c>
      <c r="B259" s="8">
        <v>257</v>
      </c>
      <c r="D259">
        <v>2019.5530881331999</v>
      </c>
      <c r="E259">
        <v>520.46634281749004</v>
      </c>
      <c r="F259">
        <v>134.92355371900999</v>
      </c>
      <c r="G259">
        <v>114.84917355371999</v>
      </c>
      <c r="I259" s="9">
        <f t="shared" si="26"/>
        <v>405.61716926377005</v>
      </c>
      <c r="J259" s="9">
        <f t="shared" si="27"/>
        <v>1884.6295344141899</v>
      </c>
      <c r="K259" s="9">
        <f t="shared" ref="K259:K322" si="31">I259*1</f>
        <v>405.61716926377005</v>
      </c>
      <c r="L259" s="10">
        <f t="shared" si="30"/>
        <v>0.21522382083959557</v>
      </c>
      <c r="M259" s="10">
        <f t="shared" si="28"/>
        <v>0.24632036860394466</v>
      </c>
      <c r="P259" s="8">
        <f t="shared" si="29"/>
        <v>45.7573349672981</v>
      </c>
    </row>
    <row r="260" spans="1:16" x14ac:dyDescent="0.2">
      <c r="A260" s="8">
        <v>129</v>
      </c>
      <c r="B260" s="8">
        <v>258</v>
      </c>
      <c r="D260">
        <v>2034.2244337679999</v>
      </c>
      <c r="E260">
        <v>537.60809883321997</v>
      </c>
      <c r="F260">
        <v>134.54338842975</v>
      </c>
      <c r="G260">
        <v>115.20798898072</v>
      </c>
      <c r="I260" s="9">
        <f t="shared" si="26"/>
        <v>422.40010985249995</v>
      </c>
      <c r="J260" s="9">
        <f t="shared" si="27"/>
        <v>1899.68104533825</v>
      </c>
      <c r="K260" s="9">
        <f t="shared" si="31"/>
        <v>422.40010985249995</v>
      </c>
      <c r="L260" s="10">
        <f t="shared" si="30"/>
        <v>0.2223531739125654</v>
      </c>
      <c r="M260" s="10">
        <f t="shared" si="28"/>
        <v>0.25357071991724267</v>
      </c>
      <c r="P260" s="8">
        <f t="shared" si="29"/>
        <v>50.04764961318989</v>
      </c>
    </row>
    <row r="261" spans="1:16" x14ac:dyDescent="0.2">
      <c r="A261" s="8">
        <v>129.5</v>
      </c>
      <c r="B261" s="8">
        <v>259</v>
      </c>
      <c r="D261">
        <v>2076.5724090597</v>
      </c>
      <c r="E261">
        <v>557.20178448868</v>
      </c>
      <c r="F261">
        <v>134.88498622590001</v>
      </c>
      <c r="G261">
        <v>114.99380165289</v>
      </c>
      <c r="I261" s="9">
        <f t="shared" si="26"/>
        <v>442.20798283579001</v>
      </c>
      <c r="J261" s="9">
        <f t="shared" si="27"/>
        <v>1941.6874228337999</v>
      </c>
      <c r="K261" s="9">
        <f t="shared" si="31"/>
        <v>442.20798283579001</v>
      </c>
      <c r="L261" s="10">
        <f t="shared" si="30"/>
        <v>0.22774416604625713</v>
      </c>
      <c r="M261" s="10">
        <f t="shared" si="28"/>
        <v>0.25908271029126262</v>
      </c>
      <c r="P261" s="8">
        <f t="shared" si="29"/>
        <v>53.309308532572011</v>
      </c>
    </row>
    <row r="262" spans="1:16" x14ac:dyDescent="0.2">
      <c r="A262" s="8">
        <v>130</v>
      </c>
      <c r="B262" s="8">
        <v>260</v>
      </c>
      <c r="D262">
        <v>2119.7451790634</v>
      </c>
      <c r="E262">
        <v>578.84573002754996</v>
      </c>
      <c r="F262">
        <v>134.96556473829</v>
      </c>
      <c r="G262">
        <v>115.20385674931001</v>
      </c>
      <c r="I262" s="9">
        <f t="shared" si="26"/>
        <v>463.64187327823993</v>
      </c>
      <c r="J262" s="9">
        <f t="shared" si="27"/>
        <v>1984.7796143251101</v>
      </c>
      <c r="K262" s="9">
        <f t="shared" si="31"/>
        <v>463.64187327823993</v>
      </c>
      <c r="L262" s="10">
        <f t="shared" si="30"/>
        <v>0.23359866754571304</v>
      </c>
      <c r="M262" s="10">
        <f t="shared" si="28"/>
        <v>0.26505821003104674</v>
      </c>
      <c r="P262" s="8">
        <f t="shared" si="29"/>
        <v>56.845243957259292</v>
      </c>
    </row>
    <row r="263" spans="1:16" x14ac:dyDescent="0.2">
      <c r="A263" s="8">
        <v>130.5</v>
      </c>
      <c r="B263" s="8">
        <v>261</v>
      </c>
      <c r="D263">
        <v>2137.5523415978</v>
      </c>
      <c r="E263">
        <v>575.61501377411003</v>
      </c>
      <c r="F263">
        <v>134.58333333332999</v>
      </c>
      <c r="G263">
        <v>115.11570247934</v>
      </c>
      <c r="I263" s="9">
        <f t="shared" si="26"/>
        <v>460.49931129477</v>
      </c>
      <c r="J263" s="9">
        <f t="shared" si="27"/>
        <v>2002.9690082644699</v>
      </c>
      <c r="K263" s="9">
        <f t="shared" si="31"/>
        <v>460.49931129477</v>
      </c>
      <c r="L263" s="10">
        <f t="shared" si="30"/>
        <v>0.2299083557432488</v>
      </c>
      <c r="M263" s="10">
        <f t="shared" si="28"/>
        <v>0.26148889646891071</v>
      </c>
      <c r="P263" s="8">
        <f t="shared" si="29"/>
        <v>54.733142406631586</v>
      </c>
    </row>
    <row r="264" spans="1:16" x14ac:dyDescent="0.2">
      <c r="A264" s="8">
        <v>131</v>
      </c>
      <c r="B264" s="8">
        <v>262</v>
      </c>
      <c r="D264">
        <v>2114.849862259</v>
      </c>
      <c r="E264">
        <v>575.12878787879004</v>
      </c>
      <c r="F264">
        <v>134.60123966942001</v>
      </c>
      <c r="G264">
        <v>115.20179063361</v>
      </c>
      <c r="I264" s="9">
        <f t="shared" si="26"/>
        <v>459.92699724518002</v>
      </c>
      <c r="J264" s="9">
        <f t="shared" si="27"/>
        <v>1980.24862258958</v>
      </c>
      <c r="K264" s="9">
        <f t="shared" si="31"/>
        <v>459.92699724518002</v>
      </c>
      <c r="L264" s="10">
        <f t="shared" si="30"/>
        <v>0.23225719841366757</v>
      </c>
      <c r="M264" s="10">
        <f t="shared" si="28"/>
        <v>0.26395873737965769</v>
      </c>
      <c r="P264" s="8">
        <f t="shared" si="29"/>
        <v>56.194643260109601</v>
      </c>
    </row>
    <row r="265" spans="1:16" x14ac:dyDescent="0.2">
      <c r="A265" s="8">
        <v>131.5</v>
      </c>
      <c r="B265" s="8">
        <v>263</v>
      </c>
      <c r="D265">
        <v>2062.7926997244999</v>
      </c>
      <c r="E265">
        <v>575.00344352617003</v>
      </c>
      <c r="F265">
        <v>134.49931129477</v>
      </c>
      <c r="G265">
        <v>115.00275482094</v>
      </c>
      <c r="I265" s="9">
        <f t="shared" si="26"/>
        <v>460.00068870523</v>
      </c>
      <c r="J265" s="9">
        <f t="shared" si="27"/>
        <v>1928.2933884297299</v>
      </c>
      <c r="K265" s="9">
        <f t="shared" si="31"/>
        <v>460.00068870523</v>
      </c>
      <c r="L265" s="10">
        <f t="shared" si="30"/>
        <v>0.23855326760199239</v>
      </c>
      <c r="M265" s="10">
        <f t="shared" si="28"/>
        <v>0.27037580480831069</v>
      </c>
      <c r="P265" s="8">
        <f t="shared" si="29"/>
        <v>59.991871447153379</v>
      </c>
    </row>
    <row r="266" spans="1:16" x14ac:dyDescent="0.2">
      <c r="A266" s="8">
        <v>132</v>
      </c>
      <c r="B266" s="8">
        <v>264</v>
      </c>
      <c r="D266">
        <v>2094.3512396694</v>
      </c>
      <c r="E266">
        <v>569.52892561984004</v>
      </c>
      <c r="F266">
        <v>134.51997245179001</v>
      </c>
      <c r="G266">
        <v>115.24311294765999</v>
      </c>
      <c r="I266" s="9">
        <f t="shared" si="26"/>
        <v>454.28581267218004</v>
      </c>
      <c r="J266" s="9">
        <f t="shared" si="27"/>
        <v>1959.83126721761</v>
      </c>
      <c r="K266" s="9">
        <f t="shared" si="31"/>
        <v>454.28581267218004</v>
      </c>
      <c r="L266" s="10">
        <f t="shared" si="30"/>
        <v>0.2317984309522389</v>
      </c>
      <c r="M266" s="10">
        <f t="shared" si="28"/>
        <v>0.26374196639888542</v>
      </c>
      <c r="P266" s="8">
        <f t="shared" si="29"/>
        <v>56.066371446314058</v>
      </c>
    </row>
    <row r="267" spans="1:16" x14ac:dyDescent="0.2">
      <c r="A267" s="8">
        <v>132.5</v>
      </c>
      <c r="B267" s="8">
        <v>265</v>
      </c>
      <c r="D267">
        <v>2130.1845730027999</v>
      </c>
      <c r="E267">
        <v>564.05440771350004</v>
      </c>
      <c r="F267">
        <v>134.73898071625001</v>
      </c>
      <c r="G267">
        <v>115.03856749310999</v>
      </c>
      <c r="I267" s="9">
        <f t="shared" si="26"/>
        <v>449.01584022039003</v>
      </c>
      <c r="J267" s="9">
        <f t="shared" si="27"/>
        <v>1995.44559228655</v>
      </c>
      <c r="K267" s="9">
        <f t="shared" si="31"/>
        <v>449.01584022039003</v>
      </c>
      <c r="L267" s="10">
        <f t="shared" si="30"/>
        <v>0.22502033729011361</v>
      </c>
      <c r="M267" s="10">
        <f t="shared" si="28"/>
        <v>0.25708487097708838</v>
      </c>
      <c r="P267" s="8">
        <f t="shared" si="29"/>
        <v>52.127109367406142</v>
      </c>
    </row>
    <row r="268" spans="1:16" x14ac:dyDescent="0.2">
      <c r="A268" s="8">
        <v>133</v>
      </c>
      <c r="B268" s="8">
        <v>266</v>
      </c>
      <c r="D268">
        <v>2143.9848484848999</v>
      </c>
      <c r="E268">
        <v>553.99035812672003</v>
      </c>
      <c r="F268">
        <v>135.09022038568</v>
      </c>
      <c r="G268">
        <v>115.12672176309</v>
      </c>
      <c r="I268" s="9">
        <f t="shared" si="26"/>
        <v>438.86363636363001</v>
      </c>
      <c r="J268" s="9">
        <f t="shared" si="27"/>
        <v>2008.89462809922</v>
      </c>
      <c r="K268" s="9">
        <f t="shared" si="31"/>
        <v>438.86363636363001</v>
      </c>
      <c r="L268" s="10">
        <f t="shared" si="30"/>
        <v>0.21846025681241177</v>
      </c>
      <c r="M268" s="10">
        <f t="shared" si="28"/>
        <v>0.25064578873971471</v>
      </c>
      <c r="P268" s="8">
        <f t="shared" si="29"/>
        <v>48.316854162470477</v>
      </c>
    </row>
    <row r="269" spans="1:16" x14ac:dyDescent="0.2">
      <c r="A269" s="8">
        <v>133.5</v>
      </c>
      <c r="B269" s="8">
        <v>267</v>
      </c>
      <c r="D269">
        <v>2135.4876033057999</v>
      </c>
      <c r="E269">
        <v>544.13636363635999</v>
      </c>
      <c r="F269">
        <v>134.39944903580999</v>
      </c>
      <c r="G269">
        <v>115.17079889807</v>
      </c>
      <c r="I269" s="9">
        <f t="shared" si="26"/>
        <v>428.96556473828997</v>
      </c>
      <c r="J269" s="9">
        <f t="shared" si="27"/>
        <v>2001.0881542699899</v>
      </c>
      <c r="K269" s="9">
        <f t="shared" si="31"/>
        <v>428.96556473828997</v>
      </c>
      <c r="L269" s="10">
        <f t="shared" si="30"/>
        <v>0.2143661506480605</v>
      </c>
      <c r="M269" s="10">
        <f t="shared" si="28"/>
        <v>0.24667268081569166</v>
      </c>
      <c r="P269" s="8">
        <f t="shared" si="29"/>
        <v>45.965811795063999</v>
      </c>
    </row>
    <row r="270" spans="1:16" x14ac:dyDescent="0.2">
      <c r="A270" s="8">
        <v>134</v>
      </c>
      <c r="B270" s="8">
        <v>268</v>
      </c>
      <c r="D270">
        <v>2116.9937586685</v>
      </c>
      <c r="E270">
        <v>535.09986130375</v>
      </c>
      <c r="F270">
        <v>134.48898071625001</v>
      </c>
      <c r="G270">
        <v>115.13223140496</v>
      </c>
      <c r="I270" s="9">
        <f t="shared" si="26"/>
        <v>419.96762989878999</v>
      </c>
      <c r="J270" s="9">
        <f t="shared" si="27"/>
        <v>1982.5047779522502</v>
      </c>
      <c r="K270" s="9">
        <f t="shared" si="31"/>
        <v>419.96762989878999</v>
      </c>
      <c r="L270" s="10">
        <f t="shared" si="30"/>
        <v>0.21183688159005545</v>
      </c>
      <c r="M270" s="10">
        <f t="shared" si="28"/>
        <v>0.2442644099980148</v>
      </c>
      <c r="P270" s="8">
        <f t="shared" si="29"/>
        <v>44.54074435848306</v>
      </c>
    </row>
    <row r="271" spans="1:16" x14ac:dyDescent="0.2">
      <c r="A271" s="8">
        <v>134.5</v>
      </c>
      <c r="B271" s="8">
        <v>269</v>
      </c>
      <c r="D271">
        <v>2103.1428571429001</v>
      </c>
      <c r="E271">
        <v>526.27947295422996</v>
      </c>
      <c r="F271">
        <v>135.03030303029999</v>
      </c>
      <c r="G271">
        <v>115.04614325068999</v>
      </c>
      <c r="I271" s="9">
        <f t="shared" si="26"/>
        <v>411.23332970353999</v>
      </c>
      <c r="J271" s="9">
        <f t="shared" si="27"/>
        <v>1968.1125541126</v>
      </c>
      <c r="K271" s="9">
        <f t="shared" si="31"/>
        <v>411.23332970353999</v>
      </c>
      <c r="L271" s="10">
        <f t="shared" si="30"/>
        <v>0.20894807507031046</v>
      </c>
      <c r="M271" s="10">
        <f t="shared" si="28"/>
        <v>0.24149660171859802</v>
      </c>
      <c r="P271" s="8">
        <f t="shared" si="29"/>
        <v>42.902924632917127</v>
      </c>
    </row>
    <row r="272" spans="1:16" x14ac:dyDescent="0.2">
      <c r="A272" s="8">
        <v>135</v>
      </c>
      <c r="B272" s="8">
        <v>270</v>
      </c>
      <c r="D272">
        <v>2162.6074895977999</v>
      </c>
      <c r="E272">
        <v>532.67059639390004</v>
      </c>
      <c r="F272">
        <v>134.46005509642001</v>
      </c>
      <c r="G272">
        <v>115.12465564738</v>
      </c>
      <c r="I272" s="9">
        <f t="shared" si="26"/>
        <v>417.54594074652005</v>
      </c>
      <c r="J272" s="9">
        <f t="shared" si="27"/>
        <v>2028.1474345013798</v>
      </c>
      <c r="K272" s="9">
        <f t="shared" si="31"/>
        <v>417.54594074652005</v>
      </c>
      <c r="L272" s="10">
        <f t="shared" si="30"/>
        <v>0.20587553628672647</v>
      </c>
      <c r="M272" s="10">
        <f t="shared" si="28"/>
        <v>0.23854506117534224</v>
      </c>
      <c r="P272" s="8">
        <f t="shared" si="29"/>
        <v>41.156383386364261</v>
      </c>
    </row>
    <row r="273" spans="1:16" x14ac:dyDescent="0.2">
      <c r="A273" s="8">
        <v>135.5</v>
      </c>
      <c r="B273" s="8">
        <v>271</v>
      </c>
      <c r="D273">
        <v>2139.2614424410999</v>
      </c>
      <c r="E273">
        <v>521.89042995838997</v>
      </c>
      <c r="F273">
        <v>135.04132231405001</v>
      </c>
      <c r="G273">
        <v>115.43801652893001</v>
      </c>
      <c r="I273" s="9">
        <f t="shared" si="26"/>
        <v>406.45241342945997</v>
      </c>
      <c r="J273" s="9">
        <f t="shared" si="27"/>
        <v>2004.22012012705</v>
      </c>
      <c r="K273" s="9">
        <f t="shared" si="31"/>
        <v>406.45241342945997</v>
      </c>
      <c r="L273" s="10">
        <f t="shared" si="30"/>
        <v>0.20279829014175071</v>
      </c>
      <c r="M273" s="10">
        <f t="shared" si="28"/>
        <v>0.2355888132706947</v>
      </c>
      <c r="P273" s="8">
        <f t="shared" si="29"/>
        <v>39.407056611131495</v>
      </c>
    </row>
    <row r="274" spans="1:16" x14ac:dyDescent="0.2">
      <c r="A274" s="8">
        <v>136</v>
      </c>
      <c r="B274" s="8">
        <v>272</v>
      </c>
      <c r="D274">
        <v>2052.9126279863999</v>
      </c>
      <c r="E274">
        <v>499.85392491468002</v>
      </c>
      <c r="F274">
        <v>134.45730027548001</v>
      </c>
      <c r="G274">
        <v>115.03994490357999</v>
      </c>
      <c r="I274" s="9">
        <f t="shared" si="26"/>
        <v>384.81398001110006</v>
      </c>
      <c r="J274" s="9">
        <f t="shared" si="27"/>
        <v>1918.4553277109198</v>
      </c>
      <c r="K274" s="9">
        <f t="shared" si="31"/>
        <v>384.81398001110006</v>
      </c>
      <c r="L274" s="10">
        <f t="shared" si="30"/>
        <v>0.20058532218743708</v>
      </c>
      <c r="M274" s="10">
        <f t="shared" si="28"/>
        <v>0.23349684355670927</v>
      </c>
      <c r="P274" s="8">
        <f t="shared" si="29"/>
        <v>38.169156830163352</v>
      </c>
    </row>
    <row r="275" spans="1:16" x14ac:dyDescent="0.2">
      <c r="A275" s="8">
        <v>136.5</v>
      </c>
      <c r="B275" s="8">
        <v>273</v>
      </c>
      <c r="D275">
        <v>2038.7215017065</v>
      </c>
      <c r="E275">
        <v>492.77883959043999</v>
      </c>
      <c r="F275">
        <v>134.20454545454999</v>
      </c>
      <c r="G275">
        <v>115.07369146006</v>
      </c>
      <c r="I275" s="9">
        <f>E275-G275</f>
        <v>377.70514813038</v>
      </c>
      <c r="J275" s="9">
        <f>D275-F275</f>
        <v>1904.51695625195</v>
      </c>
      <c r="K275" s="9">
        <f t="shared" si="31"/>
        <v>377.70514813038</v>
      </c>
      <c r="L275" s="10">
        <f t="shared" si="30"/>
        <v>0.19832070640825164</v>
      </c>
      <c r="M275" s="10">
        <f>L275+ABS($N$2)*A275</f>
        <v>0.23135322601785202</v>
      </c>
      <c r="O275" s="11"/>
      <c r="P275" s="8">
        <f>(M275-$O$2)/$O$2*100</f>
        <v>36.900695024004833</v>
      </c>
    </row>
    <row r="276" spans="1:16" x14ac:dyDescent="0.2">
      <c r="A276" s="8">
        <v>137</v>
      </c>
      <c r="B276" s="8">
        <v>274</v>
      </c>
      <c r="D276">
        <v>2012.852559727</v>
      </c>
      <c r="E276">
        <v>494.13924914675999</v>
      </c>
      <c r="F276">
        <v>134.72727272726999</v>
      </c>
      <c r="G276">
        <v>114.68457300276</v>
      </c>
      <c r="I276" s="9">
        <f t="shared" ref="I276:I291" si="32">E276-G276</f>
        <v>379.45467614400002</v>
      </c>
      <c r="J276" s="9">
        <f t="shared" ref="J276:J291" si="33">D276-F276</f>
        <v>1878.12528699973</v>
      </c>
      <c r="K276" s="9">
        <f t="shared" si="31"/>
        <v>379.45467614400002</v>
      </c>
      <c r="L276" s="10">
        <f t="shared" si="30"/>
        <v>0.20203906457708781</v>
      </c>
      <c r="M276" s="10">
        <f t="shared" ref="M276:M291" si="34">L276+ABS($N$2)*A276</f>
        <v>0.23519258242701641</v>
      </c>
      <c r="P276" s="8">
        <f t="shared" ref="P276:P291" si="35">(M276-$O$2)/$O$2*100</f>
        <v>39.172591422021405</v>
      </c>
    </row>
    <row r="277" spans="1:16" x14ac:dyDescent="0.2">
      <c r="A277" s="8">
        <v>137.5</v>
      </c>
      <c r="B277" s="8">
        <v>275</v>
      </c>
      <c r="D277">
        <v>2012.2678082192001</v>
      </c>
      <c r="E277">
        <v>505.87808219177998</v>
      </c>
      <c r="F277">
        <v>134.60743801653001</v>
      </c>
      <c r="G277">
        <v>114.83539944904</v>
      </c>
      <c r="I277" s="9">
        <f t="shared" si="32"/>
        <v>391.04268274274</v>
      </c>
      <c r="J277" s="9">
        <f t="shared" si="33"/>
        <v>1877.66037020267</v>
      </c>
      <c r="K277" s="9">
        <f t="shared" si="31"/>
        <v>391.04268274274</v>
      </c>
      <c r="L277" s="10">
        <f t="shared" si="30"/>
        <v>0.20826060396669704</v>
      </c>
      <c r="M277" s="10">
        <f t="shared" si="34"/>
        <v>0.24153512005695385</v>
      </c>
      <c r="N277" s="1"/>
      <c r="P277" s="8">
        <f t="shared" si="35"/>
        <v>42.925717430678574</v>
      </c>
    </row>
    <row r="278" spans="1:16" x14ac:dyDescent="0.2">
      <c r="A278" s="8">
        <v>138</v>
      </c>
      <c r="B278" s="8">
        <v>276</v>
      </c>
      <c r="D278">
        <v>2000.4089041095999</v>
      </c>
      <c r="E278">
        <v>518.7095890411</v>
      </c>
      <c r="F278">
        <v>134.34779614325001</v>
      </c>
      <c r="G278">
        <v>114.93939393939</v>
      </c>
      <c r="I278" s="9">
        <f t="shared" si="32"/>
        <v>403.77019510170999</v>
      </c>
      <c r="J278" s="9">
        <f t="shared" si="33"/>
        <v>1866.0611079663499</v>
      </c>
      <c r="K278" s="9">
        <f t="shared" si="31"/>
        <v>403.77019510170999</v>
      </c>
      <c r="L278" s="10">
        <f t="shared" si="30"/>
        <v>0.2163756553191028</v>
      </c>
      <c r="M278" s="10">
        <f t="shared" si="34"/>
        <v>0.24977116964968782</v>
      </c>
      <c r="P278" s="8">
        <f t="shared" si="35"/>
        <v>47.799308056168485</v>
      </c>
    </row>
    <row r="279" spans="1:16" x14ac:dyDescent="0.2">
      <c r="A279" s="8">
        <v>138.5</v>
      </c>
      <c r="B279" s="8">
        <v>277</v>
      </c>
      <c r="D279">
        <v>2112.3979452055</v>
      </c>
      <c r="E279">
        <v>549.61232876711995</v>
      </c>
      <c r="F279">
        <v>134.39187327824001</v>
      </c>
      <c r="G279">
        <v>114.87396694215001</v>
      </c>
      <c r="I279" s="9">
        <f t="shared" si="32"/>
        <v>434.73836182496996</v>
      </c>
      <c r="J279" s="9">
        <f t="shared" si="33"/>
        <v>1978.0060719272601</v>
      </c>
      <c r="K279" s="9">
        <f t="shared" si="31"/>
        <v>434.73836182496996</v>
      </c>
      <c r="L279" s="10">
        <f t="shared" si="30"/>
        <v>0.21978616142537158</v>
      </c>
      <c r="M279" s="10">
        <f t="shared" si="34"/>
        <v>0.25330267399628481</v>
      </c>
      <c r="P279" s="8">
        <f t="shared" si="35"/>
        <v>49.889036424564424</v>
      </c>
    </row>
    <row r="280" spans="1:16" x14ac:dyDescent="0.2">
      <c r="A280" s="8">
        <v>139</v>
      </c>
      <c r="B280" s="8">
        <v>278</v>
      </c>
      <c r="D280">
        <v>2132.1506849315001</v>
      </c>
      <c r="E280">
        <v>553.22054794521</v>
      </c>
      <c r="F280">
        <v>134.37121212120999</v>
      </c>
      <c r="G280">
        <v>114.98071625343999</v>
      </c>
      <c r="I280" s="9">
        <f t="shared" si="32"/>
        <v>438.23983169177001</v>
      </c>
      <c r="J280" s="9">
        <f t="shared" si="33"/>
        <v>1997.7794728102901</v>
      </c>
      <c r="K280" s="9">
        <f t="shared" si="31"/>
        <v>438.23983169177001</v>
      </c>
      <c r="L280" s="10">
        <f t="shared" si="30"/>
        <v>0.21936346711746668</v>
      </c>
      <c r="M280" s="10">
        <f t="shared" si="34"/>
        <v>0.25300097792870813</v>
      </c>
      <c r="P280" s="8">
        <f t="shared" si="35"/>
        <v>49.710511136423115</v>
      </c>
    </row>
    <row r="281" spans="1:16" x14ac:dyDescent="0.2">
      <c r="A281" s="8">
        <v>139.5</v>
      </c>
      <c r="B281" s="8">
        <v>279</v>
      </c>
      <c r="D281">
        <v>2111.2157534246999</v>
      </c>
      <c r="E281">
        <v>556.90342465752997</v>
      </c>
      <c r="F281">
        <v>134.25688705234001</v>
      </c>
      <c r="G281">
        <v>115.00619834711</v>
      </c>
      <c r="I281" s="9">
        <f t="shared" si="32"/>
        <v>441.89722631041997</v>
      </c>
      <c r="J281" s="9">
        <f t="shared" si="33"/>
        <v>1976.9588663723598</v>
      </c>
      <c r="K281" s="9">
        <f t="shared" si="31"/>
        <v>441.89722631041997</v>
      </c>
      <c r="L281" s="10">
        <f t="shared" si="30"/>
        <v>0.22352373325869124</v>
      </c>
      <c r="M281" s="10">
        <f t="shared" si="34"/>
        <v>0.25728224231026087</v>
      </c>
      <c r="P281" s="8">
        <f t="shared" si="35"/>
        <v>52.243901655779268</v>
      </c>
    </row>
    <row r="282" spans="1:16" x14ac:dyDescent="0.2">
      <c r="A282" s="8">
        <v>140</v>
      </c>
      <c r="B282" s="8">
        <v>280</v>
      </c>
      <c r="D282">
        <v>2040.4815068493001</v>
      </c>
      <c r="E282">
        <v>542.12876712329</v>
      </c>
      <c r="F282">
        <v>134.40220385674999</v>
      </c>
      <c r="G282">
        <v>114.78305785124</v>
      </c>
      <c r="I282" s="9">
        <f t="shared" si="32"/>
        <v>427.34570927204999</v>
      </c>
      <c r="J282" s="9">
        <f t="shared" si="33"/>
        <v>1906.0793029925501</v>
      </c>
      <c r="K282" s="9">
        <f t="shared" si="31"/>
        <v>427.34570927204999</v>
      </c>
      <c r="L282" s="10">
        <f t="shared" si="30"/>
        <v>0.22420143201865525</v>
      </c>
      <c r="M282" s="10">
        <f t="shared" si="34"/>
        <v>0.25808093931055309</v>
      </c>
      <c r="P282" s="8">
        <f t="shared" si="35"/>
        <v>52.716521710989369</v>
      </c>
    </row>
    <row r="283" spans="1:16" x14ac:dyDescent="0.2">
      <c r="A283" s="8">
        <v>140.5</v>
      </c>
      <c r="B283" s="8">
        <v>281</v>
      </c>
      <c r="D283">
        <v>2066.1438356163999</v>
      </c>
      <c r="E283">
        <v>548.51438356163999</v>
      </c>
      <c r="F283">
        <v>134.13085399449</v>
      </c>
      <c r="G283">
        <v>115.23415977961</v>
      </c>
      <c r="I283" s="9">
        <f t="shared" si="32"/>
        <v>433.28022378203002</v>
      </c>
      <c r="J283" s="9">
        <f t="shared" si="33"/>
        <v>1932.0129816219098</v>
      </c>
      <c r="K283" s="9">
        <f t="shared" si="31"/>
        <v>433.28022378203002</v>
      </c>
      <c r="L283" s="10">
        <f t="shared" si="30"/>
        <v>0.22426361929426306</v>
      </c>
      <c r="M283" s="10">
        <f t="shared" si="34"/>
        <v>0.25826412482648908</v>
      </c>
      <c r="P283" s="8">
        <f t="shared" si="35"/>
        <v>52.824919699993565</v>
      </c>
    </row>
    <row r="284" spans="1:16" x14ac:dyDescent="0.2">
      <c r="A284" s="8">
        <v>141</v>
      </c>
      <c r="B284" s="8">
        <v>282</v>
      </c>
      <c r="D284">
        <v>2107.1883561643999</v>
      </c>
      <c r="E284">
        <v>562.53150684931995</v>
      </c>
      <c r="F284">
        <v>133.78925619834999</v>
      </c>
      <c r="G284">
        <v>114.98002754821</v>
      </c>
      <c r="I284" s="9">
        <f t="shared" si="32"/>
        <v>447.55147930110996</v>
      </c>
      <c r="J284" s="9">
        <f t="shared" si="33"/>
        <v>1973.39909996605</v>
      </c>
      <c r="K284" s="9">
        <f t="shared" si="31"/>
        <v>447.55147930110996</v>
      </c>
      <c r="L284" s="10">
        <f t="shared" si="30"/>
        <v>0.22679217767394824</v>
      </c>
      <c r="M284" s="10">
        <f t="shared" si="34"/>
        <v>0.26091368144650251</v>
      </c>
      <c r="P284" s="8">
        <f t="shared" si="35"/>
        <v>54.392765323020676</v>
      </c>
    </row>
    <row r="285" spans="1:16" x14ac:dyDescent="0.2">
      <c r="A285" s="8">
        <v>141.5</v>
      </c>
      <c r="B285" s="8">
        <v>283</v>
      </c>
      <c r="D285">
        <v>2100.0910958904001</v>
      </c>
      <c r="E285">
        <v>549.19794520547998</v>
      </c>
      <c r="F285">
        <v>134.84022038568</v>
      </c>
      <c r="G285">
        <v>115.04476584021999</v>
      </c>
      <c r="I285" s="9">
        <f t="shared" si="32"/>
        <v>434.15317936525997</v>
      </c>
      <c r="J285" s="9">
        <f t="shared" si="33"/>
        <v>1965.2508755047202</v>
      </c>
      <c r="K285" s="9">
        <f t="shared" si="31"/>
        <v>434.15317936525997</v>
      </c>
      <c r="L285" s="10">
        <f t="shared" si="30"/>
        <v>0.22091488917604973</v>
      </c>
      <c r="M285" s="10">
        <f t="shared" si="34"/>
        <v>0.25515739118893221</v>
      </c>
      <c r="P285" s="8">
        <f t="shared" si="35"/>
        <v>50.98654466820053</v>
      </c>
    </row>
    <row r="286" spans="1:16" x14ac:dyDescent="0.2">
      <c r="A286" s="8">
        <v>142</v>
      </c>
      <c r="B286" s="8">
        <v>284</v>
      </c>
      <c r="D286">
        <v>2134.1582191780999</v>
      </c>
      <c r="E286">
        <v>544.26575342466003</v>
      </c>
      <c r="F286">
        <v>134.06611570248</v>
      </c>
      <c r="G286">
        <v>114.96418732782</v>
      </c>
      <c r="I286" s="9">
        <f t="shared" si="32"/>
        <v>429.30156609684002</v>
      </c>
      <c r="J286" s="9">
        <f t="shared" si="33"/>
        <v>2000.09210347562</v>
      </c>
      <c r="K286" s="9">
        <f t="shared" si="31"/>
        <v>429.30156609684002</v>
      </c>
      <c r="L286" s="10">
        <f t="shared" si="30"/>
        <v>0.21464089846204074</v>
      </c>
      <c r="M286" s="10">
        <f t="shared" si="34"/>
        <v>0.2490043987152514</v>
      </c>
      <c r="P286" s="8">
        <f t="shared" si="35"/>
        <v>47.345579894882974</v>
      </c>
    </row>
    <row r="287" spans="1:16" x14ac:dyDescent="0.2">
      <c r="A287" s="8">
        <v>142.5</v>
      </c>
      <c r="B287" s="8">
        <v>285</v>
      </c>
      <c r="D287">
        <v>2125.0794520548002</v>
      </c>
      <c r="E287">
        <v>532.52808219177996</v>
      </c>
      <c r="F287">
        <v>133.73140495868</v>
      </c>
      <c r="G287">
        <v>114.71280991736</v>
      </c>
      <c r="I287" s="9">
        <f t="shared" si="32"/>
        <v>417.81527227441995</v>
      </c>
      <c r="J287" s="9">
        <f t="shared" si="33"/>
        <v>1991.3480470961201</v>
      </c>
      <c r="K287" s="9">
        <f t="shared" si="31"/>
        <v>417.81527227441995</v>
      </c>
      <c r="L287" s="10">
        <f t="shared" si="30"/>
        <v>0.20981529215030911</v>
      </c>
      <c r="M287" s="10">
        <f t="shared" si="34"/>
        <v>0.24429979064384799</v>
      </c>
      <c r="P287" s="8">
        <f t="shared" si="35"/>
        <v>44.561680461637245</v>
      </c>
    </row>
    <row r="288" spans="1:16" x14ac:dyDescent="0.2">
      <c r="A288" s="8">
        <v>143</v>
      </c>
      <c r="B288" s="8">
        <v>286</v>
      </c>
      <c r="D288">
        <v>2120.145890411</v>
      </c>
      <c r="E288">
        <v>526.22191780822004</v>
      </c>
      <c r="F288">
        <v>134.54476584022001</v>
      </c>
      <c r="G288">
        <v>114.79889807163001</v>
      </c>
      <c r="I288" s="9">
        <f t="shared" si="32"/>
        <v>411.42301973659005</v>
      </c>
      <c r="J288" s="9">
        <f t="shared" si="33"/>
        <v>1985.60112457078</v>
      </c>
      <c r="K288" s="9">
        <f t="shared" si="31"/>
        <v>411.42301973659005</v>
      </c>
      <c r="L288" s="10">
        <f t="shared" si="30"/>
        <v>0.20720325680996268</v>
      </c>
      <c r="M288" s="10">
        <f t="shared" si="34"/>
        <v>0.24180875354382975</v>
      </c>
      <c r="P288" s="8">
        <f t="shared" si="35"/>
        <v>43.087636999209941</v>
      </c>
    </row>
    <row r="289" spans="1:16" x14ac:dyDescent="0.2">
      <c r="A289" s="8">
        <v>143.5</v>
      </c>
      <c r="B289" s="8">
        <v>287</v>
      </c>
      <c r="D289">
        <v>2107.4835616437999</v>
      </c>
      <c r="E289">
        <v>516.47054794521</v>
      </c>
      <c r="F289">
        <v>134.08746556474</v>
      </c>
      <c r="G289">
        <v>114.86570247934</v>
      </c>
      <c r="I289" s="9">
        <f t="shared" si="32"/>
        <v>401.60484546586997</v>
      </c>
      <c r="J289" s="9">
        <f t="shared" si="33"/>
        <v>1973.39609607906</v>
      </c>
      <c r="K289" s="9">
        <f t="shared" si="31"/>
        <v>401.60484546586997</v>
      </c>
      <c r="L289" s="10">
        <f t="shared" si="30"/>
        <v>0.2035094962758964</v>
      </c>
      <c r="M289" s="10">
        <f t="shared" si="34"/>
        <v>0.23823599125009168</v>
      </c>
      <c r="P289" s="8">
        <f t="shared" si="35"/>
        <v>40.973494700063625</v>
      </c>
    </row>
    <row r="290" spans="1:16" x14ac:dyDescent="0.2">
      <c r="A290" s="8">
        <v>144</v>
      </c>
      <c r="B290" s="8">
        <v>288</v>
      </c>
      <c r="D290">
        <v>2123.4150684932001</v>
      </c>
      <c r="E290">
        <v>534.83835616438</v>
      </c>
      <c r="F290">
        <v>133.69490358127001</v>
      </c>
      <c r="G290">
        <v>115.32644628099</v>
      </c>
      <c r="I290" s="9">
        <f t="shared" si="32"/>
        <v>419.51190988338999</v>
      </c>
      <c r="J290" s="9">
        <f t="shared" si="33"/>
        <v>1989.7201649119302</v>
      </c>
      <c r="K290" s="9">
        <f t="shared" si="31"/>
        <v>419.51190988338999</v>
      </c>
      <c r="L290" s="10">
        <f t="shared" si="30"/>
        <v>0.2108396533750557</v>
      </c>
      <c r="M290" s="10">
        <f t="shared" si="34"/>
        <v>0.24568714658957919</v>
      </c>
      <c r="P290" s="8">
        <f t="shared" si="35"/>
        <v>45.382632892193065</v>
      </c>
    </row>
    <row r="291" spans="1:16" x14ac:dyDescent="0.2">
      <c r="A291" s="8">
        <v>144.5</v>
      </c>
      <c r="B291" s="8">
        <v>289</v>
      </c>
      <c r="D291">
        <v>2165.6157567381001</v>
      </c>
      <c r="E291">
        <v>540.13130615065995</v>
      </c>
      <c r="F291">
        <v>133.891184573</v>
      </c>
      <c r="G291">
        <v>114.75413223141</v>
      </c>
      <c r="I291" s="9">
        <f t="shared" si="32"/>
        <v>425.37717391924997</v>
      </c>
      <c r="J291" s="9">
        <f t="shared" si="33"/>
        <v>2031.7245721651002</v>
      </c>
      <c r="K291" s="9">
        <f t="shared" si="31"/>
        <v>425.37717391924997</v>
      </c>
      <c r="L291" s="10">
        <f t="shared" si="30"/>
        <v>0.20936753915711531</v>
      </c>
      <c r="M291" s="10">
        <f t="shared" si="34"/>
        <v>0.24433603061196701</v>
      </c>
      <c r="P291" s="8">
        <f t="shared" si="35"/>
        <v>44.583125059184191</v>
      </c>
    </row>
    <row r="292" spans="1:16" x14ac:dyDescent="0.2">
      <c r="A292" s="8">
        <v>145</v>
      </c>
      <c r="B292" s="8">
        <v>290</v>
      </c>
      <c r="D292">
        <v>2162.8472702141999</v>
      </c>
      <c r="E292">
        <v>530.02764340014005</v>
      </c>
      <c r="F292">
        <v>134.48898071625001</v>
      </c>
      <c r="G292">
        <v>114.62534435262</v>
      </c>
      <c r="I292" s="9">
        <f>E292-G292</f>
        <v>415.40229904752005</v>
      </c>
      <c r="J292" s="9">
        <f>D292-F292</f>
        <v>2028.35828949795</v>
      </c>
      <c r="K292" s="9">
        <f t="shared" si="31"/>
        <v>415.40229904752005</v>
      </c>
      <c r="L292" s="10">
        <f t="shared" si="30"/>
        <v>0.20479729897736093</v>
      </c>
      <c r="M292" s="10">
        <f>L292+ABS($N$2)*A292</f>
        <v>0.23988678867254082</v>
      </c>
      <c r="O292" s="11"/>
      <c r="P292" s="8">
        <f>(M292-$O$2)/$O$2*100</f>
        <v>41.950335690643485</v>
      </c>
    </row>
    <row r="293" spans="1:16" x14ac:dyDescent="0.2">
      <c r="A293" s="8">
        <v>145.5</v>
      </c>
      <c r="B293" s="8">
        <v>291</v>
      </c>
      <c r="D293">
        <v>2139.5079474774998</v>
      </c>
      <c r="E293">
        <v>518.74775397374003</v>
      </c>
      <c r="F293">
        <v>134.28030303029999</v>
      </c>
      <c r="G293">
        <v>114.84297520661001</v>
      </c>
      <c r="I293" s="9">
        <f t="shared" ref="I293:I301" si="36">E293-G293</f>
        <v>403.90477876713004</v>
      </c>
      <c r="J293" s="9">
        <f t="shared" ref="J293:J301" si="37">D293-F293</f>
        <v>2005.2276444471997</v>
      </c>
      <c r="K293" s="9">
        <f t="shared" si="31"/>
        <v>403.90477876713004</v>
      </c>
      <c r="L293" s="10">
        <f t="shared" si="30"/>
        <v>0.20142589789523788</v>
      </c>
      <c r="M293" s="10">
        <f t="shared" ref="M293:M301" si="38">L293+ABS($N$2)*A293</f>
        <v>0.23663638583074598</v>
      </c>
      <c r="P293" s="8">
        <f t="shared" ref="P293:P301" si="39">(M293-$O$2)/$O$2*100</f>
        <v>40.026946007218974</v>
      </c>
    </row>
    <row r="294" spans="1:16" x14ac:dyDescent="0.2">
      <c r="A294" s="8">
        <v>146</v>
      </c>
      <c r="B294" s="8">
        <v>292</v>
      </c>
      <c r="D294">
        <v>2139.8424326191998</v>
      </c>
      <c r="E294">
        <v>513.97581202488004</v>
      </c>
      <c r="F294">
        <v>134.54269972451999</v>
      </c>
      <c r="G294">
        <v>114.48071625343999</v>
      </c>
      <c r="I294" s="9">
        <f t="shared" si="36"/>
        <v>399.49509577144005</v>
      </c>
      <c r="J294" s="9">
        <f t="shared" si="37"/>
        <v>2005.2997328946799</v>
      </c>
      <c r="K294" s="9">
        <f t="shared" si="31"/>
        <v>399.49509577144005</v>
      </c>
      <c r="L294" s="10">
        <f t="shared" si="30"/>
        <v>0.19921964243956836</v>
      </c>
      <c r="M294" s="10">
        <f t="shared" si="38"/>
        <v>0.23455112861540467</v>
      </c>
      <c r="N294" s="1"/>
      <c r="P294" s="8">
        <f t="shared" si="39"/>
        <v>38.793018272569547</v>
      </c>
    </row>
    <row r="295" spans="1:16" x14ac:dyDescent="0.2">
      <c r="A295" s="8">
        <v>146.5</v>
      </c>
      <c r="B295" s="8">
        <v>293</v>
      </c>
      <c r="D295">
        <v>2130.4616447823</v>
      </c>
      <c r="E295">
        <v>509.93987560469998</v>
      </c>
      <c r="F295">
        <v>134.14944903580999</v>
      </c>
      <c r="G295">
        <v>114.84228650138</v>
      </c>
      <c r="I295" s="9">
        <f t="shared" si="36"/>
        <v>395.09758910331999</v>
      </c>
      <c r="J295" s="9">
        <f t="shared" si="37"/>
        <v>1996.31219574649</v>
      </c>
      <c r="K295" s="9">
        <f t="shared" si="31"/>
        <v>395.09758910331999</v>
      </c>
      <c r="L295" s="10">
        <f t="shared" si="30"/>
        <v>0.19791372809580987</v>
      </c>
      <c r="M295" s="10">
        <f t="shared" si="38"/>
        <v>0.2333662125119744</v>
      </c>
      <c r="P295" s="8">
        <f t="shared" si="39"/>
        <v>38.091857364217994</v>
      </c>
    </row>
    <row r="296" spans="1:16" x14ac:dyDescent="0.2">
      <c r="A296" s="8">
        <v>147</v>
      </c>
      <c r="B296" s="8">
        <v>294</v>
      </c>
      <c r="D296">
        <v>2122.3759502418998</v>
      </c>
      <c r="E296">
        <v>500.05321354527001</v>
      </c>
      <c r="F296">
        <v>134.39462809917001</v>
      </c>
      <c r="G296">
        <v>114.79407713499</v>
      </c>
      <c r="I296" s="9">
        <f t="shared" si="36"/>
        <v>385.25913641028001</v>
      </c>
      <c r="J296" s="9">
        <f t="shared" si="37"/>
        <v>1987.9813221427298</v>
      </c>
      <c r="K296" s="9">
        <f t="shared" si="31"/>
        <v>385.25913641028001</v>
      </c>
      <c r="L296" s="10">
        <f t="shared" si="30"/>
        <v>0.19379414289216335</v>
      </c>
      <c r="M296" s="10">
        <f t="shared" si="38"/>
        <v>0.22936762554865608</v>
      </c>
      <c r="P296" s="8">
        <f t="shared" si="39"/>
        <v>35.725738059056617</v>
      </c>
    </row>
    <row r="297" spans="1:16" x14ac:dyDescent="0.2">
      <c r="A297" s="8">
        <v>147.5</v>
      </c>
      <c r="B297" s="8">
        <v>295</v>
      </c>
      <c r="D297">
        <v>2122.7221838286</v>
      </c>
      <c r="E297">
        <v>499.24395300622001</v>
      </c>
      <c r="F297">
        <v>134.04476584022001</v>
      </c>
      <c r="G297">
        <v>114.59917355371999</v>
      </c>
      <c r="I297" s="9">
        <f t="shared" si="36"/>
        <v>384.64477945250002</v>
      </c>
      <c r="J297" s="9">
        <f t="shared" si="37"/>
        <v>1988.6774179883801</v>
      </c>
      <c r="K297" s="9">
        <f t="shared" si="31"/>
        <v>384.64477945250002</v>
      </c>
      <c r="L297" s="10">
        <f t="shared" si="30"/>
        <v>0.19341738181025975</v>
      </c>
      <c r="M297" s="10">
        <f t="shared" si="38"/>
        <v>0.22911186270708067</v>
      </c>
      <c r="P297" s="8">
        <f t="shared" si="39"/>
        <v>35.574393245864833</v>
      </c>
    </row>
    <row r="298" spans="1:16" x14ac:dyDescent="0.2">
      <c r="A298" s="8">
        <v>148</v>
      </c>
      <c r="B298" s="8">
        <v>296</v>
      </c>
      <c r="D298">
        <v>2143.6830110496999</v>
      </c>
      <c r="E298">
        <v>498.93301104971999</v>
      </c>
      <c r="F298">
        <v>134.25550964186999</v>
      </c>
      <c r="G298">
        <v>114.68112947658</v>
      </c>
      <c r="I298" s="9">
        <f t="shared" si="36"/>
        <v>384.25188157314</v>
      </c>
      <c r="J298" s="9">
        <f t="shared" si="37"/>
        <v>2009.4275014078298</v>
      </c>
      <c r="K298" s="9">
        <f t="shared" si="31"/>
        <v>384.25188157314</v>
      </c>
      <c r="L298" s="10">
        <f t="shared" si="30"/>
        <v>0.1912245559015831</v>
      </c>
      <c r="M298" s="10">
        <f t="shared" si="38"/>
        <v>0.22704003503873224</v>
      </c>
      <c r="P298" s="8">
        <f t="shared" si="39"/>
        <v>34.34841229608989</v>
      </c>
    </row>
    <row r="299" spans="1:16" x14ac:dyDescent="0.2">
      <c r="A299" s="8">
        <v>148.5</v>
      </c>
      <c r="B299" s="8">
        <v>297</v>
      </c>
      <c r="D299">
        <v>2115.4260027662999</v>
      </c>
      <c r="E299">
        <v>487.59820193638001</v>
      </c>
      <c r="F299">
        <v>133.95110192838001</v>
      </c>
      <c r="G299">
        <v>114.68044077135001</v>
      </c>
      <c r="I299" s="9">
        <f t="shared" si="36"/>
        <v>372.91776116503002</v>
      </c>
      <c r="J299" s="9">
        <f t="shared" si="37"/>
        <v>1981.4749008379199</v>
      </c>
      <c r="K299" s="9">
        <f t="shared" si="31"/>
        <v>372.91776116503002</v>
      </c>
      <c r="L299" s="10">
        <f t="shared" si="30"/>
        <v>0.18820211197594869</v>
      </c>
      <c r="M299" s="10">
        <f t="shared" si="38"/>
        <v>0.22413858935342604</v>
      </c>
      <c r="P299" s="8">
        <f t="shared" si="39"/>
        <v>32.631514123845825</v>
      </c>
    </row>
    <row r="300" spans="1:16" x14ac:dyDescent="0.2">
      <c r="A300" s="8">
        <v>149</v>
      </c>
      <c r="B300" s="8">
        <v>298</v>
      </c>
      <c r="D300">
        <v>2121.1002766252</v>
      </c>
      <c r="E300">
        <v>485.92047026278999</v>
      </c>
      <c r="F300">
        <v>134.00619834711</v>
      </c>
      <c r="G300">
        <v>114.71487603305999</v>
      </c>
      <c r="I300" s="9">
        <f t="shared" si="36"/>
        <v>371.20559422972997</v>
      </c>
      <c r="J300" s="9">
        <f t="shared" si="37"/>
        <v>1987.0940782780899</v>
      </c>
      <c r="K300" s="9">
        <f t="shared" si="31"/>
        <v>371.20559422972997</v>
      </c>
      <c r="L300" s="10">
        <f t="shared" si="30"/>
        <v>0.18680826352791358</v>
      </c>
      <c r="M300" s="10">
        <f t="shared" si="38"/>
        <v>0.22286573914571914</v>
      </c>
      <c r="P300" s="8">
        <f t="shared" si="39"/>
        <v>31.878319188569332</v>
      </c>
    </row>
    <row r="301" spans="1:16" x14ac:dyDescent="0.2">
      <c r="A301" s="8">
        <v>149.5</v>
      </c>
      <c r="B301" s="8">
        <v>299</v>
      </c>
      <c r="D301">
        <v>2079.6728778468</v>
      </c>
      <c r="E301">
        <v>478.95307108351</v>
      </c>
      <c r="F301">
        <v>133.92217630854</v>
      </c>
      <c r="G301">
        <v>114.82851239669</v>
      </c>
      <c r="I301" s="9">
        <f t="shared" si="36"/>
        <v>364.12455868682002</v>
      </c>
      <c r="J301" s="9">
        <f t="shared" si="37"/>
        <v>1945.75070153826</v>
      </c>
      <c r="K301" s="9">
        <f t="shared" si="31"/>
        <v>364.12455868682002</v>
      </c>
      <c r="L301" s="10">
        <f t="shared" si="30"/>
        <v>0.18713834120627715</v>
      </c>
      <c r="M301" s="10">
        <f t="shared" si="38"/>
        <v>0.22331681506441092</v>
      </c>
      <c r="P301" s="8">
        <f t="shared" si="39"/>
        <v>32.145238340034851</v>
      </c>
    </row>
    <row r="302" spans="1:16" x14ac:dyDescent="0.2">
      <c r="A302" s="8">
        <v>150</v>
      </c>
      <c r="B302" s="8">
        <v>300</v>
      </c>
      <c r="D302">
        <v>2098.9496204278998</v>
      </c>
      <c r="E302">
        <v>482.45065562457</v>
      </c>
      <c r="F302">
        <v>134.54614325068999</v>
      </c>
      <c r="G302">
        <v>114.71900826446</v>
      </c>
      <c r="I302" s="9">
        <f>E302-G302</f>
        <v>367.73164736011</v>
      </c>
      <c r="J302" s="9">
        <f>D302-F302</f>
        <v>1964.4034771772099</v>
      </c>
      <c r="K302" s="9">
        <f t="shared" si="31"/>
        <v>367.73164736011</v>
      </c>
      <c r="L302" s="10">
        <f t="shared" si="30"/>
        <v>0.18719761578132085</v>
      </c>
      <c r="M302" s="10">
        <f>L302+ABS($N$2)*A302</f>
        <v>0.22349708787978281</v>
      </c>
      <c r="O302" s="11"/>
      <c r="P302" s="8">
        <f>(M302-$O$2)/$O$2*100</f>
        <v>32.25191277091762</v>
      </c>
    </row>
    <row r="303" spans="1:16" x14ac:dyDescent="0.2">
      <c r="A303" s="8">
        <v>150.5</v>
      </c>
      <c r="B303" s="8">
        <v>301</v>
      </c>
      <c r="D303">
        <v>2032.9556786703999</v>
      </c>
      <c r="E303">
        <v>478.75069252077998</v>
      </c>
      <c r="F303">
        <v>134.4152892562</v>
      </c>
      <c r="G303">
        <v>114.90013774105</v>
      </c>
      <c r="I303" s="9">
        <f t="shared" ref="I303:I309" si="40">E303-G303</f>
        <v>363.85055477972998</v>
      </c>
      <c r="J303" s="9">
        <f t="shared" ref="J303:J309" si="41">D303-F303</f>
        <v>1898.5403894142</v>
      </c>
      <c r="K303" s="9">
        <f t="shared" si="31"/>
        <v>363.85055477972998</v>
      </c>
      <c r="L303" s="10">
        <f t="shared" si="30"/>
        <v>0.19164751869829699</v>
      </c>
      <c r="M303" s="10">
        <f t="shared" ref="M303:M309" si="42">L303+ABS($N$2)*A303</f>
        <v>0.22806798903708717</v>
      </c>
      <c r="P303" s="8">
        <f t="shared" ref="P303:P309" si="43">(M303-$O$2)/$O$2*100</f>
        <v>34.956692626776245</v>
      </c>
    </row>
    <row r="304" spans="1:16" x14ac:dyDescent="0.2">
      <c r="A304" s="8">
        <v>151</v>
      </c>
      <c r="B304" s="8">
        <v>302</v>
      </c>
      <c r="D304">
        <v>1999.3391003459999</v>
      </c>
      <c r="E304">
        <v>484.61522491350001</v>
      </c>
      <c r="F304">
        <v>134.12741046831999</v>
      </c>
      <c r="G304">
        <v>114.75619834711</v>
      </c>
      <c r="I304" s="9">
        <f t="shared" si="40"/>
        <v>369.85902656639001</v>
      </c>
      <c r="J304" s="9">
        <f t="shared" si="41"/>
        <v>1865.2116898776799</v>
      </c>
      <c r="K304" s="9">
        <f t="shared" si="31"/>
        <v>369.85902656639001</v>
      </c>
      <c r="L304" s="10">
        <f t="shared" si="30"/>
        <v>0.19829332433073335</v>
      </c>
      <c r="M304" s="10">
        <f t="shared" si="42"/>
        <v>0.23483479290985174</v>
      </c>
      <c r="N304" s="1"/>
      <c r="P304" s="8">
        <f t="shared" si="43"/>
        <v>38.960873459772777</v>
      </c>
    </row>
    <row r="305" spans="1:16" x14ac:dyDescent="0.2">
      <c r="A305" s="8">
        <v>151.5</v>
      </c>
      <c r="B305" s="8">
        <v>303</v>
      </c>
      <c r="D305">
        <v>1993.8553633218</v>
      </c>
      <c r="E305">
        <v>499.3446366782</v>
      </c>
      <c r="F305">
        <v>134.10261707989</v>
      </c>
      <c r="G305">
        <v>115.02961432507</v>
      </c>
      <c r="I305" s="9">
        <f t="shared" si="40"/>
        <v>384.31502235313002</v>
      </c>
      <c r="J305" s="9">
        <f t="shared" si="41"/>
        <v>1859.75274624191</v>
      </c>
      <c r="K305" s="9">
        <f t="shared" si="31"/>
        <v>384.31502235313002</v>
      </c>
      <c r="L305" s="10">
        <f t="shared" si="30"/>
        <v>0.2066484499779519</v>
      </c>
      <c r="M305" s="10">
        <f t="shared" si="42"/>
        <v>0.2433109167973985</v>
      </c>
      <c r="P305" s="8">
        <f t="shared" si="43"/>
        <v>43.976525375623652</v>
      </c>
    </row>
    <row r="306" spans="1:16" x14ac:dyDescent="0.2">
      <c r="A306" s="8">
        <v>152</v>
      </c>
      <c r="B306" s="8">
        <v>304</v>
      </c>
      <c r="D306">
        <v>2060.5128027681999</v>
      </c>
      <c r="E306">
        <v>500.62975778547002</v>
      </c>
      <c r="F306">
        <v>133.81818181817999</v>
      </c>
      <c r="G306">
        <v>114.97589531680001</v>
      </c>
      <c r="I306" s="9">
        <f t="shared" si="40"/>
        <v>385.65386246867001</v>
      </c>
      <c r="J306" s="9">
        <f t="shared" si="41"/>
        <v>1926.69462095002</v>
      </c>
      <c r="K306" s="9">
        <f t="shared" si="31"/>
        <v>385.65386246867001</v>
      </c>
      <c r="L306" s="10">
        <f t="shared" si="30"/>
        <v>0.20016346040272368</v>
      </c>
      <c r="M306" s="10">
        <f t="shared" si="42"/>
        <v>0.23694692546249846</v>
      </c>
      <c r="P306" s="8">
        <f t="shared" si="43"/>
        <v>40.210704375974693</v>
      </c>
    </row>
    <row r="307" spans="1:16" x14ac:dyDescent="0.2">
      <c r="A307" s="8">
        <v>152.5</v>
      </c>
      <c r="B307" s="8">
        <v>305</v>
      </c>
      <c r="D307">
        <v>2079.0858131487998</v>
      </c>
      <c r="E307">
        <v>494.00692041523001</v>
      </c>
      <c r="F307">
        <v>134.04201101928001</v>
      </c>
      <c r="G307">
        <v>114.70179063361</v>
      </c>
      <c r="I307" s="9">
        <f t="shared" si="40"/>
        <v>379.30512978162</v>
      </c>
      <c r="J307" s="9">
        <f t="shared" si="41"/>
        <v>1945.0438021295199</v>
      </c>
      <c r="K307" s="9">
        <f t="shared" si="31"/>
        <v>379.30512978162</v>
      </c>
      <c r="L307" s="10">
        <f t="shared" si="30"/>
        <v>0.19501109916719611</v>
      </c>
      <c r="M307" s="10">
        <f t="shared" si="42"/>
        <v>0.23191556246729911</v>
      </c>
      <c r="P307" s="8">
        <f t="shared" si="43"/>
        <v>37.233451355488612</v>
      </c>
    </row>
    <row r="308" spans="1:16" x14ac:dyDescent="0.2">
      <c r="A308" s="8">
        <v>153</v>
      </c>
      <c r="B308" s="8">
        <v>306</v>
      </c>
      <c r="D308">
        <v>2071.6532871971999</v>
      </c>
      <c r="E308">
        <v>488.01245674741</v>
      </c>
      <c r="F308">
        <v>133.79752066116001</v>
      </c>
      <c r="G308">
        <v>114.39325068871</v>
      </c>
      <c r="I308" s="9">
        <f t="shared" si="40"/>
        <v>373.6192060587</v>
      </c>
      <c r="J308" s="9">
        <f t="shared" si="41"/>
        <v>1937.8557665360399</v>
      </c>
      <c r="K308" s="9">
        <f t="shared" si="31"/>
        <v>373.6192060587</v>
      </c>
      <c r="L308" s="10">
        <f t="shared" si="30"/>
        <v>0.1928003169846601</v>
      </c>
      <c r="M308" s="10">
        <f t="shared" si="42"/>
        <v>0.22982577852509131</v>
      </c>
      <c r="P308" s="8">
        <f t="shared" si="43"/>
        <v>35.996844980627962</v>
      </c>
    </row>
    <row r="309" spans="1:16" x14ac:dyDescent="0.2">
      <c r="A309" s="8">
        <v>153.5</v>
      </c>
      <c r="B309" s="8">
        <v>307</v>
      </c>
      <c r="D309">
        <v>2078.4394463668</v>
      </c>
      <c r="E309">
        <v>487.29342560553999</v>
      </c>
      <c r="F309">
        <v>133.82369146005999</v>
      </c>
      <c r="G309">
        <v>114.76446280992</v>
      </c>
      <c r="I309" s="9">
        <f t="shared" si="40"/>
        <v>372.52896279561998</v>
      </c>
      <c r="J309" s="9">
        <f t="shared" si="41"/>
        <v>1944.61575490674</v>
      </c>
      <c r="K309" s="9">
        <f t="shared" si="31"/>
        <v>372.52896279561998</v>
      </c>
      <c r="L309" s="10">
        <f t="shared" si="30"/>
        <v>0.19156944597185255</v>
      </c>
      <c r="M309" s="10">
        <f t="shared" si="42"/>
        <v>0.22871590575261197</v>
      </c>
      <c r="P309" s="8">
        <f t="shared" si="43"/>
        <v>35.340090127644345</v>
      </c>
    </row>
    <row r="310" spans="1:16" x14ac:dyDescent="0.2">
      <c r="A310" s="8">
        <v>154</v>
      </c>
      <c r="B310" s="8">
        <v>308</v>
      </c>
      <c r="D310">
        <v>2089.1058823529002</v>
      </c>
      <c r="E310">
        <v>496.69065743944998</v>
      </c>
      <c r="F310">
        <v>133.71074380165001</v>
      </c>
      <c r="G310">
        <v>114.90220385675001</v>
      </c>
      <c r="I310" s="9">
        <f>E310-G310</f>
        <v>381.78845358269996</v>
      </c>
      <c r="J310" s="9">
        <f>D310-F310</f>
        <v>1955.3951385512501</v>
      </c>
      <c r="K310" s="9">
        <f t="shared" si="31"/>
        <v>381.78845358269996</v>
      </c>
      <c r="L310" s="10">
        <f t="shared" si="30"/>
        <v>0.19524874847830836</v>
      </c>
      <c r="M310" s="10">
        <f>L310+ABS($N$2)*A310</f>
        <v>0.23251620649939597</v>
      </c>
      <c r="O310" s="11"/>
      <c r="P310" s="8">
        <f>(M310-$O$2)/$O$2*100</f>
        <v>37.588875772391859</v>
      </c>
    </row>
    <row r="311" spans="1:16" x14ac:dyDescent="0.2">
      <c r="A311" s="8">
        <v>154.5</v>
      </c>
      <c r="B311" s="8">
        <v>309</v>
      </c>
      <c r="D311">
        <v>2063.7266435985998</v>
      </c>
      <c r="E311">
        <v>490.89550173010002</v>
      </c>
      <c r="F311">
        <v>133.90633608815</v>
      </c>
      <c r="G311">
        <v>114.59090909091</v>
      </c>
      <c r="I311" s="9">
        <f t="shared" ref="I311:I319" si="44">E311-G311</f>
        <v>376.30459263918999</v>
      </c>
      <c r="J311" s="9">
        <f t="shared" ref="J311:J319" si="45">D311-F311</f>
        <v>1929.8203075104498</v>
      </c>
      <c r="K311" s="9">
        <f t="shared" si="31"/>
        <v>376.30459263918999</v>
      </c>
      <c r="L311" s="10">
        <f t="shared" si="30"/>
        <v>0.19499462782865981</v>
      </c>
      <c r="M311" s="10">
        <f t="shared" ref="M311:M319" si="46">L311+ABS($N$2)*A311</f>
        <v>0.23238308409007563</v>
      </c>
      <c r="P311" s="8">
        <f t="shared" ref="P311:P319" si="47">(M311-$O$2)/$O$2*100</f>
        <v>37.510102069198211</v>
      </c>
    </row>
    <row r="312" spans="1:16" x14ac:dyDescent="0.2">
      <c r="A312" s="8">
        <v>155</v>
      </c>
      <c r="B312" s="8">
        <v>310</v>
      </c>
      <c r="D312">
        <v>2056.1515570933998</v>
      </c>
      <c r="E312">
        <v>485.60899653978998</v>
      </c>
      <c r="F312">
        <v>134.13429752066</v>
      </c>
      <c r="G312">
        <v>114.38292011019</v>
      </c>
      <c r="I312" s="9">
        <f t="shared" si="44"/>
        <v>371.22607642959997</v>
      </c>
      <c r="J312" s="9">
        <f t="shared" si="45"/>
        <v>1922.0172595727397</v>
      </c>
      <c r="K312" s="9">
        <f t="shared" si="31"/>
        <v>371.22607642959997</v>
      </c>
      <c r="L312" s="10">
        <f t="shared" si="30"/>
        <v>0.19314398691306378</v>
      </c>
      <c r="M312" s="10">
        <f t="shared" si="46"/>
        <v>0.23065344141480781</v>
      </c>
      <c r="N312" s="1"/>
      <c r="P312" s="8">
        <f t="shared" si="47"/>
        <v>36.486605278325399</v>
      </c>
    </row>
    <row r="313" spans="1:16" x14ac:dyDescent="0.2">
      <c r="A313" s="8">
        <v>155.5</v>
      </c>
      <c r="B313" s="8">
        <v>311</v>
      </c>
      <c r="D313">
        <v>2030.5806228373999</v>
      </c>
      <c r="E313">
        <v>475.97301038062</v>
      </c>
      <c r="F313">
        <v>133.94696969697</v>
      </c>
      <c r="G313">
        <v>114.92079889807</v>
      </c>
      <c r="I313" s="9">
        <f t="shared" si="44"/>
        <v>361.05221148254998</v>
      </c>
      <c r="J313" s="9">
        <f t="shared" si="45"/>
        <v>1896.6336531404299</v>
      </c>
      <c r="K313" s="9">
        <f t="shared" si="31"/>
        <v>361.05221148254998</v>
      </c>
      <c r="L313" s="10">
        <f t="shared" si="30"/>
        <v>0.19036476068255079</v>
      </c>
      <c r="M313" s="10">
        <f t="shared" si="46"/>
        <v>0.22799521342462303</v>
      </c>
      <c r="P313" s="8">
        <f t="shared" si="47"/>
        <v>34.913628468568362</v>
      </c>
    </row>
    <row r="314" spans="1:16" x14ac:dyDescent="0.2">
      <c r="A314" s="8">
        <v>156</v>
      </c>
      <c r="B314" s="8">
        <v>312</v>
      </c>
      <c r="D314">
        <v>2066.3379215415998</v>
      </c>
      <c r="E314">
        <v>480.10874053681999</v>
      </c>
      <c r="F314">
        <v>133.90151515151999</v>
      </c>
      <c r="G314">
        <v>114.61157024793</v>
      </c>
      <c r="I314" s="9">
        <f t="shared" si="44"/>
        <v>365.49717028889</v>
      </c>
      <c r="J314" s="9">
        <f t="shared" si="45"/>
        <v>1932.4364063900798</v>
      </c>
      <c r="K314" s="9">
        <f t="shared" si="31"/>
        <v>365.49717028889</v>
      </c>
      <c r="L314" s="10">
        <f t="shared" si="30"/>
        <v>0.18913800686029461</v>
      </c>
      <c r="M314" s="10">
        <f t="shared" si="46"/>
        <v>0.22688945784269504</v>
      </c>
      <c r="P314" s="8">
        <f t="shared" si="47"/>
        <v>34.259309917242284</v>
      </c>
    </row>
    <row r="315" spans="1:16" x14ac:dyDescent="0.2">
      <c r="A315" s="8">
        <v>156.5</v>
      </c>
      <c r="B315" s="8">
        <v>313</v>
      </c>
      <c r="D315">
        <v>2060.9256710254999</v>
      </c>
      <c r="E315">
        <v>469.52236751548998</v>
      </c>
      <c r="F315">
        <v>134.25619834711</v>
      </c>
      <c r="G315">
        <v>114.54476584021999</v>
      </c>
      <c r="I315" s="9">
        <f t="shared" si="44"/>
        <v>354.97760167526997</v>
      </c>
      <c r="J315" s="9">
        <f t="shared" si="45"/>
        <v>1926.6694726783899</v>
      </c>
      <c r="K315" s="9">
        <f t="shared" si="31"/>
        <v>354.97760167526997</v>
      </c>
      <c r="L315" s="10">
        <f t="shared" si="30"/>
        <v>0.18424416160068818</v>
      </c>
      <c r="M315" s="10">
        <f t="shared" si="46"/>
        <v>0.22211661082341683</v>
      </c>
      <c r="P315" s="8">
        <f t="shared" si="47"/>
        <v>31.435030846536705</v>
      </c>
    </row>
    <row r="316" spans="1:16" x14ac:dyDescent="0.2">
      <c r="A316" s="8">
        <v>157</v>
      </c>
      <c r="B316" s="8">
        <v>314</v>
      </c>
      <c r="D316">
        <v>2064.7253957329999</v>
      </c>
      <c r="E316">
        <v>466.00894700619</v>
      </c>
      <c r="F316">
        <v>133.43732782369</v>
      </c>
      <c r="G316">
        <v>114.57644628099</v>
      </c>
      <c r="I316" s="9">
        <f t="shared" si="44"/>
        <v>351.43250072519999</v>
      </c>
      <c r="J316" s="9">
        <f t="shared" si="45"/>
        <v>1931.28806790931</v>
      </c>
      <c r="K316" s="9">
        <f t="shared" si="31"/>
        <v>351.43250072519999</v>
      </c>
      <c r="L316" s="10">
        <f t="shared" si="30"/>
        <v>0.18196793454310445</v>
      </c>
      <c r="M316" s="10">
        <f t="shared" si="46"/>
        <v>0.2199613820061613</v>
      </c>
      <c r="P316" s="8">
        <f t="shared" si="47"/>
        <v>30.159698195695356</v>
      </c>
    </row>
    <row r="317" spans="1:16" x14ac:dyDescent="0.2">
      <c r="A317" s="8">
        <v>157.5</v>
      </c>
      <c r="B317" s="8">
        <v>315</v>
      </c>
      <c r="D317">
        <v>2052.9318651067001</v>
      </c>
      <c r="E317">
        <v>461.87680660702</v>
      </c>
      <c r="F317">
        <v>133.93595041322001</v>
      </c>
      <c r="G317">
        <v>114.48140495868</v>
      </c>
      <c r="I317" s="9">
        <f t="shared" si="44"/>
        <v>347.39540164834</v>
      </c>
      <c r="J317" s="9">
        <f t="shared" si="45"/>
        <v>1918.99591469348</v>
      </c>
      <c r="K317" s="9">
        <f t="shared" si="31"/>
        <v>347.39540164834</v>
      </c>
      <c r="L317" s="10">
        <f t="shared" si="30"/>
        <v>0.18102977655574073</v>
      </c>
      <c r="M317" s="10">
        <f t="shared" si="46"/>
        <v>0.2191442222591258</v>
      </c>
      <c r="P317" s="8">
        <f t="shared" si="47"/>
        <v>29.676153015710842</v>
      </c>
    </row>
    <row r="318" spans="1:16" x14ac:dyDescent="0.2">
      <c r="A318" s="8">
        <v>158</v>
      </c>
      <c r="B318" s="8">
        <v>316</v>
      </c>
      <c r="D318">
        <v>2152.0689179875999</v>
      </c>
      <c r="E318">
        <v>482.67126119916998</v>
      </c>
      <c r="F318">
        <v>133.71074380165001</v>
      </c>
      <c r="G318">
        <v>114.50137741047</v>
      </c>
      <c r="I318" s="9">
        <f t="shared" si="44"/>
        <v>368.16988378869996</v>
      </c>
      <c r="J318" s="9">
        <f t="shared" si="45"/>
        <v>2018.3581741859498</v>
      </c>
      <c r="K318" s="9">
        <f t="shared" si="31"/>
        <v>368.16988378869996</v>
      </c>
      <c r="L318" s="10">
        <f t="shared" si="30"/>
        <v>0.18241057930027277</v>
      </c>
      <c r="M318" s="10">
        <f t="shared" si="46"/>
        <v>0.22064602324398605</v>
      </c>
      <c r="P318" s="8">
        <f t="shared" si="47"/>
        <v>30.564827023650707</v>
      </c>
    </row>
    <row r="319" spans="1:16" x14ac:dyDescent="0.2">
      <c r="A319" s="8">
        <v>158.5</v>
      </c>
      <c r="B319" s="8">
        <v>317</v>
      </c>
      <c r="D319">
        <v>2152.1274982771001</v>
      </c>
      <c r="E319">
        <v>480.54651964163003</v>
      </c>
      <c r="F319">
        <v>133.79958677686</v>
      </c>
      <c r="G319">
        <v>114.80096418733</v>
      </c>
      <c r="I319" s="9">
        <f t="shared" si="44"/>
        <v>365.74555545430002</v>
      </c>
      <c r="J319" s="9">
        <f t="shared" si="45"/>
        <v>2018.3279115002401</v>
      </c>
      <c r="K319" s="9">
        <f t="shared" si="31"/>
        <v>365.74555545430002</v>
      </c>
      <c r="L319" s="10">
        <f t="shared" si="30"/>
        <v>0.18121215753412351</v>
      </c>
      <c r="M319" s="10">
        <f t="shared" si="46"/>
        <v>0.219568599718165</v>
      </c>
      <c r="P319" s="8">
        <f t="shared" si="47"/>
        <v>29.927273651005137</v>
      </c>
    </row>
    <row r="320" spans="1:16" x14ac:dyDescent="0.2">
      <c r="A320" s="8">
        <v>159</v>
      </c>
      <c r="B320" s="8">
        <v>318</v>
      </c>
      <c r="D320">
        <v>2115.8104755341001</v>
      </c>
      <c r="E320">
        <v>470.80702963473999</v>
      </c>
      <c r="F320">
        <v>133.83815426997</v>
      </c>
      <c r="G320">
        <v>114.30578512397</v>
      </c>
      <c r="I320" s="9">
        <f>E320-G320</f>
        <v>356.50124451076999</v>
      </c>
      <c r="J320" s="9">
        <f>D320-F320</f>
        <v>1981.9723212641302</v>
      </c>
      <c r="K320" s="9">
        <f t="shared" si="31"/>
        <v>356.50124451076999</v>
      </c>
      <c r="L320" s="10">
        <f t="shared" si="30"/>
        <v>0.17987195920243146</v>
      </c>
      <c r="M320" s="10">
        <f>L320+ABS($N$2)*A320</f>
        <v>0.21834939962680114</v>
      </c>
      <c r="O320" s="11"/>
      <c r="P320" s="8">
        <f>(M320-$O$2)/$O$2*100</f>
        <v>29.205825574598528</v>
      </c>
    </row>
    <row r="321" spans="1:16" x14ac:dyDescent="0.2">
      <c r="A321" s="8">
        <v>159.5</v>
      </c>
      <c r="B321" s="8">
        <v>319</v>
      </c>
      <c r="D321">
        <v>2071.5678670359998</v>
      </c>
      <c r="E321">
        <v>463.27146814404</v>
      </c>
      <c r="F321">
        <v>134.02548209366</v>
      </c>
      <c r="G321">
        <v>114.30234159779999</v>
      </c>
      <c r="I321" s="9">
        <f t="shared" ref="I321:I322" si="48">E321-G321</f>
        <v>348.96912654623998</v>
      </c>
      <c r="J321" s="9">
        <f t="shared" ref="J321:J322" si="49">D321-F321</f>
        <v>1937.5423849423398</v>
      </c>
      <c r="K321" s="9">
        <f t="shared" si="31"/>
        <v>348.96912654623998</v>
      </c>
      <c r="L321" s="10">
        <f t="shared" si="30"/>
        <v>0.1801091574864439</v>
      </c>
      <c r="M321" s="10">
        <f t="shared" ref="M321:M322" si="50">L321+ABS($N$2)*A321</f>
        <v>0.2187075961511418</v>
      </c>
      <c r="P321" s="8">
        <f t="shared" ref="P321:P322" si="51">(M321-$O$2)/$O$2*100</f>
        <v>29.417784378810897</v>
      </c>
    </row>
    <row r="322" spans="1:16" x14ac:dyDescent="0.2">
      <c r="A322" s="8">
        <v>160</v>
      </c>
      <c r="D322">
        <v>1995.8746537396</v>
      </c>
      <c r="E322">
        <v>451.73961218837002</v>
      </c>
      <c r="F322">
        <v>133.69628099174</v>
      </c>
      <c r="G322">
        <v>114.58815426997</v>
      </c>
      <c r="I322" s="9">
        <f t="shared" si="48"/>
        <v>337.15145791840001</v>
      </c>
      <c r="J322" s="9">
        <f t="shared" si="49"/>
        <v>1862.1783727478601</v>
      </c>
      <c r="K322" s="9">
        <f t="shared" si="31"/>
        <v>337.15145791840001</v>
      </c>
      <c r="L322" s="10">
        <f t="shared" ref="L322" si="52">K322/J322</f>
        <v>0.18105218213918678</v>
      </c>
      <c r="M322" s="10">
        <f t="shared" si="50"/>
        <v>0.21977161904421288</v>
      </c>
      <c r="P322" s="8">
        <f t="shared" si="51"/>
        <v>30.047408076263228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1260F-F0EC-F343-84E3-AA5489B50120}">
  <dimension ref="A1:Y798"/>
  <sheetViews>
    <sheetView topLeftCell="F1" zoomScale="75" zoomScaleNormal="70" workbookViewId="0">
      <selection activeCell="P2" sqref="P2:P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4068.8017839445001</v>
      </c>
      <c r="E2">
        <v>731.37066402379003</v>
      </c>
      <c r="F2">
        <v>141.57753479125</v>
      </c>
      <c r="G2">
        <v>119.61729622266</v>
      </c>
      <c r="H2" s="4"/>
      <c r="I2" s="5">
        <f>E2-G2</f>
        <v>611.75336780113003</v>
      </c>
      <c r="J2" s="5">
        <f>D2-F2</f>
        <v>3927.2242491532502</v>
      </c>
      <c r="K2" s="9">
        <f>I2*1</f>
        <v>611.75336780113003</v>
      </c>
      <c r="L2" s="6">
        <f t="shared" ref="L2:L65" si="0">K2/J2</f>
        <v>0.15577245631772374</v>
      </c>
      <c r="M2" s="6">
        <f>L2+ABS($N$2)*A2</f>
        <v>0.15577245631772374</v>
      </c>
      <c r="N2" s="4">
        <f>LINEST(V64:V103,U64:U103)</f>
        <v>5.370582233304972E-5</v>
      </c>
      <c r="O2" s="7">
        <f>AVERAGE(M62:M81)</f>
        <v>0.15510474784950118</v>
      </c>
      <c r="P2" s="4">
        <f>(M2-$O$2)/$O$2*100</f>
        <v>0.43048873582544445</v>
      </c>
    </row>
    <row r="3" spans="1:16" x14ac:dyDescent="0.2">
      <c r="A3" s="8">
        <v>0.5</v>
      </c>
      <c r="B3" s="8">
        <v>1</v>
      </c>
      <c r="D3">
        <v>4001.3785926659998</v>
      </c>
      <c r="E3">
        <v>715.22497522299</v>
      </c>
      <c r="F3">
        <v>141.49204771372001</v>
      </c>
      <c r="G3">
        <v>119.50099403579</v>
      </c>
      <c r="I3" s="9">
        <f t="shared" ref="I3:I66" si="1">E3-G3</f>
        <v>595.72398118720002</v>
      </c>
      <c r="J3" s="9">
        <f t="shared" ref="J3:J66" si="2">D3-F3</f>
        <v>3859.88654495228</v>
      </c>
      <c r="K3" s="9">
        <f t="shared" ref="K3:K66" si="3">I3*1</f>
        <v>595.72398118720002</v>
      </c>
      <c r="L3" s="10">
        <f t="shared" si="0"/>
        <v>0.15433717396855895</v>
      </c>
      <c r="M3" s="10">
        <f t="shared" ref="M3:M66" si="4">L3+ABS($N$2)*A3</f>
        <v>0.15436402687972547</v>
      </c>
      <c r="P3" s="8">
        <f t="shared" ref="P3:P66" si="5">(M3-$O$2)/$O$2*100</f>
        <v>-0.47756176393415711</v>
      </c>
    </row>
    <row r="4" spans="1:16" ht="16" x14ac:dyDescent="0.2">
      <c r="A4" s="8">
        <v>1</v>
      </c>
      <c r="B4" s="8">
        <v>2</v>
      </c>
      <c r="D4">
        <v>3958.2061446977</v>
      </c>
      <c r="E4">
        <v>705.64222001982</v>
      </c>
      <c r="F4">
        <v>141.30019880716</v>
      </c>
      <c r="G4">
        <v>119.58250497018</v>
      </c>
      <c r="I4" s="9">
        <f t="shared" si="1"/>
        <v>586.05971504963998</v>
      </c>
      <c r="J4" s="9">
        <f t="shared" si="2"/>
        <v>3816.9059458905399</v>
      </c>
      <c r="K4" s="9">
        <f t="shared" si="3"/>
        <v>586.05971504963998</v>
      </c>
      <c r="L4" s="10">
        <f t="shared" si="0"/>
        <v>0.1535431376506983</v>
      </c>
      <c r="M4" s="10">
        <f t="shared" si="4"/>
        <v>0.15359684347303135</v>
      </c>
      <c r="N4" s="1" t="s">
        <v>7</v>
      </c>
      <c r="P4" s="8">
        <f t="shared" si="5"/>
        <v>-0.97218453811159811</v>
      </c>
    </row>
    <row r="5" spans="1:16" x14ac:dyDescent="0.2">
      <c r="A5" s="8">
        <v>1.5</v>
      </c>
      <c r="B5" s="8">
        <v>3</v>
      </c>
      <c r="D5">
        <v>3953.6337325349</v>
      </c>
      <c r="E5">
        <v>703.00399201596997</v>
      </c>
      <c r="F5">
        <v>141.85884691849</v>
      </c>
      <c r="G5">
        <v>119.4125248509</v>
      </c>
      <c r="I5" s="9">
        <f t="shared" si="1"/>
        <v>583.59146716506996</v>
      </c>
      <c r="J5" s="9">
        <f t="shared" si="2"/>
        <v>3811.7748856164098</v>
      </c>
      <c r="K5" s="9">
        <f t="shared" si="3"/>
        <v>583.59146716506996</v>
      </c>
      <c r="L5" s="10">
        <f t="shared" si="0"/>
        <v>0.15310229084283822</v>
      </c>
      <c r="M5" s="10">
        <f t="shared" si="4"/>
        <v>0.15318284957633779</v>
      </c>
      <c r="N5" s="8">
        <f>RSQ(V64:V83,U64:U83)</f>
        <v>0.7527828305802936</v>
      </c>
      <c r="P5" s="8">
        <f t="shared" si="5"/>
        <v>-1.2390969972293899</v>
      </c>
    </row>
    <row r="6" spans="1:16" x14ac:dyDescent="0.2">
      <c r="A6" s="8">
        <v>2</v>
      </c>
      <c r="B6" s="8">
        <v>4</v>
      </c>
      <c r="D6">
        <v>3749.753968254</v>
      </c>
      <c r="E6">
        <v>673.08630952380997</v>
      </c>
      <c r="F6">
        <v>141.88966202783001</v>
      </c>
      <c r="G6">
        <v>119.87375745527</v>
      </c>
      <c r="I6" s="9">
        <f t="shared" si="1"/>
        <v>553.21255206853994</v>
      </c>
      <c r="J6" s="9">
        <f t="shared" si="2"/>
        <v>3607.8643062261699</v>
      </c>
      <c r="K6" s="9">
        <f t="shared" si="3"/>
        <v>553.21255206853994</v>
      </c>
      <c r="L6" s="10">
        <f t="shared" si="0"/>
        <v>0.15333518810944441</v>
      </c>
      <c r="M6" s="10">
        <f t="shared" si="4"/>
        <v>0.15344259975411051</v>
      </c>
      <c r="P6" s="8">
        <f t="shared" si="5"/>
        <v>-1.0716294107279418</v>
      </c>
    </row>
    <row r="7" spans="1:16" x14ac:dyDescent="0.2">
      <c r="A7" s="8">
        <v>2.5</v>
      </c>
      <c r="B7" s="8">
        <v>5</v>
      </c>
      <c r="D7">
        <v>3438.7455268389999</v>
      </c>
      <c r="E7">
        <v>615.49602385686001</v>
      </c>
      <c r="F7">
        <v>141.74751491053999</v>
      </c>
      <c r="G7">
        <v>120.00397614313999</v>
      </c>
      <c r="I7" s="9">
        <f t="shared" si="1"/>
        <v>495.49204771372001</v>
      </c>
      <c r="J7" s="9">
        <f t="shared" si="2"/>
        <v>3296.9980119284601</v>
      </c>
      <c r="K7" s="9">
        <f t="shared" si="3"/>
        <v>495.49204771372001</v>
      </c>
      <c r="L7" s="10">
        <f t="shared" si="0"/>
        <v>0.1502858193790356</v>
      </c>
      <c r="M7" s="10">
        <f t="shared" si="4"/>
        <v>0.15042008393486822</v>
      </c>
      <c r="P7" s="8">
        <f t="shared" si="5"/>
        <v>-3.0203227042272802</v>
      </c>
    </row>
    <row r="8" spans="1:16" x14ac:dyDescent="0.2">
      <c r="A8" s="8">
        <v>3</v>
      </c>
      <c r="B8" s="8">
        <v>6</v>
      </c>
      <c r="D8">
        <v>3425.9940357853002</v>
      </c>
      <c r="E8">
        <v>634.22365805168999</v>
      </c>
      <c r="F8">
        <v>141.70974155069999</v>
      </c>
      <c r="G8">
        <v>119.75844930418</v>
      </c>
      <c r="I8" s="9">
        <f t="shared" si="1"/>
        <v>514.46520874751002</v>
      </c>
      <c r="J8" s="9">
        <f t="shared" si="2"/>
        <v>3284.2842942346001</v>
      </c>
      <c r="K8" s="9">
        <f t="shared" si="3"/>
        <v>514.46520874751002</v>
      </c>
      <c r="L8" s="10">
        <f t="shared" si="0"/>
        <v>0.15664454190236468</v>
      </c>
      <c r="M8" s="10">
        <f t="shared" si="4"/>
        <v>0.15680565936936383</v>
      </c>
      <c r="P8" s="8">
        <f t="shared" si="5"/>
        <v>1.0966211824237995</v>
      </c>
    </row>
    <row r="9" spans="1:16" x14ac:dyDescent="0.2">
      <c r="A9" s="8">
        <v>3.5</v>
      </c>
      <c r="B9" s="8">
        <v>7</v>
      </c>
      <c r="D9">
        <v>3846.5765407555</v>
      </c>
      <c r="E9">
        <v>683.13916500994003</v>
      </c>
      <c r="F9">
        <v>141.8449304175</v>
      </c>
      <c r="G9">
        <v>119.53777335984</v>
      </c>
      <c r="I9" s="9">
        <f t="shared" si="1"/>
        <v>563.60139165010003</v>
      </c>
      <c r="J9" s="9">
        <f t="shared" si="2"/>
        <v>3704.7316103379999</v>
      </c>
      <c r="K9" s="9">
        <f t="shared" si="3"/>
        <v>563.60139165010003</v>
      </c>
      <c r="L9" s="10">
        <f t="shared" si="0"/>
        <v>0.15213015433489932</v>
      </c>
      <c r="M9" s="10">
        <f t="shared" si="4"/>
        <v>0.152318124713065</v>
      </c>
      <c r="P9" s="8">
        <f t="shared" si="5"/>
        <v>-1.7966072445055368</v>
      </c>
    </row>
    <row r="10" spans="1:16" x14ac:dyDescent="0.2">
      <c r="A10" s="8">
        <v>4</v>
      </c>
      <c r="B10" s="8">
        <v>8</v>
      </c>
      <c r="D10">
        <v>3766.2684630739</v>
      </c>
      <c r="E10">
        <v>661.59780439122005</v>
      </c>
      <c r="F10">
        <v>141.87972166998</v>
      </c>
      <c r="G10">
        <v>120.12326043738</v>
      </c>
      <c r="I10" s="9">
        <f t="shared" si="1"/>
        <v>541.47454395384011</v>
      </c>
      <c r="J10" s="9">
        <f t="shared" si="2"/>
        <v>3624.38874140392</v>
      </c>
      <c r="K10" s="9">
        <f t="shared" si="3"/>
        <v>541.47454395384011</v>
      </c>
      <c r="L10" s="10">
        <f t="shared" si="0"/>
        <v>0.14939747984762197</v>
      </c>
      <c r="M10" s="10">
        <f t="shared" si="4"/>
        <v>0.14961230313695417</v>
      </c>
      <c r="P10" s="8">
        <f t="shared" si="5"/>
        <v>-3.5411196553933668</v>
      </c>
    </row>
    <row r="11" spans="1:16" x14ac:dyDescent="0.2">
      <c r="A11" s="8">
        <v>4.5</v>
      </c>
      <c r="B11" s="8">
        <v>9</v>
      </c>
      <c r="D11">
        <v>3808.7355289420998</v>
      </c>
      <c r="E11">
        <v>667.37325349301</v>
      </c>
      <c r="F11">
        <v>141.32107355865</v>
      </c>
      <c r="G11">
        <v>119.37276341947999</v>
      </c>
      <c r="I11" s="9">
        <f t="shared" si="1"/>
        <v>548.00049007353005</v>
      </c>
      <c r="J11" s="9">
        <f t="shared" si="2"/>
        <v>3667.4144553834499</v>
      </c>
      <c r="K11" s="9">
        <f t="shared" si="3"/>
        <v>548.00049007353005</v>
      </c>
      <c r="L11" s="10">
        <f t="shared" si="0"/>
        <v>0.14942420518333083</v>
      </c>
      <c r="M11" s="10">
        <f t="shared" si="4"/>
        <v>0.14966588138382955</v>
      </c>
      <c r="P11" s="8">
        <f t="shared" si="5"/>
        <v>-3.5065763885893309</v>
      </c>
    </row>
    <row r="12" spans="1:16" x14ac:dyDescent="0.2">
      <c r="A12" s="8">
        <v>5</v>
      </c>
      <c r="B12" s="8">
        <v>10</v>
      </c>
      <c r="D12">
        <v>3818.1287425149999</v>
      </c>
      <c r="E12">
        <v>671.78143712575002</v>
      </c>
      <c r="F12">
        <v>141.65805168986</v>
      </c>
      <c r="G12">
        <v>119.87276341947999</v>
      </c>
      <c r="I12" s="9">
        <f t="shared" si="1"/>
        <v>551.90867370627006</v>
      </c>
      <c r="J12" s="9">
        <f t="shared" si="2"/>
        <v>3676.4706908251401</v>
      </c>
      <c r="K12" s="9">
        <f t="shared" si="3"/>
        <v>551.90867370627006</v>
      </c>
      <c r="L12" s="10">
        <f t="shared" si="0"/>
        <v>0.1501191550591148</v>
      </c>
      <c r="M12" s="10">
        <f t="shared" si="4"/>
        <v>0.15038768417078005</v>
      </c>
      <c r="P12" s="8">
        <f t="shared" si="5"/>
        <v>-3.0412116612304585</v>
      </c>
    </row>
    <row r="13" spans="1:16" x14ac:dyDescent="0.2">
      <c r="A13" s="8">
        <v>5.5</v>
      </c>
      <c r="B13" s="8">
        <v>11</v>
      </c>
      <c r="D13">
        <v>3811.2475049899999</v>
      </c>
      <c r="E13">
        <v>664.67065868264001</v>
      </c>
      <c r="F13">
        <v>141.79821073559</v>
      </c>
      <c r="G13">
        <v>119.96918489066</v>
      </c>
      <c r="I13" s="9">
        <f t="shared" si="1"/>
        <v>544.70147379197999</v>
      </c>
      <c r="J13" s="9">
        <f t="shared" si="2"/>
        <v>3669.4492942544098</v>
      </c>
      <c r="K13" s="9">
        <f t="shared" si="3"/>
        <v>544.70147379197999</v>
      </c>
      <c r="L13" s="10">
        <f t="shared" si="0"/>
        <v>0.14844229477291554</v>
      </c>
      <c r="M13" s="10">
        <f t="shared" si="4"/>
        <v>0.14873767679574731</v>
      </c>
      <c r="P13" s="8">
        <f t="shared" si="5"/>
        <v>-4.1050136388680132</v>
      </c>
    </row>
    <row r="14" spans="1:16" x14ac:dyDescent="0.2">
      <c r="A14" s="8">
        <v>6</v>
      </c>
      <c r="B14" s="8">
        <v>12</v>
      </c>
      <c r="D14">
        <v>3872.5049900200002</v>
      </c>
      <c r="E14">
        <v>679.38522954092002</v>
      </c>
      <c r="F14">
        <v>141.75944333996</v>
      </c>
      <c r="G14">
        <v>120.17594433399999</v>
      </c>
      <c r="I14" s="9">
        <f t="shared" si="1"/>
        <v>559.20928520692007</v>
      </c>
      <c r="J14" s="9">
        <f t="shared" si="2"/>
        <v>3730.7455466800402</v>
      </c>
      <c r="K14" s="9">
        <f t="shared" si="3"/>
        <v>559.20928520692007</v>
      </c>
      <c r="L14" s="10">
        <f t="shared" si="0"/>
        <v>0.14989210017406732</v>
      </c>
      <c r="M14" s="10">
        <f t="shared" si="4"/>
        <v>0.15021433510806562</v>
      </c>
      <c r="P14" s="8">
        <f t="shared" si="5"/>
        <v>-3.1529742378877734</v>
      </c>
    </row>
    <row r="15" spans="1:16" x14ac:dyDescent="0.2">
      <c r="A15" s="8">
        <v>6.5</v>
      </c>
      <c r="B15" s="8">
        <v>13</v>
      </c>
      <c r="D15">
        <v>3802.1257485030001</v>
      </c>
      <c r="E15">
        <v>671.35528942116002</v>
      </c>
      <c r="F15">
        <v>141.57952286282</v>
      </c>
      <c r="G15">
        <v>120.09741550696</v>
      </c>
      <c r="I15" s="9">
        <f t="shared" si="1"/>
        <v>551.25787391419999</v>
      </c>
      <c r="J15" s="9">
        <f t="shared" si="2"/>
        <v>3660.5462256401802</v>
      </c>
      <c r="K15" s="9">
        <f t="shared" si="3"/>
        <v>551.25787391419999</v>
      </c>
      <c r="L15" s="10">
        <f t="shared" si="0"/>
        <v>0.15059443043033624</v>
      </c>
      <c r="M15" s="10">
        <f t="shared" si="4"/>
        <v>0.15094351827550107</v>
      </c>
      <c r="P15" s="8">
        <f t="shared" si="5"/>
        <v>-2.6828511903696031</v>
      </c>
    </row>
    <row r="16" spans="1:16" x14ac:dyDescent="0.2">
      <c r="A16" s="8">
        <v>7</v>
      </c>
      <c r="B16" s="8">
        <v>14</v>
      </c>
      <c r="D16">
        <v>3826.7195608781999</v>
      </c>
      <c r="E16">
        <v>675.58383233533004</v>
      </c>
      <c r="F16">
        <v>141.47415506958001</v>
      </c>
      <c r="G16">
        <v>119.86083499006</v>
      </c>
      <c r="I16" s="9">
        <f t="shared" si="1"/>
        <v>555.72299734527007</v>
      </c>
      <c r="J16" s="9">
        <f t="shared" si="2"/>
        <v>3685.24540580862</v>
      </c>
      <c r="K16" s="9">
        <f t="shared" si="3"/>
        <v>555.72299734527007</v>
      </c>
      <c r="L16" s="10">
        <f t="shared" si="0"/>
        <v>0.15079674109880148</v>
      </c>
      <c r="M16" s="10">
        <f t="shared" si="4"/>
        <v>0.15117268185513283</v>
      </c>
      <c r="P16" s="8">
        <f t="shared" si="5"/>
        <v>-2.5351035663870527</v>
      </c>
    </row>
    <row r="17" spans="1:16" x14ac:dyDescent="0.2">
      <c r="A17" s="8">
        <v>7.5</v>
      </c>
      <c r="B17" s="8">
        <v>15</v>
      </c>
      <c r="D17">
        <v>3843.1966067864</v>
      </c>
      <c r="E17">
        <v>674.46606786427003</v>
      </c>
      <c r="F17">
        <v>141.84691848906999</v>
      </c>
      <c r="G17">
        <v>120.13717693837</v>
      </c>
      <c r="I17" s="9">
        <f t="shared" si="1"/>
        <v>554.32889092590005</v>
      </c>
      <c r="J17" s="9">
        <f t="shared" si="2"/>
        <v>3701.34968829733</v>
      </c>
      <c r="K17" s="9">
        <f t="shared" si="3"/>
        <v>554.32889092590005</v>
      </c>
      <c r="L17" s="10">
        <f t="shared" si="0"/>
        <v>0.14976398816856959</v>
      </c>
      <c r="M17" s="10">
        <f t="shared" si="4"/>
        <v>0.15016678183606746</v>
      </c>
      <c r="P17" s="8">
        <f t="shared" si="5"/>
        <v>-3.1836330492120362</v>
      </c>
    </row>
    <row r="18" spans="1:16" x14ac:dyDescent="0.2">
      <c r="A18" s="8">
        <v>8</v>
      </c>
      <c r="B18" s="8">
        <v>16</v>
      </c>
      <c r="D18">
        <v>3837.5439121756999</v>
      </c>
      <c r="E18">
        <v>676.75948103791995</v>
      </c>
      <c r="F18">
        <v>142.40059642147</v>
      </c>
      <c r="G18">
        <v>119.73956262425</v>
      </c>
      <c r="I18" s="9">
        <f t="shared" si="1"/>
        <v>557.01991841366998</v>
      </c>
      <c r="J18" s="9">
        <f t="shared" si="2"/>
        <v>3695.1433157542301</v>
      </c>
      <c r="K18" s="9">
        <f t="shared" si="3"/>
        <v>557.01991841366998</v>
      </c>
      <c r="L18" s="10">
        <f t="shared" si="0"/>
        <v>0.15074379281550937</v>
      </c>
      <c r="M18" s="10">
        <f t="shared" si="4"/>
        <v>0.15117343939417377</v>
      </c>
      <c r="P18" s="8">
        <f t="shared" si="5"/>
        <v>-2.5346151615822716</v>
      </c>
    </row>
    <row r="19" spans="1:16" x14ac:dyDescent="0.2">
      <c r="A19" s="8">
        <v>8.5</v>
      </c>
      <c r="B19" s="8">
        <v>17</v>
      </c>
      <c r="D19">
        <v>3825.1187624751001</v>
      </c>
      <c r="E19">
        <v>677.55489021955998</v>
      </c>
      <c r="F19">
        <v>142.45825049702</v>
      </c>
      <c r="G19">
        <v>120.36182902585</v>
      </c>
      <c r="I19" s="9">
        <f t="shared" si="1"/>
        <v>557.19306119371004</v>
      </c>
      <c r="J19" s="9">
        <f t="shared" si="2"/>
        <v>3682.6605119780802</v>
      </c>
      <c r="K19" s="9">
        <f t="shared" si="3"/>
        <v>557.19306119371004</v>
      </c>
      <c r="L19" s="10">
        <f t="shared" si="0"/>
        <v>0.15130177201547773</v>
      </c>
      <c r="M19" s="10">
        <f t="shared" si="4"/>
        <v>0.15175827150530866</v>
      </c>
      <c r="P19" s="8">
        <f t="shared" si="5"/>
        <v>-2.1575589339403223</v>
      </c>
    </row>
    <row r="20" spans="1:16" x14ac:dyDescent="0.2">
      <c r="A20" s="8">
        <v>9</v>
      </c>
      <c r="B20" s="8">
        <v>18</v>
      </c>
      <c r="D20">
        <v>3747.6546906188</v>
      </c>
      <c r="E20">
        <v>647.11676646706997</v>
      </c>
      <c r="F20">
        <v>141.89463220676001</v>
      </c>
      <c r="G20">
        <v>119.73856858847</v>
      </c>
      <c r="I20" s="9">
        <f t="shared" si="1"/>
        <v>527.37819787859996</v>
      </c>
      <c r="J20" s="9">
        <f t="shared" si="2"/>
        <v>3605.7600584120401</v>
      </c>
      <c r="K20" s="9">
        <f t="shared" si="3"/>
        <v>527.37819787859996</v>
      </c>
      <c r="L20" s="10">
        <f t="shared" si="0"/>
        <v>0.1462599256010548</v>
      </c>
      <c r="M20" s="10">
        <f t="shared" si="4"/>
        <v>0.14674327800205225</v>
      </c>
      <c r="P20" s="8">
        <f t="shared" si="5"/>
        <v>-5.3908535769402093</v>
      </c>
    </row>
    <row r="21" spans="1:16" x14ac:dyDescent="0.2">
      <c r="A21" s="8">
        <v>9.5</v>
      </c>
      <c r="B21" s="8">
        <v>19</v>
      </c>
      <c r="D21">
        <v>3581.9101796406999</v>
      </c>
      <c r="E21">
        <v>619.66267465069996</v>
      </c>
      <c r="F21">
        <v>142.10238568589</v>
      </c>
      <c r="G21">
        <v>119.99304174949999</v>
      </c>
      <c r="I21" s="9">
        <f t="shared" si="1"/>
        <v>499.66963290119998</v>
      </c>
      <c r="J21" s="9">
        <f t="shared" si="2"/>
        <v>3439.8077939548098</v>
      </c>
      <c r="K21" s="9">
        <f t="shared" si="3"/>
        <v>499.66963290119998</v>
      </c>
      <c r="L21" s="10">
        <f t="shared" si="0"/>
        <v>0.14526091654868911</v>
      </c>
      <c r="M21" s="10">
        <f t="shared" si="4"/>
        <v>0.14577112186085309</v>
      </c>
      <c r="P21" s="8">
        <f t="shared" si="5"/>
        <v>-6.017627518214046</v>
      </c>
    </row>
    <row r="22" spans="1:16" x14ac:dyDescent="0.2">
      <c r="A22" s="8">
        <v>10</v>
      </c>
      <c r="B22" s="8">
        <v>20</v>
      </c>
      <c r="D22">
        <v>4124.4533730159001</v>
      </c>
      <c r="E22">
        <v>711.36011904761995</v>
      </c>
      <c r="F22">
        <v>142.49403578529001</v>
      </c>
      <c r="G22">
        <v>119.80417495029999</v>
      </c>
      <c r="I22" s="9">
        <f t="shared" si="1"/>
        <v>591.55594409731998</v>
      </c>
      <c r="J22" s="9">
        <f t="shared" si="2"/>
        <v>3981.9593372306099</v>
      </c>
      <c r="K22" s="9">
        <f t="shared" si="3"/>
        <v>591.55594409731998</v>
      </c>
      <c r="L22" s="10">
        <f t="shared" si="0"/>
        <v>0.14855901178256076</v>
      </c>
      <c r="M22" s="10">
        <f t="shared" si="4"/>
        <v>0.14909607000589126</v>
      </c>
      <c r="P22" s="8">
        <f t="shared" si="5"/>
        <v>-3.8739483651655644</v>
      </c>
    </row>
    <row r="23" spans="1:16" x14ac:dyDescent="0.2">
      <c r="A23" s="8">
        <v>10.5</v>
      </c>
      <c r="B23" s="8">
        <v>21</v>
      </c>
      <c r="D23">
        <v>4121.8501984126997</v>
      </c>
      <c r="E23">
        <v>711.28769841270002</v>
      </c>
      <c r="F23">
        <v>141.81510934394001</v>
      </c>
      <c r="G23">
        <v>119.39960238569</v>
      </c>
      <c r="I23" s="9">
        <f t="shared" si="1"/>
        <v>591.88809602701008</v>
      </c>
      <c r="J23" s="9">
        <f t="shared" si="2"/>
        <v>3980.0350890687596</v>
      </c>
      <c r="K23" s="9">
        <f t="shared" si="3"/>
        <v>591.88809602701008</v>
      </c>
      <c r="L23" s="10">
        <f t="shared" si="0"/>
        <v>0.14871429089975657</v>
      </c>
      <c r="M23" s="10">
        <f t="shared" si="4"/>
        <v>0.1492782020342536</v>
      </c>
      <c r="P23" s="8">
        <f t="shared" si="5"/>
        <v>-3.7565231858028638</v>
      </c>
    </row>
    <row r="24" spans="1:16" x14ac:dyDescent="0.2">
      <c r="A24" s="8">
        <v>11</v>
      </c>
      <c r="B24" s="8">
        <v>22</v>
      </c>
      <c r="D24">
        <v>3861.2031872510001</v>
      </c>
      <c r="E24">
        <v>672.30179282869005</v>
      </c>
      <c r="F24">
        <v>142.29522862823001</v>
      </c>
      <c r="G24">
        <v>119.93439363816999</v>
      </c>
      <c r="I24" s="9">
        <f t="shared" si="1"/>
        <v>552.36739919052002</v>
      </c>
      <c r="J24" s="9">
        <f t="shared" si="2"/>
        <v>3718.9079586227699</v>
      </c>
      <c r="K24" s="9">
        <f t="shared" si="3"/>
        <v>552.36739919052002</v>
      </c>
      <c r="L24" s="10">
        <f t="shared" si="0"/>
        <v>0.14852946223360669</v>
      </c>
      <c r="M24" s="10">
        <f t="shared" si="4"/>
        <v>0.14912022627927024</v>
      </c>
      <c r="P24" s="8">
        <f t="shared" si="5"/>
        <v>-3.8583741975698556</v>
      </c>
    </row>
    <row r="25" spans="1:16" x14ac:dyDescent="0.2">
      <c r="A25" s="8">
        <v>11.5</v>
      </c>
      <c r="B25" s="8">
        <v>23</v>
      </c>
      <c r="D25">
        <v>3836.9681274899999</v>
      </c>
      <c r="E25">
        <v>679.82669322709</v>
      </c>
      <c r="F25">
        <v>142.59145129225001</v>
      </c>
      <c r="G25">
        <v>119.79423459245</v>
      </c>
      <c r="I25" s="9">
        <f t="shared" si="1"/>
        <v>560.03245863463997</v>
      </c>
      <c r="J25" s="9">
        <f t="shared" si="2"/>
        <v>3694.3766761977499</v>
      </c>
      <c r="K25" s="9">
        <f t="shared" si="3"/>
        <v>560.03245863463997</v>
      </c>
      <c r="L25" s="10">
        <f t="shared" si="0"/>
        <v>0.15159051383223462</v>
      </c>
      <c r="M25" s="10">
        <f t="shared" si="4"/>
        <v>0.1522081307890647</v>
      </c>
      <c r="P25" s="8">
        <f t="shared" si="5"/>
        <v>-1.8675231420040603</v>
      </c>
    </row>
    <row r="26" spans="1:16" x14ac:dyDescent="0.2">
      <c r="A26" s="8">
        <v>12</v>
      </c>
      <c r="B26" s="8">
        <v>24</v>
      </c>
      <c r="D26">
        <v>3871.1503984064002</v>
      </c>
      <c r="E26">
        <v>693.45019920318998</v>
      </c>
      <c r="F26">
        <v>142.46222664016</v>
      </c>
      <c r="G26">
        <v>119.74751491054</v>
      </c>
      <c r="I26" s="9">
        <f t="shared" si="1"/>
        <v>573.70268429265002</v>
      </c>
      <c r="J26" s="9">
        <f t="shared" si="2"/>
        <v>3728.68817176624</v>
      </c>
      <c r="K26" s="9">
        <f t="shared" si="3"/>
        <v>573.70268429265002</v>
      </c>
      <c r="L26" s="10">
        <f t="shared" si="0"/>
        <v>0.15386180282833711</v>
      </c>
      <c r="M26" s="10">
        <f t="shared" si="4"/>
        <v>0.15450627269633371</v>
      </c>
      <c r="P26" s="8">
        <f t="shared" si="5"/>
        <v>-0.38585224595972328</v>
      </c>
    </row>
    <row r="27" spans="1:16" x14ac:dyDescent="0.2">
      <c r="A27" s="8">
        <v>12.5</v>
      </c>
      <c r="B27" s="8">
        <v>25</v>
      </c>
      <c r="D27">
        <v>3884.8187250996002</v>
      </c>
      <c r="E27">
        <v>690.16832669323003</v>
      </c>
      <c r="F27">
        <v>142.14115308151</v>
      </c>
      <c r="G27">
        <v>120.14910536779</v>
      </c>
      <c r="I27" s="9">
        <f t="shared" si="1"/>
        <v>570.01922132544007</v>
      </c>
      <c r="J27" s="9">
        <f t="shared" si="2"/>
        <v>3742.6775720180904</v>
      </c>
      <c r="K27" s="9">
        <f t="shared" si="3"/>
        <v>570.01922132544007</v>
      </c>
      <c r="L27" s="10">
        <f t="shared" si="0"/>
        <v>0.15230251881357759</v>
      </c>
      <c r="M27" s="10">
        <f t="shared" si="4"/>
        <v>0.15297384159274072</v>
      </c>
      <c r="P27" s="8">
        <f t="shared" si="5"/>
        <v>-1.3738497926756501</v>
      </c>
    </row>
    <row r="28" spans="1:16" x14ac:dyDescent="0.2">
      <c r="A28" s="8">
        <v>13</v>
      </c>
      <c r="B28" s="8">
        <v>26</v>
      </c>
      <c r="D28">
        <v>3797.5517928286999</v>
      </c>
      <c r="E28">
        <v>678.26394422311</v>
      </c>
      <c r="F28">
        <v>142.25447316103001</v>
      </c>
      <c r="G28">
        <v>119.93339960239</v>
      </c>
      <c r="I28" s="9">
        <f t="shared" si="1"/>
        <v>558.33054462072005</v>
      </c>
      <c r="J28" s="9">
        <f t="shared" si="2"/>
        <v>3655.2973196676699</v>
      </c>
      <c r="K28" s="9">
        <f t="shared" si="3"/>
        <v>558.33054462072005</v>
      </c>
      <c r="L28" s="10">
        <f t="shared" si="0"/>
        <v>0.15274558969979549</v>
      </c>
      <c r="M28" s="10">
        <f t="shared" si="4"/>
        <v>0.15344376539012514</v>
      </c>
      <c r="P28" s="8">
        <f t="shared" si="5"/>
        <v>-1.0708778953612053</v>
      </c>
    </row>
    <row r="29" spans="1:16" x14ac:dyDescent="0.2">
      <c r="A29" s="8">
        <v>13.5</v>
      </c>
      <c r="B29" s="8">
        <v>27</v>
      </c>
      <c r="D29">
        <v>3793.7968127489999</v>
      </c>
      <c r="E29">
        <v>678.89243027888006</v>
      </c>
      <c r="F29">
        <v>142.36282306163</v>
      </c>
      <c r="G29">
        <v>120.00298210736</v>
      </c>
      <c r="I29" s="9">
        <f t="shared" si="1"/>
        <v>558.88944817152003</v>
      </c>
      <c r="J29" s="9">
        <f t="shared" si="2"/>
        <v>3651.4339896873698</v>
      </c>
      <c r="K29" s="9">
        <f t="shared" si="3"/>
        <v>558.88944817152003</v>
      </c>
      <c r="L29" s="10">
        <f t="shared" si="0"/>
        <v>0.15306026337870926</v>
      </c>
      <c r="M29" s="10">
        <f t="shared" si="4"/>
        <v>0.15378529198020544</v>
      </c>
      <c r="P29" s="8">
        <f t="shared" si="5"/>
        <v>-0.85068696322308424</v>
      </c>
    </row>
    <row r="30" spans="1:16" x14ac:dyDescent="0.2">
      <c r="A30" s="8">
        <v>14</v>
      </c>
      <c r="B30" s="8">
        <v>28</v>
      </c>
      <c r="D30">
        <v>3805.8894422311</v>
      </c>
      <c r="E30">
        <v>683.25597609561999</v>
      </c>
      <c r="F30">
        <v>142.43836978131</v>
      </c>
      <c r="G30">
        <v>119.95328031808999</v>
      </c>
      <c r="I30" s="9">
        <f t="shared" si="1"/>
        <v>563.30269577752995</v>
      </c>
      <c r="J30" s="9">
        <f t="shared" si="2"/>
        <v>3663.45107244979</v>
      </c>
      <c r="K30" s="9">
        <f t="shared" si="3"/>
        <v>563.30269577752995</v>
      </c>
      <c r="L30" s="10">
        <f t="shared" si="0"/>
        <v>0.15376285492489006</v>
      </c>
      <c r="M30" s="10">
        <f t="shared" si="4"/>
        <v>0.15451473643755276</v>
      </c>
      <c r="P30" s="8">
        <f t="shared" si="5"/>
        <v>-0.38039545541243647</v>
      </c>
    </row>
    <row r="31" spans="1:16" x14ac:dyDescent="0.2">
      <c r="A31" s="8">
        <v>14.5</v>
      </c>
      <c r="B31" s="8">
        <v>29</v>
      </c>
      <c r="D31">
        <v>3697.4800796813001</v>
      </c>
      <c r="E31">
        <v>665.34462151393996</v>
      </c>
      <c r="F31">
        <v>141.95328031809001</v>
      </c>
      <c r="G31">
        <v>119.96222664016</v>
      </c>
      <c r="I31" s="9">
        <f t="shared" si="1"/>
        <v>545.38239487377996</v>
      </c>
      <c r="J31" s="9">
        <f t="shared" si="2"/>
        <v>3555.5267993632101</v>
      </c>
      <c r="K31" s="9">
        <f t="shared" si="3"/>
        <v>545.38239487377996</v>
      </c>
      <c r="L31" s="10">
        <f t="shared" si="0"/>
        <v>0.15339003912766377</v>
      </c>
      <c r="M31" s="10">
        <f t="shared" si="4"/>
        <v>0.154168773551493</v>
      </c>
      <c r="P31" s="8">
        <f t="shared" si="5"/>
        <v>-0.60344658109135374</v>
      </c>
    </row>
    <row r="32" spans="1:16" x14ac:dyDescent="0.2">
      <c r="A32" s="8">
        <v>15</v>
      </c>
      <c r="B32" s="8">
        <v>30</v>
      </c>
      <c r="D32">
        <v>3642.5154536391001</v>
      </c>
      <c r="E32">
        <v>646.31306081754997</v>
      </c>
      <c r="F32">
        <v>142.43538767396001</v>
      </c>
      <c r="G32">
        <v>119.77932405567</v>
      </c>
      <c r="I32" s="9">
        <f t="shared" si="1"/>
        <v>526.53373676187994</v>
      </c>
      <c r="J32" s="9">
        <f t="shared" si="2"/>
        <v>3500.08006596514</v>
      </c>
      <c r="K32" s="9">
        <f t="shared" si="3"/>
        <v>526.53373676187994</v>
      </c>
      <c r="L32" s="10">
        <f t="shared" si="0"/>
        <v>0.1504347691591133</v>
      </c>
      <c r="M32" s="10">
        <f t="shared" si="4"/>
        <v>0.15124035649410905</v>
      </c>
      <c r="P32" s="8">
        <f t="shared" si="5"/>
        <v>-2.4914719948752073</v>
      </c>
    </row>
    <row r="33" spans="1:16" x14ac:dyDescent="0.2">
      <c r="A33" s="8">
        <v>15.5</v>
      </c>
      <c r="B33" s="8">
        <v>31</v>
      </c>
      <c r="D33">
        <v>3627.7248255233999</v>
      </c>
      <c r="E33">
        <v>638.86340977069005</v>
      </c>
      <c r="F33">
        <v>142.7027833002</v>
      </c>
      <c r="G33">
        <v>120.27335984094999</v>
      </c>
      <c r="I33" s="9">
        <f t="shared" si="1"/>
        <v>518.59004992974008</v>
      </c>
      <c r="J33" s="9">
        <f t="shared" si="2"/>
        <v>3485.0220422232001</v>
      </c>
      <c r="K33" s="9">
        <f t="shared" si="3"/>
        <v>518.59004992974008</v>
      </c>
      <c r="L33" s="10">
        <f t="shared" si="0"/>
        <v>0.14880538591914211</v>
      </c>
      <c r="M33" s="10">
        <f t="shared" si="4"/>
        <v>0.14963782616530438</v>
      </c>
      <c r="P33" s="8">
        <f t="shared" si="5"/>
        <v>-3.5246643058930562</v>
      </c>
    </row>
    <row r="34" spans="1:16" x14ac:dyDescent="0.2">
      <c r="A34" s="8">
        <v>16</v>
      </c>
      <c r="B34" s="8">
        <v>32</v>
      </c>
      <c r="D34">
        <v>3638.1126620139999</v>
      </c>
      <c r="E34">
        <v>641.88933200399003</v>
      </c>
      <c r="F34">
        <v>142.33598409543001</v>
      </c>
      <c r="G34">
        <v>119.8717693837</v>
      </c>
      <c r="I34" s="9">
        <f t="shared" si="1"/>
        <v>522.01756262029005</v>
      </c>
      <c r="J34" s="9">
        <f t="shared" si="2"/>
        <v>3495.7766779185699</v>
      </c>
      <c r="K34" s="9">
        <f t="shared" si="3"/>
        <v>522.01756262029005</v>
      </c>
      <c r="L34" s="10">
        <f t="shared" si="0"/>
        <v>0.14932806375123081</v>
      </c>
      <c r="M34" s="10">
        <f t="shared" si="4"/>
        <v>0.15018735690855961</v>
      </c>
      <c r="P34" s="8">
        <f t="shared" si="5"/>
        <v>-3.1703677734694069</v>
      </c>
    </row>
    <row r="35" spans="1:16" x14ac:dyDescent="0.2">
      <c r="A35" s="8">
        <v>16.5</v>
      </c>
      <c r="B35" s="8">
        <v>33</v>
      </c>
      <c r="D35">
        <v>3693.2392821535</v>
      </c>
      <c r="E35">
        <v>654.31405782651996</v>
      </c>
      <c r="F35">
        <v>142.00894632206999</v>
      </c>
      <c r="G35">
        <v>120.46520874751999</v>
      </c>
      <c r="I35" s="9">
        <f t="shared" si="1"/>
        <v>533.84884907899993</v>
      </c>
      <c r="J35" s="9">
        <f t="shared" si="2"/>
        <v>3551.2303358314298</v>
      </c>
      <c r="K35" s="9">
        <f t="shared" si="3"/>
        <v>533.84884907899993</v>
      </c>
      <c r="L35" s="10">
        <f t="shared" si="0"/>
        <v>0.15032785783916572</v>
      </c>
      <c r="M35" s="10">
        <f t="shared" si="4"/>
        <v>0.15121400390766104</v>
      </c>
      <c r="P35" s="8">
        <f t="shared" si="5"/>
        <v>-2.5084621817091901</v>
      </c>
    </row>
    <row r="36" spans="1:16" x14ac:dyDescent="0.2">
      <c r="A36" s="8">
        <v>17</v>
      </c>
      <c r="B36" s="8">
        <v>34</v>
      </c>
      <c r="D36">
        <v>3724.8225324027999</v>
      </c>
      <c r="E36">
        <v>657.05782652044002</v>
      </c>
      <c r="F36">
        <v>142.32007952286</v>
      </c>
      <c r="G36">
        <v>120.13021868787</v>
      </c>
      <c r="I36" s="9">
        <f t="shared" si="1"/>
        <v>536.92760783257006</v>
      </c>
      <c r="J36" s="9">
        <f t="shared" si="2"/>
        <v>3582.5024528799399</v>
      </c>
      <c r="K36" s="9">
        <f t="shared" si="3"/>
        <v>536.92760783257006</v>
      </c>
      <c r="L36" s="10">
        <f t="shared" si="0"/>
        <v>0.14987501471239442</v>
      </c>
      <c r="M36" s="10">
        <f t="shared" si="4"/>
        <v>0.15078801369205627</v>
      </c>
      <c r="P36" s="8">
        <f t="shared" si="5"/>
        <v>-2.7831089746095028</v>
      </c>
    </row>
    <row r="37" spans="1:16" x14ac:dyDescent="0.2">
      <c r="A37" s="8">
        <v>17.5</v>
      </c>
      <c r="B37" s="8">
        <v>35</v>
      </c>
      <c r="D37">
        <v>3717.1804586241001</v>
      </c>
      <c r="E37">
        <v>656.07577268194996</v>
      </c>
      <c r="F37">
        <v>142.21570576541001</v>
      </c>
      <c r="G37">
        <v>119.91749502982</v>
      </c>
      <c r="I37" s="9">
        <f t="shared" si="1"/>
        <v>536.15827765212998</v>
      </c>
      <c r="J37" s="9">
        <f t="shared" si="2"/>
        <v>3574.9647528586902</v>
      </c>
      <c r="K37" s="9">
        <f t="shared" si="3"/>
        <v>536.15827765212998</v>
      </c>
      <c r="L37" s="10">
        <f t="shared" si="0"/>
        <v>0.14997582206185267</v>
      </c>
      <c r="M37" s="10">
        <f t="shared" si="4"/>
        <v>0.15091567395268105</v>
      </c>
      <c r="P37" s="8">
        <f t="shared" si="5"/>
        <v>-2.7008031378154911</v>
      </c>
    </row>
    <row r="38" spans="1:16" x14ac:dyDescent="0.2">
      <c r="A38" s="8">
        <v>18</v>
      </c>
      <c r="B38" s="8">
        <v>36</v>
      </c>
      <c r="D38">
        <v>3682.7936191426002</v>
      </c>
      <c r="E38">
        <v>648.96011964108004</v>
      </c>
      <c r="F38">
        <v>141.96222664016</v>
      </c>
      <c r="G38">
        <v>120.05765407555</v>
      </c>
      <c r="I38" s="9">
        <f t="shared" si="1"/>
        <v>528.90246556553006</v>
      </c>
      <c r="J38" s="9">
        <f t="shared" si="2"/>
        <v>3540.8313925024404</v>
      </c>
      <c r="K38" s="9">
        <f t="shared" si="3"/>
        <v>528.90246556553006</v>
      </c>
      <c r="L38" s="10">
        <f t="shared" si="0"/>
        <v>0.14937239504977801</v>
      </c>
      <c r="M38" s="10">
        <f t="shared" si="4"/>
        <v>0.15033909985177291</v>
      </c>
      <c r="P38" s="8">
        <f t="shared" si="5"/>
        <v>-3.0725352149454523</v>
      </c>
    </row>
    <row r="39" spans="1:16" x14ac:dyDescent="0.2">
      <c r="A39" s="8">
        <v>18.5</v>
      </c>
      <c r="B39" s="8">
        <v>37</v>
      </c>
      <c r="D39">
        <v>3651.4506480557998</v>
      </c>
      <c r="E39">
        <v>642.03190428714004</v>
      </c>
      <c r="F39">
        <v>142.37375745527001</v>
      </c>
      <c r="G39">
        <v>120.12723658052001</v>
      </c>
      <c r="I39" s="9">
        <f t="shared" si="1"/>
        <v>521.90466770661999</v>
      </c>
      <c r="J39" s="9">
        <f t="shared" si="2"/>
        <v>3509.0768906005296</v>
      </c>
      <c r="K39" s="9">
        <f t="shared" si="3"/>
        <v>521.90466770661999</v>
      </c>
      <c r="L39" s="10">
        <f t="shared" si="0"/>
        <v>0.14872990361214436</v>
      </c>
      <c r="M39" s="10">
        <f t="shared" si="4"/>
        <v>0.14972346132530578</v>
      </c>
      <c r="P39" s="8">
        <f t="shared" si="5"/>
        <v>-3.469453126874543</v>
      </c>
    </row>
    <row r="40" spans="1:16" x14ac:dyDescent="0.2">
      <c r="A40" s="8">
        <v>19</v>
      </c>
      <c r="B40" s="8">
        <v>38</v>
      </c>
      <c r="D40">
        <v>3626.6769690926999</v>
      </c>
      <c r="E40">
        <v>643.37088733798998</v>
      </c>
      <c r="F40">
        <v>142.25447316103001</v>
      </c>
      <c r="G40">
        <v>119.80715705765</v>
      </c>
      <c r="I40" s="9">
        <f t="shared" si="1"/>
        <v>523.56373028034</v>
      </c>
      <c r="J40" s="9">
        <f t="shared" si="2"/>
        <v>3484.4224959316698</v>
      </c>
      <c r="K40" s="9">
        <f t="shared" si="3"/>
        <v>523.56373028034</v>
      </c>
      <c r="L40" s="10">
        <f t="shared" si="0"/>
        <v>0.15025839458092144</v>
      </c>
      <c r="M40" s="10">
        <f t="shared" si="4"/>
        <v>0.15127880520524939</v>
      </c>
      <c r="P40" s="8">
        <f t="shared" si="5"/>
        <v>-2.4666831269176357</v>
      </c>
    </row>
    <row r="41" spans="1:16" x14ac:dyDescent="0.2">
      <c r="A41" s="8">
        <v>19.5</v>
      </c>
      <c r="B41" s="8">
        <v>39</v>
      </c>
      <c r="D41">
        <v>3757.6077457795</v>
      </c>
      <c r="E41">
        <v>657.48560079443996</v>
      </c>
      <c r="F41">
        <v>142.91948310139</v>
      </c>
      <c r="G41">
        <v>119.92445328031999</v>
      </c>
      <c r="I41" s="9">
        <f t="shared" si="1"/>
        <v>537.56114751411997</v>
      </c>
      <c r="J41" s="9">
        <f t="shared" si="2"/>
        <v>3614.6882626781098</v>
      </c>
      <c r="K41" s="9">
        <f t="shared" si="3"/>
        <v>537.56114751411997</v>
      </c>
      <c r="L41" s="10">
        <f t="shared" si="0"/>
        <v>0.14871576978420895</v>
      </c>
      <c r="M41" s="10">
        <f t="shared" si="4"/>
        <v>0.14976303331970342</v>
      </c>
      <c r="P41" s="8">
        <f t="shared" si="5"/>
        <v>-3.443940049456673</v>
      </c>
    </row>
    <row r="42" spans="1:16" x14ac:dyDescent="0.2">
      <c r="A42" s="8">
        <v>20</v>
      </c>
      <c r="B42" s="8">
        <v>40</v>
      </c>
      <c r="D42">
        <v>3968.7074626866001</v>
      </c>
      <c r="E42">
        <v>698.87661691541996</v>
      </c>
      <c r="F42">
        <v>142.50397614313999</v>
      </c>
      <c r="G42">
        <v>120.38369781311999</v>
      </c>
      <c r="I42" s="9">
        <f t="shared" si="1"/>
        <v>578.49291910229999</v>
      </c>
      <c r="J42" s="9">
        <f t="shared" si="2"/>
        <v>3826.2034865434603</v>
      </c>
      <c r="K42" s="9">
        <f t="shared" si="3"/>
        <v>578.49291910229999</v>
      </c>
      <c r="L42" s="10">
        <f t="shared" si="0"/>
        <v>0.15119240812382997</v>
      </c>
      <c r="M42" s="10">
        <f t="shared" si="4"/>
        <v>0.15226652457049097</v>
      </c>
      <c r="P42" s="8">
        <f t="shared" si="5"/>
        <v>-1.829875176847678</v>
      </c>
    </row>
    <row r="43" spans="1:16" x14ac:dyDescent="0.2">
      <c r="A43" s="8">
        <v>20.5</v>
      </c>
      <c r="B43" s="8">
        <v>41</v>
      </c>
      <c r="D43">
        <v>4129.3711442785998</v>
      </c>
      <c r="E43">
        <v>720.63184079602001</v>
      </c>
      <c r="F43">
        <v>142.73757455268</v>
      </c>
      <c r="G43">
        <v>120.23161033797</v>
      </c>
      <c r="I43" s="9">
        <f t="shared" si="1"/>
        <v>600.40023045805003</v>
      </c>
      <c r="J43" s="9">
        <f t="shared" si="2"/>
        <v>3986.6335697259196</v>
      </c>
      <c r="K43" s="9">
        <f t="shared" si="3"/>
        <v>600.40023045805003</v>
      </c>
      <c r="L43" s="10">
        <f t="shared" si="0"/>
        <v>0.15060331479106254</v>
      </c>
      <c r="M43" s="10">
        <f t="shared" si="4"/>
        <v>0.15170428414889006</v>
      </c>
      <c r="P43" s="8">
        <f t="shared" si="5"/>
        <v>-2.1923659641357993</v>
      </c>
    </row>
    <row r="44" spans="1:16" x14ac:dyDescent="0.2">
      <c r="A44" s="8">
        <v>21</v>
      </c>
      <c r="B44" s="8">
        <v>42</v>
      </c>
      <c r="D44">
        <v>4265.1615154536003</v>
      </c>
      <c r="E44">
        <v>725.17148554336995</v>
      </c>
      <c r="F44">
        <v>142.45328031809001</v>
      </c>
      <c r="G44">
        <v>119.37475149105001</v>
      </c>
      <c r="I44" s="9">
        <f t="shared" si="1"/>
        <v>605.79673405231995</v>
      </c>
      <c r="J44" s="9">
        <f t="shared" si="2"/>
        <v>4122.7082351355102</v>
      </c>
      <c r="K44" s="9">
        <f t="shared" si="3"/>
        <v>605.79673405231995</v>
      </c>
      <c r="L44" s="10">
        <f t="shared" si="0"/>
        <v>0.14694145195370778</v>
      </c>
      <c r="M44" s="10">
        <f t="shared" si="4"/>
        <v>0.14806927422270183</v>
      </c>
      <c r="P44" s="8">
        <f t="shared" si="5"/>
        <v>-4.5359498818346298</v>
      </c>
    </row>
    <row r="45" spans="1:16" x14ac:dyDescent="0.2">
      <c r="A45" s="8">
        <v>21.5</v>
      </c>
      <c r="B45" s="8">
        <v>43</v>
      </c>
      <c r="D45">
        <v>4132.3968095712999</v>
      </c>
      <c r="E45">
        <v>690.99202392821996</v>
      </c>
      <c r="F45">
        <v>143</v>
      </c>
      <c r="G45">
        <v>119.38469184890999</v>
      </c>
      <c r="I45" s="9">
        <f t="shared" si="1"/>
        <v>571.60733207931003</v>
      </c>
      <c r="J45" s="9">
        <f t="shared" si="2"/>
        <v>3989.3968095712999</v>
      </c>
      <c r="K45" s="9">
        <f t="shared" si="3"/>
        <v>571.60733207931003</v>
      </c>
      <c r="L45" s="10">
        <f t="shared" si="0"/>
        <v>0.14328164365798821</v>
      </c>
      <c r="M45" s="10">
        <f t="shared" si="4"/>
        <v>0.14443631883814878</v>
      </c>
      <c r="P45" s="8">
        <f t="shared" si="5"/>
        <v>-6.8782091839664519</v>
      </c>
    </row>
    <row r="46" spans="1:16" x14ac:dyDescent="0.2">
      <c r="A46" s="8">
        <v>22</v>
      </c>
      <c r="B46" s="8">
        <v>44</v>
      </c>
      <c r="D46">
        <v>4142.9740777667002</v>
      </c>
      <c r="E46">
        <v>695.02492522432999</v>
      </c>
      <c r="F46">
        <v>142.25049701789001</v>
      </c>
      <c r="G46">
        <v>119.70477137176999</v>
      </c>
      <c r="I46" s="9">
        <f t="shared" si="1"/>
        <v>575.32015385256</v>
      </c>
      <c r="J46" s="9">
        <f t="shared" si="2"/>
        <v>4000.72358074881</v>
      </c>
      <c r="K46" s="9">
        <f t="shared" si="3"/>
        <v>575.32015385256</v>
      </c>
      <c r="L46" s="10">
        <f t="shared" si="0"/>
        <v>0.14380402500711587</v>
      </c>
      <c r="M46" s="10">
        <f t="shared" si="4"/>
        <v>0.14498555309844297</v>
      </c>
      <c r="P46" s="8">
        <f t="shared" si="5"/>
        <v>-6.524103801694654</v>
      </c>
    </row>
    <row r="47" spans="1:16" x14ac:dyDescent="0.2">
      <c r="A47" s="8">
        <v>22.5</v>
      </c>
      <c r="B47" s="8">
        <v>45</v>
      </c>
      <c r="D47">
        <v>3884.1316831682998</v>
      </c>
      <c r="E47">
        <v>676.27326732672998</v>
      </c>
      <c r="F47">
        <v>142.22465208748</v>
      </c>
      <c r="G47">
        <v>119.79125248509</v>
      </c>
      <c r="I47" s="9">
        <f t="shared" si="1"/>
        <v>556.48201484163997</v>
      </c>
      <c r="J47" s="9">
        <f t="shared" si="2"/>
        <v>3741.9070310808197</v>
      </c>
      <c r="K47" s="9">
        <f t="shared" si="3"/>
        <v>556.48201484163997</v>
      </c>
      <c r="L47" s="10">
        <f t="shared" si="0"/>
        <v>0.1487161520100366</v>
      </c>
      <c r="M47" s="10">
        <f t="shared" si="4"/>
        <v>0.14992453301253023</v>
      </c>
      <c r="P47" s="8">
        <f t="shared" si="5"/>
        <v>-3.3398170647860104</v>
      </c>
    </row>
    <row r="48" spans="1:16" x14ac:dyDescent="0.2">
      <c r="A48" s="8">
        <v>23</v>
      </c>
      <c r="B48" s="8">
        <v>46</v>
      </c>
      <c r="D48">
        <v>4020.3853853853998</v>
      </c>
      <c r="E48">
        <v>711.19719719720001</v>
      </c>
      <c r="F48">
        <v>142.14413518887</v>
      </c>
      <c r="G48">
        <v>120.16500994035999</v>
      </c>
      <c r="I48" s="9">
        <f t="shared" si="1"/>
        <v>591.03218725683996</v>
      </c>
      <c r="J48" s="9">
        <f t="shared" si="2"/>
        <v>3878.24125019653</v>
      </c>
      <c r="K48" s="9">
        <f t="shared" si="3"/>
        <v>591.03218725683996</v>
      </c>
      <c r="L48" s="10">
        <f t="shared" si="0"/>
        <v>0.15239696272811531</v>
      </c>
      <c r="M48" s="10">
        <f t="shared" si="4"/>
        <v>0.15363219664177546</v>
      </c>
      <c r="P48" s="8">
        <f t="shared" si="5"/>
        <v>-0.94939144555042065</v>
      </c>
    </row>
    <row r="49" spans="1:25" x14ac:dyDescent="0.2">
      <c r="A49" s="8">
        <v>23.5</v>
      </c>
      <c r="B49" s="8">
        <v>47</v>
      </c>
      <c r="D49">
        <v>3924.0750750750999</v>
      </c>
      <c r="E49">
        <v>681.47947947948001</v>
      </c>
      <c r="F49">
        <v>142.67395626243001</v>
      </c>
      <c r="G49">
        <v>119.69582504970001</v>
      </c>
      <c r="I49" s="9">
        <f t="shared" si="1"/>
        <v>561.78365442977997</v>
      </c>
      <c r="J49" s="9">
        <f t="shared" si="2"/>
        <v>3781.4011188126697</v>
      </c>
      <c r="K49" s="9">
        <f t="shared" si="3"/>
        <v>561.78365442977997</v>
      </c>
      <c r="L49" s="10">
        <f t="shared" si="0"/>
        <v>0.14856494637262277</v>
      </c>
      <c r="M49" s="10">
        <f t="shared" si="4"/>
        <v>0.14982703319744944</v>
      </c>
      <c r="P49" s="8">
        <f t="shared" si="5"/>
        <v>-3.4026776905454401</v>
      </c>
    </row>
    <row r="50" spans="1:25" x14ac:dyDescent="0.2">
      <c r="A50" s="8">
        <v>24</v>
      </c>
      <c r="B50" s="8">
        <v>48</v>
      </c>
      <c r="D50">
        <v>4221.2689243027999</v>
      </c>
      <c r="E50">
        <v>740.82569721115999</v>
      </c>
      <c r="F50">
        <v>142.34194831014</v>
      </c>
      <c r="G50">
        <v>119.98906560636</v>
      </c>
      <c r="I50" s="9">
        <f t="shared" si="1"/>
        <v>620.8366316048</v>
      </c>
      <c r="J50" s="9">
        <f t="shared" si="2"/>
        <v>4078.9269759926597</v>
      </c>
      <c r="K50" s="9">
        <f t="shared" si="3"/>
        <v>620.8366316048</v>
      </c>
      <c r="L50" s="10">
        <f t="shared" si="0"/>
        <v>0.1522058706269708</v>
      </c>
      <c r="M50" s="10">
        <f t="shared" si="4"/>
        <v>0.153494810362964</v>
      </c>
      <c r="P50" s="8">
        <f t="shared" si="5"/>
        <v>-1.0379678951538651</v>
      </c>
    </row>
    <row r="51" spans="1:25" x14ac:dyDescent="0.2">
      <c r="A51" s="8">
        <v>24.5</v>
      </c>
      <c r="B51" s="8">
        <v>49</v>
      </c>
      <c r="D51">
        <v>4160.7729083664999</v>
      </c>
      <c r="E51">
        <v>722.38645418326996</v>
      </c>
      <c r="F51">
        <v>142.50298210736</v>
      </c>
      <c r="G51">
        <v>120.05268389662</v>
      </c>
      <c r="I51" s="9">
        <f t="shared" si="1"/>
        <v>602.33377028664995</v>
      </c>
      <c r="J51" s="9">
        <f t="shared" si="2"/>
        <v>4018.26992625914</v>
      </c>
      <c r="K51" s="9">
        <f t="shared" si="3"/>
        <v>602.33377028664995</v>
      </c>
      <c r="L51" s="10">
        <f t="shared" si="0"/>
        <v>0.14989878264534615</v>
      </c>
      <c r="M51" s="10">
        <f t="shared" si="4"/>
        <v>0.15121457529250587</v>
      </c>
      <c r="P51" s="8">
        <f t="shared" si="5"/>
        <v>-2.5080937952782461</v>
      </c>
    </row>
    <row r="52" spans="1:25" x14ac:dyDescent="0.2">
      <c r="A52" s="8">
        <v>25</v>
      </c>
      <c r="B52" s="8">
        <v>50</v>
      </c>
      <c r="D52">
        <v>4240.9930278885004</v>
      </c>
      <c r="E52">
        <v>738.71115537849005</v>
      </c>
      <c r="F52">
        <v>142.74055666004</v>
      </c>
      <c r="G52">
        <v>120.17495029821001</v>
      </c>
      <c r="I52" s="9">
        <f t="shared" si="1"/>
        <v>618.53620508028007</v>
      </c>
      <c r="J52" s="9">
        <f t="shared" si="2"/>
        <v>4098.2524712284603</v>
      </c>
      <c r="K52" s="9">
        <f t="shared" si="3"/>
        <v>618.53620508028007</v>
      </c>
      <c r="L52" s="10">
        <f t="shared" si="0"/>
        <v>0.15092681805786173</v>
      </c>
      <c r="M52" s="10">
        <f t="shared" si="4"/>
        <v>0.15226946361618798</v>
      </c>
      <c r="P52" s="8">
        <f t="shared" si="5"/>
        <v>-1.8279802988779454</v>
      </c>
    </row>
    <row r="53" spans="1:25" x14ac:dyDescent="0.2">
      <c r="A53" s="8">
        <v>25.5</v>
      </c>
      <c r="B53" s="8">
        <v>51</v>
      </c>
      <c r="D53">
        <v>4015.3359999999998</v>
      </c>
      <c r="E53">
        <v>691.71</v>
      </c>
      <c r="F53">
        <v>142.57455268390001</v>
      </c>
      <c r="G53">
        <v>120.4125248509</v>
      </c>
      <c r="I53" s="9">
        <f t="shared" si="1"/>
        <v>571.29747514910002</v>
      </c>
      <c r="J53" s="9">
        <f t="shared" si="2"/>
        <v>3872.7614473160997</v>
      </c>
      <c r="K53" s="9">
        <f t="shared" si="3"/>
        <v>571.29747514910002</v>
      </c>
      <c r="L53" s="10">
        <f t="shared" si="0"/>
        <v>0.14751682563485041</v>
      </c>
      <c r="M53" s="10">
        <f t="shared" si="4"/>
        <v>0.14888632410434319</v>
      </c>
      <c r="P53" s="8">
        <f t="shared" si="5"/>
        <v>-4.0091769151978225</v>
      </c>
      <c r="S53" s="11"/>
      <c r="U53" s="12"/>
    </row>
    <row r="54" spans="1:25" x14ac:dyDescent="0.2">
      <c r="A54" s="8">
        <v>26</v>
      </c>
      <c r="B54" s="8">
        <v>52</v>
      </c>
      <c r="D54">
        <v>3838.6969092722002</v>
      </c>
      <c r="E54">
        <v>673.92522432702003</v>
      </c>
      <c r="F54">
        <v>143.21272365805001</v>
      </c>
      <c r="G54">
        <v>119.88568588469001</v>
      </c>
      <c r="I54" s="9">
        <f t="shared" si="1"/>
        <v>554.03953844233001</v>
      </c>
      <c r="J54" s="9">
        <f t="shared" si="2"/>
        <v>3695.4841856141502</v>
      </c>
      <c r="K54" s="9">
        <f t="shared" si="3"/>
        <v>554.03953844233001</v>
      </c>
      <c r="L54" s="10">
        <f t="shared" si="0"/>
        <v>0.14992339585678799</v>
      </c>
      <c r="M54" s="10">
        <f t="shared" si="4"/>
        <v>0.15131974723744729</v>
      </c>
      <c r="P54" s="8">
        <f t="shared" si="5"/>
        <v>-2.440286751071278</v>
      </c>
      <c r="S54" s="11"/>
    </row>
    <row r="55" spans="1:25" x14ac:dyDescent="0.2">
      <c r="A55" s="8">
        <v>26.5</v>
      </c>
      <c r="B55" s="8">
        <v>53</v>
      </c>
      <c r="D55">
        <v>3710.3968095712999</v>
      </c>
      <c r="E55">
        <v>664.84945164506996</v>
      </c>
      <c r="F55">
        <v>142.67992047714</v>
      </c>
      <c r="G55">
        <v>120.35487077534999</v>
      </c>
      <c r="I55" s="9">
        <f t="shared" si="1"/>
        <v>544.49458086971993</v>
      </c>
      <c r="J55" s="9">
        <f t="shared" si="2"/>
        <v>3567.7168890941598</v>
      </c>
      <c r="K55" s="9">
        <f t="shared" si="3"/>
        <v>544.49458086971993</v>
      </c>
      <c r="L55" s="10">
        <f t="shared" si="0"/>
        <v>0.1526170931707439</v>
      </c>
      <c r="M55" s="10">
        <f t="shared" si="4"/>
        <v>0.15404029746256973</v>
      </c>
      <c r="P55" s="8">
        <f t="shared" si="5"/>
        <v>-0.68627840326609124</v>
      </c>
      <c r="S55" s="11"/>
    </row>
    <row r="56" spans="1:25" x14ac:dyDescent="0.2">
      <c r="A56" s="8">
        <v>27</v>
      </c>
      <c r="B56" s="8">
        <v>54</v>
      </c>
      <c r="D56">
        <v>3704.8255234296998</v>
      </c>
      <c r="E56">
        <v>665.07676969092995</v>
      </c>
      <c r="F56">
        <v>142.39065606362001</v>
      </c>
      <c r="G56">
        <v>119.85487077534999</v>
      </c>
      <c r="I56" s="9">
        <f t="shared" si="1"/>
        <v>545.22189891557991</v>
      </c>
      <c r="J56" s="9">
        <f t="shared" si="2"/>
        <v>3562.4348673660797</v>
      </c>
      <c r="K56" s="9">
        <f t="shared" si="3"/>
        <v>545.22189891557991</v>
      </c>
      <c r="L56" s="10">
        <f t="shared" si="0"/>
        <v>0.15304754169967322</v>
      </c>
      <c r="M56" s="10">
        <f t="shared" si="4"/>
        <v>0.15449759890266557</v>
      </c>
      <c r="P56" s="8">
        <f t="shared" si="5"/>
        <v>-0.39144446269609429</v>
      </c>
      <c r="S56" s="11"/>
    </row>
    <row r="57" spans="1:25" x14ac:dyDescent="0.2">
      <c r="A57" s="8">
        <v>27.5</v>
      </c>
      <c r="B57" s="8">
        <v>55</v>
      </c>
      <c r="D57">
        <v>3577.2931206380999</v>
      </c>
      <c r="E57">
        <v>638.47557328016001</v>
      </c>
      <c r="F57">
        <v>142.7564612326</v>
      </c>
      <c r="G57">
        <v>119.99105367793</v>
      </c>
      <c r="I57" s="9">
        <f t="shared" si="1"/>
        <v>518.48451960222997</v>
      </c>
      <c r="J57" s="9">
        <f t="shared" si="2"/>
        <v>3434.5366594054999</v>
      </c>
      <c r="K57" s="9">
        <f t="shared" si="3"/>
        <v>518.48451960222997</v>
      </c>
      <c r="L57" s="10">
        <f t="shared" si="0"/>
        <v>0.15096199895911924</v>
      </c>
      <c r="M57" s="10">
        <f t="shared" si="4"/>
        <v>0.15243890907327812</v>
      </c>
      <c r="P57" s="8">
        <f t="shared" si="5"/>
        <v>-1.7187344766581465</v>
      </c>
      <c r="S57" s="11"/>
    </row>
    <row r="58" spans="1:25" x14ac:dyDescent="0.2">
      <c r="A58" s="8">
        <v>28</v>
      </c>
      <c r="B58" s="8">
        <v>56</v>
      </c>
      <c r="D58">
        <v>3778.3653653654001</v>
      </c>
      <c r="E58">
        <v>677.80980980980996</v>
      </c>
      <c r="F58">
        <v>143.09642147117</v>
      </c>
      <c r="G58">
        <v>120.20576540755999</v>
      </c>
      <c r="I58" s="9">
        <f t="shared" si="1"/>
        <v>557.60404440225</v>
      </c>
      <c r="J58" s="9">
        <f t="shared" si="2"/>
        <v>3635.2689438942302</v>
      </c>
      <c r="K58" s="9">
        <f t="shared" si="3"/>
        <v>557.60404440225</v>
      </c>
      <c r="L58" s="10">
        <f t="shared" si="0"/>
        <v>0.15338728798561038</v>
      </c>
      <c r="M58" s="10">
        <f t="shared" si="4"/>
        <v>0.15489105101093578</v>
      </c>
      <c r="P58" s="8">
        <f t="shared" si="5"/>
        <v>-0.13777582023004736</v>
      </c>
      <c r="S58" s="11"/>
    </row>
    <row r="59" spans="1:25" x14ac:dyDescent="0.2">
      <c r="A59" s="8">
        <v>28.5</v>
      </c>
      <c r="B59" s="8">
        <v>57</v>
      </c>
      <c r="D59">
        <v>3835.7037037036998</v>
      </c>
      <c r="E59">
        <v>679.06206206206002</v>
      </c>
      <c r="F59">
        <v>142.76540755466999</v>
      </c>
      <c r="G59">
        <v>120.09443339960001</v>
      </c>
      <c r="I59" s="9">
        <f t="shared" si="1"/>
        <v>558.96762866246002</v>
      </c>
      <c r="J59" s="9">
        <f t="shared" si="2"/>
        <v>3692.9382961490301</v>
      </c>
      <c r="K59" s="9">
        <f t="shared" si="3"/>
        <v>558.96762866246002</v>
      </c>
      <c r="L59" s="10">
        <f t="shared" si="0"/>
        <v>0.15136121533504837</v>
      </c>
      <c r="M59" s="10">
        <f t="shared" si="4"/>
        <v>0.1528918312715403</v>
      </c>
      <c r="P59" s="8">
        <f t="shared" si="5"/>
        <v>-1.4267239453611604</v>
      </c>
      <c r="R59" s="1"/>
      <c r="S59" s="11"/>
    </row>
    <row r="60" spans="1:25" x14ac:dyDescent="0.2">
      <c r="A60" s="8">
        <v>29</v>
      </c>
      <c r="B60" s="8">
        <v>58</v>
      </c>
      <c r="D60">
        <v>4001.4053784860998</v>
      </c>
      <c r="E60">
        <v>709.85756972111994</v>
      </c>
      <c r="F60">
        <v>143.09045725646001</v>
      </c>
      <c r="G60">
        <v>120.27634194831001</v>
      </c>
      <c r="I60" s="9">
        <f t="shared" si="1"/>
        <v>589.58122777280994</v>
      </c>
      <c r="J60" s="9">
        <f t="shared" si="2"/>
        <v>3858.3149212296398</v>
      </c>
      <c r="K60" s="9">
        <f t="shared" si="3"/>
        <v>589.58122777280994</v>
      </c>
      <c r="L60" s="10">
        <f t="shared" si="0"/>
        <v>0.15280795886534612</v>
      </c>
      <c r="M60" s="10">
        <f t="shared" si="4"/>
        <v>0.15436542771300457</v>
      </c>
      <c r="P60" s="8">
        <f t="shared" si="5"/>
        <v>-0.47665861087242345</v>
      </c>
      <c r="S60" s="11"/>
    </row>
    <row r="61" spans="1:25" x14ac:dyDescent="0.2">
      <c r="A61" s="8">
        <v>29.5</v>
      </c>
      <c r="B61" s="8">
        <v>59</v>
      </c>
      <c r="C61" s="2"/>
      <c r="D61">
        <v>3881.9143426295</v>
      </c>
      <c r="E61">
        <v>682.09262948207004</v>
      </c>
      <c r="F61">
        <v>143.36182902585</v>
      </c>
      <c r="G61">
        <v>120.47813121272</v>
      </c>
      <c r="I61" s="9">
        <f t="shared" si="1"/>
        <v>561.61449826935007</v>
      </c>
      <c r="J61" s="9">
        <f t="shared" si="2"/>
        <v>3738.5525136036499</v>
      </c>
      <c r="K61" s="9">
        <f t="shared" si="3"/>
        <v>561.61449826935007</v>
      </c>
      <c r="L61" s="10">
        <f t="shared" si="0"/>
        <v>0.15022244470975774</v>
      </c>
      <c r="M61" s="10">
        <f t="shared" si="4"/>
        <v>0.15180676646858271</v>
      </c>
      <c r="P61" s="8">
        <f t="shared" si="5"/>
        <v>-2.1262929901530252</v>
      </c>
      <c r="S61" s="11"/>
    </row>
    <row r="62" spans="1:25" x14ac:dyDescent="0.2">
      <c r="A62" s="8">
        <v>30</v>
      </c>
      <c r="B62" s="8">
        <v>60</v>
      </c>
      <c r="D62">
        <v>3879.6623505975999</v>
      </c>
      <c r="E62">
        <v>672.66235059761004</v>
      </c>
      <c r="F62">
        <v>143.67296222664001</v>
      </c>
      <c r="G62">
        <v>120.26640159046001</v>
      </c>
      <c r="I62" s="9">
        <f t="shared" si="1"/>
        <v>552.39594900715008</v>
      </c>
      <c r="J62" s="9">
        <f t="shared" si="2"/>
        <v>3735.9893883709601</v>
      </c>
      <c r="K62" s="9">
        <f t="shared" si="3"/>
        <v>552.39594900715008</v>
      </c>
      <c r="L62" s="10">
        <f t="shared" si="0"/>
        <v>0.14785800803572857</v>
      </c>
      <c r="M62" s="10">
        <f t="shared" si="4"/>
        <v>0.14946918270572007</v>
      </c>
      <c r="P62" s="8">
        <f t="shared" si="5"/>
        <v>-3.633393059798093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4038.2669322708998</v>
      </c>
      <c r="E63">
        <v>700.08466135458002</v>
      </c>
      <c r="F63">
        <v>143.10238568589</v>
      </c>
      <c r="G63">
        <v>120.23757455268</v>
      </c>
      <c r="I63" s="9">
        <f t="shared" si="1"/>
        <v>579.84708680189999</v>
      </c>
      <c r="J63" s="9">
        <f t="shared" si="2"/>
        <v>3895.1645465850097</v>
      </c>
      <c r="K63" s="9">
        <f t="shared" si="3"/>
        <v>579.84708680189999</v>
      </c>
      <c r="L63" s="10">
        <f t="shared" si="0"/>
        <v>0.14886330984663196</v>
      </c>
      <c r="M63" s="10">
        <f t="shared" si="4"/>
        <v>0.15050133742778998</v>
      </c>
      <c r="P63" s="8">
        <f t="shared" si="5"/>
        <v>-2.9679364980999199</v>
      </c>
    </row>
    <row r="64" spans="1:25" x14ac:dyDescent="0.2">
      <c r="A64" s="8">
        <v>31</v>
      </c>
      <c r="B64" s="8">
        <v>62</v>
      </c>
      <c r="D64">
        <v>3942.3759920634998</v>
      </c>
      <c r="E64">
        <v>682.36904761904998</v>
      </c>
      <c r="F64">
        <v>142.80019880716</v>
      </c>
      <c r="G64">
        <v>120.01292246521</v>
      </c>
      <c r="I64" s="9">
        <f t="shared" si="1"/>
        <v>562.35612515384003</v>
      </c>
      <c r="J64" s="9">
        <f t="shared" si="2"/>
        <v>3799.5757932563397</v>
      </c>
      <c r="K64" s="9">
        <f t="shared" si="3"/>
        <v>562.35612515384003</v>
      </c>
      <c r="L64" s="10">
        <f t="shared" si="0"/>
        <v>0.14800497627970347</v>
      </c>
      <c r="M64" s="10">
        <f t="shared" si="4"/>
        <v>0.14966985677202801</v>
      </c>
      <c r="P64" s="8">
        <f t="shared" si="5"/>
        <v>-3.5040133540893685</v>
      </c>
      <c r="U64" s="8">
        <v>30.5</v>
      </c>
      <c r="V64" s="10">
        <f>L62</f>
        <v>0.14785800803572857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3973.4156746031999</v>
      </c>
      <c r="E65">
        <v>701.70436507936995</v>
      </c>
      <c r="F65">
        <v>143.01491053678001</v>
      </c>
      <c r="G65">
        <v>120.76938369781</v>
      </c>
      <c r="I65" s="9">
        <f t="shared" si="1"/>
        <v>580.93498138155996</v>
      </c>
      <c r="J65" s="9">
        <f t="shared" si="2"/>
        <v>3830.4007640664199</v>
      </c>
      <c r="K65" s="9">
        <f t="shared" si="3"/>
        <v>580.93498138155996</v>
      </c>
      <c r="L65" s="10">
        <f t="shared" si="0"/>
        <v>0.15166428192877376</v>
      </c>
      <c r="M65" s="10">
        <f t="shared" si="4"/>
        <v>0.15335601533226484</v>
      </c>
      <c r="P65" s="8">
        <f t="shared" si="5"/>
        <v>-1.1274526031486429</v>
      </c>
      <c r="U65" s="8">
        <v>31</v>
      </c>
      <c r="V65" s="10">
        <f t="shared" ref="V65:V83" si="6">L63</f>
        <v>0.14886330984663196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3998.8456175299002</v>
      </c>
      <c r="E66">
        <v>706.94223107569997</v>
      </c>
      <c r="F66">
        <v>143.23061630218999</v>
      </c>
      <c r="G66">
        <v>120.33697813121</v>
      </c>
      <c r="I66" s="9">
        <f t="shared" si="1"/>
        <v>586.60525294448996</v>
      </c>
      <c r="J66" s="9">
        <f t="shared" si="2"/>
        <v>3855.6150012277103</v>
      </c>
      <c r="K66" s="9">
        <f t="shared" si="3"/>
        <v>586.60525294448996</v>
      </c>
      <c r="L66" s="10">
        <f t="shared" ref="L66:L129" si="7">K66/J66</f>
        <v>0.15214310888346017</v>
      </c>
      <c r="M66" s="10">
        <f t="shared" si="4"/>
        <v>0.15386169519811776</v>
      </c>
      <c r="P66" s="8">
        <f t="shared" si="5"/>
        <v>-0.80142785351068269</v>
      </c>
      <c r="U66" s="8">
        <v>31.5</v>
      </c>
      <c r="V66" s="10">
        <f t="shared" si="6"/>
        <v>0.14800497627970347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3975.3774900397998</v>
      </c>
      <c r="E67">
        <v>704.86952191235002</v>
      </c>
      <c r="F67">
        <v>142.65009940357999</v>
      </c>
      <c r="G67">
        <v>119.93737574553001</v>
      </c>
      <c r="I67" s="9">
        <f t="shared" ref="I67:I130" si="8">E67-G67</f>
        <v>584.93214616682008</v>
      </c>
      <c r="J67" s="9">
        <f t="shared" ref="J67:J130" si="9">D67-F67</f>
        <v>3832.7273906362198</v>
      </c>
      <c r="K67" s="9">
        <f t="shared" ref="K67:K130" si="10">I67*1</f>
        <v>584.93214616682008</v>
      </c>
      <c r="L67" s="10">
        <f t="shared" si="7"/>
        <v>0.15261511883048987</v>
      </c>
      <c r="M67" s="10">
        <f t="shared" ref="M67:M130" si="11">L67+ABS($N$2)*A67</f>
        <v>0.15436055805631399</v>
      </c>
      <c r="P67" s="8">
        <f t="shared" ref="P67:P130" si="12">(M67-$O$2)/$O$2*100</f>
        <v>-0.47979820315318744</v>
      </c>
      <c r="U67" s="8">
        <v>32</v>
      </c>
      <c r="V67" s="10">
        <f t="shared" si="6"/>
        <v>0.15166428192877376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3984.6909999999998</v>
      </c>
      <c r="E68">
        <v>701.20799999999997</v>
      </c>
      <c r="F68">
        <v>142.55666003976</v>
      </c>
      <c r="G68">
        <v>120.14115308151</v>
      </c>
      <c r="I68" s="9">
        <f t="shared" si="8"/>
        <v>581.06684691849</v>
      </c>
      <c r="J68" s="9">
        <f t="shared" si="9"/>
        <v>3842.1343399602397</v>
      </c>
      <c r="K68" s="9">
        <f t="shared" si="10"/>
        <v>581.06684691849</v>
      </c>
      <c r="L68" s="10">
        <f t="shared" si="7"/>
        <v>0.15123543205532558</v>
      </c>
      <c r="M68" s="10">
        <f t="shared" si="11"/>
        <v>0.15300772419231623</v>
      </c>
      <c r="P68" s="8">
        <f t="shared" si="12"/>
        <v>-1.3520048136886822</v>
      </c>
      <c r="U68" s="8">
        <v>32.5</v>
      </c>
      <c r="V68" s="10">
        <f t="shared" si="6"/>
        <v>0.15214310888346017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3863.453</v>
      </c>
      <c r="E69">
        <v>675.90599999999995</v>
      </c>
      <c r="F69">
        <v>142.80914512922999</v>
      </c>
      <c r="G69">
        <v>120.19284294235</v>
      </c>
      <c r="I69" s="9">
        <f t="shared" si="8"/>
        <v>555.71315705764994</v>
      </c>
      <c r="J69" s="9">
        <f t="shared" si="9"/>
        <v>3720.6438548707702</v>
      </c>
      <c r="K69" s="9">
        <f t="shared" si="10"/>
        <v>555.71315705764994</v>
      </c>
      <c r="L69" s="10">
        <f t="shared" si="7"/>
        <v>0.14935940625710645</v>
      </c>
      <c r="M69" s="10">
        <f t="shared" si="11"/>
        <v>0.15115855130526362</v>
      </c>
      <c r="P69" s="8">
        <f t="shared" si="12"/>
        <v>-2.5442138934822092</v>
      </c>
      <c r="U69" s="8">
        <v>33</v>
      </c>
      <c r="V69" s="10">
        <f t="shared" si="6"/>
        <v>0.15261511883048987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4065.4805970149</v>
      </c>
      <c r="E70">
        <v>717.39203980100001</v>
      </c>
      <c r="F70">
        <v>142.87475149105001</v>
      </c>
      <c r="G70">
        <v>120.24652087475</v>
      </c>
      <c r="I70" s="9">
        <f t="shared" si="8"/>
        <v>597.14551892625002</v>
      </c>
      <c r="J70" s="9">
        <f t="shared" si="9"/>
        <v>3922.6058455238499</v>
      </c>
      <c r="K70" s="9">
        <f t="shared" si="10"/>
        <v>597.14551892625002</v>
      </c>
      <c r="L70" s="10">
        <f t="shared" si="7"/>
        <v>0.15223184343327856</v>
      </c>
      <c r="M70" s="10">
        <f t="shared" si="11"/>
        <v>0.15405784139260226</v>
      </c>
      <c r="P70" s="8">
        <f t="shared" si="12"/>
        <v>-0.67496738263276101</v>
      </c>
      <c r="U70" s="8">
        <v>33.5</v>
      </c>
      <c r="V70" s="10">
        <f t="shared" si="6"/>
        <v>0.15123543205532558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4024.7492537313001</v>
      </c>
      <c r="E71">
        <v>705.72139303483004</v>
      </c>
      <c r="F71">
        <v>143.38071570577</v>
      </c>
      <c r="G71">
        <v>120.35288270378</v>
      </c>
      <c r="I71" s="9">
        <f t="shared" si="8"/>
        <v>585.36851033105006</v>
      </c>
      <c r="J71" s="9">
        <f t="shared" si="9"/>
        <v>3881.3685380255301</v>
      </c>
      <c r="K71" s="9">
        <f t="shared" si="10"/>
        <v>585.36851033105006</v>
      </c>
      <c r="L71" s="10">
        <f t="shared" si="7"/>
        <v>0.15081497791210255</v>
      </c>
      <c r="M71" s="10">
        <f t="shared" si="11"/>
        <v>0.15266782878259277</v>
      </c>
      <c r="P71" s="8">
        <f t="shared" si="12"/>
        <v>-1.5711440821095677</v>
      </c>
      <c r="U71" s="8">
        <v>34</v>
      </c>
      <c r="V71" s="10">
        <f t="shared" si="6"/>
        <v>0.14935940625710645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4063.8427860697002</v>
      </c>
      <c r="E72">
        <v>717.73134328358003</v>
      </c>
      <c r="F72">
        <v>143.81212723658001</v>
      </c>
      <c r="G72">
        <v>120.32604373757999</v>
      </c>
      <c r="I72" s="9">
        <f t="shared" si="8"/>
        <v>597.40529954600004</v>
      </c>
      <c r="J72" s="9">
        <f t="shared" si="9"/>
        <v>3920.03065883312</v>
      </c>
      <c r="K72" s="9">
        <f t="shared" si="10"/>
        <v>597.40529954600004</v>
      </c>
      <c r="L72" s="10">
        <f t="shared" si="7"/>
        <v>0.15239811918303475</v>
      </c>
      <c r="M72" s="10">
        <f t="shared" si="11"/>
        <v>0.1542778229646915</v>
      </c>
      <c r="P72" s="8">
        <f t="shared" si="12"/>
        <v>-0.53313963387635654</v>
      </c>
      <c r="U72" s="8">
        <v>34.5</v>
      </c>
      <c r="V72" s="10">
        <f t="shared" si="6"/>
        <v>0.15223184343327856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4104.5502487561998</v>
      </c>
      <c r="E73">
        <v>730.99900497511999</v>
      </c>
      <c r="F73">
        <v>143.19284294235001</v>
      </c>
      <c r="G73">
        <v>119.99701789264</v>
      </c>
      <c r="I73" s="9">
        <f t="shared" si="8"/>
        <v>611.00198708248001</v>
      </c>
      <c r="J73" s="9">
        <f t="shared" si="9"/>
        <v>3961.3574058138497</v>
      </c>
      <c r="K73" s="9">
        <f t="shared" si="10"/>
        <v>611.00198708248001</v>
      </c>
      <c r="L73" s="10">
        <f t="shared" si="7"/>
        <v>0.15424056061837504</v>
      </c>
      <c r="M73" s="10">
        <f t="shared" si="11"/>
        <v>0.15614711731119832</v>
      </c>
      <c r="P73" s="8">
        <f t="shared" si="12"/>
        <v>0.67204226572648562</v>
      </c>
      <c r="U73" s="8">
        <v>35</v>
      </c>
      <c r="V73" s="10">
        <f t="shared" si="6"/>
        <v>0.15081497791210255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4086.1671641790999</v>
      </c>
      <c r="E74">
        <v>730.90646766169004</v>
      </c>
      <c r="F74">
        <v>143.07355864811001</v>
      </c>
      <c r="G74">
        <v>120.67793240557</v>
      </c>
      <c r="I74" s="9">
        <f t="shared" si="8"/>
        <v>610.22853525612004</v>
      </c>
      <c r="J74" s="9">
        <f t="shared" si="9"/>
        <v>3943.0936055309899</v>
      </c>
      <c r="K74" s="9">
        <f t="shared" si="10"/>
        <v>610.22853525612004</v>
      </c>
      <c r="L74" s="10">
        <f t="shared" si="7"/>
        <v>0.15475882550699546</v>
      </c>
      <c r="M74" s="10">
        <f t="shared" si="11"/>
        <v>0.15669223511098526</v>
      </c>
      <c r="P74" s="8">
        <f t="shared" si="12"/>
        <v>1.0234936605708735</v>
      </c>
      <c r="U74" s="8">
        <v>35.5</v>
      </c>
      <c r="V74" s="10">
        <f t="shared" si="6"/>
        <v>0.15239811918303475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3913.3266733267001</v>
      </c>
      <c r="E75">
        <v>696.00599400599003</v>
      </c>
      <c r="F75">
        <v>143.66003976143</v>
      </c>
      <c r="G75">
        <v>120.58946322068</v>
      </c>
      <c r="I75" s="9">
        <f t="shared" si="8"/>
        <v>575.41653078530999</v>
      </c>
      <c r="J75" s="9">
        <f t="shared" si="9"/>
        <v>3769.6666335652699</v>
      </c>
      <c r="K75" s="9">
        <f t="shared" si="10"/>
        <v>575.41653078530999</v>
      </c>
      <c r="L75" s="10">
        <f t="shared" si="7"/>
        <v>0.15264387722292921</v>
      </c>
      <c r="M75" s="10">
        <f t="shared" si="11"/>
        <v>0.15460413973808554</v>
      </c>
      <c r="P75" s="8">
        <f t="shared" si="12"/>
        <v>-0.32275485976830476</v>
      </c>
      <c r="U75" s="8">
        <v>36</v>
      </c>
      <c r="V75" s="10">
        <f t="shared" si="6"/>
        <v>0.15424056061837504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3931.8171828171999</v>
      </c>
      <c r="E76">
        <v>713.48551448550995</v>
      </c>
      <c r="F76">
        <v>142.87375745527001</v>
      </c>
      <c r="G76">
        <v>120.17594433399999</v>
      </c>
      <c r="I76" s="9">
        <f t="shared" si="8"/>
        <v>593.30957015151</v>
      </c>
      <c r="J76" s="9">
        <f t="shared" si="9"/>
        <v>3788.9434253619297</v>
      </c>
      <c r="K76" s="9">
        <f t="shared" si="10"/>
        <v>593.30957015151</v>
      </c>
      <c r="L76" s="10">
        <f t="shared" si="7"/>
        <v>0.15658971474213434</v>
      </c>
      <c r="M76" s="10">
        <f t="shared" si="11"/>
        <v>0.15857683016845719</v>
      </c>
      <c r="P76" s="8">
        <f t="shared" si="12"/>
        <v>2.2385403200713059</v>
      </c>
      <c r="U76" s="8">
        <v>36.5</v>
      </c>
      <c r="V76" s="10">
        <f t="shared" si="6"/>
        <v>0.15475882550699546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4096.6091269840999</v>
      </c>
      <c r="E77">
        <v>749.50892857143003</v>
      </c>
      <c r="F77">
        <v>143.18886679920999</v>
      </c>
      <c r="G77">
        <v>120.56361829026</v>
      </c>
      <c r="I77" s="9">
        <f t="shared" si="8"/>
        <v>628.94531028117001</v>
      </c>
      <c r="J77" s="9">
        <f t="shared" si="9"/>
        <v>3953.4202601848901</v>
      </c>
      <c r="K77" s="9">
        <f t="shared" si="10"/>
        <v>628.94531028117001</v>
      </c>
      <c r="L77" s="10">
        <f t="shared" si="7"/>
        <v>0.15908890755058661</v>
      </c>
      <c r="M77" s="10">
        <f t="shared" si="11"/>
        <v>0.16110287588807598</v>
      </c>
      <c r="P77" s="8">
        <f t="shared" si="12"/>
        <v>3.8671466358946098</v>
      </c>
      <c r="U77" s="8">
        <v>37</v>
      </c>
      <c r="V77" s="10">
        <f t="shared" si="6"/>
        <v>0.15264387722292921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4070.4573412698001</v>
      </c>
      <c r="E78">
        <v>747.98313492064005</v>
      </c>
      <c r="F78">
        <v>142.91650099404001</v>
      </c>
      <c r="G78">
        <v>120.79522862823001</v>
      </c>
      <c r="I78" s="9">
        <f t="shared" si="8"/>
        <v>627.18790629241005</v>
      </c>
      <c r="J78" s="9">
        <f t="shared" si="9"/>
        <v>3927.5408402757603</v>
      </c>
      <c r="K78" s="9">
        <f t="shared" si="10"/>
        <v>627.18790629241005</v>
      </c>
      <c r="L78" s="10">
        <f t="shared" si="7"/>
        <v>0.15968972234757817</v>
      </c>
      <c r="M78" s="10">
        <f t="shared" si="11"/>
        <v>0.16173054359623407</v>
      </c>
      <c r="P78" s="8">
        <f t="shared" si="12"/>
        <v>4.2718200690812678</v>
      </c>
      <c r="U78" s="8">
        <v>37.5</v>
      </c>
      <c r="V78" s="10">
        <f t="shared" si="6"/>
        <v>0.15658971474213434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4068.8035714286002</v>
      </c>
      <c r="E79">
        <v>740.44841269841004</v>
      </c>
      <c r="F79">
        <v>143.337972167</v>
      </c>
      <c r="G79">
        <v>120.4592445328</v>
      </c>
      <c r="I79" s="9">
        <f t="shared" si="8"/>
        <v>619.98916816561007</v>
      </c>
      <c r="J79" s="9">
        <f t="shared" si="9"/>
        <v>3925.4655992616003</v>
      </c>
      <c r="K79" s="9">
        <f t="shared" si="10"/>
        <v>619.98916816561007</v>
      </c>
      <c r="L79" s="10">
        <f t="shared" si="7"/>
        <v>0.15794028822523196</v>
      </c>
      <c r="M79" s="10">
        <f t="shared" si="11"/>
        <v>0.16000796238505438</v>
      </c>
      <c r="P79" s="8">
        <f t="shared" si="12"/>
        <v>3.1612278821476263</v>
      </c>
      <c r="U79" s="8">
        <v>38</v>
      </c>
      <c r="V79" s="10">
        <f t="shared" si="6"/>
        <v>0.15908890755058661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4290.2885572139003</v>
      </c>
      <c r="E80">
        <v>773.85273631841005</v>
      </c>
      <c r="F80">
        <v>143.21172962227001</v>
      </c>
      <c r="G80">
        <v>120.4125248509</v>
      </c>
      <c r="I80" s="9">
        <f t="shared" si="8"/>
        <v>653.44021146751004</v>
      </c>
      <c r="J80" s="9">
        <f t="shared" si="9"/>
        <v>4147.0768275916307</v>
      </c>
      <c r="K80" s="9">
        <f t="shared" si="10"/>
        <v>653.44021146751004</v>
      </c>
      <c r="L80" s="10">
        <f t="shared" si="7"/>
        <v>0.15756645913092193</v>
      </c>
      <c r="M80" s="10">
        <f t="shared" si="11"/>
        <v>0.15966098620191088</v>
      </c>
      <c r="P80" s="8">
        <f t="shared" si="12"/>
        <v>2.9375234579090002</v>
      </c>
      <c r="U80" s="8">
        <v>38.5</v>
      </c>
      <c r="V80" s="10">
        <f t="shared" si="6"/>
        <v>0.15968972234757817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4224.4885572139001</v>
      </c>
      <c r="E81">
        <v>753.15522388060003</v>
      </c>
      <c r="F81">
        <v>144.21073558648001</v>
      </c>
      <c r="G81">
        <v>120.45725646123</v>
      </c>
      <c r="I81" s="9">
        <f t="shared" si="8"/>
        <v>632.69796741937</v>
      </c>
      <c r="J81" s="9">
        <f t="shared" si="9"/>
        <v>4080.2778216274201</v>
      </c>
      <c r="K81" s="9">
        <f t="shared" si="10"/>
        <v>632.69796741937</v>
      </c>
      <c r="L81" s="10">
        <f t="shared" si="7"/>
        <v>0.15506247247816529</v>
      </c>
      <c r="M81" s="10">
        <f t="shared" si="11"/>
        <v>0.15718385246032077</v>
      </c>
      <c r="P81" s="8">
        <f t="shared" si="12"/>
        <v>1.3404519459565172</v>
      </c>
      <c r="U81" s="8">
        <v>39</v>
      </c>
      <c r="V81" s="10">
        <f t="shared" si="6"/>
        <v>0.15794028822523196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4311.4746268657</v>
      </c>
      <c r="E82">
        <v>759.80796019901004</v>
      </c>
      <c r="F82">
        <v>143.82306163022</v>
      </c>
      <c r="G82">
        <v>120.11332007951999</v>
      </c>
      <c r="H82" s="13"/>
      <c r="I82" s="14">
        <f t="shared" si="8"/>
        <v>639.69464011949003</v>
      </c>
      <c r="J82" s="14">
        <f t="shared" si="9"/>
        <v>4167.6515652354801</v>
      </c>
      <c r="K82" s="9">
        <f t="shared" si="10"/>
        <v>639.69464011949003</v>
      </c>
      <c r="L82" s="15">
        <f t="shared" si="7"/>
        <v>0.15349043222699116</v>
      </c>
      <c r="M82" s="15">
        <f t="shared" si="11"/>
        <v>0.15563866512031316</v>
      </c>
      <c r="N82" s="13"/>
      <c r="O82" s="13"/>
      <c r="P82" s="13">
        <f t="shared" si="12"/>
        <v>0.34423012719768004</v>
      </c>
      <c r="U82" s="8">
        <v>39.5</v>
      </c>
      <c r="V82" s="10">
        <f t="shared" si="6"/>
        <v>0.15756645913092193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4199.1960199004998</v>
      </c>
      <c r="E83">
        <v>736.70447761193998</v>
      </c>
      <c r="F83">
        <v>143.67495029821001</v>
      </c>
      <c r="G83">
        <v>120.5745526839</v>
      </c>
      <c r="I83" s="9">
        <f t="shared" si="8"/>
        <v>616.12992492803994</v>
      </c>
      <c r="J83" s="9">
        <f t="shared" si="9"/>
        <v>4055.5210696022896</v>
      </c>
      <c r="K83" s="9">
        <f t="shared" si="10"/>
        <v>616.12992492803994</v>
      </c>
      <c r="L83" s="10">
        <f t="shared" si="7"/>
        <v>0.15192373910868662</v>
      </c>
      <c r="M83" s="10">
        <f t="shared" si="11"/>
        <v>0.15409882491317514</v>
      </c>
      <c r="P83" s="8">
        <f t="shared" si="12"/>
        <v>-0.64854425816938144</v>
      </c>
      <c r="U83" s="8">
        <v>40</v>
      </c>
      <c r="V83" s="10">
        <f t="shared" si="6"/>
        <v>0.15506247247816529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4336.5054835494002</v>
      </c>
      <c r="E84">
        <v>758.97906281156997</v>
      </c>
      <c r="F84">
        <v>143.93836978131</v>
      </c>
      <c r="G84">
        <v>120.48608349900999</v>
      </c>
      <c r="I84" s="9">
        <f t="shared" si="8"/>
        <v>638.49297931256001</v>
      </c>
      <c r="J84" s="9">
        <f t="shared" si="9"/>
        <v>4192.5671137680902</v>
      </c>
      <c r="K84" s="9">
        <f t="shared" si="10"/>
        <v>638.49297931256001</v>
      </c>
      <c r="L84" s="10">
        <f t="shared" si="7"/>
        <v>0.15229165377360204</v>
      </c>
      <c r="M84" s="10">
        <f t="shared" si="11"/>
        <v>0.15449359248925709</v>
      </c>
      <c r="P84" s="8">
        <f t="shared" si="12"/>
        <v>-0.39402749994287306</v>
      </c>
      <c r="U84" s="8">
        <v>150.5</v>
      </c>
      <c r="V84" s="10">
        <f>L302</f>
        <v>0.16598161070699977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4250.1794616152001</v>
      </c>
      <c r="E85">
        <v>735.16350947159003</v>
      </c>
      <c r="F85">
        <v>143.10735586480999</v>
      </c>
      <c r="G85">
        <v>120.86282306163</v>
      </c>
      <c r="I85" s="9">
        <f t="shared" si="8"/>
        <v>614.30068640996001</v>
      </c>
      <c r="J85" s="9">
        <f t="shared" si="9"/>
        <v>4107.0721057503897</v>
      </c>
      <c r="K85" s="9">
        <f t="shared" si="10"/>
        <v>614.30068640996001</v>
      </c>
      <c r="L85" s="10">
        <f t="shared" si="7"/>
        <v>0.14957143935940787</v>
      </c>
      <c r="M85" s="10">
        <f t="shared" si="11"/>
        <v>0.15180023098622944</v>
      </c>
      <c r="P85" s="8">
        <f t="shared" si="12"/>
        <v>-2.1305065828662619</v>
      </c>
      <c r="U85" s="8">
        <v>151</v>
      </c>
      <c r="V85" s="10">
        <f t="shared" ref="V85:V103" si="13">L303</f>
        <v>0.16579647803372735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4392.0327380952003</v>
      </c>
      <c r="E86">
        <v>784.21230158729998</v>
      </c>
      <c r="F86">
        <v>143.73061630218999</v>
      </c>
      <c r="G86">
        <v>120.96023856859</v>
      </c>
      <c r="I86" s="9">
        <f t="shared" si="8"/>
        <v>663.25206301871003</v>
      </c>
      <c r="J86" s="9">
        <f t="shared" si="9"/>
        <v>4248.30212179301</v>
      </c>
      <c r="K86" s="9">
        <f t="shared" si="10"/>
        <v>663.25206301871003</v>
      </c>
      <c r="L86" s="10">
        <f t="shared" si="7"/>
        <v>0.15612167967441598</v>
      </c>
      <c r="M86" s="10">
        <f t="shared" si="11"/>
        <v>0.15837732421240408</v>
      </c>
      <c r="P86" s="8">
        <f t="shared" si="12"/>
        <v>2.1099137249352915</v>
      </c>
      <c r="U86" s="8">
        <v>151.5</v>
      </c>
      <c r="V86" s="10">
        <f t="shared" si="13"/>
        <v>0.16348051788233847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4390.1557539682999</v>
      </c>
      <c r="E87">
        <v>831.02182539682997</v>
      </c>
      <c r="F87">
        <v>144.13320079523001</v>
      </c>
      <c r="G87">
        <v>120.75844930418</v>
      </c>
      <c r="I87" s="9">
        <f t="shared" si="8"/>
        <v>710.26337609264999</v>
      </c>
      <c r="J87" s="9">
        <f t="shared" si="9"/>
        <v>4246.0225531730703</v>
      </c>
      <c r="K87" s="9">
        <f t="shared" si="10"/>
        <v>710.26337609264999</v>
      </c>
      <c r="L87" s="10">
        <f t="shared" si="7"/>
        <v>0.16727734419636259</v>
      </c>
      <c r="M87" s="10">
        <f t="shared" si="11"/>
        <v>0.16955984164551721</v>
      </c>
      <c r="P87" s="8">
        <f t="shared" si="12"/>
        <v>9.3195688697046677</v>
      </c>
      <c r="U87" s="8">
        <v>152</v>
      </c>
      <c r="V87" s="10">
        <f t="shared" si="13"/>
        <v>0.16229314814154511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4323.0436507937002</v>
      </c>
      <c r="E88">
        <v>823.30059523809996</v>
      </c>
      <c r="F88">
        <v>144.09145129225001</v>
      </c>
      <c r="G88">
        <v>120.81411530814999</v>
      </c>
      <c r="I88" s="9">
        <f t="shared" si="8"/>
        <v>702.48647992994995</v>
      </c>
      <c r="J88" s="9">
        <f t="shared" si="9"/>
        <v>4178.9521995014502</v>
      </c>
      <c r="K88" s="9">
        <f t="shared" si="10"/>
        <v>702.48647992994995</v>
      </c>
      <c r="L88" s="10">
        <f t="shared" si="7"/>
        <v>0.16810110439017625</v>
      </c>
      <c r="M88" s="10">
        <f t="shared" si="11"/>
        <v>0.1704104547504974</v>
      </c>
      <c r="P88" s="8">
        <f t="shared" si="12"/>
        <v>9.8679809052959619</v>
      </c>
      <c r="U88" s="8">
        <v>152.5</v>
      </c>
      <c r="V88" s="10">
        <f t="shared" si="13"/>
        <v>0.16203699870209981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4254.2440476190995</v>
      </c>
      <c r="E89">
        <v>809.07043650794003</v>
      </c>
      <c r="F89">
        <v>143.66103379722</v>
      </c>
      <c r="G89">
        <v>120.75745526839</v>
      </c>
      <c r="I89" s="9">
        <f t="shared" si="8"/>
        <v>688.31298123955003</v>
      </c>
      <c r="J89" s="9">
        <f t="shared" si="9"/>
        <v>4110.5830138218798</v>
      </c>
      <c r="K89" s="9">
        <f t="shared" si="10"/>
        <v>688.31298123955003</v>
      </c>
      <c r="L89" s="10">
        <f t="shared" si="7"/>
        <v>0.16744899176712652</v>
      </c>
      <c r="M89" s="10">
        <f t="shared" si="11"/>
        <v>0.1697851950386142</v>
      </c>
      <c r="P89" s="8">
        <f t="shared" si="12"/>
        <v>9.4648599689272697</v>
      </c>
      <c r="U89" s="8">
        <v>153</v>
      </c>
      <c r="V89" s="10">
        <f t="shared" si="13"/>
        <v>0.16189652889745415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3954.6564356436002</v>
      </c>
      <c r="E90">
        <v>749.45841584157995</v>
      </c>
      <c r="F90">
        <v>143.95029821073999</v>
      </c>
      <c r="G90">
        <v>120.88270377734</v>
      </c>
      <c r="I90" s="9">
        <f t="shared" si="8"/>
        <v>628.57571206423995</v>
      </c>
      <c r="J90" s="9">
        <f t="shared" si="9"/>
        <v>3810.70613743286</v>
      </c>
      <c r="K90" s="9">
        <f t="shared" si="10"/>
        <v>628.57571206423995</v>
      </c>
      <c r="L90" s="10">
        <f t="shared" si="7"/>
        <v>0.16494993037896372</v>
      </c>
      <c r="M90" s="10">
        <f t="shared" si="11"/>
        <v>0.16731298656161792</v>
      </c>
      <c r="P90" s="8">
        <f t="shared" si="12"/>
        <v>7.8709639010937593</v>
      </c>
      <c r="U90" s="8">
        <v>153.5</v>
      </c>
      <c r="V90" s="10">
        <f t="shared" si="13"/>
        <v>0.15993652482743942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3965.8227722771999</v>
      </c>
      <c r="E91">
        <v>769.32574257425995</v>
      </c>
      <c r="F91">
        <v>143.95029821073999</v>
      </c>
      <c r="G91">
        <v>120.30815109344</v>
      </c>
      <c r="I91" s="9">
        <f t="shared" si="8"/>
        <v>649.01759148081999</v>
      </c>
      <c r="J91" s="9">
        <f t="shared" si="9"/>
        <v>3821.8724740664597</v>
      </c>
      <c r="K91" s="9">
        <f t="shared" si="10"/>
        <v>649.01759148081999</v>
      </c>
      <c r="L91" s="10">
        <f t="shared" si="7"/>
        <v>0.16981665293250023</v>
      </c>
      <c r="M91" s="10">
        <f t="shared" si="11"/>
        <v>0.17220656202632095</v>
      </c>
      <c r="P91" s="8">
        <f t="shared" si="12"/>
        <v>11.025977227604754</v>
      </c>
      <c r="U91" s="8">
        <v>154</v>
      </c>
      <c r="V91" s="10">
        <f t="shared" si="13"/>
        <v>0.16171271555850034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3934.8673267326999</v>
      </c>
      <c r="E92">
        <v>784.39405940593997</v>
      </c>
      <c r="F92">
        <v>143.7027833002</v>
      </c>
      <c r="G92">
        <v>121.11729622266</v>
      </c>
      <c r="I92" s="9">
        <f t="shared" si="8"/>
        <v>663.27676318327997</v>
      </c>
      <c r="J92" s="9">
        <f t="shared" si="9"/>
        <v>3791.1645434325001</v>
      </c>
      <c r="K92" s="9">
        <f t="shared" si="10"/>
        <v>663.27676318327997</v>
      </c>
      <c r="L92" s="10">
        <f t="shared" si="7"/>
        <v>0.17495330407968859</v>
      </c>
      <c r="M92" s="10">
        <f t="shared" si="11"/>
        <v>0.17737006608467584</v>
      </c>
      <c r="P92" s="8">
        <f t="shared" si="12"/>
        <v>14.355020425795606</v>
      </c>
      <c r="U92" s="8">
        <v>154.5</v>
      </c>
      <c r="V92" s="10">
        <f t="shared" si="13"/>
        <v>0.16107377808453108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3918.3108910891001</v>
      </c>
      <c r="E93">
        <v>783.89702970297003</v>
      </c>
      <c r="F93">
        <v>144.09840954274</v>
      </c>
      <c r="G93">
        <v>120.87276341947999</v>
      </c>
      <c r="I93" s="9">
        <f t="shared" si="8"/>
        <v>663.02426628349008</v>
      </c>
      <c r="J93" s="9">
        <f t="shared" si="9"/>
        <v>3774.2124815463603</v>
      </c>
      <c r="K93" s="9">
        <f t="shared" si="10"/>
        <v>663.02426628349008</v>
      </c>
      <c r="L93" s="10">
        <f t="shared" si="7"/>
        <v>0.17567221493895266</v>
      </c>
      <c r="M93" s="10">
        <f t="shared" si="11"/>
        <v>0.17811582985510643</v>
      </c>
      <c r="P93" s="8">
        <f t="shared" si="12"/>
        <v>14.83583341235499</v>
      </c>
      <c r="U93" s="8">
        <v>155</v>
      </c>
      <c r="V93" s="10">
        <f t="shared" si="13"/>
        <v>0.15814864731615474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4196.1035856573999</v>
      </c>
      <c r="E94">
        <v>847.55577689243</v>
      </c>
      <c r="F94">
        <v>144.26938369781001</v>
      </c>
      <c r="G94">
        <v>120.94135188867</v>
      </c>
      <c r="I94" s="9">
        <f t="shared" si="8"/>
        <v>726.61442500376006</v>
      </c>
      <c r="J94" s="9">
        <f t="shared" si="9"/>
        <v>4051.8342019595898</v>
      </c>
      <c r="K94" s="9">
        <f t="shared" si="10"/>
        <v>726.61442500376006</v>
      </c>
      <c r="L94" s="10">
        <f t="shared" si="7"/>
        <v>0.17932975259756367</v>
      </c>
      <c r="M94" s="10">
        <f t="shared" si="11"/>
        <v>0.18180022042488397</v>
      </c>
      <c r="P94" s="8">
        <f t="shared" si="12"/>
        <v>17.211254294604529</v>
      </c>
      <c r="U94" s="8">
        <v>155.5</v>
      </c>
      <c r="V94" s="10">
        <f t="shared" si="13"/>
        <v>0.15534965242247983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4002.2290836653001</v>
      </c>
      <c r="E95">
        <v>792.30378486055997</v>
      </c>
      <c r="F95">
        <v>143.94731610337999</v>
      </c>
      <c r="G95">
        <v>120.93538767395999</v>
      </c>
      <c r="I95" s="9">
        <f t="shared" si="8"/>
        <v>671.36839718659996</v>
      </c>
      <c r="J95" s="9">
        <f t="shared" si="9"/>
        <v>3858.2817675619199</v>
      </c>
      <c r="K95" s="9">
        <f t="shared" si="10"/>
        <v>671.36839718659996</v>
      </c>
      <c r="L95" s="10">
        <f t="shared" si="7"/>
        <v>0.17400709373562501</v>
      </c>
      <c r="M95" s="10">
        <f t="shared" si="11"/>
        <v>0.17650441447411183</v>
      </c>
      <c r="P95" s="8">
        <f t="shared" si="12"/>
        <v>13.796912680825763</v>
      </c>
      <c r="U95" s="8">
        <v>156</v>
      </c>
      <c r="V95" s="10">
        <f t="shared" si="13"/>
        <v>0.15671787950855393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4328.9262213359998</v>
      </c>
      <c r="E96">
        <v>859.34197407777003</v>
      </c>
      <c r="F96">
        <v>144.30914512922999</v>
      </c>
      <c r="G96">
        <v>120.84791252485</v>
      </c>
      <c r="I96" s="9">
        <f t="shared" si="8"/>
        <v>738.49406155292002</v>
      </c>
      <c r="J96" s="9">
        <f t="shared" si="9"/>
        <v>4184.6170762067695</v>
      </c>
      <c r="K96" s="9">
        <f t="shared" si="10"/>
        <v>738.49406155292002</v>
      </c>
      <c r="L96" s="10">
        <f t="shared" si="7"/>
        <v>0.17647828895788545</v>
      </c>
      <c r="M96" s="10">
        <f t="shared" si="11"/>
        <v>0.1790024626075388</v>
      </c>
      <c r="P96" s="8">
        <f t="shared" si="12"/>
        <v>15.407468236385439</v>
      </c>
      <c r="U96" s="8">
        <v>156.5</v>
      </c>
      <c r="V96" s="10">
        <f t="shared" si="13"/>
        <v>0.15528743175910609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4242.5104685941997</v>
      </c>
      <c r="E97">
        <v>818.64307078764</v>
      </c>
      <c r="F97">
        <v>144.18588469184999</v>
      </c>
      <c r="G97">
        <v>120.75844930418</v>
      </c>
      <c r="I97" s="9">
        <f t="shared" si="8"/>
        <v>697.88462148346002</v>
      </c>
      <c r="J97" s="9">
        <f t="shared" si="9"/>
        <v>4098.3245839023493</v>
      </c>
      <c r="K97" s="9">
        <f t="shared" si="10"/>
        <v>697.88462148346002</v>
      </c>
      <c r="L97" s="10">
        <f t="shared" si="7"/>
        <v>0.17028534641317919</v>
      </c>
      <c r="M97" s="10">
        <f t="shared" si="11"/>
        <v>0.17283637297399906</v>
      </c>
      <c r="P97" s="8">
        <f t="shared" si="12"/>
        <v>11.432032462154517</v>
      </c>
      <c r="U97" s="8">
        <v>157</v>
      </c>
      <c r="V97" s="10">
        <f t="shared" si="13"/>
        <v>0.15585083617363904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4308.2801595213996</v>
      </c>
      <c r="E98">
        <v>818.22432701894002</v>
      </c>
      <c r="F98">
        <v>143.82703777335999</v>
      </c>
      <c r="G98">
        <v>121.2902584493</v>
      </c>
      <c r="I98" s="9">
        <f t="shared" si="8"/>
        <v>696.93406856963998</v>
      </c>
      <c r="J98" s="9">
        <f t="shared" si="9"/>
        <v>4164.4531217480398</v>
      </c>
      <c r="K98" s="9">
        <f t="shared" si="10"/>
        <v>696.93406856963998</v>
      </c>
      <c r="L98" s="10">
        <f t="shared" si="7"/>
        <v>0.16735308291262507</v>
      </c>
      <c r="M98" s="10">
        <f t="shared" si="11"/>
        <v>0.16993096238461147</v>
      </c>
      <c r="P98" s="8">
        <f t="shared" si="12"/>
        <v>9.5588399070131853</v>
      </c>
      <c r="U98" s="8">
        <v>157.5</v>
      </c>
      <c r="V98" s="10">
        <f t="shared" si="13"/>
        <v>0.15588323487918268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4302.6729810568004</v>
      </c>
      <c r="E99">
        <v>816.88434695911997</v>
      </c>
      <c r="F99">
        <v>143.70079522863</v>
      </c>
      <c r="G99">
        <v>121.15805168986</v>
      </c>
      <c r="I99" s="9">
        <f t="shared" si="8"/>
        <v>695.72629526925994</v>
      </c>
      <c r="J99" s="9">
        <f t="shared" si="9"/>
        <v>4158.97218582817</v>
      </c>
      <c r="K99" s="9">
        <f t="shared" si="10"/>
        <v>695.72629526925994</v>
      </c>
      <c r="L99" s="10">
        <f t="shared" si="7"/>
        <v>0.16728322868808054</v>
      </c>
      <c r="M99" s="10">
        <f t="shared" si="11"/>
        <v>0.16988796107123347</v>
      </c>
      <c r="P99" s="8">
        <f t="shared" si="12"/>
        <v>9.5311158598939247</v>
      </c>
      <c r="U99" s="8">
        <v>158</v>
      </c>
      <c r="V99" s="10">
        <f t="shared" si="13"/>
        <v>0.15823265574362697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3990.1580516898998</v>
      </c>
      <c r="E100">
        <v>775.08648111332002</v>
      </c>
      <c r="F100">
        <v>144.37077534791001</v>
      </c>
      <c r="G100">
        <v>120.79522862823001</v>
      </c>
      <c r="I100" s="9">
        <f t="shared" si="8"/>
        <v>654.29125248509001</v>
      </c>
      <c r="J100" s="9">
        <f t="shared" si="9"/>
        <v>3845.78727634199</v>
      </c>
      <c r="K100" s="9">
        <f t="shared" si="10"/>
        <v>654.29125248509001</v>
      </c>
      <c r="L100" s="10">
        <f t="shared" si="7"/>
        <v>0.17013194060682274</v>
      </c>
      <c r="M100" s="10">
        <f t="shared" si="11"/>
        <v>0.17276352590114219</v>
      </c>
      <c r="P100" s="8">
        <f t="shared" si="12"/>
        <v>11.385066090159537</v>
      </c>
      <c r="U100" s="8">
        <v>158.5</v>
      </c>
      <c r="V100" s="10">
        <f t="shared" si="13"/>
        <v>0.15929503661012129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3999.5904572565</v>
      </c>
      <c r="E101">
        <v>832.19681908549001</v>
      </c>
      <c r="F101">
        <v>144.35586481113</v>
      </c>
      <c r="G101">
        <v>121.16998011928</v>
      </c>
      <c r="I101" s="9">
        <f t="shared" si="8"/>
        <v>711.02683896620999</v>
      </c>
      <c r="J101" s="9">
        <f t="shared" si="9"/>
        <v>3855.2345924453703</v>
      </c>
      <c r="K101" s="9">
        <f t="shared" si="10"/>
        <v>711.02683896620999</v>
      </c>
      <c r="L101" s="10">
        <f t="shared" si="7"/>
        <v>0.18443153637382326</v>
      </c>
      <c r="M101" s="10">
        <f t="shared" si="11"/>
        <v>0.18708997457930923</v>
      </c>
      <c r="P101" s="8">
        <f t="shared" si="12"/>
        <v>20.621694160415682</v>
      </c>
      <c r="U101" s="8">
        <v>159</v>
      </c>
      <c r="V101" s="10">
        <f t="shared" si="13"/>
        <v>0.16045512407825607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3930.4840954274</v>
      </c>
      <c r="E102">
        <v>827.37077534791001</v>
      </c>
      <c r="F102">
        <v>144.26242544732</v>
      </c>
      <c r="G102">
        <v>121.04572564612</v>
      </c>
      <c r="I102" s="9">
        <f t="shared" si="8"/>
        <v>706.32504970179002</v>
      </c>
      <c r="J102" s="9">
        <f t="shared" si="9"/>
        <v>3786.2216699800802</v>
      </c>
      <c r="K102" s="9">
        <f t="shared" si="10"/>
        <v>706.32504970179002</v>
      </c>
      <c r="L102" s="10">
        <f t="shared" si="7"/>
        <v>0.18655142547570547</v>
      </c>
      <c r="M102" s="10">
        <f t="shared" si="11"/>
        <v>0.18923671659235797</v>
      </c>
      <c r="P102" s="8">
        <f t="shared" si="12"/>
        <v>22.005753670400331</v>
      </c>
      <c r="U102" s="8">
        <v>159.5</v>
      </c>
      <c r="V102" s="10">
        <f t="shared" si="13"/>
        <v>0.15730246256958622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3790.2683896620001</v>
      </c>
      <c r="E103">
        <v>813.38469184891005</v>
      </c>
      <c r="F103">
        <v>144.91749502982</v>
      </c>
      <c r="G103">
        <v>120.79920477137</v>
      </c>
      <c r="I103" s="9">
        <f t="shared" si="8"/>
        <v>692.58548707754005</v>
      </c>
      <c r="J103" s="9">
        <f t="shared" si="9"/>
        <v>3645.3508946321799</v>
      </c>
      <c r="K103" s="9">
        <f t="shared" si="10"/>
        <v>692.58548707754005</v>
      </c>
      <c r="L103" s="10">
        <f t="shared" si="7"/>
        <v>0.18999144584335625</v>
      </c>
      <c r="M103" s="10">
        <f t="shared" si="11"/>
        <v>0.19270358987117525</v>
      </c>
      <c r="P103" s="8">
        <f t="shared" si="12"/>
        <v>24.240935588997182</v>
      </c>
      <c r="U103" s="8">
        <v>160</v>
      </c>
      <c r="V103" s="10">
        <f t="shared" si="13"/>
        <v>0.15673847187894821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3674.8538767395999</v>
      </c>
      <c r="E104">
        <v>785.75745526839</v>
      </c>
      <c r="F104">
        <v>144.16401590456999</v>
      </c>
      <c r="G104">
        <v>120.41749502982</v>
      </c>
      <c r="I104" s="9">
        <f t="shared" si="8"/>
        <v>665.33996023857003</v>
      </c>
      <c r="J104" s="9">
        <f t="shared" si="9"/>
        <v>3530.6898608350298</v>
      </c>
      <c r="K104" s="9">
        <f t="shared" si="10"/>
        <v>665.33996023857003</v>
      </c>
      <c r="L104" s="10">
        <f t="shared" si="7"/>
        <v>0.18844474775850548</v>
      </c>
      <c r="M104" s="10">
        <f t="shared" si="11"/>
        <v>0.191183744697491</v>
      </c>
      <c r="P104" s="8">
        <f t="shared" si="12"/>
        <v>23.261052513361761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3898.9960238569001</v>
      </c>
      <c r="E105">
        <v>850.16103379721994</v>
      </c>
      <c r="F105">
        <v>144.38767395625999</v>
      </c>
      <c r="G105">
        <v>120.93638170974</v>
      </c>
      <c r="I105" s="9">
        <f t="shared" si="8"/>
        <v>729.22465208747997</v>
      </c>
      <c r="J105" s="9">
        <f t="shared" si="9"/>
        <v>3754.60834990064</v>
      </c>
      <c r="K105" s="9">
        <f t="shared" si="10"/>
        <v>729.22465208747997</v>
      </c>
      <c r="L105" s="10">
        <f t="shared" si="7"/>
        <v>0.19422123005366931</v>
      </c>
      <c r="M105" s="10">
        <f t="shared" si="11"/>
        <v>0.19698707990382136</v>
      </c>
      <c r="P105" s="8">
        <f t="shared" si="12"/>
        <v>27.00261122564655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4114.5380761523002</v>
      </c>
      <c r="E106">
        <v>885.46893787575004</v>
      </c>
      <c r="F106">
        <v>144.49403578529001</v>
      </c>
      <c r="G106">
        <v>121.25248508946</v>
      </c>
      <c r="I106" s="9">
        <f t="shared" si="8"/>
        <v>764.21645278629001</v>
      </c>
      <c r="J106" s="9">
        <f t="shared" si="9"/>
        <v>3970.04404036701</v>
      </c>
      <c r="K106" s="9">
        <f t="shared" si="10"/>
        <v>764.21645278629001</v>
      </c>
      <c r="L106" s="10">
        <f t="shared" si="7"/>
        <v>0.1924957116384135</v>
      </c>
      <c r="M106" s="10">
        <f t="shared" si="11"/>
        <v>0.1952884143997321</v>
      </c>
      <c r="P106" s="8">
        <f t="shared" si="12"/>
        <v>25.907438107066401</v>
      </c>
      <c r="X106" s="8">
        <v>-13</v>
      </c>
    </row>
    <row r="107" spans="1:25" x14ac:dyDescent="0.2">
      <c r="A107" s="8">
        <v>52.5</v>
      </c>
      <c r="B107" s="8">
        <v>105</v>
      </c>
      <c r="D107">
        <v>4207.7713717693996</v>
      </c>
      <c r="E107">
        <v>885.73956262425997</v>
      </c>
      <c r="F107">
        <v>143.76838966202999</v>
      </c>
      <c r="G107">
        <v>121.06958250497</v>
      </c>
      <c r="I107" s="9">
        <f t="shared" si="8"/>
        <v>764.66998011929002</v>
      </c>
      <c r="J107" s="9">
        <f t="shared" si="9"/>
        <v>4064.0029821073695</v>
      </c>
      <c r="K107" s="9">
        <f t="shared" si="10"/>
        <v>764.66998011929002</v>
      </c>
      <c r="L107" s="10">
        <f t="shared" si="7"/>
        <v>0.18815684523016124</v>
      </c>
      <c r="M107" s="10">
        <f t="shared" si="11"/>
        <v>0.19097640090264634</v>
      </c>
      <c r="P107" s="8">
        <f t="shared" si="12"/>
        <v>23.127372662990034</v>
      </c>
      <c r="X107" s="8">
        <v>-13</v>
      </c>
    </row>
    <row r="108" spans="1:25" x14ac:dyDescent="0.2">
      <c r="A108" s="8">
        <v>53</v>
      </c>
      <c r="B108" s="8">
        <v>106</v>
      </c>
      <c r="D108">
        <v>4110.7017892643998</v>
      </c>
      <c r="E108">
        <v>839.66003976142997</v>
      </c>
      <c r="F108">
        <v>143.81610337972</v>
      </c>
      <c r="G108">
        <v>120.37375745527</v>
      </c>
      <c r="I108" s="9">
        <f t="shared" si="8"/>
        <v>719.28628230615993</v>
      </c>
      <c r="J108" s="9">
        <f t="shared" si="9"/>
        <v>3966.8856858846798</v>
      </c>
      <c r="K108" s="9">
        <f t="shared" si="10"/>
        <v>719.28628230615993</v>
      </c>
      <c r="L108" s="10">
        <f t="shared" si="7"/>
        <v>0.18132266449360701</v>
      </c>
      <c r="M108" s="10">
        <f t="shared" si="11"/>
        <v>0.18416907307725863</v>
      </c>
      <c r="P108" s="8">
        <f t="shared" si="12"/>
        <v>18.738514217474954</v>
      </c>
      <c r="X108" s="8">
        <v>-13</v>
      </c>
    </row>
    <row r="109" spans="1:25" x14ac:dyDescent="0.2">
      <c r="A109" s="8">
        <v>53.5</v>
      </c>
      <c r="B109" s="8">
        <v>107</v>
      </c>
      <c r="D109">
        <v>4329.6212723658</v>
      </c>
      <c r="E109">
        <v>874.80715705764999</v>
      </c>
      <c r="F109">
        <v>144.45526838966001</v>
      </c>
      <c r="G109">
        <v>120.69681908549001</v>
      </c>
      <c r="I109" s="9">
        <f t="shared" si="8"/>
        <v>754.11033797215998</v>
      </c>
      <c r="J109" s="9">
        <f t="shared" si="9"/>
        <v>4185.16600397614</v>
      </c>
      <c r="K109" s="9">
        <f t="shared" si="10"/>
        <v>754.11033797215998</v>
      </c>
      <c r="L109" s="10">
        <f t="shared" si="7"/>
        <v>0.18018648179205157</v>
      </c>
      <c r="M109" s="10">
        <f t="shared" si="11"/>
        <v>0.18305974328686972</v>
      </c>
      <c r="P109" s="8">
        <f t="shared" si="12"/>
        <v>18.02330091435589</v>
      </c>
      <c r="X109" s="8">
        <v>-13</v>
      </c>
    </row>
    <row r="110" spans="1:25" x14ac:dyDescent="0.2">
      <c r="A110" s="8">
        <v>54</v>
      </c>
      <c r="B110" s="8">
        <v>108</v>
      </c>
      <c r="D110">
        <v>4375.5417495029997</v>
      </c>
      <c r="E110">
        <v>864.42047713718</v>
      </c>
      <c r="F110">
        <v>144.32206759443</v>
      </c>
      <c r="G110">
        <v>121.01789264414001</v>
      </c>
      <c r="I110" s="9">
        <f t="shared" si="8"/>
        <v>743.40258449303997</v>
      </c>
      <c r="J110" s="9">
        <f t="shared" si="9"/>
        <v>4231.2196819085693</v>
      </c>
      <c r="K110" s="9">
        <f t="shared" si="10"/>
        <v>743.40258449303997</v>
      </c>
      <c r="L110" s="10">
        <f t="shared" si="7"/>
        <v>0.17569463189812792</v>
      </c>
      <c r="M110" s="10">
        <f t="shared" si="11"/>
        <v>0.17859474630411259</v>
      </c>
      <c r="P110" s="8">
        <f t="shared" si="12"/>
        <v>15.144603102287924</v>
      </c>
      <c r="X110" s="8">
        <v>-13</v>
      </c>
    </row>
    <row r="111" spans="1:25" x14ac:dyDescent="0.2">
      <c r="A111" s="8">
        <v>54.5</v>
      </c>
      <c r="B111" s="8">
        <v>109</v>
      </c>
      <c r="D111">
        <v>4144.4294234591998</v>
      </c>
      <c r="E111">
        <v>811.94532803181005</v>
      </c>
      <c r="F111">
        <v>143.90159045726</v>
      </c>
      <c r="G111">
        <v>120.48807157058</v>
      </c>
      <c r="I111" s="9">
        <f t="shared" si="8"/>
        <v>691.45725646123003</v>
      </c>
      <c r="J111" s="9">
        <f t="shared" si="9"/>
        <v>4000.5278330019401</v>
      </c>
      <c r="K111" s="9">
        <f t="shared" si="10"/>
        <v>691.45725646123003</v>
      </c>
      <c r="L111" s="10">
        <f t="shared" si="7"/>
        <v>0.17284150625253122</v>
      </c>
      <c r="M111" s="10">
        <f t="shared" si="11"/>
        <v>0.17576847356968242</v>
      </c>
      <c r="P111" s="8">
        <f t="shared" si="12"/>
        <v>13.322432747340104</v>
      </c>
      <c r="X111" s="8">
        <v>-13</v>
      </c>
    </row>
    <row r="112" spans="1:25" x14ac:dyDescent="0.2">
      <c r="A112" s="8">
        <v>55</v>
      </c>
      <c r="B112" s="8">
        <v>110</v>
      </c>
      <c r="D112">
        <v>4006.5556660040002</v>
      </c>
      <c r="E112">
        <v>796.37673956261995</v>
      </c>
      <c r="F112">
        <v>144.31113320079999</v>
      </c>
      <c r="G112">
        <v>121.17495029821001</v>
      </c>
      <c r="I112" s="9">
        <f t="shared" si="8"/>
        <v>675.20178926440997</v>
      </c>
      <c r="J112" s="9">
        <f t="shared" si="9"/>
        <v>3862.2445328031999</v>
      </c>
      <c r="K112" s="9">
        <f t="shared" si="10"/>
        <v>675.20178926440997</v>
      </c>
      <c r="L112" s="10">
        <f t="shared" si="7"/>
        <v>0.17482108746085828</v>
      </c>
      <c r="M112" s="10">
        <f t="shared" si="11"/>
        <v>0.177774907689176</v>
      </c>
      <c r="P112" s="8">
        <f t="shared" si="12"/>
        <v>14.616032167933234</v>
      </c>
      <c r="X112" s="8">
        <v>-13</v>
      </c>
    </row>
    <row r="113" spans="1:24" x14ac:dyDescent="0.2">
      <c r="A113" s="8">
        <v>55.5</v>
      </c>
      <c r="B113" s="8">
        <v>111</v>
      </c>
      <c r="D113">
        <v>4217.8833992094997</v>
      </c>
      <c r="E113">
        <v>879.93379446639995</v>
      </c>
      <c r="F113">
        <v>144.75248508946001</v>
      </c>
      <c r="G113">
        <v>120.71769383698</v>
      </c>
      <c r="I113" s="9">
        <f t="shared" si="8"/>
        <v>759.21610062942</v>
      </c>
      <c r="J113" s="9">
        <f t="shared" si="9"/>
        <v>4073.1309141200395</v>
      </c>
      <c r="K113" s="9">
        <f t="shared" si="10"/>
        <v>759.21610062942</v>
      </c>
      <c r="L113" s="10">
        <f t="shared" si="7"/>
        <v>0.18639619414085082</v>
      </c>
      <c r="M113" s="10">
        <f t="shared" si="11"/>
        <v>0.18937686728033507</v>
      </c>
      <c r="P113" s="8">
        <f t="shared" si="12"/>
        <v>22.096112405332864</v>
      </c>
      <c r="X113" s="8">
        <v>-13</v>
      </c>
    </row>
    <row r="114" spans="1:24" x14ac:dyDescent="0.2">
      <c r="A114" s="8">
        <v>56</v>
      </c>
      <c r="B114" s="8">
        <v>112</v>
      </c>
      <c r="D114">
        <v>3968.6497005987999</v>
      </c>
      <c r="E114">
        <v>904.68862275448998</v>
      </c>
      <c r="F114">
        <v>144.63518886680001</v>
      </c>
      <c r="G114">
        <v>120.90159045726</v>
      </c>
      <c r="I114" s="9">
        <f t="shared" si="8"/>
        <v>783.78703229722998</v>
      </c>
      <c r="J114" s="9">
        <f t="shared" si="9"/>
        <v>3824.0145117319998</v>
      </c>
      <c r="K114" s="9">
        <f t="shared" si="10"/>
        <v>783.78703229722998</v>
      </c>
      <c r="L114" s="10">
        <f t="shared" si="7"/>
        <v>0.20496445028976409</v>
      </c>
      <c r="M114" s="10">
        <f t="shared" si="11"/>
        <v>0.20797197634041487</v>
      </c>
      <c r="P114" s="8">
        <f t="shared" si="12"/>
        <v>34.084855056926429</v>
      </c>
      <c r="X114" s="8">
        <v>-13</v>
      </c>
    </row>
    <row r="115" spans="1:24" x14ac:dyDescent="0.2">
      <c r="A115" s="8">
        <v>56.5</v>
      </c>
      <c r="B115" s="8">
        <v>113</v>
      </c>
      <c r="D115">
        <v>3949.6057884232</v>
      </c>
      <c r="E115">
        <v>932.92514970059995</v>
      </c>
      <c r="F115">
        <v>144.61928429424</v>
      </c>
      <c r="G115">
        <v>121.32405566600001</v>
      </c>
      <c r="I115" s="9">
        <f t="shared" si="8"/>
        <v>811.6010940345999</v>
      </c>
      <c r="J115" s="9">
        <f t="shared" si="9"/>
        <v>3804.98650412896</v>
      </c>
      <c r="K115" s="9">
        <f t="shared" si="10"/>
        <v>811.6010940345999</v>
      </c>
      <c r="L115" s="10">
        <f t="shared" si="7"/>
        <v>0.21329933579367377</v>
      </c>
      <c r="M115" s="10">
        <f t="shared" si="11"/>
        <v>0.21633371475549107</v>
      </c>
      <c r="P115" s="8">
        <f t="shared" si="12"/>
        <v>39.475881786288468</v>
      </c>
      <c r="X115" s="8">
        <v>-13</v>
      </c>
    </row>
    <row r="116" spans="1:24" x14ac:dyDescent="0.2">
      <c r="A116" s="8">
        <v>57</v>
      </c>
      <c r="B116" s="8">
        <v>114</v>
      </c>
      <c r="D116">
        <v>3961.9640718563001</v>
      </c>
      <c r="E116">
        <v>976.07285429141996</v>
      </c>
      <c r="F116">
        <v>144.31411530815001</v>
      </c>
      <c r="G116">
        <v>120.70576540755999</v>
      </c>
      <c r="I116" s="9">
        <f t="shared" si="8"/>
        <v>855.36708888385999</v>
      </c>
      <c r="J116" s="9">
        <f t="shared" si="9"/>
        <v>3817.6499565481499</v>
      </c>
      <c r="K116" s="9">
        <f t="shared" si="10"/>
        <v>855.36708888385999</v>
      </c>
      <c r="L116" s="10">
        <f t="shared" si="7"/>
        <v>0.22405592409453576</v>
      </c>
      <c r="M116" s="10">
        <f t="shared" si="11"/>
        <v>0.22711715596751958</v>
      </c>
      <c r="P116" s="8">
        <f t="shared" si="12"/>
        <v>46.428242279141806</v>
      </c>
      <c r="X116" s="8">
        <v>-13</v>
      </c>
    </row>
    <row r="117" spans="1:24" x14ac:dyDescent="0.2">
      <c r="A117" s="8">
        <v>57.5</v>
      </c>
      <c r="B117" s="8">
        <v>115</v>
      </c>
      <c r="D117">
        <v>3952.3785926659998</v>
      </c>
      <c r="E117">
        <v>937.06243805747999</v>
      </c>
      <c r="F117">
        <v>144.91848906561</v>
      </c>
      <c r="G117">
        <v>120.75745526839</v>
      </c>
      <c r="I117" s="9">
        <f t="shared" si="8"/>
        <v>816.30498278908999</v>
      </c>
      <c r="J117" s="9">
        <f t="shared" si="9"/>
        <v>3807.4601036003896</v>
      </c>
      <c r="K117" s="9">
        <f t="shared" si="10"/>
        <v>816.30498278908999</v>
      </c>
      <c r="L117" s="10">
        <f t="shared" si="7"/>
        <v>0.21439620129366035</v>
      </c>
      <c r="M117" s="10">
        <f t="shared" si="11"/>
        <v>0.2174842860778107</v>
      </c>
      <c r="P117" s="8">
        <f t="shared" si="12"/>
        <v>40.217684560395703</v>
      </c>
      <c r="X117" s="8">
        <v>-13</v>
      </c>
    </row>
    <row r="118" spans="1:24" x14ac:dyDescent="0.2">
      <c r="A118" s="8">
        <v>58</v>
      </c>
      <c r="B118" s="8">
        <v>116</v>
      </c>
      <c r="D118">
        <v>4167.4264413519004</v>
      </c>
      <c r="E118">
        <v>966.52882703777004</v>
      </c>
      <c r="F118">
        <v>144.50994035785001</v>
      </c>
      <c r="G118">
        <v>120.36978131213</v>
      </c>
      <c r="I118" s="9">
        <f t="shared" si="8"/>
        <v>846.15904572564</v>
      </c>
      <c r="J118" s="9">
        <f t="shared" si="9"/>
        <v>4022.9165009940502</v>
      </c>
      <c r="K118" s="9">
        <f t="shared" si="10"/>
        <v>846.15904572564</v>
      </c>
      <c r="L118" s="10">
        <f t="shared" si="7"/>
        <v>0.21033472743382983</v>
      </c>
      <c r="M118" s="10">
        <f t="shared" si="11"/>
        <v>0.2134496651291467</v>
      </c>
      <c r="P118" s="8">
        <f t="shared" si="12"/>
        <v>37.616461190638631</v>
      </c>
      <c r="X118" s="8">
        <v>-13</v>
      </c>
    </row>
    <row r="119" spans="1:24" x14ac:dyDescent="0.2">
      <c r="A119" s="8">
        <v>58.5</v>
      </c>
      <c r="B119" s="8">
        <v>117</v>
      </c>
      <c r="D119">
        <v>4107.1481113319996</v>
      </c>
      <c r="E119">
        <v>920.55964214712003</v>
      </c>
      <c r="F119">
        <v>144.67992047714</v>
      </c>
      <c r="G119">
        <v>120.72067594433</v>
      </c>
      <c r="I119" s="9">
        <f t="shared" si="8"/>
        <v>799.83896620279006</v>
      </c>
      <c r="J119" s="9">
        <f t="shared" si="9"/>
        <v>3962.4681908548596</v>
      </c>
      <c r="K119" s="9">
        <f t="shared" si="10"/>
        <v>799.83896620279006</v>
      </c>
      <c r="L119" s="10">
        <f t="shared" si="7"/>
        <v>0.2018537254251708</v>
      </c>
      <c r="M119" s="10">
        <f t="shared" si="11"/>
        <v>0.2049955160316542</v>
      </c>
      <c r="P119" s="8">
        <f t="shared" si="12"/>
        <v>32.165854929574593</v>
      </c>
      <c r="X119" s="8">
        <v>-13</v>
      </c>
    </row>
    <row r="120" spans="1:24" x14ac:dyDescent="0.2">
      <c r="A120" s="8">
        <v>59</v>
      </c>
      <c r="B120" s="8">
        <v>118</v>
      </c>
      <c r="D120">
        <v>3873.7300796813001</v>
      </c>
      <c r="E120">
        <v>864.24501992032003</v>
      </c>
      <c r="F120">
        <v>144.81113320079999</v>
      </c>
      <c r="G120">
        <v>120.61630218688001</v>
      </c>
      <c r="I120" s="9">
        <f t="shared" si="8"/>
        <v>743.62871773344</v>
      </c>
      <c r="J120" s="9">
        <f t="shared" si="9"/>
        <v>3728.9189464805004</v>
      </c>
      <c r="K120" s="9">
        <f t="shared" si="10"/>
        <v>743.62871773344</v>
      </c>
      <c r="L120" s="10">
        <f t="shared" si="7"/>
        <v>0.19942206532413526</v>
      </c>
      <c r="M120" s="10">
        <f t="shared" si="11"/>
        <v>0.20259070884178518</v>
      </c>
      <c r="P120" s="8">
        <f t="shared" si="12"/>
        <v>30.615414196320952</v>
      </c>
      <c r="X120" s="8">
        <v>-13</v>
      </c>
    </row>
    <row r="121" spans="1:24" x14ac:dyDescent="0.2">
      <c r="A121" s="8">
        <v>59.5</v>
      </c>
      <c r="B121" s="8">
        <v>119</v>
      </c>
      <c r="D121">
        <v>3762.4667328699002</v>
      </c>
      <c r="E121">
        <v>878.74677259186001</v>
      </c>
      <c r="F121">
        <v>143.837972167</v>
      </c>
      <c r="G121">
        <v>120.7296222664</v>
      </c>
      <c r="I121" s="9">
        <f t="shared" si="8"/>
        <v>758.01715032545997</v>
      </c>
      <c r="J121" s="9">
        <f t="shared" si="9"/>
        <v>3618.6287607029003</v>
      </c>
      <c r="K121" s="9">
        <f t="shared" si="10"/>
        <v>758.01715032545997</v>
      </c>
      <c r="L121" s="10">
        <f t="shared" si="7"/>
        <v>0.20947635152775909</v>
      </c>
      <c r="M121" s="10">
        <f t="shared" si="11"/>
        <v>0.21267184795657554</v>
      </c>
      <c r="P121" s="8">
        <f t="shared" si="12"/>
        <v>37.114982555486939</v>
      </c>
      <c r="X121" s="8">
        <v>-13</v>
      </c>
    </row>
    <row r="122" spans="1:24" x14ac:dyDescent="0.2">
      <c r="A122" s="8">
        <v>60</v>
      </c>
      <c r="B122" s="8">
        <v>120</v>
      </c>
      <c r="D122">
        <v>3842.9374379344999</v>
      </c>
      <c r="E122">
        <v>924.42005958291998</v>
      </c>
      <c r="F122">
        <v>144.35487077535001</v>
      </c>
      <c r="G122">
        <v>120.80318091450999</v>
      </c>
      <c r="I122" s="9">
        <f t="shared" si="8"/>
        <v>803.61687866840998</v>
      </c>
      <c r="J122" s="9">
        <f t="shared" si="9"/>
        <v>3698.5825671591501</v>
      </c>
      <c r="K122" s="9">
        <f t="shared" si="10"/>
        <v>803.61687866840998</v>
      </c>
      <c r="L122" s="10">
        <f t="shared" si="7"/>
        <v>0.21727698762330491</v>
      </c>
      <c r="M122" s="10">
        <f t="shared" si="11"/>
        <v>0.22049933696328788</v>
      </c>
      <c r="P122" s="8">
        <f t="shared" si="12"/>
        <v>42.161565020072345</v>
      </c>
      <c r="X122" s="8">
        <v>-13</v>
      </c>
    </row>
    <row r="123" spans="1:24" x14ac:dyDescent="0.2">
      <c r="A123" s="8">
        <v>60.5</v>
      </c>
      <c r="B123" s="8">
        <v>121</v>
      </c>
      <c r="D123">
        <v>3952.0289421158</v>
      </c>
      <c r="E123">
        <v>934.52794411178002</v>
      </c>
      <c r="F123">
        <v>144.42942345924999</v>
      </c>
      <c r="G123">
        <v>121.08548707753999</v>
      </c>
      <c r="I123" s="9">
        <f t="shared" si="8"/>
        <v>813.44245703424008</v>
      </c>
      <c r="J123" s="9">
        <f t="shared" si="9"/>
        <v>3807.5995186565501</v>
      </c>
      <c r="K123" s="9">
        <f t="shared" si="10"/>
        <v>813.44245703424008</v>
      </c>
      <c r="L123" s="10">
        <f t="shared" si="7"/>
        <v>0.21363655842704016</v>
      </c>
      <c r="M123" s="10">
        <f t="shared" si="11"/>
        <v>0.21688576067818965</v>
      </c>
      <c r="P123" s="8">
        <f t="shared" si="12"/>
        <v>39.83179991926157</v>
      </c>
      <c r="X123" s="8">
        <v>-13</v>
      </c>
    </row>
    <row r="124" spans="1:24" x14ac:dyDescent="0.2">
      <c r="A124" s="8">
        <v>61</v>
      </c>
      <c r="B124" s="8">
        <v>122</v>
      </c>
      <c r="D124">
        <v>4221.4735792621996</v>
      </c>
      <c r="E124">
        <v>993.43768693918003</v>
      </c>
      <c r="F124">
        <v>144.11232604374001</v>
      </c>
      <c r="G124">
        <v>120.65308151092999</v>
      </c>
      <c r="I124" s="9">
        <f t="shared" si="8"/>
        <v>872.78460542825007</v>
      </c>
      <c r="J124" s="9">
        <f t="shared" si="9"/>
        <v>4077.3612532184598</v>
      </c>
      <c r="K124" s="9">
        <f t="shared" si="10"/>
        <v>872.78460542825007</v>
      </c>
      <c r="L124" s="10">
        <f t="shared" si="7"/>
        <v>0.21405623667496196</v>
      </c>
      <c r="M124" s="10">
        <f t="shared" si="11"/>
        <v>0.21733229183727798</v>
      </c>
      <c r="P124" s="8">
        <f t="shared" si="12"/>
        <v>40.119689984059328</v>
      </c>
      <c r="X124" s="8">
        <v>-13</v>
      </c>
    </row>
    <row r="125" spans="1:24" x14ac:dyDescent="0.2">
      <c r="A125" s="8">
        <v>61.5</v>
      </c>
      <c r="B125" s="8">
        <v>123</v>
      </c>
      <c r="D125">
        <v>4419.2914171657003</v>
      </c>
      <c r="E125">
        <v>1033.0489021956</v>
      </c>
      <c r="F125">
        <v>143.91252485090001</v>
      </c>
      <c r="G125">
        <v>120.47514910536999</v>
      </c>
      <c r="I125" s="9">
        <f t="shared" si="8"/>
        <v>912.57375309023007</v>
      </c>
      <c r="J125" s="9">
        <f t="shared" si="9"/>
        <v>4275.3788923148004</v>
      </c>
      <c r="K125" s="9">
        <f t="shared" si="10"/>
        <v>912.57375309023007</v>
      </c>
      <c r="L125" s="10">
        <f t="shared" si="7"/>
        <v>0.21344862667742159</v>
      </c>
      <c r="M125" s="10">
        <f t="shared" si="11"/>
        <v>0.21675153475090414</v>
      </c>
      <c r="P125" s="8">
        <f t="shared" si="12"/>
        <v>39.745261029158897</v>
      </c>
      <c r="X125" s="8">
        <v>-13</v>
      </c>
    </row>
    <row r="126" spans="1:24" x14ac:dyDescent="0.2">
      <c r="A126" s="8">
        <v>62</v>
      </c>
      <c r="B126" s="8">
        <v>124</v>
      </c>
      <c r="D126">
        <v>4359.5938123753003</v>
      </c>
      <c r="E126">
        <v>987.56387225548997</v>
      </c>
      <c r="F126">
        <v>144.36282306163</v>
      </c>
      <c r="G126">
        <v>120.76043737575</v>
      </c>
      <c r="I126" s="9">
        <f t="shared" si="8"/>
        <v>866.80343487973994</v>
      </c>
      <c r="J126" s="9">
        <f t="shared" si="9"/>
        <v>4215.2309893136708</v>
      </c>
      <c r="K126" s="9">
        <f t="shared" si="10"/>
        <v>866.80343487973994</v>
      </c>
      <c r="L126" s="10">
        <f t="shared" si="7"/>
        <v>0.20563604629906035</v>
      </c>
      <c r="M126" s="10">
        <f t="shared" si="11"/>
        <v>0.20896580728370942</v>
      </c>
      <c r="P126" s="8">
        <f t="shared" si="12"/>
        <v>34.725603297759697</v>
      </c>
      <c r="X126" s="8">
        <v>-13</v>
      </c>
    </row>
    <row r="127" spans="1:24" x14ac:dyDescent="0.2">
      <c r="A127" s="8">
        <v>62.5</v>
      </c>
      <c r="B127" s="8">
        <v>125</v>
      </c>
      <c r="D127">
        <v>4371.6247504989997</v>
      </c>
      <c r="E127">
        <v>989.80239520958003</v>
      </c>
      <c r="F127">
        <v>144.19681908549001</v>
      </c>
      <c r="G127">
        <v>121.13419483101001</v>
      </c>
      <c r="I127" s="9">
        <f t="shared" si="8"/>
        <v>868.66820037856996</v>
      </c>
      <c r="J127" s="9">
        <f t="shared" si="9"/>
        <v>4227.4279314135092</v>
      </c>
      <c r="K127" s="9">
        <f t="shared" si="10"/>
        <v>868.66820037856996</v>
      </c>
      <c r="L127" s="10">
        <f t="shared" si="7"/>
        <v>0.20548385790887194</v>
      </c>
      <c r="M127" s="10">
        <f t="shared" si="11"/>
        <v>0.20884047180468754</v>
      </c>
      <c r="P127" s="8">
        <f t="shared" si="12"/>
        <v>34.644796307155197</v>
      </c>
      <c r="X127" s="8">
        <v>-13</v>
      </c>
    </row>
    <row r="128" spans="1:24" x14ac:dyDescent="0.2">
      <c r="A128" s="8">
        <v>63</v>
      </c>
      <c r="B128" s="8">
        <v>126</v>
      </c>
      <c r="D128">
        <v>4253.6169154229001</v>
      </c>
      <c r="E128">
        <v>939.85870646766</v>
      </c>
      <c r="F128">
        <v>145.06858846918999</v>
      </c>
      <c r="G128">
        <v>120.66600397614</v>
      </c>
      <c r="I128" s="9">
        <f t="shared" si="8"/>
        <v>819.19270249151998</v>
      </c>
      <c r="J128" s="9">
        <f t="shared" si="9"/>
        <v>4108.5483269537099</v>
      </c>
      <c r="K128" s="9">
        <f t="shared" si="10"/>
        <v>819.19270249151998</v>
      </c>
      <c r="L128" s="10">
        <f t="shared" si="7"/>
        <v>0.19938738388868163</v>
      </c>
      <c r="M128" s="10">
        <f t="shared" si="11"/>
        <v>0.20277085069566375</v>
      </c>
      <c r="P128" s="8">
        <f t="shared" si="12"/>
        <v>30.731556259266291</v>
      </c>
      <c r="X128" s="8">
        <v>-13</v>
      </c>
    </row>
    <row r="129" spans="1:24" x14ac:dyDescent="0.2">
      <c r="A129" s="8">
        <v>63.5</v>
      </c>
      <c r="B129" s="8">
        <v>127</v>
      </c>
      <c r="D129">
        <v>4024.9960356789002</v>
      </c>
      <c r="E129">
        <v>867.02675916749001</v>
      </c>
      <c r="F129">
        <v>144.87375745527001</v>
      </c>
      <c r="G129">
        <v>120.86978131213</v>
      </c>
      <c r="I129" s="9">
        <f t="shared" si="8"/>
        <v>746.15697785535997</v>
      </c>
      <c r="J129" s="9">
        <f t="shared" si="9"/>
        <v>3880.12227822363</v>
      </c>
      <c r="K129" s="9">
        <f t="shared" si="10"/>
        <v>746.15697785535997</v>
      </c>
      <c r="L129" s="10">
        <f t="shared" si="7"/>
        <v>0.19230243903472038</v>
      </c>
      <c r="M129" s="10">
        <f t="shared" si="11"/>
        <v>0.19571275875286903</v>
      </c>
      <c r="P129" s="8">
        <f t="shared" si="12"/>
        <v>26.181023770316809</v>
      </c>
      <c r="X129" s="8">
        <v>-13</v>
      </c>
    </row>
    <row r="130" spans="1:24" x14ac:dyDescent="0.2">
      <c r="A130" s="8">
        <v>64</v>
      </c>
      <c r="B130" s="8">
        <v>128</v>
      </c>
      <c r="D130">
        <v>4063.3914767095998</v>
      </c>
      <c r="E130">
        <v>901.69871159564002</v>
      </c>
      <c r="F130">
        <v>144.36083499006</v>
      </c>
      <c r="G130">
        <v>120.73956262425</v>
      </c>
      <c r="I130" s="9">
        <f t="shared" si="8"/>
        <v>780.95914897139005</v>
      </c>
      <c r="J130" s="9">
        <f t="shared" si="9"/>
        <v>3919.0306417195397</v>
      </c>
      <c r="K130" s="9">
        <f t="shared" si="10"/>
        <v>780.95914897139005</v>
      </c>
      <c r="L130" s="10">
        <f t="shared" ref="L130:L193" si="14">K130/J130</f>
        <v>0.19927355011154779</v>
      </c>
      <c r="M130" s="10">
        <f t="shared" si="11"/>
        <v>0.20271072274086296</v>
      </c>
      <c r="P130" s="8">
        <f t="shared" si="12"/>
        <v>30.692790228158636</v>
      </c>
      <c r="X130" s="8">
        <v>-13</v>
      </c>
    </row>
    <row r="131" spans="1:24" x14ac:dyDescent="0.2">
      <c r="A131" s="8">
        <v>64.5</v>
      </c>
      <c r="B131" s="8">
        <v>129</v>
      </c>
      <c r="D131">
        <v>4131.875123885</v>
      </c>
      <c r="E131">
        <v>938.47175421208999</v>
      </c>
      <c r="F131">
        <v>144.45825049702</v>
      </c>
      <c r="G131">
        <v>120.79522862823001</v>
      </c>
      <c r="I131" s="9">
        <f t="shared" ref="I131:I194" si="15">E131-G131</f>
        <v>817.67652558385998</v>
      </c>
      <c r="J131" s="9">
        <f t="shared" ref="J131:J194" si="16">D131-F131</f>
        <v>3987.4168733879801</v>
      </c>
      <c r="K131" s="9">
        <f t="shared" ref="K131:K194" si="17">I131*1</f>
        <v>817.67652558385998</v>
      </c>
      <c r="L131" s="10">
        <f t="shared" si="14"/>
        <v>0.20506421865269042</v>
      </c>
      <c r="M131" s="10">
        <f t="shared" ref="M131:M181" si="18">L131+ABS($N$2)*A131</f>
        <v>0.20852824419317212</v>
      </c>
      <c r="P131" s="8">
        <f t="shared" ref="P131:P194" si="19">(M131-$O$2)/$O$2*100</f>
        <v>34.443495176245662</v>
      </c>
      <c r="X131" s="8">
        <v>-13</v>
      </c>
    </row>
    <row r="132" spans="1:24" x14ac:dyDescent="0.2">
      <c r="A132" s="8">
        <v>65</v>
      </c>
      <c r="B132" s="8">
        <v>130</v>
      </c>
      <c r="D132">
        <v>4032.7770069376002</v>
      </c>
      <c r="E132">
        <v>945.41328047571994</v>
      </c>
      <c r="F132">
        <v>144.83101391650001</v>
      </c>
      <c r="G132">
        <v>120.15407554671999</v>
      </c>
      <c r="I132" s="9">
        <f t="shared" si="15"/>
        <v>825.25920492899991</v>
      </c>
      <c r="J132" s="9">
        <f t="shared" si="16"/>
        <v>3887.9459930211001</v>
      </c>
      <c r="K132" s="9">
        <f t="shared" si="17"/>
        <v>825.25920492899991</v>
      </c>
      <c r="L132" s="10">
        <f t="shared" si="14"/>
        <v>0.21226097440919911</v>
      </c>
      <c r="M132" s="10">
        <f t="shared" si="18"/>
        <v>0.21575185286084733</v>
      </c>
      <c r="P132" s="8">
        <f t="shared" si="19"/>
        <v>39.100740533224879</v>
      </c>
      <c r="X132" s="8">
        <v>-13</v>
      </c>
    </row>
    <row r="133" spans="1:24" x14ac:dyDescent="0.2">
      <c r="A133" s="8">
        <v>65.5</v>
      </c>
      <c r="B133" s="8">
        <v>131</v>
      </c>
      <c r="D133">
        <v>3900.7006937562001</v>
      </c>
      <c r="E133">
        <v>912.10109018830997</v>
      </c>
      <c r="F133">
        <v>144.54373757454999</v>
      </c>
      <c r="G133">
        <v>120.48409542744</v>
      </c>
      <c r="I133" s="9">
        <f t="shared" si="15"/>
        <v>791.61699476086994</v>
      </c>
      <c r="J133" s="9">
        <f t="shared" si="16"/>
        <v>3756.15695618165</v>
      </c>
      <c r="K133" s="9">
        <f t="shared" si="17"/>
        <v>791.61699476086994</v>
      </c>
      <c r="L133" s="10">
        <f t="shared" si="14"/>
        <v>0.21075184130899424</v>
      </c>
      <c r="M133" s="10">
        <f t="shared" si="18"/>
        <v>0.21426957267180899</v>
      </c>
      <c r="P133" s="8">
        <f t="shared" si="19"/>
        <v>38.14507656446191</v>
      </c>
      <c r="X133" s="8">
        <v>-13</v>
      </c>
    </row>
    <row r="134" spans="1:24" x14ac:dyDescent="0.2">
      <c r="A134" s="8">
        <v>66</v>
      </c>
      <c r="B134" s="8">
        <v>132</v>
      </c>
      <c r="D134">
        <v>3955.9990089196999</v>
      </c>
      <c r="E134">
        <v>920.36273538157002</v>
      </c>
      <c r="F134">
        <v>144.58846918488999</v>
      </c>
      <c r="G134">
        <v>120.2097415507</v>
      </c>
      <c r="I134" s="9">
        <f t="shared" si="15"/>
        <v>800.15299383087006</v>
      </c>
      <c r="J134" s="9">
        <f t="shared" si="16"/>
        <v>3811.4105397348098</v>
      </c>
      <c r="K134" s="9">
        <f t="shared" si="17"/>
        <v>800.15299383087006</v>
      </c>
      <c r="L134" s="10">
        <f t="shared" si="14"/>
        <v>0.20993618648243101</v>
      </c>
      <c r="M134" s="10">
        <f t="shared" si="18"/>
        <v>0.21348077075641228</v>
      </c>
      <c r="P134" s="8">
        <f t="shared" si="19"/>
        <v>37.6365157845159</v>
      </c>
      <c r="X134" s="8">
        <v>-13</v>
      </c>
    </row>
    <row r="135" spans="1:24" x14ac:dyDescent="0.2">
      <c r="A135" s="8">
        <v>66.5</v>
      </c>
      <c r="B135" s="8">
        <v>133</v>
      </c>
      <c r="D135">
        <v>4038.1397423191002</v>
      </c>
      <c r="E135">
        <v>945.96233894945999</v>
      </c>
      <c r="F135">
        <v>144.60437375746</v>
      </c>
      <c r="G135">
        <v>120.91948310139</v>
      </c>
      <c r="I135" s="9">
        <f t="shared" si="15"/>
        <v>825.04285584806996</v>
      </c>
      <c r="J135" s="9">
        <f t="shared" si="16"/>
        <v>3893.5353685616401</v>
      </c>
      <c r="K135" s="9">
        <f t="shared" si="17"/>
        <v>825.04285584806996</v>
      </c>
      <c r="L135" s="10">
        <f t="shared" si="14"/>
        <v>0.21190069634653388</v>
      </c>
      <c r="M135" s="10">
        <f t="shared" si="18"/>
        <v>0.21547213353168168</v>
      </c>
      <c r="P135" s="8">
        <f t="shared" si="19"/>
        <v>38.920398323818716</v>
      </c>
      <c r="X135" s="8">
        <v>-13</v>
      </c>
    </row>
    <row r="136" spans="1:24" x14ac:dyDescent="0.2">
      <c r="A136" s="8">
        <v>67</v>
      </c>
      <c r="B136" s="8">
        <v>134</v>
      </c>
      <c r="D136">
        <v>3989.3696729435001</v>
      </c>
      <c r="E136">
        <v>906.52626362734998</v>
      </c>
      <c r="F136">
        <v>143.42345924452999</v>
      </c>
      <c r="G136">
        <v>120.32007952286</v>
      </c>
      <c r="I136" s="9">
        <f t="shared" si="15"/>
        <v>786.20618410448992</v>
      </c>
      <c r="J136" s="9">
        <f t="shared" si="16"/>
        <v>3845.94621369897</v>
      </c>
      <c r="K136" s="9">
        <f t="shared" si="17"/>
        <v>786.20618410448992</v>
      </c>
      <c r="L136" s="10">
        <f t="shared" si="14"/>
        <v>0.20442464361672111</v>
      </c>
      <c r="M136" s="10">
        <f t="shared" si="18"/>
        <v>0.20802293371303543</v>
      </c>
      <c r="P136" s="8">
        <f t="shared" si="19"/>
        <v>34.11770857903138</v>
      </c>
      <c r="X136" s="8">
        <v>-13</v>
      </c>
    </row>
    <row r="137" spans="1:24" x14ac:dyDescent="0.2">
      <c r="A137" s="8">
        <v>67.5</v>
      </c>
      <c r="B137" s="8">
        <v>135</v>
      </c>
      <c r="D137">
        <v>3915.4023785927002</v>
      </c>
      <c r="E137">
        <v>866.98711595638997</v>
      </c>
      <c r="F137">
        <v>144.38866799204999</v>
      </c>
      <c r="G137">
        <v>120.43439363816999</v>
      </c>
      <c r="I137" s="9">
        <f t="shared" si="15"/>
        <v>746.55272231821994</v>
      </c>
      <c r="J137" s="9">
        <f t="shared" si="16"/>
        <v>3771.01371060065</v>
      </c>
      <c r="K137" s="9">
        <f t="shared" si="17"/>
        <v>746.55272231821994</v>
      </c>
      <c r="L137" s="10">
        <f t="shared" si="14"/>
        <v>0.19797136250647798</v>
      </c>
      <c r="M137" s="10">
        <f t="shared" si="18"/>
        <v>0.20159650551395883</v>
      </c>
      <c r="P137" s="8">
        <f t="shared" si="19"/>
        <v>29.974425869650883</v>
      </c>
      <c r="X137" s="8">
        <v>-13</v>
      </c>
    </row>
    <row r="138" spans="1:24" x14ac:dyDescent="0.2">
      <c r="A138" s="8">
        <v>68</v>
      </c>
      <c r="B138" s="8">
        <v>136</v>
      </c>
      <c r="D138">
        <v>3869.0703666997001</v>
      </c>
      <c r="E138">
        <v>845.12091179386005</v>
      </c>
      <c r="F138">
        <v>143.86182902585</v>
      </c>
      <c r="G138">
        <v>121.19184890656</v>
      </c>
      <c r="I138" s="9">
        <f t="shared" si="15"/>
        <v>723.92906288730001</v>
      </c>
      <c r="J138" s="9">
        <f t="shared" si="16"/>
        <v>3725.2085376738501</v>
      </c>
      <c r="K138" s="9">
        <f t="shared" si="17"/>
        <v>723.92906288730001</v>
      </c>
      <c r="L138" s="10">
        <f t="shared" si="14"/>
        <v>0.19433249321911694</v>
      </c>
      <c r="M138" s="10">
        <f t="shared" si="18"/>
        <v>0.19798448913776431</v>
      </c>
      <c r="P138" s="8">
        <f t="shared" si="19"/>
        <v>27.645666482027703</v>
      </c>
      <c r="X138" s="8">
        <v>-13</v>
      </c>
    </row>
    <row r="139" spans="1:24" x14ac:dyDescent="0.2">
      <c r="A139" s="8">
        <v>68.5</v>
      </c>
      <c r="B139" s="8">
        <v>137</v>
      </c>
      <c r="D139">
        <v>4019.5064420218</v>
      </c>
      <c r="E139">
        <v>868.77898909811995</v>
      </c>
      <c r="F139">
        <v>144.56262425446999</v>
      </c>
      <c r="G139">
        <v>120.56560636183001</v>
      </c>
      <c r="I139" s="9">
        <f t="shared" si="15"/>
        <v>748.21338273628999</v>
      </c>
      <c r="J139" s="9">
        <f t="shared" si="16"/>
        <v>3874.9438177673301</v>
      </c>
      <c r="K139" s="9">
        <f t="shared" si="17"/>
        <v>748.21338273628999</v>
      </c>
      <c r="L139" s="10">
        <f t="shared" si="14"/>
        <v>0.19309012412143733</v>
      </c>
      <c r="M139" s="10">
        <f t="shared" si="18"/>
        <v>0.19676897295125123</v>
      </c>
      <c r="P139" s="8">
        <f t="shared" si="19"/>
        <v>26.861992092064796</v>
      </c>
      <c r="X139" s="8">
        <v>-13</v>
      </c>
    </row>
    <row r="140" spans="1:24" x14ac:dyDescent="0.2">
      <c r="A140" s="8">
        <v>69</v>
      </c>
      <c r="B140" s="8">
        <v>138</v>
      </c>
      <c r="D140">
        <v>4339.7510000000002</v>
      </c>
      <c r="E140">
        <v>939.31600000000003</v>
      </c>
      <c r="F140">
        <v>144.11530815109001</v>
      </c>
      <c r="G140">
        <v>120.41351888668</v>
      </c>
      <c r="I140" s="9">
        <f t="shared" si="15"/>
        <v>818.90248111332005</v>
      </c>
      <c r="J140" s="9">
        <f t="shared" si="16"/>
        <v>4195.63569184891</v>
      </c>
      <c r="K140" s="9">
        <f t="shared" si="17"/>
        <v>818.90248111332005</v>
      </c>
      <c r="L140" s="10">
        <f t="shared" si="14"/>
        <v>0.19517959643260888</v>
      </c>
      <c r="M140" s="10">
        <f t="shared" si="18"/>
        <v>0.1988852981735893</v>
      </c>
      <c r="P140" s="8">
        <f t="shared" si="19"/>
        <v>28.226441118726154</v>
      </c>
      <c r="X140" s="8">
        <v>-13</v>
      </c>
    </row>
    <row r="141" spans="1:24" x14ac:dyDescent="0.2">
      <c r="A141" s="8">
        <v>69.5</v>
      </c>
      <c r="B141" s="8">
        <v>139</v>
      </c>
      <c r="D141">
        <v>4347.317</v>
      </c>
      <c r="E141">
        <v>923.94200000000001</v>
      </c>
      <c r="F141">
        <v>144.52186878728</v>
      </c>
      <c r="G141">
        <v>120.62922465209</v>
      </c>
      <c r="I141" s="9">
        <f t="shared" si="15"/>
        <v>803.31277534791002</v>
      </c>
      <c r="J141" s="9">
        <f t="shared" si="16"/>
        <v>4202.7951312127198</v>
      </c>
      <c r="K141" s="9">
        <f t="shared" si="17"/>
        <v>803.31277534791002</v>
      </c>
      <c r="L141" s="10">
        <f t="shared" si="14"/>
        <v>0.19113774292303262</v>
      </c>
      <c r="M141" s="10">
        <f t="shared" si="18"/>
        <v>0.19487029757517957</v>
      </c>
      <c r="P141" s="8">
        <f t="shared" si="19"/>
        <v>25.637867490854038</v>
      </c>
      <c r="X141" s="8">
        <v>-13</v>
      </c>
    </row>
    <row r="142" spans="1:24" x14ac:dyDescent="0.2">
      <c r="A142" s="8">
        <v>70</v>
      </c>
      <c r="B142" s="8">
        <v>140</v>
      </c>
      <c r="D142">
        <v>4269.6379999999999</v>
      </c>
      <c r="E142">
        <v>908.88199999999995</v>
      </c>
      <c r="F142">
        <v>144.45129224652001</v>
      </c>
      <c r="G142">
        <v>120.83598409543001</v>
      </c>
      <c r="I142" s="9">
        <f t="shared" si="15"/>
        <v>788.04601590456991</v>
      </c>
      <c r="J142" s="9">
        <f t="shared" si="16"/>
        <v>4125.1867077534798</v>
      </c>
      <c r="K142" s="9">
        <f t="shared" si="17"/>
        <v>788.04601590456991</v>
      </c>
      <c r="L142" s="10">
        <f t="shared" si="14"/>
        <v>0.19103281178119788</v>
      </c>
      <c r="M142" s="10">
        <f t="shared" si="18"/>
        <v>0.19479221934451135</v>
      </c>
      <c r="P142" s="8">
        <f t="shared" si="19"/>
        <v>25.587528457555088</v>
      </c>
      <c r="X142" s="8">
        <v>-13</v>
      </c>
    </row>
    <row r="143" spans="1:24" x14ac:dyDescent="0.2">
      <c r="A143" s="8">
        <v>70.5</v>
      </c>
      <c r="B143" s="8">
        <v>141</v>
      </c>
      <c r="D143">
        <v>4180.62</v>
      </c>
      <c r="E143">
        <v>882.27700000000004</v>
      </c>
      <c r="F143">
        <v>144.21570576541001</v>
      </c>
      <c r="G143">
        <v>120.71570576540999</v>
      </c>
      <c r="I143" s="9">
        <f t="shared" si="15"/>
        <v>761.56129423459004</v>
      </c>
      <c r="J143" s="9">
        <f t="shared" si="16"/>
        <v>4036.40429423459</v>
      </c>
      <c r="K143" s="9">
        <f t="shared" si="17"/>
        <v>761.56129423459004</v>
      </c>
      <c r="L143" s="10">
        <f t="shared" si="14"/>
        <v>0.18867319493301707</v>
      </c>
      <c r="M143" s="10">
        <f t="shared" si="18"/>
        <v>0.19245945540749707</v>
      </c>
      <c r="P143" s="8">
        <f t="shared" si="19"/>
        <v>24.083535852971647</v>
      </c>
      <c r="X143" s="8">
        <v>-13</v>
      </c>
    </row>
    <row r="144" spans="1:24" x14ac:dyDescent="0.2">
      <c r="A144" s="8">
        <v>71</v>
      </c>
      <c r="B144" s="8">
        <v>142</v>
      </c>
      <c r="D144">
        <v>4136.6530000000002</v>
      </c>
      <c r="E144">
        <v>881.56600000000003</v>
      </c>
      <c r="F144">
        <v>144.14015904573</v>
      </c>
      <c r="G144">
        <v>120.52186878728</v>
      </c>
      <c r="I144" s="9">
        <f t="shared" si="15"/>
        <v>761.04413121272</v>
      </c>
      <c r="J144" s="9">
        <f t="shared" si="16"/>
        <v>3992.5128409542704</v>
      </c>
      <c r="K144" s="9">
        <f t="shared" si="17"/>
        <v>761.04413121272</v>
      </c>
      <c r="L144" s="10">
        <f t="shared" si="14"/>
        <v>0.19061782930441848</v>
      </c>
      <c r="M144" s="10">
        <f t="shared" si="18"/>
        <v>0.194430942690065</v>
      </c>
      <c r="P144" s="8">
        <f t="shared" si="19"/>
        <v>25.354604153524818</v>
      </c>
    </row>
    <row r="145" spans="1:16" x14ac:dyDescent="0.2">
      <c r="A145" s="8">
        <v>71.5</v>
      </c>
      <c r="B145" s="8">
        <v>143</v>
      </c>
      <c r="D145">
        <v>4105.4759999999997</v>
      </c>
      <c r="E145">
        <v>889.98400000000004</v>
      </c>
      <c r="F145">
        <v>144.20477137176999</v>
      </c>
      <c r="G145">
        <v>120.28330019881</v>
      </c>
      <c r="I145" s="9">
        <f t="shared" si="15"/>
        <v>769.70069980119001</v>
      </c>
      <c r="J145" s="9">
        <f t="shared" si="16"/>
        <v>3961.2712286282294</v>
      </c>
      <c r="K145" s="9">
        <f t="shared" si="17"/>
        <v>769.70069980119001</v>
      </c>
      <c r="L145" s="10">
        <f t="shared" si="14"/>
        <v>0.19430648783616211</v>
      </c>
      <c r="M145" s="10">
        <f t="shared" si="18"/>
        <v>0.19814645413297516</v>
      </c>
      <c r="P145" s="8">
        <f t="shared" si="19"/>
        <v>27.750089459052241</v>
      </c>
    </row>
    <row r="146" spans="1:16" x14ac:dyDescent="0.2">
      <c r="A146" s="8">
        <v>72</v>
      </c>
      <c r="B146" s="8">
        <v>144</v>
      </c>
      <c r="D146">
        <v>4004.2159999999999</v>
      </c>
      <c r="E146">
        <v>933.904</v>
      </c>
      <c r="F146">
        <v>144</v>
      </c>
      <c r="G146">
        <v>120.74751491054</v>
      </c>
      <c r="I146" s="9">
        <f t="shared" si="15"/>
        <v>813.15648508946003</v>
      </c>
      <c r="J146" s="9">
        <f t="shared" si="16"/>
        <v>3860.2159999999999</v>
      </c>
      <c r="K146" s="9">
        <f t="shared" si="17"/>
        <v>813.15648508946003</v>
      </c>
      <c r="L146" s="10">
        <f t="shared" si="14"/>
        <v>0.21065051413948341</v>
      </c>
      <c r="M146" s="10">
        <f t="shared" si="18"/>
        <v>0.21451733334746298</v>
      </c>
      <c r="P146" s="8">
        <f t="shared" si="19"/>
        <v>38.304814212141395</v>
      </c>
    </row>
    <row r="147" spans="1:16" x14ac:dyDescent="0.2">
      <c r="A147" s="8">
        <v>72.5</v>
      </c>
      <c r="B147" s="8">
        <v>145</v>
      </c>
      <c r="D147">
        <v>3694.7396039604</v>
      </c>
      <c r="E147">
        <v>852.71287128713004</v>
      </c>
      <c r="F147">
        <v>144.49005964214999</v>
      </c>
      <c r="G147">
        <v>120.55666003976</v>
      </c>
      <c r="I147" s="9">
        <f t="shared" si="15"/>
        <v>732.15621124737004</v>
      </c>
      <c r="J147" s="9">
        <f t="shared" si="16"/>
        <v>3550.2495443182502</v>
      </c>
      <c r="K147" s="9">
        <f t="shared" si="17"/>
        <v>732.15621124737004</v>
      </c>
      <c r="L147" s="10">
        <f t="shared" si="14"/>
        <v>0.20622668973202138</v>
      </c>
      <c r="M147" s="10">
        <f t="shared" si="18"/>
        <v>0.21012036185116748</v>
      </c>
      <c r="P147" s="8">
        <f t="shared" si="19"/>
        <v>35.469974171937139</v>
      </c>
    </row>
    <row r="148" spans="1:16" x14ac:dyDescent="0.2">
      <c r="A148" s="8">
        <v>73</v>
      </c>
      <c r="B148" s="8">
        <v>146</v>
      </c>
      <c r="D148">
        <v>4008.6779999999999</v>
      </c>
      <c r="E148">
        <v>938.34500000000003</v>
      </c>
      <c r="F148">
        <v>144.40656063617999</v>
      </c>
      <c r="G148">
        <v>120.66003976143</v>
      </c>
      <c r="I148" s="9">
        <f t="shared" si="15"/>
        <v>817.68496023857006</v>
      </c>
      <c r="J148" s="9">
        <f t="shared" si="16"/>
        <v>3864.2714393638198</v>
      </c>
      <c r="K148" s="9">
        <f t="shared" si="17"/>
        <v>817.68496023857006</v>
      </c>
      <c r="L148" s="10">
        <f t="shared" si="14"/>
        <v>0.2116013259081993</v>
      </c>
      <c r="M148" s="10">
        <f t="shared" si="18"/>
        <v>0.21552185093851192</v>
      </c>
      <c r="P148" s="8">
        <f t="shared" si="19"/>
        <v>38.952452408248476</v>
      </c>
    </row>
    <row r="149" spans="1:16" x14ac:dyDescent="0.2">
      <c r="A149" s="8">
        <v>73.5</v>
      </c>
      <c r="B149" s="8">
        <v>147</v>
      </c>
      <c r="D149">
        <v>3977.9589999999998</v>
      </c>
      <c r="E149">
        <v>905.00099999999998</v>
      </c>
      <c r="F149">
        <v>143.59045725646001</v>
      </c>
      <c r="G149">
        <v>120.66600397614</v>
      </c>
      <c r="I149" s="9">
        <f t="shared" si="15"/>
        <v>784.33499602385996</v>
      </c>
      <c r="J149" s="9">
        <f t="shared" si="16"/>
        <v>3834.3685427435398</v>
      </c>
      <c r="K149" s="9">
        <f t="shared" si="17"/>
        <v>784.33499602385996</v>
      </c>
      <c r="L149" s="10">
        <f t="shared" si="14"/>
        <v>0.20455388867306382</v>
      </c>
      <c r="M149" s="10">
        <f t="shared" si="18"/>
        <v>0.20850126661454296</v>
      </c>
      <c r="P149" s="8">
        <f t="shared" si="19"/>
        <v>34.426102040959222</v>
      </c>
    </row>
    <row r="150" spans="1:16" x14ac:dyDescent="0.2">
      <c r="A150" s="8">
        <v>74</v>
      </c>
      <c r="B150" s="8">
        <v>148</v>
      </c>
      <c r="D150">
        <v>3869.74</v>
      </c>
      <c r="E150">
        <v>897.14099999999996</v>
      </c>
      <c r="F150">
        <v>144.21073558648001</v>
      </c>
      <c r="G150">
        <v>120.27733598410001</v>
      </c>
      <c r="I150" s="9">
        <f t="shared" si="15"/>
        <v>776.86366401589999</v>
      </c>
      <c r="J150" s="9">
        <f t="shared" si="16"/>
        <v>3725.5292644135197</v>
      </c>
      <c r="K150" s="9">
        <f t="shared" si="17"/>
        <v>776.86366401589999</v>
      </c>
      <c r="L150" s="10">
        <f t="shared" si="14"/>
        <v>0.20852437570053431</v>
      </c>
      <c r="M150" s="10">
        <f t="shared" si="18"/>
        <v>0.21249860655317998</v>
      </c>
      <c r="P150" s="8">
        <f t="shared" si="19"/>
        <v>37.003289389547454</v>
      </c>
    </row>
    <row r="151" spans="1:16" x14ac:dyDescent="0.2">
      <c r="A151" s="8">
        <v>74.5</v>
      </c>
      <c r="B151" s="8">
        <v>149</v>
      </c>
      <c r="D151">
        <v>3929.2170000000001</v>
      </c>
      <c r="E151">
        <v>889.82899999999995</v>
      </c>
      <c r="F151">
        <v>144.41749502982</v>
      </c>
      <c r="G151">
        <v>121.05268389662</v>
      </c>
      <c r="I151" s="9">
        <f t="shared" si="15"/>
        <v>768.77631610337994</v>
      </c>
      <c r="J151" s="9">
        <f t="shared" si="16"/>
        <v>3784.7995049701799</v>
      </c>
      <c r="K151" s="9">
        <f t="shared" si="17"/>
        <v>768.77631610337994</v>
      </c>
      <c r="L151" s="10">
        <f t="shared" si="14"/>
        <v>0.20312207161669374</v>
      </c>
      <c r="M151" s="10">
        <f t="shared" si="18"/>
        <v>0.20712315538050594</v>
      </c>
      <c r="P151" s="8">
        <f t="shared" si="19"/>
        <v>33.537598463122769</v>
      </c>
    </row>
    <row r="152" spans="1:16" x14ac:dyDescent="0.2">
      <c r="A152" s="8">
        <v>75</v>
      </c>
      <c r="B152" s="8">
        <v>150</v>
      </c>
      <c r="D152">
        <v>3987.16</v>
      </c>
      <c r="E152">
        <v>905.73</v>
      </c>
      <c r="F152">
        <v>144.08349900595999</v>
      </c>
      <c r="G152">
        <v>120.52982107356</v>
      </c>
      <c r="I152" s="9">
        <f t="shared" si="15"/>
        <v>785.20017892644</v>
      </c>
      <c r="J152" s="9">
        <f t="shared" si="16"/>
        <v>3843.0765009940396</v>
      </c>
      <c r="K152" s="9">
        <f t="shared" si="17"/>
        <v>785.20017892644</v>
      </c>
      <c r="L152" s="10">
        <f t="shared" si="14"/>
        <v>0.20431552135986422</v>
      </c>
      <c r="M152" s="10">
        <f t="shared" si="18"/>
        <v>0.20834345803484294</v>
      </c>
      <c r="P152" s="8">
        <f t="shared" si="19"/>
        <v>34.324358811375347</v>
      </c>
    </row>
    <row r="153" spans="1:16" x14ac:dyDescent="0.2">
      <c r="A153" s="8">
        <v>75.5</v>
      </c>
      <c r="B153" s="8">
        <v>151</v>
      </c>
      <c r="D153">
        <v>3669.7455268389999</v>
      </c>
      <c r="E153">
        <v>811.69184890656004</v>
      </c>
      <c r="F153">
        <v>144.13618290258</v>
      </c>
      <c r="G153">
        <v>120.5606361829</v>
      </c>
      <c r="I153" s="9">
        <f t="shared" si="15"/>
        <v>691.13121272366004</v>
      </c>
      <c r="J153" s="9">
        <f t="shared" si="16"/>
        <v>3525.6093439364199</v>
      </c>
      <c r="K153" s="9">
        <f t="shared" si="17"/>
        <v>691.13121272366004</v>
      </c>
      <c r="L153" s="10">
        <f t="shared" si="14"/>
        <v>0.19603170552980126</v>
      </c>
      <c r="M153" s="10">
        <f t="shared" si="18"/>
        <v>0.20008649511594651</v>
      </c>
      <c r="P153" s="8">
        <f t="shared" si="19"/>
        <v>29.000883525558685</v>
      </c>
    </row>
    <row r="154" spans="1:16" x14ac:dyDescent="0.2">
      <c r="A154" s="8">
        <v>76</v>
      </c>
      <c r="B154" s="8">
        <v>152</v>
      </c>
      <c r="D154">
        <v>3664.3645418327001</v>
      </c>
      <c r="E154">
        <v>807.68725099602</v>
      </c>
      <c r="F154">
        <v>144.71868787276</v>
      </c>
      <c r="G154">
        <v>120.12723658052001</v>
      </c>
      <c r="I154" s="9">
        <f t="shared" si="15"/>
        <v>687.56001441549995</v>
      </c>
      <c r="J154" s="9">
        <f t="shared" si="16"/>
        <v>3519.6458539599403</v>
      </c>
      <c r="K154" s="9">
        <f t="shared" si="17"/>
        <v>687.56001441549995</v>
      </c>
      <c r="L154" s="10">
        <f t="shared" si="14"/>
        <v>0.19534920356885588</v>
      </c>
      <c r="M154" s="10">
        <f t="shared" si="18"/>
        <v>0.19943084606616765</v>
      </c>
      <c r="P154" s="8">
        <f t="shared" si="19"/>
        <v>28.578169805399046</v>
      </c>
    </row>
    <row r="155" spans="1:16" x14ac:dyDescent="0.2">
      <c r="A155" s="8">
        <v>76.5</v>
      </c>
      <c r="B155" s="8">
        <v>153</v>
      </c>
      <c r="D155">
        <v>3621.9731075697</v>
      </c>
      <c r="E155">
        <v>784.25398406374995</v>
      </c>
      <c r="F155">
        <v>143.72166998012</v>
      </c>
      <c r="G155">
        <v>120.49502982107001</v>
      </c>
      <c r="I155" s="9">
        <f t="shared" si="15"/>
        <v>663.75895424267992</v>
      </c>
      <c r="J155" s="9">
        <f t="shared" si="16"/>
        <v>3478.2514375895798</v>
      </c>
      <c r="K155" s="9">
        <f t="shared" si="17"/>
        <v>663.75895424267992</v>
      </c>
      <c r="L155" s="10">
        <f t="shared" si="14"/>
        <v>0.19083121682044452</v>
      </c>
      <c r="M155" s="10">
        <f t="shared" si="18"/>
        <v>0.19493971222892281</v>
      </c>
      <c r="P155" s="8">
        <f t="shared" si="19"/>
        <v>25.682620894412384</v>
      </c>
    </row>
    <row r="156" spans="1:16" x14ac:dyDescent="0.2">
      <c r="A156" s="8">
        <v>77</v>
      </c>
      <c r="B156" s="8">
        <v>154</v>
      </c>
      <c r="D156">
        <v>3960.6123260436998</v>
      </c>
      <c r="E156">
        <v>865.84791252485002</v>
      </c>
      <c r="F156">
        <v>144.40357852883</v>
      </c>
      <c r="G156">
        <v>120.32803180915</v>
      </c>
      <c r="I156" s="9">
        <f t="shared" si="15"/>
        <v>745.51988071569997</v>
      </c>
      <c r="J156" s="9">
        <f t="shared" si="16"/>
        <v>3816.2087475148696</v>
      </c>
      <c r="K156" s="9">
        <f t="shared" si="17"/>
        <v>745.51988071569997</v>
      </c>
      <c r="L156" s="10">
        <f t="shared" si="14"/>
        <v>0.19535615843897047</v>
      </c>
      <c r="M156" s="10">
        <f t="shared" si="18"/>
        <v>0.19949150675861529</v>
      </c>
      <c r="P156" s="8">
        <f t="shared" si="19"/>
        <v>28.617279306100148</v>
      </c>
    </row>
    <row r="157" spans="1:16" x14ac:dyDescent="0.2">
      <c r="A157" s="8">
        <v>77.5</v>
      </c>
      <c r="B157" s="8">
        <v>155</v>
      </c>
      <c r="D157">
        <v>3773.6222664016</v>
      </c>
      <c r="E157">
        <v>819.68787276342005</v>
      </c>
      <c r="F157">
        <v>144.67296222664001</v>
      </c>
      <c r="G157">
        <v>120.22365805168999</v>
      </c>
      <c r="I157" s="9">
        <f t="shared" si="15"/>
        <v>699.46421471173005</v>
      </c>
      <c r="J157" s="9">
        <f t="shared" si="16"/>
        <v>3628.9493041749602</v>
      </c>
      <c r="K157" s="9">
        <f t="shared" si="17"/>
        <v>699.46421471173005</v>
      </c>
      <c r="L157" s="10">
        <f t="shared" si="14"/>
        <v>0.19274565613441461</v>
      </c>
      <c r="M157" s="10">
        <f t="shared" si="18"/>
        <v>0.19690785736522595</v>
      </c>
      <c r="P157" s="8">
        <f t="shared" si="19"/>
        <v>26.951534427744605</v>
      </c>
    </row>
    <row r="158" spans="1:16" x14ac:dyDescent="0.2">
      <c r="A158" s="8">
        <v>78</v>
      </c>
      <c r="B158" s="8">
        <v>156</v>
      </c>
      <c r="D158">
        <v>3752.2654075546998</v>
      </c>
      <c r="E158">
        <v>839.07554671968001</v>
      </c>
      <c r="F158">
        <v>143.97316103380001</v>
      </c>
      <c r="G158">
        <v>120.28330019881</v>
      </c>
      <c r="I158" s="9">
        <f t="shared" si="15"/>
        <v>718.79224652086998</v>
      </c>
      <c r="J158" s="9">
        <f t="shared" si="16"/>
        <v>3608.2922465208999</v>
      </c>
      <c r="K158" s="9">
        <f t="shared" si="17"/>
        <v>718.79224652086998</v>
      </c>
      <c r="L158" s="10">
        <f t="shared" si="14"/>
        <v>0.19920566223922867</v>
      </c>
      <c r="M158" s="10">
        <f t="shared" si="18"/>
        <v>0.20339471638120654</v>
      </c>
      <c r="P158" s="8">
        <f t="shared" si="19"/>
        <v>31.133778431180797</v>
      </c>
    </row>
    <row r="159" spans="1:16" x14ac:dyDescent="0.2">
      <c r="A159" s="8">
        <v>78.5</v>
      </c>
      <c r="B159" s="8">
        <v>157</v>
      </c>
      <c r="D159">
        <v>3608.0617529881001</v>
      </c>
      <c r="E159">
        <v>803.92629482072005</v>
      </c>
      <c r="F159">
        <v>144.74552683896999</v>
      </c>
      <c r="G159">
        <v>120.2027833002</v>
      </c>
      <c r="I159" s="9">
        <f t="shared" si="15"/>
        <v>683.72351152052011</v>
      </c>
      <c r="J159" s="9">
        <f t="shared" si="16"/>
        <v>3463.3162261491302</v>
      </c>
      <c r="K159" s="9">
        <f t="shared" si="17"/>
        <v>683.72351152052011</v>
      </c>
      <c r="L159" s="10">
        <f t="shared" si="14"/>
        <v>0.19741873593817158</v>
      </c>
      <c r="M159" s="10">
        <f t="shared" si="18"/>
        <v>0.20163464299131598</v>
      </c>
      <c r="P159" s="8">
        <f t="shared" si="19"/>
        <v>29.999014077224096</v>
      </c>
    </row>
    <row r="160" spans="1:16" x14ac:dyDescent="0.2">
      <c r="A160" s="8">
        <v>79</v>
      </c>
      <c r="B160" s="8">
        <v>158</v>
      </c>
      <c r="D160">
        <v>3693.1832669322998</v>
      </c>
      <c r="E160">
        <v>818.62151394422006</v>
      </c>
      <c r="F160">
        <v>143.76838966202999</v>
      </c>
      <c r="G160">
        <v>120.14015904573</v>
      </c>
      <c r="I160" s="9">
        <f t="shared" si="15"/>
        <v>698.48135489849005</v>
      </c>
      <c r="J160" s="9">
        <f t="shared" si="16"/>
        <v>3549.4148772702697</v>
      </c>
      <c r="K160" s="9">
        <f t="shared" si="17"/>
        <v>698.48135489849005</v>
      </c>
      <c r="L160" s="10">
        <f t="shared" si="14"/>
        <v>0.19678774644559655</v>
      </c>
      <c r="M160" s="10">
        <f t="shared" si="18"/>
        <v>0.20103050640990747</v>
      </c>
      <c r="P160" s="8">
        <f t="shared" si="19"/>
        <v>29.609511763603948</v>
      </c>
    </row>
    <row r="161" spans="1:16" x14ac:dyDescent="0.2">
      <c r="A161" s="8">
        <v>79.5</v>
      </c>
      <c r="B161" s="8">
        <v>159</v>
      </c>
      <c r="D161">
        <v>3942.7373134328</v>
      </c>
      <c r="E161">
        <v>865.35920398010001</v>
      </c>
      <c r="F161">
        <v>143.93538767396001</v>
      </c>
      <c r="G161">
        <v>120.28429423459001</v>
      </c>
      <c r="I161" s="9">
        <f t="shared" si="15"/>
        <v>745.07490974551001</v>
      </c>
      <c r="J161" s="9">
        <f t="shared" si="16"/>
        <v>3798.8019257588398</v>
      </c>
      <c r="K161" s="9">
        <f t="shared" si="17"/>
        <v>745.07490974551001</v>
      </c>
      <c r="L161" s="10">
        <f t="shared" si="14"/>
        <v>0.19613418238348282</v>
      </c>
      <c r="M161" s="10">
        <f t="shared" si="18"/>
        <v>0.20040379525896027</v>
      </c>
      <c r="P161" s="8">
        <f t="shared" si="19"/>
        <v>29.205455047329014</v>
      </c>
    </row>
    <row r="162" spans="1:16" x14ac:dyDescent="0.2">
      <c r="A162" s="8">
        <v>80</v>
      </c>
      <c r="B162" s="4">
        <v>160</v>
      </c>
      <c r="C162" s="4" t="s">
        <v>6</v>
      </c>
      <c r="D162">
        <v>4045.689484127</v>
      </c>
      <c r="E162">
        <v>890.81349206349</v>
      </c>
      <c r="F162">
        <v>144.08747514910999</v>
      </c>
      <c r="G162">
        <v>119.88966202783</v>
      </c>
      <c r="H162" s="4"/>
      <c r="I162" s="5">
        <f t="shared" si="15"/>
        <v>770.92383003565999</v>
      </c>
      <c r="J162" s="5">
        <f t="shared" si="16"/>
        <v>3901.6020089778899</v>
      </c>
      <c r="K162" s="9">
        <f t="shared" si="17"/>
        <v>770.92383003565999</v>
      </c>
      <c r="L162" s="6">
        <f t="shared" si="14"/>
        <v>0.19759161192292404</v>
      </c>
      <c r="M162" s="6">
        <f t="shared" si="18"/>
        <v>0.20188807770956801</v>
      </c>
      <c r="N162" s="4"/>
      <c r="O162" s="4"/>
      <c r="P162" s="4">
        <f t="shared" si="19"/>
        <v>30.162409925362766</v>
      </c>
    </row>
    <row r="163" spans="1:16" x14ac:dyDescent="0.2">
      <c r="A163" s="8">
        <v>80.5</v>
      </c>
      <c r="B163" s="8">
        <v>161</v>
      </c>
      <c r="D163">
        <v>3644.3456543457</v>
      </c>
      <c r="E163">
        <v>795.25474525474999</v>
      </c>
      <c r="F163">
        <v>144.2972166998</v>
      </c>
      <c r="G163">
        <v>120.10536779324001</v>
      </c>
      <c r="I163" s="9">
        <f t="shared" si="15"/>
        <v>675.14937746150997</v>
      </c>
      <c r="J163" s="9">
        <f t="shared" si="16"/>
        <v>3500.0484376458999</v>
      </c>
      <c r="K163" s="9">
        <f t="shared" si="17"/>
        <v>675.14937746150997</v>
      </c>
      <c r="L163" s="10">
        <f t="shared" si="14"/>
        <v>0.19289715256501114</v>
      </c>
      <c r="M163" s="10">
        <f t="shared" si="18"/>
        <v>0.19722047126282163</v>
      </c>
      <c r="P163" s="8">
        <f t="shared" si="19"/>
        <v>27.153084607174971</v>
      </c>
    </row>
    <row r="164" spans="1:16" x14ac:dyDescent="0.2">
      <c r="A164" s="8">
        <v>81</v>
      </c>
      <c r="B164" s="8">
        <v>162</v>
      </c>
      <c r="D164">
        <v>3675.9840159840001</v>
      </c>
      <c r="E164">
        <v>805.48751248751</v>
      </c>
      <c r="F164">
        <v>143.64612326043999</v>
      </c>
      <c r="G164">
        <v>119.91948310139</v>
      </c>
      <c r="I164" s="9">
        <f t="shared" si="15"/>
        <v>685.56802938611997</v>
      </c>
      <c r="J164" s="9">
        <f t="shared" si="16"/>
        <v>3532.3378927235599</v>
      </c>
      <c r="K164" s="9">
        <f t="shared" si="17"/>
        <v>685.56802938611997</v>
      </c>
      <c r="L164" s="10">
        <f t="shared" si="14"/>
        <v>0.19408336637283652</v>
      </c>
      <c r="M164" s="10">
        <f t="shared" si="18"/>
        <v>0.19843353798181354</v>
      </c>
      <c r="P164" s="8">
        <f t="shared" si="19"/>
        <v>27.935179762746191</v>
      </c>
    </row>
    <row r="165" spans="1:16" x14ac:dyDescent="0.2">
      <c r="A165" s="8">
        <v>81.5</v>
      </c>
      <c r="B165" s="8">
        <v>163</v>
      </c>
      <c r="D165">
        <v>4015.6918489066002</v>
      </c>
      <c r="E165">
        <v>889.73856858847</v>
      </c>
      <c r="F165">
        <v>143.88966202783001</v>
      </c>
      <c r="G165">
        <v>120.06163021869</v>
      </c>
      <c r="I165" s="9">
        <f t="shared" si="15"/>
        <v>769.67693836978003</v>
      </c>
      <c r="J165" s="9">
        <f t="shared" si="16"/>
        <v>3871.80218687877</v>
      </c>
      <c r="K165" s="9">
        <f t="shared" si="17"/>
        <v>769.67693836978003</v>
      </c>
      <c r="L165" s="10">
        <f t="shared" si="14"/>
        <v>0.19879035684678159</v>
      </c>
      <c r="M165" s="10">
        <f t="shared" si="18"/>
        <v>0.20316738136692514</v>
      </c>
      <c r="P165" s="8">
        <f t="shared" si="19"/>
        <v>30.987209730071797</v>
      </c>
    </row>
    <row r="166" spans="1:16" x14ac:dyDescent="0.2">
      <c r="A166" s="8">
        <v>82</v>
      </c>
      <c r="B166" s="8">
        <v>164</v>
      </c>
      <c r="D166">
        <v>3985.1481113320001</v>
      </c>
      <c r="E166">
        <v>848.59343936382004</v>
      </c>
      <c r="F166">
        <v>143.55566600398001</v>
      </c>
      <c r="G166">
        <v>120.02286282306</v>
      </c>
      <c r="I166" s="9">
        <f t="shared" si="15"/>
        <v>728.57057654076004</v>
      </c>
      <c r="J166" s="9">
        <f t="shared" si="16"/>
        <v>3841.5924453280199</v>
      </c>
      <c r="K166" s="9">
        <f t="shared" si="17"/>
        <v>728.57057654076004</v>
      </c>
      <c r="L166" s="10">
        <f t="shared" si="14"/>
        <v>0.18965327189426778</v>
      </c>
      <c r="M166" s="10">
        <f t="shared" si="18"/>
        <v>0.19405714932557785</v>
      </c>
      <c r="P166" s="8">
        <f t="shared" si="19"/>
        <v>25.113610006234214</v>
      </c>
    </row>
    <row r="167" spans="1:16" x14ac:dyDescent="0.2">
      <c r="A167" s="8">
        <v>82.5</v>
      </c>
      <c r="B167" s="8">
        <v>165</v>
      </c>
      <c r="D167">
        <v>3933.7922465208999</v>
      </c>
      <c r="E167">
        <v>852.37773359841003</v>
      </c>
      <c r="F167">
        <v>144.08946322067999</v>
      </c>
      <c r="G167">
        <v>120.22564612326001</v>
      </c>
      <c r="I167" s="9">
        <f t="shared" si="15"/>
        <v>732.15208747514998</v>
      </c>
      <c r="J167" s="9">
        <f t="shared" si="16"/>
        <v>3789.7027833002198</v>
      </c>
      <c r="K167" s="9">
        <f t="shared" si="17"/>
        <v>732.15208747514998</v>
      </c>
      <c r="L167" s="10">
        <f t="shared" si="14"/>
        <v>0.19319512092121471</v>
      </c>
      <c r="M167" s="10">
        <f t="shared" si="18"/>
        <v>0.19762585126369131</v>
      </c>
      <c r="P167" s="8">
        <f t="shared" si="19"/>
        <v>27.414443467229351</v>
      </c>
    </row>
    <row r="168" spans="1:16" x14ac:dyDescent="0.2">
      <c r="A168" s="8">
        <v>83</v>
      </c>
      <c r="B168" s="8">
        <v>166</v>
      </c>
      <c r="D168">
        <v>3796.8128712870998</v>
      </c>
      <c r="E168">
        <v>826.04059405940995</v>
      </c>
      <c r="F168">
        <v>144.42743538766999</v>
      </c>
      <c r="G168">
        <v>120.22664015905001</v>
      </c>
      <c r="I168" s="9">
        <f t="shared" si="15"/>
        <v>705.81395390035993</v>
      </c>
      <c r="J168" s="9">
        <f t="shared" si="16"/>
        <v>3652.3854358994299</v>
      </c>
      <c r="K168" s="9">
        <f t="shared" si="17"/>
        <v>705.81395390035993</v>
      </c>
      <c r="L168" s="10">
        <f t="shared" si="14"/>
        <v>0.19324739031179153</v>
      </c>
      <c r="M168" s="10">
        <f t="shared" si="18"/>
        <v>0.19770497356543465</v>
      </c>
      <c r="P168" s="8">
        <f t="shared" si="19"/>
        <v>27.465455639867749</v>
      </c>
    </row>
    <row r="169" spans="1:16" x14ac:dyDescent="0.2">
      <c r="A169" s="8">
        <v>83.5</v>
      </c>
      <c r="B169" s="8">
        <v>167</v>
      </c>
      <c r="D169">
        <v>3816.4274353876999</v>
      </c>
      <c r="E169">
        <v>863.67395626243001</v>
      </c>
      <c r="F169">
        <v>143.77236580517001</v>
      </c>
      <c r="G169">
        <v>120.17097415507</v>
      </c>
      <c r="I169" s="9">
        <f t="shared" si="15"/>
        <v>743.50298210736003</v>
      </c>
      <c r="J169" s="9">
        <f t="shared" si="16"/>
        <v>3672.6550695825299</v>
      </c>
      <c r="K169" s="9">
        <f t="shared" si="17"/>
        <v>743.50298210736003</v>
      </c>
      <c r="L169" s="10">
        <f t="shared" si="14"/>
        <v>0.20244291065206782</v>
      </c>
      <c r="M169" s="10">
        <f t="shared" si="18"/>
        <v>0.20692734681687747</v>
      </c>
      <c r="P169" s="8">
        <f t="shared" si="19"/>
        <v>33.411355671497553</v>
      </c>
    </row>
    <row r="170" spans="1:16" x14ac:dyDescent="0.2">
      <c r="A170" s="8">
        <v>84</v>
      </c>
      <c r="B170" s="8">
        <v>168</v>
      </c>
      <c r="D170">
        <v>4025.9373757455</v>
      </c>
      <c r="E170">
        <v>935.61332007952001</v>
      </c>
      <c r="F170">
        <v>143.84890656063999</v>
      </c>
      <c r="G170">
        <v>120.35586481113</v>
      </c>
      <c r="I170" s="9">
        <f t="shared" si="15"/>
        <v>815.25745526839</v>
      </c>
      <c r="J170" s="9">
        <f t="shared" si="16"/>
        <v>3882.0884691848601</v>
      </c>
      <c r="K170" s="9">
        <f t="shared" si="17"/>
        <v>815.25745526839</v>
      </c>
      <c r="L170" s="10">
        <f t="shared" si="14"/>
        <v>0.21000486252173778</v>
      </c>
      <c r="M170" s="10">
        <f t="shared" si="18"/>
        <v>0.21451615159771395</v>
      </c>
      <c r="P170" s="8">
        <f t="shared" si="19"/>
        <v>38.304052307837743</v>
      </c>
    </row>
    <row r="171" spans="1:16" x14ac:dyDescent="0.2">
      <c r="A171" s="8">
        <v>84.5</v>
      </c>
      <c r="B171" s="8">
        <v>169</v>
      </c>
      <c r="D171">
        <v>3733.7928642219999</v>
      </c>
      <c r="E171">
        <v>854.96134786918003</v>
      </c>
      <c r="F171">
        <v>144.25844930418</v>
      </c>
      <c r="G171">
        <v>120.12922465209</v>
      </c>
      <c r="I171" s="9">
        <f t="shared" si="15"/>
        <v>734.83212321709004</v>
      </c>
      <c r="J171" s="9">
        <f t="shared" si="16"/>
        <v>3589.53441491782</v>
      </c>
      <c r="K171" s="9">
        <f t="shared" si="17"/>
        <v>734.83212321709004</v>
      </c>
      <c r="L171" s="10">
        <f t="shared" si="14"/>
        <v>0.20471516310393517</v>
      </c>
      <c r="M171" s="10">
        <f t="shared" si="18"/>
        <v>0.20925330509107787</v>
      </c>
      <c r="P171" s="8">
        <f t="shared" si="19"/>
        <v>34.910960491110998</v>
      </c>
    </row>
    <row r="172" spans="1:16" x14ac:dyDescent="0.2">
      <c r="A172" s="8">
        <v>85</v>
      </c>
      <c r="B172" s="8">
        <v>170</v>
      </c>
      <c r="D172">
        <v>3776.4251734391</v>
      </c>
      <c r="E172">
        <v>859.71357779979996</v>
      </c>
      <c r="F172">
        <v>144.37276341948001</v>
      </c>
      <c r="G172">
        <v>119.97117296223</v>
      </c>
      <c r="I172" s="9">
        <f t="shared" si="15"/>
        <v>739.74240483757001</v>
      </c>
      <c r="J172" s="9">
        <f t="shared" si="16"/>
        <v>3632.0524100196199</v>
      </c>
      <c r="K172" s="9">
        <f t="shared" si="17"/>
        <v>739.74240483757001</v>
      </c>
      <c r="L172" s="10">
        <f t="shared" si="14"/>
        <v>0.20367063063210974</v>
      </c>
      <c r="M172" s="10">
        <f t="shared" si="18"/>
        <v>0.20823562553041897</v>
      </c>
      <c r="P172" s="8">
        <f t="shared" si="19"/>
        <v>34.254836436387436</v>
      </c>
    </row>
    <row r="173" spans="1:16" x14ac:dyDescent="0.2">
      <c r="A173" s="8">
        <v>85.5</v>
      </c>
      <c r="B173" s="8">
        <v>171</v>
      </c>
      <c r="D173">
        <v>3793.7324083251001</v>
      </c>
      <c r="E173">
        <v>853.12487611496999</v>
      </c>
      <c r="F173">
        <v>144.41153081511001</v>
      </c>
      <c r="G173">
        <v>120.75049701789</v>
      </c>
      <c r="I173" s="9">
        <f t="shared" si="15"/>
        <v>732.37437909708001</v>
      </c>
      <c r="J173" s="9">
        <f t="shared" si="16"/>
        <v>3649.3208775099902</v>
      </c>
      <c r="K173" s="9">
        <f t="shared" si="17"/>
        <v>732.37437909708001</v>
      </c>
      <c r="L173" s="10">
        <f t="shared" si="14"/>
        <v>0.20068785499530936</v>
      </c>
      <c r="M173" s="10">
        <f t="shared" si="18"/>
        <v>0.20527970280478511</v>
      </c>
      <c r="P173" s="8">
        <f t="shared" si="19"/>
        <v>32.349077414425068</v>
      </c>
    </row>
    <row r="174" spans="1:16" x14ac:dyDescent="0.2">
      <c r="A174" s="8">
        <v>86</v>
      </c>
      <c r="B174" s="8">
        <v>172</v>
      </c>
      <c r="D174">
        <v>3615.6551040633999</v>
      </c>
      <c r="E174">
        <v>803.65312190287</v>
      </c>
      <c r="F174">
        <v>144.10735586480999</v>
      </c>
      <c r="G174">
        <v>120.47514910536999</v>
      </c>
      <c r="I174" s="9">
        <f t="shared" si="15"/>
        <v>683.17797279750005</v>
      </c>
      <c r="J174" s="9">
        <f t="shared" si="16"/>
        <v>3471.5477481985899</v>
      </c>
      <c r="K174" s="9">
        <f t="shared" si="17"/>
        <v>683.17797279750005</v>
      </c>
      <c r="L174" s="10">
        <f t="shared" si="14"/>
        <v>0.19679348300826507</v>
      </c>
      <c r="M174" s="10">
        <f t="shared" si="18"/>
        <v>0.20141218372890735</v>
      </c>
      <c r="P174" s="8">
        <f t="shared" si="19"/>
        <v>29.855588898115791</v>
      </c>
    </row>
    <row r="175" spans="1:16" x14ac:dyDescent="0.2">
      <c r="A175" s="8">
        <v>86.5</v>
      </c>
      <c r="B175" s="8">
        <v>173</v>
      </c>
      <c r="D175">
        <v>3930.1694915254002</v>
      </c>
      <c r="E175">
        <v>877.77866400797996</v>
      </c>
      <c r="F175">
        <v>143.67793240557</v>
      </c>
      <c r="G175">
        <v>120.00298210736</v>
      </c>
      <c r="I175" s="9">
        <f t="shared" si="15"/>
        <v>757.77568190061993</v>
      </c>
      <c r="J175" s="9">
        <f t="shared" si="16"/>
        <v>3786.4915591198301</v>
      </c>
      <c r="K175" s="9">
        <f t="shared" si="17"/>
        <v>757.77568190061993</v>
      </c>
      <c r="L175" s="10">
        <f t="shared" si="14"/>
        <v>0.20012607187133538</v>
      </c>
      <c r="M175" s="10">
        <f t="shared" si="18"/>
        <v>0.20477162550314418</v>
      </c>
      <c r="P175" s="8">
        <f t="shared" si="19"/>
        <v>32.021506976585265</v>
      </c>
    </row>
    <row r="176" spans="1:16" x14ac:dyDescent="0.2">
      <c r="A176" s="8">
        <v>87</v>
      </c>
      <c r="B176" s="8">
        <v>174</v>
      </c>
      <c r="D176">
        <v>4161.0250250250001</v>
      </c>
      <c r="E176">
        <v>923.48648648648998</v>
      </c>
      <c r="F176">
        <v>144.46023856859</v>
      </c>
      <c r="G176">
        <v>120.94333996024</v>
      </c>
      <c r="I176" s="9">
        <f t="shared" si="15"/>
        <v>802.54314652624998</v>
      </c>
      <c r="J176" s="9">
        <f t="shared" si="16"/>
        <v>4016.5647864564103</v>
      </c>
      <c r="K176" s="9">
        <f t="shared" si="17"/>
        <v>802.54314652624998</v>
      </c>
      <c r="L176" s="10">
        <f t="shared" si="14"/>
        <v>0.19980834100631767</v>
      </c>
      <c r="M176" s="10">
        <f t="shared" si="18"/>
        <v>0.20448074754929299</v>
      </c>
      <c r="P176" s="8">
        <f t="shared" si="19"/>
        <v>31.833970516300099</v>
      </c>
    </row>
    <row r="177" spans="1:16" x14ac:dyDescent="0.2">
      <c r="A177" s="8">
        <v>87.5</v>
      </c>
      <c r="B177" s="8">
        <v>175</v>
      </c>
      <c r="D177">
        <v>4063.2442442442002</v>
      </c>
      <c r="E177">
        <v>894.32832832833003</v>
      </c>
      <c r="F177">
        <v>145.15407554672001</v>
      </c>
      <c r="G177">
        <v>120.12326043738</v>
      </c>
      <c r="I177" s="9">
        <f t="shared" si="15"/>
        <v>774.20506789094998</v>
      </c>
      <c r="J177" s="9">
        <f t="shared" si="16"/>
        <v>3918.0901686974803</v>
      </c>
      <c r="K177" s="9">
        <f t="shared" si="17"/>
        <v>774.20506789094998</v>
      </c>
      <c r="L177" s="10">
        <f t="shared" si="14"/>
        <v>0.1975975627299881</v>
      </c>
      <c r="M177" s="10">
        <f t="shared" si="18"/>
        <v>0.20229682218412995</v>
      </c>
      <c r="P177" s="8">
        <f t="shared" si="19"/>
        <v>30.425937947701932</v>
      </c>
    </row>
    <row r="178" spans="1:16" x14ac:dyDescent="0.2">
      <c r="A178" s="8">
        <v>88</v>
      </c>
      <c r="B178" s="8">
        <v>176</v>
      </c>
      <c r="D178">
        <v>4284.0270270270003</v>
      </c>
      <c r="E178">
        <v>928.71671671672004</v>
      </c>
      <c r="F178">
        <v>143.27833001988</v>
      </c>
      <c r="G178">
        <v>120.02385685885</v>
      </c>
      <c r="I178" s="9">
        <f t="shared" si="15"/>
        <v>808.69285985787008</v>
      </c>
      <c r="J178" s="9">
        <f t="shared" si="16"/>
        <v>4140.7486970071204</v>
      </c>
      <c r="K178" s="9">
        <f t="shared" si="17"/>
        <v>808.69285985787008</v>
      </c>
      <c r="L178" s="10">
        <f t="shared" si="14"/>
        <v>0.19530112040906583</v>
      </c>
      <c r="M178" s="10">
        <f t="shared" si="18"/>
        <v>0.2000272327743742</v>
      </c>
      <c r="P178" s="8">
        <f t="shared" si="19"/>
        <v>28.962675577450092</v>
      </c>
    </row>
    <row r="179" spans="1:16" x14ac:dyDescent="0.2">
      <c r="A179" s="8">
        <v>88.5</v>
      </c>
      <c r="B179" s="8">
        <v>177</v>
      </c>
      <c r="D179">
        <v>4166.2032032032002</v>
      </c>
      <c r="E179">
        <v>890.33033033032996</v>
      </c>
      <c r="F179">
        <v>143.73757455268</v>
      </c>
      <c r="G179">
        <v>120.50397614313999</v>
      </c>
      <c r="I179" s="9">
        <f t="shared" si="15"/>
        <v>769.82635418718996</v>
      </c>
      <c r="J179" s="9">
        <f t="shared" si="16"/>
        <v>4022.4656286505201</v>
      </c>
      <c r="K179" s="9">
        <f t="shared" si="17"/>
        <v>769.82635418718996</v>
      </c>
      <c r="L179" s="10">
        <f t="shared" si="14"/>
        <v>0.19138171093470741</v>
      </c>
      <c r="M179" s="10">
        <f t="shared" si="18"/>
        <v>0.1961346762111823</v>
      </c>
      <c r="P179" s="8">
        <f t="shared" si="19"/>
        <v>26.453044752371248</v>
      </c>
    </row>
    <row r="180" spans="1:16" x14ac:dyDescent="0.2">
      <c r="A180" s="8">
        <v>89</v>
      </c>
      <c r="B180" s="8">
        <v>178</v>
      </c>
      <c r="D180">
        <v>4007.2398414272002</v>
      </c>
      <c r="E180">
        <v>859.00891972249997</v>
      </c>
      <c r="F180">
        <v>143.05566600398001</v>
      </c>
      <c r="G180">
        <v>119.5745526839</v>
      </c>
      <c r="I180" s="9">
        <f t="shared" si="15"/>
        <v>739.43436703859993</v>
      </c>
      <c r="J180" s="9">
        <f t="shared" si="16"/>
        <v>3864.18417542322</v>
      </c>
      <c r="K180" s="9">
        <f t="shared" si="17"/>
        <v>739.43436703859993</v>
      </c>
      <c r="L180" s="10">
        <f t="shared" si="14"/>
        <v>0.19135588094933759</v>
      </c>
      <c r="M180" s="10">
        <f t="shared" si="18"/>
        <v>0.19613569913697901</v>
      </c>
      <c r="P180" s="8">
        <f t="shared" si="19"/>
        <v>26.453704258808596</v>
      </c>
    </row>
    <row r="181" spans="1:16" x14ac:dyDescent="0.2">
      <c r="A181" s="8">
        <v>89.5</v>
      </c>
      <c r="B181" s="8">
        <v>179</v>
      </c>
      <c r="D181">
        <v>3901.227408143</v>
      </c>
      <c r="E181">
        <v>839.71102284011999</v>
      </c>
      <c r="F181">
        <v>144.50397614313999</v>
      </c>
      <c r="G181">
        <v>120.23061630219</v>
      </c>
      <c r="I181" s="9">
        <f t="shared" si="15"/>
        <v>719.48040653792998</v>
      </c>
      <c r="J181" s="9">
        <f t="shared" si="16"/>
        <v>3756.7234319998602</v>
      </c>
      <c r="K181" s="9">
        <f t="shared" si="17"/>
        <v>719.48040653792998</v>
      </c>
      <c r="L181" s="10">
        <f t="shared" si="14"/>
        <v>0.19151806609168476</v>
      </c>
      <c r="M181" s="10">
        <f t="shared" si="18"/>
        <v>0.1963247371904927</v>
      </c>
      <c r="P181" s="8">
        <f t="shared" si="19"/>
        <v>26.575581929308484</v>
      </c>
    </row>
    <row r="182" spans="1:16" x14ac:dyDescent="0.2">
      <c r="A182" s="8">
        <v>90</v>
      </c>
      <c r="B182" s="8">
        <v>180</v>
      </c>
      <c r="D182">
        <v>3895.7080436941001</v>
      </c>
      <c r="E182">
        <v>864.26812313802998</v>
      </c>
      <c r="F182">
        <v>144.21073558648001</v>
      </c>
      <c r="G182">
        <v>120.25944333996</v>
      </c>
      <c r="I182" s="9">
        <f t="shared" si="15"/>
        <v>744.00867979807003</v>
      </c>
      <c r="J182" s="9">
        <f t="shared" si="16"/>
        <v>3751.49730810762</v>
      </c>
      <c r="K182" s="9">
        <f t="shared" si="17"/>
        <v>744.00867979807003</v>
      </c>
      <c r="L182" s="10">
        <f t="shared" si="14"/>
        <v>0.19832312772559946</v>
      </c>
      <c r="M182" s="10">
        <f>L182+ABS($N$2)*A182</f>
        <v>0.20315665173557393</v>
      </c>
      <c r="P182" s="8">
        <f t="shared" si="19"/>
        <v>30.980292062173188</v>
      </c>
    </row>
    <row r="183" spans="1:16" x14ac:dyDescent="0.2">
      <c r="A183" s="8">
        <v>90.5</v>
      </c>
      <c r="B183" s="8">
        <v>181</v>
      </c>
      <c r="D183">
        <v>3718.0893743792999</v>
      </c>
      <c r="E183">
        <v>807.80536246275994</v>
      </c>
      <c r="F183">
        <v>143.72862823061999</v>
      </c>
      <c r="G183">
        <v>120.29324055666</v>
      </c>
      <c r="I183" s="9">
        <f t="shared" si="15"/>
        <v>687.51212190609999</v>
      </c>
      <c r="J183" s="9">
        <f t="shared" si="16"/>
        <v>3574.3607461486799</v>
      </c>
      <c r="K183" s="9">
        <f t="shared" si="17"/>
        <v>687.51212190609999</v>
      </c>
      <c r="L183" s="10">
        <f t="shared" si="14"/>
        <v>0.19234547678123534</v>
      </c>
      <c r="M183" s="10">
        <f t="shared" ref="M183:M241" si="20">L183+ABS($N$2)*A183</f>
        <v>0.19720585370237634</v>
      </c>
      <c r="P183" s="8">
        <f t="shared" si="19"/>
        <v>27.143660291899025</v>
      </c>
    </row>
    <row r="184" spans="1:16" x14ac:dyDescent="0.2">
      <c r="A184" s="8">
        <v>91</v>
      </c>
      <c r="B184" s="8">
        <v>182</v>
      </c>
      <c r="D184">
        <v>3615.9354518371001</v>
      </c>
      <c r="E184">
        <v>776.25620655412001</v>
      </c>
      <c r="F184">
        <v>144.60934393637999</v>
      </c>
      <c r="G184">
        <v>120.37276341947999</v>
      </c>
      <c r="I184" s="9">
        <f t="shared" si="15"/>
        <v>655.88344313464006</v>
      </c>
      <c r="J184" s="9">
        <f t="shared" si="16"/>
        <v>3471.3261079007202</v>
      </c>
      <c r="K184" s="9">
        <f t="shared" si="17"/>
        <v>655.88344313464006</v>
      </c>
      <c r="L184" s="10">
        <f t="shared" si="14"/>
        <v>0.18894319425704567</v>
      </c>
      <c r="M184" s="10">
        <f t="shared" si="20"/>
        <v>0.19383042408935319</v>
      </c>
      <c r="P184" s="8">
        <f t="shared" si="19"/>
        <v>24.967434444642343</v>
      </c>
    </row>
    <row r="185" spans="1:16" x14ac:dyDescent="0.2">
      <c r="A185" s="8">
        <v>91.5</v>
      </c>
      <c r="B185" s="8">
        <v>183</v>
      </c>
      <c r="D185">
        <v>3595.6623634558</v>
      </c>
      <c r="E185">
        <v>764.61469712016003</v>
      </c>
      <c r="F185">
        <v>144.41351888668001</v>
      </c>
      <c r="G185">
        <v>119.73658051690001</v>
      </c>
      <c r="I185" s="9">
        <f t="shared" si="15"/>
        <v>644.87811660325997</v>
      </c>
      <c r="J185" s="9">
        <f t="shared" si="16"/>
        <v>3451.2488445691201</v>
      </c>
      <c r="K185" s="9">
        <f t="shared" si="17"/>
        <v>644.87811660325997</v>
      </c>
      <c r="L185" s="10">
        <f t="shared" si="14"/>
        <v>0.18685355523350314</v>
      </c>
      <c r="M185" s="10">
        <f t="shared" si="20"/>
        <v>0.19176763797697718</v>
      </c>
      <c r="P185" s="8">
        <f t="shared" si="19"/>
        <v>23.637503452215512</v>
      </c>
    </row>
    <row r="186" spans="1:16" x14ac:dyDescent="0.2">
      <c r="A186" s="8">
        <v>92</v>
      </c>
      <c r="B186" s="8">
        <v>184</v>
      </c>
      <c r="D186">
        <v>3691.2221115538</v>
      </c>
      <c r="E186">
        <v>790.26095617529995</v>
      </c>
      <c r="F186">
        <v>144.32803180914999</v>
      </c>
      <c r="G186">
        <v>120.02087475149</v>
      </c>
      <c r="I186" s="9">
        <f t="shared" si="15"/>
        <v>670.2400814238099</v>
      </c>
      <c r="J186" s="9">
        <f t="shared" si="16"/>
        <v>3546.8940797446498</v>
      </c>
      <c r="K186" s="9">
        <f t="shared" si="17"/>
        <v>670.2400814238099</v>
      </c>
      <c r="L186" s="10">
        <f t="shared" si="14"/>
        <v>0.18896535006539081</v>
      </c>
      <c r="M186" s="10">
        <f t="shared" si="20"/>
        <v>0.19390628572003138</v>
      </c>
      <c r="P186" s="8">
        <f t="shared" si="19"/>
        <v>25.016344379205918</v>
      </c>
    </row>
    <row r="187" spans="1:16" x14ac:dyDescent="0.2">
      <c r="A187" s="8">
        <v>92.5</v>
      </c>
      <c r="B187" s="8">
        <v>185</v>
      </c>
      <c r="D187">
        <v>3623.8505976095998</v>
      </c>
      <c r="E187">
        <v>762.17629482072005</v>
      </c>
      <c r="F187">
        <v>143.55069582505001</v>
      </c>
      <c r="G187">
        <v>120.0268389662</v>
      </c>
      <c r="I187" s="9">
        <f t="shared" si="15"/>
        <v>642.14945585452006</v>
      </c>
      <c r="J187" s="9">
        <f t="shared" si="16"/>
        <v>3480.29990178455</v>
      </c>
      <c r="K187" s="9">
        <f t="shared" si="17"/>
        <v>642.14945585452006</v>
      </c>
      <c r="L187" s="10">
        <f t="shared" si="14"/>
        <v>0.18450980489504742</v>
      </c>
      <c r="M187" s="10">
        <f t="shared" si="20"/>
        <v>0.18947759346085452</v>
      </c>
      <c r="P187" s="8">
        <f t="shared" si="19"/>
        <v>22.16105315145186</v>
      </c>
    </row>
    <row r="188" spans="1:16" x14ac:dyDescent="0.2">
      <c r="A188" s="8">
        <v>93</v>
      </c>
      <c r="B188" s="8">
        <v>186</v>
      </c>
      <c r="D188">
        <v>3680.4342629481998</v>
      </c>
      <c r="E188">
        <v>778.09163346614002</v>
      </c>
      <c r="F188">
        <v>143.92942345924999</v>
      </c>
      <c r="G188">
        <v>120.27733598410001</v>
      </c>
      <c r="I188" s="9">
        <f t="shared" si="15"/>
        <v>657.81429748204005</v>
      </c>
      <c r="J188" s="9">
        <f t="shared" si="16"/>
        <v>3536.50483948895</v>
      </c>
      <c r="K188" s="9">
        <f t="shared" si="17"/>
        <v>657.81429748204005</v>
      </c>
      <c r="L188" s="10">
        <f t="shared" si="14"/>
        <v>0.18600689871446602</v>
      </c>
      <c r="M188" s="10">
        <f t="shared" si="20"/>
        <v>0.19100154019143964</v>
      </c>
      <c r="P188" s="8">
        <f t="shared" si="19"/>
        <v>23.143580605778279</v>
      </c>
    </row>
    <row r="189" spans="1:16" x14ac:dyDescent="0.2">
      <c r="A189" s="8">
        <v>93.5</v>
      </c>
      <c r="B189" s="8">
        <v>187</v>
      </c>
      <c r="D189">
        <v>3944.3522388060001</v>
      </c>
      <c r="E189">
        <v>833.81890547264004</v>
      </c>
      <c r="F189">
        <v>143.98011928429</v>
      </c>
      <c r="G189">
        <v>119.94731610338</v>
      </c>
      <c r="I189" s="9">
        <f t="shared" si="15"/>
        <v>713.87158936926005</v>
      </c>
      <c r="J189" s="9">
        <f t="shared" si="16"/>
        <v>3800.3721195217099</v>
      </c>
      <c r="K189" s="9">
        <f t="shared" si="17"/>
        <v>713.87158936926005</v>
      </c>
      <c r="L189" s="10">
        <f t="shared" si="14"/>
        <v>0.18784254986564403</v>
      </c>
      <c r="M189" s="10">
        <f t="shared" si="20"/>
        <v>0.19286404425378417</v>
      </c>
      <c r="P189" s="8">
        <f t="shared" si="19"/>
        <v>24.344384635421353</v>
      </c>
    </row>
    <row r="190" spans="1:16" x14ac:dyDescent="0.2">
      <c r="A190" s="8">
        <v>94</v>
      </c>
      <c r="B190" s="8">
        <v>188</v>
      </c>
      <c r="D190">
        <v>4166.9363184080003</v>
      </c>
      <c r="E190">
        <v>872.18009950248995</v>
      </c>
      <c r="F190">
        <v>144.01192842942001</v>
      </c>
      <c r="G190">
        <v>119.96421471172999</v>
      </c>
      <c r="I190" s="9">
        <f t="shared" si="15"/>
        <v>752.2158847907599</v>
      </c>
      <c r="J190" s="9">
        <f t="shared" si="16"/>
        <v>4022.9243899785802</v>
      </c>
      <c r="K190" s="9">
        <f t="shared" si="17"/>
        <v>752.2158847907599</v>
      </c>
      <c r="L190" s="10">
        <f t="shared" si="14"/>
        <v>0.1869823570794889</v>
      </c>
      <c r="M190" s="10">
        <f t="shared" si="20"/>
        <v>0.19203070437879557</v>
      </c>
      <c r="P190" s="8">
        <f t="shared" si="19"/>
        <v>23.807109093219903</v>
      </c>
    </row>
    <row r="191" spans="1:16" x14ac:dyDescent="0.2">
      <c r="A191" s="8">
        <v>94.5</v>
      </c>
      <c r="B191" s="8">
        <v>189</v>
      </c>
      <c r="D191">
        <v>3973.3833167825001</v>
      </c>
      <c r="E191">
        <v>832.16285998013996</v>
      </c>
      <c r="F191">
        <v>144.10238568589</v>
      </c>
      <c r="G191">
        <v>119.88270377734</v>
      </c>
      <c r="I191" s="9">
        <f t="shared" si="15"/>
        <v>712.28015620279996</v>
      </c>
      <c r="J191" s="9">
        <f t="shared" si="16"/>
        <v>3829.2809310966099</v>
      </c>
      <c r="K191" s="9">
        <f t="shared" si="17"/>
        <v>712.28015620279996</v>
      </c>
      <c r="L191" s="10">
        <f t="shared" si="14"/>
        <v>0.18600885362537786</v>
      </c>
      <c r="M191" s="10">
        <f t="shared" si="20"/>
        <v>0.19108405383585106</v>
      </c>
      <c r="P191" s="8">
        <f t="shared" si="19"/>
        <v>23.196779263817739</v>
      </c>
    </row>
    <row r="192" spans="1:16" x14ac:dyDescent="0.2">
      <c r="A192" s="8">
        <v>95</v>
      </c>
      <c r="B192" s="8">
        <v>190</v>
      </c>
      <c r="D192">
        <v>3666.3150000000001</v>
      </c>
      <c r="E192">
        <v>790.67100000000005</v>
      </c>
      <c r="F192">
        <v>143.67495029821001</v>
      </c>
      <c r="G192">
        <v>120.35288270378</v>
      </c>
      <c r="I192" s="9">
        <f t="shared" si="15"/>
        <v>670.31811729622007</v>
      </c>
      <c r="J192" s="9">
        <f t="shared" si="16"/>
        <v>3522.6400497017898</v>
      </c>
      <c r="K192" s="9">
        <f t="shared" si="17"/>
        <v>670.31811729622007</v>
      </c>
      <c r="L192" s="10">
        <f t="shared" si="14"/>
        <v>0.19028856421278867</v>
      </c>
      <c r="M192" s="10">
        <f t="shared" si="20"/>
        <v>0.19539061733442839</v>
      </c>
      <c r="P192" s="8">
        <f t="shared" si="19"/>
        <v>25.973330954392686</v>
      </c>
    </row>
    <row r="193" spans="1:16" x14ac:dyDescent="0.2">
      <c r="A193" s="8">
        <v>95.5</v>
      </c>
      <c r="B193" s="8">
        <v>191</v>
      </c>
      <c r="D193">
        <v>3609.7150000000001</v>
      </c>
      <c r="E193">
        <v>779.649</v>
      </c>
      <c r="F193">
        <v>143.58946322067999</v>
      </c>
      <c r="G193">
        <v>120.02584493042001</v>
      </c>
      <c r="I193" s="9">
        <f t="shared" si="15"/>
        <v>659.62315506957998</v>
      </c>
      <c r="J193" s="9">
        <f t="shared" si="16"/>
        <v>3466.1255367793201</v>
      </c>
      <c r="K193" s="9">
        <f t="shared" si="17"/>
        <v>659.62315506957998</v>
      </c>
      <c r="L193" s="10">
        <f t="shared" si="14"/>
        <v>0.19030561590175221</v>
      </c>
      <c r="M193" s="10">
        <f t="shared" si="20"/>
        <v>0.19543452193455846</v>
      </c>
      <c r="P193" s="8">
        <f t="shared" si="19"/>
        <v>26.001637373595702</v>
      </c>
    </row>
    <row r="194" spans="1:16" x14ac:dyDescent="0.2">
      <c r="A194" s="8">
        <v>96</v>
      </c>
      <c r="B194" s="8">
        <v>192</v>
      </c>
      <c r="D194">
        <v>3667.5630000000001</v>
      </c>
      <c r="E194">
        <v>811.83299999999997</v>
      </c>
      <c r="F194">
        <v>144.32007952286</v>
      </c>
      <c r="G194">
        <v>120.36381709742</v>
      </c>
      <c r="I194" s="9">
        <f t="shared" si="15"/>
        <v>691.46918290257997</v>
      </c>
      <c r="J194" s="9">
        <f t="shared" si="16"/>
        <v>3523.2429204771402</v>
      </c>
      <c r="K194" s="9">
        <f t="shared" si="17"/>
        <v>691.46918290257997</v>
      </c>
      <c r="L194" s="10">
        <f t="shared" ref="L194:L257" si="21">K194/J194</f>
        <v>0.19625929818342949</v>
      </c>
      <c r="M194" s="10">
        <f t="shared" si="20"/>
        <v>0.20141505712740226</v>
      </c>
      <c r="P194" s="8">
        <f t="shared" si="19"/>
        <v>29.857441451654452</v>
      </c>
    </row>
    <row r="195" spans="1:16" x14ac:dyDescent="0.2">
      <c r="A195" s="8">
        <v>96.5</v>
      </c>
      <c r="B195" s="8">
        <v>193</v>
      </c>
      <c r="D195">
        <v>3752.7890000000002</v>
      </c>
      <c r="E195">
        <v>840.45899999999995</v>
      </c>
      <c r="F195">
        <v>144.38667992047999</v>
      </c>
      <c r="G195">
        <v>120.05168986084</v>
      </c>
      <c r="I195" s="9">
        <f t="shared" ref="I195:I241" si="22">E195-G195</f>
        <v>720.4073101391599</v>
      </c>
      <c r="J195" s="9">
        <f t="shared" ref="J195:J241" si="23">D195-F195</f>
        <v>3608.40232007952</v>
      </c>
      <c r="K195" s="9">
        <f t="shared" ref="K195:K258" si="24">I195*1</f>
        <v>720.4073101391599</v>
      </c>
      <c r="L195" s="10">
        <f t="shared" si="21"/>
        <v>0.19964716964356791</v>
      </c>
      <c r="M195" s="10">
        <f t="shared" si="20"/>
        <v>0.2048297814987072</v>
      </c>
      <c r="P195" s="8">
        <f t="shared" ref="P195:P241" si="25">(M195-$O$2)/$O$2*100</f>
        <v>32.059001635110775</v>
      </c>
    </row>
    <row r="196" spans="1:16" x14ac:dyDescent="0.2">
      <c r="A196" s="8">
        <v>97</v>
      </c>
      <c r="B196" s="8">
        <v>194</v>
      </c>
      <c r="D196">
        <v>3755.78</v>
      </c>
      <c r="E196">
        <v>828.54899999999998</v>
      </c>
      <c r="F196">
        <v>144.05765407555</v>
      </c>
      <c r="G196">
        <v>120.03180914513</v>
      </c>
      <c r="I196" s="9">
        <f t="shared" si="22"/>
        <v>708.51719085487002</v>
      </c>
      <c r="J196" s="9">
        <f t="shared" si="23"/>
        <v>3611.7223459244501</v>
      </c>
      <c r="K196" s="9">
        <f t="shared" si="24"/>
        <v>708.51719085487002</v>
      </c>
      <c r="L196" s="10">
        <f t="shared" si="21"/>
        <v>0.19617155556112362</v>
      </c>
      <c r="M196" s="10">
        <f t="shared" si="20"/>
        <v>0.20138102032742944</v>
      </c>
      <c r="P196" s="8">
        <f t="shared" si="25"/>
        <v>29.835497055725419</v>
      </c>
    </row>
    <row r="197" spans="1:16" x14ac:dyDescent="0.2">
      <c r="A197" s="8">
        <v>97.5</v>
      </c>
      <c r="B197" s="8">
        <v>195</v>
      </c>
      <c r="D197">
        <v>3740.2289999999998</v>
      </c>
      <c r="E197">
        <v>836.15200000000004</v>
      </c>
      <c r="F197">
        <v>144.28926441351999</v>
      </c>
      <c r="G197">
        <v>120.39662027833</v>
      </c>
      <c r="I197" s="9">
        <f t="shared" si="22"/>
        <v>715.75537972167001</v>
      </c>
      <c r="J197" s="9">
        <f t="shared" si="23"/>
        <v>3595.9397355864799</v>
      </c>
      <c r="K197" s="9">
        <f t="shared" si="24"/>
        <v>715.75537972167001</v>
      </c>
      <c r="L197" s="10">
        <f t="shared" si="21"/>
        <v>0.19904543244658518</v>
      </c>
      <c r="M197" s="10">
        <f t="shared" si="20"/>
        <v>0.20428175012405753</v>
      </c>
      <c r="P197" s="8">
        <f t="shared" si="25"/>
        <v>31.7056717839953</v>
      </c>
    </row>
    <row r="198" spans="1:16" x14ac:dyDescent="0.2">
      <c r="A198" s="8">
        <v>98</v>
      </c>
      <c r="B198" s="8">
        <v>196</v>
      </c>
      <c r="D198">
        <v>3786.848</v>
      </c>
      <c r="E198">
        <v>825.51099999999997</v>
      </c>
      <c r="F198">
        <v>143.52286282306</v>
      </c>
      <c r="G198">
        <v>119.68886679921</v>
      </c>
      <c r="I198" s="9">
        <f t="shared" si="22"/>
        <v>705.82213320078995</v>
      </c>
      <c r="J198" s="9">
        <f t="shared" si="23"/>
        <v>3643.3251371769402</v>
      </c>
      <c r="K198" s="9">
        <f t="shared" si="24"/>
        <v>705.82213320078995</v>
      </c>
      <c r="L198" s="10">
        <f t="shared" si="21"/>
        <v>0.19373020705687055</v>
      </c>
      <c r="M198" s="10">
        <f t="shared" si="20"/>
        <v>0.19899337764550942</v>
      </c>
      <c r="P198" s="8">
        <f t="shared" si="25"/>
        <v>28.296122719978612</v>
      </c>
    </row>
    <row r="199" spans="1:16" x14ac:dyDescent="0.2">
      <c r="A199" s="8">
        <v>98.5</v>
      </c>
      <c r="B199" s="8">
        <v>197</v>
      </c>
      <c r="D199">
        <v>3792.3910000000001</v>
      </c>
      <c r="E199">
        <v>823.12300000000005</v>
      </c>
      <c r="F199">
        <v>144.08846918488999</v>
      </c>
      <c r="G199">
        <v>120.4731610338</v>
      </c>
      <c r="I199" s="9">
        <f t="shared" si="22"/>
        <v>702.64983896620004</v>
      </c>
      <c r="J199" s="9">
        <f t="shared" si="23"/>
        <v>3648.30253081511</v>
      </c>
      <c r="K199" s="9">
        <f t="shared" si="24"/>
        <v>702.64983896620004</v>
      </c>
      <c r="L199" s="10">
        <f t="shared" si="21"/>
        <v>0.19259637407570276</v>
      </c>
      <c r="M199" s="10">
        <f t="shared" si="20"/>
        <v>0.19788639757550816</v>
      </c>
      <c r="P199" s="8">
        <f t="shared" si="25"/>
        <v>27.582424341721769</v>
      </c>
    </row>
    <row r="200" spans="1:16" x14ac:dyDescent="0.2">
      <c r="A200" s="8">
        <v>99</v>
      </c>
      <c r="B200" s="8">
        <v>198</v>
      </c>
      <c r="D200">
        <v>3707.88</v>
      </c>
      <c r="E200">
        <v>790.12</v>
      </c>
      <c r="F200">
        <v>144.09343936382001</v>
      </c>
      <c r="G200">
        <v>119.97514910536999</v>
      </c>
      <c r="I200" s="9">
        <f t="shared" si="22"/>
        <v>670.14485089463005</v>
      </c>
      <c r="J200" s="9">
        <f t="shared" si="23"/>
        <v>3563.7865606361802</v>
      </c>
      <c r="K200" s="9">
        <f t="shared" si="24"/>
        <v>670.14485089463005</v>
      </c>
      <c r="L200" s="10">
        <f t="shared" si="21"/>
        <v>0.18804292554911056</v>
      </c>
      <c r="M200" s="10">
        <f t="shared" si="20"/>
        <v>0.19335980196008248</v>
      </c>
      <c r="P200" s="8">
        <f t="shared" si="25"/>
        <v>24.664012314890808</v>
      </c>
    </row>
    <row r="201" spans="1:16" x14ac:dyDescent="0.2">
      <c r="A201" s="8">
        <v>99.5</v>
      </c>
      <c r="B201" s="8">
        <v>199</v>
      </c>
      <c r="D201">
        <v>3764.3490000000002</v>
      </c>
      <c r="E201">
        <v>813.49199999999996</v>
      </c>
      <c r="F201">
        <v>143.85188866799001</v>
      </c>
      <c r="G201">
        <v>120.08151093439</v>
      </c>
      <c r="I201" s="9">
        <f t="shared" si="22"/>
        <v>693.41048906560991</v>
      </c>
      <c r="J201" s="9">
        <f t="shared" si="23"/>
        <v>3620.4971113320103</v>
      </c>
      <c r="K201" s="9">
        <f t="shared" si="24"/>
        <v>693.41048906560991</v>
      </c>
      <c r="L201" s="10">
        <f t="shared" si="21"/>
        <v>0.19152355815870228</v>
      </c>
      <c r="M201" s="10">
        <f t="shared" si="20"/>
        <v>0.19686728748084073</v>
      </c>
      <c r="P201" s="8">
        <f t="shared" si="25"/>
        <v>26.925377985116178</v>
      </c>
    </row>
    <row r="202" spans="1:16" x14ac:dyDescent="0.2">
      <c r="A202" s="8">
        <v>100</v>
      </c>
      <c r="B202" s="8">
        <v>200</v>
      </c>
      <c r="D202">
        <v>3776.0920000000001</v>
      </c>
      <c r="E202">
        <v>797.14800000000002</v>
      </c>
      <c r="F202">
        <v>144.35089463220999</v>
      </c>
      <c r="G202">
        <v>120.13618290258</v>
      </c>
      <c r="I202" s="9">
        <f t="shared" si="22"/>
        <v>677.01181709742002</v>
      </c>
      <c r="J202" s="9">
        <f t="shared" si="23"/>
        <v>3631.7411053677902</v>
      </c>
      <c r="K202" s="9">
        <f t="shared" si="24"/>
        <v>677.01181709742002</v>
      </c>
      <c r="L202" s="10">
        <f t="shared" si="21"/>
        <v>0.18641521998822611</v>
      </c>
      <c r="M202" s="10">
        <f t="shared" si="20"/>
        <v>0.19178580222153108</v>
      </c>
      <c r="P202" s="8">
        <f t="shared" si="25"/>
        <v>23.649214405494334</v>
      </c>
    </row>
    <row r="203" spans="1:16" x14ac:dyDescent="0.2">
      <c r="A203" s="8">
        <v>100.5</v>
      </c>
      <c r="B203" s="8">
        <v>201</v>
      </c>
      <c r="D203">
        <v>3694.6019999999999</v>
      </c>
      <c r="E203">
        <v>778.875</v>
      </c>
      <c r="F203">
        <v>144.06361829026</v>
      </c>
      <c r="G203">
        <v>119.65109343936</v>
      </c>
      <c r="I203" s="9">
        <f t="shared" si="22"/>
        <v>659.22390656063999</v>
      </c>
      <c r="J203" s="9">
        <f t="shared" si="23"/>
        <v>3550.53838170974</v>
      </c>
      <c r="K203" s="9">
        <f t="shared" si="24"/>
        <v>659.22390656063999</v>
      </c>
      <c r="L203" s="10">
        <f t="shared" si="21"/>
        <v>0.1856687171603521</v>
      </c>
      <c r="M203" s="10">
        <f t="shared" si="20"/>
        <v>0.1910661523048236</v>
      </c>
      <c r="P203" s="8">
        <f t="shared" si="25"/>
        <v>23.185237688672128</v>
      </c>
    </row>
    <row r="204" spans="1:16" x14ac:dyDescent="0.2">
      <c r="A204" s="8">
        <v>101</v>
      </c>
      <c r="B204" s="8">
        <v>202</v>
      </c>
      <c r="D204">
        <v>3629.1750000000002</v>
      </c>
      <c r="E204">
        <v>754.28300000000002</v>
      </c>
      <c r="F204">
        <v>143.45626242545001</v>
      </c>
      <c r="G204">
        <v>120.40854870775</v>
      </c>
      <c r="I204" s="9">
        <f t="shared" si="22"/>
        <v>633.87445129225</v>
      </c>
      <c r="J204" s="9">
        <f t="shared" si="23"/>
        <v>3485.7187375745502</v>
      </c>
      <c r="K204" s="9">
        <f t="shared" si="24"/>
        <v>633.87445129225</v>
      </c>
      <c r="L204" s="10">
        <f t="shared" si="21"/>
        <v>0.18184899557711176</v>
      </c>
      <c r="M204" s="10">
        <f t="shared" si="20"/>
        <v>0.18727328363274978</v>
      </c>
      <c r="P204" s="8">
        <f t="shared" si="25"/>
        <v>20.739878197965851</v>
      </c>
    </row>
    <row r="205" spans="1:16" x14ac:dyDescent="0.2">
      <c r="A205" s="8">
        <v>101.5</v>
      </c>
      <c r="B205" s="8">
        <v>203</v>
      </c>
      <c r="D205">
        <v>3607.7359999999999</v>
      </c>
      <c r="E205">
        <v>740.36599999999999</v>
      </c>
      <c r="F205">
        <v>143.93836978131</v>
      </c>
      <c r="G205">
        <v>120.09940357853</v>
      </c>
      <c r="I205" s="9">
        <f t="shared" si="22"/>
        <v>620.26659642147001</v>
      </c>
      <c r="J205" s="9">
        <f t="shared" si="23"/>
        <v>3463.7976302186898</v>
      </c>
      <c r="K205" s="9">
        <f t="shared" si="24"/>
        <v>620.26659642147001</v>
      </c>
      <c r="L205" s="10">
        <f t="shared" si="21"/>
        <v>0.17907125722651093</v>
      </c>
      <c r="M205" s="10">
        <f t="shared" si="20"/>
        <v>0.18452239819331548</v>
      </c>
      <c r="P205" s="8">
        <f t="shared" si="25"/>
        <v>18.966311961229181</v>
      </c>
    </row>
    <row r="206" spans="1:16" x14ac:dyDescent="0.2">
      <c r="A206" s="8">
        <v>102</v>
      </c>
      <c r="B206" s="8">
        <v>204</v>
      </c>
      <c r="D206">
        <v>3588.6779999999999</v>
      </c>
      <c r="E206">
        <v>741.69799999999998</v>
      </c>
      <c r="F206">
        <v>143.97514910537001</v>
      </c>
      <c r="G206">
        <v>119.8449304175</v>
      </c>
      <c r="I206" s="9">
        <f t="shared" si="22"/>
        <v>621.85306958249998</v>
      </c>
      <c r="J206" s="9">
        <f t="shared" si="23"/>
        <v>3444.70285089463</v>
      </c>
      <c r="K206" s="9">
        <f t="shared" si="24"/>
        <v>621.85306958249998</v>
      </c>
      <c r="L206" s="10">
        <f t="shared" si="21"/>
        <v>0.18052444477787027</v>
      </c>
      <c r="M206" s="10">
        <f t="shared" si="20"/>
        <v>0.18600243865584135</v>
      </c>
      <c r="P206" s="8">
        <f t="shared" si="25"/>
        <v>19.920531920995955</v>
      </c>
    </row>
    <row r="207" spans="1:16" x14ac:dyDescent="0.2">
      <c r="A207" s="8">
        <v>102.5</v>
      </c>
      <c r="B207" s="8">
        <v>205</v>
      </c>
      <c r="D207">
        <v>3588.17</v>
      </c>
      <c r="E207">
        <v>739.15800000000002</v>
      </c>
      <c r="F207">
        <v>143.90656063617999</v>
      </c>
      <c r="G207">
        <v>120.17097415507</v>
      </c>
      <c r="I207" s="9">
        <f t="shared" si="22"/>
        <v>618.98702584493003</v>
      </c>
      <c r="J207" s="9">
        <f t="shared" si="23"/>
        <v>3444.26343936382</v>
      </c>
      <c r="K207" s="9">
        <f t="shared" si="24"/>
        <v>618.98702584493003</v>
      </c>
      <c r="L207" s="10">
        <f t="shared" si="21"/>
        <v>0.17971535474628542</v>
      </c>
      <c r="M207" s="10">
        <f t="shared" si="20"/>
        <v>0.18522020153542301</v>
      </c>
      <c r="P207" s="8">
        <f t="shared" si="25"/>
        <v>19.416203632362684</v>
      </c>
    </row>
    <row r="208" spans="1:16" x14ac:dyDescent="0.2">
      <c r="A208" s="8">
        <v>103</v>
      </c>
      <c r="B208" s="8">
        <v>206</v>
      </c>
      <c r="D208">
        <v>3551.5039999999999</v>
      </c>
      <c r="E208">
        <v>729.10799999999995</v>
      </c>
      <c r="F208">
        <v>143.98111332008</v>
      </c>
      <c r="G208">
        <v>120.40556660039999</v>
      </c>
      <c r="I208" s="9">
        <f t="shared" si="22"/>
        <v>608.70243339959995</v>
      </c>
      <c r="J208" s="9">
        <f t="shared" si="23"/>
        <v>3407.5228866799198</v>
      </c>
      <c r="K208" s="9">
        <f t="shared" si="24"/>
        <v>608.70243339959995</v>
      </c>
      <c r="L208" s="10">
        <f t="shared" si="21"/>
        <v>0.17863487748799306</v>
      </c>
      <c r="M208" s="10">
        <f t="shared" si="20"/>
        <v>0.18416657718829718</v>
      </c>
      <c r="P208" s="8">
        <f t="shared" si="25"/>
        <v>18.736905053992817</v>
      </c>
    </row>
    <row r="209" spans="1:16" x14ac:dyDescent="0.2">
      <c r="A209" s="8">
        <v>103.5</v>
      </c>
      <c r="B209" s="8">
        <v>207</v>
      </c>
      <c r="D209">
        <v>3523.6680000000001</v>
      </c>
      <c r="E209">
        <v>720.94799999999998</v>
      </c>
      <c r="F209">
        <v>143.79324055666001</v>
      </c>
      <c r="G209">
        <v>120.22763419483</v>
      </c>
      <c r="I209" s="9">
        <f t="shared" si="22"/>
        <v>600.72036580516999</v>
      </c>
      <c r="J209" s="9">
        <f t="shared" si="23"/>
        <v>3379.8747594433403</v>
      </c>
      <c r="K209" s="9">
        <f t="shared" si="24"/>
        <v>600.72036580516999</v>
      </c>
      <c r="L209" s="10">
        <f t="shared" si="21"/>
        <v>0.17773450454836015</v>
      </c>
      <c r="M209" s="10">
        <f t="shared" si="20"/>
        <v>0.1832930571598308</v>
      </c>
      <c r="P209" s="8">
        <f t="shared" si="25"/>
        <v>18.173724338652004</v>
      </c>
    </row>
    <row r="210" spans="1:16" x14ac:dyDescent="0.2">
      <c r="A210" s="8">
        <v>104</v>
      </c>
      <c r="B210" s="8">
        <v>208</v>
      </c>
      <c r="D210">
        <v>3670.78</v>
      </c>
      <c r="E210">
        <v>748.32500000000005</v>
      </c>
      <c r="F210">
        <v>144.36182902585</v>
      </c>
      <c r="G210">
        <v>119.96918489066</v>
      </c>
      <c r="I210" s="9">
        <f t="shared" si="22"/>
        <v>628.35581510934003</v>
      </c>
      <c r="J210" s="9">
        <f t="shared" si="23"/>
        <v>3526.4181709741501</v>
      </c>
      <c r="K210" s="9">
        <f t="shared" si="24"/>
        <v>628.35581510934003</v>
      </c>
      <c r="L210" s="10">
        <f t="shared" si="21"/>
        <v>0.17818528167796979</v>
      </c>
      <c r="M210" s="10">
        <f t="shared" si="20"/>
        <v>0.18377068720060696</v>
      </c>
      <c r="P210" s="8">
        <f t="shared" si="25"/>
        <v>18.481664648280447</v>
      </c>
    </row>
    <row r="211" spans="1:16" x14ac:dyDescent="0.2">
      <c r="A211" s="8">
        <v>104.5</v>
      </c>
      <c r="B211" s="8">
        <v>209</v>
      </c>
      <c r="D211">
        <v>3665.7359999999999</v>
      </c>
      <c r="E211">
        <v>746.96299999999997</v>
      </c>
      <c r="F211">
        <v>143.5407554672</v>
      </c>
      <c r="G211">
        <v>120.16600397614</v>
      </c>
      <c r="I211" s="9">
        <f t="shared" si="22"/>
        <v>626.79699602385995</v>
      </c>
      <c r="J211" s="9">
        <f t="shared" si="23"/>
        <v>3522.1952445327997</v>
      </c>
      <c r="K211" s="9">
        <f t="shared" si="24"/>
        <v>626.79699602385995</v>
      </c>
      <c r="L211" s="10">
        <f t="shared" si="21"/>
        <v>0.17795634611590114</v>
      </c>
      <c r="M211" s="10">
        <f t="shared" si="20"/>
        <v>0.18356860454970483</v>
      </c>
      <c r="P211" s="8">
        <f t="shared" si="25"/>
        <v>18.351376792038799</v>
      </c>
    </row>
    <row r="212" spans="1:16" x14ac:dyDescent="0.2">
      <c r="A212" s="8">
        <v>105</v>
      </c>
      <c r="B212" s="8">
        <v>210</v>
      </c>
      <c r="D212">
        <v>3711.393</v>
      </c>
      <c r="E212">
        <v>765.452</v>
      </c>
      <c r="F212">
        <v>143.87077534791001</v>
      </c>
      <c r="G212">
        <v>119.79423459245</v>
      </c>
      <c r="I212" s="9">
        <f t="shared" si="22"/>
        <v>645.65776540754996</v>
      </c>
      <c r="J212" s="9">
        <f t="shared" si="23"/>
        <v>3567.5222246520898</v>
      </c>
      <c r="K212" s="9">
        <f t="shared" si="24"/>
        <v>645.65776540754996</v>
      </c>
      <c r="L212" s="10">
        <f t="shared" si="21"/>
        <v>0.18098212842122252</v>
      </c>
      <c r="M212" s="10">
        <f t="shared" si="20"/>
        <v>0.18662123976619274</v>
      </c>
      <c r="P212" s="8">
        <f t="shared" si="25"/>
        <v>20.31948883168435</v>
      </c>
    </row>
    <row r="213" spans="1:16" x14ac:dyDescent="0.2">
      <c r="A213" s="8">
        <v>105.5</v>
      </c>
      <c r="B213" s="8">
        <v>211</v>
      </c>
      <c r="D213">
        <v>3649.3934262948001</v>
      </c>
      <c r="E213">
        <v>738.18426294820995</v>
      </c>
      <c r="F213">
        <v>143.97117296223001</v>
      </c>
      <c r="G213">
        <v>120.24552683896999</v>
      </c>
      <c r="I213" s="9">
        <f t="shared" si="22"/>
        <v>617.93873610923993</v>
      </c>
      <c r="J213" s="9">
        <f t="shared" si="23"/>
        <v>3505.4222533325701</v>
      </c>
      <c r="K213" s="9">
        <f t="shared" si="24"/>
        <v>617.93873610923993</v>
      </c>
      <c r="L213" s="10">
        <f t="shared" si="21"/>
        <v>0.17628082765828615</v>
      </c>
      <c r="M213" s="10">
        <f t="shared" si="20"/>
        <v>0.1819467919144229</v>
      </c>
      <c r="P213" s="8">
        <f t="shared" si="25"/>
        <v>17.305752684609416</v>
      </c>
    </row>
    <row r="214" spans="1:16" x14ac:dyDescent="0.2">
      <c r="A214" s="8">
        <v>106</v>
      </c>
      <c r="B214" s="8">
        <v>212</v>
      </c>
      <c r="D214">
        <v>3621.0348605578001</v>
      </c>
      <c r="E214">
        <v>729.14840637450004</v>
      </c>
      <c r="F214">
        <v>143.79622266402001</v>
      </c>
      <c r="G214">
        <v>119.89761431412001</v>
      </c>
      <c r="I214" s="9">
        <f t="shared" si="22"/>
        <v>609.25079206038004</v>
      </c>
      <c r="J214" s="9">
        <f t="shared" si="23"/>
        <v>3477.2386378937799</v>
      </c>
      <c r="K214" s="9">
        <f t="shared" si="24"/>
        <v>609.25079206038004</v>
      </c>
      <c r="L214" s="10">
        <f t="shared" si="21"/>
        <v>0.17521109578760841</v>
      </c>
      <c r="M214" s="10">
        <f t="shared" si="20"/>
        <v>0.18090391295491168</v>
      </c>
      <c r="P214" s="8">
        <f t="shared" si="25"/>
        <v>16.633381932604372</v>
      </c>
    </row>
    <row r="215" spans="1:16" x14ac:dyDescent="0.2">
      <c r="A215" s="8">
        <v>106.5</v>
      </c>
      <c r="B215" s="8">
        <v>213</v>
      </c>
      <c r="D215">
        <v>3595.3784860557998</v>
      </c>
      <c r="E215">
        <v>721.98406374501997</v>
      </c>
      <c r="F215">
        <v>143.80218687873</v>
      </c>
      <c r="G215">
        <v>119.97017892644</v>
      </c>
      <c r="I215" s="9">
        <f t="shared" si="22"/>
        <v>602.01388481857998</v>
      </c>
      <c r="J215" s="9">
        <f t="shared" si="23"/>
        <v>3451.5762991770698</v>
      </c>
      <c r="K215" s="9">
        <f t="shared" si="24"/>
        <v>602.01388481857998</v>
      </c>
      <c r="L215" s="10">
        <f t="shared" si="21"/>
        <v>0.17441708733546266</v>
      </c>
      <c r="M215" s="10">
        <f t="shared" si="20"/>
        <v>0.18013675741393245</v>
      </c>
      <c r="P215" s="8">
        <f t="shared" si="25"/>
        <v>16.138777124166399</v>
      </c>
    </row>
    <row r="216" spans="1:16" x14ac:dyDescent="0.2">
      <c r="A216" s="8">
        <v>107</v>
      </c>
      <c r="B216" s="8">
        <v>214</v>
      </c>
      <c r="D216">
        <v>3570.4661354581999</v>
      </c>
      <c r="E216">
        <v>715.23007968128002</v>
      </c>
      <c r="F216">
        <v>143.31212723658001</v>
      </c>
      <c r="G216">
        <v>119.92345924452999</v>
      </c>
      <c r="I216" s="9">
        <f t="shared" si="22"/>
        <v>595.30662043674999</v>
      </c>
      <c r="J216" s="9">
        <f t="shared" si="23"/>
        <v>3427.1540082216197</v>
      </c>
      <c r="K216" s="9">
        <f t="shared" si="24"/>
        <v>595.30662043674999</v>
      </c>
      <c r="L216" s="10">
        <f t="shared" si="21"/>
        <v>0.17370290888843359</v>
      </c>
      <c r="M216" s="10">
        <f t="shared" si="20"/>
        <v>0.17944943187806991</v>
      </c>
      <c r="P216" s="8">
        <f t="shared" si="25"/>
        <v>15.695640762841437</v>
      </c>
    </row>
    <row r="217" spans="1:16" x14ac:dyDescent="0.2">
      <c r="A217" s="8">
        <v>107.5</v>
      </c>
      <c r="B217" s="8">
        <v>215</v>
      </c>
      <c r="D217">
        <v>3499.4741035857</v>
      </c>
      <c r="E217">
        <v>694.50298804781005</v>
      </c>
      <c r="F217">
        <v>143.18886679920999</v>
      </c>
      <c r="G217">
        <v>120.48111332008</v>
      </c>
      <c r="I217" s="9">
        <f t="shared" si="22"/>
        <v>574.02187472773005</v>
      </c>
      <c r="J217" s="9">
        <f t="shared" si="23"/>
        <v>3356.2852367864903</v>
      </c>
      <c r="K217" s="9">
        <f t="shared" si="24"/>
        <v>574.02187472773005</v>
      </c>
      <c r="L217" s="10">
        <f t="shared" si="21"/>
        <v>0.17102893056769311</v>
      </c>
      <c r="M217" s="10">
        <f t="shared" si="20"/>
        <v>0.17680230646849596</v>
      </c>
      <c r="P217" s="8">
        <f t="shared" si="25"/>
        <v>13.988971272528689</v>
      </c>
    </row>
    <row r="218" spans="1:16" x14ac:dyDescent="0.2">
      <c r="A218" s="8">
        <v>108</v>
      </c>
      <c r="B218" s="8">
        <v>216</v>
      </c>
      <c r="D218">
        <v>3424.7260956175001</v>
      </c>
      <c r="E218">
        <v>682.41434262947996</v>
      </c>
      <c r="F218">
        <v>143.21172962227001</v>
      </c>
      <c r="G218">
        <v>120.04870775348</v>
      </c>
      <c r="I218" s="9">
        <f t="shared" si="22"/>
        <v>562.36563487599994</v>
      </c>
      <c r="J218" s="9">
        <f t="shared" si="23"/>
        <v>3281.51436599523</v>
      </c>
      <c r="K218" s="9">
        <f t="shared" si="24"/>
        <v>562.36563487599994</v>
      </c>
      <c r="L218" s="10">
        <f t="shared" si="21"/>
        <v>0.17137381469468094</v>
      </c>
      <c r="M218" s="10">
        <f t="shared" si="20"/>
        <v>0.17717404350665031</v>
      </c>
      <c r="P218" s="8">
        <f t="shared" si="25"/>
        <v>14.228639653612063</v>
      </c>
    </row>
    <row r="219" spans="1:16" x14ac:dyDescent="0.2">
      <c r="A219" s="8">
        <v>108.5</v>
      </c>
      <c r="B219" s="8">
        <v>217</v>
      </c>
      <c r="D219">
        <v>3462.0059760956001</v>
      </c>
      <c r="E219">
        <v>685.49601593626005</v>
      </c>
      <c r="F219">
        <v>143.78031809145</v>
      </c>
      <c r="G219">
        <v>119.76341948309999</v>
      </c>
      <c r="I219" s="9">
        <f t="shared" si="22"/>
        <v>565.73259645316011</v>
      </c>
      <c r="J219" s="9">
        <f t="shared" si="23"/>
        <v>3318.2256580041503</v>
      </c>
      <c r="K219" s="9">
        <f t="shared" si="24"/>
        <v>565.73259645316011</v>
      </c>
      <c r="L219" s="10">
        <f t="shared" si="21"/>
        <v>0.17049250254831599</v>
      </c>
      <c r="M219" s="10">
        <f t="shared" si="20"/>
        <v>0.17631958427145189</v>
      </c>
      <c r="P219" s="8">
        <f t="shared" si="25"/>
        <v>13.677747919448322</v>
      </c>
    </row>
    <row r="220" spans="1:16" x14ac:dyDescent="0.2">
      <c r="A220" s="8">
        <v>109</v>
      </c>
      <c r="B220" s="8">
        <v>218</v>
      </c>
      <c r="D220">
        <v>3318.9043824700998</v>
      </c>
      <c r="E220">
        <v>660.37749003984004</v>
      </c>
      <c r="F220">
        <v>143.94532803180999</v>
      </c>
      <c r="G220">
        <v>119.75745526839</v>
      </c>
      <c r="I220" s="9">
        <f t="shared" si="22"/>
        <v>540.62003477145004</v>
      </c>
      <c r="J220" s="9">
        <f t="shared" si="23"/>
        <v>3174.95905443829</v>
      </c>
      <c r="K220" s="9">
        <f t="shared" si="24"/>
        <v>540.62003477145004</v>
      </c>
      <c r="L220" s="10">
        <f t="shared" si="21"/>
        <v>0.17027622262268699</v>
      </c>
      <c r="M220" s="10">
        <f t="shared" si="20"/>
        <v>0.17613015725698941</v>
      </c>
      <c r="P220" s="8">
        <f t="shared" si="25"/>
        <v>13.555619475871417</v>
      </c>
    </row>
    <row r="221" spans="1:16" x14ac:dyDescent="0.2">
      <c r="A221" s="8">
        <v>109.5</v>
      </c>
      <c r="B221" s="8">
        <v>219</v>
      </c>
      <c r="D221">
        <v>3339.5149402390002</v>
      </c>
      <c r="E221">
        <v>664.89043824701002</v>
      </c>
      <c r="F221">
        <v>143.87077534791001</v>
      </c>
      <c r="G221">
        <v>119.80417495029999</v>
      </c>
      <c r="I221" s="9">
        <f t="shared" si="22"/>
        <v>545.08626329671006</v>
      </c>
      <c r="J221" s="9">
        <f t="shared" si="23"/>
        <v>3195.6441648910904</v>
      </c>
      <c r="K221" s="9">
        <f t="shared" si="24"/>
        <v>545.08626329671006</v>
      </c>
      <c r="L221" s="10">
        <f t="shared" si="21"/>
        <v>0.17057163913469914</v>
      </c>
      <c r="M221" s="10">
        <f t="shared" si="20"/>
        <v>0.17645242668016808</v>
      </c>
      <c r="P221" s="8">
        <f t="shared" si="25"/>
        <v>13.763394819725733</v>
      </c>
    </row>
    <row r="222" spans="1:16" x14ac:dyDescent="0.2">
      <c r="A222" s="8">
        <v>110</v>
      </c>
      <c r="B222" s="8">
        <v>220</v>
      </c>
      <c r="D222">
        <v>3413.7579681275001</v>
      </c>
      <c r="E222">
        <v>676.26095617529995</v>
      </c>
      <c r="F222">
        <v>143.80318091450999</v>
      </c>
      <c r="G222">
        <v>119.35586481113</v>
      </c>
      <c r="I222" s="9">
        <f t="shared" si="22"/>
        <v>556.90509136416995</v>
      </c>
      <c r="J222" s="9">
        <f t="shared" si="23"/>
        <v>3269.9547872129901</v>
      </c>
      <c r="K222" s="9">
        <f t="shared" si="24"/>
        <v>556.90509136416995</v>
      </c>
      <c r="L222" s="10">
        <f t="shared" si="21"/>
        <v>0.17030972218390358</v>
      </c>
      <c r="M222" s="10">
        <f t="shared" si="20"/>
        <v>0.17621736264053905</v>
      </c>
      <c r="P222" s="8">
        <f t="shared" si="25"/>
        <v>13.611843018192801</v>
      </c>
    </row>
    <row r="223" spans="1:16" x14ac:dyDescent="0.2">
      <c r="A223" s="8">
        <v>110.5</v>
      </c>
      <c r="B223" s="8">
        <v>221</v>
      </c>
      <c r="D223">
        <v>3422.2918326693002</v>
      </c>
      <c r="E223">
        <v>676.01195219123997</v>
      </c>
      <c r="F223">
        <v>143.78926441351999</v>
      </c>
      <c r="G223">
        <v>119.99701789264</v>
      </c>
      <c r="I223" s="9">
        <f t="shared" si="22"/>
        <v>556.0149342986</v>
      </c>
      <c r="J223" s="9">
        <f t="shared" si="23"/>
        <v>3278.5025682557803</v>
      </c>
      <c r="K223" s="9">
        <f t="shared" si="24"/>
        <v>556.0149342986</v>
      </c>
      <c r="L223" s="10">
        <f t="shared" si="21"/>
        <v>0.16959417377989414</v>
      </c>
      <c r="M223" s="10">
        <f t="shared" si="20"/>
        <v>0.17552866714769613</v>
      </c>
      <c r="P223" s="8">
        <f t="shared" si="25"/>
        <v>13.167823410545996</v>
      </c>
    </row>
    <row r="224" spans="1:16" x14ac:dyDescent="0.2">
      <c r="A224" s="8">
        <v>111</v>
      </c>
      <c r="B224" s="8">
        <v>222</v>
      </c>
      <c r="D224">
        <v>3516.6294820716998</v>
      </c>
      <c r="E224">
        <v>692.01195219123997</v>
      </c>
      <c r="F224">
        <v>143.21172962227001</v>
      </c>
      <c r="G224">
        <v>120.37276341947999</v>
      </c>
      <c r="I224" s="9">
        <f t="shared" si="22"/>
        <v>571.63918877176002</v>
      </c>
      <c r="J224" s="9">
        <f t="shared" si="23"/>
        <v>3373.4177524494298</v>
      </c>
      <c r="K224" s="9">
        <f t="shared" si="24"/>
        <v>571.63918877176002</v>
      </c>
      <c r="L224" s="10">
        <f t="shared" si="21"/>
        <v>0.16945401688145331</v>
      </c>
      <c r="M224" s="10">
        <f t="shared" si="20"/>
        <v>0.17541536316042183</v>
      </c>
      <c r="P224" s="8">
        <f t="shared" si="25"/>
        <v>13.094773430551676</v>
      </c>
    </row>
    <row r="225" spans="1:16" x14ac:dyDescent="0.2">
      <c r="A225" s="8">
        <v>111.5</v>
      </c>
      <c r="B225" s="8">
        <v>223</v>
      </c>
      <c r="D225">
        <v>3503.5747011951999</v>
      </c>
      <c r="E225">
        <v>686.52788844622</v>
      </c>
      <c r="F225">
        <v>143.90656063617999</v>
      </c>
      <c r="G225">
        <v>119.80417495029999</v>
      </c>
      <c r="I225" s="9">
        <f t="shared" si="22"/>
        <v>566.72371349592004</v>
      </c>
      <c r="J225" s="9">
        <f t="shared" si="23"/>
        <v>3359.6681405590198</v>
      </c>
      <c r="K225" s="9">
        <f t="shared" si="24"/>
        <v>566.72371349592004</v>
      </c>
      <c r="L225" s="10">
        <f t="shared" si="21"/>
        <v>0.16868443244564688</v>
      </c>
      <c r="M225" s="10">
        <f t="shared" si="20"/>
        <v>0.17467263163578192</v>
      </c>
      <c r="P225" s="8">
        <f t="shared" si="25"/>
        <v>12.615915410447363</v>
      </c>
    </row>
    <row r="226" spans="1:16" x14ac:dyDescent="0.2">
      <c r="A226" s="8">
        <v>112</v>
      </c>
      <c r="B226" s="8">
        <v>224</v>
      </c>
      <c r="D226">
        <v>3569.6105577689</v>
      </c>
      <c r="E226">
        <v>701.63745019919998</v>
      </c>
      <c r="F226">
        <v>143.58051689861</v>
      </c>
      <c r="G226">
        <v>120.01093439364</v>
      </c>
      <c r="I226" s="9">
        <f t="shared" si="22"/>
        <v>581.62651580555996</v>
      </c>
      <c r="J226" s="9">
        <f t="shared" si="23"/>
        <v>3426.0300408702901</v>
      </c>
      <c r="K226" s="9">
        <f t="shared" si="24"/>
        <v>581.62651580555996</v>
      </c>
      <c r="L226" s="10">
        <f t="shared" si="21"/>
        <v>0.16976690480443468</v>
      </c>
      <c r="M226" s="10">
        <f t="shared" si="20"/>
        <v>0.17578195690573625</v>
      </c>
      <c r="P226" s="8">
        <f t="shared" si="25"/>
        <v>13.331125799126575</v>
      </c>
    </row>
    <row r="227" spans="1:16" x14ac:dyDescent="0.2">
      <c r="A227" s="8">
        <v>112.5</v>
      </c>
      <c r="B227" s="8">
        <v>225</v>
      </c>
      <c r="D227">
        <v>3586.0149402390002</v>
      </c>
      <c r="E227">
        <v>699.89741035857003</v>
      </c>
      <c r="F227">
        <v>143.68389662028</v>
      </c>
      <c r="G227">
        <v>119.78230616302</v>
      </c>
      <c r="I227" s="9">
        <f t="shared" si="22"/>
        <v>580.11510419554997</v>
      </c>
      <c r="J227" s="9">
        <f t="shared" si="23"/>
        <v>3442.3310436187203</v>
      </c>
      <c r="K227" s="9">
        <f t="shared" si="24"/>
        <v>580.11510419554997</v>
      </c>
      <c r="L227" s="10">
        <f t="shared" si="21"/>
        <v>0.16852391499967681</v>
      </c>
      <c r="M227" s="10">
        <f t="shared" si="20"/>
        <v>0.17456582001214491</v>
      </c>
      <c r="P227" s="8">
        <f t="shared" si="25"/>
        <v>12.547051223426694</v>
      </c>
    </row>
    <row r="228" spans="1:16" x14ac:dyDescent="0.2">
      <c r="A228" s="8">
        <v>113</v>
      </c>
      <c r="B228" s="8">
        <v>226</v>
      </c>
      <c r="D228">
        <v>3642.4611553784998</v>
      </c>
      <c r="E228">
        <v>706.77490039840995</v>
      </c>
      <c r="F228">
        <v>143.58449304174999</v>
      </c>
      <c r="G228">
        <v>119.95129224652</v>
      </c>
      <c r="I228" s="9">
        <f t="shared" si="22"/>
        <v>586.82360815188997</v>
      </c>
      <c r="J228" s="9">
        <f t="shared" si="23"/>
        <v>3498.8766623367496</v>
      </c>
      <c r="K228" s="9">
        <f t="shared" si="24"/>
        <v>586.82360815188997</v>
      </c>
      <c r="L228" s="10">
        <f t="shared" si="21"/>
        <v>0.16771771765169213</v>
      </c>
      <c r="M228" s="10">
        <f t="shared" si="20"/>
        <v>0.17378647557532675</v>
      </c>
      <c r="P228" s="8">
        <f t="shared" si="25"/>
        <v>12.044587921932949</v>
      </c>
    </row>
    <row r="229" spans="1:16" x14ac:dyDescent="0.2">
      <c r="A229" s="8">
        <v>113.5</v>
      </c>
      <c r="B229" s="8">
        <v>227</v>
      </c>
      <c r="D229">
        <v>3595.7529880478</v>
      </c>
      <c r="E229">
        <v>695.62250996015996</v>
      </c>
      <c r="F229">
        <v>143.54970178926001</v>
      </c>
      <c r="G229">
        <v>119.76838966203</v>
      </c>
      <c r="I229" s="9">
        <f t="shared" si="22"/>
        <v>575.85412029812994</v>
      </c>
      <c r="J229" s="9">
        <f t="shared" si="23"/>
        <v>3452.2032862585402</v>
      </c>
      <c r="K229" s="9">
        <f t="shared" si="24"/>
        <v>575.85412029812994</v>
      </c>
      <c r="L229" s="10">
        <f t="shared" si="21"/>
        <v>0.16680770874366274</v>
      </c>
      <c r="M229" s="10">
        <f t="shared" si="20"/>
        <v>0.17290331957846389</v>
      </c>
      <c r="P229" s="8">
        <f t="shared" si="25"/>
        <v>11.475194651186785</v>
      </c>
    </row>
    <row r="230" spans="1:16" x14ac:dyDescent="0.2">
      <c r="A230" s="8">
        <v>114</v>
      </c>
      <c r="B230" s="8">
        <v>228</v>
      </c>
      <c r="D230">
        <v>3668.2589641434001</v>
      </c>
      <c r="E230">
        <v>707.76693227092005</v>
      </c>
      <c r="F230">
        <v>143.35586481113</v>
      </c>
      <c r="G230">
        <v>119.63618290258</v>
      </c>
      <c r="I230" s="9">
        <f t="shared" si="22"/>
        <v>588.13074936834005</v>
      </c>
      <c r="J230" s="9">
        <f t="shared" si="23"/>
        <v>3524.9030993322704</v>
      </c>
      <c r="K230" s="9">
        <f t="shared" si="24"/>
        <v>588.13074936834005</v>
      </c>
      <c r="L230" s="10">
        <f t="shared" si="21"/>
        <v>0.16685018929449461</v>
      </c>
      <c r="M230" s="10">
        <f t="shared" si="20"/>
        <v>0.17297265304046228</v>
      </c>
      <c r="P230" s="8">
        <f t="shared" si="25"/>
        <v>11.519895708349564</v>
      </c>
    </row>
    <row r="231" spans="1:16" x14ac:dyDescent="0.2">
      <c r="A231" s="8">
        <v>114.5</v>
      </c>
      <c r="B231" s="8">
        <v>229</v>
      </c>
      <c r="D231">
        <v>3690.3794820716998</v>
      </c>
      <c r="E231">
        <v>711.08266932270999</v>
      </c>
      <c r="F231">
        <v>143.78528827037999</v>
      </c>
      <c r="G231">
        <v>120.23658051690001</v>
      </c>
      <c r="I231" s="9">
        <f t="shared" si="22"/>
        <v>590.84608880581004</v>
      </c>
      <c r="J231" s="9">
        <f t="shared" si="23"/>
        <v>3546.5941938013198</v>
      </c>
      <c r="K231" s="9">
        <f t="shared" si="24"/>
        <v>590.84608880581004</v>
      </c>
      <c r="L231" s="10">
        <f t="shared" si="21"/>
        <v>0.16659534655486702</v>
      </c>
      <c r="M231" s="10">
        <f t="shared" si="20"/>
        <v>0.17274466321200121</v>
      </c>
      <c r="P231" s="8">
        <f t="shared" si="25"/>
        <v>11.372904831782535</v>
      </c>
    </row>
    <row r="232" spans="1:16" x14ac:dyDescent="0.2">
      <c r="A232" s="8">
        <v>115</v>
      </c>
      <c r="B232" s="8">
        <v>230</v>
      </c>
      <c r="D232">
        <v>3649.7151394421999</v>
      </c>
      <c r="E232">
        <v>702.84860557769002</v>
      </c>
      <c r="F232">
        <v>142.96322067593999</v>
      </c>
      <c r="G232">
        <v>119.64512922465001</v>
      </c>
      <c r="I232" s="9">
        <f t="shared" si="22"/>
        <v>583.20347635304006</v>
      </c>
      <c r="J232" s="9">
        <f t="shared" si="23"/>
        <v>3506.7519187662597</v>
      </c>
      <c r="K232" s="9">
        <f t="shared" si="24"/>
        <v>583.20347635304006</v>
      </c>
      <c r="L232" s="10">
        <f t="shared" si="21"/>
        <v>0.16630873522362594</v>
      </c>
      <c r="M232" s="10">
        <f t="shared" si="20"/>
        <v>0.17248490479192666</v>
      </c>
      <c r="P232" s="8">
        <f t="shared" si="25"/>
        <v>11.205431931258172</v>
      </c>
    </row>
    <row r="233" spans="1:16" x14ac:dyDescent="0.2">
      <c r="A233" s="8">
        <v>115.5</v>
      </c>
      <c r="B233" s="8">
        <v>231</v>
      </c>
      <c r="D233">
        <v>3656.140438247</v>
      </c>
      <c r="E233">
        <v>699.13545816732994</v>
      </c>
      <c r="F233">
        <v>143.00596421470999</v>
      </c>
      <c r="G233">
        <v>119.52286282306</v>
      </c>
      <c r="I233" s="9">
        <f t="shared" si="22"/>
        <v>579.61259534426995</v>
      </c>
      <c r="J233" s="9">
        <f t="shared" si="23"/>
        <v>3513.1344740322902</v>
      </c>
      <c r="K233" s="9">
        <f t="shared" si="24"/>
        <v>579.61259534426995</v>
      </c>
      <c r="L233" s="10">
        <f t="shared" si="21"/>
        <v>0.16498446035258216</v>
      </c>
      <c r="M233" s="10">
        <f t="shared" si="20"/>
        <v>0.1711874828320494</v>
      </c>
      <c r="P233" s="8">
        <f t="shared" si="25"/>
        <v>10.368950793275118</v>
      </c>
    </row>
    <row r="234" spans="1:16" x14ac:dyDescent="0.2">
      <c r="A234" s="8">
        <v>116</v>
      </c>
      <c r="B234" s="8">
        <v>232</v>
      </c>
      <c r="D234">
        <v>3749.3117529881001</v>
      </c>
      <c r="E234">
        <v>720.69023904383005</v>
      </c>
      <c r="F234">
        <v>143.18290258448999</v>
      </c>
      <c r="G234">
        <v>119.67992047714</v>
      </c>
      <c r="I234" s="9">
        <f t="shared" si="22"/>
        <v>601.0103185666901</v>
      </c>
      <c r="J234" s="9">
        <f t="shared" si="23"/>
        <v>3606.1288504036102</v>
      </c>
      <c r="K234" s="9">
        <f t="shared" si="24"/>
        <v>601.0103185666901</v>
      </c>
      <c r="L234" s="10">
        <f t="shared" si="21"/>
        <v>0.1666635729057277</v>
      </c>
      <c r="M234" s="10">
        <f t="shared" si="20"/>
        <v>0.17289344829636147</v>
      </c>
      <c r="P234" s="8">
        <f t="shared" si="25"/>
        <v>11.468830383013643</v>
      </c>
    </row>
    <row r="235" spans="1:16" x14ac:dyDescent="0.2">
      <c r="A235" s="8">
        <v>116.5</v>
      </c>
      <c r="B235" s="8">
        <v>233</v>
      </c>
      <c r="D235">
        <v>3745.5089641434001</v>
      </c>
      <c r="E235">
        <v>721.32470119521997</v>
      </c>
      <c r="F235">
        <v>143.337972167</v>
      </c>
      <c r="G235">
        <v>119.65208747515</v>
      </c>
      <c r="I235" s="9">
        <f t="shared" si="22"/>
        <v>601.67261372006999</v>
      </c>
      <c r="J235" s="9">
        <f t="shared" si="23"/>
        <v>3602.1709919764003</v>
      </c>
      <c r="K235" s="9">
        <f t="shared" si="24"/>
        <v>601.67261372006999</v>
      </c>
      <c r="L235" s="10">
        <f t="shared" si="21"/>
        <v>0.16703055325809249</v>
      </c>
      <c r="M235" s="10">
        <f t="shared" si="20"/>
        <v>0.17328728155989279</v>
      </c>
      <c r="P235" s="8">
        <f t="shared" si="25"/>
        <v>11.722744766030116</v>
      </c>
    </row>
    <row r="236" spans="1:16" x14ac:dyDescent="0.2">
      <c r="A236" s="8">
        <v>117</v>
      </c>
      <c r="B236" s="8">
        <v>234</v>
      </c>
      <c r="D236">
        <v>3666.1812749003998</v>
      </c>
      <c r="E236">
        <v>708.63147410358999</v>
      </c>
      <c r="F236">
        <v>143.29224652088001</v>
      </c>
      <c r="G236">
        <v>120.21272365805</v>
      </c>
      <c r="I236" s="9">
        <f t="shared" si="22"/>
        <v>588.41875044554001</v>
      </c>
      <c r="J236" s="9">
        <f t="shared" si="23"/>
        <v>3522.8890283795199</v>
      </c>
      <c r="K236" s="9">
        <f t="shared" si="24"/>
        <v>588.41875044554001</v>
      </c>
      <c r="L236" s="10">
        <f t="shared" si="21"/>
        <v>0.16702733061001485</v>
      </c>
      <c r="M236" s="10">
        <f t="shared" si="20"/>
        <v>0.17331091182298167</v>
      </c>
      <c r="P236" s="8">
        <f t="shared" si="25"/>
        <v>11.737979801331425</v>
      </c>
    </row>
    <row r="237" spans="1:16" x14ac:dyDescent="0.2">
      <c r="A237" s="8">
        <v>117.5</v>
      </c>
      <c r="B237" s="8">
        <v>235</v>
      </c>
      <c r="D237">
        <v>3708.2669322708998</v>
      </c>
      <c r="E237">
        <v>713.59760956175001</v>
      </c>
      <c r="F237">
        <v>143.68986083498999</v>
      </c>
      <c r="G237">
        <v>119.5407554672</v>
      </c>
      <c r="I237" s="9">
        <f t="shared" si="22"/>
        <v>594.05685409454998</v>
      </c>
      <c r="J237" s="9">
        <f t="shared" si="23"/>
        <v>3564.5770714359096</v>
      </c>
      <c r="K237" s="9">
        <f t="shared" si="24"/>
        <v>594.05685409454998</v>
      </c>
      <c r="L237" s="10">
        <f t="shared" si="21"/>
        <v>0.16665563464875444</v>
      </c>
      <c r="M237" s="10">
        <f t="shared" si="20"/>
        <v>0.17296606877288778</v>
      </c>
      <c r="P237" s="8">
        <f t="shared" si="25"/>
        <v>11.515650662555812</v>
      </c>
    </row>
    <row r="238" spans="1:16" x14ac:dyDescent="0.2">
      <c r="A238" s="8">
        <v>118</v>
      </c>
      <c r="B238" s="8">
        <v>236</v>
      </c>
      <c r="D238">
        <v>3702.8635458167</v>
      </c>
      <c r="E238">
        <v>715.34561752987997</v>
      </c>
      <c r="F238">
        <v>143.22465208748</v>
      </c>
      <c r="G238">
        <v>119.53777335984</v>
      </c>
      <c r="I238" s="9">
        <f t="shared" si="22"/>
        <v>595.80784417003997</v>
      </c>
      <c r="J238" s="9">
        <f t="shared" si="23"/>
        <v>3559.6388937292199</v>
      </c>
      <c r="K238" s="9">
        <f t="shared" si="24"/>
        <v>595.80784417003997</v>
      </c>
      <c r="L238" s="10">
        <f t="shared" si="21"/>
        <v>0.16737873193251013</v>
      </c>
      <c r="M238" s="10">
        <f t="shared" si="20"/>
        <v>0.17371601896781</v>
      </c>
      <c r="P238" s="8">
        <f t="shared" si="25"/>
        <v>11.999162744113686</v>
      </c>
    </row>
    <row r="239" spans="1:16" x14ac:dyDescent="0.2">
      <c r="A239" s="8">
        <v>118.5</v>
      </c>
      <c r="B239" s="8">
        <v>237</v>
      </c>
      <c r="D239">
        <v>3662.808531746</v>
      </c>
      <c r="E239">
        <v>707.18948412698001</v>
      </c>
      <c r="F239">
        <v>143.26640159045999</v>
      </c>
      <c r="G239">
        <v>119.84791252485</v>
      </c>
      <c r="I239" s="9">
        <f t="shared" si="22"/>
        <v>587.34157160212999</v>
      </c>
      <c r="J239" s="9">
        <f t="shared" si="23"/>
        <v>3519.5421301555398</v>
      </c>
      <c r="K239" s="9">
        <f t="shared" si="24"/>
        <v>587.34157160212999</v>
      </c>
      <c r="L239" s="10">
        <f t="shared" si="21"/>
        <v>0.16688010823049118</v>
      </c>
      <c r="M239" s="10">
        <f t="shared" si="20"/>
        <v>0.17324424817695758</v>
      </c>
      <c r="P239" s="8">
        <f t="shared" si="25"/>
        <v>11.695000042846679</v>
      </c>
    </row>
    <row r="240" spans="1:16" x14ac:dyDescent="0.2">
      <c r="A240" s="8">
        <v>119</v>
      </c>
      <c r="B240" s="8">
        <v>238</v>
      </c>
      <c r="D240">
        <v>3655.1527777778001</v>
      </c>
      <c r="E240">
        <v>707.36210317459995</v>
      </c>
      <c r="F240">
        <v>143.34791252484999</v>
      </c>
      <c r="G240">
        <v>119.41451292247</v>
      </c>
      <c r="I240" s="9">
        <f t="shared" si="22"/>
        <v>587.94759025213</v>
      </c>
      <c r="J240" s="9">
        <f t="shared" si="23"/>
        <v>3511.8048652529501</v>
      </c>
      <c r="K240" s="9">
        <f t="shared" si="24"/>
        <v>587.94759025213</v>
      </c>
      <c r="L240" s="10">
        <f t="shared" si="21"/>
        <v>0.16742034731755548</v>
      </c>
      <c r="M240" s="10">
        <f t="shared" si="20"/>
        <v>0.1738113401751884</v>
      </c>
      <c r="P240" s="8">
        <f t="shared" si="25"/>
        <v>12.060618765737791</v>
      </c>
    </row>
    <row r="241" spans="1:16" x14ac:dyDescent="0.2">
      <c r="A241" s="8">
        <v>119.5</v>
      </c>
      <c r="B241" s="8">
        <v>239</v>
      </c>
      <c r="D241">
        <v>3642.6349206349</v>
      </c>
      <c r="E241">
        <v>706.40972222222001</v>
      </c>
      <c r="F241">
        <v>143.15705765408001</v>
      </c>
      <c r="G241">
        <v>120.17296222664</v>
      </c>
      <c r="I241" s="9">
        <f t="shared" si="22"/>
        <v>586.23675999557997</v>
      </c>
      <c r="J241" s="9">
        <f t="shared" si="23"/>
        <v>3499.4778629808202</v>
      </c>
      <c r="K241" s="9">
        <f t="shared" si="24"/>
        <v>586.23675999557997</v>
      </c>
      <c r="L241" s="10">
        <f t="shared" si="21"/>
        <v>0.16752120829140763</v>
      </c>
      <c r="M241" s="10">
        <f t="shared" si="20"/>
        <v>0.17393905406020707</v>
      </c>
      <c r="P241" s="8">
        <f t="shared" si="25"/>
        <v>12.142959175550772</v>
      </c>
    </row>
    <row r="242" spans="1:16" x14ac:dyDescent="0.2">
      <c r="A242" s="8">
        <v>120</v>
      </c>
      <c r="B242" s="8">
        <v>240</v>
      </c>
      <c r="D242">
        <v>3619.5287698412999</v>
      </c>
      <c r="E242">
        <v>695.99900793651</v>
      </c>
      <c r="F242">
        <v>143.80019880716</v>
      </c>
      <c r="G242">
        <v>119.94532803181001</v>
      </c>
      <c r="I242" s="9">
        <f>E242-G242</f>
        <v>576.05367990469995</v>
      </c>
      <c r="J242" s="9">
        <f>D242-F242</f>
        <v>3475.7285710341398</v>
      </c>
      <c r="K242" s="9">
        <f t="shared" si="24"/>
        <v>576.05367990469995</v>
      </c>
      <c r="L242" s="10">
        <f t="shared" si="21"/>
        <v>0.16573609478754714</v>
      </c>
      <c r="M242" s="10">
        <f>L242+ABS($N$2)*A242</f>
        <v>0.17218079346751311</v>
      </c>
      <c r="O242" s="11"/>
      <c r="P242" s="8">
        <f>(M242-$O$2)/$O$2*100</f>
        <v>11.009363578335392</v>
      </c>
    </row>
    <row r="243" spans="1:16" x14ac:dyDescent="0.2">
      <c r="A243" s="8">
        <v>120.5</v>
      </c>
      <c r="B243" s="8">
        <v>241</v>
      </c>
      <c r="D243">
        <v>3561.2301587301999</v>
      </c>
      <c r="E243">
        <v>681.97817460318004</v>
      </c>
      <c r="F243">
        <v>143.42942345924999</v>
      </c>
      <c r="G243">
        <v>119.25546719682001</v>
      </c>
      <c r="I243" s="9">
        <f t="shared" ref="I243:I274" si="26">E243-G243</f>
        <v>562.72270740636009</v>
      </c>
      <c r="J243" s="9">
        <f t="shared" ref="J243:J274" si="27">D243-F243</f>
        <v>3417.8007352709501</v>
      </c>
      <c r="K243" s="9">
        <f t="shared" si="24"/>
        <v>562.72270740636009</v>
      </c>
      <c r="L243" s="10">
        <f t="shared" si="21"/>
        <v>0.16464467972026156</v>
      </c>
      <c r="M243" s="10">
        <f t="shared" ref="M243:M274" si="28">L243+ABS($N$2)*A243</f>
        <v>0.17111623131139406</v>
      </c>
      <c r="P243" s="8">
        <f t="shared" ref="P243:P274" si="29">(M243-$O$2)/$O$2*100</f>
        <v>10.323013114613932</v>
      </c>
    </row>
    <row r="244" spans="1:16" x14ac:dyDescent="0.2">
      <c r="A244" s="8">
        <v>121</v>
      </c>
      <c r="B244" s="8">
        <v>242</v>
      </c>
      <c r="D244">
        <v>3567.2757936508001</v>
      </c>
      <c r="E244">
        <v>683.77678571428999</v>
      </c>
      <c r="F244">
        <v>143.49005964214999</v>
      </c>
      <c r="G244">
        <v>119.64612326044001</v>
      </c>
      <c r="I244" s="9">
        <f t="shared" si="26"/>
        <v>564.13066245384994</v>
      </c>
      <c r="J244" s="9">
        <f t="shared" si="27"/>
        <v>3423.7857340086503</v>
      </c>
      <c r="K244" s="9">
        <f t="shared" si="24"/>
        <v>564.13066245384994</v>
      </c>
      <c r="L244" s="10">
        <f t="shared" si="21"/>
        <v>0.16476809773763273</v>
      </c>
      <c r="M244" s="10">
        <f t="shared" si="28"/>
        <v>0.17126650223993176</v>
      </c>
      <c r="N244" s="1"/>
      <c r="P244" s="8">
        <f t="shared" si="29"/>
        <v>10.419896627608329</v>
      </c>
    </row>
    <row r="245" spans="1:16" x14ac:dyDescent="0.2">
      <c r="A245" s="8">
        <v>121.5</v>
      </c>
      <c r="B245" s="8">
        <v>243</v>
      </c>
      <c r="D245">
        <v>3615.7123015872999</v>
      </c>
      <c r="E245">
        <v>689.93948412698001</v>
      </c>
      <c r="F245">
        <v>143.00795228627999</v>
      </c>
      <c r="G245">
        <v>119.3787276342</v>
      </c>
      <c r="I245" s="9">
        <f t="shared" si="26"/>
        <v>570.56075649278</v>
      </c>
      <c r="J245" s="9">
        <f t="shared" si="27"/>
        <v>3472.7043493010196</v>
      </c>
      <c r="K245" s="9">
        <f t="shared" si="24"/>
        <v>570.56075649278</v>
      </c>
      <c r="L245" s="10">
        <f t="shared" si="21"/>
        <v>0.16429868457060606</v>
      </c>
      <c r="M245" s="10">
        <f t="shared" si="28"/>
        <v>0.17082394198407161</v>
      </c>
      <c r="P245" s="8">
        <f t="shared" si="29"/>
        <v>10.134566705735427</v>
      </c>
    </row>
    <row r="246" spans="1:16" x14ac:dyDescent="0.2">
      <c r="A246" s="8">
        <v>122</v>
      </c>
      <c r="B246" s="8">
        <v>244</v>
      </c>
      <c r="D246">
        <v>3697.7876984127001</v>
      </c>
      <c r="E246">
        <v>702.08333333332996</v>
      </c>
      <c r="F246">
        <v>143.43737574553001</v>
      </c>
      <c r="G246">
        <v>119.71669980119</v>
      </c>
      <c r="I246" s="9">
        <f t="shared" si="26"/>
        <v>582.36663353213999</v>
      </c>
      <c r="J246" s="9">
        <f t="shared" si="27"/>
        <v>3554.3503226671701</v>
      </c>
      <c r="K246" s="9">
        <f t="shared" si="24"/>
        <v>582.36663353213999</v>
      </c>
      <c r="L246" s="10">
        <f t="shared" si="21"/>
        <v>0.16384615489874796</v>
      </c>
      <c r="M246" s="10">
        <f t="shared" si="28"/>
        <v>0.17039826522338003</v>
      </c>
      <c r="P246" s="8">
        <f t="shared" si="29"/>
        <v>9.8601220052388197</v>
      </c>
    </row>
    <row r="247" spans="1:16" x14ac:dyDescent="0.2">
      <c r="A247" s="8">
        <v>122.5</v>
      </c>
      <c r="B247" s="8">
        <v>245</v>
      </c>
      <c r="D247">
        <v>3616.630952381</v>
      </c>
      <c r="E247">
        <v>688.90178571428999</v>
      </c>
      <c r="F247">
        <v>143.36182902585</v>
      </c>
      <c r="G247">
        <v>119.59343936382</v>
      </c>
      <c r="I247" s="9">
        <f t="shared" si="26"/>
        <v>569.30834635046995</v>
      </c>
      <c r="J247" s="9">
        <f t="shared" si="27"/>
        <v>3473.26912335515</v>
      </c>
      <c r="K247" s="9">
        <f t="shared" si="24"/>
        <v>569.30834635046995</v>
      </c>
      <c r="L247" s="10">
        <f t="shared" si="21"/>
        <v>0.16391138323324703</v>
      </c>
      <c r="M247" s="10">
        <f t="shared" si="28"/>
        <v>0.17049034646904562</v>
      </c>
      <c r="P247" s="8">
        <f t="shared" si="29"/>
        <v>9.9194891406374985</v>
      </c>
    </row>
    <row r="248" spans="1:16" x14ac:dyDescent="0.2">
      <c r="A248" s="8">
        <v>123</v>
      </c>
      <c r="B248" s="8">
        <v>246</v>
      </c>
      <c r="D248">
        <v>3531.9603174602998</v>
      </c>
      <c r="E248">
        <v>673.50694444444002</v>
      </c>
      <c r="F248">
        <v>143.01888667992</v>
      </c>
      <c r="G248">
        <v>119.76640159046001</v>
      </c>
      <c r="I248" s="9">
        <f t="shared" si="26"/>
        <v>553.74054285398006</v>
      </c>
      <c r="J248" s="9">
        <f t="shared" si="27"/>
        <v>3388.94143078038</v>
      </c>
      <c r="K248" s="9">
        <f t="shared" si="24"/>
        <v>553.74054285398006</v>
      </c>
      <c r="L248" s="10">
        <f t="shared" si="21"/>
        <v>0.163396315387625</v>
      </c>
      <c r="M248" s="10">
        <f t="shared" si="28"/>
        <v>0.17000213153459012</v>
      </c>
      <c r="P248" s="8">
        <f t="shared" si="29"/>
        <v>9.604724479191276</v>
      </c>
    </row>
    <row r="249" spans="1:16" x14ac:dyDescent="0.2">
      <c r="A249" s="8">
        <v>123.5</v>
      </c>
      <c r="B249" s="8">
        <v>247</v>
      </c>
      <c r="D249">
        <v>3547.7916666667002</v>
      </c>
      <c r="E249">
        <v>683.02480158729998</v>
      </c>
      <c r="F249">
        <v>143.19483101392001</v>
      </c>
      <c r="G249">
        <v>119.50198807157</v>
      </c>
      <c r="I249" s="9">
        <f t="shared" si="26"/>
        <v>563.52281351572992</v>
      </c>
      <c r="J249" s="9">
        <f t="shared" si="27"/>
        <v>3404.5968356527801</v>
      </c>
      <c r="K249" s="9">
        <f t="shared" si="24"/>
        <v>563.52281351572992</v>
      </c>
      <c r="L249" s="10">
        <f t="shared" si="21"/>
        <v>0.16551822160396354</v>
      </c>
      <c r="M249" s="10">
        <f t="shared" si="28"/>
        <v>0.17215089066209519</v>
      </c>
      <c r="P249" s="8">
        <f t="shared" si="29"/>
        <v>10.990084474482982</v>
      </c>
    </row>
    <row r="250" spans="1:16" x14ac:dyDescent="0.2">
      <c r="A250" s="8">
        <v>124</v>
      </c>
      <c r="B250" s="8">
        <v>248</v>
      </c>
      <c r="D250">
        <v>3586.818452381</v>
      </c>
      <c r="E250">
        <v>683.07837301587006</v>
      </c>
      <c r="F250">
        <v>143.05467196819001</v>
      </c>
      <c r="G250">
        <v>119.78727634195</v>
      </c>
      <c r="I250" s="9">
        <f t="shared" si="26"/>
        <v>563.29109667392004</v>
      </c>
      <c r="J250" s="9">
        <f t="shared" si="27"/>
        <v>3443.7637804128099</v>
      </c>
      <c r="K250" s="9">
        <f t="shared" si="24"/>
        <v>563.29109667392004</v>
      </c>
      <c r="L250" s="10">
        <f t="shared" si="21"/>
        <v>0.16356844795155995</v>
      </c>
      <c r="M250" s="10">
        <f t="shared" si="28"/>
        <v>0.17022796992085812</v>
      </c>
      <c r="P250" s="8">
        <f t="shared" si="29"/>
        <v>9.7503282659219881</v>
      </c>
    </row>
    <row r="251" spans="1:16" x14ac:dyDescent="0.2">
      <c r="A251" s="8">
        <v>124.5</v>
      </c>
      <c r="B251" s="8">
        <v>249</v>
      </c>
      <c r="D251">
        <v>3536.9047619048001</v>
      </c>
      <c r="E251">
        <v>677.20238095238005</v>
      </c>
      <c r="F251">
        <v>142.88966202783001</v>
      </c>
      <c r="G251">
        <v>119.40854870775</v>
      </c>
      <c r="I251" s="9">
        <f t="shared" si="26"/>
        <v>557.79383224463004</v>
      </c>
      <c r="J251" s="9">
        <f t="shared" si="27"/>
        <v>3394.01509987697</v>
      </c>
      <c r="K251" s="9">
        <f t="shared" si="24"/>
        <v>557.79383224463004</v>
      </c>
      <c r="L251" s="10">
        <f t="shared" si="21"/>
        <v>0.16434630248546908</v>
      </c>
      <c r="M251" s="10">
        <f t="shared" si="28"/>
        <v>0.17103267736593378</v>
      </c>
      <c r="P251" s="8">
        <f t="shared" si="29"/>
        <v>10.269143747867433</v>
      </c>
    </row>
    <row r="252" spans="1:16" x14ac:dyDescent="0.2">
      <c r="A252" s="8">
        <v>125</v>
      </c>
      <c r="B252" s="8">
        <v>250</v>
      </c>
      <c r="D252">
        <v>3474.5188492063999</v>
      </c>
      <c r="E252">
        <v>664.91369047619003</v>
      </c>
      <c r="F252">
        <v>142.76540755466999</v>
      </c>
      <c r="G252">
        <v>119.5</v>
      </c>
      <c r="I252" s="9">
        <f t="shared" si="26"/>
        <v>545.41369047619003</v>
      </c>
      <c r="J252" s="9">
        <f t="shared" si="27"/>
        <v>3331.7534416517301</v>
      </c>
      <c r="K252" s="9">
        <f t="shared" si="24"/>
        <v>545.41369047619003</v>
      </c>
      <c r="L252" s="10">
        <f t="shared" si="21"/>
        <v>0.16370169642739199</v>
      </c>
      <c r="M252" s="10">
        <f t="shared" si="28"/>
        <v>0.17041492421902321</v>
      </c>
      <c r="P252" s="8">
        <f t="shared" si="29"/>
        <v>9.8708624860262599</v>
      </c>
    </row>
    <row r="253" spans="1:16" x14ac:dyDescent="0.2">
      <c r="A253" s="8">
        <v>125.5</v>
      </c>
      <c r="B253" s="8">
        <v>251</v>
      </c>
      <c r="D253">
        <v>3445.2251984127001</v>
      </c>
      <c r="E253">
        <v>657.09920634921002</v>
      </c>
      <c r="F253">
        <v>142.34194831014</v>
      </c>
      <c r="G253">
        <v>119.84890656064</v>
      </c>
      <c r="I253" s="9">
        <f t="shared" si="26"/>
        <v>537.25029978857003</v>
      </c>
      <c r="J253" s="9">
        <f t="shared" si="27"/>
        <v>3302.8832501025599</v>
      </c>
      <c r="K253" s="9">
        <f t="shared" si="24"/>
        <v>537.25029978857003</v>
      </c>
      <c r="L253" s="10">
        <f t="shared" si="21"/>
        <v>0.16266100225367866</v>
      </c>
      <c r="M253" s="10">
        <f t="shared" si="28"/>
        <v>0.16940108295647641</v>
      </c>
      <c r="P253" s="8">
        <f t="shared" si="29"/>
        <v>9.2172130803159078</v>
      </c>
    </row>
    <row r="254" spans="1:16" x14ac:dyDescent="0.2">
      <c r="A254" s="8">
        <v>126</v>
      </c>
      <c r="B254" s="8">
        <v>252</v>
      </c>
      <c r="D254">
        <v>3389.6636904761999</v>
      </c>
      <c r="E254">
        <v>649.67261904761995</v>
      </c>
      <c r="F254">
        <v>142.81312127237001</v>
      </c>
      <c r="G254">
        <v>119.25944333996</v>
      </c>
      <c r="I254" s="9">
        <f t="shared" si="26"/>
        <v>530.41317570766</v>
      </c>
      <c r="J254" s="9">
        <f t="shared" si="27"/>
        <v>3246.8505692038298</v>
      </c>
      <c r="K254" s="9">
        <f t="shared" si="24"/>
        <v>530.41317570766</v>
      </c>
      <c r="L254" s="10">
        <f t="shared" si="21"/>
        <v>0.16336236127975678</v>
      </c>
      <c r="M254" s="10">
        <f t="shared" si="28"/>
        <v>0.17012929489372106</v>
      </c>
      <c r="P254" s="8">
        <f t="shared" si="29"/>
        <v>9.68670995087672</v>
      </c>
    </row>
    <row r="255" spans="1:16" x14ac:dyDescent="0.2">
      <c r="A255" s="8">
        <v>126.5</v>
      </c>
      <c r="B255" s="8">
        <v>253</v>
      </c>
      <c r="D255">
        <v>3336.0119047619</v>
      </c>
      <c r="E255">
        <v>633.63293650794003</v>
      </c>
      <c r="F255">
        <v>143.02982107355999</v>
      </c>
      <c r="G255">
        <v>119.46719681909001</v>
      </c>
      <c r="I255" s="9">
        <f t="shared" si="26"/>
        <v>514.16573968885007</v>
      </c>
      <c r="J255" s="9">
        <f t="shared" si="27"/>
        <v>3192.98208368834</v>
      </c>
      <c r="K255" s="9">
        <f t="shared" si="24"/>
        <v>514.16573968885007</v>
      </c>
      <c r="L255" s="10">
        <f t="shared" si="21"/>
        <v>0.16102994824666128</v>
      </c>
      <c r="M255" s="10">
        <f t="shared" si="28"/>
        <v>0.16782373477179208</v>
      </c>
      <c r="P255" s="8">
        <f t="shared" si="29"/>
        <v>8.2002563420122936</v>
      </c>
    </row>
    <row r="256" spans="1:16" x14ac:dyDescent="0.2">
      <c r="A256" s="8">
        <v>127</v>
      </c>
      <c r="B256" s="8">
        <v>254</v>
      </c>
      <c r="D256">
        <v>3317.6319444443998</v>
      </c>
      <c r="E256">
        <v>630.06746031746002</v>
      </c>
      <c r="F256">
        <v>143.58747514910999</v>
      </c>
      <c r="G256">
        <v>119.27435387673999</v>
      </c>
      <c r="I256" s="9">
        <f t="shared" si="26"/>
        <v>510.79310644072001</v>
      </c>
      <c r="J256" s="9">
        <f t="shared" si="27"/>
        <v>3174.0444692952897</v>
      </c>
      <c r="K256" s="9">
        <f t="shared" si="24"/>
        <v>510.79310644072001</v>
      </c>
      <c r="L256" s="10">
        <f t="shared" si="21"/>
        <v>0.16092815062358837</v>
      </c>
      <c r="M256" s="10">
        <f t="shared" si="28"/>
        <v>0.16774879005988569</v>
      </c>
      <c r="P256" s="8">
        <f t="shared" si="29"/>
        <v>8.151937568444442</v>
      </c>
    </row>
    <row r="257" spans="1:16" x14ac:dyDescent="0.2">
      <c r="A257" s="8">
        <v>127.5</v>
      </c>
      <c r="B257" s="8">
        <v>255</v>
      </c>
      <c r="D257">
        <v>3373.1765873016002</v>
      </c>
      <c r="E257">
        <v>640.39781746031997</v>
      </c>
      <c r="F257">
        <v>142.95029821073999</v>
      </c>
      <c r="G257">
        <v>119.24055666004</v>
      </c>
      <c r="I257" s="9">
        <f t="shared" si="26"/>
        <v>521.15726080028003</v>
      </c>
      <c r="J257" s="9">
        <f t="shared" si="27"/>
        <v>3230.2262890908601</v>
      </c>
      <c r="K257" s="9">
        <f t="shared" si="24"/>
        <v>521.15726080028003</v>
      </c>
      <c r="L257" s="10">
        <f t="shared" si="21"/>
        <v>0.16133769406816342</v>
      </c>
      <c r="M257" s="10">
        <f t="shared" si="28"/>
        <v>0.16818518641562727</v>
      </c>
      <c r="P257" s="8">
        <f t="shared" si="29"/>
        <v>8.4332934661794479</v>
      </c>
    </row>
    <row r="258" spans="1:16" x14ac:dyDescent="0.2">
      <c r="A258" s="8">
        <v>128</v>
      </c>
      <c r="B258" s="8">
        <v>256</v>
      </c>
      <c r="D258">
        <v>3322.7876984127001</v>
      </c>
      <c r="E258">
        <v>630.06845238095002</v>
      </c>
      <c r="F258">
        <v>142.65506958251001</v>
      </c>
      <c r="G258">
        <v>119.52783300199</v>
      </c>
      <c r="I258" s="9">
        <f t="shared" si="26"/>
        <v>510.54061937896</v>
      </c>
      <c r="J258" s="9">
        <f t="shared" si="27"/>
        <v>3180.1326288301902</v>
      </c>
      <c r="K258" s="9">
        <f t="shared" si="24"/>
        <v>510.54061937896</v>
      </c>
      <c r="L258" s="10">
        <f t="shared" ref="L258:L321" si="30">K258/J258</f>
        <v>0.16054066888611562</v>
      </c>
      <c r="M258" s="10">
        <f t="shared" si="28"/>
        <v>0.16741501414474599</v>
      </c>
      <c r="P258" s="8">
        <f t="shared" si="29"/>
        <v>7.9367436947768493</v>
      </c>
    </row>
    <row r="259" spans="1:16" x14ac:dyDescent="0.2">
      <c r="A259" s="8">
        <v>128.5</v>
      </c>
      <c r="B259" s="8">
        <v>257</v>
      </c>
      <c r="D259">
        <v>3306.380952381</v>
      </c>
      <c r="E259">
        <v>627.68849206349</v>
      </c>
      <c r="F259">
        <v>143.05765407555</v>
      </c>
      <c r="G259">
        <v>119.55268389662</v>
      </c>
      <c r="I259" s="9">
        <f t="shared" si="26"/>
        <v>508.13580816686999</v>
      </c>
      <c r="J259" s="9">
        <f t="shared" si="27"/>
        <v>3163.32329830545</v>
      </c>
      <c r="K259" s="9">
        <f t="shared" ref="K259:K322" si="31">I259*1</f>
        <v>508.13580816686999</v>
      </c>
      <c r="L259" s="10">
        <f t="shared" si="30"/>
        <v>0.16063353639480085</v>
      </c>
      <c r="M259" s="10">
        <f t="shared" si="28"/>
        <v>0.16753473456459775</v>
      </c>
      <c r="P259" s="8">
        <f t="shared" si="29"/>
        <v>8.0139305130475051</v>
      </c>
    </row>
    <row r="260" spans="1:16" x14ac:dyDescent="0.2">
      <c r="A260" s="8">
        <v>129</v>
      </c>
      <c r="B260" s="8">
        <v>258</v>
      </c>
      <c r="D260">
        <v>3335.5843253968001</v>
      </c>
      <c r="E260">
        <v>629.29464285714005</v>
      </c>
      <c r="F260">
        <v>143.04274353877</v>
      </c>
      <c r="G260">
        <v>119.30417495029999</v>
      </c>
      <c r="I260" s="9">
        <f t="shared" si="26"/>
        <v>509.99046790684008</v>
      </c>
      <c r="J260" s="9">
        <f t="shared" si="27"/>
        <v>3192.54158185803</v>
      </c>
      <c r="K260" s="9">
        <f t="shared" si="31"/>
        <v>509.99046790684008</v>
      </c>
      <c r="L260" s="10">
        <f t="shared" si="30"/>
        <v>0.15974434626158582</v>
      </c>
      <c r="M260" s="10">
        <f t="shared" si="28"/>
        <v>0.16667239734254924</v>
      </c>
      <c r="P260" s="8">
        <f t="shared" si="29"/>
        <v>7.4579596391673331</v>
      </c>
    </row>
    <row r="261" spans="1:16" x14ac:dyDescent="0.2">
      <c r="A261" s="8">
        <v>129.5</v>
      </c>
      <c r="B261" s="8">
        <v>259</v>
      </c>
      <c r="D261">
        <v>3339.6825396825002</v>
      </c>
      <c r="E261">
        <v>626.93849206349</v>
      </c>
      <c r="F261">
        <v>142.82107355865</v>
      </c>
      <c r="G261">
        <v>119.44930417495</v>
      </c>
      <c r="I261" s="9">
        <f t="shared" si="26"/>
        <v>507.48918788854002</v>
      </c>
      <c r="J261" s="9">
        <f t="shared" si="27"/>
        <v>3196.8614661238503</v>
      </c>
      <c r="K261" s="9">
        <f t="shared" si="31"/>
        <v>507.48918788854002</v>
      </c>
      <c r="L261" s="10">
        <f t="shared" si="30"/>
        <v>0.15874606806276895</v>
      </c>
      <c r="M261" s="10">
        <f t="shared" si="28"/>
        <v>0.16570097205489889</v>
      </c>
      <c r="P261" s="8">
        <f t="shared" si="29"/>
        <v>6.8316568978786369</v>
      </c>
    </row>
    <row r="262" spans="1:16" x14ac:dyDescent="0.2">
      <c r="A262" s="8">
        <v>130</v>
      </c>
      <c r="B262" s="8">
        <v>260</v>
      </c>
      <c r="D262">
        <v>3417.3412698412999</v>
      </c>
      <c r="E262">
        <v>638.78869047619003</v>
      </c>
      <c r="F262">
        <v>142.84791252484999</v>
      </c>
      <c r="G262">
        <v>119.51689860835</v>
      </c>
      <c r="I262" s="9">
        <f t="shared" si="26"/>
        <v>519.27179186783997</v>
      </c>
      <c r="J262" s="9">
        <f t="shared" si="27"/>
        <v>3274.4933573164499</v>
      </c>
      <c r="K262" s="9">
        <f t="shared" si="31"/>
        <v>519.27179186783997</v>
      </c>
      <c r="L262" s="10">
        <f t="shared" si="30"/>
        <v>0.15858080478544612</v>
      </c>
      <c r="M262" s="10">
        <f t="shared" si="28"/>
        <v>0.16556256168874259</v>
      </c>
      <c r="P262" s="8">
        <f t="shared" si="29"/>
        <v>6.7424201929580336</v>
      </c>
    </row>
    <row r="263" spans="1:16" x14ac:dyDescent="0.2">
      <c r="A263" s="8">
        <v>130.5</v>
      </c>
      <c r="B263" s="8">
        <v>261</v>
      </c>
      <c r="D263">
        <v>3686.7152777778001</v>
      </c>
      <c r="E263">
        <v>689.86507936507996</v>
      </c>
      <c r="F263">
        <v>143.34393638170999</v>
      </c>
      <c r="G263">
        <v>119.79423459245</v>
      </c>
      <c r="I263" s="9">
        <f t="shared" si="26"/>
        <v>570.07084477262993</v>
      </c>
      <c r="J263" s="9">
        <f t="shared" si="27"/>
        <v>3543.37134139609</v>
      </c>
      <c r="K263" s="9">
        <f t="shared" si="31"/>
        <v>570.07084477262993</v>
      </c>
      <c r="L263" s="10">
        <f t="shared" si="30"/>
        <v>0.16088374314954576</v>
      </c>
      <c r="M263" s="10">
        <f t="shared" si="28"/>
        <v>0.16789235296400876</v>
      </c>
      <c r="P263" s="8">
        <f t="shared" si="29"/>
        <v>8.2444962464433704</v>
      </c>
    </row>
    <row r="264" spans="1:16" x14ac:dyDescent="0.2">
      <c r="A264" s="8">
        <v>131</v>
      </c>
      <c r="B264" s="8">
        <v>262</v>
      </c>
      <c r="D264">
        <v>3614.1984126983998</v>
      </c>
      <c r="E264">
        <v>678.16567460318004</v>
      </c>
      <c r="F264">
        <v>142.01192842942001</v>
      </c>
      <c r="G264">
        <v>119.29622266401999</v>
      </c>
      <c r="I264" s="9">
        <f t="shared" si="26"/>
        <v>558.86945193916006</v>
      </c>
      <c r="J264" s="9">
        <f t="shared" si="27"/>
        <v>3472.1864842689797</v>
      </c>
      <c r="K264" s="9">
        <f t="shared" si="31"/>
        <v>558.86945193916006</v>
      </c>
      <c r="L264" s="10">
        <f t="shared" si="30"/>
        <v>0.16095605880362793</v>
      </c>
      <c r="M264" s="10">
        <f t="shared" si="28"/>
        <v>0.16799152152925745</v>
      </c>
      <c r="P264" s="8">
        <f t="shared" si="29"/>
        <v>8.3084327581386237</v>
      </c>
    </row>
    <row r="265" spans="1:16" x14ac:dyDescent="0.2">
      <c r="A265" s="8">
        <v>131.5</v>
      </c>
      <c r="B265" s="8">
        <v>263</v>
      </c>
      <c r="D265">
        <v>3556.9464285713998</v>
      </c>
      <c r="E265">
        <v>669.66567460318004</v>
      </c>
      <c r="F265">
        <v>143.26441351889</v>
      </c>
      <c r="G265">
        <v>119.45526838966001</v>
      </c>
      <c r="I265" s="9">
        <f t="shared" si="26"/>
        <v>550.21040621352006</v>
      </c>
      <c r="J265" s="9">
        <f t="shared" si="27"/>
        <v>3413.68201505251</v>
      </c>
      <c r="K265" s="9">
        <f t="shared" si="31"/>
        <v>550.21040621352006</v>
      </c>
      <c r="L265" s="10">
        <f t="shared" si="30"/>
        <v>0.16117799015473228</v>
      </c>
      <c r="M265" s="10">
        <f t="shared" si="28"/>
        <v>0.16824030579152832</v>
      </c>
      <c r="P265" s="8">
        <f t="shared" si="29"/>
        <v>8.4688303383031407</v>
      </c>
    </row>
    <row r="266" spans="1:16" x14ac:dyDescent="0.2">
      <c r="A266" s="8">
        <v>132</v>
      </c>
      <c r="B266" s="8">
        <v>264</v>
      </c>
      <c r="D266">
        <v>3481.2212301587001</v>
      </c>
      <c r="E266">
        <v>654.98313492064005</v>
      </c>
      <c r="F266">
        <v>142.50695825049999</v>
      </c>
      <c r="G266">
        <v>119.61729622266</v>
      </c>
      <c r="I266" s="9">
        <f t="shared" si="26"/>
        <v>535.36583869798005</v>
      </c>
      <c r="J266" s="9">
        <f t="shared" si="27"/>
        <v>3338.7142719082003</v>
      </c>
      <c r="K266" s="9">
        <f t="shared" si="31"/>
        <v>535.36583869798005</v>
      </c>
      <c r="L266" s="10">
        <f t="shared" si="30"/>
        <v>0.16035090010622516</v>
      </c>
      <c r="M266" s="10">
        <f t="shared" si="28"/>
        <v>0.16744006865418773</v>
      </c>
      <c r="P266" s="8">
        <f t="shared" si="29"/>
        <v>7.9528969781476748</v>
      </c>
    </row>
    <row r="267" spans="1:16" x14ac:dyDescent="0.2">
      <c r="A267" s="8">
        <v>132.5</v>
      </c>
      <c r="B267" s="8">
        <v>265</v>
      </c>
      <c r="D267">
        <v>3439.1567460318001</v>
      </c>
      <c r="E267">
        <v>649.63690476191005</v>
      </c>
      <c r="F267">
        <v>143.23658051690001</v>
      </c>
      <c r="G267">
        <v>119.29224652088</v>
      </c>
      <c r="I267" s="9">
        <f t="shared" si="26"/>
        <v>530.34465824103006</v>
      </c>
      <c r="J267" s="9">
        <f t="shared" si="27"/>
        <v>3295.9201655149</v>
      </c>
      <c r="K267" s="9">
        <f t="shared" si="31"/>
        <v>530.34465824103006</v>
      </c>
      <c r="L267" s="10">
        <f t="shared" si="30"/>
        <v>0.16090943700336194</v>
      </c>
      <c r="M267" s="10">
        <f t="shared" si="28"/>
        <v>0.16802545846249103</v>
      </c>
      <c r="P267" s="8">
        <f t="shared" si="29"/>
        <v>8.3303127674253261</v>
      </c>
    </row>
    <row r="268" spans="1:16" x14ac:dyDescent="0.2">
      <c r="A268" s="8">
        <v>133</v>
      </c>
      <c r="B268" s="8">
        <v>266</v>
      </c>
      <c r="D268">
        <v>3421.3511904761999</v>
      </c>
      <c r="E268">
        <v>641.93948412698001</v>
      </c>
      <c r="F268">
        <v>142.74950298210999</v>
      </c>
      <c r="G268">
        <v>119.58349900595999</v>
      </c>
      <c r="I268" s="9">
        <f t="shared" si="26"/>
        <v>522.35598512102001</v>
      </c>
      <c r="J268" s="9">
        <f t="shared" si="27"/>
        <v>3278.6016874940901</v>
      </c>
      <c r="K268" s="9">
        <f t="shared" si="31"/>
        <v>522.35598512102001</v>
      </c>
      <c r="L268" s="10">
        <f t="shared" si="30"/>
        <v>0.15932279517621689</v>
      </c>
      <c r="M268" s="10">
        <f t="shared" si="28"/>
        <v>0.16646566954651251</v>
      </c>
      <c r="P268" s="8">
        <f t="shared" si="29"/>
        <v>7.3246769389902138</v>
      </c>
    </row>
    <row r="269" spans="1:16" x14ac:dyDescent="0.2">
      <c r="A269" s="8">
        <v>133.5</v>
      </c>
      <c r="B269" s="8">
        <v>267</v>
      </c>
      <c r="D269">
        <v>3528.246031746</v>
      </c>
      <c r="E269">
        <v>663.75892857143003</v>
      </c>
      <c r="F269">
        <v>142.57554671968001</v>
      </c>
      <c r="G269">
        <v>119.57654075547001</v>
      </c>
      <c r="I269" s="9">
        <f t="shared" si="26"/>
        <v>544.18238781596006</v>
      </c>
      <c r="J269" s="9">
        <f t="shared" si="27"/>
        <v>3385.67048502632</v>
      </c>
      <c r="K269" s="9">
        <f t="shared" si="31"/>
        <v>544.18238781596006</v>
      </c>
      <c r="L269" s="10">
        <f t="shared" si="30"/>
        <v>0.16073105466781112</v>
      </c>
      <c r="M269" s="10">
        <f t="shared" si="28"/>
        <v>0.16790078194927327</v>
      </c>
      <c r="P269" s="8">
        <f t="shared" si="29"/>
        <v>8.2499306289373813</v>
      </c>
    </row>
    <row r="270" spans="1:16" x14ac:dyDescent="0.2">
      <c r="A270" s="8">
        <v>134</v>
      </c>
      <c r="B270" s="8">
        <v>268</v>
      </c>
      <c r="D270">
        <v>3626.1031746031999</v>
      </c>
      <c r="E270">
        <v>688.37400793651</v>
      </c>
      <c r="F270">
        <v>142.52882703776999</v>
      </c>
      <c r="G270">
        <v>119.61729622266</v>
      </c>
      <c r="I270" s="9">
        <f t="shared" si="26"/>
        <v>568.75671171385</v>
      </c>
      <c r="J270" s="9">
        <f t="shared" si="27"/>
        <v>3483.5743475654299</v>
      </c>
      <c r="K270" s="9">
        <f t="shared" si="31"/>
        <v>568.75671171385</v>
      </c>
      <c r="L270" s="10">
        <f t="shared" si="30"/>
        <v>0.16326814213433904</v>
      </c>
      <c r="M270" s="10">
        <f t="shared" si="28"/>
        <v>0.17046472232696772</v>
      </c>
      <c r="P270" s="8">
        <f t="shared" si="29"/>
        <v>9.902968600529487</v>
      </c>
    </row>
    <row r="271" spans="1:16" x14ac:dyDescent="0.2">
      <c r="A271" s="8">
        <v>134.5</v>
      </c>
      <c r="B271" s="8">
        <v>269</v>
      </c>
      <c r="D271">
        <v>3573.4642857142999</v>
      </c>
      <c r="E271">
        <v>680.72321428571001</v>
      </c>
      <c r="F271">
        <v>142.87773359841</v>
      </c>
      <c r="G271">
        <v>119.04274353877</v>
      </c>
      <c r="I271" s="9">
        <f t="shared" si="26"/>
        <v>561.68047074694005</v>
      </c>
      <c r="J271" s="9">
        <f t="shared" si="27"/>
        <v>3430.5865521158898</v>
      </c>
      <c r="K271" s="9">
        <f t="shared" si="31"/>
        <v>561.68047074694005</v>
      </c>
      <c r="L271" s="10">
        <f t="shared" si="30"/>
        <v>0.1637272408709558</v>
      </c>
      <c r="M271" s="10">
        <f t="shared" si="28"/>
        <v>0.170950673974751</v>
      </c>
      <c r="P271" s="8">
        <f t="shared" si="29"/>
        <v>10.216274063141634</v>
      </c>
    </row>
    <row r="272" spans="1:16" x14ac:dyDescent="0.2">
      <c r="A272" s="8">
        <v>135</v>
      </c>
      <c r="B272" s="8">
        <v>270</v>
      </c>
      <c r="D272">
        <v>3569.0773809523998</v>
      </c>
      <c r="E272">
        <v>679.55158730158996</v>
      </c>
      <c r="F272">
        <v>142.86481113319999</v>
      </c>
      <c r="G272">
        <v>119.08548707753999</v>
      </c>
      <c r="I272" s="9">
        <f t="shared" si="26"/>
        <v>560.46610022405002</v>
      </c>
      <c r="J272" s="9">
        <f t="shared" si="27"/>
        <v>3426.2125698191999</v>
      </c>
      <c r="K272" s="9">
        <f t="shared" si="31"/>
        <v>560.46610022405002</v>
      </c>
      <c r="L272" s="10">
        <f t="shared" si="30"/>
        <v>0.16358182360343906</v>
      </c>
      <c r="M272" s="10">
        <f t="shared" si="28"/>
        <v>0.17083210961840078</v>
      </c>
      <c r="P272" s="8">
        <f t="shared" si="29"/>
        <v>10.139832588593571</v>
      </c>
    </row>
    <row r="273" spans="1:16" x14ac:dyDescent="0.2">
      <c r="A273" s="8">
        <v>135.5</v>
      </c>
      <c r="B273" s="8">
        <v>271</v>
      </c>
      <c r="D273">
        <v>3539.2003968253998</v>
      </c>
      <c r="E273">
        <v>676.37202380951999</v>
      </c>
      <c r="F273">
        <v>142.94532803180999</v>
      </c>
      <c r="G273">
        <v>119.38469184890999</v>
      </c>
      <c r="I273" s="9">
        <f t="shared" si="26"/>
        <v>556.98733196060994</v>
      </c>
      <c r="J273" s="9">
        <f t="shared" si="27"/>
        <v>3396.25506879359</v>
      </c>
      <c r="K273" s="9">
        <f t="shared" si="31"/>
        <v>556.98733196060994</v>
      </c>
      <c r="L273" s="10">
        <f t="shared" si="30"/>
        <v>0.16400044186270782</v>
      </c>
      <c r="M273" s="10">
        <f t="shared" si="28"/>
        <v>0.17127758078883606</v>
      </c>
      <c r="P273" s="8">
        <f t="shared" si="29"/>
        <v>10.427039251582071</v>
      </c>
    </row>
    <row r="274" spans="1:16" x14ac:dyDescent="0.2">
      <c r="A274" s="8">
        <v>136</v>
      </c>
      <c r="B274" s="8">
        <v>272</v>
      </c>
      <c r="D274">
        <v>3531.6488095238001</v>
      </c>
      <c r="E274">
        <v>669.9375</v>
      </c>
      <c r="F274">
        <v>142.80616302186999</v>
      </c>
      <c r="G274">
        <v>119.28131212724</v>
      </c>
      <c r="I274" s="9">
        <f t="shared" si="26"/>
        <v>550.65618787276003</v>
      </c>
      <c r="J274" s="9">
        <f t="shared" si="27"/>
        <v>3388.8426465019302</v>
      </c>
      <c r="K274" s="9">
        <f t="shared" si="31"/>
        <v>550.65618787276003</v>
      </c>
      <c r="L274" s="10">
        <f t="shared" si="30"/>
        <v>0.1624909284121423</v>
      </c>
      <c r="M274" s="10">
        <f t="shared" si="28"/>
        <v>0.16979492024943707</v>
      </c>
      <c r="P274" s="8">
        <f t="shared" si="29"/>
        <v>9.4711300612085907</v>
      </c>
    </row>
    <row r="275" spans="1:16" x14ac:dyDescent="0.2">
      <c r="A275" s="8">
        <v>136.5</v>
      </c>
      <c r="B275" s="8">
        <v>273</v>
      </c>
      <c r="D275">
        <v>3519.8333333332998</v>
      </c>
      <c r="E275">
        <v>668.16269841270002</v>
      </c>
      <c r="F275">
        <v>142.22465208748</v>
      </c>
      <c r="G275">
        <v>118.82902584493</v>
      </c>
      <c r="I275" s="9">
        <f>E275-G275</f>
        <v>549.33367256777001</v>
      </c>
      <c r="J275" s="9">
        <f>D275-F275</f>
        <v>3377.6086812458198</v>
      </c>
      <c r="K275" s="9">
        <f t="shared" si="31"/>
        <v>549.33367256777001</v>
      </c>
      <c r="L275" s="10">
        <f t="shared" si="30"/>
        <v>0.16263982136768732</v>
      </c>
      <c r="M275" s="10">
        <f>L275+ABS($N$2)*A275</f>
        <v>0.16997066611614861</v>
      </c>
      <c r="O275" s="11"/>
      <c r="P275" s="8">
        <f>(M275-$O$2)/$O$2*100</f>
        <v>9.5844379187359863</v>
      </c>
    </row>
    <row r="276" spans="1:16" x14ac:dyDescent="0.2">
      <c r="A276" s="8">
        <v>137</v>
      </c>
      <c r="B276" s="8">
        <v>274</v>
      </c>
      <c r="D276">
        <v>3506.5416666667002</v>
      </c>
      <c r="E276">
        <v>664.81448412698001</v>
      </c>
      <c r="F276">
        <v>142.88270377734</v>
      </c>
      <c r="G276">
        <v>118.89463220675999</v>
      </c>
      <c r="I276" s="9">
        <f t="shared" ref="I276:I291" si="32">E276-G276</f>
        <v>545.91985192022003</v>
      </c>
      <c r="J276" s="9">
        <f t="shared" ref="J276:J291" si="33">D276-F276</f>
        <v>3363.6589628893603</v>
      </c>
      <c r="K276" s="9">
        <f t="shared" si="31"/>
        <v>545.91985192022003</v>
      </c>
      <c r="L276" s="10">
        <f t="shared" si="30"/>
        <v>0.16229940607631593</v>
      </c>
      <c r="M276" s="10">
        <f t="shared" ref="M276:M291" si="34">L276+ABS($N$2)*A276</f>
        <v>0.16965710373594375</v>
      </c>
      <c r="P276" s="8">
        <f t="shared" ref="P276:P291" si="35">(M276-$O$2)/$O$2*100</f>
        <v>9.3822762282962415</v>
      </c>
    </row>
    <row r="277" spans="1:16" x14ac:dyDescent="0.2">
      <c r="A277" s="8">
        <v>137.5</v>
      </c>
      <c r="B277" s="8">
        <v>275</v>
      </c>
      <c r="D277">
        <v>3506.7063492063999</v>
      </c>
      <c r="E277">
        <v>663.86607142856997</v>
      </c>
      <c r="F277">
        <v>142.81013916501001</v>
      </c>
      <c r="G277">
        <v>119.3111332008</v>
      </c>
      <c r="I277" s="9">
        <f t="shared" si="32"/>
        <v>544.55493822776998</v>
      </c>
      <c r="J277" s="9">
        <f t="shared" si="33"/>
        <v>3363.8962100413901</v>
      </c>
      <c r="K277" s="9">
        <f t="shared" si="31"/>
        <v>544.55493822776998</v>
      </c>
      <c r="L277" s="10">
        <f t="shared" si="30"/>
        <v>0.16188220570011869</v>
      </c>
      <c r="M277" s="10">
        <f t="shared" si="34"/>
        <v>0.16926675627091303</v>
      </c>
      <c r="N277" s="1"/>
      <c r="P277" s="8">
        <f t="shared" si="35"/>
        <v>9.1306092287731353</v>
      </c>
    </row>
    <row r="278" spans="1:16" x14ac:dyDescent="0.2">
      <c r="A278" s="8">
        <v>138</v>
      </c>
      <c r="B278" s="8">
        <v>276</v>
      </c>
      <c r="D278">
        <v>3585.5724206349</v>
      </c>
      <c r="E278">
        <v>669.18948412698001</v>
      </c>
      <c r="F278">
        <v>142.87773359841</v>
      </c>
      <c r="G278">
        <v>118.71868787276</v>
      </c>
      <c r="I278" s="9">
        <f t="shared" si="32"/>
        <v>550.47079625421998</v>
      </c>
      <c r="J278" s="9">
        <f t="shared" si="33"/>
        <v>3442.69468703649</v>
      </c>
      <c r="K278" s="9">
        <f t="shared" si="31"/>
        <v>550.47079625421998</v>
      </c>
      <c r="L278" s="10">
        <f t="shared" si="30"/>
        <v>0.15989532801936363</v>
      </c>
      <c r="M278" s="10">
        <f t="shared" si="34"/>
        <v>0.1673067315013245</v>
      </c>
      <c r="P278" s="8">
        <f t="shared" si="35"/>
        <v>7.8669311036583842</v>
      </c>
    </row>
    <row r="279" spans="1:16" x14ac:dyDescent="0.2">
      <c r="A279" s="8">
        <v>138.5</v>
      </c>
      <c r="B279" s="8">
        <v>277</v>
      </c>
      <c r="D279">
        <v>3424.9871031746002</v>
      </c>
      <c r="E279">
        <v>628.40376984126999</v>
      </c>
      <c r="F279">
        <v>142.04473161033999</v>
      </c>
      <c r="G279">
        <v>119.0675944334</v>
      </c>
      <c r="I279" s="9">
        <f t="shared" si="32"/>
        <v>509.33617540786997</v>
      </c>
      <c r="J279" s="9">
        <f t="shared" si="33"/>
        <v>3282.9423715642602</v>
      </c>
      <c r="K279" s="9">
        <f t="shared" si="31"/>
        <v>509.33617540786997</v>
      </c>
      <c r="L279" s="10">
        <f t="shared" si="30"/>
        <v>0.15514624314443293</v>
      </c>
      <c r="M279" s="10">
        <f t="shared" si="34"/>
        <v>0.16258449953756032</v>
      </c>
      <c r="P279" s="8">
        <f t="shared" si="35"/>
        <v>4.8223873168065623</v>
      </c>
    </row>
    <row r="280" spans="1:16" x14ac:dyDescent="0.2">
      <c r="A280" s="8">
        <v>139</v>
      </c>
      <c r="B280" s="8">
        <v>278</v>
      </c>
      <c r="D280">
        <v>3729.1954137586999</v>
      </c>
      <c r="E280">
        <v>688.81754735793004</v>
      </c>
      <c r="F280">
        <v>141.93638170974</v>
      </c>
      <c r="G280">
        <v>119.26838966203</v>
      </c>
      <c r="I280" s="9">
        <f t="shared" si="32"/>
        <v>569.54915769590002</v>
      </c>
      <c r="J280" s="9">
        <f t="shared" si="33"/>
        <v>3587.2590320489599</v>
      </c>
      <c r="K280" s="9">
        <f t="shared" si="31"/>
        <v>569.54915769590002</v>
      </c>
      <c r="L280" s="10">
        <f t="shared" si="30"/>
        <v>0.15877001147881609</v>
      </c>
      <c r="M280" s="10">
        <f t="shared" si="34"/>
        <v>0.16623512078311001</v>
      </c>
      <c r="P280" s="8">
        <f t="shared" si="35"/>
        <v>7.1760362515844323</v>
      </c>
    </row>
    <row r="281" spans="1:16" x14ac:dyDescent="0.2">
      <c r="A281" s="8">
        <v>139.5</v>
      </c>
      <c r="B281" s="8">
        <v>279</v>
      </c>
      <c r="D281">
        <v>3845.4167497508001</v>
      </c>
      <c r="E281">
        <v>710.01395812561998</v>
      </c>
      <c r="F281">
        <v>142.76540755466999</v>
      </c>
      <c r="G281">
        <v>119.05367793241</v>
      </c>
      <c r="I281" s="9">
        <f t="shared" si="32"/>
        <v>590.96028019321</v>
      </c>
      <c r="J281" s="9">
        <f t="shared" si="33"/>
        <v>3702.6513421961299</v>
      </c>
      <c r="K281" s="9">
        <f t="shared" si="31"/>
        <v>590.96028019321</v>
      </c>
      <c r="L281" s="10">
        <f t="shared" si="30"/>
        <v>0.15960462532848083</v>
      </c>
      <c r="M281" s="10">
        <f t="shared" si="34"/>
        <v>0.16709658754394127</v>
      </c>
      <c r="P281" s="8">
        <f t="shared" si="35"/>
        <v>7.7314459168431311</v>
      </c>
    </row>
    <row r="282" spans="1:16" x14ac:dyDescent="0.2">
      <c r="A282" s="8">
        <v>140</v>
      </c>
      <c r="B282" s="8">
        <v>280</v>
      </c>
      <c r="D282">
        <v>3736.2821535394</v>
      </c>
      <c r="E282">
        <v>696.73180458623995</v>
      </c>
      <c r="F282">
        <v>141.97117296223001</v>
      </c>
      <c r="G282">
        <v>119.06163021869</v>
      </c>
      <c r="I282" s="9">
        <f t="shared" si="32"/>
        <v>577.67017436754998</v>
      </c>
      <c r="J282" s="9">
        <f t="shared" si="33"/>
        <v>3594.3109805771701</v>
      </c>
      <c r="K282" s="9">
        <f t="shared" si="31"/>
        <v>577.67017436754998</v>
      </c>
      <c r="L282" s="10">
        <f t="shared" si="30"/>
        <v>0.16071791714438366</v>
      </c>
      <c r="M282" s="10">
        <f t="shared" si="34"/>
        <v>0.16823673227101063</v>
      </c>
      <c r="P282" s="8">
        <f t="shared" si="35"/>
        <v>8.4665263981805872</v>
      </c>
    </row>
    <row r="283" spans="1:16" x14ac:dyDescent="0.2">
      <c r="A283" s="8">
        <v>140.5</v>
      </c>
      <c r="B283" s="8">
        <v>281</v>
      </c>
      <c r="D283">
        <v>3668.0338983051001</v>
      </c>
      <c r="E283">
        <v>688.18344965104995</v>
      </c>
      <c r="F283">
        <v>142.10636182902999</v>
      </c>
      <c r="G283">
        <v>119.11431411530999</v>
      </c>
      <c r="I283" s="9">
        <f t="shared" si="32"/>
        <v>569.06913553573997</v>
      </c>
      <c r="J283" s="9">
        <f t="shared" si="33"/>
        <v>3525.9275364760701</v>
      </c>
      <c r="K283" s="9">
        <f t="shared" si="31"/>
        <v>569.06913553573997</v>
      </c>
      <c r="L283" s="10">
        <f t="shared" si="30"/>
        <v>0.16139558446640304</v>
      </c>
      <c r="M283" s="10">
        <f t="shared" si="34"/>
        <v>0.16894125250419653</v>
      </c>
      <c r="P283" s="8">
        <f t="shared" si="35"/>
        <v>8.9207486208745674</v>
      </c>
    </row>
    <row r="284" spans="1:16" x14ac:dyDescent="0.2">
      <c r="A284" s="8">
        <v>141</v>
      </c>
      <c r="B284" s="8">
        <v>282</v>
      </c>
      <c r="D284">
        <v>3478.6011964108002</v>
      </c>
      <c r="E284">
        <v>655.10069790627995</v>
      </c>
      <c r="F284">
        <v>142.48409542744</v>
      </c>
      <c r="G284">
        <v>118.87773359841</v>
      </c>
      <c r="I284" s="9">
        <f t="shared" si="32"/>
        <v>536.22296430786992</v>
      </c>
      <c r="J284" s="9">
        <f t="shared" si="33"/>
        <v>3336.1171009833602</v>
      </c>
      <c r="K284" s="9">
        <f t="shared" si="31"/>
        <v>536.22296430786992</v>
      </c>
      <c r="L284" s="10">
        <f t="shared" si="30"/>
        <v>0.16073265658145267</v>
      </c>
      <c r="M284" s="10">
        <f t="shared" si="34"/>
        <v>0.16830517753041269</v>
      </c>
      <c r="P284" s="8">
        <f t="shared" si="35"/>
        <v>8.5106548084007994</v>
      </c>
    </row>
    <row r="285" spans="1:16" x14ac:dyDescent="0.2">
      <c r="A285" s="8">
        <v>141.5</v>
      </c>
      <c r="B285" s="8">
        <v>283</v>
      </c>
      <c r="D285">
        <v>3275.1206380857002</v>
      </c>
      <c r="E285">
        <v>623.37487537387995</v>
      </c>
      <c r="F285">
        <v>142.8578528827</v>
      </c>
      <c r="G285">
        <v>119.42842942346</v>
      </c>
      <c r="I285" s="9">
        <f t="shared" si="32"/>
        <v>503.94644595041996</v>
      </c>
      <c r="J285" s="9">
        <f t="shared" si="33"/>
        <v>3132.262785203</v>
      </c>
      <c r="K285" s="9">
        <f t="shared" si="31"/>
        <v>503.94644595041996</v>
      </c>
      <c r="L285" s="10">
        <f t="shared" si="30"/>
        <v>0.16088894211912666</v>
      </c>
      <c r="M285" s="10">
        <f t="shared" si="34"/>
        <v>0.16848831597925321</v>
      </c>
      <c r="P285" s="8">
        <f t="shared" si="35"/>
        <v>8.6287288527996324</v>
      </c>
    </row>
    <row r="286" spans="1:16" x14ac:dyDescent="0.2">
      <c r="A286" s="8">
        <v>142</v>
      </c>
      <c r="B286" s="8">
        <v>284</v>
      </c>
      <c r="D286">
        <v>3311.9840478564001</v>
      </c>
      <c r="E286">
        <v>626.44167497507999</v>
      </c>
      <c r="F286">
        <v>142.48608349900999</v>
      </c>
      <c r="G286">
        <v>119.26540755467001</v>
      </c>
      <c r="I286" s="9">
        <f t="shared" si="32"/>
        <v>507.17626742041</v>
      </c>
      <c r="J286" s="9">
        <f t="shared" si="33"/>
        <v>3169.4979643573902</v>
      </c>
      <c r="K286" s="9">
        <f t="shared" si="31"/>
        <v>507.17626742041</v>
      </c>
      <c r="L286" s="10">
        <f t="shared" si="30"/>
        <v>0.16001785554805967</v>
      </c>
      <c r="M286" s="10">
        <f t="shared" si="34"/>
        <v>0.16764408231935274</v>
      </c>
      <c r="P286" s="8">
        <f t="shared" si="35"/>
        <v>8.0844298086983972</v>
      </c>
    </row>
    <row r="287" spans="1:16" x14ac:dyDescent="0.2">
      <c r="A287" s="8">
        <v>142.5</v>
      </c>
      <c r="B287" s="8">
        <v>285</v>
      </c>
      <c r="D287">
        <v>3409.8985074626999</v>
      </c>
      <c r="E287">
        <v>649.47860696517</v>
      </c>
      <c r="F287">
        <v>141.92445328031999</v>
      </c>
      <c r="G287">
        <v>118.97813121272</v>
      </c>
      <c r="I287" s="9">
        <f t="shared" si="32"/>
        <v>530.50047575245003</v>
      </c>
      <c r="J287" s="9">
        <f t="shared" si="33"/>
        <v>3267.9740541823799</v>
      </c>
      <c r="K287" s="9">
        <f t="shared" si="31"/>
        <v>530.50047575245003</v>
      </c>
      <c r="L287" s="10">
        <f t="shared" si="30"/>
        <v>0.16233313574613947</v>
      </c>
      <c r="M287" s="10">
        <f t="shared" si="34"/>
        <v>0.16998621542859907</v>
      </c>
      <c r="P287" s="8">
        <f t="shared" si="35"/>
        <v>9.5944629583727785</v>
      </c>
    </row>
    <row r="288" spans="1:16" x14ac:dyDescent="0.2">
      <c r="A288" s="8">
        <v>143</v>
      </c>
      <c r="B288" s="8">
        <v>286</v>
      </c>
      <c r="D288">
        <v>3487.4079601990002</v>
      </c>
      <c r="E288">
        <v>665.97213930348005</v>
      </c>
      <c r="F288">
        <v>142.55666003976</v>
      </c>
      <c r="G288">
        <v>119.25347912525</v>
      </c>
      <c r="I288" s="9">
        <f t="shared" si="32"/>
        <v>546.71866017823004</v>
      </c>
      <c r="J288" s="9">
        <f t="shared" si="33"/>
        <v>3344.8513001592401</v>
      </c>
      <c r="K288" s="9">
        <f t="shared" si="31"/>
        <v>546.71866017823004</v>
      </c>
      <c r="L288" s="10">
        <f t="shared" si="30"/>
        <v>0.16345081174526416</v>
      </c>
      <c r="M288" s="10">
        <f t="shared" si="34"/>
        <v>0.17113074433889028</v>
      </c>
      <c r="P288" s="8">
        <f t="shared" si="35"/>
        <v>10.332370034822658</v>
      </c>
    </row>
    <row r="289" spans="1:16" x14ac:dyDescent="0.2">
      <c r="A289" s="8">
        <v>143.5</v>
      </c>
      <c r="B289" s="8">
        <v>287</v>
      </c>
      <c r="D289">
        <v>3382.6746268656998</v>
      </c>
      <c r="E289">
        <v>673.30646766169002</v>
      </c>
      <c r="F289">
        <v>142.03777335984</v>
      </c>
      <c r="G289">
        <v>118.75149105368</v>
      </c>
      <c r="I289" s="9">
        <f t="shared" si="32"/>
        <v>554.55497660801007</v>
      </c>
      <c r="J289" s="9">
        <f t="shared" si="33"/>
        <v>3240.63685350586</v>
      </c>
      <c r="K289" s="9">
        <f t="shared" si="31"/>
        <v>554.55497660801007</v>
      </c>
      <c r="L289" s="10">
        <f t="shared" si="30"/>
        <v>0.17112530705440465</v>
      </c>
      <c r="M289" s="10">
        <f t="shared" si="34"/>
        <v>0.1788320925591973</v>
      </c>
      <c r="P289" s="8">
        <f t="shared" si="35"/>
        <v>15.297626306526006</v>
      </c>
    </row>
    <row r="290" spans="1:16" x14ac:dyDescent="0.2">
      <c r="A290" s="8">
        <v>144</v>
      </c>
      <c r="B290" s="8">
        <v>288</v>
      </c>
      <c r="D290">
        <v>3380.5671641791</v>
      </c>
      <c r="E290">
        <v>671.94527363184</v>
      </c>
      <c r="F290">
        <v>142.337972167</v>
      </c>
      <c r="G290">
        <v>118.96322067593999</v>
      </c>
      <c r="I290" s="9">
        <f t="shared" si="32"/>
        <v>552.98205295590003</v>
      </c>
      <c r="J290" s="9">
        <f t="shared" si="33"/>
        <v>3238.2291920121002</v>
      </c>
      <c r="K290" s="9">
        <f t="shared" si="31"/>
        <v>552.98205295590003</v>
      </c>
      <c r="L290" s="10">
        <f t="shared" si="30"/>
        <v>0.17076680499328711</v>
      </c>
      <c r="M290" s="10">
        <f t="shared" si="34"/>
        <v>0.17850044340924628</v>
      </c>
      <c r="P290" s="8">
        <f t="shared" si="35"/>
        <v>15.083803612798526</v>
      </c>
    </row>
    <row r="291" spans="1:16" x14ac:dyDescent="0.2">
      <c r="A291" s="8">
        <v>144.5</v>
      </c>
      <c r="B291" s="8">
        <v>289</v>
      </c>
      <c r="D291">
        <v>3410.6935323383</v>
      </c>
      <c r="E291">
        <v>668.32835820896003</v>
      </c>
      <c r="F291">
        <v>142.82703777335999</v>
      </c>
      <c r="G291">
        <v>119.02087475149</v>
      </c>
      <c r="I291" s="9">
        <f t="shared" si="32"/>
        <v>549.30748345746997</v>
      </c>
      <c r="J291" s="9">
        <f t="shared" si="33"/>
        <v>3267.8664945649398</v>
      </c>
      <c r="K291" s="9">
        <f t="shared" si="31"/>
        <v>549.30748345746997</v>
      </c>
      <c r="L291" s="10">
        <f t="shared" si="30"/>
        <v>0.16809361226080347</v>
      </c>
      <c r="M291" s="10">
        <f t="shared" si="34"/>
        <v>0.17585410358792916</v>
      </c>
      <c r="P291" s="8">
        <f t="shared" si="35"/>
        <v>13.377640611337812</v>
      </c>
    </row>
    <row r="292" spans="1:16" x14ac:dyDescent="0.2">
      <c r="A292" s="8">
        <v>145</v>
      </c>
      <c r="B292" s="8">
        <v>290</v>
      </c>
      <c r="D292">
        <v>3443.9283582090002</v>
      </c>
      <c r="E292">
        <v>677.06766169154002</v>
      </c>
      <c r="F292">
        <v>142.62226640159</v>
      </c>
      <c r="G292">
        <v>119.15109343936</v>
      </c>
      <c r="I292" s="9">
        <f>E292-G292</f>
        <v>557.91656825218001</v>
      </c>
      <c r="J292" s="9">
        <f>D292-F292</f>
        <v>3301.3060918074102</v>
      </c>
      <c r="K292" s="9">
        <f t="shared" si="31"/>
        <v>557.91656825218001</v>
      </c>
      <c r="L292" s="10">
        <f t="shared" si="30"/>
        <v>0.16899873951001312</v>
      </c>
      <c r="M292" s="10">
        <f>L292+ABS($N$2)*A292</f>
        <v>0.17678608374830534</v>
      </c>
      <c r="O292" s="11"/>
      <c r="P292" s="8">
        <f>(M292-$O$2)/$O$2*100</f>
        <v>13.978512069689616</v>
      </c>
    </row>
    <row r="293" spans="1:16" x14ac:dyDescent="0.2">
      <c r="A293" s="8">
        <v>145.5</v>
      </c>
      <c r="B293" s="8">
        <v>291</v>
      </c>
      <c r="D293">
        <v>3465.2597014925</v>
      </c>
      <c r="E293">
        <v>685.30447761194</v>
      </c>
      <c r="F293">
        <v>142.22365805168999</v>
      </c>
      <c r="G293">
        <v>119.43638170974</v>
      </c>
      <c r="I293" s="9">
        <f t="shared" ref="I293:I301" si="36">E293-G293</f>
        <v>565.86809590220003</v>
      </c>
      <c r="J293" s="9">
        <f t="shared" ref="J293:J301" si="37">D293-F293</f>
        <v>3323.0360434408099</v>
      </c>
      <c r="K293" s="9">
        <f t="shared" si="31"/>
        <v>565.86809590220003</v>
      </c>
      <c r="L293" s="10">
        <f t="shared" si="30"/>
        <v>0.17028647553165768</v>
      </c>
      <c r="M293" s="10">
        <f t="shared" ref="M293:M301" si="38">L293+ABS($N$2)*A293</f>
        <v>0.17810067268111643</v>
      </c>
      <c r="P293" s="8">
        <f t="shared" ref="P293:P301" si="39">(M293-$O$2)/$O$2*100</f>
        <v>14.826061194418303</v>
      </c>
    </row>
    <row r="294" spans="1:16" x14ac:dyDescent="0.2">
      <c r="A294" s="8">
        <v>146</v>
      </c>
      <c r="B294" s="8">
        <v>292</v>
      </c>
      <c r="D294">
        <v>3572.0348258706999</v>
      </c>
      <c r="E294">
        <v>698.01691542288995</v>
      </c>
      <c r="F294">
        <v>142.39165009940001</v>
      </c>
      <c r="G294">
        <v>118.97216699801</v>
      </c>
      <c r="I294" s="9">
        <f t="shared" si="36"/>
        <v>579.04474842487991</v>
      </c>
      <c r="J294" s="9">
        <f t="shared" si="37"/>
        <v>3429.6431757712999</v>
      </c>
      <c r="K294" s="9">
        <f t="shared" si="31"/>
        <v>579.04474842487991</v>
      </c>
      <c r="L294" s="10">
        <f t="shared" si="30"/>
        <v>0.16883527491009537</v>
      </c>
      <c r="M294" s="10">
        <f t="shared" si="38"/>
        <v>0.17667632497072064</v>
      </c>
      <c r="N294" s="1"/>
      <c r="P294" s="8">
        <f t="shared" si="39"/>
        <v>13.907747777102514</v>
      </c>
    </row>
    <row r="295" spans="1:16" x14ac:dyDescent="0.2">
      <c r="A295" s="8">
        <v>146.5</v>
      </c>
      <c r="B295" s="8">
        <v>293</v>
      </c>
      <c r="D295">
        <v>3543.0298507462999</v>
      </c>
      <c r="E295">
        <v>703.74029850746001</v>
      </c>
      <c r="F295">
        <v>142.3787276342</v>
      </c>
      <c r="G295">
        <v>118.99403578529</v>
      </c>
      <c r="I295" s="9">
        <f t="shared" si="36"/>
        <v>584.74626272217006</v>
      </c>
      <c r="J295" s="9">
        <f t="shared" si="37"/>
        <v>3400.6511231120999</v>
      </c>
      <c r="K295" s="9">
        <f t="shared" si="31"/>
        <v>584.74626272217006</v>
      </c>
      <c r="L295" s="10">
        <f t="shared" si="30"/>
        <v>0.17195126508215303</v>
      </c>
      <c r="M295" s="10">
        <f t="shared" si="38"/>
        <v>0.17981916805394482</v>
      </c>
      <c r="P295" s="8">
        <f t="shared" si="39"/>
        <v>15.934019136812081</v>
      </c>
    </row>
    <row r="296" spans="1:16" x14ac:dyDescent="0.2">
      <c r="A296" s="8">
        <v>147</v>
      </c>
      <c r="B296" s="8">
        <v>294</v>
      </c>
      <c r="D296">
        <v>3526.8776119403001</v>
      </c>
      <c r="E296">
        <v>697.17611940299003</v>
      </c>
      <c r="F296">
        <v>141.68986083498999</v>
      </c>
      <c r="G296">
        <v>118.73956262425</v>
      </c>
      <c r="I296" s="9">
        <f t="shared" si="36"/>
        <v>578.43655677874006</v>
      </c>
      <c r="J296" s="9">
        <f t="shared" si="37"/>
        <v>3385.1877511053099</v>
      </c>
      <c r="K296" s="9">
        <f t="shared" si="31"/>
        <v>578.43655677874006</v>
      </c>
      <c r="L296" s="10">
        <f t="shared" si="30"/>
        <v>0.17087281394949885</v>
      </c>
      <c r="M296" s="10">
        <f t="shared" si="38"/>
        <v>0.17876756983245717</v>
      </c>
      <c r="P296" s="8">
        <f t="shared" si="39"/>
        <v>15.256026853488802</v>
      </c>
    </row>
    <row r="297" spans="1:16" x14ac:dyDescent="0.2">
      <c r="A297" s="8">
        <v>147.5</v>
      </c>
      <c r="B297" s="8">
        <v>295</v>
      </c>
      <c r="D297">
        <v>3632.9532338309</v>
      </c>
      <c r="E297">
        <v>715.14626865672005</v>
      </c>
      <c r="F297">
        <v>142.41252485090001</v>
      </c>
      <c r="G297">
        <v>119.17395626243</v>
      </c>
      <c r="I297" s="9">
        <f t="shared" si="36"/>
        <v>595.97231239429004</v>
      </c>
      <c r="J297" s="9">
        <f t="shared" si="37"/>
        <v>3490.5407089800001</v>
      </c>
      <c r="K297" s="9">
        <f t="shared" si="31"/>
        <v>595.97231239429004</v>
      </c>
      <c r="L297" s="10">
        <f t="shared" si="30"/>
        <v>0.17073925276420684</v>
      </c>
      <c r="M297" s="10">
        <f t="shared" si="38"/>
        <v>0.17866086155833169</v>
      </c>
      <c r="P297" s="8">
        <f t="shared" si="39"/>
        <v>15.187229298542887</v>
      </c>
    </row>
    <row r="298" spans="1:16" x14ac:dyDescent="0.2">
      <c r="A298" s="8">
        <v>148</v>
      </c>
      <c r="B298" s="8">
        <v>296</v>
      </c>
      <c r="D298">
        <v>3656.9054726367999</v>
      </c>
      <c r="E298">
        <v>714.05174129352997</v>
      </c>
      <c r="F298">
        <v>141.90457256460999</v>
      </c>
      <c r="G298">
        <v>119.00198807157</v>
      </c>
      <c r="I298" s="9">
        <f t="shared" si="36"/>
        <v>595.04975322195992</v>
      </c>
      <c r="J298" s="9">
        <f t="shared" si="37"/>
        <v>3515.0009000721898</v>
      </c>
      <c r="K298" s="9">
        <f t="shared" si="31"/>
        <v>595.04975322195992</v>
      </c>
      <c r="L298" s="10">
        <f t="shared" si="30"/>
        <v>0.16928864889045661</v>
      </c>
      <c r="M298" s="10">
        <f t="shared" si="38"/>
        <v>0.17723711059574798</v>
      </c>
      <c r="P298" s="8">
        <f t="shared" si="39"/>
        <v>14.269300619812059</v>
      </c>
    </row>
    <row r="299" spans="1:16" x14ac:dyDescent="0.2">
      <c r="A299" s="8">
        <v>148.5</v>
      </c>
      <c r="B299" s="8">
        <v>297</v>
      </c>
      <c r="D299">
        <v>3622.9771144278998</v>
      </c>
      <c r="E299">
        <v>696.72238805970005</v>
      </c>
      <c r="F299">
        <v>141.79920477137</v>
      </c>
      <c r="G299">
        <v>118.69781312127</v>
      </c>
      <c r="I299" s="9">
        <f t="shared" si="36"/>
        <v>578.02457493843008</v>
      </c>
      <c r="J299" s="9">
        <f t="shared" si="37"/>
        <v>3481.1779096565297</v>
      </c>
      <c r="K299" s="9">
        <f t="shared" si="31"/>
        <v>578.02457493843008</v>
      </c>
      <c r="L299" s="10">
        <f t="shared" si="30"/>
        <v>0.16604281365081419</v>
      </c>
      <c r="M299" s="10">
        <f t="shared" si="38"/>
        <v>0.17401812826727209</v>
      </c>
      <c r="P299" s="8">
        <f t="shared" si="39"/>
        <v>12.193940340319335</v>
      </c>
    </row>
    <row r="300" spans="1:16" x14ac:dyDescent="0.2">
      <c r="A300" s="8">
        <v>149</v>
      </c>
      <c r="B300" s="8">
        <v>298</v>
      </c>
      <c r="D300">
        <v>3578.2945273631999</v>
      </c>
      <c r="E300">
        <v>686.00099502488001</v>
      </c>
      <c r="F300">
        <v>142.11829025845</v>
      </c>
      <c r="G300">
        <v>118.8916500994</v>
      </c>
      <c r="I300" s="9">
        <f t="shared" si="36"/>
        <v>567.10934492548006</v>
      </c>
      <c r="J300" s="9">
        <f t="shared" si="37"/>
        <v>3436.1762371047498</v>
      </c>
      <c r="K300" s="9">
        <f t="shared" si="31"/>
        <v>567.10934492548006</v>
      </c>
      <c r="L300" s="10">
        <f t="shared" si="30"/>
        <v>0.16504082031697959</v>
      </c>
      <c r="M300" s="10">
        <f t="shared" si="38"/>
        <v>0.17304298784460401</v>
      </c>
      <c r="P300" s="8">
        <f t="shared" si="39"/>
        <v>11.565242356416054</v>
      </c>
    </row>
    <row r="301" spans="1:16" x14ac:dyDescent="0.2">
      <c r="A301" s="8">
        <v>149.5</v>
      </c>
      <c r="B301" s="8">
        <v>299</v>
      </c>
      <c r="D301">
        <v>3600.2245508982001</v>
      </c>
      <c r="E301">
        <v>689.45508982035994</v>
      </c>
      <c r="F301">
        <v>142.41053677932001</v>
      </c>
      <c r="G301">
        <v>118.82504970178999</v>
      </c>
      <c r="I301" s="9">
        <f t="shared" si="36"/>
        <v>570.63004011856992</v>
      </c>
      <c r="J301" s="9">
        <f t="shared" si="37"/>
        <v>3457.8140141188801</v>
      </c>
      <c r="K301" s="9">
        <f t="shared" si="31"/>
        <v>570.63004011856992</v>
      </c>
      <c r="L301" s="10">
        <f t="shared" si="30"/>
        <v>0.16502623848147535</v>
      </c>
      <c r="M301" s="10">
        <f t="shared" si="38"/>
        <v>0.1730552589202663</v>
      </c>
      <c r="P301" s="8">
        <f t="shared" si="39"/>
        <v>11.573153832906893</v>
      </c>
    </row>
    <row r="302" spans="1:16" x14ac:dyDescent="0.2">
      <c r="A302" s="8">
        <v>150</v>
      </c>
      <c r="B302" s="8">
        <v>300</v>
      </c>
      <c r="D302">
        <v>3586.6027944112002</v>
      </c>
      <c r="E302">
        <v>690.53493013972002</v>
      </c>
      <c r="F302">
        <v>141.96421471172999</v>
      </c>
      <c r="G302">
        <v>118.78827037773</v>
      </c>
      <c r="I302" s="9">
        <f>E302-G302</f>
        <v>571.74665976199003</v>
      </c>
      <c r="J302" s="9">
        <f>D302-F302</f>
        <v>3444.63857969947</v>
      </c>
      <c r="K302" s="9">
        <f t="shared" si="31"/>
        <v>571.74665976199003</v>
      </c>
      <c r="L302" s="10">
        <f t="shared" si="30"/>
        <v>0.16598161070699977</v>
      </c>
      <c r="M302" s="10">
        <f>L302+ABS($N$2)*A302</f>
        <v>0.17403748405695724</v>
      </c>
      <c r="O302" s="11"/>
      <c r="P302" s="8">
        <f>(M302-$O$2)/$O$2*100</f>
        <v>12.206419513235387</v>
      </c>
    </row>
    <row r="303" spans="1:16" x14ac:dyDescent="0.2">
      <c r="A303" s="8">
        <v>150.5</v>
      </c>
      <c r="B303" s="8">
        <v>301</v>
      </c>
      <c r="D303">
        <v>3621.3742514969999</v>
      </c>
      <c r="E303">
        <v>695.51397205589001</v>
      </c>
      <c r="F303">
        <v>141.44930417494999</v>
      </c>
      <c r="G303">
        <v>118.55467196818999</v>
      </c>
      <c r="I303" s="9">
        <f t="shared" ref="I303:I309" si="40">E303-G303</f>
        <v>576.95930008770006</v>
      </c>
      <c r="J303" s="9">
        <f t="shared" ref="J303:J309" si="41">D303-F303</f>
        <v>3479.9249473220498</v>
      </c>
      <c r="K303" s="9">
        <f t="shared" si="31"/>
        <v>576.95930008770006</v>
      </c>
      <c r="L303" s="10">
        <f t="shared" si="30"/>
        <v>0.16579647803372735</v>
      </c>
      <c r="M303" s="10">
        <f t="shared" ref="M303:M309" si="42">L303+ABS($N$2)*A303</f>
        <v>0.17387920429485132</v>
      </c>
      <c r="P303" s="8">
        <f t="shared" ref="P303:P309" si="43">(M303-$O$2)/$O$2*100</f>
        <v>12.104372500297075</v>
      </c>
    </row>
    <row r="304" spans="1:16" x14ac:dyDescent="0.2">
      <c r="A304" s="8">
        <v>151</v>
      </c>
      <c r="B304" s="8">
        <v>302</v>
      </c>
      <c r="D304">
        <v>3668.8822355288999</v>
      </c>
      <c r="E304">
        <v>695.38023952096</v>
      </c>
      <c r="F304">
        <v>142.58051689861</v>
      </c>
      <c r="G304">
        <v>118.8986083499</v>
      </c>
      <c r="I304" s="9">
        <f t="shared" si="40"/>
        <v>576.48163117106003</v>
      </c>
      <c r="J304" s="9">
        <f t="shared" si="41"/>
        <v>3526.30171863029</v>
      </c>
      <c r="K304" s="9">
        <f t="shared" si="31"/>
        <v>576.48163117106003</v>
      </c>
      <c r="L304" s="10">
        <f t="shared" si="30"/>
        <v>0.16348051788233847</v>
      </c>
      <c r="M304" s="10">
        <f t="shared" si="42"/>
        <v>0.17159009705462897</v>
      </c>
      <c r="N304" s="1"/>
      <c r="P304" s="8">
        <f t="shared" si="43"/>
        <v>10.628526485290827</v>
      </c>
    </row>
    <row r="305" spans="1:16" x14ac:dyDescent="0.2">
      <c r="A305" s="8">
        <v>151.5</v>
      </c>
      <c r="B305" s="8">
        <v>303</v>
      </c>
      <c r="D305">
        <v>3572.3825569871001</v>
      </c>
      <c r="E305">
        <v>675.68979187314005</v>
      </c>
      <c r="F305">
        <v>142.14711729621999</v>
      </c>
      <c r="G305">
        <v>118.98608349900999</v>
      </c>
      <c r="I305" s="9">
        <f t="shared" si="40"/>
        <v>556.70370837413009</v>
      </c>
      <c r="J305" s="9">
        <f t="shared" si="41"/>
        <v>3430.23543969088</v>
      </c>
      <c r="K305" s="9">
        <f t="shared" si="31"/>
        <v>556.70370837413009</v>
      </c>
      <c r="L305" s="10">
        <f t="shared" si="30"/>
        <v>0.16229314814154511</v>
      </c>
      <c r="M305" s="10">
        <f t="shared" si="42"/>
        <v>0.17042958022500215</v>
      </c>
      <c r="P305" s="8">
        <f t="shared" si="43"/>
        <v>9.8803115881215486</v>
      </c>
    </row>
    <row r="306" spans="1:16" x14ac:dyDescent="0.2">
      <c r="A306" s="8">
        <v>152</v>
      </c>
      <c r="B306" s="8">
        <v>304</v>
      </c>
      <c r="D306">
        <v>3557.1833498513001</v>
      </c>
      <c r="E306">
        <v>672.24182358770997</v>
      </c>
      <c r="F306">
        <v>141.83499005964001</v>
      </c>
      <c r="G306">
        <v>118.82902584493</v>
      </c>
      <c r="I306" s="9">
        <f t="shared" si="40"/>
        <v>553.41279774277996</v>
      </c>
      <c r="J306" s="9">
        <f t="shared" si="41"/>
        <v>3415.3483597916602</v>
      </c>
      <c r="K306" s="9">
        <f t="shared" si="31"/>
        <v>553.41279774277996</v>
      </c>
      <c r="L306" s="10">
        <f t="shared" si="30"/>
        <v>0.16203699870209981</v>
      </c>
      <c r="M306" s="10">
        <f t="shared" si="42"/>
        <v>0.17020028369672335</v>
      </c>
      <c r="P306" s="8">
        <f t="shared" si="43"/>
        <v>9.7324782487441581</v>
      </c>
    </row>
    <row r="307" spans="1:16" x14ac:dyDescent="0.2">
      <c r="A307" s="8">
        <v>152.5</v>
      </c>
      <c r="B307" s="8">
        <v>305</v>
      </c>
      <c r="D307">
        <v>3502.8959365709002</v>
      </c>
      <c r="E307">
        <v>663.09117938553004</v>
      </c>
      <c r="F307">
        <v>141.75049701789001</v>
      </c>
      <c r="G307">
        <v>118.93339960239</v>
      </c>
      <c r="I307" s="9">
        <f t="shared" si="40"/>
        <v>544.15777978314009</v>
      </c>
      <c r="J307" s="9">
        <f t="shared" si="41"/>
        <v>3361.14543955301</v>
      </c>
      <c r="K307" s="9">
        <f t="shared" si="31"/>
        <v>544.15777978314009</v>
      </c>
      <c r="L307" s="10">
        <f t="shared" si="30"/>
        <v>0.16189652889745415</v>
      </c>
      <c r="M307" s="10">
        <f t="shared" si="42"/>
        <v>0.17008666680324425</v>
      </c>
      <c r="P307" s="8">
        <f t="shared" si="43"/>
        <v>9.6592265301124698</v>
      </c>
    </row>
    <row r="308" spans="1:16" x14ac:dyDescent="0.2">
      <c r="A308" s="8">
        <v>153</v>
      </c>
      <c r="B308" s="8">
        <v>306</v>
      </c>
      <c r="D308">
        <v>3505.3062438058</v>
      </c>
      <c r="E308">
        <v>656.69276511397004</v>
      </c>
      <c r="F308">
        <v>141.93836978131</v>
      </c>
      <c r="G308">
        <v>118.76739562624</v>
      </c>
      <c r="I308" s="9">
        <f t="shared" si="40"/>
        <v>537.92536948772999</v>
      </c>
      <c r="J308" s="9">
        <f t="shared" si="41"/>
        <v>3363.36787402449</v>
      </c>
      <c r="K308" s="9">
        <f t="shared" si="31"/>
        <v>537.92536948772999</v>
      </c>
      <c r="L308" s="10">
        <f t="shared" si="30"/>
        <v>0.15993652482743942</v>
      </c>
      <c r="M308" s="10">
        <f t="shared" si="42"/>
        <v>0.16815351564439601</v>
      </c>
      <c r="P308" s="8">
        <f t="shared" si="43"/>
        <v>8.4128745095257234</v>
      </c>
    </row>
    <row r="309" spans="1:16" x14ac:dyDescent="0.2">
      <c r="A309" s="8">
        <v>153.5</v>
      </c>
      <c r="B309" s="8">
        <v>307</v>
      </c>
      <c r="D309">
        <v>3544.2239841426999</v>
      </c>
      <c r="E309">
        <v>669.01684836471998</v>
      </c>
      <c r="F309">
        <v>141.76043737575</v>
      </c>
      <c r="G309">
        <v>118.79522862823001</v>
      </c>
      <c r="I309" s="9">
        <f t="shared" si="40"/>
        <v>550.22161973648997</v>
      </c>
      <c r="J309" s="9">
        <f t="shared" si="41"/>
        <v>3402.46354676695</v>
      </c>
      <c r="K309" s="9">
        <f t="shared" si="31"/>
        <v>550.22161973648997</v>
      </c>
      <c r="L309" s="10">
        <f t="shared" si="30"/>
        <v>0.16171271555850034</v>
      </c>
      <c r="M309" s="10">
        <f t="shared" si="42"/>
        <v>0.16995655928662345</v>
      </c>
      <c r="P309" s="8">
        <f t="shared" si="43"/>
        <v>9.575342884753633</v>
      </c>
    </row>
    <row r="310" spans="1:16" x14ac:dyDescent="0.2">
      <c r="A310" s="8">
        <v>154</v>
      </c>
      <c r="B310" s="8">
        <v>308</v>
      </c>
      <c r="D310">
        <v>3488.3776015857002</v>
      </c>
      <c r="E310">
        <v>657.55698711596006</v>
      </c>
      <c r="F310">
        <v>141.92246520875</v>
      </c>
      <c r="G310">
        <v>118.53081510934</v>
      </c>
      <c r="I310" s="9">
        <f>E310-G310</f>
        <v>539.02617200662007</v>
      </c>
      <c r="J310" s="9">
        <f>D310-F310</f>
        <v>3346.4551363769501</v>
      </c>
      <c r="K310" s="9">
        <f t="shared" si="31"/>
        <v>539.02617200662007</v>
      </c>
      <c r="L310" s="10">
        <f t="shared" si="30"/>
        <v>0.16107377808453108</v>
      </c>
      <c r="M310" s="10">
        <f>L310+ABS($N$2)*A310</f>
        <v>0.16934447472382075</v>
      </c>
      <c r="O310" s="11"/>
      <c r="P310" s="8">
        <f>(M310-$O$2)/$O$2*100</f>
        <v>9.1807163041433384</v>
      </c>
    </row>
    <row r="311" spans="1:16" x14ac:dyDescent="0.2">
      <c r="A311" s="8">
        <v>154.5</v>
      </c>
      <c r="B311" s="8">
        <v>309</v>
      </c>
      <c r="D311">
        <v>3519.6521308226002</v>
      </c>
      <c r="E311">
        <v>653.18434093162</v>
      </c>
      <c r="F311">
        <v>142.24950298210999</v>
      </c>
      <c r="G311">
        <v>119.05268389662</v>
      </c>
      <c r="I311" s="9">
        <f t="shared" ref="I311:I319" si="44">E311-G311</f>
        <v>534.13165703499999</v>
      </c>
      <c r="J311" s="9">
        <f t="shared" ref="J311:J319" si="45">D311-F311</f>
        <v>3377.4026278404904</v>
      </c>
      <c r="K311" s="9">
        <f t="shared" si="31"/>
        <v>534.13165703499999</v>
      </c>
      <c r="L311" s="10">
        <f t="shared" si="30"/>
        <v>0.15814864731615474</v>
      </c>
      <c r="M311" s="10">
        <f t="shared" ref="M311:M319" si="46">L311+ABS($N$2)*A311</f>
        <v>0.16644619686661094</v>
      </c>
      <c r="P311" s="8">
        <f t="shared" ref="P311:P319" si="47">(M311-$O$2)/$O$2*100</f>
        <v>7.3121224039604638</v>
      </c>
    </row>
    <row r="312" spans="1:16" x14ac:dyDescent="0.2">
      <c r="A312" s="8">
        <v>155</v>
      </c>
      <c r="B312" s="8">
        <v>310</v>
      </c>
      <c r="D312">
        <v>3515.8949454906001</v>
      </c>
      <c r="E312">
        <v>642.69970267591998</v>
      </c>
      <c r="F312">
        <v>141.59244532803001</v>
      </c>
      <c r="G312">
        <v>118.50298210736</v>
      </c>
      <c r="I312" s="9">
        <f t="shared" si="44"/>
        <v>524.19672056855995</v>
      </c>
      <c r="J312" s="9">
        <f t="shared" si="45"/>
        <v>3374.3025001625701</v>
      </c>
      <c r="K312" s="9">
        <f t="shared" si="31"/>
        <v>524.19672056855995</v>
      </c>
      <c r="L312" s="10">
        <f t="shared" si="30"/>
        <v>0.15534965242247983</v>
      </c>
      <c r="M312" s="10">
        <f t="shared" si="46"/>
        <v>0.16367405488410253</v>
      </c>
      <c r="N312" s="1"/>
      <c r="P312" s="8">
        <f t="shared" si="47"/>
        <v>5.5248515299584415</v>
      </c>
    </row>
    <row r="313" spans="1:16" x14ac:dyDescent="0.2">
      <c r="A313" s="8">
        <v>155.5</v>
      </c>
      <c r="B313" s="8">
        <v>311</v>
      </c>
      <c r="D313">
        <v>3765.7654075546998</v>
      </c>
      <c r="E313">
        <v>687.01888667992</v>
      </c>
      <c r="F313">
        <v>141.93836978131</v>
      </c>
      <c r="G313">
        <v>119.10039761431</v>
      </c>
      <c r="I313" s="9">
        <f t="shared" si="44"/>
        <v>567.91848906560995</v>
      </c>
      <c r="J313" s="9">
        <f t="shared" si="45"/>
        <v>3623.8270377733897</v>
      </c>
      <c r="K313" s="9">
        <f t="shared" si="31"/>
        <v>567.91848906560995</v>
      </c>
      <c r="L313" s="10">
        <f t="shared" si="30"/>
        <v>0.15671787950855393</v>
      </c>
      <c r="M313" s="10">
        <f t="shared" si="46"/>
        <v>0.16506913488134317</v>
      </c>
      <c r="P313" s="8">
        <f t="shared" si="47"/>
        <v>6.4242953036553603</v>
      </c>
    </row>
    <row r="314" spans="1:16" x14ac:dyDescent="0.2">
      <c r="A314" s="8">
        <v>156</v>
      </c>
      <c r="B314" s="8">
        <v>312</v>
      </c>
      <c r="D314">
        <v>3611.6719681908999</v>
      </c>
      <c r="E314">
        <v>657.58151093439005</v>
      </c>
      <c r="F314">
        <v>141.73260437376001</v>
      </c>
      <c r="G314">
        <v>118.7435387674</v>
      </c>
      <c r="I314" s="9">
        <f t="shared" si="44"/>
        <v>538.83797216699008</v>
      </c>
      <c r="J314" s="9">
        <f t="shared" si="45"/>
        <v>3469.93936381714</v>
      </c>
      <c r="K314" s="9">
        <f t="shared" si="31"/>
        <v>538.83797216699008</v>
      </c>
      <c r="L314" s="10">
        <f t="shared" si="30"/>
        <v>0.15528743175910609</v>
      </c>
      <c r="M314" s="10">
        <f t="shared" si="46"/>
        <v>0.16366554004306183</v>
      </c>
      <c r="P314" s="8">
        <f t="shared" si="47"/>
        <v>5.5193617940485131</v>
      </c>
    </row>
    <row r="315" spans="1:16" x14ac:dyDescent="0.2">
      <c r="A315" s="8">
        <v>156.5</v>
      </c>
      <c r="B315" s="8">
        <v>313</v>
      </c>
      <c r="D315">
        <v>3650.8876739563002</v>
      </c>
      <c r="E315">
        <v>665.59045725646001</v>
      </c>
      <c r="F315">
        <v>141.51689860835</v>
      </c>
      <c r="G315">
        <v>118.65208747515</v>
      </c>
      <c r="I315" s="9">
        <f t="shared" si="44"/>
        <v>546.93836978131003</v>
      </c>
      <c r="J315" s="9">
        <f t="shared" si="45"/>
        <v>3509.3707753479503</v>
      </c>
      <c r="K315" s="9">
        <f t="shared" si="31"/>
        <v>546.93836978131003</v>
      </c>
      <c r="L315" s="10">
        <f t="shared" si="30"/>
        <v>0.15585083617363904</v>
      </c>
      <c r="M315" s="10">
        <f t="shared" si="46"/>
        <v>0.16425579736876134</v>
      </c>
      <c r="P315" s="8">
        <f t="shared" si="47"/>
        <v>5.8999157963490978</v>
      </c>
    </row>
    <row r="316" spans="1:16" x14ac:dyDescent="0.2">
      <c r="A316" s="8">
        <v>157</v>
      </c>
      <c r="B316" s="8">
        <v>314</v>
      </c>
      <c r="D316">
        <v>3645.7296222663999</v>
      </c>
      <c r="E316">
        <v>665.25944333995994</v>
      </c>
      <c r="F316">
        <v>141.76242544732</v>
      </c>
      <c r="G316">
        <v>119.04970178926</v>
      </c>
      <c r="I316" s="9">
        <f t="shared" si="44"/>
        <v>546.20974155069996</v>
      </c>
      <c r="J316" s="9">
        <f t="shared" si="45"/>
        <v>3503.9671968190801</v>
      </c>
      <c r="K316" s="9">
        <f t="shared" si="31"/>
        <v>546.20974155069996</v>
      </c>
      <c r="L316" s="10">
        <f t="shared" si="30"/>
        <v>0.15588323487918268</v>
      </c>
      <c r="M316" s="10">
        <f t="shared" si="46"/>
        <v>0.16431504898547147</v>
      </c>
      <c r="P316" s="8">
        <f t="shared" si="47"/>
        <v>5.938116829864609</v>
      </c>
    </row>
    <row r="317" spans="1:16" x14ac:dyDescent="0.2">
      <c r="A317" s="8">
        <v>157.5</v>
      </c>
      <c r="B317" s="8">
        <v>315</v>
      </c>
      <c r="D317">
        <v>3752.7286282306</v>
      </c>
      <c r="E317">
        <v>689.71172962227001</v>
      </c>
      <c r="F317">
        <v>142.25248508946001</v>
      </c>
      <c r="G317">
        <v>118.41650099404001</v>
      </c>
      <c r="I317" s="9">
        <f t="shared" si="44"/>
        <v>571.29522862823001</v>
      </c>
      <c r="J317" s="9">
        <f t="shared" si="45"/>
        <v>3610.4761431411398</v>
      </c>
      <c r="K317" s="9">
        <f t="shared" si="31"/>
        <v>571.29522862823001</v>
      </c>
      <c r="L317" s="10">
        <f t="shared" si="30"/>
        <v>0.15823265574362697</v>
      </c>
      <c r="M317" s="10">
        <f t="shared" si="46"/>
        <v>0.16669132276108228</v>
      </c>
      <c r="P317" s="8">
        <f t="shared" si="47"/>
        <v>7.4701613407886196</v>
      </c>
    </row>
    <row r="318" spans="1:16" x14ac:dyDescent="0.2">
      <c r="A318" s="8">
        <v>158</v>
      </c>
      <c r="B318" s="8">
        <v>316</v>
      </c>
      <c r="D318">
        <v>3591.9653465347001</v>
      </c>
      <c r="E318">
        <v>668.15346534653997</v>
      </c>
      <c r="F318">
        <v>141.68389662028</v>
      </c>
      <c r="G318">
        <v>118.5407554672</v>
      </c>
      <c r="I318" s="9">
        <f t="shared" si="44"/>
        <v>549.61270987933995</v>
      </c>
      <c r="J318" s="9">
        <f t="shared" si="45"/>
        <v>3450.2814499144201</v>
      </c>
      <c r="K318" s="9">
        <f t="shared" si="31"/>
        <v>549.61270987933995</v>
      </c>
      <c r="L318" s="10">
        <f t="shared" si="30"/>
        <v>0.15929503661012129</v>
      </c>
      <c r="M318" s="10">
        <f t="shared" si="46"/>
        <v>0.16778055653874313</v>
      </c>
      <c r="P318" s="8">
        <f t="shared" si="47"/>
        <v>8.1724182302538839</v>
      </c>
    </row>
    <row r="319" spans="1:16" x14ac:dyDescent="0.2">
      <c r="A319" s="8">
        <v>158.5</v>
      </c>
      <c r="B319" s="8">
        <v>317</v>
      </c>
      <c r="D319">
        <v>3631.6465346535001</v>
      </c>
      <c r="E319">
        <v>679.02079207920997</v>
      </c>
      <c r="F319">
        <v>141.17196819086001</v>
      </c>
      <c r="G319">
        <v>118.95626242545001</v>
      </c>
      <c r="I319" s="9">
        <f t="shared" si="44"/>
        <v>560.06452965376002</v>
      </c>
      <c r="J319" s="9">
        <f t="shared" si="45"/>
        <v>3490.4745664626403</v>
      </c>
      <c r="K319" s="9">
        <f t="shared" si="31"/>
        <v>560.06452965376002</v>
      </c>
      <c r="L319" s="10">
        <f t="shared" si="30"/>
        <v>0.16045512407825607</v>
      </c>
      <c r="M319" s="10">
        <f t="shared" si="46"/>
        <v>0.16896749691804444</v>
      </c>
      <c r="P319" s="8">
        <f t="shared" si="47"/>
        <v>8.9376690660651779</v>
      </c>
    </row>
    <row r="320" spans="1:16" x14ac:dyDescent="0.2">
      <c r="A320" s="8">
        <v>159</v>
      </c>
      <c r="B320" s="8">
        <v>318</v>
      </c>
      <c r="D320">
        <v>3620.1554455445998</v>
      </c>
      <c r="E320">
        <v>665.95940594059005</v>
      </c>
      <c r="F320">
        <v>141.84194831014</v>
      </c>
      <c r="G320">
        <v>118.81212723658</v>
      </c>
      <c r="I320" s="9">
        <f>E320-G320</f>
        <v>547.14727870401009</v>
      </c>
      <c r="J320" s="9">
        <f>D320-F320</f>
        <v>3478.3134972344596</v>
      </c>
      <c r="K320" s="9">
        <f t="shared" si="31"/>
        <v>547.14727870401009</v>
      </c>
      <c r="L320" s="10">
        <f t="shared" si="30"/>
        <v>0.15730246256958622</v>
      </c>
      <c r="M320" s="10">
        <f>L320+ABS($N$2)*A320</f>
        <v>0.16584168832054111</v>
      </c>
      <c r="O320" s="11"/>
      <c r="P320" s="8">
        <f>(M320-$O$2)/$O$2*100</f>
        <v>6.9223802752047483</v>
      </c>
    </row>
    <row r="321" spans="1:16" x14ac:dyDescent="0.2">
      <c r="A321" s="8">
        <v>159.5</v>
      </c>
      <c r="B321" s="8">
        <v>319</v>
      </c>
      <c r="D321">
        <v>3623.8504950494998</v>
      </c>
      <c r="E321">
        <v>664.20891089109</v>
      </c>
      <c r="F321">
        <v>141.64612326043999</v>
      </c>
      <c r="G321">
        <v>118.41351888668</v>
      </c>
      <c r="I321" s="9">
        <f t="shared" ref="I321:I322" si="48">E321-G321</f>
        <v>545.79539200441002</v>
      </c>
      <c r="J321" s="9">
        <f t="shared" ref="J321:J322" si="49">D321-F321</f>
        <v>3482.2043717890597</v>
      </c>
      <c r="K321" s="9">
        <f t="shared" si="31"/>
        <v>545.79539200441002</v>
      </c>
      <c r="L321" s="10">
        <f t="shared" si="30"/>
        <v>0.15673847187894821</v>
      </c>
      <c r="M321" s="10">
        <f t="shared" ref="M321:M322" si="50">L321+ABS($N$2)*A321</f>
        <v>0.16530455054106963</v>
      </c>
      <c r="P321" s="8">
        <f t="shared" ref="P321:P322" si="51">(M321-$O$2)/$O$2*100</f>
        <v>6.5760738036629043</v>
      </c>
    </row>
    <row r="322" spans="1:16" x14ac:dyDescent="0.2">
      <c r="A322" s="8">
        <v>160</v>
      </c>
      <c r="D322">
        <v>3505.5465346535002</v>
      </c>
      <c r="E322">
        <v>647.97722772276995</v>
      </c>
      <c r="F322">
        <v>141.85685884692001</v>
      </c>
      <c r="G322">
        <v>118.50497017892999</v>
      </c>
      <c r="I322" s="9">
        <f t="shared" si="48"/>
        <v>529.47225754383999</v>
      </c>
      <c r="J322" s="9">
        <f t="shared" si="49"/>
        <v>3363.68967580658</v>
      </c>
      <c r="K322" s="9">
        <f t="shared" si="31"/>
        <v>529.47225754383999</v>
      </c>
      <c r="L322" s="10">
        <f t="shared" ref="L322" si="52">K322/J322</f>
        <v>0.15740817631069898</v>
      </c>
      <c r="M322" s="10">
        <f t="shared" si="50"/>
        <v>0.16600110788398692</v>
      </c>
      <c r="P322" s="8">
        <f t="shared" si="51"/>
        <v>7.0251621472338988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0C473-7ADE-354E-A5D0-B62511CF74B0}">
  <dimension ref="A1:Y798"/>
  <sheetViews>
    <sheetView tabSelected="1" topLeftCell="E1" zoomScale="75" zoomScaleNormal="70" workbookViewId="0">
      <selection activeCell="P2" sqref="P2:P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1228.3660245184001</v>
      </c>
      <c r="E2">
        <v>366.39112667834002</v>
      </c>
      <c r="F2">
        <v>124.16106194690001</v>
      </c>
      <c r="G2">
        <v>111.80648967552</v>
      </c>
      <c r="H2" s="4"/>
      <c r="I2" s="5">
        <f>E2-G2</f>
        <v>254.58463700282002</v>
      </c>
      <c r="J2" s="5">
        <f>D2-F2</f>
        <v>1104.2049625715001</v>
      </c>
      <c r="K2" s="9">
        <f>I2*1</f>
        <v>254.58463700282002</v>
      </c>
      <c r="L2" s="6">
        <f t="shared" ref="L2:L65" si="0">K2/J2</f>
        <v>0.23055922191287473</v>
      </c>
      <c r="M2" s="6">
        <f>L2+ABS($N$2)*A2</f>
        <v>0.23055922191287473</v>
      </c>
      <c r="N2" s="4">
        <f>LINEST(V64:V103,U64:U103)</f>
        <v>-8.3035249728829444E-4</v>
      </c>
      <c r="O2" s="7">
        <f>AVERAGE(M62:M81)</f>
        <v>0.37242422726987034</v>
      </c>
      <c r="P2" s="4">
        <f>(M2-$O$2)/$O$2*100</f>
        <v>-38.092313810238707</v>
      </c>
    </row>
    <row r="3" spans="1:16" x14ac:dyDescent="0.2">
      <c r="A3" s="8">
        <v>0.5</v>
      </c>
      <c r="B3" s="8">
        <v>1</v>
      </c>
      <c r="D3">
        <v>1172.4605954466001</v>
      </c>
      <c r="E3">
        <v>356.78692352598</v>
      </c>
      <c r="F3">
        <v>124.61946902654999</v>
      </c>
      <c r="G3">
        <v>111.89970501475</v>
      </c>
      <c r="I3" s="9">
        <f t="shared" ref="I3:I66" si="1">E3-G3</f>
        <v>244.88721851123</v>
      </c>
      <c r="J3" s="9">
        <f t="shared" ref="J3:J66" si="2">D3-F3</f>
        <v>1047.8411264200502</v>
      </c>
      <c r="K3" s="9">
        <f t="shared" ref="K3:K66" si="3">I3*1</f>
        <v>244.88721851123</v>
      </c>
      <c r="L3" s="10">
        <f t="shared" si="0"/>
        <v>0.23370643920790485</v>
      </c>
      <c r="M3" s="10">
        <f t="shared" ref="M3:M66" si="4">L3+ABS($N$2)*A3</f>
        <v>0.234121615456549</v>
      </c>
      <c r="P3" s="8">
        <f t="shared" ref="P3:P66" si="5">(M3-$O$2)/$O$2*100</f>
        <v>-37.135771973584013</v>
      </c>
    </row>
    <row r="4" spans="1:16" ht="16" x14ac:dyDescent="0.2">
      <c r="A4" s="8">
        <v>1</v>
      </c>
      <c r="B4" s="8">
        <v>2</v>
      </c>
      <c r="D4">
        <v>1059.6929363689001</v>
      </c>
      <c r="E4">
        <v>342.98365440747</v>
      </c>
      <c r="F4">
        <v>124.09498525074</v>
      </c>
      <c r="G4">
        <v>111.83834808260001</v>
      </c>
      <c r="I4" s="9">
        <f t="shared" si="1"/>
        <v>231.14530632486998</v>
      </c>
      <c r="J4" s="9">
        <f t="shared" si="2"/>
        <v>935.59795111816004</v>
      </c>
      <c r="K4" s="9">
        <f t="shared" si="3"/>
        <v>231.14530632486998</v>
      </c>
      <c r="L4" s="10">
        <f t="shared" si="0"/>
        <v>0.24705623398236556</v>
      </c>
      <c r="M4" s="10">
        <f t="shared" si="4"/>
        <v>0.24788658647965386</v>
      </c>
      <c r="N4" s="1" t="s">
        <v>7</v>
      </c>
      <c r="P4" s="8">
        <f t="shared" si="5"/>
        <v>-33.439725901605371</v>
      </c>
    </row>
    <row r="5" spans="1:16" x14ac:dyDescent="0.2">
      <c r="A5" s="8">
        <v>1.5</v>
      </c>
      <c r="B5" s="8">
        <v>3</v>
      </c>
      <c r="D5">
        <v>1133.9708114419</v>
      </c>
      <c r="E5">
        <v>372.70869819030997</v>
      </c>
      <c r="F5">
        <v>124.13392330384001</v>
      </c>
      <c r="G5">
        <v>111.89970501475</v>
      </c>
      <c r="I5" s="9">
        <f t="shared" si="1"/>
        <v>260.80899317555998</v>
      </c>
      <c r="J5" s="9">
        <f t="shared" si="2"/>
        <v>1009.83688813806</v>
      </c>
      <c r="K5" s="9">
        <f t="shared" si="3"/>
        <v>260.80899317555998</v>
      </c>
      <c r="L5" s="10">
        <f t="shared" si="0"/>
        <v>0.25826843546628636</v>
      </c>
      <c r="M5" s="10">
        <f t="shared" si="4"/>
        <v>0.25951396421221878</v>
      </c>
      <c r="N5" s="8">
        <f>RSQ(V64:V83,U64:U83)</f>
        <v>0.13803374421709103</v>
      </c>
      <c r="P5" s="8">
        <f t="shared" si="5"/>
        <v>-30.317647131971686</v>
      </c>
    </row>
    <row r="6" spans="1:16" x14ac:dyDescent="0.2">
      <c r="A6" s="8">
        <v>2</v>
      </c>
      <c r="B6" s="8">
        <v>4</v>
      </c>
      <c r="D6">
        <v>1090.2399299475001</v>
      </c>
      <c r="E6">
        <v>378.49211908932</v>
      </c>
      <c r="F6">
        <v>124.51681415929001</v>
      </c>
      <c r="G6">
        <v>112.01120943953001</v>
      </c>
      <c r="I6" s="9">
        <f t="shared" si="1"/>
        <v>266.48090964978996</v>
      </c>
      <c r="J6" s="9">
        <f t="shared" si="2"/>
        <v>965.72311578821007</v>
      </c>
      <c r="K6" s="9">
        <f t="shared" si="3"/>
        <v>266.48090964978996</v>
      </c>
      <c r="L6" s="10">
        <f t="shared" si="0"/>
        <v>0.27593924727823449</v>
      </c>
      <c r="M6" s="10">
        <f t="shared" si="4"/>
        <v>0.27759995227281109</v>
      </c>
      <c r="P6" s="8">
        <f t="shared" si="5"/>
        <v>-25.461360473830453</v>
      </c>
    </row>
    <row r="7" spans="1:16" x14ac:dyDescent="0.2">
      <c r="A7" s="8">
        <v>2.5</v>
      </c>
      <c r="B7" s="8">
        <v>5</v>
      </c>
      <c r="D7">
        <v>1123.9529688419</v>
      </c>
      <c r="E7">
        <v>379.50852439740999</v>
      </c>
      <c r="F7">
        <v>124.47197640118</v>
      </c>
      <c r="G7">
        <v>112.16342182891</v>
      </c>
      <c r="I7" s="9">
        <f t="shared" si="1"/>
        <v>267.34510256850001</v>
      </c>
      <c r="J7" s="9">
        <f t="shared" si="2"/>
        <v>999.48099244072</v>
      </c>
      <c r="K7" s="9">
        <f t="shared" si="3"/>
        <v>267.34510256850001</v>
      </c>
      <c r="L7" s="10">
        <f t="shared" si="0"/>
        <v>0.26748392874950694</v>
      </c>
      <c r="M7" s="10">
        <f t="shared" si="4"/>
        <v>0.26955980999272766</v>
      </c>
      <c r="P7" s="8">
        <f t="shared" si="5"/>
        <v>-27.620227081146332</v>
      </c>
    </row>
    <row r="8" spans="1:16" x14ac:dyDescent="0.2">
      <c r="A8" s="8">
        <v>3</v>
      </c>
      <c r="B8" s="8">
        <v>6</v>
      </c>
      <c r="D8">
        <v>1151.9817754262001</v>
      </c>
      <c r="E8">
        <v>373.70664315109002</v>
      </c>
      <c r="F8">
        <v>124.29321533923</v>
      </c>
      <c r="G8">
        <v>111.93333333333</v>
      </c>
      <c r="I8" s="9">
        <f t="shared" si="1"/>
        <v>261.77330981776004</v>
      </c>
      <c r="J8" s="9">
        <f t="shared" si="2"/>
        <v>1027.68856008697</v>
      </c>
      <c r="K8" s="9">
        <f t="shared" si="3"/>
        <v>261.77330981776004</v>
      </c>
      <c r="L8" s="10">
        <f t="shared" si="0"/>
        <v>0.25472046686557159</v>
      </c>
      <c r="M8" s="10">
        <f t="shared" si="4"/>
        <v>0.25721152435743649</v>
      </c>
      <c r="P8" s="8">
        <f t="shared" si="5"/>
        <v>-30.935877549380557</v>
      </c>
    </row>
    <row r="9" spans="1:16" x14ac:dyDescent="0.2">
      <c r="A9" s="8">
        <v>3.5</v>
      </c>
      <c r="B9" s="8">
        <v>7</v>
      </c>
      <c r="D9">
        <v>1278.2263374485999</v>
      </c>
      <c r="E9">
        <v>394.75778953557</v>
      </c>
      <c r="F9">
        <v>125.14985250738</v>
      </c>
      <c r="G9">
        <v>111.89203539823001</v>
      </c>
      <c r="I9" s="9">
        <f t="shared" si="1"/>
        <v>282.86575413733999</v>
      </c>
      <c r="J9" s="9">
        <f t="shared" si="2"/>
        <v>1153.0764849412199</v>
      </c>
      <c r="K9" s="9">
        <f t="shared" si="3"/>
        <v>282.86575413733999</v>
      </c>
      <c r="L9" s="10">
        <f t="shared" si="0"/>
        <v>0.24531395603975012</v>
      </c>
      <c r="M9" s="10">
        <f t="shared" si="4"/>
        <v>0.24822018978025914</v>
      </c>
      <c r="P9" s="8">
        <f t="shared" si="5"/>
        <v>-33.350149747269</v>
      </c>
    </row>
    <row r="10" spans="1:16" x14ac:dyDescent="0.2">
      <c r="A10" s="8">
        <v>4</v>
      </c>
      <c r="B10" s="8">
        <v>8</v>
      </c>
      <c r="D10">
        <v>1335.8024547048999</v>
      </c>
      <c r="E10">
        <v>422.99181765050002</v>
      </c>
      <c r="F10">
        <v>124.85427728614</v>
      </c>
      <c r="G10">
        <v>112.06076696165</v>
      </c>
      <c r="I10" s="9">
        <f t="shared" si="1"/>
        <v>310.93105068885001</v>
      </c>
      <c r="J10" s="9">
        <f t="shared" si="2"/>
        <v>1210.94817741876</v>
      </c>
      <c r="K10" s="9">
        <f t="shared" si="3"/>
        <v>310.93105068885001</v>
      </c>
      <c r="L10" s="10">
        <f t="shared" si="0"/>
        <v>0.25676660363090537</v>
      </c>
      <c r="M10" s="10">
        <f t="shared" si="4"/>
        <v>0.26008801362005857</v>
      </c>
      <c r="P10" s="8">
        <f t="shared" si="5"/>
        <v>-30.163508554025785</v>
      </c>
    </row>
    <row r="11" spans="1:16" x14ac:dyDescent="0.2">
      <c r="A11" s="8">
        <v>4.5</v>
      </c>
      <c r="B11" s="8">
        <v>9</v>
      </c>
      <c r="D11">
        <v>1227.8544710696001</v>
      </c>
      <c r="E11">
        <v>409.80888369374998</v>
      </c>
      <c r="F11">
        <v>124.85899705014999</v>
      </c>
      <c r="G11">
        <v>112.30206489676</v>
      </c>
      <c r="I11" s="9">
        <f t="shared" si="1"/>
        <v>297.50681879698999</v>
      </c>
      <c r="J11" s="9">
        <f t="shared" si="2"/>
        <v>1102.9954740194501</v>
      </c>
      <c r="K11" s="9">
        <f t="shared" si="3"/>
        <v>297.50681879698999</v>
      </c>
      <c r="L11" s="10">
        <f t="shared" si="0"/>
        <v>0.26972623714659394</v>
      </c>
      <c r="M11" s="10">
        <f t="shared" si="4"/>
        <v>0.27346282338439126</v>
      </c>
      <c r="P11" s="8">
        <f t="shared" si="5"/>
        <v>-26.572225070032442</v>
      </c>
    </row>
    <row r="12" spans="1:16" x14ac:dyDescent="0.2">
      <c r="A12" s="8">
        <v>5</v>
      </c>
      <c r="B12" s="8">
        <v>10</v>
      </c>
      <c r="D12">
        <v>1325.9213017751999</v>
      </c>
      <c r="E12">
        <v>413.03076923076998</v>
      </c>
      <c r="F12">
        <v>124.88554572271001</v>
      </c>
      <c r="G12">
        <v>111.88613569322</v>
      </c>
      <c r="I12" s="9">
        <f t="shared" si="1"/>
        <v>301.14463353754996</v>
      </c>
      <c r="J12" s="9">
        <f t="shared" si="2"/>
        <v>1201.0357560524899</v>
      </c>
      <c r="K12" s="9">
        <f t="shared" si="3"/>
        <v>301.14463353754996</v>
      </c>
      <c r="L12" s="10">
        <f t="shared" si="0"/>
        <v>0.25073744226178457</v>
      </c>
      <c r="M12" s="10">
        <f t="shared" si="4"/>
        <v>0.25488920474822602</v>
      </c>
      <c r="P12" s="8">
        <f t="shared" si="5"/>
        <v>-31.559445899440568</v>
      </c>
    </row>
    <row r="13" spans="1:16" x14ac:dyDescent="0.2">
      <c r="A13" s="8">
        <v>5.5</v>
      </c>
      <c r="B13" s="8">
        <v>11</v>
      </c>
      <c r="D13">
        <v>1371.8936545240999</v>
      </c>
      <c r="E13">
        <v>431.55111633373002</v>
      </c>
      <c r="F13">
        <v>124.79292035397999</v>
      </c>
      <c r="G13">
        <v>112.19410029498999</v>
      </c>
      <c r="I13" s="9">
        <f t="shared" si="1"/>
        <v>319.35701603874003</v>
      </c>
      <c r="J13" s="9">
        <f t="shared" si="2"/>
        <v>1247.1007341701199</v>
      </c>
      <c r="K13" s="9">
        <f t="shared" si="3"/>
        <v>319.35701603874003</v>
      </c>
      <c r="L13" s="10">
        <f t="shared" si="0"/>
        <v>0.25607956702170925</v>
      </c>
      <c r="M13" s="10">
        <f t="shared" si="4"/>
        <v>0.26064650575679488</v>
      </c>
      <c r="P13" s="8">
        <f t="shared" si="5"/>
        <v>-30.013547274430618</v>
      </c>
    </row>
    <row r="14" spans="1:16" x14ac:dyDescent="0.2">
      <c r="A14" s="8">
        <v>6</v>
      </c>
      <c r="B14" s="8">
        <v>12</v>
      </c>
      <c r="D14">
        <v>1358.6539365451999</v>
      </c>
      <c r="E14">
        <v>420.80317273795998</v>
      </c>
      <c r="F14">
        <v>125.52920353982</v>
      </c>
      <c r="G14">
        <v>112.19587020649</v>
      </c>
      <c r="I14" s="9">
        <f t="shared" si="1"/>
        <v>308.60730253147</v>
      </c>
      <c r="J14" s="9">
        <f t="shared" si="2"/>
        <v>1233.12473300538</v>
      </c>
      <c r="K14" s="9">
        <f t="shared" si="3"/>
        <v>308.60730253147</v>
      </c>
      <c r="L14" s="10">
        <f t="shared" si="0"/>
        <v>0.25026446576846301</v>
      </c>
      <c r="M14" s="10">
        <f t="shared" si="4"/>
        <v>0.25524658075219275</v>
      </c>
      <c r="P14" s="8">
        <f t="shared" si="5"/>
        <v>-31.463486512859696</v>
      </c>
    </row>
    <row r="15" spans="1:16" x14ac:dyDescent="0.2">
      <c r="A15" s="8">
        <v>6.5</v>
      </c>
      <c r="B15" s="8">
        <v>13</v>
      </c>
      <c r="D15">
        <v>1356.6935769004001</v>
      </c>
      <c r="E15">
        <v>414.92810842663999</v>
      </c>
      <c r="F15">
        <v>124.89557522123999</v>
      </c>
      <c r="G15">
        <v>112.29675516224</v>
      </c>
      <c r="I15" s="9">
        <f t="shared" si="1"/>
        <v>302.63135326439999</v>
      </c>
      <c r="J15" s="9">
        <f t="shared" si="2"/>
        <v>1231.7980016791601</v>
      </c>
      <c r="K15" s="9">
        <f t="shared" si="3"/>
        <v>302.63135326439999</v>
      </c>
      <c r="L15" s="10">
        <f t="shared" si="0"/>
        <v>0.24568261423696058</v>
      </c>
      <c r="M15" s="10">
        <f t="shared" si="4"/>
        <v>0.25107990546933451</v>
      </c>
      <c r="P15" s="8">
        <f t="shared" si="5"/>
        <v>-32.582284640844783</v>
      </c>
    </row>
    <row r="16" spans="1:16" x14ac:dyDescent="0.2">
      <c r="A16" s="8">
        <v>7</v>
      </c>
      <c r="B16" s="8">
        <v>14</v>
      </c>
      <c r="D16">
        <v>1357.7601410934999</v>
      </c>
      <c r="E16">
        <v>417.95238095238</v>
      </c>
      <c r="F16">
        <v>124.41297935103</v>
      </c>
      <c r="G16">
        <v>112.11032448378</v>
      </c>
      <c r="I16" s="9">
        <f t="shared" si="1"/>
        <v>305.84205646859999</v>
      </c>
      <c r="J16" s="9">
        <f t="shared" si="2"/>
        <v>1233.3471617424698</v>
      </c>
      <c r="K16" s="9">
        <f t="shared" si="3"/>
        <v>305.84205646859999</v>
      </c>
      <c r="L16" s="10">
        <f t="shared" si="0"/>
        <v>0.24797726540879789</v>
      </c>
      <c r="M16" s="10">
        <f t="shared" si="4"/>
        <v>0.25378973288981593</v>
      </c>
      <c r="P16" s="8">
        <f t="shared" si="5"/>
        <v>-31.854666182629444</v>
      </c>
    </row>
    <row r="17" spans="1:16" x14ac:dyDescent="0.2">
      <c r="A17" s="8">
        <v>7.5</v>
      </c>
      <c r="B17" s="8">
        <v>15</v>
      </c>
      <c r="D17">
        <v>1362.1287477953999</v>
      </c>
      <c r="E17">
        <v>427.68489124044999</v>
      </c>
      <c r="F17">
        <v>125.33156342183</v>
      </c>
      <c r="G17">
        <v>112.21769911504001</v>
      </c>
      <c r="I17" s="9">
        <f t="shared" si="1"/>
        <v>315.46719212540995</v>
      </c>
      <c r="J17" s="9">
        <f t="shared" si="2"/>
        <v>1236.79718437357</v>
      </c>
      <c r="K17" s="9">
        <f t="shared" si="3"/>
        <v>315.46719212540995</v>
      </c>
      <c r="L17" s="10">
        <f t="shared" si="0"/>
        <v>0.25506784468076882</v>
      </c>
      <c r="M17" s="10">
        <f t="shared" si="4"/>
        <v>0.26129548841043104</v>
      </c>
      <c r="P17" s="8">
        <f t="shared" si="5"/>
        <v>-29.83928829606241</v>
      </c>
    </row>
    <row r="18" spans="1:16" x14ac:dyDescent="0.2">
      <c r="A18" s="8">
        <v>8</v>
      </c>
      <c r="B18" s="8">
        <v>16</v>
      </c>
      <c r="D18">
        <v>1354.9711934156001</v>
      </c>
      <c r="E18">
        <v>429.93768371546003</v>
      </c>
      <c r="F18">
        <v>125.26253687316</v>
      </c>
      <c r="G18">
        <v>112.08908554572</v>
      </c>
      <c r="I18" s="9">
        <f t="shared" si="1"/>
        <v>317.84859816974006</v>
      </c>
      <c r="J18" s="9">
        <f t="shared" si="2"/>
        <v>1229.7086565424402</v>
      </c>
      <c r="K18" s="9">
        <f t="shared" si="3"/>
        <v>317.84859816974006</v>
      </c>
      <c r="L18" s="10">
        <f t="shared" si="0"/>
        <v>0.25847471795752974</v>
      </c>
      <c r="M18" s="10">
        <f t="shared" si="4"/>
        <v>0.26511753793583609</v>
      </c>
      <c r="P18" s="8">
        <f t="shared" si="5"/>
        <v>-28.81302597327441</v>
      </c>
    </row>
    <row r="19" spans="1:16" x14ac:dyDescent="0.2">
      <c r="A19" s="8">
        <v>8.5</v>
      </c>
      <c r="B19" s="8">
        <v>17</v>
      </c>
      <c r="D19">
        <v>1305.9367311072001</v>
      </c>
      <c r="E19">
        <v>439.30111306385999</v>
      </c>
      <c r="F19">
        <v>125.11091445428001</v>
      </c>
      <c r="G19">
        <v>112.20530973451</v>
      </c>
      <c r="I19" s="9">
        <f t="shared" si="1"/>
        <v>327.09580332935002</v>
      </c>
      <c r="J19" s="9">
        <f t="shared" si="2"/>
        <v>1180.8258166529201</v>
      </c>
      <c r="K19" s="9">
        <f t="shared" si="3"/>
        <v>327.09580332935002</v>
      </c>
      <c r="L19" s="10">
        <f t="shared" si="0"/>
        <v>0.27700597219030249</v>
      </c>
      <c r="M19" s="10">
        <f t="shared" si="4"/>
        <v>0.28406396841725301</v>
      </c>
      <c r="P19" s="8">
        <f t="shared" si="5"/>
        <v>-23.725701064176125</v>
      </c>
    </row>
    <row r="20" spans="1:16" x14ac:dyDescent="0.2">
      <c r="A20" s="8">
        <v>9</v>
      </c>
      <c r="B20" s="8">
        <v>18</v>
      </c>
      <c r="D20">
        <v>1274.4665492958</v>
      </c>
      <c r="E20">
        <v>455.24178403756002</v>
      </c>
      <c r="F20">
        <v>125.53864306785</v>
      </c>
      <c r="G20">
        <v>112.24542772861</v>
      </c>
      <c r="I20" s="9">
        <f t="shared" si="1"/>
        <v>342.99635630895</v>
      </c>
      <c r="J20" s="9">
        <f t="shared" si="2"/>
        <v>1148.92790622795</v>
      </c>
      <c r="K20" s="9">
        <f t="shared" si="3"/>
        <v>342.99635630895</v>
      </c>
      <c r="L20" s="10">
        <f t="shared" si="0"/>
        <v>0.29853601296450599</v>
      </c>
      <c r="M20" s="10">
        <f t="shared" si="4"/>
        <v>0.30600918544010064</v>
      </c>
      <c r="P20" s="8">
        <f t="shared" si="5"/>
        <v>-17.833168995647341</v>
      </c>
    </row>
    <row r="21" spans="1:16" x14ac:dyDescent="0.2">
      <c r="A21" s="8">
        <v>9.5</v>
      </c>
      <c r="B21" s="8">
        <v>19</v>
      </c>
      <c r="D21">
        <v>1344.8726525822001</v>
      </c>
      <c r="E21">
        <v>465.87265258216001</v>
      </c>
      <c r="F21">
        <v>125.58525073746</v>
      </c>
      <c r="G21">
        <v>112.24483775810999</v>
      </c>
      <c r="I21" s="9">
        <f t="shared" si="1"/>
        <v>353.62781482405001</v>
      </c>
      <c r="J21" s="9">
        <f t="shared" si="2"/>
        <v>1219.2874018447401</v>
      </c>
      <c r="K21" s="9">
        <f t="shared" si="3"/>
        <v>353.62781482405001</v>
      </c>
      <c r="L21" s="10">
        <f t="shared" si="0"/>
        <v>0.29002826920791869</v>
      </c>
      <c r="M21" s="10">
        <f t="shared" si="4"/>
        <v>0.29791661793215751</v>
      </c>
      <c r="P21" s="8">
        <f t="shared" si="5"/>
        <v>-20.006112353083374</v>
      </c>
    </row>
    <row r="22" spans="1:16" x14ac:dyDescent="0.2">
      <c r="A22" s="8">
        <v>10</v>
      </c>
      <c r="B22" s="8">
        <v>20</v>
      </c>
      <c r="D22">
        <v>1374.3987043581001</v>
      </c>
      <c r="E22">
        <v>466.18845700825</v>
      </c>
      <c r="F22">
        <v>125.87079646018</v>
      </c>
      <c r="G22">
        <v>112.22949852507</v>
      </c>
      <c r="I22" s="9">
        <f t="shared" si="1"/>
        <v>353.95895848318003</v>
      </c>
      <c r="J22" s="9">
        <f t="shared" si="2"/>
        <v>1248.5279078979202</v>
      </c>
      <c r="K22" s="9">
        <f t="shared" si="3"/>
        <v>353.95895848318003</v>
      </c>
      <c r="L22" s="10">
        <f t="shared" si="0"/>
        <v>0.28350103849830788</v>
      </c>
      <c r="M22" s="10">
        <f t="shared" si="4"/>
        <v>0.29180456347119083</v>
      </c>
      <c r="P22" s="8">
        <f t="shared" si="5"/>
        <v>-21.647266180741774</v>
      </c>
    </row>
    <row r="23" spans="1:16" x14ac:dyDescent="0.2">
      <c r="A23" s="8">
        <v>10.5</v>
      </c>
      <c r="B23" s="8">
        <v>21</v>
      </c>
      <c r="D23">
        <v>1352.7049469965</v>
      </c>
      <c r="E23">
        <v>455.85041224971002</v>
      </c>
      <c r="F23">
        <v>125.69026548673</v>
      </c>
      <c r="G23">
        <v>112.08141592920001</v>
      </c>
      <c r="I23" s="9">
        <f t="shared" si="1"/>
        <v>343.76899632051004</v>
      </c>
      <c r="J23" s="9">
        <f t="shared" si="2"/>
        <v>1227.0146815097701</v>
      </c>
      <c r="K23" s="9">
        <f t="shared" si="3"/>
        <v>343.76899632051004</v>
      </c>
      <c r="L23" s="10">
        <f t="shared" si="0"/>
        <v>0.2801669788478181</v>
      </c>
      <c r="M23" s="10">
        <f t="shared" si="4"/>
        <v>0.28888568006934517</v>
      </c>
      <c r="P23" s="8">
        <f t="shared" si="5"/>
        <v>-22.431018468621406</v>
      </c>
    </row>
    <row r="24" spans="1:16" x14ac:dyDescent="0.2">
      <c r="A24" s="8">
        <v>11</v>
      </c>
      <c r="B24" s="8">
        <v>22</v>
      </c>
      <c r="D24">
        <v>1283.0011695906001</v>
      </c>
      <c r="E24">
        <v>452.04912280702001</v>
      </c>
      <c r="F24">
        <v>125.47728613568999</v>
      </c>
      <c r="G24">
        <v>111.97935103245</v>
      </c>
      <c r="I24" s="9">
        <f t="shared" si="1"/>
        <v>340.06977177457003</v>
      </c>
      <c r="J24" s="9">
        <f t="shared" si="2"/>
        <v>1157.52388345491</v>
      </c>
      <c r="K24" s="9">
        <f t="shared" si="3"/>
        <v>340.06977177457003</v>
      </c>
      <c r="L24" s="10">
        <f t="shared" si="0"/>
        <v>0.2937907170947951</v>
      </c>
      <c r="M24" s="10">
        <f t="shared" si="4"/>
        <v>0.30292459456496634</v>
      </c>
      <c r="P24" s="8">
        <f t="shared" si="5"/>
        <v>-18.661415562135915</v>
      </c>
    </row>
    <row r="25" spans="1:16" x14ac:dyDescent="0.2">
      <c r="A25" s="8">
        <v>11.5</v>
      </c>
      <c r="B25" s="8">
        <v>23</v>
      </c>
      <c r="D25">
        <v>1285.3485380116999</v>
      </c>
      <c r="E25">
        <v>456.33391812866</v>
      </c>
      <c r="F25">
        <v>124.94336283186</v>
      </c>
      <c r="G25">
        <v>111.90324483776</v>
      </c>
      <c r="I25" s="9">
        <f t="shared" si="1"/>
        <v>344.43067329090002</v>
      </c>
      <c r="J25" s="9">
        <f t="shared" si="2"/>
        <v>1160.4051751798399</v>
      </c>
      <c r="K25" s="9">
        <f t="shared" si="3"/>
        <v>344.43067329090002</v>
      </c>
      <c r="L25" s="10">
        <f t="shared" si="0"/>
        <v>0.29681931850874421</v>
      </c>
      <c r="M25" s="10">
        <f t="shared" si="4"/>
        <v>0.30636837222755958</v>
      </c>
      <c r="P25" s="8">
        <f t="shared" si="5"/>
        <v>-17.736723393788399</v>
      </c>
    </row>
    <row r="26" spans="1:16" x14ac:dyDescent="0.2">
      <c r="A26" s="8">
        <v>12</v>
      </c>
      <c r="B26" s="8">
        <v>24</v>
      </c>
      <c r="D26">
        <v>1340.632748538</v>
      </c>
      <c r="E26">
        <v>459.75263157895</v>
      </c>
      <c r="F26">
        <v>125.25132743363</v>
      </c>
      <c r="G26">
        <v>112.14395280236</v>
      </c>
      <c r="I26" s="9">
        <f t="shared" si="1"/>
        <v>347.60867877659001</v>
      </c>
      <c r="J26" s="9">
        <f t="shared" si="2"/>
        <v>1215.38142110437</v>
      </c>
      <c r="K26" s="9">
        <f t="shared" si="3"/>
        <v>347.60867877659001</v>
      </c>
      <c r="L26" s="10">
        <f t="shared" si="0"/>
        <v>0.28600789245299757</v>
      </c>
      <c r="M26" s="10">
        <f t="shared" si="4"/>
        <v>0.29597212242045712</v>
      </c>
      <c r="P26" s="8">
        <f t="shared" si="5"/>
        <v>-20.5282307786098</v>
      </c>
    </row>
    <row r="27" spans="1:16" x14ac:dyDescent="0.2">
      <c r="A27" s="8">
        <v>12.5</v>
      </c>
      <c r="B27" s="8">
        <v>25</v>
      </c>
      <c r="D27">
        <v>1374.5216374269</v>
      </c>
      <c r="E27">
        <v>462.87719298245997</v>
      </c>
      <c r="F27">
        <v>125.38407079645999</v>
      </c>
      <c r="G27">
        <v>112.21474926254</v>
      </c>
      <c r="I27" s="9">
        <f t="shared" si="1"/>
        <v>350.66244371991996</v>
      </c>
      <c r="J27" s="9">
        <f t="shared" si="2"/>
        <v>1249.13756663044</v>
      </c>
      <c r="K27" s="9">
        <f t="shared" si="3"/>
        <v>350.66244371991996</v>
      </c>
      <c r="L27" s="10">
        <f t="shared" si="0"/>
        <v>0.28072363932327732</v>
      </c>
      <c r="M27" s="10">
        <f t="shared" si="4"/>
        <v>0.29110304553938099</v>
      </c>
      <c r="P27" s="8">
        <f t="shared" si="5"/>
        <v>-21.835631458949489</v>
      </c>
    </row>
    <row r="28" spans="1:16" x14ac:dyDescent="0.2">
      <c r="A28" s="8">
        <v>13</v>
      </c>
      <c r="B28" s="8">
        <v>26</v>
      </c>
      <c r="D28">
        <v>1377.6723329426</v>
      </c>
      <c r="E28">
        <v>463.66529894489997</v>
      </c>
      <c r="F28">
        <v>125.0401179941</v>
      </c>
      <c r="G28">
        <v>112.29262536873</v>
      </c>
      <c r="I28" s="9">
        <f t="shared" si="1"/>
        <v>351.37267357616997</v>
      </c>
      <c r="J28" s="9">
        <f t="shared" si="2"/>
        <v>1252.6322149484999</v>
      </c>
      <c r="K28" s="9">
        <f t="shared" si="3"/>
        <v>351.37267357616997</v>
      </c>
      <c r="L28" s="10">
        <f t="shared" si="0"/>
        <v>0.28050745412979511</v>
      </c>
      <c r="M28" s="10">
        <f t="shared" si="4"/>
        <v>0.29130203659454296</v>
      </c>
      <c r="P28" s="8">
        <f t="shared" si="5"/>
        <v>-21.782200172639062</v>
      </c>
    </row>
    <row r="29" spans="1:16" x14ac:dyDescent="0.2">
      <c r="A29" s="8">
        <v>13.5</v>
      </c>
      <c r="B29" s="8">
        <v>27</v>
      </c>
      <c r="D29">
        <v>1367.6884570082</v>
      </c>
      <c r="E29">
        <v>452.72968197879999</v>
      </c>
      <c r="F29">
        <v>125.1185840708</v>
      </c>
      <c r="G29">
        <v>112.26902654867</v>
      </c>
      <c r="I29" s="9">
        <f t="shared" si="1"/>
        <v>340.46065543012998</v>
      </c>
      <c r="J29" s="9">
        <f t="shared" si="2"/>
        <v>1242.5698729374001</v>
      </c>
      <c r="K29" s="9">
        <f t="shared" si="3"/>
        <v>340.46065543012998</v>
      </c>
      <c r="L29" s="10">
        <f t="shared" si="0"/>
        <v>0.27399719150222968</v>
      </c>
      <c r="M29" s="10">
        <f t="shared" si="4"/>
        <v>0.28520695021562165</v>
      </c>
      <c r="P29" s="8">
        <f t="shared" si="5"/>
        <v>-23.418797883696303</v>
      </c>
    </row>
    <row r="30" spans="1:16" x14ac:dyDescent="0.2">
      <c r="A30" s="8">
        <v>14</v>
      </c>
      <c r="B30" s="8">
        <v>28</v>
      </c>
      <c r="D30">
        <v>1364.8115429918</v>
      </c>
      <c r="E30">
        <v>446.49175500589001</v>
      </c>
      <c r="F30">
        <v>124.74572271386</v>
      </c>
      <c r="G30">
        <v>112.13156342182999</v>
      </c>
      <c r="I30" s="9">
        <f t="shared" si="1"/>
        <v>334.36019158406003</v>
      </c>
      <c r="J30" s="9">
        <f t="shared" si="2"/>
        <v>1240.06582027794</v>
      </c>
      <c r="K30" s="9">
        <f t="shared" si="3"/>
        <v>334.36019158406003</v>
      </c>
      <c r="L30" s="10">
        <f t="shared" si="0"/>
        <v>0.26963100354553665</v>
      </c>
      <c r="M30" s="10">
        <f t="shared" si="4"/>
        <v>0.2812559385075728</v>
      </c>
      <c r="P30" s="8">
        <f t="shared" si="5"/>
        <v>-24.479687970523496</v>
      </c>
    </row>
    <row r="31" spans="1:16" x14ac:dyDescent="0.2">
      <c r="A31" s="8">
        <v>14.5</v>
      </c>
      <c r="B31" s="8">
        <v>29</v>
      </c>
      <c r="D31">
        <v>1364.9263839811999</v>
      </c>
      <c r="E31">
        <v>450.93462897527002</v>
      </c>
      <c r="F31">
        <v>125.10560471976</v>
      </c>
      <c r="G31">
        <v>112.38289085546</v>
      </c>
      <c r="I31" s="9">
        <f t="shared" si="1"/>
        <v>338.55173811981001</v>
      </c>
      <c r="J31" s="9">
        <f t="shared" si="2"/>
        <v>1239.8207792614398</v>
      </c>
      <c r="K31" s="9">
        <f t="shared" si="3"/>
        <v>338.55173811981001</v>
      </c>
      <c r="L31" s="10">
        <f t="shared" si="0"/>
        <v>0.27306506213058068</v>
      </c>
      <c r="M31" s="10">
        <f t="shared" si="4"/>
        <v>0.28510517334126095</v>
      </c>
      <c r="P31" s="8">
        <f t="shared" si="5"/>
        <v>-23.446126093546336</v>
      </c>
    </row>
    <row r="32" spans="1:16" x14ac:dyDescent="0.2">
      <c r="A32" s="8">
        <v>15</v>
      </c>
      <c r="B32" s="8">
        <v>30</v>
      </c>
      <c r="D32">
        <v>1359.5765606596001</v>
      </c>
      <c r="E32">
        <v>466.18963486454999</v>
      </c>
      <c r="F32">
        <v>124.85722713864</v>
      </c>
      <c r="G32">
        <v>111.91622418879</v>
      </c>
      <c r="I32" s="9">
        <f t="shared" si="1"/>
        <v>354.27341067575998</v>
      </c>
      <c r="J32" s="9">
        <f t="shared" si="2"/>
        <v>1234.7193335209602</v>
      </c>
      <c r="K32" s="9">
        <f t="shared" si="3"/>
        <v>354.27341067575998</v>
      </c>
      <c r="L32" s="10">
        <f t="shared" si="0"/>
        <v>0.28692626822769834</v>
      </c>
      <c r="M32" s="10">
        <f t="shared" si="4"/>
        <v>0.29938155568702274</v>
      </c>
      <c r="P32" s="8">
        <f t="shared" si="5"/>
        <v>-19.612760458228347</v>
      </c>
    </row>
    <row r="33" spans="1:16" x14ac:dyDescent="0.2">
      <c r="A33" s="8">
        <v>15.5</v>
      </c>
      <c r="B33" s="8">
        <v>31</v>
      </c>
      <c r="D33">
        <v>1350.0602836879</v>
      </c>
      <c r="E33">
        <v>482.52777777777999</v>
      </c>
      <c r="F33">
        <v>124.71091445428</v>
      </c>
      <c r="G33">
        <v>112.18820058996999</v>
      </c>
      <c r="I33" s="9">
        <f t="shared" si="1"/>
        <v>370.33957718780999</v>
      </c>
      <c r="J33" s="9">
        <f t="shared" si="2"/>
        <v>1225.3493692336199</v>
      </c>
      <c r="K33" s="9">
        <f t="shared" si="3"/>
        <v>370.33957718780999</v>
      </c>
      <c r="L33" s="10">
        <f t="shared" si="0"/>
        <v>0.30223182586647468</v>
      </c>
      <c r="M33" s="10">
        <f t="shared" si="4"/>
        <v>0.31510228957444325</v>
      </c>
      <c r="P33" s="8">
        <f t="shared" si="5"/>
        <v>-15.391570552656288</v>
      </c>
    </row>
    <row r="34" spans="1:16" x14ac:dyDescent="0.2">
      <c r="A34" s="8">
        <v>16</v>
      </c>
      <c r="B34" s="8">
        <v>32</v>
      </c>
      <c r="D34">
        <v>1287.7020023557</v>
      </c>
      <c r="E34">
        <v>512.78386336867004</v>
      </c>
      <c r="F34">
        <v>125.24601769912</v>
      </c>
      <c r="G34">
        <v>112.13923303835</v>
      </c>
      <c r="I34" s="9">
        <f t="shared" si="1"/>
        <v>400.64463033032007</v>
      </c>
      <c r="J34" s="9">
        <f t="shared" si="2"/>
        <v>1162.4559846565799</v>
      </c>
      <c r="K34" s="9">
        <f t="shared" si="3"/>
        <v>400.64463033032007</v>
      </c>
      <c r="L34" s="10">
        <f t="shared" si="0"/>
        <v>0.34465359172173821</v>
      </c>
      <c r="M34" s="10">
        <f t="shared" si="4"/>
        <v>0.3579392316783509</v>
      </c>
      <c r="P34" s="8">
        <f t="shared" si="5"/>
        <v>-3.8893805856038361</v>
      </c>
    </row>
    <row r="35" spans="1:16" x14ac:dyDescent="0.2">
      <c r="A35" s="8">
        <v>16.5</v>
      </c>
      <c r="B35" s="8">
        <v>33</v>
      </c>
      <c r="D35">
        <v>1250.2726737338</v>
      </c>
      <c r="E35">
        <v>497.95700824498999</v>
      </c>
      <c r="F35">
        <v>125.15162241888</v>
      </c>
      <c r="G35">
        <v>111.96814159292001</v>
      </c>
      <c r="I35" s="9">
        <f t="shared" si="1"/>
        <v>385.98886665206999</v>
      </c>
      <c r="J35" s="9">
        <f t="shared" si="2"/>
        <v>1125.1210513149201</v>
      </c>
      <c r="K35" s="9">
        <f t="shared" si="3"/>
        <v>385.98886665206999</v>
      </c>
      <c r="L35" s="10">
        <f t="shared" si="0"/>
        <v>0.34306430068210692</v>
      </c>
      <c r="M35" s="10">
        <f t="shared" si="4"/>
        <v>0.35676511688736379</v>
      </c>
      <c r="P35" s="8">
        <f t="shared" si="5"/>
        <v>-4.2046433169234909</v>
      </c>
    </row>
    <row r="36" spans="1:16" x14ac:dyDescent="0.2">
      <c r="A36" s="8">
        <v>17</v>
      </c>
      <c r="B36" s="8">
        <v>34</v>
      </c>
      <c r="D36">
        <v>1206.9340400471001</v>
      </c>
      <c r="E36">
        <v>476.14193168434002</v>
      </c>
      <c r="F36">
        <v>125.21002949853001</v>
      </c>
      <c r="G36">
        <v>112.21002949853001</v>
      </c>
      <c r="I36" s="9">
        <f t="shared" si="1"/>
        <v>363.93190218581003</v>
      </c>
      <c r="J36" s="9">
        <f t="shared" si="2"/>
        <v>1081.72401054857</v>
      </c>
      <c r="K36" s="9">
        <f t="shared" si="3"/>
        <v>363.93190218581003</v>
      </c>
      <c r="L36" s="10">
        <f t="shared" si="0"/>
        <v>0.33643692719851048</v>
      </c>
      <c r="M36" s="10">
        <f t="shared" si="4"/>
        <v>0.35055291965241148</v>
      </c>
      <c r="P36" s="8">
        <f t="shared" si="5"/>
        <v>-5.8726865805135251</v>
      </c>
    </row>
    <row r="37" spans="1:16" x14ac:dyDescent="0.2">
      <c r="A37" s="8">
        <v>17.5</v>
      </c>
      <c r="B37" s="8">
        <v>35</v>
      </c>
      <c r="D37">
        <v>1267.4008215962001</v>
      </c>
      <c r="E37">
        <v>481.57922535210997</v>
      </c>
      <c r="F37">
        <v>125.20117994100001</v>
      </c>
      <c r="G37">
        <v>112.18230088496</v>
      </c>
      <c r="I37" s="9">
        <f t="shared" si="1"/>
        <v>369.39692446714997</v>
      </c>
      <c r="J37" s="9">
        <f t="shared" si="2"/>
        <v>1142.1996416552001</v>
      </c>
      <c r="K37" s="9">
        <f t="shared" si="3"/>
        <v>369.39692446714997</v>
      </c>
      <c r="L37" s="10">
        <f t="shared" si="0"/>
        <v>0.32340837012682333</v>
      </c>
      <c r="M37" s="10">
        <f t="shared" si="4"/>
        <v>0.3379395388293685</v>
      </c>
      <c r="P37" s="8">
        <f t="shared" si="5"/>
        <v>-9.2595180215043182</v>
      </c>
    </row>
    <row r="38" spans="1:16" x14ac:dyDescent="0.2">
      <c r="A38" s="8">
        <v>18</v>
      </c>
      <c r="B38" s="8">
        <v>36</v>
      </c>
      <c r="D38">
        <v>1336.2276995305001</v>
      </c>
      <c r="E38">
        <v>481.73591549295998</v>
      </c>
      <c r="F38">
        <v>124.99823008849999</v>
      </c>
      <c r="G38">
        <v>111.83067846608</v>
      </c>
      <c r="I38" s="9">
        <f t="shared" si="1"/>
        <v>369.90523702687995</v>
      </c>
      <c r="J38" s="9">
        <f t="shared" si="2"/>
        <v>1211.2294694420002</v>
      </c>
      <c r="K38" s="9">
        <f t="shared" si="3"/>
        <v>369.90523702687995</v>
      </c>
      <c r="L38" s="10">
        <f t="shared" si="0"/>
        <v>0.30539649699680038</v>
      </c>
      <c r="M38" s="10">
        <f t="shared" si="4"/>
        <v>0.32034284194798968</v>
      </c>
      <c r="P38" s="8">
        <f t="shared" si="5"/>
        <v>-13.984424618042063</v>
      </c>
    </row>
    <row r="39" spans="1:16" x14ac:dyDescent="0.2">
      <c r="A39" s="8">
        <v>18.5</v>
      </c>
      <c r="B39" s="8">
        <v>37</v>
      </c>
      <c r="D39">
        <v>1344.4115925059</v>
      </c>
      <c r="E39">
        <v>476.46955503512999</v>
      </c>
      <c r="F39">
        <v>125.29498525074</v>
      </c>
      <c r="G39">
        <v>112.26843657817</v>
      </c>
      <c r="I39" s="9">
        <f t="shared" si="1"/>
        <v>364.20111845695999</v>
      </c>
      <c r="J39" s="9">
        <f t="shared" si="2"/>
        <v>1219.11660725516</v>
      </c>
      <c r="K39" s="9">
        <f t="shared" si="3"/>
        <v>364.20111845695999</v>
      </c>
      <c r="L39" s="10">
        <f t="shared" si="0"/>
        <v>0.29874182362010349</v>
      </c>
      <c r="M39" s="10">
        <f t="shared" si="4"/>
        <v>0.31410334481993696</v>
      </c>
      <c r="P39" s="8">
        <f t="shared" si="5"/>
        <v>-15.659798203104611</v>
      </c>
    </row>
    <row r="40" spans="1:16" x14ac:dyDescent="0.2">
      <c r="A40" s="8">
        <v>19</v>
      </c>
      <c r="B40" s="8">
        <v>38</v>
      </c>
      <c r="D40">
        <v>1369.1377280752999</v>
      </c>
      <c r="E40">
        <v>474.19952913479</v>
      </c>
      <c r="F40">
        <v>125.06489675516001</v>
      </c>
      <c r="G40">
        <v>112.05840707965</v>
      </c>
      <c r="I40" s="9">
        <f t="shared" si="1"/>
        <v>362.14112205513999</v>
      </c>
      <c r="J40" s="9">
        <f t="shared" si="2"/>
        <v>1244.07283132014</v>
      </c>
      <c r="K40" s="9">
        <f t="shared" si="3"/>
        <v>362.14112205513999</v>
      </c>
      <c r="L40" s="10">
        <f t="shared" si="0"/>
        <v>0.29109318436835907</v>
      </c>
      <c r="M40" s="10">
        <f t="shared" si="4"/>
        <v>0.30686988181683666</v>
      </c>
      <c r="P40" s="8">
        <f t="shared" si="5"/>
        <v>-17.602062554735713</v>
      </c>
    </row>
    <row r="41" spans="1:16" x14ac:dyDescent="0.2">
      <c r="A41" s="8">
        <v>19.5</v>
      </c>
      <c r="B41" s="8">
        <v>39</v>
      </c>
      <c r="D41">
        <v>1374.9370958259999</v>
      </c>
      <c r="E41">
        <v>468.82480893591998</v>
      </c>
      <c r="F41">
        <v>125.18171091444999</v>
      </c>
      <c r="G41">
        <v>112.08259587021</v>
      </c>
      <c r="I41" s="9">
        <f t="shared" si="1"/>
        <v>356.74221306570996</v>
      </c>
      <c r="J41" s="9">
        <f t="shared" si="2"/>
        <v>1249.75538491155</v>
      </c>
      <c r="K41" s="9">
        <f t="shared" si="3"/>
        <v>356.74221306570996</v>
      </c>
      <c r="L41" s="10">
        <f t="shared" si="0"/>
        <v>0.28544963068189377</v>
      </c>
      <c r="M41" s="10">
        <f t="shared" si="4"/>
        <v>0.30164150437901549</v>
      </c>
      <c r="P41" s="8">
        <f t="shared" si="5"/>
        <v>-19.005939385238612</v>
      </c>
    </row>
    <row r="42" spans="1:16" x14ac:dyDescent="0.2">
      <c r="A42" s="8">
        <v>20</v>
      </c>
      <c r="B42" s="8">
        <v>40</v>
      </c>
      <c r="D42">
        <v>1376.0781893004</v>
      </c>
      <c r="E42">
        <v>462.71193415637998</v>
      </c>
      <c r="F42">
        <v>124.68495575221</v>
      </c>
      <c r="G42">
        <v>112.05840707965</v>
      </c>
      <c r="I42" s="9">
        <f t="shared" si="1"/>
        <v>350.65352707672997</v>
      </c>
      <c r="J42" s="9">
        <f t="shared" si="2"/>
        <v>1251.39323354819</v>
      </c>
      <c r="K42" s="9">
        <f t="shared" si="3"/>
        <v>350.65352707672997</v>
      </c>
      <c r="L42" s="10">
        <f t="shared" si="0"/>
        <v>0.28021050272302483</v>
      </c>
      <c r="M42" s="10">
        <f t="shared" si="4"/>
        <v>0.29681755266879073</v>
      </c>
      <c r="P42" s="8">
        <f t="shared" si="5"/>
        <v>-20.301223461032418</v>
      </c>
    </row>
    <row r="43" spans="1:16" x14ac:dyDescent="0.2">
      <c r="A43" s="8">
        <v>20.5</v>
      </c>
      <c r="B43" s="8">
        <v>41</v>
      </c>
      <c r="D43">
        <v>1376.1959976456999</v>
      </c>
      <c r="E43">
        <v>462.96998234255</v>
      </c>
      <c r="F43">
        <v>124.92507374631001</v>
      </c>
      <c r="G43">
        <v>111.81946902655</v>
      </c>
      <c r="I43" s="9">
        <f t="shared" si="1"/>
        <v>351.150513316</v>
      </c>
      <c r="J43" s="9">
        <f t="shared" si="2"/>
        <v>1251.2709238993898</v>
      </c>
      <c r="K43" s="9">
        <f t="shared" si="3"/>
        <v>351.150513316</v>
      </c>
      <c r="L43" s="10">
        <f t="shared" si="0"/>
        <v>0.28063507799069959</v>
      </c>
      <c r="M43" s="10">
        <f t="shared" si="4"/>
        <v>0.29765730418510961</v>
      </c>
      <c r="P43" s="8">
        <f t="shared" si="5"/>
        <v>-20.075740945441304</v>
      </c>
    </row>
    <row r="44" spans="1:16" x14ac:dyDescent="0.2">
      <c r="A44" s="8">
        <v>21</v>
      </c>
      <c r="B44" s="8">
        <v>42</v>
      </c>
      <c r="D44">
        <v>1350.4896998234001</v>
      </c>
      <c r="E44">
        <v>459.29899941142003</v>
      </c>
      <c r="F44">
        <v>124.61769911504</v>
      </c>
      <c r="G44">
        <v>112.09852507375</v>
      </c>
      <c r="I44" s="9">
        <f t="shared" si="1"/>
        <v>347.20047433767002</v>
      </c>
      <c r="J44" s="9">
        <f t="shared" si="2"/>
        <v>1225.87200070836</v>
      </c>
      <c r="K44" s="9">
        <f t="shared" si="3"/>
        <v>347.20047433767002</v>
      </c>
      <c r="L44" s="10">
        <f t="shared" si="0"/>
        <v>0.28322734684946149</v>
      </c>
      <c r="M44" s="10">
        <f t="shared" si="4"/>
        <v>0.30066474929251569</v>
      </c>
      <c r="P44" s="8">
        <f t="shared" si="5"/>
        <v>-19.268208865841448</v>
      </c>
    </row>
    <row r="45" spans="1:16" x14ac:dyDescent="0.2">
      <c r="A45" s="8">
        <v>21.5</v>
      </c>
      <c r="B45" s="8">
        <v>43</v>
      </c>
      <c r="D45">
        <v>1366.8548009368001</v>
      </c>
      <c r="E45">
        <v>468.84894613582998</v>
      </c>
      <c r="F45">
        <v>124.61002949853</v>
      </c>
      <c r="G45">
        <v>111.75693215339</v>
      </c>
      <c r="I45" s="9">
        <f t="shared" si="1"/>
        <v>357.09201398243999</v>
      </c>
      <c r="J45" s="9">
        <f t="shared" si="2"/>
        <v>1242.2447714382702</v>
      </c>
      <c r="K45" s="9">
        <f t="shared" si="3"/>
        <v>357.09201398243999</v>
      </c>
      <c r="L45" s="10">
        <f t="shared" si="0"/>
        <v>0.28745704726855004</v>
      </c>
      <c r="M45" s="10">
        <f t="shared" si="4"/>
        <v>0.30530962596024835</v>
      </c>
      <c r="P45" s="8">
        <f t="shared" si="5"/>
        <v>-18.021008407970363</v>
      </c>
    </row>
    <row r="46" spans="1:16" x14ac:dyDescent="0.2">
      <c r="A46" s="8">
        <v>22</v>
      </c>
      <c r="B46" s="8">
        <v>44</v>
      </c>
      <c r="D46">
        <v>1370.0175644028</v>
      </c>
      <c r="E46">
        <v>478.07962529273999</v>
      </c>
      <c r="F46">
        <v>124.78348082596</v>
      </c>
      <c r="G46">
        <v>111.98820058997001</v>
      </c>
      <c r="I46" s="9">
        <f t="shared" si="1"/>
        <v>366.09142470276998</v>
      </c>
      <c r="J46" s="9">
        <f t="shared" si="2"/>
        <v>1245.23408357684</v>
      </c>
      <c r="K46" s="9">
        <f t="shared" si="3"/>
        <v>366.09142470276998</v>
      </c>
      <c r="L46" s="10">
        <f t="shared" si="0"/>
        <v>0.29399406065982409</v>
      </c>
      <c r="M46" s="10">
        <f t="shared" si="4"/>
        <v>0.31226181560016658</v>
      </c>
      <c r="P46" s="8">
        <f t="shared" si="5"/>
        <v>-16.154269047085432</v>
      </c>
    </row>
    <row r="47" spans="1:16" x14ac:dyDescent="0.2">
      <c r="A47" s="8">
        <v>22.5</v>
      </c>
      <c r="B47" s="8">
        <v>45</v>
      </c>
      <c r="D47">
        <v>1346.8179156909</v>
      </c>
      <c r="E47">
        <v>480.79449648712</v>
      </c>
      <c r="F47">
        <v>124.74572271386</v>
      </c>
      <c r="G47">
        <v>112.03421828909001</v>
      </c>
      <c r="I47" s="9">
        <f t="shared" si="1"/>
        <v>368.76027819802999</v>
      </c>
      <c r="J47" s="9">
        <f t="shared" si="2"/>
        <v>1222.07219297704</v>
      </c>
      <c r="K47" s="9">
        <f t="shared" si="3"/>
        <v>368.76027819802999</v>
      </c>
      <c r="L47" s="10">
        <f t="shared" si="0"/>
        <v>0.30174999506347344</v>
      </c>
      <c r="M47" s="10">
        <f t="shared" si="4"/>
        <v>0.32043292625246006</v>
      </c>
      <c r="P47" s="8">
        <f t="shared" si="5"/>
        <v>-13.960235991772832</v>
      </c>
    </row>
    <row r="48" spans="1:16" x14ac:dyDescent="0.2">
      <c r="A48" s="8">
        <v>23</v>
      </c>
      <c r="B48" s="8">
        <v>46</v>
      </c>
      <c r="D48">
        <v>1360.9342337052001</v>
      </c>
      <c r="E48">
        <v>511.82677627715998</v>
      </c>
      <c r="F48">
        <v>124.84660766962</v>
      </c>
      <c r="G48">
        <v>111.96637168142</v>
      </c>
      <c r="I48" s="9">
        <f t="shared" si="1"/>
        <v>399.86040459573996</v>
      </c>
      <c r="J48" s="9">
        <f t="shared" si="2"/>
        <v>1236.0876260355801</v>
      </c>
      <c r="K48" s="9">
        <f t="shared" si="3"/>
        <v>399.86040459573996</v>
      </c>
      <c r="L48" s="10">
        <f t="shared" si="0"/>
        <v>0.32348872051909872</v>
      </c>
      <c r="M48" s="10">
        <f t="shared" si="4"/>
        <v>0.34258682795672951</v>
      </c>
      <c r="P48" s="8">
        <f t="shared" si="5"/>
        <v>-8.0116697916969049</v>
      </c>
    </row>
    <row r="49" spans="1:25" x14ac:dyDescent="0.2">
      <c r="A49" s="8">
        <v>23.5</v>
      </c>
      <c r="B49" s="8">
        <v>47</v>
      </c>
      <c r="D49">
        <v>1312.1219941349</v>
      </c>
      <c r="E49">
        <v>525.49970674486997</v>
      </c>
      <c r="F49">
        <v>124.41179941003</v>
      </c>
      <c r="G49">
        <v>112.04542772860999</v>
      </c>
      <c r="I49" s="9">
        <f t="shared" si="1"/>
        <v>413.45427901625999</v>
      </c>
      <c r="J49" s="9">
        <f t="shared" si="2"/>
        <v>1187.71019472487</v>
      </c>
      <c r="K49" s="9">
        <f t="shared" si="3"/>
        <v>413.45427901625999</v>
      </c>
      <c r="L49" s="10">
        <f t="shared" si="0"/>
        <v>0.3481104067748072</v>
      </c>
      <c r="M49" s="10">
        <f t="shared" si="4"/>
        <v>0.36762369046108212</v>
      </c>
      <c r="P49" s="8">
        <f t="shared" si="5"/>
        <v>-1.2889969173003357</v>
      </c>
    </row>
    <row r="50" spans="1:25" x14ac:dyDescent="0.2">
      <c r="A50" s="8">
        <v>24</v>
      </c>
      <c r="B50" s="8">
        <v>48</v>
      </c>
      <c r="D50">
        <v>1306.3049853371999</v>
      </c>
      <c r="E50">
        <v>524.01935483871</v>
      </c>
      <c r="F50">
        <v>125.00589970502</v>
      </c>
      <c r="G50">
        <v>111.66843657817</v>
      </c>
      <c r="I50" s="9">
        <f t="shared" si="1"/>
        <v>412.35091826053997</v>
      </c>
      <c r="J50" s="9">
        <f t="shared" si="2"/>
        <v>1181.2990856321799</v>
      </c>
      <c r="K50" s="9">
        <f t="shared" si="3"/>
        <v>412.35091826053997</v>
      </c>
      <c r="L50" s="10">
        <f t="shared" si="0"/>
        <v>0.3490656373782493</v>
      </c>
      <c r="M50" s="10">
        <f t="shared" si="4"/>
        <v>0.36899409731316835</v>
      </c>
      <c r="P50" s="8">
        <f t="shared" si="5"/>
        <v>-0.92102760925282623</v>
      </c>
    </row>
    <row r="51" spans="1:25" x14ac:dyDescent="0.2">
      <c r="A51" s="8">
        <v>24.5</v>
      </c>
      <c r="B51" s="8">
        <v>49</v>
      </c>
      <c r="D51">
        <v>1284.4082111437001</v>
      </c>
      <c r="E51">
        <v>505.70381231672002</v>
      </c>
      <c r="F51">
        <v>124.6412979351</v>
      </c>
      <c r="G51">
        <v>111.90737463127</v>
      </c>
      <c r="I51" s="9">
        <f t="shared" si="1"/>
        <v>393.79643768545003</v>
      </c>
      <c r="J51" s="9">
        <f t="shared" si="2"/>
        <v>1159.7669132086</v>
      </c>
      <c r="K51" s="9">
        <f t="shared" si="3"/>
        <v>393.79643768545003</v>
      </c>
      <c r="L51" s="10">
        <f t="shared" si="0"/>
        <v>0.33954791536169676</v>
      </c>
      <c r="M51" s="10">
        <f t="shared" si="4"/>
        <v>0.35989155154525998</v>
      </c>
      <c r="P51" s="8">
        <f t="shared" si="5"/>
        <v>-3.3651612346714468</v>
      </c>
    </row>
    <row r="52" spans="1:25" x14ac:dyDescent="0.2">
      <c r="A52" s="8">
        <v>25</v>
      </c>
      <c r="B52" s="8">
        <v>50</v>
      </c>
      <c r="D52">
        <v>1307.4803519062</v>
      </c>
      <c r="E52">
        <v>525.56070381231996</v>
      </c>
      <c r="F52">
        <v>124.36224188791</v>
      </c>
      <c r="G52">
        <v>112.04188790561</v>
      </c>
      <c r="I52" s="9">
        <f t="shared" si="1"/>
        <v>413.51881590670996</v>
      </c>
      <c r="J52" s="9">
        <f t="shared" si="2"/>
        <v>1183.1181100182901</v>
      </c>
      <c r="K52" s="9">
        <f t="shared" si="3"/>
        <v>413.51881590670996</v>
      </c>
      <c r="L52" s="10">
        <f t="shared" si="0"/>
        <v>0.34951609007178269</v>
      </c>
      <c r="M52" s="10">
        <f t="shared" si="4"/>
        <v>0.37027490250399003</v>
      </c>
      <c r="P52" s="8">
        <f t="shared" si="5"/>
        <v>-0.57711733246689212</v>
      </c>
    </row>
    <row r="53" spans="1:25" x14ac:dyDescent="0.2">
      <c r="A53" s="8">
        <v>25.5</v>
      </c>
      <c r="B53" s="8">
        <v>51</v>
      </c>
      <c r="D53">
        <v>1296.1788856305</v>
      </c>
      <c r="E53">
        <v>515.87096774194004</v>
      </c>
      <c r="F53">
        <v>124.85309734513</v>
      </c>
      <c r="G53">
        <v>111.66371681416</v>
      </c>
      <c r="I53" s="9">
        <f t="shared" si="1"/>
        <v>404.20725092778002</v>
      </c>
      <c r="J53" s="9">
        <f t="shared" si="2"/>
        <v>1171.32578828537</v>
      </c>
      <c r="K53" s="9">
        <f t="shared" si="3"/>
        <v>404.20725092778002</v>
      </c>
      <c r="L53" s="10">
        <f t="shared" si="0"/>
        <v>0.3450852486731924</v>
      </c>
      <c r="M53" s="10">
        <f t="shared" si="4"/>
        <v>0.36625923735404392</v>
      </c>
      <c r="P53" s="8">
        <f t="shared" si="5"/>
        <v>-1.6553675793382472</v>
      </c>
      <c r="S53" s="11"/>
      <c r="U53" s="12"/>
    </row>
    <row r="54" spans="1:25" x14ac:dyDescent="0.2">
      <c r="A54" s="8">
        <v>26</v>
      </c>
      <c r="B54" s="8">
        <v>52</v>
      </c>
      <c r="D54">
        <v>1346.9460726846</v>
      </c>
      <c r="E54">
        <v>512.51524032825</v>
      </c>
      <c r="F54">
        <v>124.99764011799</v>
      </c>
      <c r="G54">
        <v>111.57876106195</v>
      </c>
      <c r="I54" s="9">
        <f t="shared" si="1"/>
        <v>400.93647926630001</v>
      </c>
      <c r="J54" s="9">
        <f t="shared" si="2"/>
        <v>1221.9484325666101</v>
      </c>
      <c r="K54" s="9">
        <f t="shared" si="3"/>
        <v>400.93647926630001</v>
      </c>
      <c r="L54" s="10">
        <f t="shared" si="0"/>
        <v>0.32811243795629191</v>
      </c>
      <c r="M54" s="10">
        <f t="shared" si="4"/>
        <v>0.34970160288578755</v>
      </c>
      <c r="P54" s="8">
        <f t="shared" si="5"/>
        <v>-6.1012744929768647</v>
      </c>
      <c r="S54" s="11"/>
    </row>
    <row r="55" spans="1:25" x14ac:dyDescent="0.2">
      <c r="A55" s="8">
        <v>26.5</v>
      </c>
      <c r="B55" s="8">
        <v>53</v>
      </c>
      <c r="D55">
        <v>1355.3758823528999</v>
      </c>
      <c r="E55">
        <v>502.61588235293999</v>
      </c>
      <c r="F55">
        <v>124.801179941</v>
      </c>
      <c r="G55">
        <v>112.05191740412999</v>
      </c>
      <c r="I55" s="9">
        <f t="shared" si="1"/>
        <v>390.56396494881</v>
      </c>
      <c r="J55" s="9">
        <f t="shared" si="2"/>
        <v>1230.5747024118998</v>
      </c>
      <c r="K55" s="9">
        <f t="shared" si="3"/>
        <v>390.56396494881</v>
      </c>
      <c r="L55" s="10">
        <f t="shared" si="0"/>
        <v>0.3173833853266389</v>
      </c>
      <c r="M55" s="10">
        <f t="shared" si="4"/>
        <v>0.33938772650477872</v>
      </c>
      <c r="P55" s="8">
        <f t="shared" si="5"/>
        <v>-8.8706637071578953</v>
      </c>
      <c r="S55" s="11"/>
    </row>
    <row r="56" spans="1:25" x14ac:dyDescent="0.2">
      <c r="A56" s="8">
        <v>27</v>
      </c>
      <c r="B56" s="8">
        <v>54</v>
      </c>
      <c r="D56">
        <v>1397.9126099707</v>
      </c>
      <c r="E56">
        <v>501.33255131965001</v>
      </c>
      <c r="F56">
        <v>124.79646017699</v>
      </c>
      <c r="G56">
        <v>111.95575221239</v>
      </c>
      <c r="I56" s="9">
        <f t="shared" si="1"/>
        <v>389.37679910726001</v>
      </c>
      <c r="J56" s="9">
        <f t="shared" si="2"/>
        <v>1273.1161497937101</v>
      </c>
      <c r="K56" s="9">
        <f t="shared" si="3"/>
        <v>389.37679910726001</v>
      </c>
      <c r="L56" s="10">
        <f t="shared" si="0"/>
        <v>0.30584546364473725</v>
      </c>
      <c r="M56" s="10">
        <f t="shared" si="4"/>
        <v>0.32826498107152119</v>
      </c>
      <c r="P56" s="8">
        <f t="shared" si="5"/>
        <v>-11.857243155760104</v>
      </c>
      <c r="S56" s="11"/>
    </row>
    <row r="57" spans="1:25" x14ac:dyDescent="0.2">
      <c r="A57" s="8">
        <v>27.5</v>
      </c>
      <c r="B57" s="8">
        <v>55</v>
      </c>
      <c r="D57">
        <v>1393.946627566</v>
      </c>
      <c r="E57">
        <v>489.92727272727001</v>
      </c>
      <c r="F57">
        <v>124.77227138643001</v>
      </c>
      <c r="G57">
        <v>111.62713864307</v>
      </c>
      <c r="I57" s="9">
        <f t="shared" si="1"/>
        <v>378.30013408420001</v>
      </c>
      <c r="J57" s="9">
        <f t="shared" si="2"/>
        <v>1269.1743561795699</v>
      </c>
      <c r="K57" s="9">
        <f t="shared" si="3"/>
        <v>378.30013408420001</v>
      </c>
      <c r="L57" s="10">
        <f t="shared" si="0"/>
        <v>0.29806789921516186</v>
      </c>
      <c r="M57" s="10">
        <f t="shared" si="4"/>
        <v>0.32090259289058998</v>
      </c>
      <c r="P57" s="8">
        <f t="shared" si="5"/>
        <v>-13.834125335231256</v>
      </c>
      <c r="S57" s="11"/>
    </row>
    <row r="58" spans="1:25" x14ac:dyDescent="0.2">
      <c r="A58" s="8">
        <v>28</v>
      </c>
      <c r="B58" s="8">
        <v>56</v>
      </c>
      <c r="D58">
        <v>1374.1102639296</v>
      </c>
      <c r="E58">
        <v>481.41935483870998</v>
      </c>
      <c r="F58">
        <v>124.6407079646</v>
      </c>
      <c r="G58">
        <v>111.93923303835</v>
      </c>
      <c r="I58" s="9">
        <f t="shared" si="1"/>
        <v>369.48012180036</v>
      </c>
      <c r="J58" s="9">
        <f t="shared" si="2"/>
        <v>1249.4695559649999</v>
      </c>
      <c r="K58" s="9">
        <f t="shared" si="3"/>
        <v>369.48012180036</v>
      </c>
      <c r="L58" s="10">
        <f t="shared" si="0"/>
        <v>0.29570958334795144</v>
      </c>
      <c r="M58" s="10">
        <f t="shared" si="4"/>
        <v>0.31895945327202369</v>
      </c>
      <c r="P58" s="8">
        <f t="shared" si="5"/>
        <v>-14.355879688542498</v>
      </c>
      <c r="S58" s="11"/>
    </row>
    <row r="59" spans="1:25" x14ac:dyDescent="0.2">
      <c r="A59" s="8">
        <v>28.5</v>
      </c>
      <c r="B59" s="8">
        <v>57</v>
      </c>
      <c r="D59">
        <v>1279.7106033978</v>
      </c>
      <c r="E59">
        <v>472.05038078500002</v>
      </c>
      <c r="F59">
        <v>124.82123893805</v>
      </c>
      <c r="G59">
        <v>111.82890855457001</v>
      </c>
      <c r="I59" s="9">
        <f t="shared" si="1"/>
        <v>360.22147223042998</v>
      </c>
      <c r="J59" s="9">
        <f t="shared" si="2"/>
        <v>1154.8893644597499</v>
      </c>
      <c r="K59" s="9">
        <f t="shared" si="3"/>
        <v>360.22147223042998</v>
      </c>
      <c r="L59" s="10">
        <f t="shared" si="0"/>
        <v>0.31190993987457782</v>
      </c>
      <c r="M59" s="10">
        <f t="shared" si="4"/>
        <v>0.33557498604729419</v>
      </c>
      <c r="P59" s="8">
        <f t="shared" si="5"/>
        <v>-9.8944264428516977</v>
      </c>
      <c r="R59" s="1"/>
      <c r="S59" s="11"/>
    </row>
    <row r="60" spans="1:25" x14ac:dyDescent="0.2">
      <c r="A60" s="8">
        <v>29</v>
      </c>
      <c r="B60" s="8">
        <v>58</v>
      </c>
      <c r="D60">
        <v>1312.9362200117</v>
      </c>
      <c r="E60">
        <v>513.12638970158002</v>
      </c>
      <c r="F60">
        <v>124.82359882006</v>
      </c>
      <c r="G60">
        <v>112.04365781711</v>
      </c>
      <c r="I60" s="9">
        <f t="shared" si="1"/>
        <v>401.08273188447004</v>
      </c>
      <c r="J60" s="9">
        <f t="shared" si="2"/>
        <v>1188.1126211916401</v>
      </c>
      <c r="K60" s="9">
        <f t="shared" si="3"/>
        <v>401.08273188447004</v>
      </c>
      <c r="L60" s="10">
        <f t="shared" si="0"/>
        <v>0.3375797249609187</v>
      </c>
      <c r="M60" s="10">
        <f t="shared" si="4"/>
        <v>0.36165994738227925</v>
      </c>
      <c r="P60" s="8">
        <f t="shared" si="5"/>
        <v>-2.8903275080949453</v>
      </c>
      <c r="S60" s="11"/>
    </row>
    <row r="61" spans="1:25" x14ac:dyDescent="0.2">
      <c r="A61" s="8">
        <v>29.5</v>
      </c>
      <c r="B61" s="8">
        <v>59</v>
      </c>
      <c r="C61" s="2"/>
      <c r="D61">
        <v>1315.0713867759</v>
      </c>
      <c r="E61">
        <v>536.33001755413</v>
      </c>
      <c r="F61">
        <v>124.93923303835</v>
      </c>
      <c r="G61">
        <v>111.81415929204</v>
      </c>
      <c r="I61" s="9">
        <f t="shared" si="1"/>
        <v>424.51585826208998</v>
      </c>
      <c r="J61" s="9">
        <f t="shared" si="2"/>
        <v>1190.13215373755</v>
      </c>
      <c r="K61" s="9">
        <f t="shared" si="3"/>
        <v>424.51585826208998</v>
      </c>
      <c r="L61" s="10">
        <f t="shared" si="0"/>
        <v>0.35669640294056365</v>
      </c>
      <c r="M61" s="10">
        <f t="shared" si="4"/>
        <v>0.38119180161056831</v>
      </c>
      <c r="P61" s="8">
        <f t="shared" si="5"/>
        <v>2.3541901140455903</v>
      </c>
      <c r="S61" s="11"/>
    </row>
    <row r="62" spans="1:25" x14ac:dyDescent="0.2">
      <c r="A62" s="8">
        <v>30</v>
      </c>
      <c r="B62" s="8">
        <v>60</v>
      </c>
      <c r="D62">
        <v>1339.9215915740001</v>
      </c>
      <c r="E62">
        <v>537.14160327676996</v>
      </c>
      <c r="F62">
        <v>124.61887905605001</v>
      </c>
      <c r="G62">
        <v>111.96814159292001</v>
      </c>
      <c r="I62" s="9">
        <f t="shared" si="1"/>
        <v>425.17346168384995</v>
      </c>
      <c r="J62" s="9">
        <f t="shared" si="2"/>
        <v>1215.3027125179501</v>
      </c>
      <c r="K62" s="9">
        <f t="shared" si="3"/>
        <v>425.17346168384995</v>
      </c>
      <c r="L62" s="10">
        <f t="shared" si="0"/>
        <v>0.34984984177558981</v>
      </c>
      <c r="M62" s="10">
        <f t="shared" si="4"/>
        <v>0.37476041669423865</v>
      </c>
      <c r="P62" s="8">
        <f t="shared" si="5"/>
        <v>0.62729254793497369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1317.642480983</v>
      </c>
      <c r="E63">
        <v>540.76360444705006</v>
      </c>
      <c r="F63">
        <v>124.44247787611</v>
      </c>
      <c r="G63">
        <v>111.79233038348001</v>
      </c>
      <c r="I63" s="9">
        <f t="shared" si="1"/>
        <v>428.97127406357004</v>
      </c>
      <c r="J63" s="9">
        <f t="shared" si="2"/>
        <v>1193.2000031068901</v>
      </c>
      <c r="K63" s="9">
        <f t="shared" si="3"/>
        <v>428.97127406357004</v>
      </c>
      <c r="L63" s="10">
        <f t="shared" si="0"/>
        <v>0.3595133028382515</v>
      </c>
      <c r="M63" s="10">
        <f t="shared" si="4"/>
        <v>0.38483905400554447</v>
      </c>
      <c r="P63" s="8">
        <f t="shared" si="5"/>
        <v>3.3335174853374796</v>
      </c>
    </row>
    <row r="64" spans="1:25" x14ac:dyDescent="0.2">
      <c r="A64" s="8">
        <v>31</v>
      </c>
      <c r="B64" s="8">
        <v>62</v>
      </c>
      <c r="D64">
        <v>1389.1704879483</v>
      </c>
      <c r="E64">
        <v>542.41446208112995</v>
      </c>
      <c r="F64">
        <v>124.82241887906</v>
      </c>
      <c r="G64">
        <v>111.63421828909</v>
      </c>
      <c r="I64" s="9">
        <f t="shared" si="1"/>
        <v>430.78024379203998</v>
      </c>
      <c r="J64" s="9">
        <f t="shared" si="2"/>
        <v>1264.34806906924</v>
      </c>
      <c r="K64" s="9">
        <f t="shared" si="3"/>
        <v>430.78024379203998</v>
      </c>
      <c r="L64" s="10">
        <f t="shared" si="0"/>
        <v>0.34071333229398004</v>
      </c>
      <c r="M64" s="10">
        <f t="shared" si="4"/>
        <v>0.36645425970991719</v>
      </c>
      <c r="P64" s="8">
        <f t="shared" si="5"/>
        <v>-1.6030019324245339</v>
      </c>
      <c r="U64" s="8">
        <v>30.5</v>
      </c>
      <c r="V64" s="10">
        <f>L62</f>
        <v>0.34984984177558981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1399.8447971781</v>
      </c>
      <c r="E65">
        <v>522.65490887712997</v>
      </c>
      <c r="F65">
        <v>124.69321533922999</v>
      </c>
      <c r="G65">
        <v>111.58525073746</v>
      </c>
      <c r="I65" s="9">
        <f t="shared" si="1"/>
        <v>411.06965813966997</v>
      </c>
      <c r="J65" s="9">
        <f t="shared" si="2"/>
        <v>1275.15158183887</v>
      </c>
      <c r="K65" s="9">
        <f t="shared" si="3"/>
        <v>411.06965813966997</v>
      </c>
      <c r="L65" s="10">
        <f t="shared" si="0"/>
        <v>0.32236924926750654</v>
      </c>
      <c r="M65" s="10">
        <f t="shared" si="4"/>
        <v>0.34852535293208781</v>
      </c>
      <c r="P65" s="8">
        <f t="shared" si="5"/>
        <v>-6.4171105389619729</v>
      </c>
      <c r="U65" s="8">
        <v>31</v>
      </c>
      <c r="V65" s="10">
        <f t="shared" ref="V65:V83" si="6">L63</f>
        <v>0.3595133028382515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1374.2392710171</v>
      </c>
      <c r="E66">
        <v>501.67666078777</v>
      </c>
      <c r="F66">
        <v>124.69793510325</v>
      </c>
      <c r="G66">
        <v>111.60766961652</v>
      </c>
      <c r="I66" s="9">
        <f t="shared" si="1"/>
        <v>390.06899117124999</v>
      </c>
      <c r="J66" s="9">
        <f t="shared" si="2"/>
        <v>1249.5413359138499</v>
      </c>
      <c r="K66" s="9">
        <f t="shared" si="3"/>
        <v>390.06899117124999</v>
      </c>
      <c r="L66" s="10">
        <f t="shared" ref="L66:L129" si="7">K66/J66</f>
        <v>0.31216973777500023</v>
      </c>
      <c r="M66" s="10">
        <f t="shared" si="4"/>
        <v>0.33874101768822568</v>
      </c>
      <c r="P66" s="8">
        <f t="shared" si="5"/>
        <v>-9.0443121352673845</v>
      </c>
      <c r="U66" s="8">
        <v>31.5</v>
      </c>
      <c r="V66" s="10">
        <f t="shared" si="6"/>
        <v>0.34071333229398004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1371.4909090909</v>
      </c>
      <c r="E67">
        <v>499.51436950147001</v>
      </c>
      <c r="F67">
        <v>124.61592920354001</v>
      </c>
      <c r="G67">
        <v>111.66666666667</v>
      </c>
      <c r="I67" s="9">
        <f t="shared" ref="I67:I130" si="8">E67-G67</f>
        <v>387.84770283480003</v>
      </c>
      <c r="J67" s="9">
        <f t="shared" ref="J67:J130" si="9">D67-F67</f>
        <v>1246.87497988736</v>
      </c>
      <c r="K67" s="9">
        <f t="shared" ref="K67:K130" si="10">I67*1</f>
        <v>387.84770283480003</v>
      </c>
      <c r="L67" s="10">
        <f t="shared" si="7"/>
        <v>0.31105580678973715</v>
      </c>
      <c r="M67" s="10">
        <f t="shared" ref="M67:M130" si="11">L67+ABS($N$2)*A67</f>
        <v>0.33804226295160672</v>
      </c>
      <c r="P67" s="8">
        <f t="shared" ref="P67:P130" si="12">(M67-$O$2)/$O$2*100</f>
        <v>-9.2319354651837333</v>
      </c>
      <c r="U67" s="8">
        <v>32</v>
      </c>
      <c r="V67" s="10">
        <f t="shared" si="6"/>
        <v>0.32236924926750654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1342.6</v>
      </c>
      <c r="E68">
        <v>491.29384164223001</v>
      </c>
      <c r="F68">
        <v>124.54454277286</v>
      </c>
      <c r="G68">
        <v>111.82772861357</v>
      </c>
      <c r="I68" s="9">
        <f t="shared" si="8"/>
        <v>379.46611302866</v>
      </c>
      <c r="J68" s="9">
        <f t="shared" si="9"/>
        <v>1218.0554572271399</v>
      </c>
      <c r="K68" s="9">
        <f t="shared" si="10"/>
        <v>379.46611302866</v>
      </c>
      <c r="L68" s="10">
        <f t="shared" si="7"/>
        <v>0.31153434827384724</v>
      </c>
      <c r="M68" s="10">
        <f t="shared" si="11"/>
        <v>0.33893598068436093</v>
      </c>
      <c r="P68" s="8">
        <f t="shared" si="12"/>
        <v>-8.9919624270960163</v>
      </c>
      <c r="U68" s="8">
        <v>32.5</v>
      </c>
      <c r="V68" s="10">
        <f t="shared" si="6"/>
        <v>0.31216973777500023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1360.3953079179</v>
      </c>
      <c r="E69">
        <v>505.52375366568998</v>
      </c>
      <c r="F69">
        <v>124.86666666667</v>
      </c>
      <c r="G69">
        <v>111.77463126844</v>
      </c>
      <c r="I69" s="9">
        <f t="shared" si="8"/>
        <v>393.74912239724995</v>
      </c>
      <c r="J69" s="9">
        <f t="shared" si="9"/>
        <v>1235.5286412512301</v>
      </c>
      <c r="K69" s="9">
        <f t="shared" si="10"/>
        <v>393.74912239724995</v>
      </c>
      <c r="L69" s="10">
        <f t="shared" si="7"/>
        <v>0.31868878571564069</v>
      </c>
      <c r="M69" s="10">
        <f t="shared" si="11"/>
        <v>0.34650559437479855</v>
      </c>
      <c r="P69" s="8">
        <f t="shared" si="12"/>
        <v>-6.9594379197812861</v>
      </c>
      <c r="U69" s="8">
        <v>33</v>
      </c>
      <c r="V69" s="10">
        <f t="shared" si="6"/>
        <v>0.31105580678973715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1349.2023460411001</v>
      </c>
      <c r="E70">
        <v>509.27859237537001</v>
      </c>
      <c r="F70">
        <v>124.44306784661001</v>
      </c>
      <c r="G70">
        <v>111.49321533923001</v>
      </c>
      <c r="I70" s="9">
        <f t="shared" si="8"/>
        <v>397.78537703614001</v>
      </c>
      <c r="J70" s="9">
        <f t="shared" si="9"/>
        <v>1224.75927819449</v>
      </c>
      <c r="K70" s="9">
        <f t="shared" si="10"/>
        <v>397.78537703614001</v>
      </c>
      <c r="L70" s="10">
        <f t="shared" si="7"/>
        <v>0.32478657979431308</v>
      </c>
      <c r="M70" s="10">
        <f t="shared" si="11"/>
        <v>0.35301856470211507</v>
      </c>
      <c r="P70" s="8">
        <f t="shared" si="12"/>
        <v>-5.2106337737510628</v>
      </c>
      <c r="U70" s="8">
        <v>33.5</v>
      </c>
      <c r="V70" s="10">
        <f t="shared" si="6"/>
        <v>0.31153434827384724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1355.884592853</v>
      </c>
      <c r="E71">
        <v>542.91446983010997</v>
      </c>
      <c r="F71">
        <v>124.60294985250999</v>
      </c>
      <c r="G71">
        <v>111.66076696165</v>
      </c>
      <c r="I71" s="9">
        <f t="shared" si="8"/>
        <v>431.25370286845998</v>
      </c>
      <c r="J71" s="9">
        <f t="shared" si="9"/>
        <v>1231.28164300049</v>
      </c>
      <c r="K71" s="9">
        <f t="shared" si="10"/>
        <v>431.25370286845998</v>
      </c>
      <c r="L71" s="10">
        <f t="shared" si="7"/>
        <v>0.35024781317907488</v>
      </c>
      <c r="M71" s="10">
        <f t="shared" si="11"/>
        <v>0.37889497433552105</v>
      </c>
      <c r="P71" s="8">
        <f t="shared" si="12"/>
        <v>1.7374667360085032</v>
      </c>
      <c r="U71" s="8">
        <v>34</v>
      </c>
      <c r="V71" s="10">
        <f t="shared" si="6"/>
        <v>0.31868878571564069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1318.7316068276</v>
      </c>
      <c r="E72">
        <v>578.85638610948001</v>
      </c>
      <c r="F72">
        <v>124.14867256637</v>
      </c>
      <c r="G72">
        <v>111.7197640118</v>
      </c>
      <c r="I72" s="9">
        <f t="shared" si="8"/>
        <v>467.13662209768</v>
      </c>
      <c r="J72" s="9">
        <f t="shared" si="9"/>
        <v>1194.5829342612301</v>
      </c>
      <c r="K72" s="9">
        <f t="shared" si="10"/>
        <v>467.13662209768</v>
      </c>
      <c r="L72" s="10">
        <f t="shared" si="7"/>
        <v>0.39104578568801746</v>
      </c>
      <c r="M72" s="10">
        <f t="shared" si="11"/>
        <v>0.42010812309310774</v>
      </c>
      <c r="P72" s="8">
        <f t="shared" si="12"/>
        <v>12.803650335208763</v>
      </c>
      <c r="U72" s="8">
        <v>34.5</v>
      </c>
      <c r="V72" s="10">
        <f t="shared" si="6"/>
        <v>0.32478657979431308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1365.7680988817001</v>
      </c>
      <c r="E73">
        <v>578.12595644497003</v>
      </c>
      <c r="F73">
        <v>124.49262536873</v>
      </c>
      <c r="G73">
        <v>111.53687315633999</v>
      </c>
      <c r="I73" s="9">
        <f t="shared" si="8"/>
        <v>466.58908328863004</v>
      </c>
      <c r="J73" s="9">
        <f t="shared" si="9"/>
        <v>1241.2754735129702</v>
      </c>
      <c r="K73" s="9">
        <f t="shared" si="10"/>
        <v>466.58908328863004</v>
      </c>
      <c r="L73" s="10">
        <f t="shared" si="7"/>
        <v>0.37589487043365366</v>
      </c>
      <c r="M73" s="10">
        <f t="shared" si="11"/>
        <v>0.40537238408738813</v>
      </c>
      <c r="P73" s="8">
        <f t="shared" si="12"/>
        <v>8.8469423858514205</v>
      </c>
      <c r="U73" s="8">
        <v>35</v>
      </c>
      <c r="V73" s="10">
        <f t="shared" si="6"/>
        <v>0.35024781317907488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1386.5351288055999</v>
      </c>
      <c r="E74">
        <v>569.29039812645999</v>
      </c>
      <c r="F74">
        <v>124.47197640118</v>
      </c>
      <c r="G74">
        <v>111.67964601769999</v>
      </c>
      <c r="I74" s="9">
        <f t="shared" si="8"/>
        <v>457.61075210875998</v>
      </c>
      <c r="J74" s="9">
        <f t="shared" si="9"/>
        <v>1262.06315240442</v>
      </c>
      <c r="K74" s="9">
        <f t="shared" si="10"/>
        <v>457.61075210875998</v>
      </c>
      <c r="L74" s="10">
        <f t="shared" si="7"/>
        <v>0.36258942449666065</v>
      </c>
      <c r="M74" s="10">
        <f t="shared" si="11"/>
        <v>0.39248211439903924</v>
      </c>
      <c r="P74" s="8">
        <f t="shared" si="12"/>
        <v>5.3857632400038025</v>
      </c>
      <c r="U74" s="8">
        <v>35.5</v>
      </c>
      <c r="V74" s="10">
        <f t="shared" si="6"/>
        <v>0.39104578568801746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1398.5997659449999</v>
      </c>
      <c r="E75">
        <v>559.84610883558003</v>
      </c>
      <c r="F75">
        <v>124.81297935102999</v>
      </c>
      <c r="G75">
        <v>111.601179941</v>
      </c>
      <c r="I75" s="9">
        <f t="shared" si="8"/>
        <v>448.24492889458003</v>
      </c>
      <c r="J75" s="9">
        <f t="shared" si="9"/>
        <v>1273.78678659397</v>
      </c>
      <c r="K75" s="9">
        <f t="shared" si="10"/>
        <v>448.24492889458003</v>
      </c>
      <c r="L75" s="10">
        <f t="shared" si="7"/>
        <v>0.35189949653439279</v>
      </c>
      <c r="M75" s="10">
        <f t="shared" si="11"/>
        <v>0.38220736268541555</v>
      </c>
      <c r="P75" s="8">
        <f t="shared" si="12"/>
        <v>2.6268794292096467</v>
      </c>
      <c r="U75" s="8">
        <v>36</v>
      </c>
      <c r="V75" s="10">
        <f t="shared" si="6"/>
        <v>0.37589487043365366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1390.7097717964</v>
      </c>
      <c r="E76">
        <v>539.58045640726004</v>
      </c>
      <c r="F76">
        <v>124.60589970501999</v>
      </c>
      <c r="G76">
        <v>111.59528023599</v>
      </c>
      <c r="I76" s="9">
        <f t="shared" si="8"/>
        <v>427.98517617127004</v>
      </c>
      <c r="J76" s="9">
        <f t="shared" si="9"/>
        <v>1266.10387209138</v>
      </c>
      <c r="K76" s="9">
        <f t="shared" si="10"/>
        <v>427.98517617127004</v>
      </c>
      <c r="L76" s="10">
        <f t="shared" si="7"/>
        <v>0.33803322587136087</v>
      </c>
      <c r="M76" s="10">
        <f t="shared" si="11"/>
        <v>0.36875626827102775</v>
      </c>
      <c r="P76" s="8">
        <f t="shared" si="12"/>
        <v>-0.98488732210879282</v>
      </c>
      <c r="U76" s="8">
        <v>36.5</v>
      </c>
      <c r="V76" s="10">
        <f t="shared" si="6"/>
        <v>0.36258942449666065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1382.0229546792</v>
      </c>
      <c r="E77">
        <v>528.27133608004999</v>
      </c>
      <c r="F77">
        <v>124.59469026549</v>
      </c>
      <c r="G77">
        <v>111.48200589971</v>
      </c>
      <c r="I77" s="9">
        <f t="shared" si="8"/>
        <v>416.78933018034002</v>
      </c>
      <c r="J77" s="9">
        <f t="shared" si="9"/>
        <v>1257.4282644137099</v>
      </c>
      <c r="K77" s="9">
        <f t="shared" si="10"/>
        <v>416.78933018034002</v>
      </c>
      <c r="L77" s="10">
        <f t="shared" si="7"/>
        <v>0.33146171592911722</v>
      </c>
      <c r="M77" s="10">
        <f t="shared" si="11"/>
        <v>0.36259993457742828</v>
      </c>
      <c r="P77" s="8">
        <f t="shared" si="12"/>
        <v>-2.6379306105999025</v>
      </c>
      <c r="U77" s="8">
        <v>37</v>
      </c>
      <c r="V77" s="10">
        <f t="shared" si="6"/>
        <v>0.35189949653439279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1338.0739644969999</v>
      </c>
      <c r="E78">
        <v>517.10414201183005</v>
      </c>
      <c r="F78">
        <v>124.63952802359999</v>
      </c>
      <c r="G78">
        <v>111.46430678466</v>
      </c>
      <c r="I78" s="9">
        <f t="shared" si="8"/>
        <v>405.63983522717007</v>
      </c>
      <c r="J78" s="9">
        <f t="shared" si="9"/>
        <v>1213.4344364734</v>
      </c>
      <c r="K78" s="9">
        <f t="shared" si="10"/>
        <v>405.63983522717007</v>
      </c>
      <c r="L78" s="10">
        <f t="shared" si="7"/>
        <v>0.33429069015552221</v>
      </c>
      <c r="M78" s="10">
        <f t="shared" si="11"/>
        <v>0.3658440850524774</v>
      </c>
      <c r="P78" s="8">
        <f t="shared" si="12"/>
        <v>-1.7668405371019995</v>
      </c>
      <c r="U78" s="8">
        <v>37.5</v>
      </c>
      <c r="V78" s="10">
        <f t="shared" si="6"/>
        <v>0.33803322587136087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1312.4952662722001</v>
      </c>
      <c r="E79">
        <v>530.56272189348999</v>
      </c>
      <c r="F79">
        <v>124.46784660767</v>
      </c>
      <c r="G79">
        <v>111.68200589971001</v>
      </c>
      <c r="I79" s="9">
        <f t="shared" si="8"/>
        <v>418.88071599377997</v>
      </c>
      <c r="J79" s="9">
        <f t="shared" si="9"/>
        <v>1188.02741966453</v>
      </c>
      <c r="K79" s="9">
        <f t="shared" si="10"/>
        <v>418.88071599377997</v>
      </c>
      <c r="L79" s="10">
        <f t="shared" si="7"/>
        <v>0.35258505743248053</v>
      </c>
      <c r="M79" s="10">
        <f t="shared" si="11"/>
        <v>0.38455362857807984</v>
      </c>
      <c r="P79" s="8">
        <f t="shared" si="12"/>
        <v>3.2568776196775597</v>
      </c>
      <c r="U79" s="8">
        <v>38</v>
      </c>
      <c r="V79" s="10">
        <f t="shared" si="6"/>
        <v>0.33146171592911722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1333.0955188679</v>
      </c>
      <c r="E80">
        <v>555.34316037736005</v>
      </c>
      <c r="F80">
        <v>124.52743362832</v>
      </c>
      <c r="G80">
        <v>111.44778761062</v>
      </c>
      <c r="I80" s="9">
        <f t="shared" si="8"/>
        <v>443.89537276674002</v>
      </c>
      <c r="J80" s="9">
        <f t="shared" si="9"/>
        <v>1208.5680852395799</v>
      </c>
      <c r="K80" s="9">
        <f t="shared" si="10"/>
        <v>443.89537276674002</v>
      </c>
      <c r="L80" s="10">
        <f t="shared" si="7"/>
        <v>0.36729033158172852</v>
      </c>
      <c r="M80" s="10">
        <f t="shared" si="11"/>
        <v>0.39967407897597201</v>
      </c>
      <c r="P80" s="8">
        <f t="shared" si="12"/>
        <v>7.3168848079143807</v>
      </c>
      <c r="U80" s="8">
        <v>38.5</v>
      </c>
      <c r="V80" s="10">
        <f t="shared" si="6"/>
        <v>0.33429069015552221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1330.2511792452999</v>
      </c>
      <c r="E81">
        <v>552.11202830188995</v>
      </c>
      <c r="F81">
        <v>124.32035398230001</v>
      </c>
      <c r="G81">
        <v>111.50088495575</v>
      </c>
      <c r="I81" s="9">
        <f t="shared" si="8"/>
        <v>440.61114334613995</v>
      </c>
      <c r="J81" s="9">
        <f t="shared" si="9"/>
        <v>1205.9308252629999</v>
      </c>
      <c r="K81" s="9">
        <f t="shared" si="10"/>
        <v>440.61114334613995</v>
      </c>
      <c r="L81" s="10">
        <f t="shared" si="7"/>
        <v>0.36537016395616861</v>
      </c>
      <c r="M81" s="10">
        <f t="shared" si="11"/>
        <v>0.39816908759905623</v>
      </c>
      <c r="P81" s="8">
        <f t="shared" si="12"/>
        <v>6.912778075130527</v>
      </c>
      <c r="U81" s="8">
        <v>39</v>
      </c>
      <c r="V81" s="10">
        <f t="shared" si="6"/>
        <v>0.35258505743248053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1352.4316037736</v>
      </c>
      <c r="E82">
        <v>548.13679245283004</v>
      </c>
      <c r="F82">
        <v>124.42654867256999</v>
      </c>
      <c r="G82">
        <v>111.48377581120999</v>
      </c>
      <c r="H82" s="13"/>
      <c r="I82" s="14">
        <f t="shared" si="8"/>
        <v>436.65301664162007</v>
      </c>
      <c r="J82" s="14">
        <f t="shared" si="9"/>
        <v>1228.0050551010299</v>
      </c>
      <c r="K82" s="9">
        <f t="shared" si="10"/>
        <v>436.65301664162007</v>
      </c>
      <c r="L82" s="15">
        <f t="shared" si="7"/>
        <v>0.35557916869136663</v>
      </c>
      <c r="M82" s="15">
        <f t="shared" si="11"/>
        <v>0.38879326858289842</v>
      </c>
      <c r="N82" s="13"/>
      <c r="O82" s="13"/>
      <c r="P82" s="13">
        <f t="shared" si="12"/>
        <v>4.3952675777901398</v>
      </c>
      <c r="U82" s="8">
        <v>39.5</v>
      </c>
      <c r="V82" s="10">
        <f t="shared" si="6"/>
        <v>0.36729033158172852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1335.4033018867999</v>
      </c>
      <c r="E83">
        <v>537.34257075471999</v>
      </c>
      <c r="F83">
        <v>124.11622418879</v>
      </c>
      <c r="G83">
        <v>111.48554572271</v>
      </c>
      <c r="I83" s="9">
        <f t="shared" si="8"/>
        <v>425.85702503200997</v>
      </c>
      <c r="J83" s="9">
        <f t="shared" si="9"/>
        <v>1211.2870776980099</v>
      </c>
      <c r="K83" s="9">
        <f t="shared" si="10"/>
        <v>425.85702503200997</v>
      </c>
      <c r="L83" s="10">
        <f t="shared" si="7"/>
        <v>0.35157398512112409</v>
      </c>
      <c r="M83" s="10">
        <f t="shared" si="11"/>
        <v>0.3852032612613</v>
      </c>
      <c r="P83" s="8">
        <f t="shared" si="12"/>
        <v>3.4313111381364467</v>
      </c>
      <c r="U83" s="8">
        <v>40</v>
      </c>
      <c r="V83" s="10">
        <f t="shared" si="6"/>
        <v>0.36537016395616861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1365.875</v>
      </c>
      <c r="E84">
        <v>537.21521226414995</v>
      </c>
      <c r="F84">
        <v>124.05663716814</v>
      </c>
      <c r="G84">
        <v>111.50737463127</v>
      </c>
      <c r="I84" s="9">
        <f t="shared" si="8"/>
        <v>425.70783763287994</v>
      </c>
      <c r="J84" s="9">
        <f t="shared" si="9"/>
        <v>1241.81836283186</v>
      </c>
      <c r="K84" s="9">
        <f t="shared" si="10"/>
        <v>425.70783763287994</v>
      </c>
      <c r="L84" s="10">
        <f t="shared" si="7"/>
        <v>0.34281006818266868</v>
      </c>
      <c r="M84" s="10">
        <f t="shared" si="11"/>
        <v>0.37685452057148877</v>
      </c>
      <c r="P84" s="8">
        <f t="shared" si="12"/>
        <v>1.1895824646252393</v>
      </c>
      <c r="U84" s="8">
        <v>150.5</v>
      </c>
      <c r="V84" s="10">
        <f>L302</f>
        <v>0.24816275746052111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1394.9777647747001</v>
      </c>
      <c r="E85">
        <v>532.57577530720005</v>
      </c>
      <c r="F85">
        <v>124.27728613569001</v>
      </c>
      <c r="G85">
        <v>111.55162241888</v>
      </c>
      <c r="I85" s="9">
        <f t="shared" si="8"/>
        <v>421.02415288832003</v>
      </c>
      <c r="J85" s="9">
        <f t="shared" si="9"/>
        <v>1270.70047863901</v>
      </c>
      <c r="K85" s="9">
        <f t="shared" si="10"/>
        <v>421.02415288832003</v>
      </c>
      <c r="L85" s="10">
        <f t="shared" si="7"/>
        <v>0.33133233202151618</v>
      </c>
      <c r="M85" s="10">
        <f t="shared" si="11"/>
        <v>0.3657919606589804</v>
      </c>
      <c r="P85" s="8">
        <f t="shared" si="12"/>
        <v>-1.7808365098879557</v>
      </c>
      <c r="U85" s="8">
        <v>151</v>
      </c>
      <c r="V85" s="10">
        <f t="shared" ref="V85:V103" si="13">L303</f>
        <v>0.24666320557115928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1361.5582211819999</v>
      </c>
      <c r="E86">
        <v>515.68870684610999</v>
      </c>
      <c r="F86">
        <v>124.1587020649</v>
      </c>
      <c r="G86">
        <v>111.40058997049999</v>
      </c>
      <c r="I86" s="9">
        <f t="shared" si="8"/>
        <v>404.28811687561</v>
      </c>
      <c r="J86" s="9">
        <f t="shared" si="9"/>
        <v>1237.3995191171</v>
      </c>
      <c r="K86" s="9">
        <f t="shared" si="10"/>
        <v>404.28811687561</v>
      </c>
      <c r="L86" s="10">
        <f t="shared" si="7"/>
        <v>0.32672399708388011</v>
      </c>
      <c r="M86" s="10">
        <f t="shared" si="11"/>
        <v>0.3615988019699885</v>
      </c>
      <c r="P86" s="8">
        <f t="shared" si="12"/>
        <v>-2.90674572361733</v>
      </c>
      <c r="U86" s="8">
        <v>151.5</v>
      </c>
      <c r="V86" s="10">
        <f t="shared" si="13"/>
        <v>0.24182846643119266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1285.7233918129</v>
      </c>
      <c r="E87">
        <v>523.40116959064005</v>
      </c>
      <c r="F87">
        <v>124.10973451327</v>
      </c>
      <c r="G87">
        <v>111.401179941</v>
      </c>
      <c r="I87" s="9">
        <f t="shared" si="8"/>
        <v>411.99998964964004</v>
      </c>
      <c r="J87" s="9">
        <f t="shared" si="9"/>
        <v>1161.6136572996299</v>
      </c>
      <c r="K87" s="9">
        <f t="shared" si="10"/>
        <v>411.99998964964004</v>
      </c>
      <c r="L87" s="10">
        <f t="shared" si="7"/>
        <v>0.35467901660815926</v>
      </c>
      <c r="M87" s="10">
        <f t="shared" si="11"/>
        <v>0.38996899774291177</v>
      </c>
      <c r="P87" s="8">
        <f t="shared" si="12"/>
        <v>4.71096378494408</v>
      </c>
      <c r="U87" s="8">
        <v>152</v>
      </c>
      <c r="V87" s="10">
        <f t="shared" si="13"/>
        <v>0.24713914547093746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1334.7128654971</v>
      </c>
      <c r="E88">
        <v>582.42105263157998</v>
      </c>
      <c r="F88">
        <v>124.34867256637</v>
      </c>
      <c r="G88">
        <v>111.58702064897</v>
      </c>
      <c r="I88" s="9">
        <f t="shared" si="8"/>
        <v>470.83403198260999</v>
      </c>
      <c r="J88" s="9">
        <f t="shared" si="9"/>
        <v>1210.36419293073</v>
      </c>
      <c r="K88" s="9">
        <f t="shared" si="10"/>
        <v>470.83403198260999</v>
      </c>
      <c r="L88" s="10">
        <f t="shared" si="7"/>
        <v>0.38900195059682846</v>
      </c>
      <c r="M88" s="10">
        <f t="shared" si="11"/>
        <v>0.42470710798022515</v>
      </c>
      <c r="P88" s="8">
        <f t="shared" si="12"/>
        <v>14.038528345383122</v>
      </c>
      <c r="U88" s="8">
        <v>152.5</v>
      </c>
      <c r="V88" s="10">
        <f t="shared" si="13"/>
        <v>0.24454152241373395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1347.8584795321999</v>
      </c>
      <c r="E89">
        <v>589.42807017543998</v>
      </c>
      <c r="F89">
        <v>124.30501474926</v>
      </c>
      <c r="G89">
        <v>111.41710914454001</v>
      </c>
      <c r="I89" s="9">
        <f t="shared" si="8"/>
        <v>478.01096103089998</v>
      </c>
      <c r="J89" s="9">
        <f t="shared" si="9"/>
        <v>1223.55346478294</v>
      </c>
      <c r="K89" s="9">
        <f t="shared" si="10"/>
        <v>478.01096103089998</v>
      </c>
      <c r="L89" s="10">
        <f t="shared" si="7"/>
        <v>0.39067435530142508</v>
      </c>
      <c r="M89" s="10">
        <f t="shared" si="11"/>
        <v>0.42679468893346589</v>
      </c>
      <c r="P89" s="8">
        <f t="shared" si="12"/>
        <v>14.599066785254278</v>
      </c>
      <c r="U89" s="8">
        <v>153</v>
      </c>
      <c r="V89" s="10">
        <f t="shared" si="13"/>
        <v>0.24830709705260812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1385.8151408450999</v>
      </c>
      <c r="E90">
        <v>594.33509389670996</v>
      </c>
      <c r="F90">
        <v>124.43126843658</v>
      </c>
      <c r="G90">
        <v>111.46253687316</v>
      </c>
      <c r="I90" s="9">
        <f t="shared" si="8"/>
        <v>482.87255702354997</v>
      </c>
      <c r="J90" s="9">
        <f t="shared" si="9"/>
        <v>1261.3838724085199</v>
      </c>
      <c r="K90" s="9">
        <f t="shared" si="10"/>
        <v>482.87255702354997</v>
      </c>
      <c r="L90" s="10">
        <f t="shared" si="7"/>
        <v>0.38281174160054882</v>
      </c>
      <c r="M90" s="10">
        <f t="shared" si="11"/>
        <v>0.41934725148123375</v>
      </c>
      <c r="P90" s="8">
        <f t="shared" si="12"/>
        <v>12.59934794128243</v>
      </c>
      <c r="U90" s="8">
        <v>153.5</v>
      </c>
      <c r="V90" s="10">
        <f t="shared" si="13"/>
        <v>0.24281929445439504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1375.6126760563</v>
      </c>
      <c r="E91">
        <v>576.01349765257999</v>
      </c>
      <c r="F91">
        <v>124.21474926254</v>
      </c>
      <c r="G91">
        <v>111.32625368732</v>
      </c>
      <c r="I91" s="9">
        <f t="shared" si="8"/>
        <v>464.68724396526</v>
      </c>
      <c r="J91" s="9">
        <f t="shared" si="9"/>
        <v>1251.39792679376</v>
      </c>
      <c r="K91" s="9">
        <f t="shared" si="10"/>
        <v>464.68724396526</v>
      </c>
      <c r="L91" s="10">
        <f t="shared" si="7"/>
        <v>0.37133451639627341</v>
      </c>
      <c r="M91" s="10">
        <f t="shared" si="11"/>
        <v>0.40828520252560252</v>
      </c>
      <c r="P91" s="8">
        <f t="shared" si="12"/>
        <v>9.6290661643089575</v>
      </c>
      <c r="U91" s="8">
        <v>154</v>
      </c>
      <c r="V91" s="10">
        <f t="shared" si="13"/>
        <v>0.24412071075806219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1310.0281195079001</v>
      </c>
      <c r="E92">
        <v>549.22144112477997</v>
      </c>
      <c r="F92">
        <v>124.34631268437001</v>
      </c>
      <c r="G92">
        <v>111.39469026549</v>
      </c>
      <c r="I92" s="9">
        <f t="shared" si="8"/>
        <v>437.82675085928997</v>
      </c>
      <c r="J92" s="9">
        <f t="shared" si="9"/>
        <v>1185.68180682353</v>
      </c>
      <c r="K92" s="9">
        <f t="shared" si="10"/>
        <v>437.82675085928997</v>
      </c>
      <c r="L92" s="10">
        <f t="shared" si="7"/>
        <v>0.36926159138111292</v>
      </c>
      <c r="M92" s="10">
        <f t="shared" si="11"/>
        <v>0.40662745375908615</v>
      </c>
      <c r="P92" s="8">
        <f t="shared" si="12"/>
        <v>9.1839423927786186</v>
      </c>
      <c r="U92" s="8">
        <v>154.5</v>
      </c>
      <c r="V92" s="10">
        <f t="shared" si="13"/>
        <v>0.24761439384210987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1376.4405182568</v>
      </c>
      <c r="E93">
        <v>558.75265017668005</v>
      </c>
      <c r="F93">
        <v>124.36932153392</v>
      </c>
      <c r="G93">
        <v>111.61297935103001</v>
      </c>
      <c r="I93" s="9">
        <f t="shared" si="8"/>
        <v>447.13967082565006</v>
      </c>
      <c r="J93" s="9">
        <f t="shared" si="9"/>
        <v>1252.0711967228801</v>
      </c>
      <c r="K93" s="9">
        <f t="shared" si="10"/>
        <v>447.13967082565006</v>
      </c>
      <c r="L93" s="10">
        <f t="shared" si="7"/>
        <v>0.35712000403489441</v>
      </c>
      <c r="M93" s="10">
        <f t="shared" si="11"/>
        <v>0.39490104266151183</v>
      </c>
      <c r="P93" s="8">
        <f t="shared" si="12"/>
        <v>6.0352720757218812</v>
      </c>
      <c r="U93" s="8">
        <v>155</v>
      </c>
      <c r="V93" s="10">
        <f t="shared" si="13"/>
        <v>0.25157450480051602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1385.4069493521999</v>
      </c>
      <c r="E94">
        <v>543.89281507656005</v>
      </c>
      <c r="F94">
        <v>124.07433628318999</v>
      </c>
      <c r="G94">
        <v>111.32448377580999</v>
      </c>
      <c r="I94" s="9">
        <f t="shared" si="8"/>
        <v>432.56833130075006</v>
      </c>
      <c r="J94" s="9">
        <f t="shared" si="9"/>
        <v>1261.33261306901</v>
      </c>
      <c r="K94" s="9">
        <f t="shared" si="10"/>
        <v>432.56833130075006</v>
      </c>
      <c r="L94" s="10">
        <f t="shared" si="7"/>
        <v>0.3429454902051941</v>
      </c>
      <c r="M94" s="10">
        <f t="shared" si="11"/>
        <v>0.38114170508045564</v>
      </c>
      <c r="P94" s="8">
        <f t="shared" si="12"/>
        <v>2.3407386448756289</v>
      </c>
      <c r="U94" s="8">
        <v>155.5</v>
      </c>
      <c r="V94" s="10">
        <f t="shared" si="13"/>
        <v>0.2476085184373096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1376.6460541813999</v>
      </c>
      <c r="E95">
        <v>527.20730270906995</v>
      </c>
      <c r="F95">
        <v>124.55516224189</v>
      </c>
      <c r="G95">
        <v>111.52566371681</v>
      </c>
      <c r="I95" s="9">
        <f t="shared" si="8"/>
        <v>415.68163899225993</v>
      </c>
      <c r="J95" s="9">
        <f t="shared" si="9"/>
        <v>1252.0908919395099</v>
      </c>
      <c r="K95" s="9">
        <f t="shared" si="10"/>
        <v>415.68163899225993</v>
      </c>
      <c r="L95" s="10">
        <f t="shared" si="7"/>
        <v>0.33198998704348215</v>
      </c>
      <c r="M95" s="10">
        <f t="shared" si="11"/>
        <v>0.37060137816738786</v>
      </c>
      <c r="P95" s="8">
        <f t="shared" si="12"/>
        <v>-0.48945502709242067</v>
      </c>
      <c r="U95" s="8">
        <v>156</v>
      </c>
      <c r="V95" s="10">
        <f t="shared" si="13"/>
        <v>0.24764803630494409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1375.8452030605999</v>
      </c>
      <c r="E96">
        <v>521.41024131842005</v>
      </c>
      <c r="F96">
        <v>124.06666666667</v>
      </c>
      <c r="G96">
        <v>111.37168141593</v>
      </c>
      <c r="I96" s="9">
        <f t="shared" si="8"/>
        <v>410.03855990249008</v>
      </c>
      <c r="J96" s="9">
        <f t="shared" si="9"/>
        <v>1251.7785363939299</v>
      </c>
      <c r="K96" s="9">
        <f t="shared" si="10"/>
        <v>410.03855990249008</v>
      </c>
      <c r="L96" s="10">
        <f t="shared" si="7"/>
        <v>0.32756477921702637</v>
      </c>
      <c r="M96" s="10">
        <f t="shared" si="11"/>
        <v>0.36659134658957621</v>
      </c>
      <c r="P96" s="8">
        <f t="shared" si="12"/>
        <v>-1.5661925979019216</v>
      </c>
      <c r="U96" s="8">
        <v>156.5</v>
      </c>
      <c r="V96" s="10">
        <f t="shared" si="13"/>
        <v>0.24413661853125121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1235.9729888432</v>
      </c>
      <c r="E97">
        <v>480.73165002936003</v>
      </c>
      <c r="F97">
        <v>124.22477876105999</v>
      </c>
      <c r="G97">
        <v>111.28318584071</v>
      </c>
      <c r="I97" s="9">
        <f t="shared" si="8"/>
        <v>369.44846418865001</v>
      </c>
      <c r="J97" s="9">
        <f t="shared" si="9"/>
        <v>1111.7482100821401</v>
      </c>
      <c r="K97" s="9">
        <f t="shared" si="10"/>
        <v>369.44846418865001</v>
      </c>
      <c r="L97" s="10">
        <f t="shared" si="7"/>
        <v>0.33231307308455554</v>
      </c>
      <c r="M97" s="10">
        <f t="shared" si="11"/>
        <v>0.3717548167057495</v>
      </c>
      <c r="P97" s="8">
        <f t="shared" si="12"/>
        <v>-0.1797440969477441</v>
      </c>
      <c r="U97" s="8">
        <v>157</v>
      </c>
      <c r="V97" s="10">
        <f t="shared" si="13"/>
        <v>0.24108127867455045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1217.3987081621001</v>
      </c>
      <c r="E98">
        <v>500.89841456253998</v>
      </c>
      <c r="F98">
        <v>124.11327433628</v>
      </c>
      <c r="G98">
        <v>111.09380530974001</v>
      </c>
      <c r="I98" s="9">
        <f t="shared" si="8"/>
        <v>389.80460925279999</v>
      </c>
      <c r="J98" s="9">
        <f t="shared" si="9"/>
        <v>1093.2854338258201</v>
      </c>
      <c r="K98" s="9">
        <f t="shared" si="10"/>
        <v>389.80460925279999</v>
      </c>
      <c r="L98" s="10">
        <f t="shared" si="7"/>
        <v>0.35654422641370603</v>
      </c>
      <c r="M98" s="10">
        <f t="shared" si="11"/>
        <v>0.39640114628354417</v>
      </c>
      <c r="P98" s="8">
        <f t="shared" si="12"/>
        <v>6.4380663925763875</v>
      </c>
      <c r="U98" s="8">
        <v>157.5</v>
      </c>
      <c r="V98" s="10">
        <f t="shared" si="13"/>
        <v>0.23881775452734494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1285.3407755582</v>
      </c>
      <c r="E99">
        <v>524.23913043478001</v>
      </c>
      <c r="F99">
        <v>123.85899705014999</v>
      </c>
      <c r="G99">
        <v>111.16873156342</v>
      </c>
      <c r="I99" s="9">
        <f t="shared" si="8"/>
        <v>413.07039887136</v>
      </c>
      <c r="J99" s="9">
        <f t="shared" si="9"/>
        <v>1161.48177850805</v>
      </c>
      <c r="K99" s="9">
        <f t="shared" si="10"/>
        <v>413.07039887136</v>
      </c>
      <c r="L99" s="10">
        <f t="shared" si="7"/>
        <v>0.35564087746771061</v>
      </c>
      <c r="M99" s="10">
        <f t="shared" si="11"/>
        <v>0.39591297358619287</v>
      </c>
      <c r="P99" s="8">
        <f t="shared" si="12"/>
        <v>6.3069866556511212</v>
      </c>
      <c r="U99" s="8">
        <v>158</v>
      </c>
      <c r="V99" s="10">
        <f t="shared" si="13"/>
        <v>0.23804577052663206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1297.8519388954001</v>
      </c>
      <c r="E100">
        <v>520.52643948295997</v>
      </c>
      <c r="F100">
        <v>123.91327433628</v>
      </c>
      <c r="G100">
        <v>111.19410029498999</v>
      </c>
      <c r="I100" s="9">
        <f t="shared" si="8"/>
        <v>409.33233918796998</v>
      </c>
      <c r="J100" s="9">
        <f t="shared" si="9"/>
        <v>1173.9386645591201</v>
      </c>
      <c r="K100" s="9">
        <f t="shared" si="10"/>
        <v>409.33233918796998</v>
      </c>
      <c r="L100" s="10">
        <f t="shared" si="7"/>
        <v>0.34868290102847688</v>
      </c>
      <c r="M100" s="10">
        <f t="shared" si="11"/>
        <v>0.38937017339560331</v>
      </c>
      <c r="P100" s="8">
        <f t="shared" si="12"/>
        <v>4.5501728633388288</v>
      </c>
      <c r="U100" s="8">
        <v>158.5</v>
      </c>
      <c r="V100" s="10">
        <f t="shared" si="13"/>
        <v>0.23668743137962339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1258.7526439482999</v>
      </c>
      <c r="E101">
        <v>504.93948296121999</v>
      </c>
      <c r="F101">
        <v>123.94100294985</v>
      </c>
      <c r="G101">
        <v>111.05191740412999</v>
      </c>
      <c r="I101" s="9">
        <f t="shared" si="8"/>
        <v>393.88756555709</v>
      </c>
      <c r="J101" s="9">
        <f t="shared" si="9"/>
        <v>1134.81164099845</v>
      </c>
      <c r="K101" s="9">
        <f t="shared" si="10"/>
        <v>393.88756555709</v>
      </c>
      <c r="L101" s="10">
        <f t="shared" si="7"/>
        <v>0.34709510488501238</v>
      </c>
      <c r="M101" s="10">
        <f t="shared" si="11"/>
        <v>0.38819755350078294</v>
      </c>
      <c r="P101" s="8">
        <f t="shared" si="12"/>
        <v>4.235311528077025</v>
      </c>
      <c r="U101" s="8">
        <v>159</v>
      </c>
      <c r="V101" s="10">
        <f t="shared" si="13"/>
        <v>0.23985044343812773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1282.2444183314001</v>
      </c>
      <c r="E102">
        <v>497.77379553467</v>
      </c>
      <c r="F102">
        <v>123.91150442478001</v>
      </c>
      <c r="G102">
        <v>111.14749262537001</v>
      </c>
      <c r="I102" s="9">
        <f t="shared" si="8"/>
        <v>386.62630290929997</v>
      </c>
      <c r="J102" s="9">
        <f t="shared" si="9"/>
        <v>1158.33291390662</v>
      </c>
      <c r="K102" s="9">
        <f t="shared" si="10"/>
        <v>386.62630290929997</v>
      </c>
      <c r="L102" s="10">
        <f t="shared" si="7"/>
        <v>0.3337782240904778</v>
      </c>
      <c r="M102" s="10">
        <f t="shared" si="11"/>
        <v>0.37529584895489254</v>
      </c>
      <c r="P102" s="8">
        <f t="shared" si="12"/>
        <v>0.77106199724792046</v>
      </c>
      <c r="U102" s="8">
        <v>159.5</v>
      </c>
      <c r="V102" s="10">
        <f t="shared" si="13"/>
        <v>0.23711801905599356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1375.7442680776001</v>
      </c>
      <c r="E103">
        <v>519.52204585538004</v>
      </c>
      <c r="F103">
        <v>123.99174041297999</v>
      </c>
      <c r="G103">
        <v>111.42595870207001</v>
      </c>
      <c r="I103" s="9">
        <f t="shared" si="8"/>
        <v>408.09608715331001</v>
      </c>
      <c r="J103" s="9">
        <f t="shared" si="9"/>
        <v>1251.7525276646202</v>
      </c>
      <c r="K103" s="9">
        <f t="shared" si="10"/>
        <v>408.09608715331001</v>
      </c>
      <c r="L103" s="10">
        <f t="shared" si="7"/>
        <v>0.32601978277183113</v>
      </c>
      <c r="M103" s="10">
        <f t="shared" si="11"/>
        <v>0.36795258388488999</v>
      </c>
      <c r="P103" s="8">
        <f t="shared" si="12"/>
        <v>-1.2006854166713641</v>
      </c>
      <c r="U103" s="8">
        <v>160</v>
      </c>
      <c r="V103" s="10">
        <f t="shared" si="13"/>
        <v>0.2353160843442578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1357.5831863609999</v>
      </c>
      <c r="E104">
        <v>504.78248089358999</v>
      </c>
      <c r="F104">
        <v>124.11386430679001</v>
      </c>
      <c r="G104">
        <v>111.34690265486999</v>
      </c>
      <c r="I104" s="9">
        <f t="shared" si="8"/>
        <v>393.43557823871998</v>
      </c>
      <c r="J104" s="9">
        <f t="shared" si="9"/>
        <v>1233.4693220542099</v>
      </c>
      <c r="K104" s="9">
        <f t="shared" si="10"/>
        <v>393.43557823871998</v>
      </c>
      <c r="L104" s="10">
        <f t="shared" si="7"/>
        <v>0.31896665057181606</v>
      </c>
      <c r="M104" s="10">
        <f t="shared" si="11"/>
        <v>0.36131462793351909</v>
      </c>
      <c r="P104" s="8">
        <f t="shared" si="12"/>
        <v>-2.9830495770354073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1361.8649442161</v>
      </c>
      <c r="E105">
        <v>496.57428068115001</v>
      </c>
      <c r="F105">
        <v>124.05781710914999</v>
      </c>
      <c r="G105">
        <v>111.3982300885</v>
      </c>
      <c r="I105" s="9">
        <f t="shared" si="8"/>
        <v>385.17605059265003</v>
      </c>
      <c r="J105" s="9">
        <f t="shared" si="9"/>
        <v>1237.80712710695</v>
      </c>
      <c r="K105" s="9">
        <f t="shared" si="10"/>
        <v>385.17605059265003</v>
      </c>
      <c r="L105" s="10">
        <f t="shared" si="7"/>
        <v>0.31117614542493238</v>
      </c>
      <c r="M105" s="10">
        <f t="shared" si="11"/>
        <v>0.35393929903527954</v>
      </c>
      <c r="P105" s="8">
        <f t="shared" si="12"/>
        <v>-4.9634064813930703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1364.2366412214001</v>
      </c>
      <c r="E106">
        <v>492.62066940693001</v>
      </c>
      <c r="F106">
        <v>124.02890855456999</v>
      </c>
      <c r="G106">
        <v>111.02300884956</v>
      </c>
      <c r="I106" s="9">
        <f t="shared" si="8"/>
        <v>381.59766055736998</v>
      </c>
      <c r="J106" s="9">
        <f t="shared" si="9"/>
        <v>1240.20773266683</v>
      </c>
      <c r="K106" s="9">
        <f t="shared" si="10"/>
        <v>381.59766055736998</v>
      </c>
      <c r="L106" s="10">
        <f t="shared" si="7"/>
        <v>0.30768850290653893</v>
      </c>
      <c r="M106" s="10">
        <f t="shared" si="11"/>
        <v>0.35086683276553021</v>
      </c>
      <c r="P106" s="8">
        <f t="shared" si="12"/>
        <v>-5.7883974580200883</v>
      </c>
      <c r="X106" s="8">
        <v>-13</v>
      </c>
    </row>
    <row r="107" spans="1:25" x14ac:dyDescent="0.2">
      <c r="A107" s="8">
        <v>52.5</v>
      </c>
      <c r="B107" s="8">
        <v>105</v>
      </c>
      <c r="D107">
        <v>1307.7278592375001</v>
      </c>
      <c r="E107">
        <v>474.63167155424998</v>
      </c>
      <c r="F107">
        <v>123.73451327434</v>
      </c>
      <c r="G107">
        <v>111.26843657817</v>
      </c>
      <c r="I107" s="9">
        <f t="shared" si="8"/>
        <v>363.36323497607998</v>
      </c>
      <c r="J107" s="9">
        <f t="shared" si="9"/>
        <v>1183.99334596316</v>
      </c>
      <c r="K107" s="9">
        <f t="shared" si="10"/>
        <v>363.36323497607998</v>
      </c>
      <c r="L107" s="10">
        <f t="shared" si="7"/>
        <v>0.30689634888149619</v>
      </c>
      <c r="M107" s="10">
        <f t="shared" si="11"/>
        <v>0.35048985498913166</v>
      </c>
      <c r="P107" s="8">
        <f t="shared" si="12"/>
        <v>-5.8896201360295368</v>
      </c>
      <c r="X107" s="8">
        <v>-13</v>
      </c>
    </row>
    <row r="108" spans="1:25" x14ac:dyDescent="0.2">
      <c r="A108" s="8">
        <v>53</v>
      </c>
      <c r="B108" s="8">
        <v>106</v>
      </c>
      <c r="D108">
        <v>1335.1491485613999</v>
      </c>
      <c r="E108">
        <v>479.14562536699998</v>
      </c>
      <c r="F108">
        <v>124.03480825958999</v>
      </c>
      <c r="G108">
        <v>111.04542772860999</v>
      </c>
      <c r="I108" s="9">
        <f t="shared" si="8"/>
        <v>368.10019763839</v>
      </c>
      <c r="J108" s="9">
        <f t="shared" si="9"/>
        <v>1211.11434030181</v>
      </c>
      <c r="K108" s="9">
        <f t="shared" si="10"/>
        <v>368.10019763839</v>
      </c>
      <c r="L108" s="10">
        <f t="shared" si="7"/>
        <v>0.30393513262064037</v>
      </c>
      <c r="M108" s="10">
        <f t="shared" si="11"/>
        <v>0.34794381497691995</v>
      </c>
      <c r="P108" s="8">
        <f t="shared" si="12"/>
        <v>-6.5732598742055295</v>
      </c>
      <c r="X108" s="8">
        <v>-13</v>
      </c>
    </row>
    <row r="109" spans="1:25" x14ac:dyDescent="0.2">
      <c r="A109" s="8">
        <v>53.5</v>
      </c>
      <c r="B109" s="8">
        <v>107</v>
      </c>
      <c r="D109">
        <v>1366.9177921314999</v>
      </c>
      <c r="E109">
        <v>481.23253082794997</v>
      </c>
      <c r="F109">
        <v>124.0383480826</v>
      </c>
      <c r="G109">
        <v>111.30855457227</v>
      </c>
      <c r="I109" s="9">
        <f t="shared" si="8"/>
        <v>369.92397625567997</v>
      </c>
      <c r="J109" s="9">
        <f t="shared" si="9"/>
        <v>1242.8794440489</v>
      </c>
      <c r="K109" s="9">
        <f t="shared" si="10"/>
        <v>369.92397625567997</v>
      </c>
      <c r="L109" s="10">
        <f t="shared" si="7"/>
        <v>0.29763464029189113</v>
      </c>
      <c r="M109" s="10">
        <f t="shared" si="11"/>
        <v>0.34205849889681489</v>
      </c>
      <c r="P109" s="8">
        <f t="shared" si="12"/>
        <v>-8.1535319535083559</v>
      </c>
      <c r="X109" s="8">
        <v>-13</v>
      </c>
    </row>
    <row r="110" spans="1:25" x14ac:dyDescent="0.2">
      <c r="A110" s="8">
        <v>54</v>
      </c>
      <c r="B110" s="8">
        <v>108</v>
      </c>
      <c r="D110">
        <v>1323.1303581914001</v>
      </c>
      <c r="E110">
        <v>462.51086318262003</v>
      </c>
      <c r="F110">
        <v>124.00235988201</v>
      </c>
      <c r="G110">
        <v>111.02359882006</v>
      </c>
      <c r="I110" s="9">
        <f t="shared" si="8"/>
        <v>351.48726436256004</v>
      </c>
      <c r="J110" s="9">
        <f t="shared" si="9"/>
        <v>1199.12799830939</v>
      </c>
      <c r="K110" s="9">
        <f t="shared" si="10"/>
        <v>351.48726436256004</v>
      </c>
      <c r="L110" s="10">
        <f t="shared" si="7"/>
        <v>0.29311905389425486</v>
      </c>
      <c r="M110" s="10">
        <f t="shared" si="11"/>
        <v>0.33795808874782274</v>
      </c>
      <c r="P110" s="8">
        <f t="shared" si="12"/>
        <v>-9.2545371644343533</v>
      </c>
      <c r="X110" s="8">
        <v>-13</v>
      </c>
    </row>
    <row r="111" spans="1:25" x14ac:dyDescent="0.2">
      <c r="A111" s="8">
        <v>54.5</v>
      </c>
      <c r="B111" s="8">
        <v>109</v>
      </c>
      <c r="D111">
        <v>1341.1914268937001</v>
      </c>
      <c r="E111">
        <v>466.16206694069001</v>
      </c>
      <c r="F111">
        <v>124.08495575221001</v>
      </c>
      <c r="G111">
        <v>111.16755162242001</v>
      </c>
      <c r="I111" s="9">
        <f t="shared" si="8"/>
        <v>354.99451531827003</v>
      </c>
      <c r="J111" s="9">
        <f t="shared" si="9"/>
        <v>1217.1064711414901</v>
      </c>
      <c r="K111" s="9">
        <f t="shared" si="10"/>
        <v>354.99451531827003</v>
      </c>
      <c r="L111" s="10">
        <f t="shared" si="7"/>
        <v>0.29167087985764351</v>
      </c>
      <c r="M111" s="10">
        <f t="shared" si="11"/>
        <v>0.33692509095985557</v>
      </c>
      <c r="P111" s="8">
        <f t="shared" si="12"/>
        <v>-9.5319084287959015</v>
      </c>
      <c r="X111" s="8">
        <v>-13</v>
      </c>
    </row>
    <row r="112" spans="1:25" x14ac:dyDescent="0.2">
      <c r="A112" s="8">
        <v>55</v>
      </c>
      <c r="B112" s="8">
        <v>110</v>
      </c>
      <c r="D112">
        <v>1324.9583088667</v>
      </c>
      <c r="E112">
        <v>462.49383440986998</v>
      </c>
      <c r="F112">
        <v>123.73864306785001</v>
      </c>
      <c r="G112">
        <v>110.99292035398</v>
      </c>
      <c r="I112" s="9">
        <f t="shared" si="8"/>
        <v>351.50091405589001</v>
      </c>
      <c r="J112" s="9">
        <f t="shared" si="9"/>
        <v>1201.21966579885</v>
      </c>
      <c r="K112" s="9">
        <f t="shared" si="10"/>
        <v>351.50091405589001</v>
      </c>
      <c r="L112" s="10">
        <f t="shared" si="7"/>
        <v>0.29262001286178618</v>
      </c>
      <c r="M112" s="10">
        <f t="shared" si="11"/>
        <v>0.33828940021264237</v>
      </c>
      <c r="P112" s="8">
        <f t="shared" si="12"/>
        <v>-9.1655763932062353</v>
      </c>
      <c r="X112" s="8">
        <v>-13</v>
      </c>
    </row>
    <row r="113" spans="1:24" x14ac:dyDescent="0.2">
      <c r="A113" s="8">
        <v>55.5</v>
      </c>
      <c r="B113" s="8">
        <v>111</v>
      </c>
      <c r="D113">
        <v>1356.4143192488</v>
      </c>
      <c r="E113">
        <v>467.13145539905997</v>
      </c>
      <c r="F113">
        <v>123.94041297935</v>
      </c>
      <c r="G113">
        <v>111.14926253687</v>
      </c>
      <c r="I113" s="9">
        <f t="shared" si="8"/>
        <v>355.98219286219</v>
      </c>
      <c r="J113" s="9">
        <f t="shared" si="9"/>
        <v>1232.47390626945</v>
      </c>
      <c r="K113" s="9">
        <f t="shared" si="10"/>
        <v>355.98219286219</v>
      </c>
      <c r="L113" s="10">
        <f t="shared" si="7"/>
        <v>0.28883548045224355</v>
      </c>
      <c r="M113" s="10">
        <f t="shared" si="11"/>
        <v>0.33492004405174391</v>
      </c>
      <c r="P113" s="8">
        <f t="shared" si="12"/>
        <v>-10.070285570049586</v>
      </c>
      <c r="X113" s="8">
        <v>-13</v>
      </c>
    </row>
    <row r="114" spans="1:24" x14ac:dyDescent="0.2">
      <c r="A114" s="8">
        <v>56</v>
      </c>
      <c r="B114" s="8">
        <v>112</v>
      </c>
      <c r="D114">
        <v>1326.5381455398999</v>
      </c>
      <c r="E114">
        <v>451.2705399061</v>
      </c>
      <c r="F114">
        <v>124.06725663717</v>
      </c>
      <c r="G114">
        <v>111.35693215339001</v>
      </c>
      <c r="I114" s="9">
        <f t="shared" si="8"/>
        <v>339.91360775270999</v>
      </c>
      <c r="J114" s="9">
        <f t="shared" si="9"/>
        <v>1202.4708889027299</v>
      </c>
      <c r="K114" s="9">
        <f t="shared" si="10"/>
        <v>339.91360775270999</v>
      </c>
      <c r="L114" s="10">
        <f t="shared" si="7"/>
        <v>0.28267928220938932</v>
      </c>
      <c r="M114" s="10">
        <f t="shared" si="11"/>
        <v>0.3291790220575338</v>
      </c>
      <c r="P114" s="8">
        <f t="shared" si="12"/>
        <v>-11.611813100708861</v>
      </c>
      <c r="X114" s="8">
        <v>-13</v>
      </c>
    </row>
    <row r="115" spans="1:24" x14ac:dyDescent="0.2">
      <c r="A115" s="8">
        <v>56.5</v>
      </c>
      <c r="B115" s="8">
        <v>113</v>
      </c>
      <c r="D115">
        <v>1259.4309229865</v>
      </c>
      <c r="E115">
        <v>436.95296884186001</v>
      </c>
      <c r="F115">
        <v>124.2</v>
      </c>
      <c r="G115">
        <v>111.22890855457</v>
      </c>
      <c r="I115" s="9">
        <f t="shared" si="8"/>
        <v>325.72406028729</v>
      </c>
      <c r="J115" s="9">
        <f t="shared" si="9"/>
        <v>1135.2309229865</v>
      </c>
      <c r="K115" s="9">
        <f t="shared" si="10"/>
        <v>325.72406028729</v>
      </c>
      <c r="L115" s="10">
        <f t="shared" si="7"/>
        <v>0.2869231745646903</v>
      </c>
      <c r="M115" s="10">
        <f t="shared" si="11"/>
        <v>0.33383809066147896</v>
      </c>
      <c r="P115" s="8">
        <f t="shared" si="12"/>
        <v>-10.360801951917766</v>
      </c>
      <c r="X115" s="8">
        <v>-13</v>
      </c>
    </row>
    <row r="116" spans="1:24" x14ac:dyDescent="0.2">
      <c r="A116" s="8">
        <v>57</v>
      </c>
      <c r="B116" s="8">
        <v>114</v>
      </c>
      <c r="D116">
        <v>1256.0070422535</v>
      </c>
      <c r="E116">
        <v>445.73943661971998</v>
      </c>
      <c r="F116">
        <v>124.10029498525</v>
      </c>
      <c r="G116">
        <v>111.12979351032</v>
      </c>
      <c r="I116" s="9">
        <f t="shared" si="8"/>
        <v>334.6096431094</v>
      </c>
      <c r="J116" s="9">
        <f t="shared" si="9"/>
        <v>1131.90674726825</v>
      </c>
      <c r="K116" s="9">
        <f t="shared" si="10"/>
        <v>334.6096431094</v>
      </c>
      <c r="L116" s="10">
        <f t="shared" si="7"/>
        <v>0.29561590998282211</v>
      </c>
      <c r="M116" s="10">
        <f t="shared" si="11"/>
        <v>0.3429460023282549</v>
      </c>
      <c r="P116" s="8">
        <f t="shared" si="12"/>
        <v>-7.9152275236526428</v>
      </c>
      <c r="X116" s="8">
        <v>-13</v>
      </c>
    </row>
    <row r="117" spans="1:24" x14ac:dyDescent="0.2">
      <c r="A117" s="8">
        <v>57.5</v>
      </c>
      <c r="B117" s="8">
        <v>115</v>
      </c>
      <c r="D117">
        <v>1293.3691314554001</v>
      </c>
      <c r="E117">
        <v>456.69072769952999</v>
      </c>
      <c r="F117">
        <v>124.001179941</v>
      </c>
      <c r="G117">
        <v>111.21887905605</v>
      </c>
      <c r="I117" s="9">
        <f t="shared" si="8"/>
        <v>345.47184864347997</v>
      </c>
      <c r="J117" s="9">
        <f t="shared" si="9"/>
        <v>1169.3679515144001</v>
      </c>
      <c r="K117" s="9">
        <f t="shared" si="10"/>
        <v>345.47184864347997</v>
      </c>
      <c r="L117" s="10">
        <f t="shared" si="7"/>
        <v>0.29543468178349991</v>
      </c>
      <c r="M117" s="10">
        <f t="shared" si="11"/>
        <v>0.34317995037757681</v>
      </c>
      <c r="P117" s="8">
        <f t="shared" si="12"/>
        <v>-7.852409900041815</v>
      </c>
      <c r="X117" s="8">
        <v>-13</v>
      </c>
    </row>
    <row r="118" spans="1:24" x14ac:dyDescent="0.2">
      <c r="A118" s="8">
        <v>58</v>
      </c>
      <c r="B118" s="8">
        <v>116</v>
      </c>
      <c r="D118">
        <v>1311.1719483567999</v>
      </c>
      <c r="E118">
        <v>458.91901408451002</v>
      </c>
      <c r="F118">
        <v>123.78348082596</v>
      </c>
      <c r="G118">
        <v>111.21238938053</v>
      </c>
      <c r="I118" s="9">
        <f t="shared" si="8"/>
        <v>347.70662470398003</v>
      </c>
      <c r="J118" s="9">
        <f t="shared" si="9"/>
        <v>1187.38846753084</v>
      </c>
      <c r="K118" s="9">
        <f t="shared" si="10"/>
        <v>347.70662470398003</v>
      </c>
      <c r="L118" s="10">
        <f t="shared" si="7"/>
        <v>0.29283308219005338</v>
      </c>
      <c r="M118" s="10">
        <f t="shared" si="11"/>
        <v>0.34099352703277447</v>
      </c>
      <c r="P118" s="8">
        <f t="shared" si="12"/>
        <v>-8.4394886088654495</v>
      </c>
      <c r="X118" s="8">
        <v>-13</v>
      </c>
    </row>
    <row r="119" spans="1:24" x14ac:dyDescent="0.2">
      <c r="A119" s="8">
        <v>58.5</v>
      </c>
      <c r="B119" s="8">
        <v>117</v>
      </c>
      <c r="D119">
        <v>1257.3421361502001</v>
      </c>
      <c r="E119">
        <v>445.10680751173999</v>
      </c>
      <c r="F119">
        <v>123.87669616519</v>
      </c>
      <c r="G119">
        <v>110.72212389380999</v>
      </c>
      <c r="I119" s="9">
        <f t="shared" si="8"/>
        <v>334.38468361793002</v>
      </c>
      <c r="J119" s="9">
        <f t="shared" si="9"/>
        <v>1133.4654399850101</v>
      </c>
      <c r="K119" s="9">
        <f t="shared" si="10"/>
        <v>334.38468361793002</v>
      </c>
      <c r="L119" s="10">
        <f t="shared" si="7"/>
        <v>0.29501092121728228</v>
      </c>
      <c r="M119" s="10">
        <f t="shared" si="11"/>
        <v>0.34358654230864749</v>
      </c>
      <c r="P119" s="8">
        <f t="shared" si="12"/>
        <v>-7.7432354958814633</v>
      </c>
      <c r="X119" s="8">
        <v>-13</v>
      </c>
    </row>
    <row r="120" spans="1:24" x14ac:dyDescent="0.2">
      <c r="A120" s="8">
        <v>59</v>
      </c>
      <c r="B120" s="8">
        <v>118</v>
      </c>
      <c r="D120">
        <v>1286.5508771929999</v>
      </c>
      <c r="E120">
        <v>444.75263157895</v>
      </c>
      <c r="F120">
        <v>123.81179941003001</v>
      </c>
      <c r="G120">
        <v>111.19764011799001</v>
      </c>
      <c r="I120" s="9">
        <f t="shared" si="8"/>
        <v>333.55499146095997</v>
      </c>
      <c r="J120" s="9">
        <f t="shared" si="9"/>
        <v>1162.7390777829698</v>
      </c>
      <c r="K120" s="9">
        <f t="shared" si="10"/>
        <v>333.55499146095997</v>
      </c>
      <c r="L120" s="10">
        <f t="shared" si="7"/>
        <v>0.28687002770815917</v>
      </c>
      <c r="M120" s="10">
        <f t="shared" si="11"/>
        <v>0.33586082504816855</v>
      </c>
      <c r="P120" s="8">
        <f t="shared" si="12"/>
        <v>-9.8176755281838286</v>
      </c>
      <c r="X120" s="8">
        <v>-13</v>
      </c>
    </row>
    <row r="121" spans="1:24" x14ac:dyDescent="0.2">
      <c r="A121" s="8">
        <v>59.5</v>
      </c>
      <c r="B121" s="8">
        <v>119</v>
      </c>
      <c r="D121">
        <v>1311.7140350877</v>
      </c>
      <c r="E121">
        <v>444.54093567251999</v>
      </c>
      <c r="F121">
        <v>124.02772861357001</v>
      </c>
      <c r="G121">
        <v>111.1604719764</v>
      </c>
      <c r="I121" s="9">
        <f t="shared" si="8"/>
        <v>333.38046369611999</v>
      </c>
      <c r="J121" s="9">
        <f t="shared" si="9"/>
        <v>1187.6863064741301</v>
      </c>
      <c r="K121" s="9">
        <f t="shared" si="10"/>
        <v>333.38046369611999</v>
      </c>
      <c r="L121" s="10">
        <f t="shared" si="7"/>
        <v>0.28069740459147208</v>
      </c>
      <c r="M121" s="10">
        <f t="shared" si="11"/>
        <v>0.33010337818012558</v>
      </c>
      <c r="P121" s="8">
        <f t="shared" si="12"/>
        <v>-11.363613318066372</v>
      </c>
      <c r="X121" s="8">
        <v>-13</v>
      </c>
    </row>
    <row r="122" spans="1:24" x14ac:dyDescent="0.2">
      <c r="A122" s="8">
        <v>60</v>
      </c>
      <c r="B122" s="8">
        <v>120</v>
      </c>
      <c r="D122">
        <v>1319.7415204678</v>
      </c>
      <c r="E122">
        <v>442.15730994152</v>
      </c>
      <c r="F122">
        <v>124.28908554572</v>
      </c>
      <c r="G122">
        <v>111.10560471976</v>
      </c>
      <c r="I122" s="9">
        <f t="shared" si="8"/>
        <v>331.05170522176002</v>
      </c>
      <c r="J122" s="9">
        <f t="shared" si="9"/>
        <v>1195.4524349220801</v>
      </c>
      <c r="K122" s="9">
        <f t="shared" si="10"/>
        <v>331.05170522176002</v>
      </c>
      <c r="L122" s="10">
        <f t="shared" si="7"/>
        <v>0.27692586969663752</v>
      </c>
      <c r="M122" s="10">
        <f t="shared" si="11"/>
        <v>0.3267470195339352</v>
      </c>
      <c r="P122" s="8">
        <f t="shared" si="12"/>
        <v>-12.264832519296871</v>
      </c>
      <c r="X122" s="8">
        <v>-13</v>
      </c>
    </row>
    <row r="123" spans="1:24" x14ac:dyDescent="0.2">
      <c r="A123" s="8">
        <v>60.5</v>
      </c>
      <c r="B123" s="8">
        <v>121</v>
      </c>
      <c r="D123">
        <v>1309.5228070175001</v>
      </c>
      <c r="E123">
        <v>434.18011695906</v>
      </c>
      <c r="F123">
        <v>123.92566371681001</v>
      </c>
      <c r="G123">
        <v>110.95162241888001</v>
      </c>
      <c r="I123" s="9">
        <f t="shared" si="8"/>
        <v>323.22849454018001</v>
      </c>
      <c r="J123" s="9">
        <f t="shared" si="9"/>
        <v>1185.59714330069</v>
      </c>
      <c r="K123" s="9">
        <f t="shared" si="10"/>
        <v>323.22849454018001</v>
      </c>
      <c r="L123" s="10">
        <f t="shared" si="7"/>
        <v>0.27262927914984281</v>
      </c>
      <c r="M123" s="10">
        <f t="shared" si="11"/>
        <v>0.32286560523578461</v>
      </c>
      <c r="P123" s="8">
        <f t="shared" si="12"/>
        <v>-13.30703493631041</v>
      </c>
      <c r="X123" s="8">
        <v>-13</v>
      </c>
    </row>
    <row r="124" spans="1:24" x14ac:dyDescent="0.2">
      <c r="A124" s="8">
        <v>61</v>
      </c>
      <c r="B124" s="8">
        <v>122</v>
      </c>
      <c r="D124">
        <v>1278.9456140351001</v>
      </c>
      <c r="E124">
        <v>422.47192982455999</v>
      </c>
      <c r="F124">
        <v>123.85368731563</v>
      </c>
      <c r="G124">
        <v>111.06784660767001</v>
      </c>
      <c r="I124" s="9">
        <f t="shared" si="8"/>
        <v>311.40408321689</v>
      </c>
      <c r="J124" s="9">
        <f t="shared" si="9"/>
        <v>1155.0919267194702</v>
      </c>
      <c r="K124" s="9">
        <f t="shared" si="10"/>
        <v>311.40408321689</v>
      </c>
      <c r="L124" s="10">
        <f t="shared" si="7"/>
        <v>0.26959246793568725</v>
      </c>
      <c r="M124" s="10">
        <f t="shared" si="11"/>
        <v>0.32024397027027324</v>
      </c>
      <c r="P124" s="8">
        <f t="shared" si="12"/>
        <v>-14.010972750649126</v>
      </c>
      <c r="X124" s="8">
        <v>-13</v>
      </c>
    </row>
    <row r="125" spans="1:24" x14ac:dyDescent="0.2">
      <c r="A125" s="8">
        <v>61.5</v>
      </c>
      <c r="B125" s="8">
        <v>123</v>
      </c>
      <c r="D125">
        <v>1244.4251461987999</v>
      </c>
      <c r="E125">
        <v>412.80350877193001</v>
      </c>
      <c r="F125">
        <v>124.22359882006</v>
      </c>
      <c r="G125">
        <v>110.93569321534</v>
      </c>
      <c r="I125" s="9">
        <f t="shared" si="8"/>
        <v>301.86781555659002</v>
      </c>
      <c r="J125" s="9">
        <f t="shared" si="9"/>
        <v>1120.2015473787399</v>
      </c>
      <c r="K125" s="9">
        <f t="shared" si="10"/>
        <v>301.86781555659002</v>
      </c>
      <c r="L125" s="10">
        <f t="shared" si="7"/>
        <v>0.26947634223766037</v>
      </c>
      <c r="M125" s="10">
        <f t="shared" si="11"/>
        <v>0.32054302082089048</v>
      </c>
      <c r="P125" s="8">
        <f t="shared" si="12"/>
        <v>-13.930674389608146</v>
      </c>
      <c r="X125" s="8">
        <v>-13</v>
      </c>
    </row>
    <row r="126" spans="1:24" x14ac:dyDescent="0.2">
      <c r="A126" s="8">
        <v>62</v>
      </c>
      <c r="B126" s="8">
        <v>124</v>
      </c>
      <c r="D126">
        <v>1277.3923976608</v>
      </c>
      <c r="E126">
        <v>422.86315789474003</v>
      </c>
      <c r="F126">
        <v>123.62123893805</v>
      </c>
      <c r="G126">
        <v>111.06312684366</v>
      </c>
      <c r="I126" s="9">
        <f t="shared" si="8"/>
        <v>311.80003105108005</v>
      </c>
      <c r="J126" s="9">
        <f t="shared" si="9"/>
        <v>1153.77115872275</v>
      </c>
      <c r="K126" s="9">
        <f t="shared" si="10"/>
        <v>311.80003105108005</v>
      </c>
      <c r="L126" s="10">
        <f t="shared" si="7"/>
        <v>0.2702442583122372</v>
      </c>
      <c r="M126" s="10">
        <f t="shared" si="11"/>
        <v>0.32172611314411148</v>
      </c>
      <c r="P126" s="8">
        <f t="shared" si="12"/>
        <v>-13.61300109217154</v>
      </c>
      <c r="X126" s="8">
        <v>-13</v>
      </c>
    </row>
    <row r="127" spans="1:24" x14ac:dyDescent="0.2">
      <c r="A127" s="8">
        <v>62.5</v>
      </c>
      <c r="B127" s="8">
        <v>125</v>
      </c>
      <c r="D127">
        <v>1288.0912280702</v>
      </c>
      <c r="E127">
        <v>421.80701754386001</v>
      </c>
      <c r="F127">
        <v>123.9610619469</v>
      </c>
      <c r="G127">
        <v>110.81061946903</v>
      </c>
      <c r="I127" s="9">
        <f t="shared" si="8"/>
        <v>310.99639807483004</v>
      </c>
      <c r="J127" s="9">
        <f t="shared" si="9"/>
        <v>1164.1301661233001</v>
      </c>
      <c r="K127" s="9">
        <f t="shared" si="10"/>
        <v>310.99639807483004</v>
      </c>
      <c r="L127" s="10">
        <f t="shared" si="7"/>
        <v>0.26714916177328102</v>
      </c>
      <c r="M127" s="10">
        <f t="shared" si="11"/>
        <v>0.31904619285379943</v>
      </c>
      <c r="P127" s="8">
        <f t="shared" si="12"/>
        <v>-14.332589157093562</v>
      </c>
      <c r="X127" s="8">
        <v>-13</v>
      </c>
    </row>
    <row r="128" spans="1:24" x14ac:dyDescent="0.2">
      <c r="A128" s="8">
        <v>63</v>
      </c>
      <c r="B128" s="8">
        <v>126</v>
      </c>
      <c r="D128">
        <v>1278.4397660819</v>
      </c>
      <c r="E128">
        <v>414.99707602338998</v>
      </c>
      <c r="F128">
        <v>124.07020648968</v>
      </c>
      <c r="G128">
        <v>110.98289085546</v>
      </c>
      <c r="I128" s="9">
        <f t="shared" si="8"/>
        <v>304.01418516793001</v>
      </c>
      <c r="J128" s="9">
        <f t="shared" si="9"/>
        <v>1154.36955959222</v>
      </c>
      <c r="K128" s="9">
        <f t="shared" si="10"/>
        <v>304.01418516793001</v>
      </c>
      <c r="L128" s="10">
        <f t="shared" si="7"/>
        <v>0.26335949578861273</v>
      </c>
      <c r="M128" s="10">
        <f t="shared" si="11"/>
        <v>0.31567170311777526</v>
      </c>
      <c r="P128" s="8">
        <f t="shared" si="12"/>
        <v>-15.238676755304217</v>
      </c>
      <c r="X128" s="8">
        <v>-13</v>
      </c>
    </row>
    <row r="129" spans="1:24" x14ac:dyDescent="0.2">
      <c r="A129" s="8">
        <v>63.5</v>
      </c>
      <c r="B129" s="8">
        <v>127</v>
      </c>
      <c r="D129">
        <v>1288.6894736842</v>
      </c>
      <c r="E129">
        <v>414.44561403508999</v>
      </c>
      <c r="F129">
        <v>123.79174041298</v>
      </c>
      <c r="G129">
        <v>110.90147492625</v>
      </c>
      <c r="I129" s="9">
        <f t="shared" si="8"/>
        <v>303.54413910884</v>
      </c>
      <c r="J129" s="9">
        <f t="shared" si="9"/>
        <v>1164.89773327122</v>
      </c>
      <c r="K129" s="9">
        <f t="shared" si="10"/>
        <v>303.54413910884</v>
      </c>
      <c r="L129" s="10">
        <f t="shared" si="7"/>
        <v>0.26057578312599106</v>
      </c>
      <c r="M129" s="10">
        <f t="shared" si="11"/>
        <v>0.31330316670379776</v>
      </c>
      <c r="P129" s="8">
        <f t="shared" si="12"/>
        <v>-15.874654825619494</v>
      </c>
      <c r="X129" s="8">
        <v>-13</v>
      </c>
    </row>
    <row r="130" spans="1:24" x14ac:dyDescent="0.2">
      <c r="A130" s="8">
        <v>64</v>
      </c>
      <c r="B130" s="8">
        <v>128</v>
      </c>
      <c r="D130">
        <v>1274.1795321637001</v>
      </c>
      <c r="E130">
        <v>409.72865497075998</v>
      </c>
      <c r="F130">
        <v>123.61592920354001</v>
      </c>
      <c r="G130">
        <v>110.88495575221</v>
      </c>
      <c r="I130" s="9">
        <f t="shared" si="8"/>
        <v>298.84369921855</v>
      </c>
      <c r="J130" s="9">
        <f t="shared" si="9"/>
        <v>1150.5636029601601</v>
      </c>
      <c r="K130" s="9">
        <f t="shared" si="10"/>
        <v>298.84369921855</v>
      </c>
      <c r="L130" s="10">
        <f t="shared" ref="L130:L193" si="14">K130/J130</f>
        <v>0.25973679199453859</v>
      </c>
      <c r="M130" s="10">
        <f t="shared" si="11"/>
        <v>0.31287935182098942</v>
      </c>
      <c r="P130" s="8">
        <f t="shared" si="12"/>
        <v>-15.988453781695796</v>
      </c>
      <c r="X130" s="8">
        <v>-13</v>
      </c>
    </row>
    <row r="131" spans="1:24" x14ac:dyDescent="0.2">
      <c r="A131" s="8">
        <v>64.5</v>
      </c>
      <c r="B131" s="8">
        <v>129</v>
      </c>
      <c r="D131">
        <v>1276.2888888888999</v>
      </c>
      <c r="E131">
        <v>408.56081871344998</v>
      </c>
      <c r="F131">
        <v>124.05722713864</v>
      </c>
      <c r="G131">
        <v>110.70088495575</v>
      </c>
      <c r="I131" s="9">
        <f t="shared" ref="I131:I194" si="15">E131-G131</f>
        <v>297.85993375769999</v>
      </c>
      <c r="J131" s="9">
        <f t="shared" ref="J131:J194" si="16">D131-F131</f>
        <v>1152.2316617502599</v>
      </c>
      <c r="K131" s="9">
        <f t="shared" ref="K131:K194" si="17">I131*1</f>
        <v>297.85993375769999</v>
      </c>
      <c r="L131" s="10">
        <f t="shared" si="14"/>
        <v>0.25850698574386122</v>
      </c>
      <c r="M131" s="10">
        <f t="shared" ref="M131:M181" si="18">L131+ABS($N$2)*A131</f>
        <v>0.31206472181895623</v>
      </c>
      <c r="P131" s="8">
        <f t="shared" ref="P131:P194" si="19">(M131-$O$2)/$O$2*100</f>
        <v>-16.20719089447844</v>
      </c>
      <c r="X131" s="8">
        <v>-13</v>
      </c>
    </row>
    <row r="132" spans="1:24" x14ac:dyDescent="0.2">
      <c r="A132" s="8">
        <v>65</v>
      </c>
      <c r="B132" s="8">
        <v>130</v>
      </c>
      <c r="D132">
        <v>1247.8935672514999</v>
      </c>
      <c r="E132">
        <v>402.38654970760001</v>
      </c>
      <c r="F132">
        <v>123.71386430679</v>
      </c>
      <c r="G132">
        <v>110.76460176991</v>
      </c>
      <c r="I132" s="9">
        <f t="shared" si="15"/>
        <v>291.62194793769004</v>
      </c>
      <c r="J132" s="9">
        <f t="shared" si="16"/>
        <v>1124.17970294471</v>
      </c>
      <c r="K132" s="9">
        <f t="shared" si="17"/>
        <v>291.62194793769004</v>
      </c>
      <c r="L132" s="10">
        <f t="shared" si="14"/>
        <v>0.25940865786297934</v>
      </c>
      <c r="M132" s="10">
        <f t="shared" si="18"/>
        <v>0.31338157018671847</v>
      </c>
      <c r="P132" s="8">
        <f t="shared" si="19"/>
        <v>-15.853602628372428</v>
      </c>
      <c r="X132" s="8">
        <v>-13</v>
      </c>
    </row>
    <row r="133" spans="1:24" x14ac:dyDescent="0.2">
      <c r="A133" s="8">
        <v>65.5</v>
      </c>
      <c r="B133" s="8">
        <v>131</v>
      </c>
      <c r="D133">
        <v>1293.4614035088</v>
      </c>
      <c r="E133">
        <v>408.40409356725002</v>
      </c>
      <c r="F133">
        <v>123.80648967552</v>
      </c>
      <c r="G133">
        <v>111.13510324484</v>
      </c>
      <c r="I133" s="9">
        <f t="shared" si="15"/>
        <v>297.26899032240999</v>
      </c>
      <c r="J133" s="9">
        <f t="shared" si="16"/>
        <v>1169.65491383328</v>
      </c>
      <c r="K133" s="9">
        <f t="shared" si="17"/>
        <v>297.26899032240999</v>
      </c>
      <c r="L133" s="10">
        <f t="shared" si="14"/>
        <v>0.25415102078969426</v>
      </c>
      <c r="M133" s="10">
        <f t="shared" si="18"/>
        <v>0.30853910936207757</v>
      </c>
      <c r="P133" s="8">
        <f t="shared" si="19"/>
        <v>-17.153856604903311</v>
      </c>
      <c r="X133" s="8">
        <v>-13</v>
      </c>
    </row>
    <row r="134" spans="1:24" x14ac:dyDescent="0.2">
      <c r="A134" s="8">
        <v>66</v>
      </c>
      <c r="B134" s="8">
        <v>132</v>
      </c>
      <c r="D134">
        <v>1300.5596491228</v>
      </c>
      <c r="E134">
        <v>406.70818713450001</v>
      </c>
      <c r="F134">
        <v>123.86135693215</v>
      </c>
      <c r="G134">
        <v>110.8401179941</v>
      </c>
      <c r="I134" s="9">
        <f t="shared" si="15"/>
        <v>295.8680691404</v>
      </c>
      <c r="J134" s="9">
        <f t="shared" si="16"/>
        <v>1176.6982921906499</v>
      </c>
      <c r="K134" s="9">
        <f t="shared" si="17"/>
        <v>295.8680691404</v>
      </c>
      <c r="L134" s="10">
        <f t="shared" si="14"/>
        <v>0.25143919312535479</v>
      </c>
      <c r="M134" s="10">
        <f t="shared" si="18"/>
        <v>0.30624245794638222</v>
      </c>
      <c r="P134" s="8">
        <f t="shared" si="19"/>
        <v>-17.770532762770756</v>
      </c>
      <c r="X134" s="8">
        <v>-13</v>
      </c>
    </row>
    <row r="135" spans="1:24" x14ac:dyDescent="0.2">
      <c r="A135" s="8">
        <v>66.5</v>
      </c>
      <c r="B135" s="8">
        <v>133</v>
      </c>
      <c r="D135">
        <v>1267.6122807018</v>
      </c>
      <c r="E135">
        <v>400.96140350876999</v>
      </c>
      <c r="F135">
        <v>123.62949852507001</v>
      </c>
      <c r="G135">
        <v>110.83126843658</v>
      </c>
      <c r="I135" s="9">
        <f t="shared" si="15"/>
        <v>290.13013507219</v>
      </c>
      <c r="J135" s="9">
        <f t="shared" si="16"/>
        <v>1143.9827821767301</v>
      </c>
      <c r="K135" s="9">
        <f t="shared" si="17"/>
        <v>290.13013507219</v>
      </c>
      <c r="L135" s="10">
        <f t="shared" si="14"/>
        <v>0.25361407496023725</v>
      </c>
      <c r="M135" s="10">
        <f t="shared" si="18"/>
        <v>0.3088325160299088</v>
      </c>
      <c r="P135" s="8">
        <f t="shared" si="19"/>
        <v>-17.0750736884475</v>
      </c>
      <c r="X135" s="8">
        <v>-13</v>
      </c>
    </row>
    <row r="136" spans="1:24" x14ac:dyDescent="0.2">
      <c r="A136" s="8">
        <v>67</v>
      </c>
      <c r="B136" s="8">
        <v>134</v>
      </c>
      <c r="D136">
        <v>1302.1519061583999</v>
      </c>
      <c r="E136">
        <v>409.4439882698</v>
      </c>
      <c r="F136">
        <v>123.7215339233</v>
      </c>
      <c r="G136">
        <v>110.81179941003001</v>
      </c>
      <c r="I136" s="9">
        <f t="shared" si="15"/>
        <v>298.63218885977</v>
      </c>
      <c r="J136" s="9">
        <f t="shared" si="16"/>
        <v>1178.4303722350999</v>
      </c>
      <c r="K136" s="9">
        <f t="shared" si="17"/>
        <v>298.63218885977</v>
      </c>
      <c r="L136" s="10">
        <f t="shared" si="14"/>
        <v>0.25341521730584871</v>
      </c>
      <c r="M136" s="10">
        <f t="shared" si="18"/>
        <v>0.30904883462416444</v>
      </c>
      <c r="P136" s="8">
        <f t="shared" si="19"/>
        <v>-17.016989767366049</v>
      </c>
      <c r="X136" s="8">
        <v>-13</v>
      </c>
    </row>
    <row r="137" spans="1:24" x14ac:dyDescent="0.2">
      <c r="A137" s="8">
        <v>67.5</v>
      </c>
      <c r="B137" s="8">
        <v>135</v>
      </c>
      <c r="D137">
        <v>1332.6119929453</v>
      </c>
      <c r="E137">
        <v>411.43092298648003</v>
      </c>
      <c r="F137">
        <v>123.52743362832</v>
      </c>
      <c r="G137">
        <v>110.67905604720001</v>
      </c>
      <c r="I137" s="9">
        <f t="shared" si="15"/>
        <v>300.75186693928003</v>
      </c>
      <c r="J137" s="9">
        <f t="shared" si="16"/>
        <v>1209.0845593169799</v>
      </c>
      <c r="K137" s="9">
        <f t="shared" si="17"/>
        <v>300.75186693928003</v>
      </c>
      <c r="L137" s="10">
        <f t="shared" si="14"/>
        <v>0.24874345191305461</v>
      </c>
      <c r="M137" s="10">
        <f t="shared" si="18"/>
        <v>0.30479224548001449</v>
      </c>
      <c r="P137" s="8">
        <f t="shared" si="19"/>
        <v>-18.159930755752789</v>
      </c>
      <c r="X137" s="8">
        <v>-13</v>
      </c>
    </row>
    <row r="138" spans="1:24" x14ac:dyDescent="0.2">
      <c r="A138" s="8">
        <v>68</v>
      </c>
      <c r="B138" s="8">
        <v>136</v>
      </c>
      <c r="D138">
        <v>1358.9400352734001</v>
      </c>
      <c r="E138">
        <v>415.34273956496003</v>
      </c>
      <c r="F138">
        <v>123.74572271386</v>
      </c>
      <c r="G138">
        <v>110.78525073746</v>
      </c>
      <c r="I138" s="9">
        <f t="shared" si="15"/>
        <v>304.55748882750004</v>
      </c>
      <c r="J138" s="9">
        <f t="shared" si="16"/>
        <v>1235.1943125595401</v>
      </c>
      <c r="K138" s="9">
        <f t="shared" si="17"/>
        <v>304.55748882750004</v>
      </c>
      <c r="L138" s="10">
        <f t="shared" si="14"/>
        <v>0.24656645981181965</v>
      </c>
      <c r="M138" s="10">
        <f t="shared" si="18"/>
        <v>0.30303042962742366</v>
      </c>
      <c r="P138" s="8">
        <f t="shared" si="19"/>
        <v>-18.632997684160259</v>
      </c>
      <c r="X138" s="8">
        <v>-13</v>
      </c>
    </row>
    <row r="139" spans="1:24" x14ac:dyDescent="0.2">
      <c r="A139" s="8">
        <v>68.5</v>
      </c>
      <c r="B139" s="8">
        <v>137</v>
      </c>
      <c r="D139">
        <v>1345.9735449735001</v>
      </c>
      <c r="E139">
        <v>410.90534979424001</v>
      </c>
      <c r="F139">
        <v>123.84424778761</v>
      </c>
      <c r="G139">
        <v>110.6383480826</v>
      </c>
      <c r="I139" s="9">
        <f t="shared" si="15"/>
        <v>300.26700171163998</v>
      </c>
      <c r="J139" s="9">
        <f t="shared" si="16"/>
        <v>1222.1292971858902</v>
      </c>
      <c r="K139" s="9">
        <f t="shared" si="17"/>
        <v>300.26700171163998</v>
      </c>
      <c r="L139" s="10">
        <f t="shared" si="14"/>
        <v>0.2456916812345824</v>
      </c>
      <c r="M139" s="10">
        <f t="shared" si="18"/>
        <v>0.30257082729883056</v>
      </c>
      <c r="P139" s="8">
        <f t="shared" si="19"/>
        <v>-18.756405962929424</v>
      </c>
      <c r="X139" s="8">
        <v>-13</v>
      </c>
    </row>
    <row r="140" spans="1:24" x14ac:dyDescent="0.2">
      <c r="A140" s="8">
        <v>69</v>
      </c>
      <c r="B140" s="8">
        <v>138</v>
      </c>
      <c r="D140">
        <v>1350.6813639036</v>
      </c>
      <c r="E140">
        <v>411.05878894768</v>
      </c>
      <c r="F140">
        <v>123.80648967552</v>
      </c>
      <c r="G140">
        <v>110.75339233038</v>
      </c>
      <c r="I140" s="9">
        <f t="shared" si="15"/>
        <v>300.3053966173</v>
      </c>
      <c r="J140" s="9">
        <f t="shared" si="16"/>
        <v>1226.87487422808</v>
      </c>
      <c r="K140" s="9">
        <f t="shared" si="17"/>
        <v>300.3053966173</v>
      </c>
      <c r="L140" s="10">
        <f t="shared" si="14"/>
        <v>0.24477263568238358</v>
      </c>
      <c r="M140" s="10">
        <f t="shared" si="18"/>
        <v>0.30206695799527589</v>
      </c>
      <c r="P140" s="8">
        <f t="shared" si="19"/>
        <v>-18.891700411211797</v>
      </c>
      <c r="X140" s="8">
        <v>-13</v>
      </c>
    </row>
    <row r="141" spans="1:24" x14ac:dyDescent="0.2">
      <c r="A141" s="8">
        <v>69.5</v>
      </c>
      <c r="B141" s="8">
        <v>139</v>
      </c>
      <c r="D141">
        <v>1349.7707231040999</v>
      </c>
      <c r="E141">
        <v>409.96649029982001</v>
      </c>
      <c r="F141">
        <v>123.91268436578</v>
      </c>
      <c r="G141">
        <v>110.75103244838</v>
      </c>
      <c r="I141" s="9">
        <f t="shared" si="15"/>
        <v>299.21545785144002</v>
      </c>
      <c r="J141" s="9">
        <f t="shared" si="16"/>
        <v>1225.8580387383199</v>
      </c>
      <c r="K141" s="9">
        <f t="shared" si="17"/>
        <v>299.21545785144002</v>
      </c>
      <c r="L141" s="10">
        <f t="shared" si="14"/>
        <v>0.24408654868340152</v>
      </c>
      <c r="M141" s="10">
        <f t="shared" si="18"/>
        <v>0.30179604724493797</v>
      </c>
      <c r="P141" s="8">
        <f t="shared" si="19"/>
        <v>-18.964442926467555</v>
      </c>
      <c r="X141" s="8">
        <v>-13</v>
      </c>
    </row>
    <row r="142" spans="1:24" x14ac:dyDescent="0.2">
      <c r="A142" s="8">
        <v>70</v>
      </c>
      <c r="B142" s="8">
        <v>140</v>
      </c>
      <c r="D142">
        <v>1309.6590241035001</v>
      </c>
      <c r="E142">
        <v>401.08289241622998</v>
      </c>
      <c r="F142">
        <v>123.99587020649</v>
      </c>
      <c r="G142">
        <v>110.7994100295</v>
      </c>
      <c r="I142" s="9">
        <f t="shared" si="15"/>
        <v>290.28348238672999</v>
      </c>
      <c r="J142" s="9">
        <f t="shared" si="16"/>
        <v>1185.66315389701</v>
      </c>
      <c r="K142" s="9">
        <f t="shared" si="17"/>
        <v>290.28348238672999</v>
      </c>
      <c r="L142" s="10">
        <f t="shared" si="14"/>
        <v>0.24482795255349971</v>
      </c>
      <c r="M142" s="10">
        <f t="shared" si="18"/>
        <v>0.30295262736368034</v>
      </c>
      <c r="P142" s="8">
        <f t="shared" si="19"/>
        <v>-18.65388844744751</v>
      </c>
      <c r="X142" s="8">
        <v>-13</v>
      </c>
    </row>
    <row r="143" spans="1:24" x14ac:dyDescent="0.2">
      <c r="A143" s="8">
        <v>70.5</v>
      </c>
      <c r="B143" s="8">
        <v>141</v>
      </c>
      <c r="D143">
        <v>1340.076331361</v>
      </c>
      <c r="E143">
        <v>406.17218934911</v>
      </c>
      <c r="F143">
        <v>123.54690265487</v>
      </c>
      <c r="G143">
        <v>110.69321533922999</v>
      </c>
      <c r="I143" s="9">
        <f t="shared" si="15"/>
        <v>295.47897400988001</v>
      </c>
      <c r="J143" s="9">
        <f t="shared" si="16"/>
        <v>1216.5294287061301</v>
      </c>
      <c r="K143" s="9">
        <f t="shared" si="17"/>
        <v>295.47897400988001</v>
      </c>
      <c r="L143" s="10">
        <f t="shared" si="14"/>
        <v>0.24288682792009722</v>
      </c>
      <c r="M143" s="10">
        <f t="shared" si="18"/>
        <v>0.301426678978922</v>
      </c>
      <c r="P143" s="8">
        <f t="shared" si="19"/>
        <v>-19.063622367269161</v>
      </c>
      <c r="X143" s="8">
        <v>-13</v>
      </c>
    </row>
    <row r="144" spans="1:24" x14ac:dyDescent="0.2">
      <c r="A144" s="8">
        <v>71</v>
      </c>
      <c r="B144" s="8">
        <v>142</v>
      </c>
      <c r="D144">
        <v>1330.6857988166</v>
      </c>
      <c r="E144">
        <v>400.82662721894002</v>
      </c>
      <c r="F144">
        <v>123.83067846608</v>
      </c>
      <c r="G144">
        <v>110.73097345133</v>
      </c>
      <c r="I144" s="9">
        <f t="shared" si="15"/>
        <v>290.09565376761003</v>
      </c>
      <c r="J144" s="9">
        <f t="shared" si="16"/>
        <v>1206.8551203505201</v>
      </c>
      <c r="K144" s="9">
        <f t="shared" si="17"/>
        <v>290.09565376761003</v>
      </c>
      <c r="L144" s="10">
        <f t="shared" si="14"/>
        <v>0.24037322200145647</v>
      </c>
      <c r="M144" s="10">
        <f t="shared" si="18"/>
        <v>0.29932824930892538</v>
      </c>
      <c r="P144" s="8">
        <f t="shared" si="19"/>
        <v>-19.627073806875973</v>
      </c>
    </row>
    <row r="145" spans="1:16" x14ac:dyDescent="0.2">
      <c r="A145" s="8">
        <v>71.5</v>
      </c>
      <c r="B145" s="8">
        <v>143</v>
      </c>
      <c r="D145">
        <v>1327.8834319527</v>
      </c>
      <c r="E145">
        <v>398.82130177515</v>
      </c>
      <c r="F145">
        <v>123.71209439528</v>
      </c>
      <c r="G145">
        <v>110.87787610620001</v>
      </c>
      <c r="I145" s="9">
        <f t="shared" si="15"/>
        <v>287.94342566895</v>
      </c>
      <c r="J145" s="9">
        <f t="shared" si="16"/>
        <v>1204.17133755742</v>
      </c>
      <c r="K145" s="9">
        <f t="shared" si="17"/>
        <v>287.94342566895</v>
      </c>
      <c r="L145" s="10">
        <f t="shared" si="14"/>
        <v>0.23912164049098175</v>
      </c>
      <c r="M145" s="10">
        <f t="shared" si="18"/>
        <v>0.29849184404709483</v>
      </c>
      <c r="P145" s="8">
        <f t="shared" si="19"/>
        <v>-19.851657816343344</v>
      </c>
    </row>
    <row r="146" spans="1:16" x14ac:dyDescent="0.2">
      <c r="A146" s="8">
        <v>72</v>
      </c>
      <c r="B146" s="8">
        <v>144</v>
      </c>
      <c r="D146">
        <v>1350.0467455621001</v>
      </c>
      <c r="E146">
        <v>403.19704142012</v>
      </c>
      <c r="F146">
        <v>123.73274336283001</v>
      </c>
      <c r="G146">
        <v>110.92861356932001</v>
      </c>
      <c r="I146" s="9">
        <f t="shared" si="15"/>
        <v>292.26842785079998</v>
      </c>
      <c r="J146" s="9">
        <f t="shared" si="16"/>
        <v>1226.3140021992701</v>
      </c>
      <c r="K146" s="9">
        <f t="shared" si="17"/>
        <v>292.26842785079998</v>
      </c>
      <c r="L146" s="10">
        <f t="shared" si="14"/>
        <v>0.23833082499803976</v>
      </c>
      <c r="M146" s="10">
        <f t="shared" si="18"/>
        <v>0.29811620480279694</v>
      </c>
      <c r="P146" s="8">
        <f t="shared" si="19"/>
        <v>-19.95252108376598</v>
      </c>
    </row>
    <row r="147" spans="1:16" x14ac:dyDescent="0.2">
      <c r="A147" s="8">
        <v>72.5</v>
      </c>
      <c r="B147" s="8">
        <v>145</v>
      </c>
      <c r="D147">
        <v>1281.7118343195</v>
      </c>
      <c r="E147">
        <v>384.90828402366998</v>
      </c>
      <c r="F147">
        <v>123.5604719764</v>
      </c>
      <c r="G147">
        <v>110.69793510325</v>
      </c>
      <c r="I147" s="9">
        <f t="shared" si="15"/>
        <v>274.21034892041996</v>
      </c>
      <c r="J147" s="9">
        <f t="shared" si="16"/>
        <v>1158.1513623430999</v>
      </c>
      <c r="K147" s="9">
        <f t="shared" si="17"/>
        <v>274.21034892041996</v>
      </c>
      <c r="L147" s="10">
        <f t="shared" si="14"/>
        <v>0.23676555399948296</v>
      </c>
      <c r="M147" s="10">
        <f t="shared" si="18"/>
        <v>0.29696611005288431</v>
      </c>
      <c r="P147" s="8">
        <f t="shared" si="19"/>
        <v>-20.261334169945584</v>
      </c>
    </row>
    <row r="148" spans="1:16" x14ac:dyDescent="0.2">
      <c r="A148" s="8">
        <v>73</v>
      </c>
      <c r="B148" s="8">
        <v>146</v>
      </c>
      <c r="D148">
        <v>1259.0733727811</v>
      </c>
      <c r="E148">
        <v>379.63550295857999</v>
      </c>
      <c r="F148">
        <v>123.1203539823</v>
      </c>
      <c r="G148">
        <v>110.71504424779</v>
      </c>
      <c r="I148" s="9">
        <f t="shared" si="15"/>
        <v>268.92045871079</v>
      </c>
      <c r="J148" s="9">
        <f t="shared" si="16"/>
        <v>1135.9530187988</v>
      </c>
      <c r="K148" s="9">
        <f t="shared" si="17"/>
        <v>268.92045871079</v>
      </c>
      <c r="L148" s="10">
        <f t="shared" si="14"/>
        <v>0.23673554650627782</v>
      </c>
      <c r="M148" s="10">
        <f t="shared" si="18"/>
        <v>0.29735127880832329</v>
      </c>
      <c r="P148" s="8">
        <f t="shared" si="19"/>
        <v>-20.157912124000145</v>
      </c>
    </row>
    <row r="149" spans="1:16" x14ac:dyDescent="0.2">
      <c r="A149" s="8">
        <v>73.5</v>
      </c>
      <c r="B149" s="8">
        <v>147</v>
      </c>
      <c r="D149">
        <v>1278.1508875740001</v>
      </c>
      <c r="E149">
        <v>383.47514792899</v>
      </c>
      <c r="F149">
        <v>123.69970501474999</v>
      </c>
      <c r="G149">
        <v>110.58879056047</v>
      </c>
      <c r="I149" s="9">
        <f t="shared" si="15"/>
        <v>272.88635736852001</v>
      </c>
      <c r="J149" s="9">
        <f t="shared" si="16"/>
        <v>1154.4511825592501</v>
      </c>
      <c r="K149" s="9">
        <f t="shared" si="17"/>
        <v>272.88635736852001</v>
      </c>
      <c r="L149" s="10">
        <f t="shared" si="14"/>
        <v>0.2363775632015645</v>
      </c>
      <c r="M149" s="10">
        <f t="shared" si="18"/>
        <v>0.29740847175225416</v>
      </c>
      <c r="P149" s="8">
        <f t="shared" si="19"/>
        <v>-20.14255518969162</v>
      </c>
    </row>
    <row r="150" spans="1:16" x14ac:dyDescent="0.2">
      <c r="A150" s="8">
        <v>74</v>
      </c>
      <c r="B150" s="8">
        <v>148</v>
      </c>
      <c r="D150">
        <v>1313.1520710059001</v>
      </c>
      <c r="E150">
        <v>394.92781065089002</v>
      </c>
      <c r="F150">
        <v>123.38171091445</v>
      </c>
      <c r="G150">
        <v>110.69852507375001</v>
      </c>
      <c r="I150" s="9">
        <f t="shared" si="15"/>
        <v>284.22928557713999</v>
      </c>
      <c r="J150" s="9">
        <f t="shared" si="16"/>
        <v>1189.7703600914501</v>
      </c>
      <c r="K150" s="9">
        <f t="shared" si="17"/>
        <v>284.22928557713999</v>
      </c>
      <c r="L150" s="10">
        <f t="shared" si="14"/>
        <v>0.23889423968781093</v>
      </c>
      <c r="M150" s="10">
        <f t="shared" si="18"/>
        <v>0.30034032448714471</v>
      </c>
      <c r="P150" s="8">
        <f t="shared" si="19"/>
        <v>-19.355320493285568</v>
      </c>
    </row>
    <row r="151" spans="1:16" x14ac:dyDescent="0.2">
      <c r="A151" s="8">
        <v>74.5</v>
      </c>
      <c r="B151" s="8">
        <v>149</v>
      </c>
      <c r="D151">
        <v>1348.1520710059001</v>
      </c>
      <c r="E151">
        <v>402.45798816567998</v>
      </c>
      <c r="F151">
        <v>123.72566371681</v>
      </c>
      <c r="G151">
        <v>110.67020648968</v>
      </c>
      <c r="I151" s="9">
        <f t="shared" si="15"/>
        <v>291.78778167600001</v>
      </c>
      <c r="J151" s="9">
        <f t="shared" si="16"/>
        <v>1224.4264072890901</v>
      </c>
      <c r="K151" s="9">
        <f t="shared" si="17"/>
        <v>291.78778167600001</v>
      </c>
      <c r="L151" s="10">
        <f t="shared" si="14"/>
        <v>0.23830569149682526</v>
      </c>
      <c r="M151" s="10">
        <f t="shared" si="18"/>
        <v>0.30016695254480319</v>
      </c>
      <c r="P151" s="8">
        <f t="shared" si="19"/>
        <v>-19.401872766109616</v>
      </c>
    </row>
    <row r="152" spans="1:16" x14ac:dyDescent="0.2">
      <c r="A152" s="8">
        <v>75</v>
      </c>
      <c r="B152" s="8">
        <v>150</v>
      </c>
      <c r="D152">
        <v>1359.1278106509001</v>
      </c>
      <c r="E152">
        <v>403.23668639053</v>
      </c>
      <c r="F152">
        <v>123.60412979351</v>
      </c>
      <c r="G152">
        <v>110.89321533923</v>
      </c>
      <c r="I152" s="9">
        <f t="shared" si="15"/>
        <v>292.34347105130001</v>
      </c>
      <c r="J152" s="9">
        <f t="shared" si="16"/>
        <v>1235.52368085739</v>
      </c>
      <c r="K152" s="9">
        <f t="shared" si="17"/>
        <v>292.34347105130001</v>
      </c>
      <c r="L152" s="10">
        <f t="shared" si="14"/>
        <v>0.23661502857511291</v>
      </c>
      <c r="M152" s="10">
        <f t="shared" si="18"/>
        <v>0.29889146587173498</v>
      </c>
      <c r="P152" s="8">
        <f t="shared" si="19"/>
        <v>-19.744354962399157</v>
      </c>
    </row>
    <row r="153" spans="1:16" x14ac:dyDescent="0.2">
      <c r="A153" s="8">
        <v>75.5</v>
      </c>
      <c r="B153" s="8">
        <v>151</v>
      </c>
      <c r="D153">
        <v>1347.6887573965</v>
      </c>
      <c r="E153">
        <v>397.88402366864</v>
      </c>
      <c r="F153">
        <v>123.5179941003</v>
      </c>
      <c r="G153">
        <v>110.49911504425</v>
      </c>
      <c r="I153" s="9">
        <f t="shared" si="15"/>
        <v>287.38490862438999</v>
      </c>
      <c r="J153" s="9">
        <f t="shared" si="16"/>
        <v>1224.1707632962</v>
      </c>
      <c r="K153" s="9">
        <f t="shared" si="17"/>
        <v>287.38490862438999</v>
      </c>
      <c r="L153" s="10">
        <f t="shared" si="14"/>
        <v>0.23475884022142296</v>
      </c>
      <c r="M153" s="10">
        <f t="shared" si="18"/>
        <v>0.29745045376668922</v>
      </c>
      <c r="P153" s="8">
        <f t="shared" si="19"/>
        <v>-20.131282557203985</v>
      </c>
    </row>
    <row r="154" spans="1:16" x14ac:dyDescent="0.2">
      <c r="A154" s="8">
        <v>76</v>
      </c>
      <c r="B154" s="8">
        <v>152</v>
      </c>
      <c r="D154">
        <v>1348.8384615385</v>
      </c>
      <c r="E154">
        <v>399.13136094675002</v>
      </c>
      <c r="F154">
        <v>123.4808259587</v>
      </c>
      <c r="G154">
        <v>110.74867256637</v>
      </c>
      <c r="I154" s="9">
        <f t="shared" si="15"/>
        <v>288.38268838038005</v>
      </c>
      <c r="J154" s="9">
        <f t="shared" si="16"/>
        <v>1225.3576355798</v>
      </c>
      <c r="K154" s="9">
        <f t="shared" si="17"/>
        <v>288.38268838038005</v>
      </c>
      <c r="L154" s="10">
        <f t="shared" si="14"/>
        <v>0.23534573091710209</v>
      </c>
      <c r="M154" s="10">
        <f t="shared" si="18"/>
        <v>0.29845252071101247</v>
      </c>
      <c r="P154" s="8">
        <f t="shared" si="19"/>
        <v>-19.862216564459874</v>
      </c>
    </row>
    <row r="155" spans="1:16" x14ac:dyDescent="0.2">
      <c r="A155" s="8">
        <v>76.5</v>
      </c>
      <c r="B155" s="8">
        <v>153</v>
      </c>
      <c r="D155">
        <v>1344.8958579882001</v>
      </c>
      <c r="E155">
        <v>396.33076923076999</v>
      </c>
      <c r="F155">
        <v>123.62064896755</v>
      </c>
      <c r="G155">
        <v>110.79233038348001</v>
      </c>
      <c r="I155" s="9">
        <f t="shared" si="15"/>
        <v>285.53843884728997</v>
      </c>
      <c r="J155" s="9">
        <f t="shared" si="16"/>
        <v>1221.27520902065</v>
      </c>
      <c r="K155" s="9">
        <f t="shared" si="17"/>
        <v>285.53843884728997</v>
      </c>
      <c r="L155" s="10">
        <f t="shared" si="14"/>
        <v>0.23380351679804051</v>
      </c>
      <c r="M155" s="10">
        <f t="shared" si="18"/>
        <v>0.29732548284059501</v>
      </c>
      <c r="P155" s="8">
        <f t="shared" si="19"/>
        <v>-20.164838624973882</v>
      </c>
    </row>
    <row r="156" spans="1:16" x14ac:dyDescent="0.2">
      <c r="A156" s="8">
        <v>77</v>
      </c>
      <c r="B156" s="8">
        <v>154</v>
      </c>
      <c r="D156">
        <v>1323.2230769231001</v>
      </c>
      <c r="E156">
        <v>390.60177514793003</v>
      </c>
      <c r="F156">
        <v>123.49852507375</v>
      </c>
      <c r="G156">
        <v>110.64778761062</v>
      </c>
      <c r="I156" s="9">
        <f t="shared" si="15"/>
        <v>279.95398753731001</v>
      </c>
      <c r="J156" s="9">
        <f t="shared" si="16"/>
        <v>1199.7245518493501</v>
      </c>
      <c r="K156" s="9">
        <f t="shared" si="17"/>
        <v>279.95398753731001</v>
      </c>
      <c r="L156" s="10">
        <f t="shared" si="14"/>
        <v>0.23334855247045402</v>
      </c>
      <c r="M156" s="10">
        <f t="shared" si="18"/>
        <v>0.29728569476165267</v>
      </c>
      <c r="P156" s="8">
        <f t="shared" si="19"/>
        <v>-20.175522161658382</v>
      </c>
    </row>
    <row r="157" spans="1:16" x14ac:dyDescent="0.2">
      <c r="A157" s="8">
        <v>77.5</v>
      </c>
      <c r="B157" s="8">
        <v>155</v>
      </c>
      <c r="D157">
        <v>1319.2650887574</v>
      </c>
      <c r="E157">
        <v>393.38343195265998</v>
      </c>
      <c r="F157">
        <v>123.88790560472</v>
      </c>
      <c r="G157">
        <v>110.5587020649</v>
      </c>
      <c r="I157" s="9">
        <f t="shared" si="15"/>
        <v>282.82472988775999</v>
      </c>
      <c r="J157" s="9">
        <f t="shared" si="16"/>
        <v>1195.3771831526801</v>
      </c>
      <c r="K157" s="9">
        <f t="shared" si="17"/>
        <v>282.82472988775999</v>
      </c>
      <c r="L157" s="10">
        <f t="shared" si="14"/>
        <v>0.23659873542327439</v>
      </c>
      <c r="M157" s="10">
        <f t="shared" si="18"/>
        <v>0.30095105396311722</v>
      </c>
      <c r="P157" s="8">
        <f t="shared" si="19"/>
        <v>-19.191332913731578</v>
      </c>
    </row>
    <row r="158" spans="1:16" x14ac:dyDescent="0.2">
      <c r="A158" s="8">
        <v>78</v>
      </c>
      <c r="B158" s="8">
        <v>156</v>
      </c>
      <c r="D158">
        <v>1296.473964497</v>
      </c>
      <c r="E158">
        <v>387.50295857987999</v>
      </c>
      <c r="F158">
        <v>123.35634218289</v>
      </c>
      <c r="G158">
        <v>110.64188790561001</v>
      </c>
      <c r="I158" s="9">
        <f t="shared" si="15"/>
        <v>276.86107067426997</v>
      </c>
      <c r="J158" s="9">
        <f t="shared" si="16"/>
        <v>1173.1176223141099</v>
      </c>
      <c r="K158" s="9">
        <f t="shared" si="17"/>
        <v>276.86107067426997</v>
      </c>
      <c r="L158" s="10">
        <f t="shared" si="14"/>
        <v>0.23600452794164797</v>
      </c>
      <c r="M158" s="10">
        <f t="shared" si="18"/>
        <v>0.30077202273013492</v>
      </c>
      <c r="P158" s="8">
        <f t="shared" si="19"/>
        <v>-19.239404768319211</v>
      </c>
    </row>
    <row r="159" spans="1:16" x14ac:dyDescent="0.2">
      <c r="A159" s="8">
        <v>78.5</v>
      </c>
      <c r="B159" s="8">
        <v>157</v>
      </c>
      <c r="D159">
        <v>1305.6893491123999</v>
      </c>
      <c r="E159">
        <v>387.55266272188999</v>
      </c>
      <c r="F159">
        <v>123.50796460177</v>
      </c>
      <c r="G159">
        <v>110.84719764012</v>
      </c>
      <c r="I159" s="9">
        <f t="shared" si="15"/>
        <v>276.70546508177</v>
      </c>
      <c r="J159" s="9">
        <f t="shared" si="16"/>
        <v>1182.1813845106299</v>
      </c>
      <c r="K159" s="9">
        <f t="shared" si="17"/>
        <v>276.70546508177</v>
      </c>
      <c r="L159" s="10">
        <f t="shared" si="14"/>
        <v>0.23406345989478905</v>
      </c>
      <c r="M159" s="10">
        <f t="shared" si="18"/>
        <v>0.29924613093192015</v>
      </c>
      <c r="P159" s="8">
        <f t="shared" si="19"/>
        <v>-19.649123494031723</v>
      </c>
    </row>
    <row r="160" spans="1:16" x14ac:dyDescent="0.2">
      <c r="A160" s="8">
        <v>79</v>
      </c>
      <c r="B160" s="8">
        <v>158</v>
      </c>
      <c r="D160">
        <v>1275.0786982249001</v>
      </c>
      <c r="E160">
        <v>382.09408284023999</v>
      </c>
      <c r="F160">
        <v>123.10737463127001</v>
      </c>
      <c r="G160">
        <v>110.61887905605001</v>
      </c>
      <c r="I160" s="9">
        <f t="shared" si="15"/>
        <v>271.47520378419</v>
      </c>
      <c r="J160" s="9">
        <f t="shared" si="16"/>
        <v>1151.9713235936301</v>
      </c>
      <c r="K160" s="9">
        <f t="shared" si="17"/>
        <v>271.47520378419</v>
      </c>
      <c r="L160" s="10">
        <f t="shared" si="14"/>
        <v>0.23566142509286603</v>
      </c>
      <c r="M160" s="10">
        <f t="shared" si="18"/>
        <v>0.30125927237864131</v>
      </c>
      <c r="P160" s="8">
        <f t="shared" si="19"/>
        <v>-19.10857288015816</v>
      </c>
    </row>
    <row r="161" spans="1:16" x14ac:dyDescent="0.2">
      <c r="A161" s="8">
        <v>79.5</v>
      </c>
      <c r="B161" s="8">
        <v>159</v>
      </c>
      <c r="D161">
        <v>1286.1465416178</v>
      </c>
      <c r="E161">
        <v>383.00879249706998</v>
      </c>
      <c r="F161">
        <v>123.69439528024</v>
      </c>
      <c r="G161">
        <v>110.78997050148</v>
      </c>
      <c r="I161" s="9">
        <f t="shared" si="15"/>
        <v>272.21882199558996</v>
      </c>
      <c r="J161" s="9">
        <f t="shared" si="16"/>
        <v>1162.45214633756</v>
      </c>
      <c r="K161" s="9">
        <f t="shared" si="17"/>
        <v>272.21882199558996</v>
      </c>
      <c r="L161" s="10">
        <f t="shared" si="14"/>
        <v>0.23417636833761019</v>
      </c>
      <c r="M161" s="10">
        <f t="shared" si="18"/>
        <v>0.30018939187202959</v>
      </c>
      <c r="P161" s="8">
        <f t="shared" si="19"/>
        <v>-19.39584756001846</v>
      </c>
    </row>
    <row r="162" spans="1:16" x14ac:dyDescent="0.2">
      <c r="A162" s="8">
        <v>80</v>
      </c>
      <c r="B162" s="4">
        <v>160</v>
      </c>
      <c r="C162" s="4" t="s">
        <v>6</v>
      </c>
      <c r="D162">
        <v>1288.6817116061</v>
      </c>
      <c r="E162">
        <v>385.64771395076002</v>
      </c>
      <c r="F162">
        <v>123.59292035398001</v>
      </c>
      <c r="G162">
        <v>110.29144542773</v>
      </c>
      <c r="H162" s="4"/>
      <c r="I162" s="5">
        <f t="shared" si="15"/>
        <v>275.35626852303005</v>
      </c>
      <c r="J162" s="5">
        <f t="shared" si="16"/>
        <v>1165.08879125212</v>
      </c>
      <c r="K162" s="9">
        <f t="shared" si="17"/>
        <v>275.35626852303005</v>
      </c>
      <c r="L162" s="6">
        <f t="shared" si="14"/>
        <v>0.23633929927958958</v>
      </c>
      <c r="M162" s="6">
        <f t="shared" si="18"/>
        <v>0.3027674990626531</v>
      </c>
      <c r="N162" s="4"/>
      <c r="O162" s="4"/>
      <c r="P162" s="4">
        <f t="shared" si="19"/>
        <v>-18.703597431845321</v>
      </c>
    </row>
    <row r="163" spans="1:16" x14ac:dyDescent="0.2">
      <c r="A163" s="8">
        <v>80.5</v>
      </c>
      <c r="B163" s="8">
        <v>161</v>
      </c>
      <c r="D163">
        <v>1287.0785463072</v>
      </c>
      <c r="E163">
        <v>382.91324736224999</v>
      </c>
      <c r="F163">
        <v>123.05604719764</v>
      </c>
      <c r="G163">
        <v>110.74041297935</v>
      </c>
      <c r="I163" s="9">
        <f t="shared" si="15"/>
        <v>272.17283438289996</v>
      </c>
      <c r="J163" s="9">
        <f t="shared" si="16"/>
        <v>1164.0224991095599</v>
      </c>
      <c r="K163" s="9">
        <f t="shared" si="17"/>
        <v>272.17283438289996</v>
      </c>
      <c r="L163" s="10">
        <f t="shared" si="14"/>
        <v>0.23382093953605149</v>
      </c>
      <c r="M163" s="10">
        <f t="shared" si="18"/>
        <v>0.30066431556775919</v>
      </c>
      <c r="P163" s="8">
        <f t="shared" si="19"/>
        <v>-19.268325325707572</v>
      </c>
    </row>
    <row r="164" spans="1:16" x14ac:dyDescent="0.2">
      <c r="A164" s="8">
        <v>81</v>
      </c>
      <c r="B164" s="8">
        <v>162</v>
      </c>
      <c r="D164">
        <v>1290.4677608441</v>
      </c>
      <c r="E164">
        <v>380.99882766706003</v>
      </c>
      <c r="F164">
        <v>124.02536873155999</v>
      </c>
      <c r="G164">
        <v>110.17522123894</v>
      </c>
      <c r="I164" s="9">
        <f t="shared" si="15"/>
        <v>270.82360642812</v>
      </c>
      <c r="J164" s="9">
        <f t="shared" si="16"/>
        <v>1166.4423921125399</v>
      </c>
      <c r="K164" s="9">
        <f t="shared" si="17"/>
        <v>270.82360642812</v>
      </c>
      <c r="L164" s="10">
        <f t="shared" si="14"/>
        <v>0.23217915283208482</v>
      </c>
      <c r="M164" s="10">
        <f t="shared" si="18"/>
        <v>0.29943770511243667</v>
      </c>
      <c r="P164" s="8">
        <f t="shared" si="19"/>
        <v>-19.59768372011559</v>
      </c>
    </row>
    <row r="165" spans="1:16" x14ac:dyDescent="0.2">
      <c r="A165" s="8">
        <v>81.5</v>
      </c>
      <c r="B165" s="8">
        <v>163</v>
      </c>
      <c r="D165">
        <v>1282.0984759672001</v>
      </c>
      <c r="E165">
        <v>381.03692848768998</v>
      </c>
      <c r="F165">
        <v>123.81828908555001</v>
      </c>
      <c r="G165">
        <v>110.60825958702</v>
      </c>
      <c r="I165" s="9">
        <f t="shared" si="15"/>
        <v>270.42866890067</v>
      </c>
      <c r="J165" s="9">
        <f t="shared" si="16"/>
        <v>1158.28018688165</v>
      </c>
      <c r="K165" s="9">
        <f t="shared" si="17"/>
        <v>270.42866890067</v>
      </c>
      <c r="L165" s="10">
        <f t="shared" si="14"/>
        <v>0.23347431127931542</v>
      </c>
      <c r="M165" s="10">
        <f t="shared" si="18"/>
        <v>0.3011480398083114</v>
      </c>
      <c r="P165" s="8">
        <f t="shared" si="19"/>
        <v>-19.138440048345721</v>
      </c>
    </row>
    <row r="166" spans="1:16" x14ac:dyDescent="0.2">
      <c r="A166" s="8">
        <v>82</v>
      </c>
      <c r="B166" s="8">
        <v>164</v>
      </c>
      <c r="D166">
        <v>1275.5011723329001</v>
      </c>
      <c r="E166">
        <v>385.45193434935999</v>
      </c>
      <c r="F166">
        <v>123.69734513274</v>
      </c>
      <c r="G166">
        <v>110.46253687316</v>
      </c>
      <c r="I166" s="9">
        <f t="shared" si="15"/>
        <v>274.9893974762</v>
      </c>
      <c r="J166" s="9">
        <f t="shared" si="16"/>
        <v>1151.80382720016</v>
      </c>
      <c r="K166" s="9">
        <f t="shared" si="17"/>
        <v>274.9893974762</v>
      </c>
      <c r="L166" s="10">
        <f t="shared" si="14"/>
        <v>0.23874673011345399</v>
      </c>
      <c r="M166" s="10">
        <f t="shared" si="18"/>
        <v>0.30683563489109411</v>
      </c>
      <c r="P166" s="8">
        <f t="shared" si="19"/>
        <v>-17.611258230858507</v>
      </c>
    </row>
    <row r="167" spans="1:16" x14ac:dyDescent="0.2">
      <c r="A167" s="8">
        <v>82.5</v>
      </c>
      <c r="B167" s="8">
        <v>165</v>
      </c>
      <c r="D167">
        <v>1310.6647127783999</v>
      </c>
      <c r="E167">
        <v>414.39449003517001</v>
      </c>
      <c r="F167">
        <v>123.83008849558</v>
      </c>
      <c r="G167">
        <v>110.52389380531</v>
      </c>
      <c r="I167" s="9">
        <f t="shared" si="15"/>
        <v>303.87059622985998</v>
      </c>
      <c r="J167" s="9">
        <f t="shared" si="16"/>
        <v>1186.83462428282</v>
      </c>
      <c r="K167" s="9">
        <f t="shared" si="17"/>
        <v>303.87059622985998</v>
      </c>
      <c r="L167" s="10">
        <f t="shared" si="14"/>
        <v>0.25603448872540502</v>
      </c>
      <c r="M167" s="10">
        <f t="shared" si="18"/>
        <v>0.32453856975168932</v>
      </c>
      <c r="P167" s="8">
        <f t="shared" si="19"/>
        <v>-12.857825568765044</v>
      </c>
    </row>
    <row r="168" spans="1:16" x14ac:dyDescent="0.2">
      <c r="A168" s="8">
        <v>83</v>
      </c>
      <c r="B168" s="8">
        <v>166</v>
      </c>
      <c r="D168">
        <v>1327.6236811254</v>
      </c>
      <c r="E168">
        <v>436.62895662367998</v>
      </c>
      <c r="F168">
        <v>123.51327433628001</v>
      </c>
      <c r="G168">
        <v>110.6814159292</v>
      </c>
      <c r="I168" s="9">
        <f t="shared" si="15"/>
        <v>325.94754069447998</v>
      </c>
      <c r="J168" s="9">
        <f t="shared" si="16"/>
        <v>1204.1104067891201</v>
      </c>
      <c r="K168" s="9">
        <f t="shared" si="17"/>
        <v>325.94754069447998</v>
      </c>
      <c r="L168" s="10">
        <f t="shared" si="14"/>
        <v>0.27069572595394426</v>
      </c>
      <c r="M168" s="10">
        <f t="shared" si="18"/>
        <v>0.33961498322887268</v>
      </c>
      <c r="P168" s="8">
        <f t="shared" si="19"/>
        <v>-8.809642777945017</v>
      </c>
    </row>
    <row r="169" spans="1:16" x14ac:dyDescent="0.2">
      <c r="A169" s="8">
        <v>83.5</v>
      </c>
      <c r="B169" s="8">
        <v>167</v>
      </c>
      <c r="D169">
        <v>1345.9806565065001</v>
      </c>
      <c r="E169">
        <v>453.08440797186</v>
      </c>
      <c r="F169">
        <v>123.49380530974</v>
      </c>
      <c r="G169">
        <v>110.53392330384</v>
      </c>
      <c r="I169" s="9">
        <f t="shared" si="15"/>
        <v>342.55048466801998</v>
      </c>
      <c r="J169" s="9">
        <f t="shared" si="16"/>
        <v>1222.48685119676</v>
      </c>
      <c r="K169" s="9">
        <f t="shared" si="17"/>
        <v>342.55048466801998</v>
      </c>
      <c r="L169" s="10">
        <f t="shared" si="14"/>
        <v>0.28020790925700212</v>
      </c>
      <c r="M169" s="10">
        <f t="shared" si="18"/>
        <v>0.34954234278057472</v>
      </c>
      <c r="P169" s="8">
        <f t="shared" si="19"/>
        <v>-6.1440375823656304</v>
      </c>
    </row>
    <row r="170" spans="1:16" x14ac:dyDescent="0.2">
      <c r="A170" s="8">
        <v>84</v>
      </c>
      <c r="B170" s="8">
        <v>168</v>
      </c>
      <c r="D170">
        <v>1338.1688159437001</v>
      </c>
      <c r="E170">
        <v>453.64185228604998</v>
      </c>
      <c r="F170">
        <v>123.73510324484</v>
      </c>
      <c r="G170">
        <v>110.95634218289</v>
      </c>
      <c r="I170" s="9">
        <f t="shared" si="15"/>
        <v>342.68551010315997</v>
      </c>
      <c r="J170" s="9">
        <f t="shared" si="16"/>
        <v>1214.4337126988601</v>
      </c>
      <c r="K170" s="9">
        <f t="shared" si="17"/>
        <v>342.68551010315997</v>
      </c>
      <c r="L170" s="10">
        <f t="shared" si="14"/>
        <v>0.28217720450266748</v>
      </c>
      <c r="M170" s="10">
        <f t="shared" si="18"/>
        <v>0.3519268142748842</v>
      </c>
      <c r="P170" s="8">
        <f t="shared" si="19"/>
        <v>-5.5037807677675783</v>
      </c>
    </row>
    <row r="171" spans="1:16" x14ac:dyDescent="0.2">
      <c r="A171" s="8">
        <v>84.5</v>
      </c>
      <c r="B171" s="8">
        <v>169</v>
      </c>
      <c r="D171">
        <v>1363.1078546307001</v>
      </c>
      <c r="E171">
        <v>463.41735052755001</v>
      </c>
      <c r="F171">
        <v>123.64306784660999</v>
      </c>
      <c r="G171">
        <v>110.53392330384</v>
      </c>
      <c r="I171" s="9">
        <f t="shared" si="15"/>
        <v>352.88342722370999</v>
      </c>
      <c r="J171" s="9">
        <f t="shared" si="16"/>
        <v>1239.4647867840902</v>
      </c>
      <c r="K171" s="9">
        <f t="shared" si="17"/>
        <v>352.88342722370999</v>
      </c>
      <c r="L171" s="10">
        <f t="shared" si="14"/>
        <v>0.28470629499632638</v>
      </c>
      <c r="M171" s="10">
        <f t="shared" si="18"/>
        <v>0.35487108101718723</v>
      </c>
      <c r="P171" s="8">
        <f t="shared" si="19"/>
        <v>-4.7132127738734759</v>
      </c>
    </row>
    <row r="172" spans="1:16" x14ac:dyDescent="0.2">
      <c r="A172" s="8">
        <v>85</v>
      </c>
      <c r="B172" s="8">
        <v>170</v>
      </c>
      <c r="D172">
        <v>1372.0873388042</v>
      </c>
      <c r="E172">
        <v>475.27667057444</v>
      </c>
      <c r="F172">
        <v>123.51150442478</v>
      </c>
      <c r="G172">
        <v>110.8395280236</v>
      </c>
      <c r="I172" s="9">
        <f t="shared" si="15"/>
        <v>364.43714255084001</v>
      </c>
      <c r="J172" s="9">
        <f t="shared" si="16"/>
        <v>1248.57583437942</v>
      </c>
      <c r="K172" s="9">
        <f t="shared" si="17"/>
        <v>364.43714255084001</v>
      </c>
      <c r="L172" s="10">
        <f t="shared" si="14"/>
        <v>0.291882264990317</v>
      </c>
      <c r="M172" s="10">
        <f t="shared" si="18"/>
        <v>0.36246222725982202</v>
      </c>
      <c r="P172" s="8">
        <f t="shared" si="19"/>
        <v>-2.674906539533354</v>
      </c>
    </row>
    <row r="173" spans="1:16" x14ac:dyDescent="0.2">
      <c r="A173" s="8">
        <v>85.5</v>
      </c>
      <c r="B173" s="8">
        <v>171</v>
      </c>
      <c r="D173">
        <v>1359.4728453365001</v>
      </c>
      <c r="E173">
        <v>476.18476977568002</v>
      </c>
      <c r="F173">
        <v>123.89321533923</v>
      </c>
      <c r="G173">
        <v>110.86607669617</v>
      </c>
      <c r="I173" s="9">
        <f t="shared" si="15"/>
        <v>365.31869307951001</v>
      </c>
      <c r="J173" s="9">
        <f t="shared" si="16"/>
        <v>1235.5796299972701</v>
      </c>
      <c r="K173" s="9">
        <f t="shared" si="17"/>
        <v>365.31869307951001</v>
      </c>
      <c r="L173" s="10">
        <f t="shared" si="14"/>
        <v>0.29566584314789746</v>
      </c>
      <c r="M173" s="10">
        <f t="shared" si="18"/>
        <v>0.36666098166604666</v>
      </c>
      <c r="P173" s="8">
        <f t="shared" si="19"/>
        <v>-1.5474948141994684</v>
      </c>
    </row>
    <row r="174" spans="1:16" x14ac:dyDescent="0.2">
      <c r="A174" s="8">
        <v>86</v>
      </c>
      <c r="B174" s="8">
        <v>172</v>
      </c>
      <c r="D174">
        <v>1332.2390791027001</v>
      </c>
      <c r="E174">
        <v>479.42148760331003</v>
      </c>
      <c r="F174">
        <v>123.67315634217999</v>
      </c>
      <c r="G174">
        <v>110.5604719764</v>
      </c>
      <c r="I174" s="9">
        <f t="shared" si="15"/>
        <v>368.86101562691005</v>
      </c>
      <c r="J174" s="9">
        <f t="shared" si="16"/>
        <v>1208.5659227605202</v>
      </c>
      <c r="K174" s="9">
        <f t="shared" si="17"/>
        <v>368.86101562691005</v>
      </c>
      <c r="L174" s="10">
        <f t="shared" si="14"/>
        <v>0.3052055404511026</v>
      </c>
      <c r="M174" s="10">
        <f t="shared" si="18"/>
        <v>0.37661585521789592</v>
      </c>
      <c r="P174" s="8">
        <f t="shared" si="19"/>
        <v>1.1254981929487076</v>
      </c>
    </row>
    <row r="175" spans="1:16" x14ac:dyDescent="0.2">
      <c r="A175" s="8">
        <v>86.5</v>
      </c>
      <c r="B175" s="8">
        <v>173</v>
      </c>
      <c r="D175">
        <v>1347.1971664698999</v>
      </c>
      <c r="E175">
        <v>479.84474616292999</v>
      </c>
      <c r="F175">
        <v>124.14395280236</v>
      </c>
      <c r="G175">
        <v>110.70855457227</v>
      </c>
      <c r="I175" s="9">
        <f t="shared" si="15"/>
        <v>369.13619159066002</v>
      </c>
      <c r="J175" s="9">
        <f t="shared" si="16"/>
        <v>1223.0532136675399</v>
      </c>
      <c r="K175" s="9">
        <f t="shared" si="17"/>
        <v>369.13619159066002</v>
      </c>
      <c r="L175" s="10">
        <f t="shared" si="14"/>
        <v>0.30181531552804663</v>
      </c>
      <c r="M175" s="10">
        <f t="shared" si="18"/>
        <v>0.37364080654348408</v>
      </c>
      <c r="P175" s="8">
        <f t="shared" si="19"/>
        <v>0.32666491182169161</v>
      </c>
    </row>
    <row r="176" spans="1:16" x14ac:dyDescent="0.2">
      <c r="A176" s="8">
        <v>87</v>
      </c>
      <c r="B176" s="8">
        <v>174</v>
      </c>
      <c r="D176">
        <v>1342.4085005903</v>
      </c>
      <c r="E176">
        <v>480.22018890201002</v>
      </c>
      <c r="F176">
        <v>123.27138643068</v>
      </c>
      <c r="G176">
        <v>110.84719764012</v>
      </c>
      <c r="I176" s="9">
        <f t="shared" si="15"/>
        <v>369.37299126189004</v>
      </c>
      <c r="J176" s="9">
        <f t="shared" si="16"/>
        <v>1219.1371141596201</v>
      </c>
      <c r="K176" s="9">
        <f t="shared" si="17"/>
        <v>369.37299126189004</v>
      </c>
      <c r="L176" s="10">
        <f t="shared" si="14"/>
        <v>0.30297903900375273</v>
      </c>
      <c r="M176" s="10">
        <f t="shared" si="18"/>
        <v>0.37521970626783435</v>
      </c>
      <c r="P176" s="8">
        <f t="shared" si="19"/>
        <v>0.75061684854844712</v>
      </c>
    </row>
    <row r="177" spans="1:16" x14ac:dyDescent="0.2">
      <c r="A177" s="8">
        <v>87.5</v>
      </c>
      <c r="B177" s="8">
        <v>175</v>
      </c>
      <c r="D177">
        <v>1322.4651711924</v>
      </c>
      <c r="E177">
        <v>481.17886658795999</v>
      </c>
      <c r="F177">
        <v>123.7604719764</v>
      </c>
      <c r="G177">
        <v>110.73864306785001</v>
      </c>
      <c r="I177" s="9">
        <f t="shared" si="15"/>
        <v>370.44022352010995</v>
      </c>
      <c r="J177" s="9">
        <f t="shared" si="16"/>
        <v>1198.7046992160001</v>
      </c>
      <c r="K177" s="9">
        <f t="shared" si="17"/>
        <v>370.44022352010995</v>
      </c>
      <c r="L177" s="10">
        <f t="shared" si="14"/>
        <v>0.3090337626626411</v>
      </c>
      <c r="M177" s="10">
        <f t="shared" si="18"/>
        <v>0.38168960617536685</v>
      </c>
      <c r="P177" s="8">
        <f t="shared" si="19"/>
        <v>2.4878561132873118</v>
      </c>
    </row>
    <row r="178" spans="1:16" x14ac:dyDescent="0.2">
      <c r="A178" s="8">
        <v>88</v>
      </c>
      <c r="B178" s="8">
        <v>176</v>
      </c>
      <c r="D178">
        <v>1316.0956316411</v>
      </c>
      <c r="E178">
        <v>484.87662337661999</v>
      </c>
      <c r="F178">
        <v>123.74041297935</v>
      </c>
      <c r="G178">
        <v>110.80235988200999</v>
      </c>
      <c r="I178" s="9">
        <f t="shared" si="15"/>
        <v>374.07426349461002</v>
      </c>
      <c r="J178" s="9">
        <f t="shared" si="16"/>
        <v>1192.3552186617501</v>
      </c>
      <c r="K178" s="9">
        <f t="shared" si="17"/>
        <v>374.07426349461002</v>
      </c>
      <c r="L178" s="10">
        <f t="shared" si="14"/>
        <v>0.31372719944519167</v>
      </c>
      <c r="M178" s="10">
        <f t="shared" si="18"/>
        <v>0.3867982192065616</v>
      </c>
      <c r="P178" s="8">
        <f t="shared" si="19"/>
        <v>3.8595748837455215</v>
      </c>
    </row>
    <row r="179" spans="1:16" x14ac:dyDescent="0.2">
      <c r="A179" s="8">
        <v>88.5</v>
      </c>
      <c r="B179" s="8">
        <v>177</v>
      </c>
      <c r="D179">
        <v>1353.9268004723001</v>
      </c>
      <c r="E179">
        <v>477.89079102715999</v>
      </c>
      <c r="F179">
        <v>123.64188790561001</v>
      </c>
      <c r="G179">
        <v>110.95457227139001</v>
      </c>
      <c r="I179" s="9">
        <f t="shared" si="15"/>
        <v>366.93621875576997</v>
      </c>
      <c r="J179" s="9">
        <f t="shared" si="16"/>
        <v>1230.2849125666901</v>
      </c>
      <c r="K179" s="9">
        <f t="shared" si="17"/>
        <v>366.93621875576997</v>
      </c>
      <c r="L179" s="10">
        <f t="shared" si="14"/>
        <v>0.29825304285837889</v>
      </c>
      <c r="M179" s="10">
        <f t="shared" si="18"/>
        <v>0.37173923886839294</v>
      </c>
      <c r="P179" s="8">
        <f t="shared" si="19"/>
        <v>-0.18392691756356661</v>
      </c>
    </row>
    <row r="180" spans="1:16" x14ac:dyDescent="0.2">
      <c r="A180" s="8">
        <v>89</v>
      </c>
      <c r="B180" s="8">
        <v>178</v>
      </c>
      <c r="D180">
        <v>1352.0287221571</v>
      </c>
      <c r="E180">
        <v>462.02989449004002</v>
      </c>
      <c r="F180">
        <v>123.65250737463001</v>
      </c>
      <c r="G180">
        <v>110.71563421829001</v>
      </c>
      <c r="I180" s="9">
        <f t="shared" si="15"/>
        <v>351.31426027175002</v>
      </c>
      <c r="J180" s="9">
        <f t="shared" si="16"/>
        <v>1228.37621478247</v>
      </c>
      <c r="K180" s="9">
        <f t="shared" si="17"/>
        <v>351.31426027175002</v>
      </c>
      <c r="L180" s="10">
        <f t="shared" si="14"/>
        <v>0.28599891144421363</v>
      </c>
      <c r="M180" s="10">
        <f t="shared" si="18"/>
        <v>0.35990028370287186</v>
      </c>
      <c r="P180" s="8">
        <f t="shared" si="19"/>
        <v>-3.3628165543385129</v>
      </c>
    </row>
    <row r="181" spans="1:16" x14ac:dyDescent="0.2">
      <c r="A181" s="8">
        <v>89.5</v>
      </c>
      <c r="B181" s="8">
        <v>179</v>
      </c>
      <c r="D181">
        <v>1351.1869871043</v>
      </c>
      <c r="E181">
        <v>464.45545134818002</v>
      </c>
      <c r="F181">
        <v>123.41061946903</v>
      </c>
      <c r="G181">
        <v>110.38761061947</v>
      </c>
      <c r="I181" s="9">
        <f t="shared" si="15"/>
        <v>354.06784072871005</v>
      </c>
      <c r="J181" s="9">
        <f t="shared" si="16"/>
        <v>1227.7763676352699</v>
      </c>
      <c r="K181" s="9">
        <f t="shared" si="17"/>
        <v>354.06784072871005</v>
      </c>
      <c r="L181" s="10">
        <f t="shared" si="14"/>
        <v>0.28838137796271007</v>
      </c>
      <c r="M181" s="10">
        <f t="shared" si="18"/>
        <v>0.36269792647001242</v>
      </c>
      <c r="P181" s="8">
        <f t="shared" si="19"/>
        <v>-2.6116187099745094</v>
      </c>
    </row>
    <row r="182" spans="1:16" x14ac:dyDescent="0.2">
      <c r="A182" s="8">
        <v>90</v>
      </c>
      <c r="B182" s="8">
        <v>180</v>
      </c>
      <c r="D182">
        <v>1389.2215709261</v>
      </c>
      <c r="E182">
        <v>480.53282532239001</v>
      </c>
      <c r="F182">
        <v>123.76401179941</v>
      </c>
      <c r="G182">
        <v>110.73864306785001</v>
      </c>
      <c r="I182" s="9">
        <f t="shared" si="15"/>
        <v>369.79418225454003</v>
      </c>
      <c r="J182" s="9">
        <f t="shared" si="16"/>
        <v>1265.4575591266901</v>
      </c>
      <c r="K182" s="9">
        <f t="shared" si="17"/>
        <v>369.79418225454003</v>
      </c>
      <c r="L182" s="10">
        <f t="shared" si="14"/>
        <v>0.29222171821371878</v>
      </c>
      <c r="M182" s="10">
        <f>L182+ABS($N$2)*A182</f>
        <v>0.36695344296966526</v>
      </c>
      <c r="P182" s="8">
        <f t="shared" si="19"/>
        <v>-1.4689657384294676</v>
      </c>
    </row>
    <row r="183" spans="1:16" x14ac:dyDescent="0.2">
      <c r="A183" s="8">
        <v>90.5</v>
      </c>
      <c r="B183" s="8">
        <v>181</v>
      </c>
      <c r="D183">
        <v>1326.5932004689</v>
      </c>
      <c r="E183">
        <v>467.38628370457002</v>
      </c>
      <c r="F183">
        <v>123.85132743363</v>
      </c>
      <c r="G183">
        <v>110.54513274336</v>
      </c>
      <c r="I183" s="9">
        <f t="shared" si="15"/>
        <v>356.84115096121002</v>
      </c>
      <c r="J183" s="9">
        <f t="shared" si="16"/>
        <v>1202.7418730352699</v>
      </c>
      <c r="K183" s="9">
        <f t="shared" si="17"/>
        <v>356.84115096121002</v>
      </c>
      <c r="L183" s="10">
        <f t="shared" si="14"/>
        <v>0.29668972117905618</v>
      </c>
      <c r="M183" s="10">
        <f t="shared" ref="M183:M241" si="20">L183+ABS($N$2)*A183</f>
        <v>0.37183662218364683</v>
      </c>
      <c r="P183" s="8">
        <f t="shared" si="19"/>
        <v>-0.15777842664293754</v>
      </c>
    </row>
    <row r="184" spans="1:16" x14ac:dyDescent="0.2">
      <c r="A184" s="8">
        <v>91</v>
      </c>
      <c r="B184" s="8">
        <v>182</v>
      </c>
      <c r="D184">
        <v>1385.0844574780001</v>
      </c>
      <c r="E184">
        <v>478.21583577713</v>
      </c>
      <c r="F184">
        <v>123.39646017699</v>
      </c>
      <c r="G184">
        <v>110.6407079646</v>
      </c>
      <c r="I184" s="9">
        <f t="shared" si="15"/>
        <v>367.57512781253001</v>
      </c>
      <c r="J184" s="9">
        <f t="shared" si="16"/>
        <v>1261.68799730101</v>
      </c>
      <c r="K184" s="9">
        <f t="shared" si="17"/>
        <v>367.57512781253001</v>
      </c>
      <c r="L184" s="10">
        <f t="shared" si="14"/>
        <v>0.29133599479335853</v>
      </c>
      <c r="M184" s="10">
        <f t="shared" si="20"/>
        <v>0.3668980720465933</v>
      </c>
      <c r="P184" s="8">
        <f t="shared" si="19"/>
        <v>-1.483833440103405</v>
      </c>
    </row>
    <row r="185" spans="1:16" x14ac:dyDescent="0.2">
      <c r="A185" s="8">
        <v>91.5</v>
      </c>
      <c r="B185" s="8">
        <v>183</v>
      </c>
      <c r="D185">
        <v>1340.3055718475</v>
      </c>
      <c r="E185">
        <v>472.45219941349001</v>
      </c>
      <c r="F185">
        <v>123.66017699115</v>
      </c>
      <c r="G185">
        <v>110.88377581121</v>
      </c>
      <c r="I185" s="9">
        <f t="shared" si="15"/>
        <v>361.56842360228001</v>
      </c>
      <c r="J185" s="9">
        <f t="shared" si="16"/>
        <v>1216.6453948563501</v>
      </c>
      <c r="K185" s="9">
        <f t="shared" si="17"/>
        <v>361.56842360228001</v>
      </c>
      <c r="L185" s="10">
        <f t="shared" si="14"/>
        <v>0.29718472213094643</v>
      </c>
      <c r="M185" s="10">
        <f t="shared" si="20"/>
        <v>0.37316197563282538</v>
      </c>
      <c r="P185" s="8">
        <f t="shared" si="19"/>
        <v>0.19809354734068946</v>
      </c>
    </row>
    <row r="186" spans="1:16" x14ac:dyDescent="0.2">
      <c r="A186" s="8">
        <v>92</v>
      </c>
      <c r="B186" s="8">
        <v>184</v>
      </c>
      <c r="D186">
        <v>1329.4873900293001</v>
      </c>
      <c r="E186">
        <v>477.61173020528003</v>
      </c>
      <c r="F186">
        <v>123.21828908555</v>
      </c>
      <c r="G186">
        <v>110.89085545723</v>
      </c>
      <c r="I186" s="9">
        <f t="shared" si="15"/>
        <v>366.72087474805005</v>
      </c>
      <c r="J186" s="9">
        <f t="shared" si="16"/>
        <v>1206.2691009437501</v>
      </c>
      <c r="K186" s="9">
        <f t="shared" si="17"/>
        <v>366.72087474805005</v>
      </c>
      <c r="L186" s="10">
        <f t="shared" si="14"/>
        <v>0.30401249145910991</v>
      </c>
      <c r="M186" s="10">
        <f t="shared" si="20"/>
        <v>0.38040492120963298</v>
      </c>
      <c r="P186" s="8">
        <f t="shared" si="19"/>
        <v>2.1429040742775247</v>
      </c>
    </row>
    <row r="187" spans="1:16" x14ac:dyDescent="0.2">
      <c r="A187" s="8">
        <v>92.5</v>
      </c>
      <c r="B187" s="8">
        <v>185</v>
      </c>
      <c r="D187">
        <v>1373.691401649</v>
      </c>
      <c r="E187">
        <v>477.4628975265</v>
      </c>
      <c r="F187">
        <v>123.29085545722999</v>
      </c>
      <c r="G187">
        <v>110.93333333333</v>
      </c>
      <c r="I187" s="9">
        <f t="shared" si="15"/>
        <v>366.52956419317002</v>
      </c>
      <c r="J187" s="9">
        <f t="shared" si="16"/>
        <v>1250.40054619177</v>
      </c>
      <c r="K187" s="9">
        <f t="shared" si="17"/>
        <v>366.52956419317002</v>
      </c>
      <c r="L187" s="10">
        <f t="shared" si="14"/>
        <v>0.29312972175953972</v>
      </c>
      <c r="M187" s="10">
        <f t="shared" si="20"/>
        <v>0.36993732775870697</v>
      </c>
      <c r="P187" s="8">
        <f t="shared" si="19"/>
        <v>-0.66775986336713011</v>
      </c>
    </row>
    <row r="188" spans="1:16" x14ac:dyDescent="0.2">
      <c r="A188" s="8">
        <v>93</v>
      </c>
      <c r="B188" s="8">
        <v>186</v>
      </c>
      <c r="D188">
        <v>1347.9858657243999</v>
      </c>
      <c r="E188">
        <v>456.78739693757001</v>
      </c>
      <c r="F188">
        <v>123.54867256637</v>
      </c>
      <c r="G188">
        <v>110.53864306785</v>
      </c>
      <c r="I188" s="9">
        <f t="shared" si="15"/>
        <v>346.24875386972002</v>
      </c>
      <c r="J188" s="9">
        <f t="shared" si="16"/>
        <v>1224.4371931580299</v>
      </c>
      <c r="K188" s="9">
        <f t="shared" si="17"/>
        <v>346.24875386972002</v>
      </c>
      <c r="L188" s="10">
        <f t="shared" si="14"/>
        <v>0.28278196366829245</v>
      </c>
      <c r="M188" s="10">
        <f t="shared" si="20"/>
        <v>0.36000474591610382</v>
      </c>
      <c r="P188" s="8">
        <f t="shared" si="19"/>
        <v>-3.3347673014749861</v>
      </c>
    </row>
    <row r="189" spans="1:16" x14ac:dyDescent="0.2">
      <c r="A189" s="8">
        <v>93.5</v>
      </c>
      <c r="B189" s="8">
        <v>187</v>
      </c>
      <c r="D189">
        <v>1266.7114252061001</v>
      </c>
      <c r="E189">
        <v>446.46937573615998</v>
      </c>
      <c r="F189">
        <v>124.16342182891</v>
      </c>
      <c r="G189">
        <v>110.65132743363</v>
      </c>
      <c r="I189" s="9">
        <f t="shared" si="15"/>
        <v>335.81804830252997</v>
      </c>
      <c r="J189" s="9">
        <f t="shared" si="16"/>
        <v>1142.5480033771901</v>
      </c>
      <c r="K189" s="9">
        <f t="shared" si="17"/>
        <v>335.81804830252997</v>
      </c>
      <c r="L189" s="10">
        <f t="shared" si="14"/>
        <v>0.29392029683646137</v>
      </c>
      <c r="M189" s="10">
        <f t="shared" si="20"/>
        <v>0.37155825533291692</v>
      </c>
      <c r="P189" s="8">
        <f t="shared" si="19"/>
        <v>-0.23252298683724301</v>
      </c>
    </row>
    <row r="190" spans="1:16" x14ac:dyDescent="0.2">
      <c r="A190" s="8">
        <v>94</v>
      </c>
      <c r="B190" s="8">
        <v>188</v>
      </c>
      <c r="D190">
        <v>1328.2170860152</v>
      </c>
      <c r="E190">
        <v>464.26389701580001</v>
      </c>
      <c r="F190">
        <v>123.66902654867</v>
      </c>
      <c r="G190">
        <v>110.51445427729</v>
      </c>
      <c r="I190" s="9">
        <f t="shared" si="15"/>
        <v>353.74944273851003</v>
      </c>
      <c r="J190" s="9">
        <f t="shared" si="16"/>
        <v>1204.54805946653</v>
      </c>
      <c r="K190" s="9">
        <f t="shared" si="17"/>
        <v>353.74944273851003</v>
      </c>
      <c r="L190" s="10">
        <f t="shared" si="14"/>
        <v>0.29367814754952865</v>
      </c>
      <c r="M190" s="10">
        <f t="shared" si="20"/>
        <v>0.37173128229462832</v>
      </c>
      <c r="P190" s="8">
        <f t="shared" si="19"/>
        <v>-0.18606334510560646</v>
      </c>
    </row>
    <row r="191" spans="1:16" x14ac:dyDescent="0.2">
      <c r="A191" s="8">
        <v>94.5</v>
      </c>
      <c r="B191" s="8">
        <v>189</v>
      </c>
      <c r="D191">
        <v>1344.076067876</v>
      </c>
      <c r="E191">
        <v>463.66120538326999</v>
      </c>
      <c r="F191">
        <v>123.52330383480999</v>
      </c>
      <c r="G191">
        <v>110.77817109145001</v>
      </c>
      <c r="I191" s="9">
        <f t="shared" si="15"/>
        <v>352.88303429181997</v>
      </c>
      <c r="J191" s="9">
        <f t="shared" si="16"/>
        <v>1220.5527640411901</v>
      </c>
      <c r="K191" s="9">
        <f t="shared" si="17"/>
        <v>352.88303429181997</v>
      </c>
      <c r="L191" s="10">
        <f t="shared" si="14"/>
        <v>0.289117393928503</v>
      </c>
      <c r="M191" s="10">
        <f t="shared" si="20"/>
        <v>0.36758570492224685</v>
      </c>
      <c r="P191" s="8">
        <f t="shared" si="19"/>
        <v>-1.2991964521463184</v>
      </c>
    </row>
    <row r="192" spans="1:16" x14ac:dyDescent="0.2">
      <c r="A192" s="8">
        <v>95</v>
      </c>
      <c r="B192" s="8">
        <v>190</v>
      </c>
      <c r="D192">
        <v>1337.5517846693999</v>
      </c>
      <c r="E192">
        <v>452.18373317729998</v>
      </c>
      <c r="F192">
        <v>123.55988200589999</v>
      </c>
      <c r="G192">
        <v>110.32389380530999</v>
      </c>
      <c r="I192" s="9">
        <f t="shared" si="15"/>
        <v>341.85983937199001</v>
      </c>
      <c r="J192" s="9">
        <f t="shared" si="16"/>
        <v>1213.9919026635</v>
      </c>
      <c r="K192" s="9">
        <f t="shared" si="17"/>
        <v>341.85983937199001</v>
      </c>
      <c r="L192" s="10">
        <f t="shared" si="14"/>
        <v>0.28159976901159639</v>
      </c>
      <c r="M192" s="10">
        <f t="shared" si="20"/>
        <v>0.36048325625398436</v>
      </c>
      <c r="P192" s="8">
        <f t="shared" si="19"/>
        <v>-3.2062820143097666</v>
      </c>
    </row>
    <row r="193" spans="1:16" x14ac:dyDescent="0.2">
      <c r="A193" s="8">
        <v>95.5</v>
      </c>
      <c r="B193" s="8">
        <v>191</v>
      </c>
      <c r="D193">
        <v>1300.3083674663999</v>
      </c>
      <c r="E193">
        <v>466.72615564658003</v>
      </c>
      <c r="F193">
        <v>123.69321533922999</v>
      </c>
      <c r="G193">
        <v>110.80353982301</v>
      </c>
      <c r="I193" s="9">
        <f t="shared" si="15"/>
        <v>355.92261582357003</v>
      </c>
      <c r="J193" s="9">
        <f t="shared" si="16"/>
        <v>1176.6151521271699</v>
      </c>
      <c r="K193" s="9">
        <f t="shared" si="17"/>
        <v>355.92261582357003</v>
      </c>
      <c r="L193" s="10">
        <f t="shared" si="14"/>
        <v>0.3024970528214832</v>
      </c>
      <c r="M193" s="10">
        <f t="shared" si="20"/>
        <v>0.3817957163125153</v>
      </c>
      <c r="P193" s="8">
        <f t="shared" si="19"/>
        <v>2.5163478518421085</v>
      </c>
    </row>
    <row r="194" spans="1:16" x14ac:dyDescent="0.2">
      <c r="A194" s="8">
        <v>96</v>
      </c>
      <c r="B194" s="8">
        <v>192</v>
      </c>
      <c r="D194">
        <v>1315.2252779403</v>
      </c>
      <c r="E194">
        <v>468.58162668226998</v>
      </c>
      <c r="F194">
        <v>123.82300884956</v>
      </c>
      <c r="G194">
        <v>110.55693215338999</v>
      </c>
      <c r="I194" s="9">
        <f t="shared" si="15"/>
        <v>358.02469452887999</v>
      </c>
      <c r="J194" s="9">
        <f t="shared" si="16"/>
        <v>1191.40226909074</v>
      </c>
      <c r="K194" s="9">
        <f t="shared" si="17"/>
        <v>358.02469452887999</v>
      </c>
      <c r="L194" s="10">
        <f t="shared" ref="L194:L257" si="21">K194/J194</f>
        <v>0.30050697721275871</v>
      </c>
      <c r="M194" s="10">
        <f t="shared" si="20"/>
        <v>0.38022081695243498</v>
      </c>
      <c r="P194" s="8">
        <f t="shared" si="19"/>
        <v>2.0934700569077052</v>
      </c>
    </row>
    <row r="195" spans="1:16" x14ac:dyDescent="0.2">
      <c r="A195" s="8">
        <v>96.5</v>
      </c>
      <c r="B195" s="8">
        <v>193</v>
      </c>
      <c r="D195">
        <v>1291.4558221182001</v>
      </c>
      <c r="E195">
        <v>454.09011117612999</v>
      </c>
      <c r="F195">
        <v>123.43126843658</v>
      </c>
      <c r="G195">
        <v>110.83185840708001</v>
      </c>
      <c r="I195" s="9">
        <f t="shared" ref="I195:I241" si="22">E195-G195</f>
        <v>343.25825276904999</v>
      </c>
      <c r="J195" s="9">
        <f t="shared" ref="J195:J241" si="23">D195-F195</f>
        <v>1168.0245536816201</v>
      </c>
      <c r="K195" s="9">
        <f t="shared" ref="K195:K258" si="24">I195*1</f>
        <v>343.25825276904999</v>
      </c>
      <c r="L195" s="10">
        <f t="shared" si="21"/>
        <v>0.29387931245717225</v>
      </c>
      <c r="M195" s="10">
        <f t="shared" si="20"/>
        <v>0.37400832844549264</v>
      </c>
      <c r="P195" s="8">
        <f t="shared" ref="P195:P241" si="25">(M195-$O$2)/$O$2*100</f>
        <v>0.42534858358567773</v>
      </c>
    </row>
    <row r="196" spans="1:16" x14ac:dyDescent="0.2">
      <c r="A196" s="8">
        <v>97</v>
      </c>
      <c r="B196" s="8">
        <v>194</v>
      </c>
      <c r="D196">
        <v>1315.7630193094999</v>
      </c>
      <c r="E196">
        <v>455.52545348157003</v>
      </c>
      <c r="F196">
        <v>123.32212389381</v>
      </c>
      <c r="G196">
        <v>110.35398230089</v>
      </c>
      <c r="I196" s="9">
        <f t="shared" si="22"/>
        <v>345.17147118068004</v>
      </c>
      <c r="J196" s="9">
        <f t="shared" si="23"/>
        <v>1192.44089541569</v>
      </c>
      <c r="K196" s="9">
        <f t="shared" si="24"/>
        <v>345.17147118068004</v>
      </c>
      <c r="L196" s="10">
        <f t="shared" si="21"/>
        <v>0.28946631443762399</v>
      </c>
      <c r="M196" s="10">
        <f t="shared" si="20"/>
        <v>0.37001050667458857</v>
      </c>
      <c r="P196" s="8">
        <f t="shared" si="25"/>
        <v>-0.64811051981661716</v>
      </c>
    </row>
    <row r="197" spans="1:16" x14ac:dyDescent="0.2">
      <c r="A197" s="8">
        <v>97.5</v>
      </c>
      <c r="B197" s="8">
        <v>195</v>
      </c>
      <c r="D197">
        <v>1334.9438267993</v>
      </c>
      <c r="E197">
        <v>447.02867173786001</v>
      </c>
      <c r="F197">
        <v>123.35634218289</v>
      </c>
      <c r="G197">
        <v>110.6814159292</v>
      </c>
      <c r="I197" s="9">
        <f t="shared" si="22"/>
        <v>336.34725580866001</v>
      </c>
      <c r="J197" s="9">
        <f t="shared" si="23"/>
        <v>1211.5874846164099</v>
      </c>
      <c r="K197" s="9">
        <f t="shared" si="24"/>
        <v>336.34725580866001</v>
      </c>
      <c r="L197" s="10">
        <f t="shared" si="21"/>
        <v>0.2776087241567603</v>
      </c>
      <c r="M197" s="10">
        <f t="shared" si="20"/>
        <v>0.358568092642369</v>
      </c>
      <c r="P197" s="8">
        <f t="shared" si="25"/>
        <v>-3.7205245021454405</v>
      </c>
    </row>
    <row r="198" spans="1:16" x14ac:dyDescent="0.2">
      <c r="A198" s="8">
        <v>98</v>
      </c>
      <c r="B198" s="8">
        <v>196</v>
      </c>
      <c r="D198">
        <v>1319.4780573435</v>
      </c>
      <c r="E198">
        <v>442.80339379754002</v>
      </c>
      <c r="F198">
        <v>123.07787610619999</v>
      </c>
      <c r="G198">
        <v>110.50678466076999</v>
      </c>
      <c r="I198" s="9">
        <f t="shared" si="22"/>
        <v>332.29660913677003</v>
      </c>
      <c r="J198" s="9">
        <f t="shared" si="23"/>
        <v>1196.4001812373001</v>
      </c>
      <c r="K198" s="9">
        <f t="shared" si="24"/>
        <v>332.29660913677003</v>
      </c>
      <c r="L198" s="10">
        <f t="shared" si="21"/>
        <v>0.27774704011922968</v>
      </c>
      <c r="M198" s="10">
        <f t="shared" si="20"/>
        <v>0.35912158485348256</v>
      </c>
      <c r="P198" s="8">
        <f t="shared" si="25"/>
        <v>-3.5719057575564963</v>
      </c>
    </row>
    <row r="199" spans="1:16" x14ac:dyDescent="0.2">
      <c r="A199" s="8">
        <v>98.5</v>
      </c>
      <c r="B199" s="8">
        <v>197</v>
      </c>
      <c r="D199">
        <v>1241.0965476887</v>
      </c>
      <c r="E199">
        <v>423.01287302515999</v>
      </c>
      <c r="F199">
        <v>123.36991150442999</v>
      </c>
      <c r="G199">
        <v>110.4389380531</v>
      </c>
      <c r="I199" s="9">
        <f t="shared" si="22"/>
        <v>312.57393497205999</v>
      </c>
      <c r="J199" s="9">
        <f t="shared" si="23"/>
        <v>1117.7266361842699</v>
      </c>
      <c r="K199" s="9">
        <f t="shared" si="24"/>
        <v>312.57393497205999</v>
      </c>
      <c r="L199" s="10">
        <f t="shared" si="21"/>
        <v>0.27965150409149653</v>
      </c>
      <c r="M199" s="10">
        <f t="shared" si="20"/>
        <v>0.36144122507439352</v>
      </c>
      <c r="P199" s="8">
        <f t="shared" si="25"/>
        <v>-2.9490568527160268</v>
      </c>
    </row>
    <row r="200" spans="1:16" x14ac:dyDescent="0.2">
      <c r="A200" s="8">
        <v>99</v>
      </c>
      <c r="B200" s="8">
        <v>198</v>
      </c>
      <c r="D200">
        <v>1223.2709186658999</v>
      </c>
      <c r="E200">
        <v>421.11234640139998</v>
      </c>
      <c r="F200">
        <v>123.54218289086</v>
      </c>
      <c r="G200">
        <v>110.46607669617001</v>
      </c>
      <c r="I200" s="9">
        <f t="shared" si="22"/>
        <v>310.64626970523</v>
      </c>
      <c r="J200" s="9">
        <f t="shared" si="23"/>
        <v>1099.7287357750399</v>
      </c>
      <c r="K200" s="9">
        <f t="shared" si="24"/>
        <v>310.64626970523</v>
      </c>
      <c r="L200" s="10">
        <f t="shared" si="21"/>
        <v>0.28247535924056794</v>
      </c>
      <c r="M200" s="10">
        <f t="shared" si="20"/>
        <v>0.36468025647210911</v>
      </c>
      <c r="P200" s="8">
        <f t="shared" si="25"/>
        <v>-2.0793413077688174</v>
      </c>
    </row>
    <row r="201" spans="1:16" x14ac:dyDescent="0.2">
      <c r="A201" s="8">
        <v>99.5</v>
      </c>
      <c r="B201" s="8">
        <v>199</v>
      </c>
      <c r="D201">
        <v>1261.7965902410001</v>
      </c>
      <c r="E201">
        <v>436.78012933568999</v>
      </c>
      <c r="F201">
        <v>122.89793510325001</v>
      </c>
      <c r="G201">
        <v>110.28200589971</v>
      </c>
      <c r="I201" s="9">
        <f t="shared" si="22"/>
        <v>326.49812343598001</v>
      </c>
      <c r="J201" s="9">
        <f t="shared" si="23"/>
        <v>1138.8986551377502</v>
      </c>
      <c r="K201" s="9">
        <f t="shared" si="24"/>
        <v>326.49812343598001</v>
      </c>
      <c r="L201" s="10">
        <f t="shared" si="21"/>
        <v>0.28667882077399587</v>
      </c>
      <c r="M201" s="10">
        <f t="shared" si="20"/>
        <v>0.36929889425418116</v>
      </c>
      <c r="P201" s="8">
        <f t="shared" si="25"/>
        <v>-0.83918627920639144</v>
      </c>
    </row>
    <row r="202" spans="1:16" x14ac:dyDescent="0.2">
      <c r="A202" s="8">
        <v>100</v>
      </c>
      <c r="B202" s="8">
        <v>200</v>
      </c>
      <c r="D202">
        <v>1303.1058201057999</v>
      </c>
      <c r="E202">
        <v>441.70546737212999</v>
      </c>
      <c r="F202">
        <v>123.36283185841</v>
      </c>
      <c r="G202">
        <v>110.46961651917</v>
      </c>
      <c r="I202" s="9">
        <f t="shared" si="22"/>
        <v>331.23585085295997</v>
      </c>
      <c r="J202" s="9">
        <f t="shared" si="23"/>
        <v>1179.7429882473898</v>
      </c>
      <c r="K202" s="9">
        <f t="shared" si="24"/>
        <v>331.23585085295997</v>
      </c>
      <c r="L202" s="10">
        <f t="shared" si="21"/>
        <v>0.28076950162258602</v>
      </c>
      <c r="M202" s="10">
        <f t="shared" si="20"/>
        <v>0.36380475135141543</v>
      </c>
      <c r="P202" s="8">
        <f t="shared" si="25"/>
        <v>-2.3144240592621186</v>
      </c>
    </row>
    <row r="203" spans="1:16" x14ac:dyDescent="0.2">
      <c r="A203" s="8">
        <v>100.5</v>
      </c>
      <c r="B203" s="8">
        <v>201</v>
      </c>
      <c r="D203">
        <v>1308.0870076425999</v>
      </c>
      <c r="E203">
        <v>432.55790711345998</v>
      </c>
      <c r="F203">
        <v>123.50147492625</v>
      </c>
      <c r="G203">
        <v>110.46902654867</v>
      </c>
      <c r="I203" s="9">
        <f t="shared" si="22"/>
        <v>322.08888056478997</v>
      </c>
      <c r="J203" s="9">
        <f t="shared" si="23"/>
        <v>1184.5855327163499</v>
      </c>
      <c r="K203" s="9">
        <f t="shared" si="24"/>
        <v>322.08888056478997</v>
      </c>
      <c r="L203" s="10">
        <f t="shared" si="21"/>
        <v>0.2719000626541625</v>
      </c>
      <c r="M203" s="10">
        <f t="shared" si="20"/>
        <v>0.3553504886316361</v>
      </c>
      <c r="P203" s="8">
        <f t="shared" si="25"/>
        <v>-4.5844865580836869</v>
      </c>
    </row>
    <row r="204" spans="1:16" x14ac:dyDescent="0.2">
      <c r="A204" s="8">
        <v>101</v>
      </c>
      <c r="B204" s="8">
        <v>202</v>
      </c>
      <c r="D204">
        <v>1301.6482677628001</v>
      </c>
      <c r="E204">
        <v>433.68467410452001</v>
      </c>
      <c r="F204">
        <v>123.14513274335999</v>
      </c>
      <c r="G204">
        <v>110.33451327434</v>
      </c>
      <c r="I204" s="9">
        <f t="shared" si="22"/>
        <v>323.35016083018002</v>
      </c>
      <c r="J204" s="9">
        <f t="shared" si="23"/>
        <v>1178.5031350194402</v>
      </c>
      <c r="K204" s="9">
        <f t="shared" si="24"/>
        <v>323.35016083018002</v>
      </c>
      <c r="L204" s="10">
        <f t="shared" si="21"/>
        <v>0.27437361108491759</v>
      </c>
      <c r="M204" s="10">
        <f t="shared" si="20"/>
        <v>0.35823921331103531</v>
      </c>
      <c r="P204" s="8">
        <f t="shared" si="25"/>
        <v>-3.8088322187901396</v>
      </c>
    </row>
    <row r="205" spans="1:16" x14ac:dyDescent="0.2">
      <c r="A205" s="8">
        <v>101.5</v>
      </c>
      <c r="B205" s="8">
        <v>203</v>
      </c>
      <c r="D205">
        <v>1288.1473869642</v>
      </c>
      <c r="E205">
        <v>425.38872577804</v>
      </c>
      <c r="F205">
        <v>123.46253687316</v>
      </c>
      <c r="G205">
        <v>110.80707964602</v>
      </c>
      <c r="I205" s="9">
        <f t="shared" si="22"/>
        <v>314.58164613202001</v>
      </c>
      <c r="J205" s="9">
        <f t="shared" si="23"/>
        <v>1164.6848500910401</v>
      </c>
      <c r="K205" s="9">
        <f t="shared" si="24"/>
        <v>314.58164613202001</v>
      </c>
      <c r="L205" s="10">
        <f t="shared" si="21"/>
        <v>0.27010023021028401</v>
      </c>
      <c r="M205" s="10">
        <f t="shared" si="20"/>
        <v>0.35438100868504591</v>
      </c>
      <c r="P205" s="8">
        <f t="shared" si="25"/>
        <v>-4.8448025836272333</v>
      </c>
    </row>
    <row r="206" spans="1:16" x14ac:dyDescent="0.2">
      <c r="A206" s="8">
        <v>102</v>
      </c>
      <c r="B206" s="8">
        <v>204</v>
      </c>
      <c r="D206">
        <v>1350.3290322580999</v>
      </c>
      <c r="E206">
        <v>438.97653958943999</v>
      </c>
      <c r="F206">
        <v>122.93215339232999</v>
      </c>
      <c r="G206">
        <v>110.53097345133</v>
      </c>
      <c r="I206" s="9">
        <f t="shared" si="22"/>
        <v>328.44556613811</v>
      </c>
      <c r="J206" s="9">
        <f t="shared" si="23"/>
        <v>1227.3968788657698</v>
      </c>
      <c r="K206" s="9">
        <f t="shared" si="24"/>
        <v>328.44556613811</v>
      </c>
      <c r="L206" s="10">
        <f t="shared" si="21"/>
        <v>0.26759524306565335</v>
      </c>
      <c r="M206" s="10">
        <f t="shared" si="20"/>
        <v>0.35229119778905937</v>
      </c>
      <c r="P206" s="8">
        <f t="shared" si="25"/>
        <v>-5.4059397876448951</v>
      </c>
    </row>
    <row r="207" spans="1:16" x14ac:dyDescent="0.2">
      <c r="A207" s="8">
        <v>102.5</v>
      </c>
      <c r="B207" s="8">
        <v>205</v>
      </c>
      <c r="D207">
        <v>1276.8742621015001</v>
      </c>
      <c r="E207">
        <v>424.45336481700002</v>
      </c>
      <c r="F207">
        <v>123.71681415929</v>
      </c>
      <c r="G207">
        <v>110.4389380531</v>
      </c>
      <c r="I207" s="9">
        <f t="shared" si="22"/>
        <v>314.01442676390002</v>
      </c>
      <c r="J207" s="9">
        <f t="shared" si="23"/>
        <v>1153.1574479422102</v>
      </c>
      <c r="K207" s="9">
        <f t="shared" si="24"/>
        <v>314.01442676390002</v>
      </c>
      <c r="L207" s="10">
        <f t="shared" si="21"/>
        <v>0.27230837152745568</v>
      </c>
      <c r="M207" s="10">
        <f t="shared" si="20"/>
        <v>0.35741950249950588</v>
      </c>
      <c r="P207" s="8">
        <f t="shared" si="25"/>
        <v>-4.028933584788394</v>
      </c>
    </row>
    <row r="208" spans="1:16" x14ac:dyDescent="0.2">
      <c r="A208" s="8">
        <v>103</v>
      </c>
      <c r="B208" s="8">
        <v>206</v>
      </c>
      <c r="D208">
        <v>1301.0767414403999</v>
      </c>
      <c r="E208">
        <v>430.01711924439002</v>
      </c>
      <c r="F208">
        <v>123.32271386431</v>
      </c>
      <c r="G208">
        <v>110.19469026549</v>
      </c>
      <c r="I208" s="9">
        <f t="shared" si="22"/>
        <v>319.82242897890001</v>
      </c>
      <c r="J208" s="9">
        <f t="shared" si="23"/>
        <v>1177.7540275760898</v>
      </c>
      <c r="K208" s="9">
        <f t="shared" si="24"/>
        <v>319.82242897890001</v>
      </c>
      <c r="L208" s="10">
        <f t="shared" si="21"/>
        <v>0.27155282129420494</v>
      </c>
      <c r="M208" s="10">
        <f t="shared" si="20"/>
        <v>0.35707912851489926</v>
      </c>
      <c r="P208" s="8">
        <f t="shared" si="25"/>
        <v>-4.1203277422259497</v>
      </c>
    </row>
    <row r="209" spans="1:16" x14ac:dyDescent="0.2">
      <c r="A209" s="8">
        <v>103.5</v>
      </c>
      <c r="B209" s="8">
        <v>207</v>
      </c>
      <c r="D209">
        <v>1320.0236127508999</v>
      </c>
      <c r="E209">
        <v>425.39551357733001</v>
      </c>
      <c r="F209">
        <v>122.87492625369001</v>
      </c>
      <c r="G209">
        <v>110.27610619469</v>
      </c>
      <c r="I209" s="9">
        <f t="shared" si="22"/>
        <v>315.11940738264002</v>
      </c>
      <c r="J209" s="9">
        <f t="shared" si="23"/>
        <v>1197.1486864972098</v>
      </c>
      <c r="K209" s="9">
        <f t="shared" si="24"/>
        <v>315.11940738264002</v>
      </c>
      <c r="L209" s="10">
        <f t="shared" si="21"/>
        <v>0.26322495353911451</v>
      </c>
      <c r="M209" s="10">
        <f t="shared" si="20"/>
        <v>0.34916643700845296</v>
      </c>
      <c r="P209" s="8">
        <f t="shared" si="25"/>
        <v>-6.2449724154395732</v>
      </c>
    </row>
    <row r="210" spans="1:16" x14ac:dyDescent="0.2">
      <c r="A210" s="8">
        <v>104</v>
      </c>
      <c r="B210" s="8">
        <v>208</v>
      </c>
      <c r="D210">
        <v>1257.0170789163999</v>
      </c>
      <c r="E210">
        <v>415.61542991754999</v>
      </c>
      <c r="F210">
        <v>123.14277286136</v>
      </c>
      <c r="G210">
        <v>110.38348082596001</v>
      </c>
      <c r="I210" s="9">
        <f t="shared" si="22"/>
        <v>305.23194909158997</v>
      </c>
      <c r="J210" s="9">
        <f t="shared" si="23"/>
        <v>1133.8743060550398</v>
      </c>
      <c r="K210" s="9">
        <f t="shared" si="24"/>
        <v>305.23194909158997</v>
      </c>
      <c r="L210" s="10">
        <f t="shared" si="21"/>
        <v>0.26919381404235965</v>
      </c>
      <c r="M210" s="10">
        <f t="shared" si="20"/>
        <v>0.35555047376034227</v>
      </c>
      <c r="P210" s="8">
        <f t="shared" si="25"/>
        <v>-4.5307883520963372</v>
      </c>
    </row>
    <row r="211" spans="1:16" x14ac:dyDescent="0.2">
      <c r="A211" s="8">
        <v>104.5</v>
      </c>
      <c r="B211" s="8">
        <v>209</v>
      </c>
      <c r="D211">
        <v>1292.1012956418999</v>
      </c>
      <c r="E211">
        <v>424.87514723203998</v>
      </c>
      <c r="F211">
        <v>123.54100294985</v>
      </c>
      <c r="G211">
        <v>110.85604719764</v>
      </c>
      <c r="I211" s="9">
        <f t="shared" si="22"/>
        <v>314.01910003439997</v>
      </c>
      <c r="J211" s="9">
        <f t="shared" si="23"/>
        <v>1168.5602926920499</v>
      </c>
      <c r="K211" s="9">
        <f t="shared" si="24"/>
        <v>314.01910003439997</v>
      </c>
      <c r="L211" s="10">
        <f t="shared" si="21"/>
        <v>0.26872306204328072</v>
      </c>
      <c r="M211" s="10">
        <f t="shared" si="20"/>
        <v>0.35549489800990752</v>
      </c>
      <c r="P211" s="8">
        <f t="shared" si="25"/>
        <v>-4.5457110521693576</v>
      </c>
    </row>
    <row r="212" spans="1:16" x14ac:dyDescent="0.2">
      <c r="A212" s="8">
        <v>105</v>
      </c>
      <c r="B212" s="8">
        <v>210</v>
      </c>
      <c r="D212">
        <v>1278.7756183746001</v>
      </c>
      <c r="E212">
        <v>416.05477031802002</v>
      </c>
      <c r="F212">
        <v>123.29793510325</v>
      </c>
      <c r="G212">
        <v>110.41828908555</v>
      </c>
      <c r="I212" s="9">
        <f t="shared" si="22"/>
        <v>305.63648123247003</v>
      </c>
      <c r="J212" s="9">
        <f t="shared" si="23"/>
        <v>1155.4776832713501</v>
      </c>
      <c r="K212" s="9">
        <f t="shared" si="24"/>
        <v>305.63648123247003</v>
      </c>
      <c r="L212" s="10">
        <f t="shared" si="21"/>
        <v>0.26451093401229714</v>
      </c>
      <c r="M212" s="10">
        <f t="shared" si="20"/>
        <v>0.35169794622756806</v>
      </c>
      <c r="P212" s="8">
        <f t="shared" si="25"/>
        <v>-5.5652343549828638</v>
      </c>
    </row>
    <row r="213" spans="1:16" x14ac:dyDescent="0.2">
      <c r="A213" s="8">
        <v>105.5</v>
      </c>
      <c r="B213" s="8">
        <v>211</v>
      </c>
      <c r="D213">
        <v>1257.8269005847999</v>
      </c>
      <c r="E213">
        <v>420.90350877192998</v>
      </c>
      <c r="F213">
        <v>123.6005899705</v>
      </c>
      <c r="G213">
        <v>110.38761061947</v>
      </c>
      <c r="I213" s="9">
        <f t="shared" si="22"/>
        <v>310.51589815245995</v>
      </c>
      <c r="J213" s="9">
        <f t="shared" si="23"/>
        <v>1134.2263106142998</v>
      </c>
      <c r="K213" s="9">
        <f t="shared" si="24"/>
        <v>310.51589815245995</v>
      </c>
      <c r="L213" s="10">
        <f t="shared" si="21"/>
        <v>0.27376890770968254</v>
      </c>
      <c r="M213" s="10">
        <f t="shared" si="20"/>
        <v>0.36137109617359758</v>
      </c>
      <c r="P213" s="8">
        <f t="shared" si="25"/>
        <v>-2.967887233679702</v>
      </c>
    </row>
    <row r="214" spans="1:16" x14ac:dyDescent="0.2">
      <c r="A214" s="8">
        <v>106</v>
      </c>
      <c r="B214" s="8">
        <v>212</v>
      </c>
      <c r="D214">
        <v>1229.4824561404</v>
      </c>
      <c r="E214">
        <v>412.00233918128998</v>
      </c>
      <c r="F214">
        <v>123.11622418879</v>
      </c>
      <c r="G214">
        <v>110.49321533923001</v>
      </c>
      <c r="I214" s="9">
        <f t="shared" si="22"/>
        <v>301.50912384205998</v>
      </c>
      <c r="J214" s="9">
        <f t="shared" si="23"/>
        <v>1106.36623195161</v>
      </c>
      <c r="K214" s="9">
        <f t="shared" si="24"/>
        <v>301.50912384205998</v>
      </c>
      <c r="L214" s="10">
        <f t="shared" si="21"/>
        <v>0.27252198696466301</v>
      </c>
      <c r="M214" s="10">
        <f t="shared" si="20"/>
        <v>0.36053935167722223</v>
      </c>
      <c r="P214" s="8">
        <f t="shared" si="25"/>
        <v>-3.1912197763750636</v>
      </c>
    </row>
    <row r="215" spans="1:16" x14ac:dyDescent="0.2">
      <c r="A215" s="8">
        <v>106.5</v>
      </c>
      <c r="B215" s="8">
        <v>213</v>
      </c>
      <c r="D215">
        <v>1297.8378378378</v>
      </c>
      <c r="E215">
        <v>424.68625146886001</v>
      </c>
      <c r="F215">
        <v>123.41297935103</v>
      </c>
      <c r="G215">
        <v>110.41769911503999</v>
      </c>
      <c r="I215" s="9">
        <f t="shared" si="22"/>
        <v>314.26855235382004</v>
      </c>
      <c r="J215" s="9">
        <f t="shared" si="23"/>
        <v>1174.4248584867701</v>
      </c>
      <c r="K215" s="9">
        <f t="shared" si="24"/>
        <v>314.26855235382004</v>
      </c>
      <c r="L215" s="10">
        <f t="shared" si="21"/>
        <v>0.26759358002584399</v>
      </c>
      <c r="M215" s="10">
        <f t="shared" si="20"/>
        <v>0.35602612098704733</v>
      </c>
      <c r="P215" s="8">
        <f t="shared" si="25"/>
        <v>-4.4030718417629764</v>
      </c>
    </row>
    <row r="216" spans="1:16" x14ac:dyDescent="0.2">
      <c r="A216" s="8">
        <v>107</v>
      </c>
      <c r="B216" s="8">
        <v>214</v>
      </c>
      <c r="D216">
        <v>1327.6911764706001</v>
      </c>
      <c r="E216">
        <v>426.10823529411999</v>
      </c>
      <c r="F216">
        <v>123.07433628318999</v>
      </c>
      <c r="G216">
        <v>110.63067846608</v>
      </c>
      <c r="I216" s="9">
        <f t="shared" si="22"/>
        <v>315.47755682804001</v>
      </c>
      <c r="J216" s="9">
        <f t="shared" si="23"/>
        <v>1204.6168401874102</v>
      </c>
      <c r="K216" s="9">
        <f t="shared" si="24"/>
        <v>315.47755682804001</v>
      </c>
      <c r="L216" s="10">
        <f t="shared" si="21"/>
        <v>0.26189037568075096</v>
      </c>
      <c r="M216" s="10">
        <f t="shared" si="20"/>
        <v>0.35073809289059849</v>
      </c>
      <c r="P216" s="8">
        <f t="shared" si="25"/>
        <v>-5.8229655299942129</v>
      </c>
    </row>
    <row r="217" spans="1:16" x14ac:dyDescent="0.2">
      <c r="A217" s="8">
        <v>107.5</v>
      </c>
      <c r="B217" s="8">
        <v>215</v>
      </c>
      <c r="D217">
        <v>1258.7402826855</v>
      </c>
      <c r="E217">
        <v>410.68669022378998</v>
      </c>
      <c r="F217">
        <v>123.36873156342</v>
      </c>
      <c r="G217">
        <v>110.4778761062</v>
      </c>
      <c r="I217" s="9">
        <f t="shared" si="22"/>
        <v>300.20881411759001</v>
      </c>
      <c r="J217" s="9">
        <f t="shared" si="23"/>
        <v>1135.3715511220801</v>
      </c>
      <c r="K217" s="9">
        <f t="shared" si="24"/>
        <v>300.20881411759001</v>
      </c>
      <c r="L217" s="10">
        <f t="shared" si="21"/>
        <v>0.26441459962678793</v>
      </c>
      <c r="M217" s="10">
        <f t="shared" si="20"/>
        <v>0.35367749308527957</v>
      </c>
      <c r="P217" s="8">
        <f t="shared" si="25"/>
        <v>-5.033704257646562</v>
      </c>
    </row>
    <row r="218" spans="1:16" x14ac:dyDescent="0.2">
      <c r="A218" s="8">
        <v>108</v>
      </c>
      <c r="B218" s="8">
        <v>216</v>
      </c>
      <c r="D218">
        <v>1325.9128386336999</v>
      </c>
      <c r="E218">
        <v>429.09540636041999</v>
      </c>
      <c r="F218">
        <v>122.81828908555001</v>
      </c>
      <c r="G218">
        <v>110.0790560472</v>
      </c>
      <c r="I218" s="9">
        <f t="shared" si="22"/>
        <v>319.01635031321996</v>
      </c>
      <c r="J218" s="9">
        <f t="shared" si="23"/>
        <v>1203.0945495481499</v>
      </c>
      <c r="K218" s="9">
        <f t="shared" si="24"/>
        <v>319.01635031321996</v>
      </c>
      <c r="L218" s="10">
        <f t="shared" si="21"/>
        <v>0.26516315815164648</v>
      </c>
      <c r="M218" s="10">
        <f t="shared" si="20"/>
        <v>0.35484122785878225</v>
      </c>
      <c r="P218" s="8">
        <f t="shared" si="25"/>
        <v>-4.7212286751546113</v>
      </c>
    </row>
    <row r="219" spans="1:16" x14ac:dyDescent="0.2">
      <c r="A219" s="8">
        <v>108.5</v>
      </c>
      <c r="B219" s="8">
        <v>217</v>
      </c>
      <c r="D219">
        <v>1295.6778563015</v>
      </c>
      <c r="E219">
        <v>414.82273262662</v>
      </c>
      <c r="F219">
        <v>123.09616519174</v>
      </c>
      <c r="G219">
        <v>110.59292035398001</v>
      </c>
      <c r="I219" s="9">
        <f t="shared" si="22"/>
        <v>304.22981227264</v>
      </c>
      <c r="J219" s="9">
        <f t="shared" si="23"/>
        <v>1172.58169110976</v>
      </c>
      <c r="K219" s="9">
        <f t="shared" si="24"/>
        <v>304.22981227264</v>
      </c>
      <c r="L219" s="10">
        <f t="shared" si="21"/>
        <v>0.25945297848264154</v>
      </c>
      <c r="M219" s="10">
        <f t="shared" si="20"/>
        <v>0.34954622443842148</v>
      </c>
      <c r="P219" s="8">
        <f t="shared" si="25"/>
        <v>-6.1429953145531373</v>
      </c>
    </row>
    <row r="220" spans="1:16" x14ac:dyDescent="0.2">
      <c r="A220" s="8">
        <v>109</v>
      </c>
      <c r="B220" s="8">
        <v>218</v>
      </c>
      <c r="D220">
        <v>1298.902237927</v>
      </c>
      <c r="E220">
        <v>412.03121319198999</v>
      </c>
      <c r="F220">
        <v>123.04837758111999</v>
      </c>
      <c r="G220">
        <v>110.21946902655</v>
      </c>
      <c r="I220" s="9">
        <f t="shared" si="22"/>
        <v>301.81174416544002</v>
      </c>
      <c r="J220" s="9">
        <f t="shared" si="23"/>
        <v>1175.8538603458801</v>
      </c>
      <c r="K220" s="9">
        <f t="shared" si="24"/>
        <v>301.81174416544002</v>
      </c>
      <c r="L220" s="10">
        <f t="shared" si="21"/>
        <v>0.25667453613381974</v>
      </c>
      <c r="M220" s="10">
        <f t="shared" si="20"/>
        <v>0.34718295833824386</v>
      </c>
      <c r="P220" s="8">
        <f t="shared" si="25"/>
        <v>-6.7775582476635874</v>
      </c>
    </row>
    <row r="221" spans="1:16" x14ac:dyDescent="0.2">
      <c r="A221" s="8">
        <v>109.5</v>
      </c>
      <c r="B221" s="8">
        <v>219</v>
      </c>
      <c r="D221">
        <v>1308.2385159011001</v>
      </c>
      <c r="E221">
        <v>411.27915194346002</v>
      </c>
      <c r="F221">
        <v>123.26902654867</v>
      </c>
      <c r="G221">
        <v>110.48613569322001</v>
      </c>
      <c r="I221" s="9">
        <f t="shared" si="22"/>
        <v>300.79301625024004</v>
      </c>
      <c r="J221" s="9">
        <f t="shared" si="23"/>
        <v>1184.9694893524302</v>
      </c>
      <c r="K221" s="9">
        <f t="shared" si="24"/>
        <v>300.79301625024004</v>
      </c>
      <c r="L221" s="10">
        <f t="shared" si="21"/>
        <v>0.25384030471081526</v>
      </c>
      <c r="M221" s="10">
        <f t="shared" si="20"/>
        <v>0.3447639031638835</v>
      </c>
      <c r="P221" s="8">
        <f t="shared" si="25"/>
        <v>-7.4271011606189905</v>
      </c>
    </row>
    <row r="222" spans="1:16" x14ac:dyDescent="0.2">
      <c r="A222" s="8">
        <v>110</v>
      </c>
      <c r="B222" s="8">
        <v>220</v>
      </c>
      <c r="D222">
        <v>1286.1790341578001</v>
      </c>
      <c r="E222">
        <v>405.40400471142999</v>
      </c>
      <c r="F222">
        <v>122.78171091445</v>
      </c>
      <c r="G222">
        <v>110.19292035398</v>
      </c>
      <c r="I222" s="9">
        <f t="shared" si="22"/>
        <v>295.21108435744998</v>
      </c>
      <c r="J222" s="9">
        <f t="shared" si="23"/>
        <v>1163.39732324335</v>
      </c>
      <c r="K222" s="9">
        <f t="shared" si="24"/>
        <v>295.21108435744998</v>
      </c>
      <c r="L222" s="10">
        <f t="shared" si="21"/>
        <v>0.25374915212496163</v>
      </c>
      <c r="M222" s="10">
        <f t="shared" si="20"/>
        <v>0.345087926826674</v>
      </c>
      <c r="P222" s="8">
        <f t="shared" si="25"/>
        <v>-7.3400972443684775</v>
      </c>
    </row>
    <row r="223" spans="1:16" x14ac:dyDescent="0.2">
      <c r="A223" s="8">
        <v>110.5</v>
      </c>
      <c r="B223" s="8">
        <v>221</v>
      </c>
      <c r="D223">
        <v>1323.7567409144001</v>
      </c>
      <c r="E223">
        <v>412.90562719811999</v>
      </c>
      <c r="F223">
        <v>123.04483775811001</v>
      </c>
      <c r="G223">
        <v>110.50914454277</v>
      </c>
      <c r="I223" s="9">
        <f t="shared" si="22"/>
        <v>302.39648265534998</v>
      </c>
      <c r="J223" s="9">
        <f t="shared" si="23"/>
        <v>1200.7119031562902</v>
      </c>
      <c r="K223" s="9">
        <f t="shared" si="24"/>
        <v>302.39648265534998</v>
      </c>
      <c r="L223" s="10">
        <f t="shared" si="21"/>
        <v>0.25184765959298455</v>
      </c>
      <c r="M223" s="10">
        <f t="shared" si="20"/>
        <v>0.3436016105433411</v>
      </c>
      <c r="P223" s="8">
        <f t="shared" si="25"/>
        <v>-7.739189509183964</v>
      </c>
    </row>
    <row r="224" spans="1:16" x14ac:dyDescent="0.2">
      <c r="A224" s="8">
        <v>111</v>
      </c>
      <c r="B224" s="8">
        <v>222</v>
      </c>
      <c r="D224">
        <v>1359.8110653326</v>
      </c>
      <c r="E224">
        <v>419.66391995291002</v>
      </c>
      <c r="F224">
        <v>122.87846607669999</v>
      </c>
      <c r="G224">
        <v>110.48436578171</v>
      </c>
      <c r="I224" s="9">
        <f t="shared" si="22"/>
        <v>309.17955417120004</v>
      </c>
      <c r="J224" s="9">
        <f t="shared" si="23"/>
        <v>1236.9325992559</v>
      </c>
      <c r="K224" s="9">
        <f t="shared" si="24"/>
        <v>309.17955417120004</v>
      </c>
      <c r="L224" s="10">
        <f t="shared" si="21"/>
        <v>0.24995667052286666</v>
      </c>
      <c r="M224" s="10">
        <f t="shared" si="20"/>
        <v>0.34212579772186735</v>
      </c>
      <c r="P224" s="8">
        <f t="shared" si="25"/>
        <v>-8.1354614789998063</v>
      </c>
    </row>
    <row r="225" spans="1:16" x14ac:dyDescent="0.2">
      <c r="A225" s="8">
        <v>111.5</v>
      </c>
      <c r="B225" s="8">
        <v>223</v>
      </c>
      <c r="D225">
        <v>1275.9382352941</v>
      </c>
      <c r="E225">
        <v>399.08764705881998</v>
      </c>
      <c r="F225">
        <v>123.08495575221001</v>
      </c>
      <c r="G225">
        <v>110.39764011798999</v>
      </c>
      <c r="I225" s="9">
        <f t="shared" si="22"/>
        <v>288.69000694083002</v>
      </c>
      <c r="J225" s="9">
        <f t="shared" si="23"/>
        <v>1152.8532795418901</v>
      </c>
      <c r="K225" s="9">
        <f t="shared" si="24"/>
        <v>288.69000694083002</v>
      </c>
      <c r="L225" s="10">
        <f t="shared" si="21"/>
        <v>0.25041348458109686</v>
      </c>
      <c r="M225" s="10">
        <f t="shared" si="20"/>
        <v>0.3429977880287417</v>
      </c>
      <c r="P225" s="8">
        <f t="shared" si="25"/>
        <v>-7.9013224936640105</v>
      </c>
    </row>
    <row r="226" spans="1:16" x14ac:dyDescent="0.2">
      <c r="A226" s="8">
        <v>112</v>
      </c>
      <c r="B226" s="8">
        <v>224</v>
      </c>
      <c r="D226">
        <v>1208.0347467608999</v>
      </c>
      <c r="E226">
        <v>413.71260306242999</v>
      </c>
      <c r="F226">
        <v>123.1994100295</v>
      </c>
      <c r="G226">
        <v>110.45722713863999</v>
      </c>
      <c r="I226" s="9">
        <f t="shared" si="22"/>
        <v>303.25537592378998</v>
      </c>
      <c r="J226" s="9">
        <f t="shared" si="23"/>
        <v>1084.8353367313998</v>
      </c>
      <c r="K226" s="9">
        <f t="shared" si="24"/>
        <v>303.25537592378998</v>
      </c>
      <c r="L226" s="10">
        <f t="shared" si="21"/>
        <v>0.27954046633242607</v>
      </c>
      <c r="M226" s="10">
        <f t="shared" si="20"/>
        <v>0.37253994602871504</v>
      </c>
      <c r="P226" s="8">
        <f t="shared" si="25"/>
        <v>3.1071759131513943E-2</v>
      </c>
    </row>
    <row r="227" spans="1:16" x14ac:dyDescent="0.2">
      <c r="A227" s="8">
        <v>112.5</v>
      </c>
      <c r="B227" s="8">
        <v>225</v>
      </c>
      <c r="D227">
        <v>1269.8197879858999</v>
      </c>
      <c r="E227">
        <v>417.25441696113</v>
      </c>
      <c r="F227">
        <v>122.88318584071</v>
      </c>
      <c r="G227">
        <v>110.55634218289001</v>
      </c>
      <c r="I227" s="9">
        <f t="shared" si="22"/>
        <v>306.69807477823997</v>
      </c>
      <c r="J227" s="9">
        <f t="shared" si="23"/>
        <v>1146.9366021451899</v>
      </c>
      <c r="K227" s="9">
        <f t="shared" si="24"/>
        <v>306.69807477823997</v>
      </c>
      <c r="L227" s="10">
        <f t="shared" si="21"/>
        <v>0.26740630145084104</v>
      </c>
      <c r="M227" s="10">
        <f t="shared" si="20"/>
        <v>0.36082095739577419</v>
      </c>
      <c r="P227" s="8">
        <f t="shared" si="25"/>
        <v>-3.1156055445576749</v>
      </c>
    </row>
    <row r="228" spans="1:16" x14ac:dyDescent="0.2">
      <c r="A228" s="8">
        <v>113</v>
      </c>
      <c r="B228" s="8">
        <v>226</v>
      </c>
      <c r="D228">
        <v>1281.2326266196001</v>
      </c>
      <c r="E228">
        <v>408.70789163721997</v>
      </c>
      <c r="F228">
        <v>123.02831858407001</v>
      </c>
      <c r="G228">
        <v>110.03303834808</v>
      </c>
      <c r="I228" s="9">
        <f t="shared" si="22"/>
        <v>298.67485328913995</v>
      </c>
      <c r="J228" s="9">
        <f t="shared" si="23"/>
        <v>1158.2043080355302</v>
      </c>
      <c r="K228" s="9">
        <f t="shared" si="24"/>
        <v>298.67485328913995</v>
      </c>
      <c r="L228" s="10">
        <f t="shared" si="21"/>
        <v>0.25787751885997778</v>
      </c>
      <c r="M228" s="10">
        <f t="shared" si="20"/>
        <v>0.35170735105355505</v>
      </c>
      <c r="P228" s="8">
        <f t="shared" si="25"/>
        <v>-5.5627090557949099</v>
      </c>
    </row>
    <row r="229" spans="1:16" x14ac:dyDescent="0.2">
      <c r="A229" s="8">
        <v>113.5</v>
      </c>
      <c r="B229" s="8">
        <v>227</v>
      </c>
      <c r="D229">
        <v>1230.6266195523999</v>
      </c>
      <c r="E229">
        <v>407.25971731448999</v>
      </c>
      <c r="F229">
        <v>123.04424778761</v>
      </c>
      <c r="G229">
        <v>110.32212389381</v>
      </c>
      <c r="I229" s="9">
        <f t="shared" si="22"/>
        <v>296.93759342068</v>
      </c>
      <c r="J229" s="9">
        <f t="shared" si="23"/>
        <v>1107.58237176479</v>
      </c>
      <c r="K229" s="9">
        <f t="shared" si="24"/>
        <v>296.93759342068</v>
      </c>
      <c r="L229" s="10">
        <f t="shared" si="21"/>
        <v>0.2680952685690981</v>
      </c>
      <c r="M229" s="10">
        <f t="shared" si="20"/>
        <v>0.36234027701131954</v>
      </c>
      <c r="P229" s="8">
        <f t="shared" si="25"/>
        <v>-2.7076515221561168</v>
      </c>
    </row>
    <row r="230" spans="1:16" x14ac:dyDescent="0.2">
      <c r="A230" s="8">
        <v>114</v>
      </c>
      <c r="B230" s="8">
        <v>228</v>
      </c>
      <c r="D230">
        <v>1241.753828033</v>
      </c>
      <c r="E230">
        <v>409.17550058892999</v>
      </c>
      <c r="F230">
        <v>122.78466076696</v>
      </c>
      <c r="G230">
        <v>110.30324483776</v>
      </c>
      <c r="I230" s="9">
        <f t="shared" si="22"/>
        <v>298.87225575116997</v>
      </c>
      <c r="J230" s="9">
        <f t="shared" si="23"/>
        <v>1118.9691672660399</v>
      </c>
      <c r="K230" s="9">
        <f t="shared" si="24"/>
        <v>298.87225575116997</v>
      </c>
      <c r="L230" s="10">
        <f t="shared" si="21"/>
        <v>0.2670960599221871</v>
      </c>
      <c r="M230" s="10">
        <f t="shared" si="20"/>
        <v>0.36175624461305267</v>
      </c>
      <c r="P230" s="8">
        <f t="shared" si="25"/>
        <v>-2.8644706427993256</v>
      </c>
    </row>
    <row r="231" spans="1:16" x14ac:dyDescent="0.2">
      <c r="A231" s="8">
        <v>114.5</v>
      </c>
      <c r="B231" s="8">
        <v>229</v>
      </c>
      <c r="D231">
        <v>1235.136631331</v>
      </c>
      <c r="E231">
        <v>403.87750294464001</v>
      </c>
      <c r="F231">
        <v>122.96578171090999</v>
      </c>
      <c r="G231">
        <v>110.46253687316</v>
      </c>
      <c r="I231" s="9">
        <f t="shared" si="22"/>
        <v>293.41496607148002</v>
      </c>
      <c r="J231" s="9">
        <f t="shared" si="23"/>
        <v>1112.1708496200899</v>
      </c>
      <c r="K231" s="9">
        <f t="shared" si="24"/>
        <v>293.41496607148002</v>
      </c>
      <c r="L231" s="10">
        <f t="shared" si="21"/>
        <v>0.26382184551205295</v>
      </c>
      <c r="M231" s="10">
        <f t="shared" si="20"/>
        <v>0.35889720645156264</v>
      </c>
      <c r="P231" s="8">
        <f t="shared" si="25"/>
        <v>-3.6321538256171486</v>
      </c>
    </row>
    <row r="232" spans="1:16" x14ac:dyDescent="0.2">
      <c r="A232" s="8">
        <v>115</v>
      </c>
      <c r="B232" s="8">
        <v>230</v>
      </c>
      <c r="D232">
        <v>1291.6861012956001</v>
      </c>
      <c r="E232">
        <v>409.03945818609998</v>
      </c>
      <c r="F232">
        <v>123.10147492625001</v>
      </c>
      <c r="G232">
        <v>110.12802359881999</v>
      </c>
      <c r="I232" s="9">
        <f t="shared" si="22"/>
        <v>298.91143458727998</v>
      </c>
      <c r="J232" s="9">
        <f t="shared" si="23"/>
        <v>1168.5846263693502</v>
      </c>
      <c r="K232" s="9">
        <f t="shared" si="24"/>
        <v>298.91143458727998</v>
      </c>
      <c r="L232" s="10">
        <f t="shared" si="21"/>
        <v>0.2557892923133529</v>
      </c>
      <c r="M232" s="10">
        <f t="shared" si="20"/>
        <v>0.35127982950150677</v>
      </c>
      <c r="P232" s="8">
        <f t="shared" si="25"/>
        <v>-5.6775032933186909</v>
      </c>
    </row>
    <row r="233" spans="1:16" x14ac:dyDescent="0.2">
      <c r="A233" s="8">
        <v>115.5</v>
      </c>
      <c r="B233" s="8">
        <v>231</v>
      </c>
      <c r="D233">
        <v>1295.9534746761001</v>
      </c>
      <c r="E233">
        <v>403.17785630153003</v>
      </c>
      <c r="F233">
        <v>122.90324483776</v>
      </c>
      <c r="G233">
        <v>110.54867256637</v>
      </c>
      <c r="I233" s="9">
        <f t="shared" si="22"/>
        <v>292.62918373516004</v>
      </c>
      <c r="J233" s="9">
        <f t="shared" si="23"/>
        <v>1173.0502298383401</v>
      </c>
      <c r="K233" s="9">
        <f t="shared" si="24"/>
        <v>292.62918373516004</v>
      </c>
      <c r="L233" s="10">
        <f t="shared" si="21"/>
        <v>0.2494600625716494</v>
      </c>
      <c r="M233" s="10">
        <f t="shared" si="20"/>
        <v>0.34536577600844742</v>
      </c>
      <c r="P233" s="8">
        <f t="shared" si="25"/>
        <v>-7.2654916839809989</v>
      </c>
    </row>
    <row r="234" spans="1:16" x14ac:dyDescent="0.2">
      <c r="A234" s="8">
        <v>116</v>
      </c>
      <c r="B234" s="8">
        <v>232</v>
      </c>
      <c r="D234">
        <v>1258.574204947</v>
      </c>
      <c r="E234">
        <v>394.90930506478003</v>
      </c>
      <c r="F234">
        <v>123.38584070797</v>
      </c>
      <c r="G234">
        <v>110.21592920354</v>
      </c>
      <c r="I234" s="9">
        <f t="shared" si="22"/>
        <v>284.69337586124004</v>
      </c>
      <c r="J234" s="9">
        <f t="shared" si="23"/>
        <v>1135.1883642390301</v>
      </c>
      <c r="K234" s="9">
        <f t="shared" si="24"/>
        <v>284.69337586124004</v>
      </c>
      <c r="L234" s="10">
        <f t="shared" si="21"/>
        <v>0.2507895472061884</v>
      </c>
      <c r="M234" s="10">
        <f t="shared" si="20"/>
        <v>0.34711043689163057</v>
      </c>
      <c r="P234" s="8">
        <f t="shared" si="25"/>
        <v>-6.7970310534863803</v>
      </c>
    </row>
    <row r="235" spans="1:16" x14ac:dyDescent="0.2">
      <c r="A235" s="8">
        <v>116.5</v>
      </c>
      <c r="B235" s="8">
        <v>233</v>
      </c>
      <c r="D235">
        <v>1241.3674911661001</v>
      </c>
      <c r="E235">
        <v>399.12485276796002</v>
      </c>
      <c r="F235">
        <v>122.57463126844</v>
      </c>
      <c r="G235">
        <v>110.4778761062</v>
      </c>
      <c r="I235" s="9">
        <f t="shared" si="22"/>
        <v>288.64697666176005</v>
      </c>
      <c r="J235" s="9">
        <f t="shared" si="23"/>
        <v>1118.79285989766</v>
      </c>
      <c r="K235" s="9">
        <f t="shared" si="24"/>
        <v>288.64697666176005</v>
      </c>
      <c r="L235" s="10">
        <f t="shared" si="21"/>
        <v>0.25799858669831305</v>
      </c>
      <c r="M235" s="10">
        <f t="shared" si="20"/>
        <v>0.35473465263239934</v>
      </c>
      <c r="P235" s="8">
        <f t="shared" si="25"/>
        <v>-4.7498452952827321</v>
      </c>
    </row>
    <row r="236" spans="1:16" x14ac:dyDescent="0.2">
      <c r="A236" s="8">
        <v>117</v>
      </c>
      <c r="B236" s="8">
        <v>234</v>
      </c>
      <c r="D236">
        <v>1292.9681978798999</v>
      </c>
      <c r="E236">
        <v>409.32391048291998</v>
      </c>
      <c r="F236">
        <v>122.92743362832</v>
      </c>
      <c r="G236">
        <v>110.21710914454</v>
      </c>
      <c r="I236" s="9">
        <f t="shared" si="22"/>
        <v>299.10680133837997</v>
      </c>
      <c r="J236" s="9">
        <f t="shared" si="23"/>
        <v>1170.04076425158</v>
      </c>
      <c r="K236" s="9">
        <f t="shared" si="24"/>
        <v>299.10680133837997</v>
      </c>
      <c r="L236" s="10">
        <f t="shared" si="21"/>
        <v>0.25563793200803947</v>
      </c>
      <c r="M236" s="10">
        <f t="shared" si="20"/>
        <v>0.35278917419076994</v>
      </c>
      <c r="P236" s="8">
        <f t="shared" si="25"/>
        <v>-5.2722276483028656</v>
      </c>
    </row>
    <row r="237" spans="1:16" x14ac:dyDescent="0.2">
      <c r="A237" s="8">
        <v>117.5</v>
      </c>
      <c r="B237" s="8">
        <v>235</v>
      </c>
      <c r="D237">
        <v>1297.0474794842</v>
      </c>
      <c r="E237">
        <v>406.42614302461999</v>
      </c>
      <c r="F237">
        <v>122.67905604720001</v>
      </c>
      <c r="G237">
        <v>110.17227138643</v>
      </c>
      <c r="I237" s="9">
        <f t="shared" si="22"/>
        <v>296.25387163818999</v>
      </c>
      <c r="J237" s="9">
        <f t="shared" si="23"/>
        <v>1174.368423437</v>
      </c>
      <c r="K237" s="9">
        <f t="shared" si="24"/>
        <v>296.25387163818999</v>
      </c>
      <c r="L237" s="10">
        <f t="shared" si="21"/>
        <v>0.25226655087604438</v>
      </c>
      <c r="M237" s="10">
        <f t="shared" si="20"/>
        <v>0.34983296930741897</v>
      </c>
      <c r="P237" s="8">
        <f t="shared" si="25"/>
        <v>-6.0660011643337679</v>
      </c>
    </row>
    <row r="238" spans="1:16" x14ac:dyDescent="0.2">
      <c r="A238" s="8">
        <v>118</v>
      </c>
      <c r="B238" s="8">
        <v>236</v>
      </c>
      <c r="D238">
        <v>1309.4009378664</v>
      </c>
      <c r="E238">
        <v>404.60668229777002</v>
      </c>
      <c r="F238">
        <v>122.87787610620001</v>
      </c>
      <c r="G238">
        <v>110.68495575221</v>
      </c>
      <c r="I238" s="9">
        <f t="shared" si="22"/>
        <v>293.92172654556003</v>
      </c>
      <c r="J238" s="9">
        <f t="shared" si="23"/>
        <v>1186.5230617602001</v>
      </c>
      <c r="K238" s="9">
        <f t="shared" si="24"/>
        <v>293.92172654556003</v>
      </c>
      <c r="L238" s="10">
        <f t="shared" si="21"/>
        <v>0.24771682575602774</v>
      </c>
      <c r="M238" s="10">
        <f t="shared" si="20"/>
        <v>0.34569842043604648</v>
      </c>
      <c r="P238" s="8">
        <f t="shared" si="25"/>
        <v>-7.1761729975900561</v>
      </c>
    </row>
    <row r="239" spans="1:16" x14ac:dyDescent="0.2">
      <c r="A239" s="8">
        <v>118.5</v>
      </c>
      <c r="B239" s="8">
        <v>237</v>
      </c>
      <c r="D239">
        <v>1308.3528722157</v>
      </c>
      <c r="E239">
        <v>404.17526377490998</v>
      </c>
      <c r="F239">
        <v>123.14159292035001</v>
      </c>
      <c r="G239">
        <v>110.30796460177</v>
      </c>
      <c r="I239" s="9">
        <f t="shared" si="22"/>
        <v>293.86729917314</v>
      </c>
      <c r="J239" s="9">
        <f t="shared" si="23"/>
        <v>1185.2112792953501</v>
      </c>
      <c r="K239" s="9">
        <f t="shared" si="24"/>
        <v>293.86729917314</v>
      </c>
      <c r="L239" s="10">
        <f t="shared" si="21"/>
        <v>0.24794507469407012</v>
      </c>
      <c r="M239" s="10">
        <f t="shared" si="20"/>
        <v>0.34634184562273301</v>
      </c>
      <c r="P239" s="8">
        <f t="shared" si="25"/>
        <v>-7.003406260204768</v>
      </c>
    </row>
    <row r="240" spans="1:16" x14ac:dyDescent="0.2">
      <c r="A240" s="8">
        <v>119</v>
      </c>
      <c r="B240" s="8">
        <v>238</v>
      </c>
      <c r="D240">
        <v>1328.155646577</v>
      </c>
      <c r="E240">
        <v>408.20889409010999</v>
      </c>
      <c r="F240">
        <v>123.18643067847</v>
      </c>
      <c r="G240">
        <v>110.02064896755</v>
      </c>
      <c r="I240" s="9">
        <f t="shared" si="22"/>
        <v>298.18824512255998</v>
      </c>
      <c r="J240" s="9">
        <f t="shared" si="23"/>
        <v>1204.9692158985299</v>
      </c>
      <c r="K240" s="9">
        <f t="shared" si="24"/>
        <v>298.18824512255998</v>
      </c>
      <c r="L240" s="10">
        <f t="shared" si="21"/>
        <v>0.2474654465759151</v>
      </c>
      <c r="M240" s="10">
        <f t="shared" si="20"/>
        <v>0.34627739375322214</v>
      </c>
      <c r="P240" s="8">
        <f t="shared" si="25"/>
        <v>-7.0207122958467965</v>
      </c>
    </row>
    <row r="241" spans="1:16" x14ac:dyDescent="0.2">
      <c r="A241" s="8">
        <v>119.5</v>
      </c>
      <c r="B241" s="8">
        <v>239</v>
      </c>
      <c r="D241">
        <v>1312.5465184318</v>
      </c>
      <c r="E241">
        <v>401.08543007607</v>
      </c>
      <c r="F241">
        <v>122.95280235988</v>
      </c>
      <c r="G241">
        <v>110.32625368732</v>
      </c>
      <c r="I241" s="9">
        <f t="shared" si="22"/>
        <v>290.75917638875001</v>
      </c>
      <c r="J241" s="9">
        <f t="shared" si="23"/>
        <v>1189.59371607192</v>
      </c>
      <c r="K241" s="9">
        <f t="shared" si="24"/>
        <v>290.75917638875001</v>
      </c>
      <c r="L241" s="10">
        <f t="shared" si="21"/>
        <v>0.24441889063507075</v>
      </c>
      <c r="M241" s="10">
        <f t="shared" si="20"/>
        <v>0.34364601406102191</v>
      </c>
      <c r="P241" s="8">
        <f t="shared" si="25"/>
        <v>-7.7272666764492834</v>
      </c>
    </row>
    <row r="242" spans="1:16" x14ac:dyDescent="0.2">
      <c r="A242" s="8">
        <v>120</v>
      </c>
      <c r="B242" s="8">
        <v>240</v>
      </c>
      <c r="D242">
        <v>1268.8104154476</v>
      </c>
      <c r="E242">
        <v>389.46108835576001</v>
      </c>
      <c r="F242">
        <v>122.88259587021</v>
      </c>
      <c r="G242">
        <v>110.23716814159</v>
      </c>
      <c r="I242" s="9">
        <f>E242-G242</f>
        <v>279.22392021416999</v>
      </c>
      <c r="J242" s="9">
        <f>D242-F242</f>
        <v>1145.92781957739</v>
      </c>
      <c r="K242" s="9">
        <f t="shared" si="24"/>
        <v>279.22392021416999</v>
      </c>
      <c r="L242" s="10">
        <f t="shared" si="21"/>
        <v>0.24366623747484006</v>
      </c>
      <c r="M242" s="10">
        <f>L242+ABS($N$2)*A242</f>
        <v>0.34330853714943538</v>
      </c>
      <c r="O242" s="11"/>
      <c r="P242" s="8">
        <f>(M242-$O$2)/$O$2*100</f>
        <v>-7.8178829379262753</v>
      </c>
    </row>
    <row r="243" spans="1:16" x14ac:dyDescent="0.2">
      <c r="A243" s="8">
        <v>120.5</v>
      </c>
      <c r="B243" s="8">
        <v>241</v>
      </c>
      <c r="D243">
        <v>1238.0035149385001</v>
      </c>
      <c r="E243">
        <v>382.31985940246</v>
      </c>
      <c r="F243">
        <v>122.85073746313</v>
      </c>
      <c r="G243">
        <v>110.44719764012</v>
      </c>
      <c r="I243" s="9">
        <f t="shared" ref="I243:I274" si="26">E243-G243</f>
        <v>271.87266176233999</v>
      </c>
      <c r="J243" s="9">
        <f t="shared" ref="J243:J274" si="27">D243-F243</f>
        <v>1115.1527774753702</v>
      </c>
      <c r="K243" s="9">
        <f t="shared" si="24"/>
        <v>271.87266176233999</v>
      </c>
      <c r="L243" s="10">
        <f t="shared" si="21"/>
        <v>0.24379857832380702</v>
      </c>
      <c r="M243" s="10">
        <f t="shared" ref="M243:M274" si="28">L243+ABS($N$2)*A243</f>
        <v>0.34385605424704652</v>
      </c>
      <c r="P243" s="8">
        <f t="shared" ref="P243:P274" si="29">(M243-$O$2)/$O$2*100</f>
        <v>-7.6708685770118894</v>
      </c>
    </row>
    <row r="244" spans="1:16" x14ac:dyDescent="0.2">
      <c r="A244" s="8">
        <v>121</v>
      </c>
      <c r="B244" s="8">
        <v>242</v>
      </c>
      <c r="D244">
        <v>1285.6297598125</v>
      </c>
      <c r="E244">
        <v>403.31282952548003</v>
      </c>
      <c r="F244">
        <v>123.02300884956</v>
      </c>
      <c r="G244">
        <v>110.57345132743001</v>
      </c>
      <c r="I244" s="9">
        <f t="shared" si="26"/>
        <v>292.73937819805002</v>
      </c>
      <c r="J244" s="9">
        <f t="shared" si="27"/>
        <v>1162.6067509629399</v>
      </c>
      <c r="K244" s="9">
        <f t="shared" si="24"/>
        <v>292.73937819805002</v>
      </c>
      <c r="L244" s="10">
        <f t="shared" si="21"/>
        <v>0.25179569786222716</v>
      </c>
      <c r="M244" s="10">
        <f t="shared" si="28"/>
        <v>0.35226835003411078</v>
      </c>
      <c r="N244" s="1"/>
      <c r="P244" s="8">
        <f t="shared" si="29"/>
        <v>-5.4120746610703128</v>
      </c>
    </row>
    <row r="245" spans="1:16" x14ac:dyDescent="0.2">
      <c r="A245" s="8">
        <v>121.5</v>
      </c>
      <c r="B245" s="8">
        <v>243</v>
      </c>
      <c r="D245">
        <v>1330.5181924883</v>
      </c>
      <c r="E245">
        <v>411.85798122066001</v>
      </c>
      <c r="F245">
        <v>122.94926253686999</v>
      </c>
      <c r="G245">
        <v>110.09498525074</v>
      </c>
      <c r="I245" s="9">
        <f t="shared" si="26"/>
        <v>301.76299596991998</v>
      </c>
      <c r="J245" s="9">
        <f t="shared" si="27"/>
        <v>1207.5689299514299</v>
      </c>
      <c r="K245" s="9">
        <f t="shared" si="24"/>
        <v>301.76299596991998</v>
      </c>
      <c r="L245" s="10">
        <f t="shared" si="21"/>
        <v>0.249892977937133</v>
      </c>
      <c r="M245" s="10">
        <f t="shared" si="28"/>
        <v>0.35078080635766079</v>
      </c>
      <c r="P245" s="8">
        <f t="shared" si="29"/>
        <v>-5.8114964944334968</v>
      </c>
    </row>
    <row r="246" spans="1:16" x14ac:dyDescent="0.2">
      <c r="A246" s="8">
        <v>122</v>
      </c>
      <c r="B246" s="8">
        <v>244</v>
      </c>
      <c r="D246">
        <v>1343.2435446008999</v>
      </c>
      <c r="E246">
        <v>412.80281690140998</v>
      </c>
      <c r="F246">
        <v>122.67551622419001</v>
      </c>
      <c r="G246">
        <v>110.198820059</v>
      </c>
      <c r="I246" s="9">
        <f t="shared" si="26"/>
        <v>302.60399684240997</v>
      </c>
      <c r="J246" s="9">
        <f t="shared" si="27"/>
        <v>1220.5680283767099</v>
      </c>
      <c r="K246" s="9">
        <f t="shared" si="24"/>
        <v>302.60399684240997</v>
      </c>
      <c r="L246" s="10">
        <f t="shared" si="21"/>
        <v>0.24792063187568256</v>
      </c>
      <c r="M246" s="10">
        <f t="shared" si="28"/>
        <v>0.3492236365448545</v>
      </c>
      <c r="P246" s="8">
        <f t="shared" si="29"/>
        <v>-6.2296137109801846</v>
      </c>
    </row>
    <row r="247" spans="1:16" x14ac:dyDescent="0.2">
      <c r="A247" s="8">
        <v>122.5</v>
      </c>
      <c r="B247" s="8">
        <v>245</v>
      </c>
      <c r="D247">
        <v>1311.5997652582</v>
      </c>
      <c r="E247">
        <v>406.71478873238999</v>
      </c>
      <c r="F247">
        <v>122.79823008850001</v>
      </c>
      <c r="G247">
        <v>110.2005899705</v>
      </c>
      <c r="I247" s="9">
        <f t="shared" si="26"/>
        <v>296.51419876188999</v>
      </c>
      <c r="J247" s="9">
        <f t="shared" si="27"/>
        <v>1188.8015351696999</v>
      </c>
      <c r="K247" s="9">
        <f t="shared" si="24"/>
        <v>296.51419876188999</v>
      </c>
      <c r="L247" s="10">
        <f t="shared" si="21"/>
        <v>0.24942279261067993</v>
      </c>
      <c r="M247" s="10">
        <f t="shared" si="28"/>
        <v>0.35114097352849599</v>
      </c>
      <c r="P247" s="8">
        <f t="shared" si="29"/>
        <v>-5.7147876488582563</v>
      </c>
    </row>
    <row r="248" spans="1:16" x14ac:dyDescent="0.2">
      <c r="A248" s="8">
        <v>123</v>
      </c>
      <c r="B248" s="8">
        <v>246</v>
      </c>
      <c r="D248">
        <v>1198.1777126100001</v>
      </c>
      <c r="E248">
        <v>396.32258064515997</v>
      </c>
      <c r="F248">
        <v>122.74985250738</v>
      </c>
      <c r="G248">
        <v>110.25132743363</v>
      </c>
      <c r="I248" s="9">
        <f t="shared" si="26"/>
        <v>286.07125321153001</v>
      </c>
      <c r="J248" s="9">
        <f t="shared" si="27"/>
        <v>1075.4278601026201</v>
      </c>
      <c r="K248" s="9">
        <f t="shared" si="24"/>
        <v>286.07125321153001</v>
      </c>
      <c r="L248" s="10">
        <f t="shared" si="21"/>
        <v>0.26600692043093654</v>
      </c>
      <c r="M248" s="10">
        <f t="shared" si="28"/>
        <v>0.36814027759739676</v>
      </c>
      <c r="P248" s="8">
        <f t="shared" si="29"/>
        <v>-1.1502875910834074</v>
      </c>
    </row>
    <row r="249" spans="1:16" x14ac:dyDescent="0.2">
      <c r="A249" s="8">
        <v>123.5</v>
      </c>
      <c r="B249" s="8">
        <v>247</v>
      </c>
      <c r="D249">
        <v>1225.8785923754001</v>
      </c>
      <c r="E249">
        <v>398.18709677419002</v>
      </c>
      <c r="F249">
        <v>123.28672566372001</v>
      </c>
      <c r="G249">
        <v>110.30265486726</v>
      </c>
      <c r="I249" s="9">
        <f t="shared" si="26"/>
        <v>287.88444190693002</v>
      </c>
      <c r="J249" s="9">
        <f t="shared" si="27"/>
        <v>1102.59186671168</v>
      </c>
      <c r="K249" s="9">
        <f t="shared" si="24"/>
        <v>287.88444190693002</v>
      </c>
      <c r="L249" s="10">
        <f t="shared" si="21"/>
        <v>0.2610979190019817</v>
      </c>
      <c r="M249" s="10">
        <f t="shared" si="28"/>
        <v>0.36364645241708604</v>
      </c>
      <c r="P249" s="8">
        <f t="shared" si="29"/>
        <v>-2.3569290637001581</v>
      </c>
    </row>
    <row r="250" spans="1:16" x14ac:dyDescent="0.2">
      <c r="A250" s="8">
        <v>124</v>
      </c>
      <c r="B250" s="8">
        <v>248</v>
      </c>
      <c r="D250">
        <v>1296.8666666667</v>
      </c>
      <c r="E250">
        <v>402.98128654970998</v>
      </c>
      <c r="F250">
        <v>122.99528023598999</v>
      </c>
      <c r="G250">
        <v>110.29321533923</v>
      </c>
      <c r="I250" s="9">
        <f t="shared" si="26"/>
        <v>292.68807121047996</v>
      </c>
      <c r="J250" s="9">
        <f t="shared" si="27"/>
        <v>1173.8713864307099</v>
      </c>
      <c r="K250" s="9">
        <f t="shared" si="24"/>
        <v>292.68807121047996</v>
      </c>
      <c r="L250" s="10">
        <f t="shared" si="21"/>
        <v>0.24933572331158996</v>
      </c>
      <c r="M250" s="10">
        <f t="shared" si="28"/>
        <v>0.3522994329753385</v>
      </c>
      <c r="P250" s="8">
        <f t="shared" si="29"/>
        <v>-5.4037285495792373</v>
      </c>
    </row>
    <row r="251" spans="1:16" x14ac:dyDescent="0.2">
      <c r="A251" s="8">
        <v>124.5</v>
      </c>
      <c r="B251" s="8">
        <v>249</v>
      </c>
      <c r="D251">
        <v>1328.1773341163</v>
      </c>
      <c r="E251">
        <v>408.68056371109998</v>
      </c>
      <c r="F251">
        <v>122.76873156342</v>
      </c>
      <c r="G251">
        <v>110.26430678465999</v>
      </c>
      <c r="I251" s="9">
        <f t="shared" si="26"/>
        <v>298.41625692643998</v>
      </c>
      <c r="J251" s="9">
        <f t="shared" si="27"/>
        <v>1205.40860255288</v>
      </c>
      <c r="K251" s="9">
        <f t="shared" si="24"/>
        <v>298.41625692643998</v>
      </c>
      <c r="L251" s="10">
        <f t="shared" si="21"/>
        <v>0.24756439956910692</v>
      </c>
      <c r="M251" s="10">
        <f t="shared" si="28"/>
        <v>0.35094328548149956</v>
      </c>
      <c r="P251" s="8">
        <f t="shared" si="29"/>
        <v>-5.7678690631490577</v>
      </c>
    </row>
    <row r="252" spans="1:16" x14ac:dyDescent="0.2">
      <c r="A252" s="8">
        <v>125</v>
      </c>
      <c r="B252" s="8">
        <v>250</v>
      </c>
      <c r="D252">
        <v>1332.5208455667</v>
      </c>
      <c r="E252">
        <v>401.78273634762002</v>
      </c>
      <c r="F252">
        <v>122.93392330384</v>
      </c>
      <c r="G252">
        <v>110.29616519174</v>
      </c>
      <c r="I252" s="9">
        <f t="shared" si="26"/>
        <v>291.48657115588003</v>
      </c>
      <c r="J252" s="9">
        <f t="shared" si="27"/>
        <v>1209.5869222628601</v>
      </c>
      <c r="K252" s="9">
        <f t="shared" si="24"/>
        <v>291.48657115588003</v>
      </c>
      <c r="L252" s="10">
        <f t="shared" si="21"/>
        <v>0.24098026011274612</v>
      </c>
      <c r="M252" s="10">
        <f t="shared" si="28"/>
        <v>0.34477432227378291</v>
      </c>
      <c r="P252" s="8">
        <f t="shared" si="29"/>
        <v>-7.4243035150480265</v>
      </c>
    </row>
    <row r="253" spans="1:16" x14ac:dyDescent="0.2">
      <c r="A253" s="8">
        <v>125.5</v>
      </c>
      <c r="B253" s="8">
        <v>251</v>
      </c>
      <c r="D253">
        <v>1341.4888628371</v>
      </c>
      <c r="E253">
        <v>403.90386869871003</v>
      </c>
      <c r="F253">
        <v>123.41592920354</v>
      </c>
      <c r="G253">
        <v>110.33097345133</v>
      </c>
      <c r="I253" s="9">
        <f t="shared" si="26"/>
        <v>293.57289524738002</v>
      </c>
      <c r="J253" s="9">
        <f t="shared" si="27"/>
        <v>1218.0729336335601</v>
      </c>
      <c r="K253" s="9">
        <f t="shared" si="24"/>
        <v>293.57289524738002</v>
      </c>
      <c r="L253" s="10">
        <f t="shared" si="21"/>
        <v>0.2410142177378824</v>
      </c>
      <c r="M253" s="10">
        <f t="shared" si="28"/>
        <v>0.34522345614756333</v>
      </c>
      <c r="P253" s="8">
        <f t="shared" si="29"/>
        <v>-7.3037061315016096</v>
      </c>
    </row>
    <row r="254" spans="1:16" x14ac:dyDescent="0.2">
      <c r="A254" s="8">
        <v>126</v>
      </c>
      <c r="B254" s="8">
        <v>252</v>
      </c>
      <c r="D254">
        <v>1341.7461899179</v>
      </c>
      <c r="E254">
        <v>402.22860492379999</v>
      </c>
      <c r="F254">
        <v>122.87787610620001</v>
      </c>
      <c r="G254">
        <v>110.48908554572</v>
      </c>
      <c r="I254" s="9">
        <f t="shared" si="26"/>
        <v>291.73951937807999</v>
      </c>
      <c r="J254" s="9">
        <f t="shared" si="27"/>
        <v>1218.8683138116999</v>
      </c>
      <c r="K254" s="9">
        <f t="shared" si="24"/>
        <v>291.73951937807999</v>
      </c>
      <c r="L254" s="10">
        <f t="shared" si="21"/>
        <v>0.23935278001094232</v>
      </c>
      <c r="M254" s="10">
        <f t="shared" si="28"/>
        <v>0.34397719466926741</v>
      </c>
      <c r="P254" s="8">
        <f t="shared" si="29"/>
        <v>-7.6383410416501514</v>
      </c>
    </row>
    <row r="255" spans="1:16" x14ac:dyDescent="0.2">
      <c r="A255" s="8">
        <v>126.5</v>
      </c>
      <c r="B255" s="8">
        <v>253</v>
      </c>
      <c r="D255">
        <v>1318.9082892416</v>
      </c>
      <c r="E255">
        <v>397.42739564962</v>
      </c>
      <c r="F255">
        <v>122.9209439528</v>
      </c>
      <c r="G255">
        <v>110.38525073746</v>
      </c>
      <c r="I255" s="9">
        <f t="shared" si="26"/>
        <v>287.04214491215998</v>
      </c>
      <c r="J255" s="9">
        <f t="shared" si="27"/>
        <v>1195.9873452888</v>
      </c>
      <c r="K255" s="9">
        <f t="shared" si="24"/>
        <v>287.04214491215998</v>
      </c>
      <c r="L255" s="10">
        <f t="shared" si="21"/>
        <v>0.24000433285759118</v>
      </c>
      <c r="M255" s="10">
        <f t="shared" si="28"/>
        <v>0.34504392376456045</v>
      </c>
      <c r="P255" s="8">
        <f t="shared" si="29"/>
        <v>-7.3519125503801517</v>
      </c>
    </row>
    <row r="256" spans="1:16" x14ac:dyDescent="0.2">
      <c r="A256" s="8">
        <v>127</v>
      </c>
      <c r="B256" s="8">
        <v>254</v>
      </c>
      <c r="D256">
        <v>1303.7788180222001</v>
      </c>
      <c r="E256">
        <v>409.66588648331998</v>
      </c>
      <c r="F256">
        <v>122.61651917403999</v>
      </c>
      <c r="G256">
        <v>110.3197640118</v>
      </c>
      <c r="I256" s="9">
        <f t="shared" si="26"/>
        <v>299.34612247151995</v>
      </c>
      <c r="J256" s="9">
        <f t="shared" si="27"/>
        <v>1181.1622988481602</v>
      </c>
      <c r="K256" s="9">
        <f t="shared" si="24"/>
        <v>299.34612247151995</v>
      </c>
      <c r="L256" s="10">
        <f t="shared" si="21"/>
        <v>0.25343352286424548</v>
      </c>
      <c r="M256" s="10">
        <f t="shared" si="28"/>
        <v>0.35888829001985889</v>
      </c>
      <c r="P256" s="8">
        <f t="shared" si="29"/>
        <v>-3.634547985569931</v>
      </c>
    </row>
    <row r="257" spans="1:16" x14ac:dyDescent="0.2">
      <c r="A257" s="8">
        <v>127.5</v>
      </c>
      <c r="B257" s="8">
        <v>255</v>
      </c>
      <c r="D257">
        <v>1304.0070216500999</v>
      </c>
      <c r="E257">
        <v>405.85956699824999</v>
      </c>
      <c r="F257">
        <v>122.72920353982001</v>
      </c>
      <c r="G257">
        <v>110.1581120944</v>
      </c>
      <c r="I257" s="9">
        <f t="shared" si="26"/>
        <v>295.70145490384999</v>
      </c>
      <c r="J257" s="9">
        <f t="shared" si="27"/>
        <v>1181.2778181102799</v>
      </c>
      <c r="K257" s="9">
        <f t="shared" si="24"/>
        <v>295.70145490384999</v>
      </c>
      <c r="L257" s="10">
        <f t="shared" si="21"/>
        <v>0.25032337894644557</v>
      </c>
      <c r="M257" s="10">
        <f t="shared" si="28"/>
        <v>0.35619332235070311</v>
      </c>
      <c r="P257" s="8">
        <f t="shared" si="29"/>
        <v>-4.35817643716444</v>
      </c>
    </row>
    <row r="258" spans="1:16" x14ac:dyDescent="0.2">
      <c r="A258" s="8">
        <v>128</v>
      </c>
      <c r="B258" s="8">
        <v>256</v>
      </c>
      <c r="D258">
        <v>1328.6149795202</v>
      </c>
      <c r="E258">
        <v>404.17320070216999</v>
      </c>
      <c r="F258">
        <v>122.86843657817001</v>
      </c>
      <c r="G258">
        <v>110.30796460177</v>
      </c>
      <c r="I258" s="9">
        <f t="shared" si="26"/>
        <v>293.86523610040001</v>
      </c>
      <c r="J258" s="9">
        <f t="shared" si="27"/>
        <v>1205.7465429420299</v>
      </c>
      <c r="K258" s="9">
        <f t="shared" si="24"/>
        <v>293.86523610040001</v>
      </c>
      <c r="L258" s="10">
        <f t="shared" ref="L258:L321" si="30">K258/J258</f>
        <v>0.24372057114372214</v>
      </c>
      <c r="M258" s="10">
        <f t="shared" si="28"/>
        <v>0.3500056907966238</v>
      </c>
      <c r="P258" s="8">
        <f t="shared" si="29"/>
        <v>-6.0196235453289573</v>
      </c>
    </row>
    <row r="259" spans="1:16" x14ac:dyDescent="0.2">
      <c r="A259" s="8">
        <v>128.5</v>
      </c>
      <c r="B259" s="8">
        <v>257</v>
      </c>
      <c r="D259">
        <v>1342.6935769004001</v>
      </c>
      <c r="E259">
        <v>405.00176782557998</v>
      </c>
      <c r="F259">
        <v>122.70265486725999</v>
      </c>
      <c r="G259">
        <v>110.23539823009</v>
      </c>
      <c r="I259" s="9">
        <f t="shared" si="26"/>
        <v>294.76636959549</v>
      </c>
      <c r="J259" s="9">
        <f t="shared" si="27"/>
        <v>1219.9909220331401</v>
      </c>
      <c r="K259" s="9">
        <f t="shared" ref="K259:K322" si="31">I259*1</f>
        <v>294.76636959549</v>
      </c>
      <c r="L259" s="10">
        <f t="shared" si="30"/>
        <v>0.2416135761930554</v>
      </c>
      <c r="M259" s="10">
        <f t="shared" si="28"/>
        <v>0.34831387209460124</v>
      </c>
      <c r="P259" s="8">
        <f t="shared" si="29"/>
        <v>-6.4738954691575366</v>
      </c>
    </row>
    <row r="260" spans="1:16" x14ac:dyDescent="0.2">
      <c r="A260" s="8">
        <v>129</v>
      </c>
      <c r="B260" s="8">
        <v>258</v>
      </c>
      <c r="D260">
        <v>1331.7671957672001</v>
      </c>
      <c r="E260">
        <v>397.28806584362002</v>
      </c>
      <c r="F260">
        <v>122.97050147493</v>
      </c>
      <c r="G260">
        <v>110.01533923304</v>
      </c>
      <c r="I260" s="9">
        <f t="shared" si="26"/>
        <v>287.27272661058004</v>
      </c>
      <c r="J260" s="9">
        <f t="shared" si="27"/>
        <v>1208.7966942922701</v>
      </c>
      <c r="K260" s="9">
        <f t="shared" si="31"/>
        <v>287.27272661058004</v>
      </c>
      <c r="L260" s="10">
        <f t="shared" si="30"/>
        <v>0.23765181354898834</v>
      </c>
      <c r="M260" s="10">
        <f t="shared" si="28"/>
        <v>0.34476728569917836</v>
      </c>
      <c r="P260" s="8">
        <f t="shared" si="29"/>
        <v>-7.4261929126997668</v>
      </c>
    </row>
    <row r="261" spans="1:16" x14ac:dyDescent="0.2">
      <c r="A261" s="8">
        <v>129.5</v>
      </c>
      <c r="B261" s="8">
        <v>259</v>
      </c>
      <c r="D261">
        <v>1294.4620811288</v>
      </c>
      <c r="E261">
        <v>388.68018812462998</v>
      </c>
      <c r="F261">
        <v>122.79646017699</v>
      </c>
      <c r="G261">
        <v>110.1994100295</v>
      </c>
      <c r="I261" s="9">
        <f t="shared" si="26"/>
        <v>278.48077809512995</v>
      </c>
      <c r="J261" s="9">
        <f t="shared" si="27"/>
        <v>1171.6656209518101</v>
      </c>
      <c r="K261" s="9">
        <f t="shared" si="31"/>
        <v>278.48077809512995</v>
      </c>
      <c r="L261" s="10">
        <f t="shared" si="30"/>
        <v>0.23767939684780057</v>
      </c>
      <c r="M261" s="10">
        <f t="shared" si="28"/>
        <v>0.34521004524663468</v>
      </c>
      <c r="P261" s="8">
        <f t="shared" si="29"/>
        <v>-7.3073071058600627</v>
      </c>
    </row>
    <row r="262" spans="1:16" x14ac:dyDescent="0.2">
      <c r="A262" s="8">
        <v>130</v>
      </c>
      <c r="B262" s="8">
        <v>260</v>
      </c>
      <c r="D262">
        <v>1284.158172232</v>
      </c>
      <c r="E262">
        <v>385.37727006443998</v>
      </c>
      <c r="F262">
        <v>123.08318584071</v>
      </c>
      <c r="G262">
        <v>110.07315634218</v>
      </c>
      <c r="I262" s="9">
        <f t="shared" si="26"/>
        <v>275.30411372226001</v>
      </c>
      <c r="J262" s="9">
        <f t="shared" si="27"/>
        <v>1161.0749863912899</v>
      </c>
      <c r="K262" s="9">
        <f t="shared" si="31"/>
        <v>275.30411372226001</v>
      </c>
      <c r="L262" s="10">
        <f t="shared" si="30"/>
        <v>0.23711139844457962</v>
      </c>
      <c r="M262" s="10">
        <f t="shared" si="28"/>
        <v>0.34505722309205789</v>
      </c>
      <c r="P262" s="8">
        <f t="shared" si="29"/>
        <v>-7.3483415347147822</v>
      </c>
    </row>
    <row r="263" spans="1:16" x14ac:dyDescent="0.2">
      <c r="A263" s="8">
        <v>130.5</v>
      </c>
      <c r="B263" s="8">
        <v>261</v>
      </c>
      <c r="D263">
        <v>1260.3300058719999</v>
      </c>
      <c r="E263">
        <v>392.79095713446998</v>
      </c>
      <c r="F263">
        <v>122.70796460177</v>
      </c>
      <c r="G263">
        <v>109.96224188791</v>
      </c>
      <c r="I263" s="9">
        <f t="shared" si="26"/>
        <v>282.82871524655997</v>
      </c>
      <c r="J263" s="9">
        <f t="shared" si="27"/>
        <v>1137.6220412702298</v>
      </c>
      <c r="K263" s="9">
        <f t="shared" si="31"/>
        <v>282.82871524655997</v>
      </c>
      <c r="L263" s="10">
        <f t="shared" si="30"/>
        <v>0.24861395523838753</v>
      </c>
      <c r="M263" s="10">
        <f t="shared" si="28"/>
        <v>0.35697495613450997</v>
      </c>
      <c r="P263" s="8">
        <f t="shared" si="29"/>
        <v>-4.1482991717843714</v>
      </c>
    </row>
    <row r="264" spans="1:16" x14ac:dyDescent="0.2">
      <c r="A264" s="8">
        <v>131</v>
      </c>
      <c r="B264" s="8">
        <v>262</v>
      </c>
      <c r="D264">
        <v>1280.0340575455</v>
      </c>
      <c r="E264">
        <v>397.75689958895998</v>
      </c>
      <c r="F264">
        <v>122.81533923304001</v>
      </c>
      <c r="G264">
        <v>110.04955752212</v>
      </c>
      <c r="I264" s="9">
        <f t="shared" si="26"/>
        <v>287.70734206684</v>
      </c>
      <c r="J264" s="9">
        <f t="shared" si="27"/>
        <v>1157.2187183124599</v>
      </c>
      <c r="K264" s="9">
        <f t="shared" si="31"/>
        <v>287.70734206684</v>
      </c>
      <c r="L264" s="10">
        <f t="shared" si="30"/>
        <v>0.24861967535955146</v>
      </c>
      <c r="M264" s="10">
        <f t="shared" si="28"/>
        <v>0.35739585250431805</v>
      </c>
      <c r="P264" s="8">
        <f t="shared" si="29"/>
        <v>-4.0352838685390529</v>
      </c>
    </row>
    <row r="265" spans="1:16" x14ac:dyDescent="0.2">
      <c r="A265" s="8">
        <v>131.5</v>
      </c>
      <c r="B265" s="8">
        <v>263</v>
      </c>
      <c r="D265">
        <v>1298.5455079272001</v>
      </c>
      <c r="E265">
        <v>396.36523781561999</v>
      </c>
      <c r="F265">
        <v>122.86194690265999</v>
      </c>
      <c r="G265">
        <v>110.001179941</v>
      </c>
      <c r="I265" s="9">
        <f t="shared" si="26"/>
        <v>286.36405787462002</v>
      </c>
      <c r="J265" s="9">
        <f t="shared" si="27"/>
        <v>1175.68356102454</v>
      </c>
      <c r="K265" s="9">
        <f t="shared" si="31"/>
        <v>286.36405787462002</v>
      </c>
      <c r="L265" s="10">
        <f t="shared" si="30"/>
        <v>0.24357239257906299</v>
      </c>
      <c r="M265" s="10">
        <f t="shared" si="28"/>
        <v>0.35276374597247373</v>
      </c>
      <c r="P265" s="8">
        <f t="shared" si="29"/>
        <v>-5.2790554045105154</v>
      </c>
    </row>
    <row r="266" spans="1:16" x14ac:dyDescent="0.2">
      <c r="A266" s="8">
        <v>132</v>
      </c>
      <c r="B266" s="8">
        <v>264</v>
      </c>
      <c r="D266">
        <v>1307.0193434936</v>
      </c>
      <c r="E266">
        <v>399.01817116061</v>
      </c>
      <c r="F266">
        <v>122.55457227139</v>
      </c>
      <c r="G266">
        <v>110.16814159291999</v>
      </c>
      <c r="I266" s="9">
        <f t="shared" si="26"/>
        <v>288.85002956769</v>
      </c>
      <c r="J266" s="9">
        <f t="shared" si="27"/>
        <v>1184.4647712222099</v>
      </c>
      <c r="K266" s="9">
        <f t="shared" si="31"/>
        <v>288.85002956769</v>
      </c>
      <c r="L266" s="10">
        <f t="shared" si="30"/>
        <v>0.24386544588374312</v>
      </c>
      <c r="M266" s="10">
        <f t="shared" si="28"/>
        <v>0.35347197552579801</v>
      </c>
      <c r="P266" s="8">
        <f t="shared" si="29"/>
        <v>-5.0888879821287603</v>
      </c>
    </row>
    <row r="267" spans="1:16" x14ac:dyDescent="0.2">
      <c r="A267" s="8">
        <v>132.5</v>
      </c>
      <c r="B267" s="8">
        <v>265</v>
      </c>
      <c r="D267">
        <v>1306.0855803048</v>
      </c>
      <c r="E267">
        <v>401.30773739742</v>
      </c>
      <c r="F267">
        <v>122.86666666667</v>
      </c>
      <c r="G267">
        <v>110.16932153392</v>
      </c>
      <c r="I267" s="9">
        <f t="shared" si="26"/>
        <v>291.13841586349997</v>
      </c>
      <c r="J267" s="9">
        <f t="shared" si="27"/>
        <v>1183.2189136381301</v>
      </c>
      <c r="K267" s="9">
        <f t="shared" si="31"/>
        <v>291.13841586349997</v>
      </c>
      <c r="L267" s="10">
        <f t="shared" si="30"/>
        <v>0.2460562559537823</v>
      </c>
      <c r="M267" s="10">
        <f t="shared" si="28"/>
        <v>0.35607796184448132</v>
      </c>
      <c r="P267" s="8">
        <f t="shared" si="29"/>
        <v>-4.3891520015275507</v>
      </c>
    </row>
    <row r="268" spans="1:16" x14ac:dyDescent="0.2">
      <c r="A268" s="8">
        <v>133</v>
      </c>
      <c r="B268" s="8">
        <v>266</v>
      </c>
      <c r="D268">
        <v>1304.713950762</v>
      </c>
      <c r="E268">
        <v>401.91676436108003</v>
      </c>
      <c r="F268">
        <v>122.60353982301</v>
      </c>
      <c r="G268">
        <v>110.15103244837999</v>
      </c>
      <c r="I268" s="9">
        <f t="shared" si="26"/>
        <v>291.76573191270006</v>
      </c>
      <c r="J268" s="9">
        <f t="shared" si="27"/>
        <v>1182.1104109389901</v>
      </c>
      <c r="K268" s="9">
        <f t="shared" si="31"/>
        <v>291.76573191270006</v>
      </c>
      <c r="L268" s="10">
        <f t="shared" si="30"/>
        <v>0.24681766543358732</v>
      </c>
      <c r="M268" s="10">
        <f t="shared" si="28"/>
        <v>0.35725454757293051</v>
      </c>
      <c r="P268" s="8">
        <f t="shared" si="29"/>
        <v>-4.0732257963302159</v>
      </c>
    </row>
    <row r="269" spans="1:16" x14ac:dyDescent="0.2">
      <c r="A269" s="8">
        <v>133.5</v>
      </c>
      <c r="B269" s="8">
        <v>267</v>
      </c>
      <c r="D269">
        <v>1321.3810082063001</v>
      </c>
      <c r="E269">
        <v>405.73388042203999</v>
      </c>
      <c r="F269">
        <v>122.75575221238999</v>
      </c>
      <c r="G269">
        <v>110.21946902655</v>
      </c>
      <c r="I269" s="9">
        <f t="shared" si="26"/>
        <v>295.51441139549001</v>
      </c>
      <c r="J269" s="9">
        <f t="shared" si="27"/>
        <v>1198.6252559939101</v>
      </c>
      <c r="K269" s="9">
        <f t="shared" si="31"/>
        <v>295.51441139549001</v>
      </c>
      <c r="L269" s="10">
        <f t="shared" si="30"/>
        <v>0.2465444557568971</v>
      </c>
      <c r="M269" s="10">
        <f t="shared" si="28"/>
        <v>0.35739651414488438</v>
      </c>
      <c r="P269" s="8">
        <f t="shared" si="29"/>
        <v>-4.0351062107719455</v>
      </c>
    </row>
    <row r="270" spans="1:16" x14ac:dyDescent="0.2">
      <c r="A270" s="8">
        <v>134</v>
      </c>
      <c r="B270" s="8">
        <v>268</v>
      </c>
      <c r="D270">
        <v>1330.2438452521001</v>
      </c>
      <c r="E270">
        <v>398.11488862837001</v>
      </c>
      <c r="F270">
        <v>122.51091445428</v>
      </c>
      <c r="G270">
        <v>110.29144542773</v>
      </c>
      <c r="I270" s="9">
        <f t="shared" si="26"/>
        <v>287.82344320063999</v>
      </c>
      <c r="J270" s="9">
        <f t="shared" si="27"/>
        <v>1207.73293079782</v>
      </c>
      <c r="K270" s="9">
        <f t="shared" si="31"/>
        <v>287.82344320063999</v>
      </c>
      <c r="L270" s="10">
        <f t="shared" si="30"/>
        <v>0.23831712778627789</v>
      </c>
      <c r="M270" s="10">
        <f t="shared" si="28"/>
        <v>0.34958436242290936</v>
      </c>
      <c r="P270" s="8">
        <f t="shared" si="29"/>
        <v>-6.1327548463732198</v>
      </c>
    </row>
    <row r="271" spans="1:16" x14ac:dyDescent="0.2">
      <c r="A271" s="8">
        <v>134.5</v>
      </c>
      <c r="B271" s="8">
        <v>269</v>
      </c>
      <c r="D271">
        <v>1318.4743290547999</v>
      </c>
      <c r="E271">
        <v>396.15694282380002</v>
      </c>
      <c r="F271">
        <v>122.62182890856</v>
      </c>
      <c r="G271">
        <v>110.16106194690001</v>
      </c>
      <c r="I271" s="9">
        <f t="shared" si="26"/>
        <v>285.9958808769</v>
      </c>
      <c r="J271" s="9">
        <f t="shared" si="27"/>
        <v>1195.8525001462399</v>
      </c>
      <c r="K271" s="9">
        <f t="shared" si="31"/>
        <v>285.9958808769</v>
      </c>
      <c r="L271" s="10">
        <f t="shared" si="30"/>
        <v>0.23915648530393654</v>
      </c>
      <c r="M271" s="10">
        <f t="shared" si="28"/>
        <v>0.35083889618921216</v>
      </c>
      <c r="P271" s="8">
        <f t="shared" si="29"/>
        <v>-5.7958987359371692</v>
      </c>
    </row>
    <row r="272" spans="1:16" x14ac:dyDescent="0.2">
      <c r="A272" s="8">
        <v>135</v>
      </c>
      <c r="B272" s="8">
        <v>270</v>
      </c>
      <c r="D272">
        <v>1346.0431738622999</v>
      </c>
      <c r="E272">
        <v>402.60735122519998</v>
      </c>
      <c r="F272">
        <v>122.27433628319</v>
      </c>
      <c r="G272">
        <v>109.78938053097001</v>
      </c>
      <c r="I272" s="9">
        <f t="shared" si="26"/>
        <v>292.81797069422998</v>
      </c>
      <c r="J272" s="9">
        <f t="shared" si="27"/>
        <v>1223.7688375791099</v>
      </c>
      <c r="K272" s="9">
        <f t="shared" si="31"/>
        <v>292.81797069422998</v>
      </c>
      <c r="L272" s="10">
        <f t="shared" si="30"/>
        <v>0.23927555736219744</v>
      </c>
      <c r="M272" s="10">
        <f t="shared" si="28"/>
        <v>0.35137314449611717</v>
      </c>
      <c r="P272" s="8">
        <f t="shared" si="29"/>
        <v>-5.6524471912239189</v>
      </c>
    </row>
    <row r="273" spans="1:16" x14ac:dyDescent="0.2">
      <c r="A273" s="8">
        <v>135.5</v>
      </c>
      <c r="B273" s="8">
        <v>271</v>
      </c>
      <c r="D273">
        <v>1350.8191365227999</v>
      </c>
      <c r="E273">
        <v>403.18844807468003</v>
      </c>
      <c r="F273">
        <v>122.81061946903</v>
      </c>
      <c r="G273">
        <v>110.10678466077</v>
      </c>
      <c r="I273" s="9">
        <f t="shared" si="26"/>
        <v>293.08166341391001</v>
      </c>
      <c r="J273" s="9">
        <f t="shared" si="27"/>
        <v>1228.00851705377</v>
      </c>
      <c r="K273" s="9">
        <f t="shared" si="31"/>
        <v>293.08166341391001</v>
      </c>
      <c r="L273" s="10">
        <f t="shared" si="30"/>
        <v>0.23866419437958755</v>
      </c>
      <c r="M273" s="10">
        <f t="shared" si="28"/>
        <v>0.35117695776215146</v>
      </c>
      <c r="P273" s="8">
        <f t="shared" si="29"/>
        <v>-5.7051254864583338</v>
      </c>
    </row>
    <row r="274" spans="1:16" x14ac:dyDescent="0.2">
      <c r="A274" s="8">
        <v>136</v>
      </c>
      <c r="B274" s="8">
        <v>272</v>
      </c>
      <c r="D274">
        <v>1349.4609101517001</v>
      </c>
      <c r="E274">
        <v>403.35122520419998</v>
      </c>
      <c r="F274">
        <v>122.3215339233</v>
      </c>
      <c r="G274">
        <v>110.24306784661</v>
      </c>
      <c r="I274" s="9">
        <f t="shared" si="26"/>
        <v>293.10815735758996</v>
      </c>
      <c r="J274" s="9">
        <f t="shared" si="27"/>
        <v>1227.1393762284001</v>
      </c>
      <c r="K274" s="9">
        <f t="shared" si="31"/>
        <v>293.10815735758996</v>
      </c>
      <c r="L274" s="10">
        <f t="shared" si="30"/>
        <v>0.23885482206467434</v>
      </c>
      <c r="M274" s="10">
        <f t="shared" si="28"/>
        <v>0.35178276169588241</v>
      </c>
      <c r="P274" s="8">
        <f t="shared" si="29"/>
        <v>-5.5424604691548387</v>
      </c>
    </row>
    <row r="275" spans="1:16" x14ac:dyDescent="0.2">
      <c r="A275" s="8">
        <v>136.5</v>
      </c>
      <c r="B275" s="8">
        <v>273</v>
      </c>
      <c r="D275">
        <v>1377.0151691949</v>
      </c>
      <c r="E275">
        <v>409.65985997666002</v>
      </c>
      <c r="F275">
        <v>122.56814159292</v>
      </c>
      <c r="G275">
        <v>110.26961651917</v>
      </c>
      <c r="I275" s="9">
        <f>E275-G275</f>
        <v>299.39024345748999</v>
      </c>
      <c r="J275" s="9">
        <f>D275-F275</f>
        <v>1254.4470276019799</v>
      </c>
      <c r="K275" s="9">
        <f t="shared" si="31"/>
        <v>299.39024345748999</v>
      </c>
      <c r="L275" s="10">
        <f t="shared" si="30"/>
        <v>0.23866312157461839</v>
      </c>
      <c r="M275" s="10">
        <f>L275+ABS($N$2)*A275</f>
        <v>0.35200623745447057</v>
      </c>
      <c r="O275" s="11"/>
      <c r="P275" s="8">
        <f>(M275-$O$2)/$O$2*100</f>
        <v>-5.4824547707537441</v>
      </c>
    </row>
    <row r="276" spans="1:16" x14ac:dyDescent="0.2">
      <c r="A276" s="8">
        <v>137</v>
      </c>
      <c r="B276" s="8">
        <v>274</v>
      </c>
      <c r="D276">
        <v>1398.9025670945</v>
      </c>
      <c r="E276">
        <v>415.18786464410999</v>
      </c>
      <c r="F276">
        <v>122.78407079646</v>
      </c>
      <c r="G276">
        <v>109.88377581121</v>
      </c>
      <c r="I276" s="9">
        <f t="shared" ref="I276:I291" si="32">E276-G276</f>
        <v>305.30408883289999</v>
      </c>
      <c r="J276" s="9">
        <f t="shared" ref="J276:J291" si="33">D276-F276</f>
        <v>1276.1184962980401</v>
      </c>
      <c r="K276" s="9">
        <f t="shared" si="31"/>
        <v>305.30408883289999</v>
      </c>
      <c r="L276" s="10">
        <f t="shared" si="30"/>
        <v>0.23924430977105404</v>
      </c>
      <c r="M276" s="10">
        <f t="shared" ref="M276:M291" si="34">L276+ABS($N$2)*A276</f>
        <v>0.35300260189955035</v>
      </c>
      <c r="P276" s="8">
        <f t="shared" ref="P276:P291" si="35">(M276-$O$2)/$O$2*100</f>
        <v>-5.214919961758147</v>
      </c>
    </row>
    <row r="277" spans="1:16" x14ac:dyDescent="0.2">
      <c r="A277" s="8">
        <v>137.5</v>
      </c>
      <c r="B277" s="8">
        <v>275</v>
      </c>
      <c r="D277">
        <v>1428.8488914819</v>
      </c>
      <c r="E277">
        <v>424.05717619603001</v>
      </c>
      <c r="F277">
        <v>122.77050147493</v>
      </c>
      <c r="G277">
        <v>110.32979351032</v>
      </c>
      <c r="I277" s="9">
        <f t="shared" si="32"/>
        <v>313.72738268571004</v>
      </c>
      <c r="J277" s="9">
        <f t="shared" si="33"/>
        <v>1306.07839000697</v>
      </c>
      <c r="K277" s="9">
        <f t="shared" si="31"/>
        <v>313.72738268571004</v>
      </c>
      <c r="L277" s="10">
        <f t="shared" si="30"/>
        <v>0.24020563014141577</v>
      </c>
      <c r="M277" s="10">
        <f t="shared" si="34"/>
        <v>0.35437909851855626</v>
      </c>
      <c r="N277" s="1"/>
      <c r="P277" s="8">
        <f t="shared" si="35"/>
        <v>-4.8453154843328763</v>
      </c>
    </row>
    <row r="278" spans="1:16" x14ac:dyDescent="0.2">
      <c r="A278" s="8">
        <v>138</v>
      </c>
      <c r="B278" s="8">
        <v>276</v>
      </c>
      <c r="D278">
        <v>1424.5851808635</v>
      </c>
      <c r="E278">
        <v>422.20186697782998</v>
      </c>
      <c r="F278">
        <v>122.74454277286</v>
      </c>
      <c r="G278">
        <v>110.07433628318999</v>
      </c>
      <c r="I278" s="9">
        <f t="shared" si="32"/>
        <v>312.12753069463997</v>
      </c>
      <c r="J278" s="9">
        <f t="shared" si="33"/>
        <v>1301.8406380906399</v>
      </c>
      <c r="K278" s="9">
        <f t="shared" si="31"/>
        <v>312.12753069463997</v>
      </c>
      <c r="L278" s="10">
        <f t="shared" si="30"/>
        <v>0.23975863217208024</v>
      </c>
      <c r="M278" s="10">
        <f t="shared" si="34"/>
        <v>0.35434727679786487</v>
      </c>
      <c r="P278" s="8">
        <f t="shared" si="35"/>
        <v>-4.853859966233169</v>
      </c>
    </row>
    <row r="279" spans="1:16" x14ac:dyDescent="0.2">
      <c r="A279" s="8">
        <v>138.5</v>
      </c>
      <c r="B279" s="8">
        <v>277</v>
      </c>
      <c r="D279">
        <v>1429.1394399067001</v>
      </c>
      <c r="E279">
        <v>419.56067677945998</v>
      </c>
      <c r="F279">
        <v>122.51032448378</v>
      </c>
      <c r="G279">
        <v>109.97404129794</v>
      </c>
      <c r="I279" s="9">
        <f t="shared" si="32"/>
        <v>309.58663548151998</v>
      </c>
      <c r="J279" s="9">
        <f t="shared" si="33"/>
        <v>1306.62911542292</v>
      </c>
      <c r="K279" s="9">
        <f t="shared" si="31"/>
        <v>309.58663548151998</v>
      </c>
      <c r="L279" s="10">
        <f t="shared" si="30"/>
        <v>0.23693535665728319</v>
      </c>
      <c r="M279" s="10">
        <f t="shared" si="34"/>
        <v>0.351939177531712</v>
      </c>
      <c r="P279" s="8">
        <f t="shared" si="35"/>
        <v>-5.5004610973695414</v>
      </c>
    </row>
    <row r="280" spans="1:16" x14ac:dyDescent="0.2">
      <c r="A280" s="8">
        <v>139</v>
      </c>
      <c r="B280" s="8">
        <v>278</v>
      </c>
      <c r="D280">
        <v>1425.9148191365</v>
      </c>
      <c r="E280">
        <v>417.98483080513</v>
      </c>
      <c r="F280">
        <v>122.74690265487</v>
      </c>
      <c r="G280">
        <v>110.05309734513</v>
      </c>
      <c r="I280" s="9">
        <f t="shared" si="32"/>
        <v>307.93173346000003</v>
      </c>
      <c r="J280" s="9">
        <f t="shared" si="33"/>
        <v>1303.1679164816301</v>
      </c>
      <c r="K280" s="9">
        <f t="shared" si="31"/>
        <v>307.93173346000003</v>
      </c>
      <c r="L280" s="10">
        <f t="shared" si="30"/>
        <v>0.23629474725818325</v>
      </c>
      <c r="M280" s="10">
        <f t="shared" si="34"/>
        <v>0.35171374438125619</v>
      </c>
      <c r="P280" s="8">
        <f t="shared" si="35"/>
        <v>-5.5609923770095353</v>
      </c>
    </row>
    <row r="281" spans="1:16" x14ac:dyDescent="0.2">
      <c r="A281" s="8">
        <v>139.5</v>
      </c>
      <c r="B281" s="8">
        <v>279</v>
      </c>
      <c r="D281">
        <v>1424.1767794632001</v>
      </c>
      <c r="E281">
        <v>416.14002333721999</v>
      </c>
      <c r="F281">
        <v>122.44778761062</v>
      </c>
      <c r="G281">
        <v>110.11150442477999</v>
      </c>
      <c r="I281" s="9">
        <f t="shared" si="32"/>
        <v>306.02851891244001</v>
      </c>
      <c r="J281" s="9">
        <f t="shared" si="33"/>
        <v>1301.7289918525801</v>
      </c>
      <c r="K281" s="9">
        <f t="shared" si="31"/>
        <v>306.02851891244001</v>
      </c>
      <c r="L281" s="10">
        <f t="shared" si="30"/>
        <v>0.23509387962306177</v>
      </c>
      <c r="M281" s="10">
        <f t="shared" si="34"/>
        <v>0.35092805299477886</v>
      </c>
      <c r="P281" s="8">
        <f t="shared" si="35"/>
        <v>-5.771959153321859</v>
      </c>
    </row>
    <row r="282" spans="1:16" x14ac:dyDescent="0.2">
      <c r="A282" s="8">
        <v>140</v>
      </c>
      <c r="B282" s="8">
        <v>280</v>
      </c>
      <c r="D282">
        <v>1421.805134189</v>
      </c>
      <c r="E282">
        <v>413.67794632439001</v>
      </c>
      <c r="F282">
        <v>122.32330383481001</v>
      </c>
      <c r="G282">
        <v>109.87492625369001</v>
      </c>
      <c r="I282" s="9">
        <f t="shared" si="32"/>
        <v>303.80302007069997</v>
      </c>
      <c r="J282" s="9">
        <f t="shared" si="33"/>
        <v>1299.4818303541899</v>
      </c>
      <c r="K282" s="9">
        <f t="shared" si="31"/>
        <v>303.80302007069997</v>
      </c>
      <c r="L282" s="10">
        <f t="shared" si="30"/>
        <v>0.23378781678532179</v>
      </c>
      <c r="M282" s="10">
        <f t="shared" si="34"/>
        <v>0.350037166405683</v>
      </c>
      <c r="P282" s="8">
        <f t="shared" si="35"/>
        <v>-6.0111719982075646</v>
      </c>
    </row>
    <row r="283" spans="1:16" x14ac:dyDescent="0.2">
      <c r="A283" s="8">
        <v>140.5</v>
      </c>
      <c r="B283" s="8">
        <v>281</v>
      </c>
      <c r="D283">
        <v>1373.9556592766</v>
      </c>
      <c r="E283">
        <v>418.80571761959999</v>
      </c>
      <c r="F283">
        <v>122.63716814159</v>
      </c>
      <c r="G283">
        <v>109.77404129794</v>
      </c>
      <c r="I283" s="9">
        <f t="shared" si="32"/>
        <v>309.03167632165997</v>
      </c>
      <c r="J283" s="9">
        <f t="shared" si="33"/>
        <v>1251.3184911350099</v>
      </c>
      <c r="K283" s="9">
        <f t="shared" si="31"/>
        <v>309.03167632165997</v>
      </c>
      <c r="L283" s="10">
        <f t="shared" si="30"/>
        <v>0.24696484429104251</v>
      </c>
      <c r="M283" s="10">
        <f t="shared" si="34"/>
        <v>0.36362937016004787</v>
      </c>
      <c r="P283" s="8">
        <f t="shared" si="35"/>
        <v>-2.3615158375422882</v>
      </c>
    </row>
    <row r="284" spans="1:16" x14ac:dyDescent="0.2">
      <c r="A284" s="8">
        <v>141</v>
      </c>
      <c r="B284" s="8">
        <v>282</v>
      </c>
      <c r="D284">
        <v>1403.0618436406</v>
      </c>
      <c r="E284">
        <v>437.17386231039001</v>
      </c>
      <c r="F284">
        <v>122.47079646018</v>
      </c>
      <c r="G284">
        <v>109.91622418879</v>
      </c>
      <c r="I284" s="9">
        <f t="shared" si="32"/>
        <v>327.2576381216</v>
      </c>
      <c r="J284" s="9">
        <f t="shared" si="33"/>
        <v>1280.59104718042</v>
      </c>
      <c r="K284" s="9">
        <f t="shared" si="31"/>
        <v>327.2576381216</v>
      </c>
      <c r="L284" s="10">
        <f t="shared" si="30"/>
        <v>0.25555202720036924</v>
      </c>
      <c r="M284" s="10">
        <f t="shared" si="34"/>
        <v>0.37263172931801875</v>
      </c>
      <c r="P284" s="8">
        <f t="shared" si="35"/>
        <v>5.571658150962281E-2</v>
      </c>
    </row>
    <row r="285" spans="1:16" x14ac:dyDescent="0.2">
      <c r="A285" s="8">
        <v>141.5</v>
      </c>
      <c r="B285" s="8">
        <v>283</v>
      </c>
      <c r="D285">
        <v>1411.3232205367999</v>
      </c>
      <c r="E285">
        <v>432.28588098016002</v>
      </c>
      <c r="F285">
        <v>122.44660766961999</v>
      </c>
      <c r="G285">
        <v>109.95398230089</v>
      </c>
      <c r="I285" s="9">
        <f t="shared" si="32"/>
        <v>322.33189867927001</v>
      </c>
      <c r="J285" s="9">
        <f t="shared" si="33"/>
        <v>1288.87661286718</v>
      </c>
      <c r="K285" s="9">
        <f t="shared" si="31"/>
        <v>322.33189867927001</v>
      </c>
      <c r="L285" s="10">
        <f t="shared" si="30"/>
        <v>0.2500874757609452</v>
      </c>
      <c r="M285" s="10">
        <f t="shared" si="34"/>
        <v>0.36758235412723883</v>
      </c>
      <c r="P285" s="8">
        <f t="shared" si="35"/>
        <v>-1.3000961774495245</v>
      </c>
    </row>
    <row r="286" spans="1:16" x14ac:dyDescent="0.2">
      <c r="A286" s="8">
        <v>142</v>
      </c>
      <c r="B286" s="8">
        <v>284</v>
      </c>
      <c r="D286">
        <v>1371.9684947491</v>
      </c>
      <c r="E286">
        <v>415.63535589265001</v>
      </c>
      <c r="F286">
        <v>122.82241887906</v>
      </c>
      <c r="G286">
        <v>110.10796460176999</v>
      </c>
      <c r="I286" s="9">
        <f t="shared" si="32"/>
        <v>305.52739129088002</v>
      </c>
      <c r="J286" s="9">
        <f t="shared" si="33"/>
        <v>1249.14607587004</v>
      </c>
      <c r="K286" s="9">
        <f t="shared" si="31"/>
        <v>305.52739129088002</v>
      </c>
      <c r="L286" s="10">
        <f t="shared" si="30"/>
        <v>0.24458900139287376</v>
      </c>
      <c r="M286" s="10">
        <f t="shared" si="34"/>
        <v>0.36249905600781157</v>
      </c>
      <c r="P286" s="8">
        <f t="shared" si="35"/>
        <v>-2.6650176157489032</v>
      </c>
    </row>
    <row r="287" spans="1:16" x14ac:dyDescent="0.2">
      <c r="A287" s="8">
        <v>142.5</v>
      </c>
      <c r="B287" s="8">
        <v>285</v>
      </c>
      <c r="D287">
        <v>1380.8418903151</v>
      </c>
      <c r="E287">
        <v>427.90781796966002</v>
      </c>
      <c r="F287">
        <v>122.33687315634</v>
      </c>
      <c r="G287">
        <v>109.98879056046999</v>
      </c>
      <c r="I287" s="9">
        <f t="shared" si="32"/>
        <v>317.91902740918999</v>
      </c>
      <c r="J287" s="9">
        <f t="shared" si="33"/>
        <v>1258.50501715876</v>
      </c>
      <c r="K287" s="9">
        <f t="shared" si="31"/>
        <v>317.91902740918999</v>
      </c>
      <c r="L287" s="10">
        <f t="shared" si="30"/>
        <v>0.25261641636275228</v>
      </c>
      <c r="M287" s="10">
        <f t="shared" si="34"/>
        <v>0.37094164722633427</v>
      </c>
      <c r="P287" s="8">
        <f t="shared" si="35"/>
        <v>-0.39808904334834011</v>
      </c>
    </row>
    <row r="288" spans="1:16" x14ac:dyDescent="0.2">
      <c r="A288" s="8">
        <v>143</v>
      </c>
      <c r="B288" s="8">
        <v>286</v>
      </c>
      <c r="D288">
        <v>1372.0338389732001</v>
      </c>
      <c r="E288">
        <v>425.16686114352001</v>
      </c>
      <c r="F288">
        <v>122.42182890856</v>
      </c>
      <c r="G288">
        <v>110.1179941003</v>
      </c>
      <c r="I288" s="9">
        <f t="shared" si="32"/>
        <v>315.04886704322001</v>
      </c>
      <c r="J288" s="9">
        <f t="shared" si="33"/>
        <v>1249.6120100646401</v>
      </c>
      <c r="K288" s="9">
        <f t="shared" si="31"/>
        <v>315.04886704322001</v>
      </c>
      <c r="L288" s="10">
        <f t="shared" si="30"/>
        <v>0.25211734882967646</v>
      </c>
      <c r="M288" s="10">
        <f t="shared" si="34"/>
        <v>0.37085775594190257</v>
      </c>
      <c r="P288" s="8">
        <f t="shared" si="35"/>
        <v>-0.42061477564204308</v>
      </c>
    </row>
    <row r="289" spans="1:16" x14ac:dyDescent="0.2">
      <c r="A289" s="8">
        <v>143.5</v>
      </c>
      <c r="B289" s="8">
        <v>287</v>
      </c>
      <c r="D289">
        <v>1366.3488914819</v>
      </c>
      <c r="E289">
        <v>418.50933488915001</v>
      </c>
      <c r="F289">
        <v>122.59056047198</v>
      </c>
      <c r="G289">
        <v>110.06076696165</v>
      </c>
      <c r="I289" s="9">
        <f t="shared" si="32"/>
        <v>308.44856792749999</v>
      </c>
      <c r="J289" s="9">
        <f t="shared" si="33"/>
        <v>1243.7583310099199</v>
      </c>
      <c r="K289" s="9">
        <f t="shared" si="31"/>
        <v>308.44856792749999</v>
      </c>
      <c r="L289" s="10">
        <f t="shared" si="30"/>
        <v>0.24799718742550469</v>
      </c>
      <c r="M289" s="10">
        <f t="shared" si="34"/>
        <v>0.36715277078637493</v>
      </c>
      <c r="P289" s="8">
        <f t="shared" si="35"/>
        <v>-1.4154440279406297</v>
      </c>
    </row>
    <row r="290" spans="1:16" x14ac:dyDescent="0.2">
      <c r="A290" s="8">
        <v>144</v>
      </c>
      <c r="B290" s="8">
        <v>288</v>
      </c>
      <c r="D290">
        <v>1371.1960326721</v>
      </c>
      <c r="E290">
        <v>418.75845974329002</v>
      </c>
      <c r="F290">
        <v>122.3197640118</v>
      </c>
      <c r="G290">
        <v>109.83775811209</v>
      </c>
      <c r="I290" s="9">
        <f t="shared" si="32"/>
        <v>308.92070163120002</v>
      </c>
      <c r="J290" s="9">
        <f t="shared" si="33"/>
        <v>1248.8762686603</v>
      </c>
      <c r="K290" s="9">
        <f t="shared" si="31"/>
        <v>308.92070163120002</v>
      </c>
      <c r="L290" s="10">
        <f t="shared" si="30"/>
        <v>0.24735893329335723</v>
      </c>
      <c r="M290" s="10">
        <f t="shared" si="34"/>
        <v>0.36692969290287164</v>
      </c>
      <c r="P290" s="8">
        <f t="shared" si="35"/>
        <v>-1.4753428925066123</v>
      </c>
    </row>
    <row r="291" spans="1:16" x14ac:dyDescent="0.2">
      <c r="A291" s="8">
        <v>144.5</v>
      </c>
      <c r="B291" s="8">
        <v>289</v>
      </c>
      <c r="D291">
        <v>1350.198949825</v>
      </c>
      <c r="E291">
        <v>413.25320886815001</v>
      </c>
      <c r="F291">
        <v>122.31386430678999</v>
      </c>
      <c r="G291">
        <v>110.1185840708</v>
      </c>
      <c r="I291" s="9">
        <f t="shared" si="32"/>
        <v>303.13462479735</v>
      </c>
      <c r="J291" s="9">
        <f t="shared" si="33"/>
        <v>1227.88508551821</v>
      </c>
      <c r="K291" s="9">
        <f t="shared" si="31"/>
        <v>303.13462479735</v>
      </c>
      <c r="L291" s="10">
        <f t="shared" si="30"/>
        <v>0.24687540257027937</v>
      </c>
      <c r="M291" s="10">
        <f t="shared" si="34"/>
        <v>0.36686133842843793</v>
      </c>
      <c r="P291" s="8">
        <f t="shared" si="35"/>
        <v>-1.4936968204813825</v>
      </c>
    </row>
    <row r="292" spans="1:16" x14ac:dyDescent="0.2">
      <c r="A292" s="8">
        <v>145</v>
      </c>
      <c r="B292" s="8">
        <v>290</v>
      </c>
      <c r="D292">
        <v>1285.1808634772999</v>
      </c>
      <c r="E292">
        <v>397.21061843641002</v>
      </c>
      <c r="F292">
        <v>122.48023598819999</v>
      </c>
      <c r="G292">
        <v>109.99705014749</v>
      </c>
      <c r="I292" s="9">
        <f>E292-G292</f>
        <v>287.21356828891999</v>
      </c>
      <c r="J292" s="9">
        <f>D292-F292</f>
        <v>1162.7006274890998</v>
      </c>
      <c r="K292" s="9">
        <f t="shared" si="31"/>
        <v>287.21356828891999</v>
      </c>
      <c r="L292" s="10">
        <f t="shared" si="30"/>
        <v>0.24702280320358094</v>
      </c>
      <c r="M292" s="10">
        <f>L292+ABS($N$2)*A292</f>
        <v>0.36742391531038365</v>
      </c>
      <c r="O292" s="11"/>
      <c r="P292" s="8">
        <f>(M292-$O$2)/$O$2*100</f>
        <v>-1.342638741883811</v>
      </c>
    </row>
    <row r="293" spans="1:16" x14ac:dyDescent="0.2">
      <c r="A293" s="8">
        <v>145.5</v>
      </c>
      <c r="B293" s="8">
        <v>291</v>
      </c>
      <c r="D293">
        <v>1374.6390532544001</v>
      </c>
      <c r="E293">
        <v>414.79112426035999</v>
      </c>
      <c r="F293">
        <v>122.6784660767</v>
      </c>
      <c r="G293">
        <v>110.00648967552</v>
      </c>
      <c r="I293" s="9">
        <f t="shared" ref="I293:I301" si="36">E293-G293</f>
        <v>304.78463458483998</v>
      </c>
      <c r="J293" s="9">
        <f t="shared" ref="J293:J301" si="37">D293-F293</f>
        <v>1251.9605871777001</v>
      </c>
      <c r="K293" s="9">
        <f t="shared" si="31"/>
        <v>304.78463458483998</v>
      </c>
      <c r="L293" s="10">
        <f t="shared" si="30"/>
        <v>0.24344587018663044</v>
      </c>
      <c r="M293" s="10">
        <f t="shared" ref="M293:M301" si="38">L293+ABS($N$2)*A293</f>
        <v>0.36426215854207727</v>
      </c>
      <c r="P293" s="8">
        <f t="shared" ref="P293:P301" si="39">(M293-$O$2)/$O$2*100</f>
        <v>-2.1916051991640648</v>
      </c>
    </row>
    <row r="294" spans="1:16" x14ac:dyDescent="0.2">
      <c r="A294" s="8">
        <v>146</v>
      </c>
      <c r="B294" s="8">
        <v>292</v>
      </c>
      <c r="D294">
        <v>1385.3721893490999</v>
      </c>
      <c r="E294">
        <v>415.92011834319999</v>
      </c>
      <c r="F294">
        <v>122.07256637168</v>
      </c>
      <c r="G294">
        <v>110.21946902655</v>
      </c>
      <c r="I294" s="9">
        <f t="shared" si="36"/>
        <v>305.70064931665001</v>
      </c>
      <c r="J294" s="9">
        <f t="shared" si="37"/>
        <v>1263.2996229774199</v>
      </c>
      <c r="K294" s="9">
        <f t="shared" si="31"/>
        <v>305.70064931665001</v>
      </c>
      <c r="L294" s="10">
        <f t="shared" si="30"/>
        <v>0.24198586285979926</v>
      </c>
      <c r="M294" s="10">
        <f t="shared" si="38"/>
        <v>0.36321732746389024</v>
      </c>
      <c r="N294" s="1"/>
      <c r="P294" s="8">
        <f t="shared" si="39"/>
        <v>-2.4721538320621921</v>
      </c>
    </row>
    <row r="295" spans="1:16" x14ac:dyDescent="0.2">
      <c r="A295" s="8">
        <v>146.5</v>
      </c>
      <c r="B295" s="8">
        <v>293</v>
      </c>
      <c r="D295">
        <v>1387.5562130178</v>
      </c>
      <c r="E295">
        <v>412.79171597633001</v>
      </c>
      <c r="F295">
        <v>122.54808259587</v>
      </c>
      <c r="G295">
        <v>110.01002949853</v>
      </c>
      <c r="I295" s="9">
        <f t="shared" si="36"/>
        <v>302.78168647780001</v>
      </c>
      <c r="J295" s="9">
        <f t="shared" si="37"/>
        <v>1265.00813042193</v>
      </c>
      <c r="K295" s="9">
        <f t="shared" si="31"/>
        <v>302.78168647780001</v>
      </c>
      <c r="L295" s="10">
        <f t="shared" si="30"/>
        <v>0.23935157347708935</v>
      </c>
      <c r="M295" s="10">
        <f t="shared" si="38"/>
        <v>0.36099821432982448</v>
      </c>
      <c r="P295" s="8">
        <f t="shared" si="39"/>
        <v>-3.0680101087425258</v>
      </c>
    </row>
    <row r="296" spans="1:16" x14ac:dyDescent="0.2">
      <c r="A296" s="8">
        <v>147</v>
      </c>
      <c r="B296" s="8">
        <v>294</v>
      </c>
      <c r="D296">
        <v>1414.3023668639</v>
      </c>
      <c r="E296">
        <v>420.01479289941</v>
      </c>
      <c r="F296">
        <v>122.52684365782</v>
      </c>
      <c r="G296">
        <v>109.97404129794</v>
      </c>
      <c r="I296" s="9">
        <f t="shared" si="36"/>
        <v>310.04075160146999</v>
      </c>
      <c r="J296" s="9">
        <f t="shared" si="37"/>
        <v>1291.7755232060799</v>
      </c>
      <c r="K296" s="9">
        <f t="shared" si="31"/>
        <v>310.04075160146999</v>
      </c>
      <c r="L296" s="10">
        <f t="shared" si="30"/>
        <v>0.2400113224254122</v>
      </c>
      <c r="M296" s="10">
        <f t="shared" si="38"/>
        <v>0.36207313952679149</v>
      </c>
      <c r="P296" s="8">
        <f t="shared" si="39"/>
        <v>-2.7793808740531083</v>
      </c>
    </row>
    <row r="297" spans="1:16" x14ac:dyDescent="0.2">
      <c r="A297" s="8">
        <v>147.5</v>
      </c>
      <c r="B297" s="8">
        <v>295</v>
      </c>
      <c r="D297">
        <v>1419.4355029586</v>
      </c>
      <c r="E297">
        <v>418.89467455621002</v>
      </c>
      <c r="F297">
        <v>122.57050147493</v>
      </c>
      <c r="G297">
        <v>110.02890855456999</v>
      </c>
      <c r="I297" s="9">
        <f t="shared" si="36"/>
        <v>308.86576600164005</v>
      </c>
      <c r="J297" s="9">
        <f t="shared" si="37"/>
        <v>1296.8650014836699</v>
      </c>
      <c r="K297" s="9">
        <f t="shared" si="31"/>
        <v>308.86576600164005</v>
      </c>
      <c r="L297" s="10">
        <f t="shared" si="30"/>
        <v>0.23816339067542436</v>
      </c>
      <c r="M297" s="10">
        <f t="shared" si="38"/>
        <v>0.36064038402544779</v>
      </c>
      <c r="P297" s="8">
        <f t="shared" si="39"/>
        <v>-3.1640914799787199</v>
      </c>
    </row>
    <row r="298" spans="1:16" x14ac:dyDescent="0.2">
      <c r="A298" s="8">
        <v>148</v>
      </c>
      <c r="B298" s="8">
        <v>296</v>
      </c>
      <c r="D298">
        <v>1443.4568047337</v>
      </c>
      <c r="E298">
        <v>426.38520710058998</v>
      </c>
      <c r="F298">
        <v>122.47256637168</v>
      </c>
      <c r="G298">
        <v>109.98525073746001</v>
      </c>
      <c r="I298" s="9">
        <f t="shared" si="36"/>
        <v>316.39995636312995</v>
      </c>
      <c r="J298" s="9">
        <f t="shared" si="37"/>
        <v>1320.9842383620201</v>
      </c>
      <c r="K298" s="9">
        <f t="shared" si="31"/>
        <v>316.39995636312995</v>
      </c>
      <c r="L298" s="10">
        <f t="shared" si="30"/>
        <v>0.2395183433493924</v>
      </c>
      <c r="M298" s="10">
        <f t="shared" si="38"/>
        <v>0.36241051294805998</v>
      </c>
      <c r="P298" s="8">
        <f t="shared" si="39"/>
        <v>-2.6887924008644339</v>
      </c>
    </row>
    <row r="299" spans="1:16" x14ac:dyDescent="0.2">
      <c r="A299" s="8">
        <v>148.5</v>
      </c>
      <c r="B299" s="8">
        <v>297</v>
      </c>
      <c r="D299">
        <v>1434.3562130178</v>
      </c>
      <c r="E299">
        <v>419.02248520709998</v>
      </c>
      <c r="F299">
        <v>122.54159292035</v>
      </c>
      <c r="G299">
        <v>110.11504424779</v>
      </c>
      <c r="I299" s="9">
        <f t="shared" si="36"/>
        <v>308.90744095930995</v>
      </c>
      <c r="J299" s="9">
        <f t="shared" si="37"/>
        <v>1311.81462009745</v>
      </c>
      <c r="K299" s="9">
        <f t="shared" si="31"/>
        <v>308.90744095930995</v>
      </c>
      <c r="L299" s="10">
        <f t="shared" si="30"/>
        <v>0.23548101707874114</v>
      </c>
      <c r="M299" s="10">
        <f t="shared" si="38"/>
        <v>0.35878836292605287</v>
      </c>
      <c r="P299" s="8">
        <f t="shared" si="39"/>
        <v>-3.6613795090018395</v>
      </c>
    </row>
    <row r="300" spans="1:16" x14ac:dyDescent="0.2">
      <c r="A300" s="8">
        <v>149</v>
      </c>
      <c r="B300" s="8">
        <v>298</v>
      </c>
      <c r="D300">
        <v>1374.7894428152999</v>
      </c>
      <c r="E300">
        <v>411.92316715543001</v>
      </c>
      <c r="F300">
        <v>122.35693215339001</v>
      </c>
      <c r="G300">
        <v>110.14867256637</v>
      </c>
      <c r="I300" s="9">
        <f t="shared" si="36"/>
        <v>301.77449458906</v>
      </c>
      <c r="J300" s="9">
        <f t="shared" si="37"/>
        <v>1252.4325106619099</v>
      </c>
      <c r="K300" s="9">
        <f t="shared" si="31"/>
        <v>301.77449458906</v>
      </c>
      <c r="L300" s="10">
        <f t="shared" si="30"/>
        <v>0.24095070354694989</v>
      </c>
      <c r="M300" s="10">
        <f t="shared" si="38"/>
        <v>0.36467322564290577</v>
      </c>
      <c r="P300" s="8">
        <f t="shared" si="39"/>
        <v>-2.0812291627171589</v>
      </c>
    </row>
    <row r="301" spans="1:16" x14ac:dyDescent="0.2">
      <c r="A301" s="8">
        <v>149.5</v>
      </c>
      <c r="B301" s="8">
        <v>299</v>
      </c>
      <c r="D301">
        <v>1401.7595307918</v>
      </c>
      <c r="E301">
        <v>425.61466275660001</v>
      </c>
      <c r="F301">
        <v>122.67433628319</v>
      </c>
      <c r="G301">
        <v>109.61297935103001</v>
      </c>
      <c r="I301" s="9">
        <f t="shared" si="36"/>
        <v>316.00168340557002</v>
      </c>
      <c r="J301" s="9">
        <f t="shared" si="37"/>
        <v>1279.0851945086099</v>
      </c>
      <c r="K301" s="9">
        <f t="shared" si="31"/>
        <v>316.00168340557002</v>
      </c>
      <c r="L301" s="10">
        <f t="shared" si="30"/>
        <v>0.24705288182697585</v>
      </c>
      <c r="M301" s="10">
        <f t="shared" si="38"/>
        <v>0.37119058017157586</v>
      </c>
      <c r="P301" s="8">
        <f t="shared" si="39"/>
        <v>-0.331247810417164</v>
      </c>
    </row>
    <row r="302" spans="1:16" x14ac:dyDescent="0.2">
      <c r="A302" s="8">
        <v>150</v>
      </c>
      <c r="B302" s="8">
        <v>300</v>
      </c>
      <c r="D302">
        <v>1390.4357771261</v>
      </c>
      <c r="E302">
        <v>424.41466275660002</v>
      </c>
      <c r="F302">
        <v>122.64601769911999</v>
      </c>
      <c r="G302">
        <v>109.79646017699</v>
      </c>
      <c r="I302" s="9">
        <f>E302-G302</f>
        <v>314.61820257961006</v>
      </c>
      <c r="J302" s="9">
        <f>D302-F302</f>
        <v>1267.78975942698</v>
      </c>
      <c r="K302" s="9">
        <f t="shared" si="31"/>
        <v>314.61820257961006</v>
      </c>
      <c r="L302" s="10">
        <f t="shared" si="30"/>
        <v>0.24816275746052111</v>
      </c>
      <c r="M302" s="10">
        <f>L302+ABS($N$2)*A302</f>
        <v>0.37271563205376529</v>
      </c>
      <c r="O302" s="11"/>
      <c r="P302" s="8">
        <f>(M302-$O$2)/$O$2*100</f>
        <v>7.824538860727312E-2</v>
      </c>
    </row>
    <row r="303" spans="1:16" x14ac:dyDescent="0.2">
      <c r="A303" s="8">
        <v>150.5</v>
      </c>
      <c r="B303" s="8">
        <v>301</v>
      </c>
      <c r="D303">
        <v>1394.981903094</v>
      </c>
      <c r="E303">
        <v>423.87799182719999</v>
      </c>
      <c r="F303">
        <v>122.65073746313</v>
      </c>
      <c r="G303">
        <v>110.0407079646</v>
      </c>
      <c r="I303" s="9">
        <f t="shared" ref="I303:I309" si="40">E303-G303</f>
        <v>313.83728386259997</v>
      </c>
      <c r="J303" s="9">
        <f t="shared" ref="J303:J309" si="41">D303-F303</f>
        <v>1272.3311656308699</v>
      </c>
      <c r="K303" s="9">
        <f t="shared" si="31"/>
        <v>313.83728386259997</v>
      </c>
      <c r="L303" s="10">
        <f t="shared" si="30"/>
        <v>0.24666320557115928</v>
      </c>
      <c r="M303" s="10">
        <f t="shared" ref="M303:M309" si="42">L303+ABS($N$2)*A303</f>
        <v>0.37163125641304762</v>
      </c>
      <c r="P303" s="8">
        <f t="shared" ref="P303:P309" si="43">(M303-$O$2)/$O$2*100</f>
        <v>-0.21292139414123457</v>
      </c>
    </row>
    <row r="304" spans="1:16" x14ac:dyDescent="0.2">
      <c r="A304" s="8">
        <v>151</v>
      </c>
      <c r="B304" s="8">
        <v>302</v>
      </c>
      <c r="D304">
        <v>1383.6941039113001</v>
      </c>
      <c r="E304">
        <v>415.04553415061002</v>
      </c>
      <c r="F304">
        <v>122.10560471976</v>
      </c>
      <c r="G304">
        <v>109.95752212389</v>
      </c>
      <c r="I304" s="9">
        <f t="shared" si="40"/>
        <v>305.08801202672004</v>
      </c>
      <c r="J304" s="9">
        <f t="shared" si="41"/>
        <v>1261.58849919154</v>
      </c>
      <c r="K304" s="9">
        <f t="shared" si="31"/>
        <v>305.08801202672004</v>
      </c>
      <c r="L304" s="10">
        <f t="shared" si="30"/>
        <v>0.24182846643119266</v>
      </c>
      <c r="M304" s="10">
        <f t="shared" si="42"/>
        <v>0.36721169352172511</v>
      </c>
      <c r="N304" s="1"/>
      <c r="P304" s="8">
        <f t="shared" si="43"/>
        <v>-1.3996226256161539</v>
      </c>
    </row>
    <row r="305" spans="1:16" x14ac:dyDescent="0.2">
      <c r="A305" s="8">
        <v>151.5</v>
      </c>
      <c r="B305" s="8">
        <v>303</v>
      </c>
      <c r="D305">
        <v>1387.8762405136999</v>
      </c>
      <c r="E305">
        <v>422.82194979567998</v>
      </c>
      <c r="F305">
        <v>121.96283185841</v>
      </c>
      <c r="G305">
        <v>109.96519174041001</v>
      </c>
      <c r="I305" s="9">
        <f t="shared" si="40"/>
        <v>312.85675805527001</v>
      </c>
      <c r="J305" s="9">
        <f t="shared" si="41"/>
        <v>1265.9134086552899</v>
      </c>
      <c r="K305" s="9">
        <f t="shared" si="31"/>
        <v>312.85675805527001</v>
      </c>
      <c r="L305" s="10">
        <f t="shared" si="30"/>
        <v>0.24713914547093746</v>
      </c>
      <c r="M305" s="10">
        <f t="shared" si="42"/>
        <v>0.37293754881011409</v>
      </c>
      <c r="P305" s="8">
        <f t="shared" si="43"/>
        <v>0.13783247776514301</v>
      </c>
    </row>
    <row r="306" spans="1:16" x14ac:dyDescent="0.2">
      <c r="A306" s="8">
        <v>152</v>
      </c>
      <c r="B306" s="8">
        <v>304</v>
      </c>
      <c r="D306">
        <v>1377.3922942207</v>
      </c>
      <c r="E306">
        <v>417.02451838879</v>
      </c>
      <c r="F306">
        <v>122.1203539823</v>
      </c>
      <c r="G306">
        <v>110.05840707965</v>
      </c>
      <c r="I306" s="9">
        <f t="shared" si="40"/>
        <v>306.96611130913999</v>
      </c>
      <c r="J306" s="9">
        <f t="shared" si="41"/>
        <v>1255.2719402384</v>
      </c>
      <c r="K306" s="9">
        <f t="shared" si="31"/>
        <v>306.96611130913999</v>
      </c>
      <c r="L306" s="10">
        <f t="shared" si="30"/>
        <v>0.24454152241373395</v>
      </c>
      <c r="M306" s="10">
        <f t="shared" si="42"/>
        <v>0.3707551020015547</v>
      </c>
      <c r="P306" s="8">
        <f t="shared" si="43"/>
        <v>-0.44817848735338589</v>
      </c>
    </row>
    <row r="307" spans="1:16" x14ac:dyDescent="0.2">
      <c r="A307" s="8">
        <v>152.5</v>
      </c>
      <c r="B307" s="8">
        <v>305</v>
      </c>
      <c r="D307">
        <v>1376.1885580851999</v>
      </c>
      <c r="E307">
        <v>421.12375948627999</v>
      </c>
      <c r="F307">
        <v>122.51504424779</v>
      </c>
      <c r="G307">
        <v>109.82772861357</v>
      </c>
      <c r="I307" s="9">
        <f t="shared" si="40"/>
        <v>311.29603087270999</v>
      </c>
      <c r="J307" s="9">
        <f t="shared" si="41"/>
        <v>1253.6735138374099</v>
      </c>
      <c r="K307" s="9">
        <f t="shared" si="31"/>
        <v>311.29603087270999</v>
      </c>
      <c r="L307" s="10">
        <f t="shared" si="30"/>
        <v>0.24830709705260812</v>
      </c>
      <c r="M307" s="10">
        <f t="shared" si="42"/>
        <v>0.37493585288907305</v>
      </c>
      <c r="P307" s="8">
        <f t="shared" si="43"/>
        <v>0.6743990952507779</v>
      </c>
    </row>
    <row r="308" spans="1:16" x14ac:dyDescent="0.2">
      <c r="A308" s="8">
        <v>153</v>
      </c>
      <c r="B308" s="8">
        <v>306</v>
      </c>
      <c r="D308">
        <v>1351.0688849971</v>
      </c>
      <c r="E308">
        <v>408.14711033275</v>
      </c>
      <c r="F308">
        <v>122.24837758112</v>
      </c>
      <c r="G308">
        <v>109.76578171091001</v>
      </c>
      <c r="I308" s="9">
        <f t="shared" si="40"/>
        <v>298.38132862184</v>
      </c>
      <c r="J308" s="9">
        <f t="shared" si="41"/>
        <v>1228.82050741598</v>
      </c>
      <c r="K308" s="9">
        <f t="shared" si="31"/>
        <v>298.38132862184</v>
      </c>
      <c r="L308" s="10">
        <f t="shared" si="30"/>
        <v>0.24281929445439504</v>
      </c>
      <c r="M308" s="10">
        <f t="shared" si="42"/>
        <v>0.3698632265395041</v>
      </c>
      <c r="P308" s="8">
        <f t="shared" si="43"/>
        <v>-0.68765685550055944</v>
      </c>
    </row>
    <row r="309" spans="1:16" x14ac:dyDescent="0.2">
      <c r="A309" s="8">
        <v>153.5</v>
      </c>
      <c r="B309" s="8">
        <v>307</v>
      </c>
      <c r="D309">
        <v>1348.7945125511001</v>
      </c>
      <c r="E309">
        <v>409.43899591360002</v>
      </c>
      <c r="F309">
        <v>122.39292035398</v>
      </c>
      <c r="G309">
        <v>110.04896755162</v>
      </c>
      <c r="I309" s="9">
        <f t="shared" si="40"/>
        <v>299.39002836198006</v>
      </c>
      <c r="J309" s="9">
        <f t="shared" si="41"/>
        <v>1226.40159219712</v>
      </c>
      <c r="K309" s="9">
        <f t="shared" si="31"/>
        <v>299.39002836198006</v>
      </c>
      <c r="L309" s="10">
        <f t="shared" si="30"/>
        <v>0.24412071075806219</v>
      </c>
      <c r="M309" s="10">
        <f t="shared" si="42"/>
        <v>0.37157981909181537</v>
      </c>
      <c r="P309" s="8">
        <f t="shared" si="43"/>
        <v>-0.22673288046942594</v>
      </c>
    </row>
    <row r="310" spans="1:16" x14ac:dyDescent="0.2">
      <c r="A310" s="8">
        <v>154</v>
      </c>
      <c r="B310" s="8">
        <v>308</v>
      </c>
      <c r="D310">
        <v>1374.5125510800001</v>
      </c>
      <c r="E310">
        <v>419.75306479860001</v>
      </c>
      <c r="F310">
        <v>121.97876106195</v>
      </c>
      <c r="G310">
        <v>109.60766961652</v>
      </c>
      <c r="I310" s="9">
        <f>E310-G310</f>
        <v>310.14539518207999</v>
      </c>
      <c r="J310" s="9">
        <f>D310-F310</f>
        <v>1252.53379001805</v>
      </c>
      <c r="K310" s="9">
        <f t="shared" si="31"/>
        <v>310.14539518207999</v>
      </c>
      <c r="L310" s="10">
        <f t="shared" si="30"/>
        <v>0.24761439384210987</v>
      </c>
      <c r="M310" s="10">
        <f>L310+ABS($N$2)*A310</f>
        <v>0.37548867842450723</v>
      </c>
      <c r="O310" s="11"/>
      <c r="P310" s="8">
        <f>(M310-$O$2)/$O$2*100</f>
        <v>0.82283883008939818</v>
      </c>
    </row>
    <row r="311" spans="1:16" x14ac:dyDescent="0.2">
      <c r="A311" s="8">
        <v>154.5</v>
      </c>
      <c r="B311" s="8">
        <v>309</v>
      </c>
      <c r="D311">
        <v>1311.9237089201999</v>
      </c>
      <c r="E311">
        <v>409.1044600939</v>
      </c>
      <c r="F311">
        <v>122.56696165192</v>
      </c>
      <c r="G311">
        <v>109.89262536872999</v>
      </c>
      <c r="I311" s="9">
        <f t="shared" ref="I311:I319" si="44">E311-G311</f>
        <v>299.21183472516998</v>
      </c>
      <c r="J311" s="9">
        <f t="shared" ref="J311:J319" si="45">D311-F311</f>
        <v>1189.3567472682798</v>
      </c>
      <c r="K311" s="9">
        <f t="shared" si="31"/>
        <v>299.21183472516998</v>
      </c>
      <c r="L311" s="10">
        <f t="shared" si="30"/>
        <v>0.25157450480051602</v>
      </c>
      <c r="M311" s="10">
        <f t="shared" ref="M311:M319" si="46">L311+ABS($N$2)*A311</f>
        <v>0.3798639656315575</v>
      </c>
      <c r="P311" s="8">
        <f t="shared" ref="P311:P319" si="47">(M311-$O$2)/$O$2*100</f>
        <v>1.9976515535054289</v>
      </c>
    </row>
    <row r="312" spans="1:16" x14ac:dyDescent="0.2">
      <c r="A312" s="8">
        <v>155</v>
      </c>
      <c r="B312" s="8">
        <v>310</v>
      </c>
      <c r="D312">
        <v>1386.2878163626001</v>
      </c>
      <c r="E312">
        <v>422.82636845203001</v>
      </c>
      <c r="F312">
        <v>122.02477876106001</v>
      </c>
      <c r="G312">
        <v>109.78407079646</v>
      </c>
      <c r="I312" s="9">
        <f t="shared" si="44"/>
        <v>313.04229765557</v>
      </c>
      <c r="J312" s="9">
        <f t="shared" si="45"/>
        <v>1264.2630376015402</v>
      </c>
      <c r="K312" s="9">
        <f t="shared" si="31"/>
        <v>313.04229765557</v>
      </c>
      <c r="L312" s="10">
        <f t="shared" si="30"/>
        <v>0.2476085184373096</v>
      </c>
      <c r="M312" s="10">
        <f t="shared" si="46"/>
        <v>0.37631315551699523</v>
      </c>
      <c r="N312" s="1"/>
      <c r="P312" s="8">
        <f t="shared" si="47"/>
        <v>1.0442199949325128</v>
      </c>
    </row>
    <row r="313" spans="1:16" x14ac:dyDescent="0.2">
      <c r="A313" s="8">
        <v>155.5</v>
      </c>
      <c r="B313" s="8">
        <v>311</v>
      </c>
      <c r="D313">
        <v>1316.8050351288</v>
      </c>
      <c r="E313">
        <v>405.71604215457</v>
      </c>
      <c r="F313">
        <v>122.31150442478</v>
      </c>
      <c r="G313">
        <v>109.90206489676</v>
      </c>
      <c r="I313" s="9">
        <f t="shared" si="44"/>
        <v>295.81397725781</v>
      </c>
      <c r="J313" s="9">
        <f t="shared" si="45"/>
        <v>1194.49353070402</v>
      </c>
      <c r="K313" s="9">
        <f t="shared" si="31"/>
        <v>295.81397725781</v>
      </c>
      <c r="L313" s="10">
        <f t="shared" si="30"/>
        <v>0.24764803630494409</v>
      </c>
      <c r="M313" s="10">
        <f t="shared" si="46"/>
        <v>0.37676784963327387</v>
      </c>
      <c r="P313" s="8">
        <f t="shared" si="47"/>
        <v>1.1663103647271571</v>
      </c>
    </row>
    <row r="314" spans="1:16" x14ac:dyDescent="0.2">
      <c r="A314" s="8">
        <v>156</v>
      </c>
      <c r="B314" s="8">
        <v>312</v>
      </c>
      <c r="D314">
        <v>1330.3313817329999</v>
      </c>
      <c r="E314">
        <v>404.52985948477999</v>
      </c>
      <c r="F314">
        <v>122.31268436578</v>
      </c>
      <c r="G314">
        <v>109.60825958702</v>
      </c>
      <c r="I314" s="9">
        <f t="shared" si="44"/>
        <v>294.92159989775996</v>
      </c>
      <c r="J314" s="9">
        <f t="shared" si="45"/>
        <v>1208.0186973672198</v>
      </c>
      <c r="K314" s="9">
        <f t="shared" si="31"/>
        <v>294.92159989775996</v>
      </c>
      <c r="L314" s="10">
        <f t="shared" si="30"/>
        <v>0.24413661853125121</v>
      </c>
      <c r="M314" s="10">
        <f t="shared" si="46"/>
        <v>0.37367160810822514</v>
      </c>
      <c r="P314" s="8">
        <f t="shared" si="47"/>
        <v>0.33493547063223228</v>
      </c>
    </row>
    <row r="315" spans="1:16" x14ac:dyDescent="0.2">
      <c r="A315" s="8">
        <v>156.5</v>
      </c>
      <c r="B315" s="8">
        <v>313</v>
      </c>
      <c r="D315">
        <v>1321.9168618266999</v>
      </c>
      <c r="E315">
        <v>399.14929742389</v>
      </c>
      <c r="F315">
        <v>122.17935103245</v>
      </c>
      <c r="G315">
        <v>109.91504424778999</v>
      </c>
      <c r="I315" s="9">
        <f t="shared" si="44"/>
        <v>289.23425317610003</v>
      </c>
      <c r="J315" s="9">
        <f t="shared" si="45"/>
        <v>1199.7375107942498</v>
      </c>
      <c r="K315" s="9">
        <f t="shared" si="31"/>
        <v>289.23425317610003</v>
      </c>
      <c r="L315" s="10">
        <f t="shared" si="30"/>
        <v>0.24108127867455045</v>
      </c>
      <c r="M315" s="10">
        <f t="shared" si="46"/>
        <v>0.37103144450016856</v>
      </c>
      <c r="P315" s="8">
        <f t="shared" si="47"/>
        <v>-0.37397748796093477</v>
      </c>
    </row>
    <row r="316" spans="1:16" x14ac:dyDescent="0.2">
      <c r="A316" s="8">
        <v>157</v>
      </c>
      <c r="B316" s="8">
        <v>314</v>
      </c>
      <c r="D316">
        <v>1297.2341920375</v>
      </c>
      <c r="E316">
        <v>390.28044496487001</v>
      </c>
      <c r="F316">
        <v>122.27138643068</v>
      </c>
      <c r="G316">
        <v>109.6784660767</v>
      </c>
      <c r="I316" s="9">
        <f t="shared" si="44"/>
        <v>280.60197888817004</v>
      </c>
      <c r="J316" s="9">
        <f t="shared" si="45"/>
        <v>1174.96280560682</v>
      </c>
      <c r="K316" s="9">
        <f t="shared" si="31"/>
        <v>280.60197888817004</v>
      </c>
      <c r="L316" s="10">
        <f t="shared" si="30"/>
        <v>0.23881775452734494</v>
      </c>
      <c r="M316" s="10">
        <f t="shared" si="46"/>
        <v>0.3691830966016072</v>
      </c>
      <c r="P316" s="8">
        <f t="shared" si="47"/>
        <v>-0.87027922217168818</v>
      </c>
    </row>
    <row r="317" spans="1:16" x14ac:dyDescent="0.2">
      <c r="A317" s="8">
        <v>157.5</v>
      </c>
      <c r="B317" s="8">
        <v>315</v>
      </c>
      <c r="D317">
        <v>1321.5064402810001</v>
      </c>
      <c r="E317">
        <v>395.30210772833999</v>
      </c>
      <c r="F317">
        <v>122.30206489676</v>
      </c>
      <c r="G317">
        <v>109.83657817109</v>
      </c>
      <c r="I317" s="9">
        <f t="shared" si="44"/>
        <v>285.46552955724997</v>
      </c>
      <c r="J317" s="9">
        <f t="shared" si="45"/>
        <v>1199.2043753842402</v>
      </c>
      <c r="K317" s="9">
        <f t="shared" si="31"/>
        <v>285.46552955724997</v>
      </c>
      <c r="L317" s="10">
        <f t="shared" si="30"/>
        <v>0.23804577052663206</v>
      </c>
      <c r="M317" s="10">
        <f t="shared" si="46"/>
        <v>0.36882628884953844</v>
      </c>
      <c r="P317" s="8">
        <f t="shared" si="47"/>
        <v>-0.96608602686976197</v>
      </c>
    </row>
    <row r="318" spans="1:16" x14ac:dyDescent="0.2">
      <c r="A318" s="8">
        <v>158</v>
      </c>
      <c r="B318" s="8">
        <v>316</v>
      </c>
      <c r="D318">
        <v>1310.8583138173001</v>
      </c>
      <c r="E318">
        <v>391.19203747072999</v>
      </c>
      <c r="F318">
        <v>122.16165191739999</v>
      </c>
      <c r="G318">
        <v>109.84247787611</v>
      </c>
      <c r="I318" s="9">
        <f t="shared" si="44"/>
        <v>281.34955959462002</v>
      </c>
      <c r="J318" s="9">
        <f t="shared" si="45"/>
        <v>1188.6966618999002</v>
      </c>
      <c r="K318" s="9">
        <f t="shared" si="31"/>
        <v>281.34955959462002</v>
      </c>
      <c r="L318" s="10">
        <f t="shared" si="30"/>
        <v>0.23668743137962339</v>
      </c>
      <c r="M318" s="10">
        <f t="shared" si="46"/>
        <v>0.36788312595117389</v>
      </c>
      <c r="P318" s="8">
        <f t="shared" si="47"/>
        <v>-1.2193356355965059</v>
      </c>
    </row>
    <row r="319" spans="1:16" x14ac:dyDescent="0.2">
      <c r="A319" s="8">
        <v>158.5</v>
      </c>
      <c r="B319" s="8">
        <v>317</v>
      </c>
      <c r="D319">
        <v>1285.5040983607</v>
      </c>
      <c r="E319">
        <v>388.98829039813</v>
      </c>
      <c r="F319">
        <v>122.12389380531</v>
      </c>
      <c r="G319">
        <v>109.95103244838</v>
      </c>
      <c r="I319" s="9">
        <f t="shared" si="44"/>
        <v>279.03725794975003</v>
      </c>
      <c r="J319" s="9">
        <f t="shared" si="45"/>
        <v>1163.38020455539</v>
      </c>
      <c r="K319" s="9">
        <f t="shared" si="31"/>
        <v>279.03725794975003</v>
      </c>
      <c r="L319" s="10">
        <f t="shared" si="30"/>
        <v>0.23985044343812773</v>
      </c>
      <c r="M319" s="10">
        <f t="shared" si="46"/>
        <v>0.37146131425832241</v>
      </c>
      <c r="P319" s="8">
        <f t="shared" si="47"/>
        <v>-0.25855273127818879</v>
      </c>
    </row>
    <row r="320" spans="1:16" x14ac:dyDescent="0.2">
      <c r="A320" s="8">
        <v>159</v>
      </c>
      <c r="B320" s="8">
        <v>318</v>
      </c>
      <c r="D320">
        <v>1300.5035128806001</v>
      </c>
      <c r="E320">
        <v>389.40281030444999</v>
      </c>
      <c r="F320">
        <v>121.998820059</v>
      </c>
      <c r="G320">
        <v>109.95811209439999</v>
      </c>
      <c r="I320" s="9">
        <f>E320-G320</f>
        <v>279.44469821004998</v>
      </c>
      <c r="J320" s="9">
        <f>D320-F320</f>
        <v>1178.5046928216</v>
      </c>
      <c r="K320" s="9">
        <f t="shared" si="31"/>
        <v>279.44469821004998</v>
      </c>
      <c r="L320" s="10">
        <f t="shared" si="30"/>
        <v>0.23711801905599356</v>
      </c>
      <c r="M320" s="10">
        <f>L320+ABS($N$2)*A320</f>
        <v>0.36914406612483236</v>
      </c>
      <c r="O320" s="11"/>
      <c r="P320" s="8">
        <f>(M320-$O$2)/$O$2*100</f>
        <v>-0.88075933434402409</v>
      </c>
    </row>
    <row r="321" spans="1:16" x14ac:dyDescent="0.2">
      <c r="A321" s="8">
        <v>159.5</v>
      </c>
      <c r="B321" s="8">
        <v>319</v>
      </c>
      <c r="D321">
        <v>1291.868852459</v>
      </c>
      <c r="E321">
        <v>385.27985948477999</v>
      </c>
      <c r="F321">
        <v>122.25427728614</v>
      </c>
      <c r="G321">
        <v>110.05073746313001</v>
      </c>
      <c r="I321" s="9">
        <f t="shared" ref="I321:I322" si="48">E321-G321</f>
        <v>275.22912202164997</v>
      </c>
      <c r="J321" s="9">
        <f t="shared" ref="J321:J322" si="49">D321-F321</f>
        <v>1169.61457517286</v>
      </c>
      <c r="K321" s="9">
        <f t="shared" si="31"/>
        <v>275.22912202164997</v>
      </c>
      <c r="L321" s="10">
        <f t="shared" si="30"/>
        <v>0.2353160843442578</v>
      </c>
      <c r="M321" s="10">
        <f t="shared" ref="M321:M322" si="50">L321+ABS($N$2)*A321</f>
        <v>0.36775730766174075</v>
      </c>
      <c r="P321" s="8">
        <f t="shared" ref="P321:P322" si="51">(M321-$O$2)/$O$2*100</f>
        <v>-1.2531192297400664</v>
      </c>
    </row>
    <row r="322" spans="1:16" x14ac:dyDescent="0.2">
      <c r="A322" s="8">
        <v>160</v>
      </c>
      <c r="D322">
        <v>1295.0631948508001</v>
      </c>
      <c r="E322">
        <v>381.78876535986001</v>
      </c>
      <c r="F322">
        <v>122.04719764012</v>
      </c>
      <c r="G322">
        <v>109.9215339233</v>
      </c>
      <c r="I322" s="9">
        <f t="shared" si="48"/>
        <v>271.86723143656002</v>
      </c>
      <c r="J322" s="9">
        <f t="shared" si="49"/>
        <v>1173.0159972106801</v>
      </c>
      <c r="K322" s="9">
        <f t="shared" si="31"/>
        <v>271.86723143656002</v>
      </c>
      <c r="L322" s="10">
        <f t="shared" ref="L322" si="52">K322/J322</f>
        <v>0.23176770997414725</v>
      </c>
      <c r="M322" s="10">
        <f t="shared" si="50"/>
        <v>0.36462410954027435</v>
      </c>
      <c r="P322" s="8">
        <f t="shared" si="51"/>
        <v>-2.094417376328146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240821B001</vt:lpstr>
      <vt:lpstr>240821B002</vt:lpstr>
      <vt:lpstr>240821B003</vt:lpstr>
      <vt:lpstr>240821B004</vt:lpstr>
      <vt:lpstr>240821B005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Breanna Walsh</cp:lastModifiedBy>
  <dcterms:created xsi:type="dcterms:W3CDTF">2024-07-26T18:06:04Z</dcterms:created>
  <dcterms:modified xsi:type="dcterms:W3CDTF">2024-08-22T16:54:42Z</dcterms:modified>
</cp:coreProperties>
</file>