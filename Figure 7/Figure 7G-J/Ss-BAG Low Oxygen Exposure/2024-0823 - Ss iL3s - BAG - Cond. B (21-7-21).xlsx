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2024-0823/"/>
    </mc:Choice>
  </mc:AlternateContent>
  <xr:revisionPtr revIDLastSave="0" documentId="13_ncr:1_{A630BF6C-900A-3543-AE63-CDB6054006E5}" xr6:coauthVersionLast="47" xr6:coauthVersionMax="47" xr10:uidLastSave="{00000000-0000-0000-0000-000000000000}"/>
  <bookViews>
    <workbookView xWindow="740" yWindow="500" windowWidth="28060" windowHeight="15620" activeTab="4" xr2:uid="{703F31A7-3FB6-4B05-8EA8-379C6E25ED1D}"/>
  </bookViews>
  <sheets>
    <sheet name="240823B007" sheetId="1" r:id="rId1"/>
    <sheet name="240823B010" sheetId="9" r:id="rId2"/>
    <sheet name="240823B011" sheetId="16" r:id="rId3"/>
    <sheet name="240823B013" sheetId="18" r:id="rId4"/>
    <sheet name="240823B015" sheetId="17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J322" i="18"/>
  <c r="I322" i="18"/>
  <c r="K322" i="18" s="1"/>
  <c r="L322" i="18" s="1"/>
  <c r="J321" i="18"/>
  <c r="I321" i="18"/>
  <c r="K321" i="18" s="1"/>
  <c r="J320" i="18"/>
  <c r="I320" i="18"/>
  <c r="K320" i="18" s="1"/>
  <c r="J319" i="18"/>
  <c r="I319" i="18"/>
  <c r="K319" i="18" s="1"/>
  <c r="J318" i="18"/>
  <c r="I318" i="18"/>
  <c r="K318" i="18" s="1"/>
  <c r="L318" i="18" s="1"/>
  <c r="V100" i="18" s="1"/>
  <c r="J317" i="18"/>
  <c r="I317" i="18"/>
  <c r="K317" i="18" s="1"/>
  <c r="J316" i="18"/>
  <c r="I316" i="18"/>
  <c r="K316" i="18" s="1"/>
  <c r="L316" i="18" s="1"/>
  <c r="V98" i="18" s="1"/>
  <c r="J315" i="18"/>
  <c r="I315" i="18"/>
  <c r="K315" i="18" s="1"/>
  <c r="J314" i="18"/>
  <c r="I314" i="18"/>
  <c r="K314" i="18" s="1"/>
  <c r="J313" i="18"/>
  <c r="I313" i="18"/>
  <c r="K313" i="18" s="1"/>
  <c r="J312" i="18"/>
  <c r="I312" i="18"/>
  <c r="K312" i="18" s="1"/>
  <c r="L312" i="18" s="1"/>
  <c r="V94" i="18" s="1"/>
  <c r="J311" i="18"/>
  <c r="I311" i="18"/>
  <c r="K311" i="18" s="1"/>
  <c r="J310" i="18"/>
  <c r="I310" i="18"/>
  <c r="K310" i="18" s="1"/>
  <c r="J309" i="18"/>
  <c r="I309" i="18"/>
  <c r="K309" i="18" s="1"/>
  <c r="J308" i="18"/>
  <c r="I308" i="18"/>
  <c r="K308" i="18" s="1"/>
  <c r="J307" i="18"/>
  <c r="I307" i="18"/>
  <c r="K307" i="18" s="1"/>
  <c r="J306" i="18"/>
  <c r="I306" i="18"/>
  <c r="K306" i="18" s="1"/>
  <c r="L306" i="18" s="1"/>
  <c r="V88" i="18" s="1"/>
  <c r="J305" i="18"/>
  <c r="I305" i="18"/>
  <c r="K305" i="18" s="1"/>
  <c r="J304" i="18"/>
  <c r="I304" i="18"/>
  <c r="K304" i="18" s="1"/>
  <c r="J303" i="18"/>
  <c r="I303" i="18"/>
  <c r="K303" i="18" s="1"/>
  <c r="J302" i="18"/>
  <c r="I302" i="18"/>
  <c r="K302" i="18" s="1"/>
  <c r="L302" i="18" s="1"/>
  <c r="J301" i="18"/>
  <c r="I301" i="18"/>
  <c r="K301" i="18" s="1"/>
  <c r="J300" i="18"/>
  <c r="I300" i="18"/>
  <c r="K300" i="18" s="1"/>
  <c r="L300" i="18" s="1"/>
  <c r="J299" i="18"/>
  <c r="I299" i="18"/>
  <c r="K299" i="18" s="1"/>
  <c r="J298" i="18"/>
  <c r="I298" i="18"/>
  <c r="K298" i="18" s="1"/>
  <c r="J297" i="18"/>
  <c r="I297" i="18"/>
  <c r="K297" i="18" s="1"/>
  <c r="J296" i="18"/>
  <c r="I296" i="18"/>
  <c r="K296" i="18" s="1"/>
  <c r="J295" i="18"/>
  <c r="I295" i="18"/>
  <c r="K295" i="18" s="1"/>
  <c r="J294" i="18"/>
  <c r="I294" i="18"/>
  <c r="K294" i="18" s="1"/>
  <c r="J293" i="18"/>
  <c r="I293" i="18"/>
  <c r="K293" i="18" s="1"/>
  <c r="J292" i="18"/>
  <c r="I292" i="18"/>
  <c r="K292" i="18" s="1"/>
  <c r="J291" i="18"/>
  <c r="I291" i="18"/>
  <c r="K291" i="18" s="1"/>
  <c r="J290" i="18"/>
  <c r="I290" i="18"/>
  <c r="K290" i="18" s="1"/>
  <c r="L290" i="18" s="1"/>
  <c r="J289" i="18"/>
  <c r="I289" i="18"/>
  <c r="K289" i="18" s="1"/>
  <c r="L289" i="18" s="1"/>
  <c r="J288" i="18"/>
  <c r="I288" i="18"/>
  <c r="K288" i="18" s="1"/>
  <c r="J287" i="18"/>
  <c r="I287" i="18"/>
  <c r="K287" i="18" s="1"/>
  <c r="J286" i="18"/>
  <c r="I286" i="18"/>
  <c r="K286" i="18" s="1"/>
  <c r="L286" i="18" s="1"/>
  <c r="J285" i="18"/>
  <c r="I285" i="18"/>
  <c r="K285" i="18" s="1"/>
  <c r="L285" i="18" s="1"/>
  <c r="J284" i="18"/>
  <c r="I284" i="18"/>
  <c r="K284" i="18" s="1"/>
  <c r="L284" i="18" s="1"/>
  <c r="J283" i="18"/>
  <c r="I283" i="18"/>
  <c r="K283" i="18" s="1"/>
  <c r="J282" i="18"/>
  <c r="I282" i="18"/>
  <c r="K282" i="18" s="1"/>
  <c r="J281" i="18"/>
  <c r="I281" i="18"/>
  <c r="K281" i="18" s="1"/>
  <c r="J280" i="18"/>
  <c r="I280" i="18"/>
  <c r="K280" i="18" s="1"/>
  <c r="L280" i="18" s="1"/>
  <c r="J279" i="18"/>
  <c r="I279" i="18"/>
  <c r="K279" i="18" s="1"/>
  <c r="J278" i="18"/>
  <c r="I278" i="18"/>
  <c r="K278" i="18" s="1"/>
  <c r="J277" i="18"/>
  <c r="I277" i="18"/>
  <c r="K277" i="18" s="1"/>
  <c r="L277" i="18" s="1"/>
  <c r="J276" i="18"/>
  <c r="I276" i="18"/>
  <c r="K276" i="18" s="1"/>
  <c r="J275" i="18"/>
  <c r="I275" i="18"/>
  <c r="K275" i="18" s="1"/>
  <c r="J274" i="18"/>
  <c r="I274" i="18"/>
  <c r="K274" i="18" s="1"/>
  <c r="J273" i="18"/>
  <c r="I273" i="18"/>
  <c r="K273" i="18" s="1"/>
  <c r="L273" i="18" s="1"/>
  <c r="J272" i="18"/>
  <c r="I272" i="18"/>
  <c r="K272" i="18" s="1"/>
  <c r="J271" i="18"/>
  <c r="I271" i="18"/>
  <c r="K271" i="18" s="1"/>
  <c r="J270" i="18"/>
  <c r="I270" i="18"/>
  <c r="K270" i="18" s="1"/>
  <c r="J269" i="18"/>
  <c r="I269" i="18"/>
  <c r="K269" i="18" s="1"/>
  <c r="L269" i="18" s="1"/>
  <c r="J268" i="18"/>
  <c r="I268" i="18"/>
  <c r="K268" i="18" s="1"/>
  <c r="J267" i="18"/>
  <c r="I267" i="18"/>
  <c r="K267" i="18" s="1"/>
  <c r="J266" i="18"/>
  <c r="I266" i="18"/>
  <c r="K266" i="18" s="1"/>
  <c r="J265" i="18"/>
  <c r="I265" i="18"/>
  <c r="K265" i="18" s="1"/>
  <c r="J264" i="18"/>
  <c r="I264" i="18"/>
  <c r="K264" i="18" s="1"/>
  <c r="J263" i="18"/>
  <c r="I263" i="18"/>
  <c r="K263" i="18" s="1"/>
  <c r="J262" i="18"/>
  <c r="I262" i="18"/>
  <c r="K262" i="18" s="1"/>
  <c r="J261" i="18"/>
  <c r="I261" i="18"/>
  <c r="K261" i="18" s="1"/>
  <c r="J260" i="18"/>
  <c r="I260" i="18"/>
  <c r="K260" i="18" s="1"/>
  <c r="J259" i="18"/>
  <c r="I259" i="18"/>
  <c r="K259" i="18" s="1"/>
  <c r="J258" i="18"/>
  <c r="I258" i="18"/>
  <c r="K258" i="18" s="1"/>
  <c r="J257" i="18"/>
  <c r="I257" i="18"/>
  <c r="K257" i="18" s="1"/>
  <c r="J256" i="18"/>
  <c r="I256" i="18"/>
  <c r="K256" i="18" s="1"/>
  <c r="J255" i="18"/>
  <c r="I255" i="18"/>
  <c r="K255" i="18" s="1"/>
  <c r="J254" i="18"/>
  <c r="I254" i="18"/>
  <c r="K254" i="18" s="1"/>
  <c r="J253" i="18"/>
  <c r="I253" i="18"/>
  <c r="K253" i="18" s="1"/>
  <c r="J252" i="18"/>
  <c r="I252" i="18"/>
  <c r="K252" i="18" s="1"/>
  <c r="J251" i="18"/>
  <c r="I251" i="18"/>
  <c r="K251" i="18" s="1"/>
  <c r="J250" i="18"/>
  <c r="I250" i="18"/>
  <c r="K250" i="18" s="1"/>
  <c r="J249" i="18"/>
  <c r="I249" i="18"/>
  <c r="K249" i="18" s="1"/>
  <c r="J248" i="18"/>
  <c r="I248" i="18"/>
  <c r="K248" i="18" s="1"/>
  <c r="J247" i="18"/>
  <c r="I247" i="18"/>
  <c r="K247" i="18" s="1"/>
  <c r="J246" i="18"/>
  <c r="I246" i="18"/>
  <c r="K246" i="18" s="1"/>
  <c r="J245" i="18"/>
  <c r="I245" i="18"/>
  <c r="K245" i="18" s="1"/>
  <c r="J244" i="18"/>
  <c r="I244" i="18"/>
  <c r="K244" i="18" s="1"/>
  <c r="J243" i="18"/>
  <c r="I243" i="18"/>
  <c r="K243" i="18" s="1"/>
  <c r="J242" i="18"/>
  <c r="I242" i="18"/>
  <c r="K242" i="18" s="1"/>
  <c r="J241" i="18"/>
  <c r="I241" i="18"/>
  <c r="K241" i="18" s="1"/>
  <c r="J240" i="18"/>
  <c r="I240" i="18"/>
  <c r="K240" i="18" s="1"/>
  <c r="J239" i="18"/>
  <c r="I239" i="18"/>
  <c r="K239" i="18" s="1"/>
  <c r="J238" i="18"/>
  <c r="I238" i="18"/>
  <c r="K238" i="18" s="1"/>
  <c r="J237" i="18"/>
  <c r="I237" i="18"/>
  <c r="K237" i="18" s="1"/>
  <c r="J236" i="18"/>
  <c r="I236" i="18"/>
  <c r="K236" i="18" s="1"/>
  <c r="J235" i="18"/>
  <c r="I235" i="18"/>
  <c r="K235" i="18" s="1"/>
  <c r="J234" i="18"/>
  <c r="I234" i="18"/>
  <c r="K234" i="18" s="1"/>
  <c r="J233" i="18"/>
  <c r="I233" i="18"/>
  <c r="K233" i="18" s="1"/>
  <c r="K232" i="18"/>
  <c r="L232" i="18" s="1"/>
  <c r="J232" i="18"/>
  <c r="I232" i="18"/>
  <c r="J231" i="18"/>
  <c r="I231" i="18"/>
  <c r="K231" i="18" s="1"/>
  <c r="J230" i="18"/>
  <c r="I230" i="18"/>
  <c r="K230" i="18" s="1"/>
  <c r="L230" i="18" s="1"/>
  <c r="J229" i="18"/>
  <c r="I229" i="18"/>
  <c r="K229" i="18" s="1"/>
  <c r="L229" i="18" s="1"/>
  <c r="J228" i="18"/>
  <c r="I228" i="18"/>
  <c r="K228" i="18" s="1"/>
  <c r="J227" i="18"/>
  <c r="I227" i="18"/>
  <c r="K227" i="18" s="1"/>
  <c r="J226" i="18"/>
  <c r="I226" i="18"/>
  <c r="K226" i="18" s="1"/>
  <c r="J225" i="18"/>
  <c r="I225" i="18"/>
  <c r="K225" i="18" s="1"/>
  <c r="J224" i="18"/>
  <c r="I224" i="18"/>
  <c r="K224" i="18" s="1"/>
  <c r="J223" i="18"/>
  <c r="I223" i="18"/>
  <c r="K223" i="18" s="1"/>
  <c r="J222" i="18"/>
  <c r="I222" i="18"/>
  <c r="K222" i="18" s="1"/>
  <c r="J221" i="18"/>
  <c r="I221" i="18"/>
  <c r="K221" i="18" s="1"/>
  <c r="J220" i="18"/>
  <c r="I220" i="18"/>
  <c r="K220" i="18" s="1"/>
  <c r="J219" i="18"/>
  <c r="I219" i="18"/>
  <c r="K219" i="18" s="1"/>
  <c r="J218" i="18"/>
  <c r="I218" i="18"/>
  <c r="K218" i="18" s="1"/>
  <c r="J217" i="18"/>
  <c r="I217" i="18"/>
  <c r="K217" i="18" s="1"/>
  <c r="J216" i="18"/>
  <c r="I216" i="18"/>
  <c r="K216" i="18" s="1"/>
  <c r="J215" i="18"/>
  <c r="I215" i="18"/>
  <c r="K215" i="18" s="1"/>
  <c r="J214" i="18"/>
  <c r="I214" i="18"/>
  <c r="K214" i="18" s="1"/>
  <c r="J213" i="18"/>
  <c r="I213" i="18"/>
  <c r="K213" i="18" s="1"/>
  <c r="J212" i="18"/>
  <c r="I212" i="18"/>
  <c r="K212" i="18" s="1"/>
  <c r="J211" i="18"/>
  <c r="I211" i="18"/>
  <c r="K211" i="18" s="1"/>
  <c r="J210" i="18"/>
  <c r="I210" i="18"/>
  <c r="K210" i="18" s="1"/>
  <c r="J209" i="18"/>
  <c r="I209" i="18"/>
  <c r="K209" i="18" s="1"/>
  <c r="J208" i="18"/>
  <c r="I208" i="18"/>
  <c r="K208" i="18" s="1"/>
  <c r="J207" i="18"/>
  <c r="I207" i="18"/>
  <c r="K207" i="18" s="1"/>
  <c r="J206" i="18"/>
  <c r="I206" i="18"/>
  <c r="K206" i="18" s="1"/>
  <c r="J205" i="18"/>
  <c r="I205" i="18"/>
  <c r="K205" i="18" s="1"/>
  <c r="J204" i="18"/>
  <c r="I204" i="18"/>
  <c r="K204" i="18" s="1"/>
  <c r="J203" i="18"/>
  <c r="I203" i="18"/>
  <c r="K203" i="18" s="1"/>
  <c r="L203" i="18" s="1"/>
  <c r="J202" i="18"/>
  <c r="I202" i="18"/>
  <c r="K202" i="18" s="1"/>
  <c r="L202" i="18" s="1"/>
  <c r="J201" i="18"/>
  <c r="I201" i="18"/>
  <c r="K201" i="18" s="1"/>
  <c r="K200" i="18"/>
  <c r="J200" i="18"/>
  <c r="I200" i="18"/>
  <c r="J199" i="18"/>
  <c r="I199" i="18"/>
  <c r="K199" i="18" s="1"/>
  <c r="J198" i="18"/>
  <c r="I198" i="18"/>
  <c r="K198" i="18" s="1"/>
  <c r="J197" i="18"/>
  <c r="I197" i="18"/>
  <c r="K197" i="18" s="1"/>
  <c r="J196" i="18"/>
  <c r="I196" i="18"/>
  <c r="K196" i="18" s="1"/>
  <c r="J195" i="18"/>
  <c r="I195" i="18"/>
  <c r="K195" i="18" s="1"/>
  <c r="J194" i="18"/>
  <c r="I194" i="18"/>
  <c r="K194" i="18" s="1"/>
  <c r="J193" i="18"/>
  <c r="I193" i="18"/>
  <c r="K193" i="18" s="1"/>
  <c r="J192" i="18"/>
  <c r="I192" i="18"/>
  <c r="K192" i="18" s="1"/>
  <c r="J191" i="18"/>
  <c r="I191" i="18"/>
  <c r="K191" i="18" s="1"/>
  <c r="L191" i="18" s="1"/>
  <c r="J190" i="18"/>
  <c r="I190" i="18"/>
  <c r="K190" i="18" s="1"/>
  <c r="J189" i="18"/>
  <c r="I189" i="18"/>
  <c r="K189" i="18" s="1"/>
  <c r="J188" i="18"/>
  <c r="I188" i="18"/>
  <c r="K188" i="18" s="1"/>
  <c r="J187" i="18"/>
  <c r="I187" i="18"/>
  <c r="K187" i="18" s="1"/>
  <c r="L187" i="18" s="1"/>
  <c r="J186" i="18"/>
  <c r="I186" i="18"/>
  <c r="K186" i="18" s="1"/>
  <c r="J185" i="18"/>
  <c r="I185" i="18"/>
  <c r="K185" i="18" s="1"/>
  <c r="J184" i="18"/>
  <c r="I184" i="18"/>
  <c r="K184" i="18" s="1"/>
  <c r="J183" i="18"/>
  <c r="I183" i="18"/>
  <c r="K183" i="18" s="1"/>
  <c r="L183" i="18" s="1"/>
  <c r="J182" i="18"/>
  <c r="I182" i="18"/>
  <c r="K182" i="18" s="1"/>
  <c r="J181" i="18"/>
  <c r="I181" i="18"/>
  <c r="K181" i="18" s="1"/>
  <c r="J180" i="18"/>
  <c r="I180" i="18"/>
  <c r="K180" i="18" s="1"/>
  <c r="J179" i="18"/>
  <c r="I179" i="18"/>
  <c r="K179" i="18" s="1"/>
  <c r="L179" i="18" s="1"/>
  <c r="J178" i="18"/>
  <c r="I178" i="18"/>
  <c r="K178" i="18" s="1"/>
  <c r="J177" i="18"/>
  <c r="I177" i="18"/>
  <c r="K177" i="18" s="1"/>
  <c r="J176" i="18"/>
  <c r="I176" i="18"/>
  <c r="K176" i="18" s="1"/>
  <c r="L176" i="18" s="1"/>
  <c r="J175" i="18"/>
  <c r="I175" i="18"/>
  <c r="K175" i="18" s="1"/>
  <c r="J174" i="18"/>
  <c r="I174" i="18"/>
  <c r="K174" i="18" s="1"/>
  <c r="J173" i="18"/>
  <c r="I173" i="18"/>
  <c r="K173" i="18" s="1"/>
  <c r="J172" i="18"/>
  <c r="I172" i="18"/>
  <c r="K172" i="18" s="1"/>
  <c r="J171" i="18"/>
  <c r="I171" i="18"/>
  <c r="K171" i="18" s="1"/>
  <c r="L171" i="18" s="1"/>
  <c r="J170" i="18"/>
  <c r="I170" i="18"/>
  <c r="K170" i="18" s="1"/>
  <c r="J169" i="18"/>
  <c r="I169" i="18"/>
  <c r="K169" i="18" s="1"/>
  <c r="J168" i="18"/>
  <c r="I168" i="18"/>
  <c r="K168" i="18" s="1"/>
  <c r="L168" i="18" s="1"/>
  <c r="J167" i="18"/>
  <c r="I167" i="18"/>
  <c r="K167" i="18" s="1"/>
  <c r="L167" i="18" s="1"/>
  <c r="J166" i="18"/>
  <c r="I166" i="18"/>
  <c r="K166" i="18" s="1"/>
  <c r="J165" i="18"/>
  <c r="I165" i="18"/>
  <c r="K165" i="18" s="1"/>
  <c r="J164" i="18"/>
  <c r="I164" i="18"/>
  <c r="K164" i="18" s="1"/>
  <c r="J163" i="18"/>
  <c r="I163" i="18"/>
  <c r="K163" i="18" s="1"/>
  <c r="J162" i="18"/>
  <c r="I162" i="18"/>
  <c r="K162" i="18" s="1"/>
  <c r="J161" i="18"/>
  <c r="I161" i="18"/>
  <c r="K161" i="18" s="1"/>
  <c r="J160" i="18"/>
  <c r="I160" i="18"/>
  <c r="K160" i="18" s="1"/>
  <c r="J159" i="18"/>
  <c r="I159" i="18"/>
  <c r="K159" i="18" s="1"/>
  <c r="J158" i="18"/>
  <c r="I158" i="18"/>
  <c r="K158" i="18" s="1"/>
  <c r="J157" i="18"/>
  <c r="I157" i="18"/>
  <c r="K157" i="18" s="1"/>
  <c r="J156" i="18"/>
  <c r="I156" i="18"/>
  <c r="K156" i="18" s="1"/>
  <c r="J155" i="18"/>
  <c r="I155" i="18"/>
  <c r="K155" i="18" s="1"/>
  <c r="J154" i="18"/>
  <c r="I154" i="18"/>
  <c r="K154" i="18" s="1"/>
  <c r="J153" i="18"/>
  <c r="I153" i="18"/>
  <c r="K153" i="18" s="1"/>
  <c r="J152" i="18"/>
  <c r="I152" i="18"/>
  <c r="K152" i="18" s="1"/>
  <c r="J151" i="18"/>
  <c r="I151" i="18"/>
  <c r="K151" i="18" s="1"/>
  <c r="J150" i="18"/>
  <c r="I150" i="18"/>
  <c r="K150" i="18" s="1"/>
  <c r="J149" i="18"/>
  <c r="I149" i="18"/>
  <c r="K149" i="18" s="1"/>
  <c r="J148" i="18"/>
  <c r="I148" i="18"/>
  <c r="K148" i="18" s="1"/>
  <c r="L148" i="18" s="1"/>
  <c r="J147" i="18"/>
  <c r="I147" i="18"/>
  <c r="K147" i="18" s="1"/>
  <c r="J146" i="18"/>
  <c r="I146" i="18"/>
  <c r="K146" i="18" s="1"/>
  <c r="J145" i="18"/>
  <c r="I145" i="18"/>
  <c r="K145" i="18" s="1"/>
  <c r="J144" i="18"/>
  <c r="I144" i="18"/>
  <c r="K144" i="18" s="1"/>
  <c r="L144" i="18" s="1"/>
  <c r="J143" i="18"/>
  <c r="I143" i="18"/>
  <c r="K143" i="18" s="1"/>
  <c r="J142" i="18"/>
  <c r="I142" i="18"/>
  <c r="K142" i="18" s="1"/>
  <c r="L142" i="18" s="1"/>
  <c r="J141" i="18"/>
  <c r="I141" i="18"/>
  <c r="K141" i="18" s="1"/>
  <c r="J140" i="18"/>
  <c r="I140" i="18"/>
  <c r="K140" i="18" s="1"/>
  <c r="J139" i="18"/>
  <c r="I139" i="18"/>
  <c r="K139" i="18" s="1"/>
  <c r="J138" i="18"/>
  <c r="I138" i="18"/>
  <c r="K138" i="18" s="1"/>
  <c r="L138" i="18" s="1"/>
  <c r="J137" i="18"/>
  <c r="I137" i="18"/>
  <c r="K137" i="18" s="1"/>
  <c r="J136" i="18"/>
  <c r="I136" i="18"/>
  <c r="K136" i="18" s="1"/>
  <c r="J135" i="18"/>
  <c r="I135" i="18"/>
  <c r="K135" i="18" s="1"/>
  <c r="J134" i="18"/>
  <c r="I134" i="18"/>
  <c r="K134" i="18" s="1"/>
  <c r="J133" i="18"/>
  <c r="I133" i="18"/>
  <c r="K133" i="18" s="1"/>
  <c r="J132" i="18"/>
  <c r="I132" i="18"/>
  <c r="K132" i="18" s="1"/>
  <c r="L132" i="18" s="1"/>
  <c r="J131" i="18"/>
  <c r="I131" i="18"/>
  <c r="K131" i="18" s="1"/>
  <c r="J130" i="18"/>
  <c r="I130" i="18"/>
  <c r="K130" i="18" s="1"/>
  <c r="J129" i="18"/>
  <c r="I129" i="18"/>
  <c r="K129" i="18" s="1"/>
  <c r="J128" i="18"/>
  <c r="I128" i="18"/>
  <c r="K128" i="18" s="1"/>
  <c r="L128" i="18" s="1"/>
  <c r="J127" i="18"/>
  <c r="I127" i="18"/>
  <c r="K127" i="18" s="1"/>
  <c r="J126" i="18"/>
  <c r="I126" i="18"/>
  <c r="K126" i="18" s="1"/>
  <c r="L126" i="18" s="1"/>
  <c r="J125" i="18"/>
  <c r="I125" i="18"/>
  <c r="K125" i="18" s="1"/>
  <c r="J124" i="18"/>
  <c r="I124" i="18"/>
  <c r="K124" i="18" s="1"/>
  <c r="J123" i="18"/>
  <c r="I123" i="18"/>
  <c r="K123" i="18" s="1"/>
  <c r="J122" i="18"/>
  <c r="I122" i="18"/>
  <c r="K122" i="18" s="1"/>
  <c r="J121" i="18"/>
  <c r="I121" i="18"/>
  <c r="K121" i="18" s="1"/>
  <c r="J120" i="18"/>
  <c r="I120" i="18"/>
  <c r="K120" i="18" s="1"/>
  <c r="J119" i="18"/>
  <c r="I119" i="18"/>
  <c r="K119" i="18" s="1"/>
  <c r="J118" i="18"/>
  <c r="I118" i="18"/>
  <c r="K118" i="18" s="1"/>
  <c r="J117" i="18"/>
  <c r="I117" i="18"/>
  <c r="K117" i="18" s="1"/>
  <c r="J116" i="18"/>
  <c r="I116" i="18"/>
  <c r="K116" i="18" s="1"/>
  <c r="J115" i="18"/>
  <c r="I115" i="18"/>
  <c r="K115" i="18" s="1"/>
  <c r="J114" i="18"/>
  <c r="I114" i="18"/>
  <c r="K114" i="18" s="1"/>
  <c r="J113" i="18"/>
  <c r="I113" i="18"/>
  <c r="K113" i="18" s="1"/>
  <c r="J112" i="18"/>
  <c r="I112" i="18"/>
  <c r="K112" i="18" s="1"/>
  <c r="J111" i="18"/>
  <c r="I111" i="18"/>
  <c r="K111" i="18" s="1"/>
  <c r="J110" i="18"/>
  <c r="I110" i="18"/>
  <c r="K110" i="18" s="1"/>
  <c r="L110" i="18" s="1"/>
  <c r="J109" i="18"/>
  <c r="I109" i="18"/>
  <c r="K109" i="18" s="1"/>
  <c r="J108" i="18"/>
  <c r="I108" i="18"/>
  <c r="K108" i="18" s="1"/>
  <c r="J107" i="18"/>
  <c r="I107" i="18"/>
  <c r="K107" i="18" s="1"/>
  <c r="J106" i="18"/>
  <c r="I106" i="18"/>
  <c r="K106" i="18" s="1"/>
  <c r="J105" i="18"/>
  <c r="I105" i="18"/>
  <c r="K105" i="18" s="1"/>
  <c r="J104" i="18"/>
  <c r="I104" i="18"/>
  <c r="K104" i="18" s="1"/>
  <c r="J103" i="18"/>
  <c r="I103" i="18"/>
  <c r="K103" i="18" s="1"/>
  <c r="J102" i="18"/>
  <c r="I102" i="18"/>
  <c r="K102" i="18" s="1"/>
  <c r="J101" i="18"/>
  <c r="I101" i="18"/>
  <c r="K101" i="18" s="1"/>
  <c r="J100" i="18"/>
  <c r="I100" i="18"/>
  <c r="K100" i="18" s="1"/>
  <c r="L100" i="18" s="1"/>
  <c r="J99" i="18"/>
  <c r="I99" i="18"/>
  <c r="K99" i="18" s="1"/>
  <c r="J98" i="18"/>
  <c r="I98" i="18"/>
  <c r="K98" i="18" s="1"/>
  <c r="J97" i="18"/>
  <c r="I97" i="18"/>
  <c r="K97" i="18" s="1"/>
  <c r="J96" i="18"/>
  <c r="I96" i="18"/>
  <c r="K96" i="18" s="1"/>
  <c r="L96" i="18" s="1"/>
  <c r="J95" i="18"/>
  <c r="I95" i="18"/>
  <c r="K95" i="18" s="1"/>
  <c r="L95" i="18" s="1"/>
  <c r="J94" i="18"/>
  <c r="I94" i="18"/>
  <c r="K94" i="18" s="1"/>
  <c r="J93" i="18"/>
  <c r="I93" i="18"/>
  <c r="K93" i="18" s="1"/>
  <c r="J92" i="18"/>
  <c r="I92" i="18"/>
  <c r="K92" i="18" s="1"/>
  <c r="J91" i="18"/>
  <c r="I91" i="18"/>
  <c r="K91" i="18" s="1"/>
  <c r="J90" i="18"/>
  <c r="I90" i="18"/>
  <c r="K90" i="18" s="1"/>
  <c r="J89" i="18"/>
  <c r="I89" i="18"/>
  <c r="K89" i="18" s="1"/>
  <c r="J88" i="18"/>
  <c r="I88" i="18"/>
  <c r="K88" i="18" s="1"/>
  <c r="L88" i="18" s="1"/>
  <c r="J87" i="18"/>
  <c r="I87" i="18"/>
  <c r="K87" i="18" s="1"/>
  <c r="L87" i="18" s="1"/>
  <c r="J86" i="18"/>
  <c r="I86" i="18"/>
  <c r="K86" i="18" s="1"/>
  <c r="L86" i="18" s="1"/>
  <c r="J85" i="18"/>
  <c r="I85" i="18"/>
  <c r="K85" i="18" s="1"/>
  <c r="J84" i="18"/>
  <c r="I84" i="18"/>
  <c r="K84" i="18" s="1"/>
  <c r="L84" i="18" s="1"/>
  <c r="J83" i="18"/>
  <c r="I83" i="18"/>
  <c r="K83" i="18" s="1"/>
  <c r="L83" i="18" s="1"/>
  <c r="J82" i="18"/>
  <c r="I82" i="18"/>
  <c r="K82" i="18" s="1"/>
  <c r="J81" i="18"/>
  <c r="I81" i="18"/>
  <c r="K81" i="18" s="1"/>
  <c r="J80" i="18"/>
  <c r="I80" i="18"/>
  <c r="K80" i="18" s="1"/>
  <c r="L80" i="18" s="1"/>
  <c r="V82" i="18" s="1"/>
  <c r="J79" i="18"/>
  <c r="I79" i="18"/>
  <c r="K79" i="18" s="1"/>
  <c r="J78" i="18"/>
  <c r="I78" i="18"/>
  <c r="K78" i="18" s="1"/>
  <c r="J77" i="18"/>
  <c r="I77" i="18"/>
  <c r="K77" i="18" s="1"/>
  <c r="J76" i="18"/>
  <c r="I76" i="18"/>
  <c r="K76" i="18" s="1"/>
  <c r="L76" i="18" s="1"/>
  <c r="J75" i="18"/>
  <c r="I75" i="18"/>
  <c r="K75" i="18" s="1"/>
  <c r="J74" i="18"/>
  <c r="I74" i="18"/>
  <c r="K74" i="18" s="1"/>
  <c r="J73" i="18"/>
  <c r="I73" i="18"/>
  <c r="K73" i="18" s="1"/>
  <c r="J72" i="18"/>
  <c r="I72" i="18"/>
  <c r="K72" i="18" s="1"/>
  <c r="L72" i="18" s="1"/>
  <c r="V74" i="18" s="1"/>
  <c r="J71" i="18"/>
  <c r="I71" i="18"/>
  <c r="K71" i="18" s="1"/>
  <c r="L71" i="18" s="1"/>
  <c r="J70" i="18"/>
  <c r="I70" i="18"/>
  <c r="K70" i="18" s="1"/>
  <c r="J69" i="18"/>
  <c r="I69" i="18"/>
  <c r="K69" i="18" s="1"/>
  <c r="J68" i="18"/>
  <c r="I68" i="18"/>
  <c r="K68" i="18" s="1"/>
  <c r="L68" i="18" s="1"/>
  <c r="J67" i="18"/>
  <c r="I67" i="18"/>
  <c r="K67" i="18" s="1"/>
  <c r="J66" i="18"/>
  <c r="I66" i="18"/>
  <c r="K66" i="18" s="1"/>
  <c r="J65" i="18"/>
  <c r="I65" i="18"/>
  <c r="K65" i="18" s="1"/>
  <c r="J64" i="18"/>
  <c r="I64" i="18"/>
  <c r="K64" i="18" s="1"/>
  <c r="J63" i="18"/>
  <c r="I63" i="18"/>
  <c r="K63" i="18" s="1"/>
  <c r="J62" i="18"/>
  <c r="I62" i="18"/>
  <c r="K62" i="18" s="1"/>
  <c r="L62" i="18" s="1"/>
  <c r="J61" i="18"/>
  <c r="I61" i="18"/>
  <c r="K61" i="18" s="1"/>
  <c r="J60" i="18"/>
  <c r="I60" i="18"/>
  <c r="K60" i="18" s="1"/>
  <c r="J59" i="18"/>
  <c r="I59" i="18"/>
  <c r="K59" i="18" s="1"/>
  <c r="J58" i="18"/>
  <c r="I58" i="18"/>
  <c r="K58" i="18" s="1"/>
  <c r="L58" i="18" s="1"/>
  <c r="J57" i="18"/>
  <c r="I57" i="18"/>
  <c r="K57" i="18" s="1"/>
  <c r="L57" i="18" s="1"/>
  <c r="J56" i="18"/>
  <c r="I56" i="18"/>
  <c r="K56" i="18" s="1"/>
  <c r="J55" i="18"/>
  <c r="I55" i="18"/>
  <c r="K55" i="18" s="1"/>
  <c r="J54" i="18"/>
  <c r="I54" i="18"/>
  <c r="K54" i="18" s="1"/>
  <c r="J53" i="18"/>
  <c r="I53" i="18"/>
  <c r="K53" i="18" s="1"/>
  <c r="L53" i="18" s="1"/>
  <c r="J52" i="18"/>
  <c r="I52" i="18"/>
  <c r="K52" i="18" s="1"/>
  <c r="L52" i="18" s="1"/>
  <c r="J51" i="18"/>
  <c r="I51" i="18"/>
  <c r="K51" i="18" s="1"/>
  <c r="J50" i="18"/>
  <c r="I50" i="18"/>
  <c r="K50" i="18" s="1"/>
  <c r="J49" i="18"/>
  <c r="I49" i="18"/>
  <c r="K49" i="18" s="1"/>
  <c r="J48" i="18"/>
  <c r="I48" i="18"/>
  <c r="K48" i="18" s="1"/>
  <c r="J47" i="18"/>
  <c r="I47" i="18"/>
  <c r="K47" i="18" s="1"/>
  <c r="J46" i="18"/>
  <c r="I46" i="18"/>
  <c r="K46" i="18" s="1"/>
  <c r="J45" i="18"/>
  <c r="I45" i="18"/>
  <c r="K45" i="18" s="1"/>
  <c r="J44" i="18"/>
  <c r="I44" i="18"/>
  <c r="K44" i="18" s="1"/>
  <c r="J43" i="18"/>
  <c r="I43" i="18"/>
  <c r="K43" i="18" s="1"/>
  <c r="J42" i="18"/>
  <c r="I42" i="18"/>
  <c r="K42" i="18" s="1"/>
  <c r="J41" i="18"/>
  <c r="I41" i="18"/>
  <c r="K41" i="18" s="1"/>
  <c r="J40" i="18"/>
  <c r="I40" i="18"/>
  <c r="K40" i="18" s="1"/>
  <c r="J39" i="18"/>
  <c r="I39" i="18"/>
  <c r="K39" i="18" s="1"/>
  <c r="L39" i="18" s="1"/>
  <c r="J38" i="18"/>
  <c r="I38" i="18"/>
  <c r="K38" i="18" s="1"/>
  <c r="J37" i="18"/>
  <c r="I37" i="18"/>
  <c r="K37" i="18" s="1"/>
  <c r="J36" i="18"/>
  <c r="I36" i="18"/>
  <c r="K36" i="18" s="1"/>
  <c r="J35" i="18"/>
  <c r="I35" i="18"/>
  <c r="K35" i="18" s="1"/>
  <c r="J34" i="18"/>
  <c r="I34" i="18"/>
  <c r="K34" i="18" s="1"/>
  <c r="J33" i="18"/>
  <c r="I33" i="18"/>
  <c r="K33" i="18" s="1"/>
  <c r="J32" i="18"/>
  <c r="I32" i="18"/>
  <c r="K32" i="18" s="1"/>
  <c r="J31" i="18"/>
  <c r="I31" i="18"/>
  <c r="K31" i="18" s="1"/>
  <c r="J30" i="18"/>
  <c r="I30" i="18"/>
  <c r="K30" i="18" s="1"/>
  <c r="J29" i="18"/>
  <c r="I29" i="18"/>
  <c r="K29" i="18" s="1"/>
  <c r="J28" i="18"/>
  <c r="I28" i="18"/>
  <c r="K28" i="18" s="1"/>
  <c r="J27" i="18"/>
  <c r="I27" i="18"/>
  <c r="K27" i="18" s="1"/>
  <c r="J26" i="18"/>
  <c r="I26" i="18"/>
  <c r="K26" i="18" s="1"/>
  <c r="J25" i="18"/>
  <c r="I25" i="18"/>
  <c r="K25" i="18" s="1"/>
  <c r="J24" i="18"/>
  <c r="I24" i="18"/>
  <c r="K24" i="18" s="1"/>
  <c r="J23" i="18"/>
  <c r="I23" i="18"/>
  <c r="K23" i="18" s="1"/>
  <c r="J22" i="18"/>
  <c r="I22" i="18"/>
  <c r="K22" i="18" s="1"/>
  <c r="J21" i="18"/>
  <c r="I21" i="18"/>
  <c r="K21" i="18" s="1"/>
  <c r="J20" i="18"/>
  <c r="I20" i="18"/>
  <c r="K20" i="18" s="1"/>
  <c r="J19" i="18"/>
  <c r="I19" i="18"/>
  <c r="K19" i="18" s="1"/>
  <c r="J18" i="18"/>
  <c r="I18" i="18"/>
  <c r="K18" i="18" s="1"/>
  <c r="J17" i="18"/>
  <c r="I17" i="18"/>
  <c r="K17" i="18" s="1"/>
  <c r="J16" i="18"/>
  <c r="I16" i="18"/>
  <c r="K16" i="18" s="1"/>
  <c r="J15" i="18"/>
  <c r="I15" i="18"/>
  <c r="K15" i="18" s="1"/>
  <c r="J14" i="18"/>
  <c r="I14" i="18"/>
  <c r="K14" i="18" s="1"/>
  <c r="L14" i="18" s="1"/>
  <c r="J13" i="18"/>
  <c r="I13" i="18"/>
  <c r="K13" i="18" s="1"/>
  <c r="J12" i="18"/>
  <c r="I12" i="18"/>
  <c r="K12" i="18" s="1"/>
  <c r="J11" i="18"/>
  <c r="I11" i="18"/>
  <c r="K11" i="18" s="1"/>
  <c r="L11" i="18" s="1"/>
  <c r="J10" i="18"/>
  <c r="I10" i="18"/>
  <c r="K10" i="18" s="1"/>
  <c r="J9" i="18"/>
  <c r="I9" i="18"/>
  <c r="K9" i="18" s="1"/>
  <c r="L9" i="18" s="1"/>
  <c r="J8" i="18"/>
  <c r="I8" i="18"/>
  <c r="K8" i="18" s="1"/>
  <c r="J7" i="18"/>
  <c r="I7" i="18"/>
  <c r="K7" i="18" s="1"/>
  <c r="J6" i="18"/>
  <c r="I6" i="18"/>
  <c r="K6" i="18" s="1"/>
  <c r="J5" i="18"/>
  <c r="I5" i="18"/>
  <c r="K5" i="18" s="1"/>
  <c r="L5" i="18" s="1"/>
  <c r="J4" i="18"/>
  <c r="I4" i="18"/>
  <c r="K4" i="18" s="1"/>
  <c r="L4" i="18" s="1"/>
  <c r="J3" i="18"/>
  <c r="I3" i="18"/>
  <c r="K3" i="18" s="1"/>
  <c r="J2" i="18"/>
  <c r="I2" i="18"/>
  <c r="K2" i="18" s="1"/>
  <c r="J322" i="17"/>
  <c r="I322" i="17"/>
  <c r="K322" i="17" s="1"/>
  <c r="J321" i="17"/>
  <c r="I321" i="17"/>
  <c r="K321" i="17" s="1"/>
  <c r="J320" i="17"/>
  <c r="I320" i="17"/>
  <c r="K320" i="17" s="1"/>
  <c r="J319" i="17"/>
  <c r="I319" i="17"/>
  <c r="K319" i="17" s="1"/>
  <c r="J318" i="17"/>
  <c r="I318" i="17"/>
  <c r="K318" i="17" s="1"/>
  <c r="J317" i="17"/>
  <c r="I317" i="17"/>
  <c r="K317" i="17" s="1"/>
  <c r="J316" i="17"/>
  <c r="I316" i="17"/>
  <c r="K316" i="17" s="1"/>
  <c r="J315" i="17"/>
  <c r="I315" i="17"/>
  <c r="K315" i="17" s="1"/>
  <c r="J314" i="17"/>
  <c r="I314" i="17"/>
  <c r="K314" i="17" s="1"/>
  <c r="L314" i="17" s="1"/>
  <c r="V96" i="17" s="1"/>
  <c r="J313" i="17"/>
  <c r="I313" i="17"/>
  <c r="K313" i="17" s="1"/>
  <c r="J312" i="17"/>
  <c r="I312" i="17"/>
  <c r="K312" i="17" s="1"/>
  <c r="J311" i="17"/>
  <c r="I311" i="17"/>
  <c r="K311" i="17" s="1"/>
  <c r="J310" i="17"/>
  <c r="I310" i="17"/>
  <c r="K310" i="17" s="1"/>
  <c r="L310" i="17" s="1"/>
  <c r="J309" i="17"/>
  <c r="I309" i="17"/>
  <c r="K309" i="17" s="1"/>
  <c r="J308" i="17"/>
  <c r="I308" i="17"/>
  <c r="K308" i="17" s="1"/>
  <c r="J307" i="17"/>
  <c r="I307" i="17"/>
  <c r="K307" i="17" s="1"/>
  <c r="J306" i="17"/>
  <c r="I306" i="17"/>
  <c r="K306" i="17" s="1"/>
  <c r="J305" i="17"/>
  <c r="I305" i="17"/>
  <c r="K305" i="17" s="1"/>
  <c r="J304" i="17"/>
  <c r="I304" i="17"/>
  <c r="K304" i="17" s="1"/>
  <c r="J303" i="17"/>
  <c r="I303" i="17"/>
  <c r="K303" i="17" s="1"/>
  <c r="J302" i="17"/>
  <c r="I302" i="17"/>
  <c r="K302" i="17" s="1"/>
  <c r="J301" i="17"/>
  <c r="I301" i="17"/>
  <c r="K301" i="17" s="1"/>
  <c r="J300" i="17"/>
  <c r="I300" i="17"/>
  <c r="K300" i="17" s="1"/>
  <c r="J299" i="17"/>
  <c r="I299" i="17"/>
  <c r="K299" i="17" s="1"/>
  <c r="J298" i="17"/>
  <c r="I298" i="17"/>
  <c r="K298" i="17" s="1"/>
  <c r="J297" i="17"/>
  <c r="I297" i="17"/>
  <c r="K297" i="17" s="1"/>
  <c r="J296" i="17"/>
  <c r="I296" i="17"/>
  <c r="K296" i="17" s="1"/>
  <c r="J295" i="17"/>
  <c r="I295" i="17"/>
  <c r="K295" i="17" s="1"/>
  <c r="J294" i="17"/>
  <c r="I294" i="17"/>
  <c r="K294" i="17" s="1"/>
  <c r="L294" i="17" s="1"/>
  <c r="J293" i="17"/>
  <c r="I293" i="17"/>
  <c r="K293" i="17" s="1"/>
  <c r="J292" i="17"/>
  <c r="I292" i="17"/>
  <c r="K292" i="17" s="1"/>
  <c r="J291" i="17"/>
  <c r="I291" i="17"/>
  <c r="K291" i="17" s="1"/>
  <c r="J290" i="17"/>
  <c r="I290" i="17"/>
  <c r="K290" i="17" s="1"/>
  <c r="L290" i="17" s="1"/>
  <c r="J289" i="17"/>
  <c r="I289" i="17"/>
  <c r="K289" i="17" s="1"/>
  <c r="J288" i="17"/>
  <c r="I288" i="17"/>
  <c r="K288" i="17" s="1"/>
  <c r="J287" i="17"/>
  <c r="I287" i="17"/>
  <c r="K287" i="17" s="1"/>
  <c r="J286" i="17"/>
  <c r="I286" i="17"/>
  <c r="K286" i="17" s="1"/>
  <c r="L286" i="17" s="1"/>
  <c r="J285" i="17"/>
  <c r="I285" i="17"/>
  <c r="K285" i="17" s="1"/>
  <c r="J284" i="17"/>
  <c r="I284" i="17"/>
  <c r="K284" i="17" s="1"/>
  <c r="J283" i="17"/>
  <c r="I283" i="17"/>
  <c r="K283" i="17" s="1"/>
  <c r="J282" i="17"/>
  <c r="I282" i="17"/>
  <c r="K282" i="17" s="1"/>
  <c r="J281" i="17"/>
  <c r="I281" i="17"/>
  <c r="K281" i="17" s="1"/>
  <c r="J280" i="17"/>
  <c r="I280" i="17"/>
  <c r="K280" i="17" s="1"/>
  <c r="J279" i="17"/>
  <c r="I279" i="17"/>
  <c r="K279" i="17" s="1"/>
  <c r="J278" i="17"/>
  <c r="I278" i="17"/>
  <c r="K278" i="17" s="1"/>
  <c r="J277" i="17"/>
  <c r="I277" i="17"/>
  <c r="K277" i="17" s="1"/>
  <c r="J276" i="17"/>
  <c r="I276" i="17"/>
  <c r="K276" i="17" s="1"/>
  <c r="J275" i="17"/>
  <c r="I275" i="17"/>
  <c r="K275" i="17" s="1"/>
  <c r="J274" i="17"/>
  <c r="I274" i="17"/>
  <c r="K274" i="17" s="1"/>
  <c r="J273" i="17"/>
  <c r="I273" i="17"/>
  <c r="K273" i="17" s="1"/>
  <c r="J272" i="17"/>
  <c r="I272" i="17"/>
  <c r="K272" i="17" s="1"/>
  <c r="J271" i="17"/>
  <c r="I271" i="17"/>
  <c r="K271" i="17" s="1"/>
  <c r="J270" i="17"/>
  <c r="I270" i="17"/>
  <c r="K270" i="17" s="1"/>
  <c r="J269" i="17"/>
  <c r="I269" i="17"/>
  <c r="K269" i="17" s="1"/>
  <c r="J268" i="17"/>
  <c r="I268" i="17"/>
  <c r="K268" i="17" s="1"/>
  <c r="J267" i="17"/>
  <c r="I267" i="17"/>
  <c r="K267" i="17" s="1"/>
  <c r="J266" i="17"/>
  <c r="I266" i="17"/>
  <c r="K266" i="17" s="1"/>
  <c r="J265" i="17"/>
  <c r="I265" i="17"/>
  <c r="K265" i="17" s="1"/>
  <c r="J264" i="17"/>
  <c r="I264" i="17"/>
  <c r="K264" i="17" s="1"/>
  <c r="J263" i="17"/>
  <c r="I263" i="17"/>
  <c r="K263" i="17" s="1"/>
  <c r="J262" i="17"/>
  <c r="I262" i="17"/>
  <c r="K262" i="17" s="1"/>
  <c r="L262" i="17" s="1"/>
  <c r="J261" i="17"/>
  <c r="I261" i="17"/>
  <c r="K261" i="17" s="1"/>
  <c r="J260" i="17"/>
  <c r="I260" i="17"/>
  <c r="K260" i="17" s="1"/>
  <c r="J259" i="17"/>
  <c r="I259" i="17"/>
  <c r="K259" i="17" s="1"/>
  <c r="J258" i="17"/>
  <c r="I258" i="17"/>
  <c r="K258" i="17" s="1"/>
  <c r="J257" i="17"/>
  <c r="I257" i="17"/>
  <c r="K257" i="17" s="1"/>
  <c r="J256" i="17"/>
  <c r="I256" i="17"/>
  <c r="K256" i="17" s="1"/>
  <c r="J255" i="17"/>
  <c r="I255" i="17"/>
  <c r="K255" i="17" s="1"/>
  <c r="J254" i="17"/>
  <c r="I254" i="17"/>
  <c r="K254" i="17" s="1"/>
  <c r="L254" i="17" s="1"/>
  <c r="J253" i="17"/>
  <c r="I253" i="17"/>
  <c r="K253" i="17" s="1"/>
  <c r="J252" i="17"/>
  <c r="I252" i="17"/>
  <c r="K252" i="17" s="1"/>
  <c r="J251" i="17"/>
  <c r="I251" i="17"/>
  <c r="K251" i="17" s="1"/>
  <c r="J250" i="17"/>
  <c r="I250" i="17"/>
  <c r="K250" i="17" s="1"/>
  <c r="J249" i="17"/>
  <c r="I249" i="17"/>
  <c r="K249" i="17" s="1"/>
  <c r="J248" i="17"/>
  <c r="I248" i="17"/>
  <c r="K248" i="17" s="1"/>
  <c r="J247" i="17"/>
  <c r="I247" i="17"/>
  <c r="K247" i="17" s="1"/>
  <c r="J246" i="17"/>
  <c r="I246" i="17"/>
  <c r="K246" i="17" s="1"/>
  <c r="J245" i="17"/>
  <c r="I245" i="17"/>
  <c r="K245" i="17" s="1"/>
  <c r="J244" i="17"/>
  <c r="I244" i="17"/>
  <c r="K244" i="17" s="1"/>
  <c r="J243" i="17"/>
  <c r="I243" i="17"/>
  <c r="K243" i="17" s="1"/>
  <c r="J242" i="17"/>
  <c r="I242" i="17"/>
  <c r="K242" i="17" s="1"/>
  <c r="J241" i="17"/>
  <c r="I241" i="17"/>
  <c r="K241" i="17" s="1"/>
  <c r="J240" i="17"/>
  <c r="I240" i="17"/>
  <c r="K240" i="17" s="1"/>
  <c r="J239" i="17"/>
  <c r="I239" i="17"/>
  <c r="K239" i="17" s="1"/>
  <c r="J238" i="17"/>
  <c r="I238" i="17"/>
  <c r="K238" i="17" s="1"/>
  <c r="J237" i="17"/>
  <c r="I237" i="17"/>
  <c r="K237" i="17" s="1"/>
  <c r="J236" i="17"/>
  <c r="I236" i="17"/>
  <c r="K236" i="17" s="1"/>
  <c r="J235" i="17"/>
  <c r="I235" i="17"/>
  <c r="K235" i="17" s="1"/>
  <c r="J234" i="17"/>
  <c r="I234" i="17"/>
  <c r="K234" i="17" s="1"/>
  <c r="J233" i="17"/>
  <c r="I233" i="17"/>
  <c r="K233" i="17" s="1"/>
  <c r="J232" i="17"/>
  <c r="I232" i="17"/>
  <c r="K232" i="17" s="1"/>
  <c r="J231" i="17"/>
  <c r="I231" i="17"/>
  <c r="K231" i="17" s="1"/>
  <c r="J230" i="17"/>
  <c r="I230" i="17"/>
  <c r="K230" i="17" s="1"/>
  <c r="J229" i="17"/>
  <c r="I229" i="17"/>
  <c r="K229" i="17" s="1"/>
  <c r="J228" i="17"/>
  <c r="I228" i="17"/>
  <c r="K228" i="17" s="1"/>
  <c r="J227" i="17"/>
  <c r="I227" i="17"/>
  <c r="K227" i="17" s="1"/>
  <c r="J226" i="17"/>
  <c r="I226" i="17"/>
  <c r="K226" i="17" s="1"/>
  <c r="J225" i="17"/>
  <c r="I225" i="17"/>
  <c r="K225" i="17" s="1"/>
  <c r="J224" i="17"/>
  <c r="I224" i="17"/>
  <c r="K224" i="17" s="1"/>
  <c r="J223" i="17"/>
  <c r="I223" i="17"/>
  <c r="K223" i="17" s="1"/>
  <c r="L223" i="17" s="1"/>
  <c r="J222" i="17"/>
  <c r="I222" i="17"/>
  <c r="K222" i="17" s="1"/>
  <c r="J221" i="17"/>
  <c r="I221" i="17"/>
  <c r="K221" i="17" s="1"/>
  <c r="J220" i="17"/>
  <c r="I220" i="17"/>
  <c r="K220" i="17" s="1"/>
  <c r="J219" i="17"/>
  <c r="I219" i="17"/>
  <c r="K219" i="17" s="1"/>
  <c r="L219" i="17" s="1"/>
  <c r="J218" i="17"/>
  <c r="I218" i="17"/>
  <c r="K218" i="17" s="1"/>
  <c r="J217" i="17"/>
  <c r="I217" i="17"/>
  <c r="K217" i="17" s="1"/>
  <c r="J216" i="17"/>
  <c r="I216" i="17"/>
  <c r="K216" i="17" s="1"/>
  <c r="J215" i="17"/>
  <c r="I215" i="17"/>
  <c r="K215" i="17" s="1"/>
  <c r="J214" i="17"/>
  <c r="I214" i="17"/>
  <c r="K214" i="17" s="1"/>
  <c r="J213" i="17"/>
  <c r="I213" i="17"/>
  <c r="K213" i="17" s="1"/>
  <c r="J212" i="17"/>
  <c r="I212" i="17"/>
  <c r="K212" i="17" s="1"/>
  <c r="J211" i="17"/>
  <c r="I211" i="17"/>
  <c r="K211" i="17" s="1"/>
  <c r="J210" i="17"/>
  <c r="I210" i="17"/>
  <c r="K210" i="17" s="1"/>
  <c r="J209" i="17"/>
  <c r="I209" i="17"/>
  <c r="K209" i="17" s="1"/>
  <c r="J208" i="17"/>
  <c r="I208" i="17"/>
  <c r="K208" i="17" s="1"/>
  <c r="J207" i="17"/>
  <c r="I207" i="17"/>
  <c r="K207" i="17" s="1"/>
  <c r="L207" i="17" s="1"/>
  <c r="J206" i="17"/>
  <c r="I206" i="17"/>
  <c r="K206" i="17" s="1"/>
  <c r="L206" i="17" s="1"/>
  <c r="J205" i="17"/>
  <c r="I205" i="17"/>
  <c r="K205" i="17" s="1"/>
  <c r="J204" i="17"/>
  <c r="I204" i="17"/>
  <c r="K204" i="17" s="1"/>
  <c r="J203" i="17"/>
  <c r="I203" i="17"/>
  <c r="K203" i="17" s="1"/>
  <c r="J202" i="17"/>
  <c r="I202" i="17"/>
  <c r="K202" i="17" s="1"/>
  <c r="J201" i="17"/>
  <c r="I201" i="17"/>
  <c r="K201" i="17" s="1"/>
  <c r="J200" i="17"/>
  <c r="I200" i="17"/>
  <c r="K200" i="17" s="1"/>
  <c r="J199" i="17"/>
  <c r="I199" i="17"/>
  <c r="K199" i="17" s="1"/>
  <c r="J198" i="17"/>
  <c r="I198" i="17"/>
  <c r="K198" i="17" s="1"/>
  <c r="J197" i="17"/>
  <c r="I197" i="17"/>
  <c r="K197" i="17" s="1"/>
  <c r="J196" i="17"/>
  <c r="I196" i="17"/>
  <c r="K196" i="17" s="1"/>
  <c r="J195" i="17"/>
  <c r="I195" i="17"/>
  <c r="K195" i="17" s="1"/>
  <c r="J194" i="17"/>
  <c r="I194" i="17"/>
  <c r="K194" i="17" s="1"/>
  <c r="J193" i="17"/>
  <c r="I193" i="17"/>
  <c r="K193" i="17" s="1"/>
  <c r="J192" i="17"/>
  <c r="I192" i="17"/>
  <c r="K192" i="17" s="1"/>
  <c r="J191" i="17"/>
  <c r="I191" i="17"/>
  <c r="K191" i="17" s="1"/>
  <c r="J190" i="17"/>
  <c r="I190" i="17"/>
  <c r="K190" i="17" s="1"/>
  <c r="J189" i="17"/>
  <c r="I189" i="17"/>
  <c r="K189" i="17" s="1"/>
  <c r="J188" i="17"/>
  <c r="I188" i="17"/>
  <c r="K188" i="17" s="1"/>
  <c r="J187" i="17"/>
  <c r="I187" i="17"/>
  <c r="K187" i="17" s="1"/>
  <c r="J186" i="17"/>
  <c r="I186" i="17"/>
  <c r="K186" i="17" s="1"/>
  <c r="J185" i="17"/>
  <c r="I185" i="17"/>
  <c r="K185" i="17" s="1"/>
  <c r="J184" i="17"/>
  <c r="I184" i="17"/>
  <c r="K184" i="17" s="1"/>
  <c r="J183" i="17"/>
  <c r="I183" i="17"/>
  <c r="K183" i="17" s="1"/>
  <c r="J182" i="17"/>
  <c r="I182" i="17"/>
  <c r="K182" i="17" s="1"/>
  <c r="J181" i="17"/>
  <c r="I181" i="17"/>
  <c r="K181" i="17" s="1"/>
  <c r="J180" i="17"/>
  <c r="I180" i="17"/>
  <c r="K180" i="17" s="1"/>
  <c r="J179" i="17"/>
  <c r="I179" i="17"/>
  <c r="K179" i="17" s="1"/>
  <c r="J178" i="17"/>
  <c r="I178" i="17"/>
  <c r="K178" i="17" s="1"/>
  <c r="J177" i="17"/>
  <c r="I177" i="17"/>
  <c r="K177" i="17" s="1"/>
  <c r="J176" i="17"/>
  <c r="I176" i="17"/>
  <c r="K176" i="17" s="1"/>
  <c r="J175" i="17"/>
  <c r="I175" i="17"/>
  <c r="K175" i="17" s="1"/>
  <c r="J174" i="17"/>
  <c r="I174" i="17"/>
  <c r="K174" i="17" s="1"/>
  <c r="J173" i="17"/>
  <c r="I173" i="17"/>
  <c r="K173" i="17" s="1"/>
  <c r="J172" i="17"/>
  <c r="I172" i="17"/>
  <c r="K172" i="17" s="1"/>
  <c r="J171" i="17"/>
  <c r="I171" i="17"/>
  <c r="K171" i="17" s="1"/>
  <c r="J170" i="17"/>
  <c r="I170" i="17"/>
  <c r="K170" i="17" s="1"/>
  <c r="J169" i="17"/>
  <c r="I169" i="17"/>
  <c r="K169" i="17" s="1"/>
  <c r="J168" i="17"/>
  <c r="I168" i="17"/>
  <c r="K168" i="17" s="1"/>
  <c r="J167" i="17"/>
  <c r="I167" i="17"/>
  <c r="K167" i="17" s="1"/>
  <c r="J166" i="17"/>
  <c r="I166" i="17"/>
  <c r="K166" i="17" s="1"/>
  <c r="J165" i="17"/>
  <c r="I165" i="17"/>
  <c r="K165" i="17" s="1"/>
  <c r="J164" i="17"/>
  <c r="I164" i="17"/>
  <c r="K164" i="17" s="1"/>
  <c r="J163" i="17"/>
  <c r="I163" i="17"/>
  <c r="K163" i="17" s="1"/>
  <c r="J162" i="17"/>
  <c r="I162" i="17"/>
  <c r="K162" i="17" s="1"/>
  <c r="J161" i="17"/>
  <c r="I161" i="17"/>
  <c r="K161" i="17" s="1"/>
  <c r="J160" i="17"/>
  <c r="I160" i="17"/>
  <c r="K160" i="17" s="1"/>
  <c r="J159" i="17"/>
  <c r="I159" i="17"/>
  <c r="K159" i="17" s="1"/>
  <c r="J158" i="17"/>
  <c r="I158" i="17"/>
  <c r="K158" i="17" s="1"/>
  <c r="J157" i="17"/>
  <c r="I157" i="17"/>
  <c r="K157" i="17" s="1"/>
  <c r="J156" i="17"/>
  <c r="I156" i="17"/>
  <c r="K156" i="17" s="1"/>
  <c r="J155" i="17"/>
  <c r="I155" i="17"/>
  <c r="K155" i="17" s="1"/>
  <c r="J154" i="17"/>
  <c r="I154" i="17"/>
  <c r="K154" i="17" s="1"/>
  <c r="J153" i="17"/>
  <c r="I153" i="17"/>
  <c r="K153" i="17" s="1"/>
  <c r="J152" i="17"/>
  <c r="I152" i="17"/>
  <c r="K152" i="17" s="1"/>
  <c r="J151" i="17"/>
  <c r="I151" i="17"/>
  <c r="K151" i="17" s="1"/>
  <c r="J150" i="17"/>
  <c r="I150" i="17"/>
  <c r="K150" i="17" s="1"/>
  <c r="J149" i="17"/>
  <c r="I149" i="17"/>
  <c r="K149" i="17" s="1"/>
  <c r="J148" i="17"/>
  <c r="I148" i="17"/>
  <c r="K148" i="17" s="1"/>
  <c r="J147" i="17"/>
  <c r="I147" i="17"/>
  <c r="K147" i="17" s="1"/>
  <c r="J146" i="17"/>
  <c r="I146" i="17"/>
  <c r="K146" i="17" s="1"/>
  <c r="L146" i="17" s="1"/>
  <c r="J145" i="17"/>
  <c r="I145" i="17"/>
  <c r="K145" i="17" s="1"/>
  <c r="J144" i="17"/>
  <c r="I144" i="17"/>
  <c r="K144" i="17" s="1"/>
  <c r="J143" i="17"/>
  <c r="I143" i="17"/>
  <c r="K143" i="17" s="1"/>
  <c r="J142" i="17"/>
  <c r="I142" i="17"/>
  <c r="K142" i="17" s="1"/>
  <c r="L142" i="17" s="1"/>
  <c r="J141" i="17"/>
  <c r="I141" i="17"/>
  <c r="K141" i="17" s="1"/>
  <c r="J140" i="17"/>
  <c r="I140" i="17"/>
  <c r="K140" i="17" s="1"/>
  <c r="J139" i="17"/>
  <c r="I139" i="17"/>
  <c r="K139" i="17" s="1"/>
  <c r="J138" i="17"/>
  <c r="I138" i="17"/>
  <c r="K138" i="17" s="1"/>
  <c r="J137" i="17"/>
  <c r="I137" i="17"/>
  <c r="K137" i="17" s="1"/>
  <c r="J136" i="17"/>
  <c r="I136" i="17"/>
  <c r="K136" i="17" s="1"/>
  <c r="J135" i="17"/>
  <c r="I135" i="17"/>
  <c r="K135" i="17" s="1"/>
  <c r="J134" i="17"/>
  <c r="I134" i="17"/>
  <c r="K134" i="17" s="1"/>
  <c r="J133" i="17"/>
  <c r="I133" i="17"/>
  <c r="K133" i="17" s="1"/>
  <c r="J132" i="17"/>
  <c r="I132" i="17"/>
  <c r="K132" i="17" s="1"/>
  <c r="J131" i="17"/>
  <c r="I131" i="17"/>
  <c r="K131" i="17" s="1"/>
  <c r="J130" i="17"/>
  <c r="I130" i="17"/>
  <c r="K130" i="17" s="1"/>
  <c r="J129" i="17"/>
  <c r="I129" i="17"/>
  <c r="K129" i="17" s="1"/>
  <c r="J128" i="17"/>
  <c r="I128" i="17"/>
  <c r="K128" i="17" s="1"/>
  <c r="J127" i="17"/>
  <c r="I127" i="17"/>
  <c r="K127" i="17" s="1"/>
  <c r="L127" i="17" s="1"/>
  <c r="J126" i="17"/>
  <c r="I126" i="17"/>
  <c r="K126" i="17" s="1"/>
  <c r="J125" i="17"/>
  <c r="I125" i="17"/>
  <c r="K125" i="17" s="1"/>
  <c r="J124" i="17"/>
  <c r="I124" i="17"/>
  <c r="K124" i="17" s="1"/>
  <c r="J123" i="17"/>
  <c r="I123" i="17"/>
  <c r="K123" i="17" s="1"/>
  <c r="J122" i="17"/>
  <c r="I122" i="17"/>
  <c r="K122" i="17" s="1"/>
  <c r="J121" i="17"/>
  <c r="I121" i="17"/>
  <c r="K121" i="17" s="1"/>
  <c r="J120" i="17"/>
  <c r="I120" i="17"/>
  <c r="K120" i="17" s="1"/>
  <c r="J119" i="17"/>
  <c r="I119" i="17"/>
  <c r="K119" i="17" s="1"/>
  <c r="J118" i="17"/>
  <c r="I118" i="17"/>
  <c r="K118" i="17" s="1"/>
  <c r="J117" i="17"/>
  <c r="I117" i="17"/>
  <c r="K117" i="17" s="1"/>
  <c r="J116" i="17"/>
  <c r="I116" i="17"/>
  <c r="K116" i="17" s="1"/>
  <c r="J115" i="17"/>
  <c r="I115" i="17"/>
  <c r="K115" i="17" s="1"/>
  <c r="L115" i="17" s="1"/>
  <c r="J114" i="17"/>
  <c r="I114" i="17"/>
  <c r="K114" i="17" s="1"/>
  <c r="L114" i="17" s="1"/>
  <c r="J113" i="17"/>
  <c r="I113" i="17"/>
  <c r="K113" i="17" s="1"/>
  <c r="J112" i="17"/>
  <c r="I112" i="17"/>
  <c r="K112" i="17" s="1"/>
  <c r="J111" i="17"/>
  <c r="I111" i="17"/>
  <c r="K111" i="17" s="1"/>
  <c r="J110" i="17"/>
  <c r="I110" i="17"/>
  <c r="K110" i="17" s="1"/>
  <c r="J109" i="17"/>
  <c r="I109" i="17"/>
  <c r="K109" i="17" s="1"/>
  <c r="J108" i="17"/>
  <c r="I108" i="17"/>
  <c r="K108" i="17" s="1"/>
  <c r="J107" i="17"/>
  <c r="I107" i="17"/>
  <c r="K107" i="17" s="1"/>
  <c r="J106" i="17"/>
  <c r="I106" i="17"/>
  <c r="K106" i="17" s="1"/>
  <c r="J105" i="17"/>
  <c r="I105" i="17"/>
  <c r="K105" i="17" s="1"/>
  <c r="J104" i="17"/>
  <c r="I104" i="17"/>
  <c r="K104" i="17" s="1"/>
  <c r="J103" i="17"/>
  <c r="I103" i="17"/>
  <c r="K103" i="17" s="1"/>
  <c r="J102" i="17"/>
  <c r="I102" i="17"/>
  <c r="K102" i="17" s="1"/>
  <c r="J101" i="17"/>
  <c r="I101" i="17"/>
  <c r="K101" i="17" s="1"/>
  <c r="J100" i="17"/>
  <c r="I100" i="17"/>
  <c r="K100" i="17" s="1"/>
  <c r="J99" i="17"/>
  <c r="I99" i="17"/>
  <c r="K99" i="17" s="1"/>
  <c r="J98" i="17"/>
  <c r="I98" i="17"/>
  <c r="K98" i="17" s="1"/>
  <c r="J97" i="17"/>
  <c r="I97" i="17"/>
  <c r="K97" i="17" s="1"/>
  <c r="J96" i="17"/>
  <c r="I96" i="17"/>
  <c r="K96" i="17" s="1"/>
  <c r="J95" i="17"/>
  <c r="I95" i="17"/>
  <c r="K95" i="17" s="1"/>
  <c r="J94" i="17"/>
  <c r="I94" i="17"/>
  <c r="K94" i="17" s="1"/>
  <c r="J93" i="17"/>
  <c r="I93" i="17"/>
  <c r="K93" i="17" s="1"/>
  <c r="J92" i="17"/>
  <c r="I92" i="17"/>
  <c r="K92" i="17" s="1"/>
  <c r="J91" i="17"/>
  <c r="I91" i="17"/>
  <c r="K91" i="17" s="1"/>
  <c r="J90" i="17"/>
  <c r="I90" i="17"/>
  <c r="K90" i="17" s="1"/>
  <c r="J89" i="17"/>
  <c r="I89" i="17"/>
  <c r="K89" i="17" s="1"/>
  <c r="J88" i="17"/>
  <c r="I88" i="17"/>
  <c r="K88" i="17" s="1"/>
  <c r="J87" i="17"/>
  <c r="I87" i="17"/>
  <c r="K87" i="17" s="1"/>
  <c r="J86" i="17"/>
  <c r="I86" i="17"/>
  <c r="K86" i="17" s="1"/>
  <c r="J85" i="17"/>
  <c r="I85" i="17"/>
  <c r="K85" i="17" s="1"/>
  <c r="J84" i="17"/>
  <c r="I84" i="17"/>
  <c r="K84" i="17" s="1"/>
  <c r="J83" i="17"/>
  <c r="I83" i="17"/>
  <c r="K83" i="17" s="1"/>
  <c r="J82" i="17"/>
  <c r="I82" i="17"/>
  <c r="K82" i="17" s="1"/>
  <c r="J81" i="17"/>
  <c r="I81" i="17"/>
  <c r="K81" i="17" s="1"/>
  <c r="J80" i="17"/>
  <c r="I80" i="17"/>
  <c r="K80" i="17" s="1"/>
  <c r="J79" i="17"/>
  <c r="I79" i="17"/>
  <c r="K79" i="17" s="1"/>
  <c r="J78" i="17"/>
  <c r="I78" i="17"/>
  <c r="K78" i="17" s="1"/>
  <c r="L78" i="17" s="1"/>
  <c r="J77" i="17"/>
  <c r="I77" i="17"/>
  <c r="K77" i="17" s="1"/>
  <c r="J76" i="17"/>
  <c r="I76" i="17"/>
  <c r="K76" i="17" s="1"/>
  <c r="J75" i="17"/>
  <c r="I75" i="17"/>
  <c r="K75" i="17" s="1"/>
  <c r="J74" i="17"/>
  <c r="I74" i="17"/>
  <c r="K74" i="17" s="1"/>
  <c r="L74" i="17" s="1"/>
  <c r="J73" i="17"/>
  <c r="I73" i="17"/>
  <c r="K73" i="17" s="1"/>
  <c r="J72" i="17"/>
  <c r="I72" i="17"/>
  <c r="K72" i="17" s="1"/>
  <c r="J71" i="17"/>
  <c r="I71" i="17"/>
  <c r="K71" i="17" s="1"/>
  <c r="J70" i="17"/>
  <c r="I70" i="17"/>
  <c r="K70" i="17" s="1"/>
  <c r="J69" i="17"/>
  <c r="I69" i="17"/>
  <c r="K69" i="17" s="1"/>
  <c r="J68" i="17"/>
  <c r="I68" i="17"/>
  <c r="K68" i="17" s="1"/>
  <c r="J67" i="17"/>
  <c r="I67" i="17"/>
  <c r="K67" i="17" s="1"/>
  <c r="J66" i="17"/>
  <c r="I66" i="17"/>
  <c r="K66" i="17" s="1"/>
  <c r="J65" i="17"/>
  <c r="I65" i="17"/>
  <c r="K65" i="17" s="1"/>
  <c r="J64" i="17"/>
  <c r="I64" i="17"/>
  <c r="K64" i="17" s="1"/>
  <c r="J63" i="17"/>
  <c r="I63" i="17"/>
  <c r="K63" i="17" s="1"/>
  <c r="J62" i="17"/>
  <c r="I62" i="17"/>
  <c r="K62" i="17" s="1"/>
  <c r="J61" i="17"/>
  <c r="I61" i="17"/>
  <c r="K61" i="17" s="1"/>
  <c r="J60" i="17"/>
  <c r="I60" i="17"/>
  <c r="K60" i="17" s="1"/>
  <c r="J59" i="17"/>
  <c r="I59" i="17"/>
  <c r="K59" i="17" s="1"/>
  <c r="J58" i="17"/>
  <c r="I58" i="17"/>
  <c r="K58" i="17" s="1"/>
  <c r="J57" i="17"/>
  <c r="I57" i="17"/>
  <c r="K57" i="17" s="1"/>
  <c r="J56" i="17"/>
  <c r="I56" i="17"/>
  <c r="K56" i="17" s="1"/>
  <c r="J55" i="17"/>
  <c r="I55" i="17"/>
  <c r="K55" i="17" s="1"/>
  <c r="L55" i="17" s="1"/>
  <c r="J54" i="17"/>
  <c r="I54" i="17"/>
  <c r="K54" i="17" s="1"/>
  <c r="J53" i="17"/>
  <c r="I53" i="17"/>
  <c r="K53" i="17" s="1"/>
  <c r="J52" i="17"/>
  <c r="I52" i="17"/>
  <c r="K52" i="17" s="1"/>
  <c r="J51" i="17"/>
  <c r="I51" i="17"/>
  <c r="K51" i="17" s="1"/>
  <c r="J50" i="17"/>
  <c r="I50" i="17"/>
  <c r="K50" i="17" s="1"/>
  <c r="J49" i="17"/>
  <c r="I49" i="17"/>
  <c r="K49" i="17" s="1"/>
  <c r="J48" i="17"/>
  <c r="I48" i="17"/>
  <c r="K48" i="17" s="1"/>
  <c r="J47" i="17"/>
  <c r="I47" i="17"/>
  <c r="K47" i="17" s="1"/>
  <c r="J46" i="17"/>
  <c r="I46" i="17"/>
  <c r="K46" i="17" s="1"/>
  <c r="J45" i="17"/>
  <c r="I45" i="17"/>
  <c r="K45" i="17" s="1"/>
  <c r="J44" i="17"/>
  <c r="I44" i="17"/>
  <c r="K44" i="17" s="1"/>
  <c r="J43" i="17"/>
  <c r="I43" i="17"/>
  <c r="K43" i="17" s="1"/>
  <c r="J42" i="17"/>
  <c r="I42" i="17"/>
  <c r="K42" i="17" s="1"/>
  <c r="J41" i="17"/>
  <c r="I41" i="17"/>
  <c r="K41" i="17" s="1"/>
  <c r="J40" i="17"/>
  <c r="I40" i="17"/>
  <c r="K40" i="17" s="1"/>
  <c r="J39" i="17"/>
  <c r="I39" i="17"/>
  <c r="K39" i="17" s="1"/>
  <c r="J38" i="17"/>
  <c r="I38" i="17"/>
  <c r="K38" i="17" s="1"/>
  <c r="J37" i="17"/>
  <c r="I37" i="17"/>
  <c r="K37" i="17" s="1"/>
  <c r="J36" i="17"/>
  <c r="I36" i="17"/>
  <c r="K36" i="17" s="1"/>
  <c r="J35" i="17"/>
  <c r="I35" i="17"/>
  <c r="K35" i="17" s="1"/>
  <c r="L35" i="17" s="1"/>
  <c r="J34" i="17"/>
  <c r="I34" i="17"/>
  <c r="K34" i="17" s="1"/>
  <c r="J33" i="17"/>
  <c r="I33" i="17"/>
  <c r="K33" i="17" s="1"/>
  <c r="J32" i="17"/>
  <c r="I32" i="17"/>
  <c r="K32" i="17" s="1"/>
  <c r="J31" i="17"/>
  <c r="I31" i="17"/>
  <c r="K31" i="17" s="1"/>
  <c r="L31" i="17" s="1"/>
  <c r="J30" i="17"/>
  <c r="I30" i="17"/>
  <c r="K30" i="17" s="1"/>
  <c r="J29" i="17"/>
  <c r="I29" i="17"/>
  <c r="K29" i="17" s="1"/>
  <c r="J28" i="17"/>
  <c r="I28" i="17"/>
  <c r="K28" i="17" s="1"/>
  <c r="J27" i="17"/>
  <c r="I27" i="17"/>
  <c r="K27" i="17" s="1"/>
  <c r="J26" i="17"/>
  <c r="I26" i="17"/>
  <c r="K26" i="17" s="1"/>
  <c r="J25" i="17"/>
  <c r="I25" i="17"/>
  <c r="K25" i="17" s="1"/>
  <c r="J24" i="17"/>
  <c r="I24" i="17"/>
  <c r="K24" i="17" s="1"/>
  <c r="J23" i="17"/>
  <c r="I23" i="17"/>
  <c r="K23" i="17" s="1"/>
  <c r="J22" i="17"/>
  <c r="I22" i="17"/>
  <c r="K22" i="17" s="1"/>
  <c r="L22" i="17" s="1"/>
  <c r="J21" i="17"/>
  <c r="I21" i="17"/>
  <c r="K21" i="17" s="1"/>
  <c r="J20" i="17"/>
  <c r="I20" i="17"/>
  <c r="K20" i="17" s="1"/>
  <c r="J19" i="17"/>
  <c r="I19" i="17"/>
  <c r="K19" i="17" s="1"/>
  <c r="J18" i="17"/>
  <c r="I18" i="17"/>
  <c r="K18" i="17" s="1"/>
  <c r="L18" i="17" s="1"/>
  <c r="J17" i="17"/>
  <c r="I17" i="17"/>
  <c r="K17" i="17" s="1"/>
  <c r="J16" i="17"/>
  <c r="I16" i="17"/>
  <c r="K16" i="17" s="1"/>
  <c r="J15" i="17"/>
  <c r="I15" i="17"/>
  <c r="K15" i="17" s="1"/>
  <c r="J14" i="17"/>
  <c r="I14" i="17"/>
  <c r="K14" i="17" s="1"/>
  <c r="J13" i="17"/>
  <c r="I13" i="17"/>
  <c r="K13" i="17" s="1"/>
  <c r="J12" i="17"/>
  <c r="I12" i="17"/>
  <c r="K12" i="17" s="1"/>
  <c r="J11" i="17"/>
  <c r="I11" i="17"/>
  <c r="K11" i="17" s="1"/>
  <c r="J10" i="17"/>
  <c r="I10" i="17"/>
  <c r="K10" i="17" s="1"/>
  <c r="J9" i="17"/>
  <c r="I9" i="17"/>
  <c r="K9" i="17" s="1"/>
  <c r="J8" i="17"/>
  <c r="I8" i="17"/>
  <c r="K8" i="17" s="1"/>
  <c r="J7" i="17"/>
  <c r="I7" i="17"/>
  <c r="K7" i="17" s="1"/>
  <c r="J6" i="17"/>
  <c r="I6" i="17"/>
  <c r="K6" i="17" s="1"/>
  <c r="J5" i="17"/>
  <c r="I5" i="17"/>
  <c r="K5" i="17" s="1"/>
  <c r="J4" i="17"/>
  <c r="I4" i="17"/>
  <c r="K4" i="17" s="1"/>
  <c r="J3" i="17"/>
  <c r="I3" i="17"/>
  <c r="K3" i="17" s="1"/>
  <c r="J2" i="17"/>
  <c r="I2" i="17"/>
  <c r="K2" i="17" s="1"/>
  <c r="J322" i="16"/>
  <c r="I322" i="16"/>
  <c r="K322" i="16" s="1"/>
  <c r="J321" i="16"/>
  <c r="I321" i="16"/>
  <c r="K321" i="16" s="1"/>
  <c r="J320" i="16"/>
  <c r="I320" i="16"/>
  <c r="K320" i="16" s="1"/>
  <c r="J319" i="16"/>
  <c r="I319" i="16"/>
  <c r="K319" i="16" s="1"/>
  <c r="J318" i="16"/>
  <c r="I318" i="16"/>
  <c r="K318" i="16" s="1"/>
  <c r="J317" i="16"/>
  <c r="I317" i="16"/>
  <c r="K317" i="16" s="1"/>
  <c r="J316" i="16"/>
  <c r="I316" i="16"/>
  <c r="K316" i="16" s="1"/>
  <c r="J315" i="16"/>
  <c r="I315" i="16"/>
  <c r="K315" i="16" s="1"/>
  <c r="J314" i="16"/>
  <c r="I314" i="16"/>
  <c r="K314" i="16" s="1"/>
  <c r="J313" i="16"/>
  <c r="I313" i="16"/>
  <c r="K313" i="16" s="1"/>
  <c r="J312" i="16"/>
  <c r="I312" i="16"/>
  <c r="K312" i="16" s="1"/>
  <c r="J311" i="16"/>
  <c r="I311" i="16"/>
  <c r="K311" i="16" s="1"/>
  <c r="J310" i="16"/>
  <c r="I310" i="16"/>
  <c r="K310" i="16" s="1"/>
  <c r="J309" i="16"/>
  <c r="I309" i="16"/>
  <c r="K309" i="16" s="1"/>
  <c r="J308" i="16"/>
  <c r="I308" i="16"/>
  <c r="K308" i="16" s="1"/>
  <c r="J307" i="16"/>
  <c r="I307" i="16"/>
  <c r="K307" i="16" s="1"/>
  <c r="J306" i="16"/>
  <c r="I306" i="16"/>
  <c r="K306" i="16" s="1"/>
  <c r="J305" i="16"/>
  <c r="I305" i="16"/>
  <c r="K305" i="16" s="1"/>
  <c r="J304" i="16"/>
  <c r="I304" i="16"/>
  <c r="K304" i="16" s="1"/>
  <c r="J303" i="16"/>
  <c r="I303" i="16"/>
  <c r="K303" i="16" s="1"/>
  <c r="J302" i="16"/>
  <c r="I302" i="16"/>
  <c r="K302" i="16" s="1"/>
  <c r="J301" i="16"/>
  <c r="I301" i="16"/>
  <c r="K301" i="16" s="1"/>
  <c r="J300" i="16"/>
  <c r="I300" i="16"/>
  <c r="K300" i="16" s="1"/>
  <c r="J299" i="16"/>
  <c r="I299" i="16"/>
  <c r="K299" i="16" s="1"/>
  <c r="J298" i="16"/>
  <c r="I298" i="16"/>
  <c r="K298" i="16" s="1"/>
  <c r="J297" i="16"/>
  <c r="I297" i="16"/>
  <c r="K297" i="16" s="1"/>
  <c r="J296" i="16"/>
  <c r="I296" i="16"/>
  <c r="K296" i="16" s="1"/>
  <c r="J295" i="16"/>
  <c r="I295" i="16"/>
  <c r="K295" i="16" s="1"/>
  <c r="J294" i="16"/>
  <c r="I294" i="16"/>
  <c r="K294" i="16" s="1"/>
  <c r="J293" i="16"/>
  <c r="I293" i="16"/>
  <c r="K293" i="16" s="1"/>
  <c r="J292" i="16"/>
  <c r="I292" i="16"/>
  <c r="K292" i="16" s="1"/>
  <c r="J291" i="16"/>
  <c r="I291" i="16"/>
  <c r="K291" i="16" s="1"/>
  <c r="J290" i="16"/>
  <c r="I290" i="16"/>
  <c r="K290" i="16" s="1"/>
  <c r="J289" i="16"/>
  <c r="I289" i="16"/>
  <c r="K289" i="16" s="1"/>
  <c r="J288" i="16"/>
  <c r="I288" i="16"/>
  <c r="K288" i="16" s="1"/>
  <c r="J287" i="16"/>
  <c r="I287" i="16"/>
  <c r="K287" i="16" s="1"/>
  <c r="J286" i="16"/>
  <c r="I286" i="16"/>
  <c r="K286" i="16" s="1"/>
  <c r="J285" i="16"/>
  <c r="I285" i="16"/>
  <c r="K285" i="16" s="1"/>
  <c r="J284" i="16"/>
  <c r="I284" i="16"/>
  <c r="K284" i="16" s="1"/>
  <c r="J283" i="16"/>
  <c r="I283" i="16"/>
  <c r="K283" i="16" s="1"/>
  <c r="J282" i="16"/>
  <c r="I282" i="16"/>
  <c r="K282" i="16" s="1"/>
  <c r="J281" i="16"/>
  <c r="I281" i="16"/>
  <c r="K281" i="16" s="1"/>
  <c r="J280" i="16"/>
  <c r="I280" i="16"/>
  <c r="K280" i="16" s="1"/>
  <c r="J279" i="16"/>
  <c r="I279" i="16"/>
  <c r="K279" i="16" s="1"/>
  <c r="J278" i="16"/>
  <c r="I278" i="16"/>
  <c r="K278" i="16" s="1"/>
  <c r="J277" i="16"/>
  <c r="I277" i="16"/>
  <c r="K277" i="16" s="1"/>
  <c r="J276" i="16"/>
  <c r="I276" i="16"/>
  <c r="K276" i="16" s="1"/>
  <c r="J275" i="16"/>
  <c r="I275" i="16"/>
  <c r="K275" i="16" s="1"/>
  <c r="J274" i="16"/>
  <c r="I274" i="16"/>
  <c r="K274" i="16" s="1"/>
  <c r="J273" i="16"/>
  <c r="I273" i="16"/>
  <c r="K273" i="16" s="1"/>
  <c r="J272" i="16"/>
  <c r="I272" i="16"/>
  <c r="K272" i="16" s="1"/>
  <c r="J271" i="16"/>
  <c r="I271" i="16"/>
  <c r="K271" i="16" s="1"/>
  <c r="J270" i="16"/>
  <c r="I270" i="16"/>
  <c r="K270" i="16" s="1"/>
  <c r="J269" i="16"/>
  <c r="I269" i="16"/>
  <c r="K269" i="16" s="1"/>
  <c r="J268" i="16"/>
  <c r="I268" i="16"/>
  <c r="K268" i="16" s="1"/>
  <c r="J267" i="16"/>
  <c r="I267" i="16"/>
  <c r="K267" i="16" s="1"/>
  <c r="J266" i="16"/>
  <c r="I266" i="16"/>
  <c r="K266" i="16" s="1"/>
  <c r="J265" i="16"/>
  <c r="I265" i="16"/>
  <c r="K265" i="16" s="1"/>
  <c r="J264" i="16"/>
  <c r="I264" i="16"/>
  <c r="K264" i="16" s="1"/>
  <c r="J263" i="16"/>
  <c r="I263" i="16"/>
  <c r="K263" i="16" s="1"/>
  <c r="J262" i="16"/>
  <c r="I262" i="16"/>
  <c r="K262" i="16" s="1"/>
  <c r="J261" i="16"/>
  <c r="I261" i="16"/>
  <c r="K261" i="16" s="1"/>
  <c r="J260" i="16"/>
  <c r="I260" i="16"/>
  <c r="K260" i="16" s="1"/>
  <c r="J259" i="16"/>
  <c r="I259" i="16"/>
  <c r="K259" i="16" s="1"/>
  <c r="J258" i="16"/>
  <c r="I258" i="16"/>
  <c r="K258" i="16" s="1"/>
  <c r="L258" i="16" s="1"/>
  <c r="J257" i="16"/>
  <c r="I257" i="16"/>
  <c r="K257" i="16" s="1"/>
  <c r="J256" i="16"/>
  <c r="I256" i="16"/>
  <c r="K256" i="16" s="1"/>
  <c r="J255" i="16"/>
  <c r="I255" i="16"/>
  <c r="K255" i="16" s="1"/>
  <c r="J254" i="16"/>
  <c r="I254" i="16"/>
  <c r="K254" i="16" s="1"/>
  <c r="J253" i="16"/>
  <c r="I253" i="16"/>
  <c r="K253" i="16" s="1"/>
  <c r="J252" i="16"/>
  <c r="I252" i="16"/>
  <c r="K252" i="16" s="1"/>
  <c r="J251" i="16"/>
  <c r="I251" i="16"/>
  <c r="K251" i="16" s="1"/>
  <c r="J250" i="16"/>
  <c r="I250" i="16"/>
  <c r="K250" i="16" s="1"/>
  <c r="L250" i="16" s="1"/>
  <c r="J249" i="16"/>
  <c r="I249" i="16"/>
  <c r="K249" i="16" s="1"/>
  <c r="J248" i="16"/>
  <c r="I248" i="16"/>
  <c r="K248" i="16" s="1"/>
  <c r="J247" i="16"/>
  <c r="I247" i="16"/>
  <c r="K247" i="16" s="1"/>
  <c r="J246" i="16"/>
  <c r="I246" i="16"/>
  <c r="K246" i="16" s="1"/>
  <c r="J245" i="16"/>
  <c r="I245" i="16"/>
  <c r="K245" i="16" s="1"/>
  <c r="J244" i="16"/>
  <c r="I244" i="16"/>
  <c r="K244" i="16" s="1"/>
  <c r="J243" i="16"/>
  <c r="I243" i="16"/>
  <c r="K243" i="16" s="1"/>
  <c r="J242" i="16"/>
  <c r="I242" i="16"/>
  <c r="K242" i="16" s="1"/>
  <c r="L242" i="16" s="1"/>
  <c r="J241" i="16"/>
  <c r="I241" i="16"/>
  <c r="K241" i="16" s="1"/>
  <c r="J240" i="16"/>
  <c r="I240" i="16"/>
  <c r="K240" i="16" s="1"/>
  <c r="J239" i="16"/>
  <c r="I239" i="16"/>
  <c r="K239" i="16" s="1"/>
  <c r="J238" i="16"/>
  <c r="I238" i="16"/>
  <c r="K238" i="16" s="1"/>
  <c r="L238" i="16" s="1"/>
  <c r="J237" i="16"/>
  <c r="I237" i="16"/>
  <c r="K237" i="16" s="1"/>
  <c r="J236" i="16"/>
  <c r="I236" i="16"/>
  <c r="K236" i="16" s="1"/>
  <c r="J235" i="16"/>
  <c r="I235" i="16"/>
  <c r="K235" i="16" s="1"/>
  <c r="J234" i="16"/>
  <c r="I234" i="16"/>
  <c r="K234" i="16" s="1"/>
  <c r="L234" i="16" s="1"/>
  <c r="J233" i="16"/>
  <c r="I233" i="16"/>
  <c r="K233" i="16" s="1"/>
  <c r="J232" i="16"/>
  <c r="I232" i="16"/>
  <c r="K232" i="16" s="1"/>
  <c r="J231" i="16"/>
  <c r="I231" i="16"/>
  <c r="K231" i="16" s="1"/>
  <c r="J230" i="16"/>
  <c r="I230" i="16"/>
  <c r="K230" i="16" s="1"/>
  <c r="J229" i="16"/>
  <c r="I229" i="16"/>
  <c r="K229" i="16" s="1"/>
  <c r="J228" i="16"/>
  <c r="I228" i="16"/>
  <c r="K228" i="16" s="1"/>
  <c r="J227" i="16"/>
  <c r="I227" i="16"/>
  <c r="K227" i="16" s="1"/>
  <c r="J226" i="16"/>
  <c r="I226" i="16"/>
  <c r="K226" i="16" s="1"/>
  <c r="J225" i="16"/>
  <c r="I225" i="16"/>
  <c r="K225" i="16" s="1"/>
  <c r="J224" i="16"/>
  <c r="I224" i="16"/>
  <c r="K224" i="16" s="1"/>
  <c r="J223" i="16"/>
  <c r="I223" i="16"/>
  <c r="K223" i="16" s="1"/>
  <c r="J222" i="16"/>
  <c r="I222" i="16"/>
  <c r="K222" i="16" s="1"/>
  <c r="J221" i="16"/>
  <c r="I221" i="16"/>
  <c r="K221" i="16" s="1"/>
  <c r="J220" i="16"/>
  <c r="I220" i="16"/>
  <c r="K220" i="16" s="1"/>
  <c r="J219" i="16"/>
  <c r="I219" i="16"/>
  <c r="K219" i="16" s="1"/>
  <c r="J218" i="16"/>
  <c r="I218" i="16"/>
  <c r="K218" i="16" s="1"/>
  <c r="L218" i="16" s="1"/>
  <c r="J217" i="16"/>
  <c r="I217" i="16"/>
  <c r="K217" i="16" s="1"/>
  <c r="J216" i="16"/>
  <c r="I216" i="16"/>
  <c r="K216" i="16" s="1"/>
  <c r="J215" i="16"/>
  <c r="I215" i="16"/>
  <c r="K215" i="16" s="1"/>
  <c r="J214" i="16"/>
  <c r="I214" i="16"/>
  <c r="K214" i="16" s="1"/>
  <c r="J213" i="16"/>
  <c r="I213" i="16"/>
  <c r="K213" i="16" s="1"/>
  <c r="J212" i="16"/>
  <c r="I212" i="16"/>
  <c r="K212" i="16" s="1"/>
  <c r="J211" i="16"/>
  <c r="I211" i="16"/>
  <c r="K211" i="16" s="1"/>
  <c r="J210" i="16"/>
  <c r="I210" i="16"/>
  <c r="K210" i="16" s="1"/>
  <c r="J209" i="16"/>
  <c r="I209" i="16"/>
  <c r="K209" i="16" s="1"/>
  <c r="J208" i="16"/>
  <c r="I208" i="16"/>
  <c r="K208" i="16" s="1"/>
  <c r="J207" i="16"/>
  <c r="I207" i="16"/>
  <c r="K207" i="16" s="1"/>
  <c r="J206" i="16"/>
  <c r="I206" i="16"/>
  <c r="K206" i="16" s="1"/>
  <c r="L206" i="16" s="1"/>
  <c r="J205" i="16"/>
  <c r="I205" i="16"/>
  <c r="K205" i="16" s="1"/>
  <c r="J204" i="16"/>
  <c r="I204" i="16"/>
  <c r="K204" i="16" s="1"/>
  <c r="J203" i="16"/>
  <c r="I203" i="16"/>
  <c r="K203" i="16" s="1"/>
  <c r="J202" i="16"/>
  <c r="I202" i="16"/>
  <c r="K202" i="16" s="1"/>
  <c r="L202" i="16" s="1"/>
  <c r="J201" i="16"/>
  <c r="I201" i="16"/>
  <c r="K201" i="16" s="1"/>
  <c r="J200" i="16"/>
  <c r="I200" i="16"/>
  <c r="K200" i="16" s="1"/>
  <c r="J199" i="16"/>
  <c r="I199" i="16"/>
  <c r="K199" i="16" s="1"/>
  <c r="J198" i="16"/>
  <c r="I198" i="16"/>
  <c r="K198" i="16" s="1"/>
  <c r="J197" i="16"/>
  <c r="I197" i="16"/>
  <c r="K197" i="16" s="1"/>
  <c r="J196" i="16"/>
  <c r="I196" i="16"/>
  <c r="K196" i="16" s="1"/>
  <c r="J195" i="16"/>
  <c r="I195" i="16"/>
  <c r="K195" i="16" s="1"/>
  <c r="J194" i="16"/>
  <c r="I194" i="16"/>
  <c r="K194" i="16" s="1"/>
  <c r="L194" i="16" s="1"/>
  <c r="J193" i="16"/>
  <c r="I193" i="16"/>
  <c r="K193" i="16" s="1"/>
  <c r="J192" i="16"/>
  <c r="I192" i="16"/>
  <c r="K192" i="16" s="1"/>
  <c r="J191" i="16"/>
  <c r="I191" i="16"/>
  <c r="K191" i="16" s="1"/>
  <c r="J190" i="16"/>
  <c r="I190" i="16"/>
  <c r="K190" i="16" s="1"/>
  <c r="J189" i="16"/>
  <c r="I189" i="16"/>
  <c r="K189" i="16" s="1"/>
  <c r="J188" i="16"/>
  <c r="I188" i="16"/>
  <c r="K188" i="16" s="1"/>
  <c r="J187" i="16"/>
  <c r="I187" i="16"/>
  <c r="K187" i="16" s="1"/>
  <c r="J186" i="16"/>
  <c r="I186" i="16"/>
  <c r="K186" i="16" s="1"/>
  <c r="L186" i="16" s="1"/>
  <c r="J185" i="16"/>
  <c r="I185" i="16"/>
  <c r="K185" i="16" s="1"/>
  <c r="J184" i="16"/>
  <c r="I184" i="16"/>
  <c r="K184" i="16" s="1"/>
  <c r="J183" i="16"/>
  <c r="I183" i="16"/>
  <c r="K183" i="16" s="1"/>
  <c r="J182" i="16"/>
  <c r="I182" i="16"/>
  <c r="K182" i="16" s="1"/>
  <c r="L182" i="16" s="1"/>
  <c r="J181" i="16"/>
  <c r="I181" i="16"/>
  <c r="K181" i="16" s="1"/>
  <c r="J180" i="16"/>
  <c r="I180" i="16"/>
  <c r="K180" i="16" s="1"/>
  <c r="J179" i="16"/>
  <c r="I179" i="16"/>
  <c r="K179" i="16" s="1"/>
  <c r="J178" i="16"/>
  <c r="I178" i="16"/>
  <c r="K178" i="16" s="1"/>
  <c r="J177" i="16"/>
  <c r="I177" i="16"/>
  <c r="K177" i="16" s="1"/>
  <c r="J176" i="16"/>
  <c r="I176" i="16"/>
  <c r="K176" i="16" s="1"/>
  <c r="J175" i="16"/>
  <c r="I175" i="16"/>
  <c r="K175" i="16" s="1"/>
  <c r="J174" i="16"/>
  <c r="I174" i="16"/>
  <c r="K174" i="16" s="1"/>
  <c r="L174" i="16" s="1"/>
  <c r="J173" i="16"/>
  <c r="I173" i="16"/>
  <c r="K173" i="16" s="1"/>
  <c r="J172" i="16"/>
  <c r="I172" i="16"/>
  <c r="K172" i="16" s="1"/>
  <c r="J171" i="16"/>
  <c r="I171" i="16"/>
  <c r="K171" i="16" s="1"/>
  <c r="J170" i="16"/>
  <c r="I170" i="16"/>
  <c r="K170" i="16" s="1"/>
  <c r="J169" i="16"/>
  <c r="I169" i="16"/>
  <c r="K169" i="16" s="1"/>
  <c r="J168" i="16"/>
  <c r="I168" i="16"/>
  <c r="K168" i="16" s="1"/>
  <c r="J167" i="16"/>
  <c r="I167" i="16"/>
  <c r="K167" i="16" s="1"/>
  <c r="J166" i="16"/>
  <c r="I166" i="16"/>
  <c r="K166" i="16" s="1"/>
  <c r="L166" i="16" s="1"/>
  <c r="J165" i="16"/>
  <c r="I165" i="16"/>
  <c r="K165" i="16" s="1"/>
  <c r="J164" i="16"/>
  <c r="I164" i="16"/>
  <c r="K164" i="16" s="1"/>
  <c r="J163" i="16"/>
  <c r="I163" i="16"/>
  <c r="K163" i="16" s="1"/>
  <c r="J162" i="16"/>
  <c r="I162" i="16"/>
  <c r="K162" i="16" s="1"/>
  <c r="J161" i="16"/>
  <c r="I161" i="16"/>
  <c r="K161" i="16" s="1"/>
  <c r="J160" i="16"/>
  <c r="I160" i="16"/>
  <c r="K160" i="16" s="1"/>
  <c r="J159" i="16"/>
  <c r="I159" i="16"/>
  <c r="K159" i="16" s="1"/>
  <c r="J158" i="16"/>
  <c r="I158" i="16"/>
  <c r="K158" i="16" s="1"/>
  <c r="J157" i="16"/>
  <c r="I157" i="16"/>
  <c r="K157" i="16" s="1"/>
  <c r="J156" i="16"/>
  <c r="I156" i="16"/>
  <c r="K156" i="16" s="1"/>
  <c r="J155" i="16"/>
  <c r="I155" i="16"/>
  <c r="K155" i="16" s="1"/>
  <c r="J154" i="16"/>
  <c r="I154" i="16"/>
  <c r="K154" i="16" s="1"/>
  <c r="J153" i="16"/>
  <c r="I153" i="16"/>
  <c r="K153" i="16" s="1"/>
  <c r="J152" i="16"/>
  <c r="I152" i="16"/>
  <c r="K152" i="16" s="1"/>
  <c r="J151" i="16"/>
  <c r="I151" i="16"/>
  <c r="K151" i="16" s="1"/>
  <c r="J150" i="16"/>
  <c r="I150" i="16"/>
  <c r="K150" i="16" s="1"/>
  <c r="J149" i="16"/>
  <c r="I149" i="16"/>
  <c r="K149" i="16" s="1"/>
  <c r="J148" i="16"/>
  <c r="I148" i="16"/>
  <c r="K148" i="16" s="1"/>
  <c r="J147" i="16"/>
  <c r="I147" i="16"/>
  <c r="K147" i="16" s="1"/>
  <c r="J146" i="16"/>
  <c r="I146" i="16"/>
  <c r="K146" i="16" s="1"/>
  <c r="J145" i="16"/>
  <c r="I145" i="16"/>
  <c r="K145" i="16" s="1"/>
  <c r="J144" i="16"/>
  <c r="I144" i="16"/>
  <c r="K144" i="16" s="1"/>
  <c r="J143" i="16"/>
  <c r="I143" i="16"/>
  <c r="K143" i="16" s="1"/>
  <c r="J142" i="16"/>
  <c r="I142" i="16"/>
  <c r="K142" i="16" s="1"/>
  <c r="L142" i="16" s="1"/>
  <c r="J141" i="16"/>
  <c r="I141" i="16"/>
  <c r="K141" i="16" s="1"/>
  <c r="J140" i="16"/>
  <c r="I140" i="16"/>
  <c r="K140" i="16" s="1"/>
  <c r="J139" i="16"/>
  <c r="I139" i="16"/>
  <c r="K139" i="16" s="1"/>
  <c r="J138" i="16"/>
  <c r="I138" i="16"/>
  <c r="K138" i="16" s="1"/>
  <c r="J137" i="16"/>
  <c r="I137" i="16"/>
  <c r="K137" i="16" s="1"/>
  <c r="J136" i="16"/>
  <c r="I136" i="16"/>
  <c r="K136" i="16" s="1"/>
  <c r="J135" i="16"/>
  <c r="I135" i="16"/>
  <c r="K135" i="16" s="1"/>
  <c r="J134" i="16"/>
  <c r="I134" i="16"/>
  <c r="K134" i="16" s="1"/>
  <c r="L134" i="16" s="1"/>
  <c r="J133" i="16"/>
  <c r="I133" i="16"/>
  <c r="K133" i="16" s="1"/>
  <c r="J132" i="16"/>
  <c r="I132" i="16"/>
  <c r="K132" i="16" s="1"/>
  <c r="J131" i="16"/>
  <c r="I131" i="16"/>
  <c r="K131" i="16" s="1"/>
  <c r="J130" i="16"/>
  <c r="I130" i="16"/>
  <c r="K130" i="16" s="1"/>
  <c r="L130" i="16" s="1"/>
  <c r="J129" i="16"/>
  <c r="I129" i="16"/>
  <c r="K129" i="16" s="1"/>
  <c r="J128" i="16"/>
  <c r="I128" i="16"/>
  <c r="K128" i="16" s="1"/>
  <c r="J127" i="16"/>
  <c r="I127" i="16"/>
  <c r="K127" i="16" s="1"/>
  <c r="L127" i="16" s="1"/>
  <c r="J126" i="16"/>
  <c r="I126" i="16"/>
  <c r="K126" i="16" s="1"/>
  <c r="J125" i="16"/>
  <c r="I125" i="16"/>
  <c r="K125" i="16" s="1"/>
  <c r="J124" i="16"/>
  <c r="I124" i="16"/>
  <c r="K124" i="16" s="1"/>
  <c r="J123" i="16"/>
  <c r="I123" i="16"/>
  <c r="K123" i="16" s="1"/>
  <c r="L123" i="16" s="1"/>
  <c r="J122" i="16"/>
  <c r="I122" i="16"/>
  <c r="K122" i="16" s="1"/>
  <c r="J121" i="16"/>
  <c r="I121" i="16"/>
  <c r="K121" i="16" s="1"/>
  <c r="J120" i="16"/>
  <c r="I120" i="16"/>
  <c r="K120" i="16" s="1"/>
  <c r="J119" i="16"/>
  <c r="I119" i="16"/>
  <c r="K119" i="16" s="1"/>
  <c r="J118" i="16"/>
  <c r="I118" i="16"/>
  <c r="K118" i="16" s="1"/>
  <c r="J117" i="16"/>
  <c r="I117" i="16"/>
  <c r="K117" i="16" s="1"/>
  <c r="J116" i="16"/>
  <c r="I116" i="16"/>
  <c r="K116" i="16" s="1"/>
  <c r="J115" i="16"/>
  <c r="I115" i="16"/>
  <c r="K115" i="16" s="1"/>
  <c r="L115" i="16" s="1"/>
  <c r="J114" i="16"/>
  <c r="I114" i="16"/>
  <c r="K114" i="16" s="1"/>
  <c r="J113" i="16"/>
  <c r="I113" i="16"/>
  <c r="K113" i="16" s="1"/>
  <c r="J112" i="16"/>
  <c r="I112" i="16"/>
  <c r="K112" i="16" s="1"/>
  <c r="J111" i="16"/>
  <c r="I111" i="16"/>
  <c r="K111" i="16" s="1"/>
  <c r="L111" i="16" s="1"/>
  <c r="J110" i="16"/>
  <c r="I110" i="16"/>
  <c r="K110" i="16" s="1"/>
  <c r="J109" i="16"/>
  <c r="I109" i="16"/>
  <c r="K109" i="16" s="1"/>
  <c r="J108" i="16"/>
  <c r="I108" i="16"/>
  <c r="K108" i="16" s="1"/>
  <c r="J107" i="16"/>
  <c r="I107" i="16"/>
  <c r="K107" i="16" s="1"/>
  <c r="L107" i="16" s="1"/>
  <c r="J106" i="16"/>
  <c r="I106" i="16"/>
  <c r="K106" i="16" s="1"/>
  <c r="J105" i="16"/>
  <c r="I105" i="16"/>
  <c r="K105" i="16" s="1"/>
  <c r="J104" i="16"/>
  <c r="I104" i="16"/>
  <c r="K104" i="16" s="1"/>
  <c r="J103" i="16"/>
  <c r="I103" i="16"/>
  <c r="K103" i="16" s="1"/>
  <c r="J102" i="16"/>
  <c r="I102" i="16"/>
  <c r="K102" i="16" s="1"/>
  <c r="J101" i="16"/>
  <c r="I101" i="16"/>
  <c r="K101" i="16" s="1"/>
  <c r="J100" i="16"/>
  <c r="I100" i="16"/>
  <c r="K100" i="16" s="1"/>
  <c r="J99" i="16"/>
  <c r="I99" i="16"/>
  <c r="K99" i="16" s="1"/>
  <c r="J98" i="16"/>
  <c r="I98" i="16"/>
  <c r="K98" i="16" s="1"/>
  <c r="J97" i="16"/>
  <c r="I97" i="16"/>
  <c r="K97" i="16" s="1"/>
  <c r="J96" i="16"/>
  <c r="I96" i="16"/>
  <c r="K96" i="16" s="1"/>
  <c r="J95" i="16"/>
  <c r="I95" i="16"/>
  <c r="K95" i="16" s="1"/>
  <c r="L95" i="16" s="1"/>
  <c r="J94" i="16"/>
  <c r="I94" i="16"/>
  <c r="K94" i="16" s="1"/>
  <c r="J93" i="16"/>
  <c r="I93" i="16"/>
  <c r="K93" i="16" s="1"/>
  <c r="J92" i="16"/>
  <c r="I92" i="16"/>
  <c r="K92" i="16" s="1"/>
  <c r="J91" i="16"/>
  <c r="I91" i="16"/>
  <c r="K91" i="16" s="1"/>
  <c r="J90" i="16"/>
  <c r="I90" i="16"/>
  <c r="K90" i="16" s="1"/>
  <c r="J89" i="16"/>
  <c r="I89" i="16"/>
  <c r="K89" i="16" s="1"/>
  <c r="J88" i="16"/>
  <c r="I88" i="16"/>
  <c r="K88" i="16" s="1"/>
  <c r="J87" i="16"/>
  <c r="I87" i="16"/>
  <c r="K87" i="16" s="1"/>
  <c r="J86" i="16"/>
  <c r="I86" i="16"/>
  <c r="K86" i="16" s="1"/>
  <c r="J85" i="16"/>
  <c r="I85" i="16"/>
  <c r="K85" i="16" s="1"/>
  <c r="J84" i="16"/>
  <c r="I84" i="16"/>
  <c r="K84" i="16" s="1"/>
  <c r="J83" i="16"/>
  <c r="I83" i="16"/>
  <c r="K83" i="16" s="1"/>
  <c r="L83" i="16" s="1"/>
  <c r="J82" i="16"/>
  <c r="I82" i="16"/>
  <c r="K82" i="16" s="1"/>
  <c r="J81" i="16"/>
  <c r="I81" i="16"/>
  <c r="K81" i="16" s="1"/>
  <c r="J80" i="16"/>
  <c r="I80" i="16"/>
  <c r="K80" i="16" s="1"/>
  <c r="J79" i="16"/>
  <c r="I79" i="16"/>
  <c r="K79" i="16" s="1"/>
  <c r="L79" i="16" s="1"/>
  <c r="J78" i="16"/>
  <c r="I78" i="16"/>
  <c r="K78" i="16" s="1"/>
  <c r="J77" i="16"/>
  <c r="I77" i="16"/>
  <c r="K77" i="16" s="1"/>
  <c r="J76" i="16"/>
  <c r="I76" i="16"/>
  <c r="K76" i="16" s="1"/>
  <c r="J75" i="16"/>
  <c r="I75" i="16"/>
  <c r="K75" i="16" s="1"/>
  <c r="J74" i="16"/>
  <c r="I74" i="16"/>
  <c r="K74" i="16" s="1"/>
  <c r="J73" i="16"/>
  <c r="I73" i="16"/>
  <c r="K73" i="16" s="1"/>
  <c r="J72" i="16"/>
  <c r="I72" i="16"/>
  <c r="K72" i="16" s="1"/>
  <c r="J71" i="16"/>
  <c r="I71" i="16"/>
  <c r="K71" i="16" s="1"/>
  <c r="L71" i="16" s="1"/>
  <c r="J70" i="16"/>
  <c r="I70" i="16"/>
  <c r="K70" i="16" s="1"/>
  <c r="J69" i="16"/>
  <c r="I69" i="16"/>
  <c r="K69" i="16" s="1"/>
  <c r="J68" i="16"/>
  <c r="I68" i="16"/>
  <c r="K68" i="16" s="1"/>
  <c r="J67" i="16"/>
  <c r="I67" i="16"/>
  <c r="K67" i="16" s="1"/>
  <c r="L67" i="16" s="1"/>
  <c r="J66" i="16"/>
  <c r="I66" i="16"/>
  <c r="K66" i="16" s="1"/>
  <c r="J65" i="16"/>
  <c r="I65" i="16"/>
  <c r="K65" i="16" s="1"/>
  <c r="J64" i="16"/>
  <c r="I64" i="16"/>
  <c r="K64" i="16" s="1"/>
  <c r="J63" i="16"/>
  <c r="I63" i="16"/>
  <c r="K63" i="16" s="1"/>
  <c r="L63" i="16" s="1"/>
  <c r="V65" i="16" s="1"/>
  <c r="J62" i="16"/>
  <c r="I62" i="16"/>
  <c r="K62" i="16" s="1"/>
  <c r="J61" i="16"/>
  <c r="I61" i="16"/>
  <c r="K61" i="16" s="1"/>
  <c r="L61" i="16" s="1"/>
  <c r="J60" i="16"/>
  <c r="I60" i="16"/>
  <c r="K60" i="16" s="1"/>
  <c r="J59" i="16"/>
  <c r="I59" i="16"/>
  <c r="K59" i="16" s="1"/>
  <c r="L59" i="16" s="1"/>
  <c r="J58" i="16"/>
  <c r="I58" i="16"/>
  <c r="K58" i="16" s="1"/>
  <c r="J57" i="16"/>
  <c r="I57" i="16"/>
  <c r="K57" i="16" s="1"/>
  <c r="L57" i="16" s="1"/>
  <c r="J56" i="16"/>
  <c r="I56" i="16"/>
  <c r="K56" i="16" s="1"/>
  <c r="J55" i="16"/>
  <c r="I55" i="16"/>
  <c r="K55" i="16" s="1"/>
  <c r="L55" i="16" s="1"/>
  <c r="J54" i="16"/>
  <c r="I54" i="16"/>
  <c r="K54" i="16" s="1"/>
  <c r="J53" i="16"/>
  <c r="I53" i="16"/>
  <c r="K53" i="16" s="1"/>
  <c r="J52" i="16"/>
  <c r="I52" i="16"/>
  <c r="K52" i="16" s="1"/>
  <c r="J51" i="16"/>
  <c r="I51" i="16"/>
  <c r="K51" i="16" s="1"/>
  <c r="J50" i="16"/>
  <c r="I50" i="16"/>
  <c r="K50" i="16" s="1"/>
  <c r="J49" i="16"/>
  <c r="I49" i="16"/>
  <c r="K49" i="16" s="1"/>
  <c r="L49" i="16" s="1"/>
  <c r="J48" i="16"/>
  <c r="I48" i="16"/>
  <c r="K48" i="16" s="1"/>
  <c r="J47" i="16"/>
  <c r="I47" i="16"/>
  <c r="K47" i="16" s="1"/>
  <c r="L47" i="16" s="1"/>
  <c r="J46" i="16"/>
  <c r="I46" i="16"/>
  <c r="K46" i="16" s="1"/>
  <c r="J45" i="16"/>
  <c r="I45" i="16"/>
  <c r="K45" i="16" s="1"/>
  <c r="L45" i="16" s="1"/>
  <c r="J44" i="16"/>
  <c r="I44" i="16"/>
  <c r="K44" i="16" s="1"/>
  <c r="J43" i="16"/>
  <c r="I43" i="16"/>
  <c r="K43" i="16" s="1"/>
  <c r="J42" i="16"/>
  <c r="I42" i="16"/>
  <c r="K42" i="16" s="1"/>
  <c r="J41" i="16"/>
  <c r="I41" i="16"/>
  <c r="K41" i="16" s="1"/>
  <c r="J40" i="16"/>
  <c r="I40" i="16"/>
  <c r="K40" i="16" s="1"/>
  <c r="J39" i="16"/>
  <c r="I39" i="16"/>
  <c r="K39" i="16" s="1"/>
  <c r="J38" i="16"/>
  <c r="I38" i="16"/>
  <c r="K38" i="16" s="1"/>
  <c r="J37" i="16"/>
  <c r="I37" i="16"/>
  <c r="K37" i="16" s="1"/>
  <c r="L37" i="16" s="1"/>
  <c r="J36" i="16"/>
  <c r="I36" i="16"/>
  <c r="K36" i="16" s="1"/>
  <c r="J35" i="16"/>
  <c r="I35" i="16"/>
  <c r="K35" i="16" s="1"/>
  <c r="L35" i="16" s="1"/>
  <c r="J34" i="16"/>
  <c r="I34" i="16"/>
  <c r="K34" i="16" s="1"/>
  <c r="J33" i="16"/>
  <c r="I33" i="16"/>
  <c r="K33" i="16" s="1"/>
  <c r="J32" i="16"/>
  <c r="I32" i="16"/>
  <c r="K32" i="16" s="1"/>
  <c r="J31" i="16"/>
  <c r="I31" i="16"/>
  <c r="K31" i="16" s="1"/>
  <c r="J30" i="16"/>
  <c r="I30" i="16"/>
  <c r="K30" i="16" s="1"/>
  <c r="J29" i="16"/>
  <c r="I29" i="16"/>
  <c r="K29" i="16" s="1"/>
  <c r="J28" i="16"/>
  <c r="I28" i="16"/>
  <c r="K28" i="16" s="1"/>
  <c r="J27" i="16"/>
  <c r="I27" i="16"/>
  <c r="K27" i="16" s="1"/>
  <c r="J26" i="16"/>
  <c r="I26" i="16"/>
  <c r="K26" i="16" s="1"/>
  <c r="J25" i="16"/>
  <c r="I25" i="16"/>
  <c r="K25" i="16" s="1"/>
  <c r="J24" i="16"/>
  <c r="I24" i="16"/>
  <c r="K24" i="16" s="1"/>
  <c r="J23" i="16"/>
  <c r="I23" i="16"/>
  <c r="K23" i="16" s="1"/>
  <c r="J22" i="16"/>
  <c r="I22" i="16"/>
  <c r="K22" i="16" s="1"/>
  <c r="J21" i="16"/>
  <c r="I21" i="16"/>
  <c r="K21" i="16" s="1"/>
  <c r="J20" i="16"/>
  <c r="I20" i="16"/>
  <c r="K20" i="16" s="1"/>
  <c r="J19" i="16"/>
  <c r="I19" i="16"/>
  <c r="K19" i="16" s="1"/>
  <c r="J18" i="16"/>
  <c r="I18" i="16"/>
  <c r="K18" i="16" s="1"/>
  <c r="J17" i="16"/>
  <c r="I17" i="16"/>
  <c r="K17" i="16" s="1"/>
  <c r="J16" i="16"/>
  <c r="I16" i="16"/>
  <c r="K16" i="16" s="1"/>
  <c r="J15" i="16"/>
  <c r="I15" i="16"/>
  <c r="K15" i="16" s="1"/>
  <c r="J14" i="16"/>
  <c r="I14" i="16"/>
  <c r="K14" i="16" s="1"/>
  <c r="J13" i="16"/>
  <c r="I13" i="16"/>
  <c r="K13" i="16" s="1"/>
  <c r="J12" i="16"/>
  <c r="I12" i="16"/>
  <c r="K12" i="16" s="1"/>
  <c r="J11" i="16"/>
  <c r="I11" i="16"/>
  <c r="K11" i="16" s="1"/>
  <c r="J10" i="16"/>
  <c r="I10" i="16"/>
  <c r="K10" i="16" s="1"/>
  <c r="J9" i="16"/>
  <c r="I9" i="16"/>
  <c r="K9" i="16" s="1"/>
  <c r="J8" i="16"/>
  <c r="I8" i="16"/>
  <c r="K8" i="16" s="1"/>
  <c r="J7" i="16"/>
  <c r="I7" i="16"/>
  <c r="K7" i="16" s="1"/>
  <c r="J6" i="16"/>
  <c r="I6" i="16"/>
  <c r="K6" i="16" s="1"/>
  <c r="J5" i="16"/>
  <c r="I5" i="16"/>
  <c r="K5" i="16" s="1"/>
  <c r="J4" i="16"/>
  <c r="I4" i="16"/>
  <c r="K4" i="16" s="1"/>
  <c r="J3" i="16"/>
  <c r="I3" i="16"/>
  <c r="K3" i="16" s="1"/>
  <c r="J2" i="16"/>
  <c r="I2" i="16"/>
  <c r="K2" i="16" s="1"/>
  <c r="I322" i="9"/>
  <c r="K322" i="9" s="1"/>
  <c r="J322" i="9"/>
  <c r="I322" i="1"/>
  <c r="K322" i="1" s="1"/>
  <c r="J322" i="1"/>
  <c r="L20" i="17" l="1"/>
  <c r="L160" i="17"/>
  <c r="L168" i="17"/>
  <c r="L172" i="17"/>
  <c r="L176" i="17"/>
  <c r="L180" i="17"/>
  <c r="L184" i="17"/>
  <c r="L196" i="17"/>
  <c r="L200" i="17"/>
  <c r="L204" i="17"/>
  <c r="L322" i="17"/>
  <c r="L111" i="18"/>
  <c r="L115" i="18"/>
  <c r="L112" i="18"/>
  <c r="L116" i="18"/>
  <c r="L172" i="18"/>
  <c r="L109" i="18"/>
  <c r="L38" i="18"/>
  <c r="L42" i="18"/>
  <c r="L46" i="18"/>
  <c r="L93" i="18"/>
  <c r="L145" i="18"/>
  <c r="L149" i="18"/>
  <c r="L157" i="18"/>
  <c r="L208" i="18"/>
  <c r="L212" i="18"/>
  <c r="L216" i="18"/>
  <c r="L220" i="18"/>
  <c r="L267" i="18"/>
  <c r="L279" i="18"/>
  <c r="L295" i="18"/>
  <c r="L33" i="18"/>
  <c r="L48" i="18"/>
  <c r="L99" i="18"/>
  <c r="L237" i="18"/>
  <c r="L241" i="18"/>
  <c r="L249" i="18"/>
  <c r="L253" i="18"/>
  <c r="L262" i="18"/>
  <c r="L19" i="18"/>
  <c r="L23" i="18"/>
  <c r="L27" i="18"/>
  <c r="L31" i="18"/>
  <c r="L50" i="18"/>
  <c r="L154" i="18"/>
  <c r="L158" i="18"/>
  <c r="L162" i="18"/>
  <c r="L184" i="18"/>
  <c r="L188" i="18"/>
  <c r="L192" i="18"/>
  <c r="L235" i="18"/>
  <c r="L8" i="18"/>
  <c r="L127" i="18"/>
  <c r="L131" i="18"/>
  <c r="L311" i="18"/>
  <c r="V93" i="18" s="1"/>
  <c r="L16" i="18"/>
  <c r="L20" i="18"/>
  <c r="L28" i="18"/>
  <c r="L32" i="18"/>
  <c r="L94" i="18"/>
  <c r="L143" i="18"/>
  <c r="L170" i="18"/>
  <c r="L197" i="18"/>
  <c r="L200" i="18"/>
  <c r="L240" i="18"/>
  <c r="L244" i="18"/>
  <c r="L248" i="18"/>
  <c r="L252" i="18"/>
  <c r="L319" i="18"/>
  <c r="V101" i="18" s="1"/>
  <c r="L56" i="17"/>
  <c r="L64" i="17"/>
  <c r="L68" i="17"/>
  <c r="V70" i="17" s="1"/>
  <c r="L72" i="17"/>
  <c r="L53" i="17"/>
  <c r="L57" i="17"/>
  <c r="L82" i="17"/>
  <c r="L117" i="17"/>
  <c r="L185" i="17"/>
  <c r="L253" i="17"/>
  <c r="L257" i="17"/>
  <c r="L261" i="17"/>
  <c r="L265" i="17"/>
  <c r="L269" i="17"/>
  <c r="L309" i="17"/>
  <c r="V91" i="17" s="1"/>
  <c r="L313" i="17"/>
  <c r="V95" i="17" s="1"/>
  <c r="L317" i="17"/>
  <c r="V99" i="17" s="1"/>
  <c r="L227" i="17"/>
  <c r="L100" i="17"/>
  <c r="L108" i="17"/>
  <c r="L112" i="17"/>
  <c r="L252" i="17"/>
  <c r="L264" i="17"/>
  <c r="L268" i="17"/>
  <c r="L272" i="17"/>
  <c r="L276" i="17"/>
  <c r="L280" i="17"/>
  <c r="L284" i="17"/>
  <c r="L292" i="17"/>
  <c r="L296" i="17"/>
  <c r="L300" i="17"/>
  <c r="L304" i="17"/>
  <c r="V86" i="17" s="1"/>
  <c r="L35" i="18"/>
  <c r="L65" i="18"/>
  <c r="V67" i="18" s="1"/>
  <c r="L102" i="18"/>
  <c r="L106" i="18"/>
  <c r="L120" i="18"/>
  <c r="L161" i="18"/>
  <c r="L164" i="18"/>
  <c r="L174" i="18"/>
  <c r="L178" i="18"/>
  <c r="L181" i="18"/>
  <c r="L196" i="18"/>
  <c r="L207" i="18"/>
  <c r="L215" i="18"/>
  <c r="L223" i="18"/>
  <c r="L234" i="18"/>
  <c r="L261" i="18"/>
  <c r="L264" i="18"/>
  <c r="L272" i="18"/>
  <c r="L276" i="18"/>
  <c r="L301" i="18"/>
  <c r="L305" i="18"/>
  <c r="V87" i="18" s="1"/>
  <c r="L309" i="18"/>
  <c r="V91" i="18" s="1"/>
  <c r="L2" i="18"/>
  <c r="L21" i="18"/>
  <c r="L25" i="18"/>
  <c r="L40" i="18"/>
  <c r="L54" i="18"/>
  <c r="L69" i="18"/>
  <c r="V71" i="18" s="1"/>
  <c r="L73" i="18"/>
  <c r="V75" i="18" s="1"/>
  <c r="L81" i="18"/>
  <c r="V83" i="18" s="1"/>
  <c r="L103" i="18"/>
  <c r="L113" i="18"/>
  <c r="L117" i="18"/>
  <c r="L135" i="18"/>
  <c r="L146" i="18"/>
  <c r="L165" i="18"/>
  <c r="L175" i="18"/>
  <c r="L189" i="18"/>
  <c r="L227" i="18"/>
  <c r="L242" i="18"/>
  <c r="L246" i="18"/>
  <c r="L254" i="18"/>
  <c r="L287" i="18"/>
  <c r="L291" i="18"/>
  <c r="L298" i="18"/>
  <c r="L320" i="18"/>
  <c r="V102" i="18" s="1"/>
  <c r="L3" i="18"/>
  <c r="L7" i="18"/>
  <c r="L18" i="18"/>
  <c r="L26" i="18"/>
  <c r="L30" i="18"/>
  <c r="L37" i="18"/>
  <c r="L41" i="18"/>
  <c r="L51" i="18"/>
  <c r="L55" i="18"/>
  <c r="L70" i="18"/>
  <c r="V72" i="18" s="1"/>
  <c r="L78" i="18"/>
  <c r="V80" i="18" s="1"/>
  <c r="L82" i="18"/>
  <c r="L101" i="18"/>
  <c r="L114" i="18"/>
  <c r="L125" i="18"/>
  <c r="L136" i="18"/>
  <c r="L147" i="18"/>
  <c r="L166" i="18"/>
  <c r="L169" i="18"/>
  <c r="L186" i="18"/>
  <c r="L190" i="18"/>
  <c r="L201" i="18"/>
  <c r="L228" i="18"/>
  <c r="L239" i="18"/>
  <c r="L247" i="18"/>
  <c r="L251" i="18"/>
  <c r="L255" i="18"/>
  <c r="L266" i="18"/>
  <c r="L288" i="18"/>
  <c r="L292" i="18"/>
  <c r="L317" i="18"/>
  <c r="V99" i="18" s="1"/>
  <c r="L321" i="18"/>
  <c r="V103" i="18" s="1"/>
  <c r="L34" i="18"/>
  <c r="L59" i="18"/>
  <c r="L63" i="18"/>
  <c r="V65" i="18" s="1"/>
  <c r="L89" i="18"/>
  <c r="L92" i="18"/>
  <c r="L104" i="18"/>
  <c r="L122" i="18"/>
  <c r="L129" i="18"/>
  <c r="L133" i="18"/>
  <c r="L151" i="18"/>
  <c r="L159" i="18"/>
  <c r="L163" i="18"/>
  <c r="L194" i="18"/>
  <c r="L198" i="18"/>
  <c r="L205" i="18"/>
  <c r="L209" i="18"/>
  <c r="L217" i="18"/>
  <c r="L221" i="18"/>
  <c r="L259" i="18"/>
  <c r="L274" i="18"/>
  <c r="L303" i="18"/>
  <c r="V85" i="18" s="1"/>
  <c r="L307" i="18"/>
  <c r="V89" i="18" s="1"/>
  <c r="L314" i="18"/>
  <c r="V96" i="18" s="1"/>
  <c r="L12" i="18"/>
  <c r="L49" i="18"/>
  <c r="L60" i="18"/>
  <c r="L64" i="18"/>
  <c r="L119" i="18"/>
  <c r="L130" i="18"/>
  <c r="L141" i="18"/>
  <c r="L156" i="18"/>
  <c r="L160" i="18"/>
  <c r="L195" i="18"/>
  <c r="L210" i="18"/>
  <c r="L214" i="18"/>
  <c r="L222" i="18"/>
  <c r="L233" i="18"/>
  <c r="L260" i="18"/>
  <c r="L271" i="18"/>
  <c r="L275" i="18"/>
  <c r="L282" i="18"/>
  <c r="L304" i="18"/>
  <c r="V86" i="18" s="1"/>
  <c r="L308" i="18"/>
  <c r="V90" i="18" s="1"/>
  <c r="L15" i="18"/>
  <c r="L118" i="18"/>
  <c r="L134" i="18"/>
  <c r="L150" i="18"/>
  <c r="L180" i="18"/>
  <c r="L204" i="18"/>
  <c r="L219" i="18"/>
  <c r="L226" i="18"/>
  <c r="L236" i="18"/>
  <c r="L258" i="18"/>
  <c r="L265" i="18"/>
  <c r="L268" i="18"/>
  <c r="L278" i="18"/>
  <c r="L294" i="18"/>
  <c r="L310" i="18"/>
  <c r="V92" i="18" s="1"/>
  <c r="L44" i="18"/>
  <c r="L6" i="18"/>
  <c r="L13" i="18"/>
  <c r="L10" i="18"/>
  <c r="L17" i="18"/>
  <c r="L24" i="18"/>
  <c r="L45" i="18"/>
  <c r="L56" i="18"/>
  <c r="L79" i="18"/>
  <c r="V81" i="18" s="1"/>
  <c r="L85" i="18"/>
  <c r="L97" i="18"/>
  <c r="L155" i="18"/>
  <c r="L173" i="18"/>
  <c r="L185" i="18"/>
  <c r="L199" i="18"/>
  <c r="L206" i="18"/>
  <c r="L213" i="18"/>
  <c r="L231" i="18"/>
  <c r="L238" i="18"/>
  <c r="L245" i="18"/>
  <c r="L263" i="18"/>
  <c r="L270" i="18"/>
  <c r="L283" i="18"/>
  <c r="L299" i="18"/>
  <c r="L315" i="18"/>
  <c r="V97" i="18" s="1"/>
  <c r="L152" i="18"/>
  <c r="L293" i="18"/>
  <c r="L107" i="18"/>
  <c r="L123" i="18"/>
  <c r="L139" i="18"/>
  <c r="L224" i="18"/>
  <c r="L256" i="18"/>
  <c r="L296" i="18"/>
  <c r="L22" i="18"/>
  <c r="L29" i="18"/>
  <c r="L36" i="18"/>
  <c r="L43" i="18"/>
  <c r="L61" i="18"/>
  <c r="L74" i="18"/>
  <c r="V76" i="18" s="1"/>
  <c r="L77" i="18"/>
  <c r="V79" i="18" s="1"/>
  <c r="L98" i="18"/>
  <c r="L105" i="18"/>
  <c r="L108" i="18"/>
  <c r="L121" i="18"/>
  <c r="L124" i="18"/>
  <c r="L137" i="18"/>
  <c r="L140" i="18"/>
  <c r="L153" i="18"/>
  <c r="L177" i="18"/>
  <c r="L193" i="18"/>
  <c r="L211" i="18"/>
  <c r="L218" i="18"/>
  <c r="L225" i="18"/>
  <c r="L243" i="18"/>
  <c r="L250" i="18"/>
  <c r="L257" i="18"/>
  <c r="L281" i="18"/>
  <c r="L297" i="18"/>
  <c r="L313" i="18"/>
  <c r="V95" i="18" s="1"/>
  <c r="V73" i="18"/>
  <c r="V70" i="18"/>
  <c r="V78" i="18"/>
  <c r="V66" i="18"/>
  <c r="V64" i="18"/>
  <c r="L75" i="18"/>
  <c r="L67" i="18"/>
  <c r="L91" i="18"/>
  <c r="V84" i="18"/>
  <c r="L47" i="18"/>
  <c r="L66" i="18"/>
  <c r="L90" i="18"/>
  <c r="L182" i="18"/>
  <c r="L36" i="16"/>
  <c r="L40" i="16"/>
  <c r="L48" i="16"/>
  <c r="L60" i="16"/>
  <c r="L64" i="16"/>
  <c r="L72" i="16"/>
  <c r="V74" i="16" s="1"/>
  <c r="L204" i="16"/>
  <c r="L208" i="16"/>
  <c r="L212" i="16"/>
  <c r="L216" i="16"/>
  <c r="L220" i="16"/>
  <c r="L224" i="16"/>
  <c r="L228" i="16"/>
  <c r="L232" i="16"/>
  <c r="L236" i="16"/>
  <c r="L240" i="16"/>
  <c r="L244" i="16"/>
  <c r="L252" i="16"/>
  <c r="L256" i="16"/>
  <c r="L264" i="16"/>
  <c r="L3" i="16"/>
  <c r="L15" i="16"/>
  <c r="L19" i="16"/>
  <c r="L4" i="16"/>
  <c r="L13" i="16"/>
  <c r="L17" i="16"/>
  <c r="L308" i="17"/>
  <c r="V90" i="17" s="1"/>
  <c r="L26" i="17"/>
  <c r="L84" i="17"/>
  <c r="L16" i="17"/>
  <c r="L74" i="16"/>
  <c r="V76" i="16" s="1"/>
  <c r="L102" i="16"/>
  <c r="L119" i="16"/>
  <c r="L112" i="16"/>
  <c r="L268" i="16"/>
  <c r="L300" i="16"/>
  <c r="L304" i="16"/>
  <c r="V86" i="16" s="1"/>
  <c r="L308" i="16"/>
  <c r="V90" i="16" s="1"/>
  <c r="L312" i="16"/>
  <c r="V94" i="16" s="1"/>
  <c r="L316" i="16"/>
  <c r="V98" i="16" s="1"/>
  <c r="L320" i="16"/>
  <c r="V102" i="16" s="1"/>
  <c r="L8" i="16"/>
  <c r="L12" i="16"/>
  <c r="L20" i="16"/>
  <c r="L311" i="16"/>
  <c r="V93" i="16" s="1"/>
  <c r="L120" i="16"/>
  <c r="L14" i="16"/>
  <c r="L18" i="16"/>
  <c r="L133" i="16"/>
  <c r="L149" i="16"/>
  <c r="L153" i="16"/>
  <c r="L165" i="16"/>
  <c r="L201" i="16"/>
  <c r="L281" i="16"/>
  <c r="L289" i="16"/>
  <c r="L9" i="17"/>
  <c r="L75" i="17"/>
  <c r="V77" i="17" s="1"/>
  <c r="L79" i="17"/>
  <c r="V81" i="17" s="1"/>
  <c r="L83" i="17"/>
  <c r="L101" i="17"/>
  <c r="L105" i="17"/>
  <c r="L116" i="17"/>
  <c r="L233" i="17"/>
  <c r="L237" i="17"/>
  <c r="L91" i="17"/>
  <c r="L222" i="17"/>
  <c r="L50" i="17"/>
  <c r="L2" i="17"/>
  <c r="L6" i="17"/>
  <c r="L14" i="17"/>
  <c r="L25" i="17"/>
  <c r="L29" i="17"/>
  <c r="L37" i="17"/>
  <c r="L41" i="17"/>
  <c r="L95" i="17"/>
  <c r="L102" i="17"/>
  <c r="L133" i="17"/>
  <c r="L137" i="17"/>
  <c r="L230" i="17"/>
  <c r="L238" i="17"/>
  <c r="L246" i="17"/>
  <c r="L250" i="17"/>
  <c r="L38" i="17"/>
  <c r="L46" i="17"/>
  <c r="L96" i="17"/>
  <c r="L126" i="17"/>
  <c r="L130" i="17"/>
  <c r="L134" i="17"/>
  <c r="L152" i="17"/>
  <c r="L156" i="17"/>
  <c r="L209" i="17"/>
  <c r="L213" i="17"/>
  <c r="L217" i="17"/>
  <c r="L10" i="17"/>
  <c r="L67" i="17"/>
  <c r="V69" i="17" s="1"/>
  <c r="L138" i="17"/>
  <c r="L226" i="17"/>
  <c r="L316" i="17"/>
  <c r="V98" i="17" s="1"/>
  <c r="L87" i="17"/>
  <c r="L97" i="17"/>
  <c r="L150" i="17"/>
  <c r="L34" i="17"/>
  <c r="L161" i="17"/>
  <c r="L61" i="17"/>
  <c r="L88" i="17"/>
  <c r="L98" i="17"/>
  <c r="L173" i="17"/>
  <c r="L181" i="17"/>
  <c r="L192" i="17"/>
  <c r="L302" i="17"/>
  <c r="V84" i="17" s="1"/>
  <c r="L306" i="17"/>
  <c r="V88" i="17" s="1"/>
  <c r="L13" i="17"/>
  <c r="L69" i="17"/>
  <c r="L121" i="17"/>
  <c r="L132" i="17"/>
  <c r="L136" i="17"/>
  <c r="L155" i="17"/>
  <c r="L162" i="17"/>
  <c r="L255" i="17"/>
  <c r="L58" i="17"/>
  <c r="L62" i="17"/>
  <c r="V64" i="17" s="1"/>
  <c r="L73" i="17"/>
  <c r="V75" i="17" s="1"/>
  <c r="L77" i="17"/>
  <c r="V79" i="17" s="1"/>
  <c r="L85" i="17"/>
  <c r="L92" i="17"/>
  <c r="L144" i="17"/>
  <c r="L159" i="17"/>
  <c r="L166" i="17"/>
  <c r="L170" i="17"/>
  <c r="L178" i="17"/>
  <c r="L182" i="17"/>
  <c r="L193" i="17"/>
  <c r="L232" i="17"/>
  <c r="L236" i="17"/>
  <c r="L240" i="17"/>
  <c r="L244" i="17"/>
  <c r="L248" i="17"/>
  <c r="L259" i="17"/>
  <c r="L291" i="17"/>
  <c r="L299" i="17"/>
  <c r="L303" i="17"/>
  <c r="V85" i="17" s="1"/>
  <c r="L198" i="16"/>
  <c r="L70" i="16"/>
  <c r="V72" i="16" s="1"/>
  <c r="L101" i="16"/>
  <c r="L109" i="16"/>
  <c r="L136" i="16"/>
  <c r="L211" i="16"/>
  <c r="L231" i="16"/>
  <c r="L235" i="16"/>
  <c r="L243" i="16"/>
  <c r="L251" i="16"/>
  <c r="L259" i="16"/>
  <c r="L27" i="16"/>
  <c r="L31" i="16"/>
  <c r="L173" i="16"/>
  <c r="L200" i="16"/>
  <c r="L276" i="16"/>
  <c r="L131" i="16"/>
  <c r="L209" i="16"/>
  <c r="L213" i="16"/>
  <c r="L217" i="16"/>
  <c r="L233" i="16"/>
  <c r="L249" i="16"/>
  <c r="L257" i="16"/>
  <c r="L24" i="16"/>
  <c r="L87" i="16"/>
  <c r="L97" i="16"/>
  <c r="L139" i="16"/>
  <c r="L143" i="16"/>
  <c r="L21" i="16"/>
  <c r="L25" i="16"/>
  <c r="L29" i="16"/>
  <c r="L88" i="16"/>
  <c r="L92" i="16"/>
  <c r="L98" i="16"/>
  <c r="L125" i="16"/>
  <c r="L147" i="16"/>
  <c r="L151" i="16"/>
  <c r="L159" i="16"/>
  <c r="L167" i="16"/>
  <c r="L179" i="16"/>
  <c r="L183" i="16"/>
  <c r="L187" i="16"/>
  <c r="L191" i="16"/>
  <c r="L266" i="16"/>
  <c r="L274" i="16"/>
  <c r="L293" i="16"/>
  <c r="L313" i="16"/>
  <c r="V95" i="16" s="1"/>
  <c r="L26" i="16"/>
  <c r="L30" i="16"/>
  <c r="L73" i="16"/>
  <c r="V75" i="16" s="1"/>
  <c r="L85" i="16"/>
  <c r="L89" i="16"/>
  <c r="L99" i="16"/>
  <c r="L122" i="16"/>
  <c r="L126" i="16"/>
  <c r="L156" i="16"/>
  <c r="L160" i="16"/>
  <c r="L164" i="16"/>
  <c r="L168" i="16"/>
  <c r="L172" i="16"/>
  <c r="L176" i="16"/>
  <c r="L180" i="16"/>
  <c r="L184" i="16"/>
  <c r="L188" i="16"/>
  <c r="L192" i="16"/>
  <c r="L196" i="16"/>
  <c r="L314" i="16"/>
  <c r="V96" i="16" s="1"/>
  <c r="L318" i="16"/>
  <c r="V100" i="16" s="1"/>
  <c r="L322" i="9"/>
  <c r="L5" i="17"/>
  <c r="L43" i="17"/>
  <c r="L106" i="17"/>
  <c r="L149" i="17"/>
  <c r="L186" i="17"/>
  <c r="L212" i="17"/>
  <c r="L231" i="17"/>
  <c r="L281" i="17"/>
  <c r="L12" i="17"/>
  <c r="L19" i="17"/>
  <c r="L40" i="17"/>
  <c r="L54" i="17"/>
  <c r="L76" i="17"/>
  <c r="V78" i="17" s="1"/>
  <c r="L103" i="17"/>
  <c r="L110" i="17"/>
  <c r="L120" i="17"/>
  <c r="L124" i="17"/>
  <c r="L135" i="17"/>
  <c r="L153" i="17"/>
  <c r="L171" i="17"/>
  <c r="L175" i="17"/>
  <c r="L179" i="17"/>
  <c r="L183" i="17"/>
  <c r="L190" i="17"/>
  <c r="L205" i="17"/>
  <c r="L216" i="17"/>
  <c r="L220" i="17"/>
  <c r="L224" i="17"/>
  <c r="L243" i="17"/>
  <c r="L247" i="17"/>
  <c r="L258" i="17"/>
  <c r="L285" i="17"/>
  <c r="L274" i="17"/>
  <c r="L278" i="17"/>
  <c r="L282" i="17"/>
  <c r="L289" i="17"/>
  <c r="L293" i="17"/>
  <c r="L301" i="17"/>
  <c r="L305" i="17"/>
  <c r="V87" i="17" s="1"/>
  <c r="L320" i="17"/>
  <c r="V102" i="17" s="1"/>
  <c r="L47" i="17"/>
  <c r="L157" i="17"/>
  <c r="L194" i="17"/>
  <c r="L228" i="17"/>
  <c r="L3" i="17"/>
  <c r="L7" i="17"/>
  <c r="L27" i="17"/>
  <c r="L70" i="17"/>
  <c r="V72" i="17" s="1"/>
  <c r="L118" i="17"/>
  <c r="L129" i="17"/>
  <c r="L140" i="17"/>
  <c r="L147" i="17"/>
  <c r="L154" i="17"/>
  <c r="L158" i="17"/>
  <c r="L169" i="17"/>
  <c r="L195" i="17"/>
  <c r="L199" i="17"/>
  <c r="L203" i="17"/>
  <c r="L214" i="17"/>
  <c r="L229" i="17"/>
  <c r="L263" i="17"/>
  <c r="L267" i="17"/>
  <c r="L271" i="17"/>
  <c r="L275" i="17"/>
  <c r="L279" i="17"/>
  <c r="L321" i="17"/>
  <c r="V103" i="17" s="1"/>
  <c r="L287" i="17"/>
  <c r="L4" i="17"/>
  <c r="L21" i="17"/>
  <c r="L24" i="17"/>
  <c r="L28" i="17"/>
  <c r="L42" i="17"/>
  <c r="L60" i="17"/>
  <c r="L63" i="17"/>
  <c r="V65" i="17" s="1"/>
  <c r="L71" i="17"/>
  <c r="V73" i="17" s="1"/>
  <c r="L122" i="17"/>
  <c r="L256" i="17"/>
  <c r="L307" i="17"/>
  <c r="V89" i="17" s="1"/>
  <c r="L148" i="17"/>
  <c r="L311" i="17"/>
  <c r="V93" i="17" s="1"/>
  <c r="L48" i="17"/>
  <c r="L288" i="17"/>
  <c r="L312" i="17"/>
  <c r="V94" i="17" s="1"/>
  <c r="L15" i="17"/>
  <c r="L99" i="17"/>
  <c r="L208" i="17"/>
  <c r="L260" i="17"/>
  <c r="L125" i="17"/>
  <c r="L23" i="17"/>
  <c r="L93" i="17"/>
  <c r="L89" i="17"/>
  <c r="L8" i="17"/>
  <c r="L44" i="17"/>
  <c r="L163" i="17"/>
  <c r="L187" i="17"/>
  <c r="L197" i="17"/>
  <c r="L241" i="17"/>
  <c r="L297" i="17"/>
  <c r="L318" i="17"/>
  <c r="V100" i="17" s="1"/>
  <c r="L45" i="17"/>
  <c r="L94" i="17"/>
  <c r="L164" i="17"/>
  <c r="L11" i="17"/>
  <c r="L80" i="17"/>
  <c r="V82" i="17" s="1"/>
  <c r="L104" i="17"/>
  <c r="L167" i="17"/>
  <c r="L191" i="17"/>
  <c r="L201" i="17"/>
  <c r="L211" i="17"/>
  <c r="L235" i="17"/>
  <c r="L245" i="17"/>
  <c r="L266" i="17"/>
  <c r="L273" i="17"/>
  <c r="L188" i="17"/>
  <c r="L215" i="17"/>
  <c r="L32" i="17"/>
  <c r="L39" i="17"/>
  <c r="L51" i="17"/>
  <c r="L81" i="17"/>
  <c r="V83" i="17" s="1"/>
  <c r="L128" i="17"/>
  <c r="L174" i="17"/>
  <c r="L177" i="17"/>
  <c r="L198" i="17"/>
  <c r="L218" i="17"/>
  <c r="L225" i="17"/>
  <c r="L239" i="17"/>
  <c r="L242" i="17"/>
  <c r="L249" i="17"/>
  <c r="L270" i="17"/>
  <c r="L277" i="17"/>
  <c r="L295" i="17"/>
  <c r="L298" i="17"/>
  <c r="L319" i="17"/>
  <c r="V101" i="17" s="1"/>
  <c r="V80" i="17"/>
  <c r="V76" i="17"/>
  <c r="L141" i="17"/>
  <c r="L17" i="17"/>
  <c r="V74" i="17"/>
  <c r="L210" i="17"/>
  <c r="L33" i="17"/>
  <c r="L36" i="17"/>
  <c r="V66" i="17"/>
  <c r="V71" i="17"/>
  <c r="L202" i="17"/>
  <c r="L66" i="17"/>
  <c r="L131" i="17"/>
  <c r="L49" i="17"/>
  <c r="L52" i="17"/>
  <c r="L65" i="17"/>
  <c r="L86" i="17"/>
  <c r="L90" i="17"/>
  <c r="L113" i="17"/>
  <c r="L145" i="17"/>
  <c r="L59" i="17"/>
  <c r="L109" i="17"/>
  <c r="L30" i="17"/>
  <c r="L107" i="17"/>
  <c r="L139" i="17"/>
  <c r="L221" i="17"/>
  <c r="L251" i="17"/>
  <c r="L315" i="17"/>
  <c r="L111" i="17"/>
  <c r="L143" i="17"/>
  <c r="L165" i="17"/>
  <c r="L234" i="17"/>
  <c r="L119" i="17"/>
  <c r="L151" i="17"/>
  <c r="L123" i="17"/>
  <c r="L189" i="17"/>
  <c r="L283" i="17"/>
  <c r="V92" i="17"/>
  <c r="L11" i="16"/>
  <c r="L94" i="16"/>
  <c r="L292" i="16"/>
  <c r="L52" i="16"/>
  <c r="L77" i="16"/>
  <c r="V79" i="16" s="1"/>
  <c r="L175" i="16"/>
  <c r="L225" i="16"/>
  <c r="L267" i="16"/>
  <c r="L275" i="16"/>
  <c r="L282" i="16"/>
  <c r="L286" i="16"/>
  <c r="L305" i="16"/>
  <c r="V87" i="16" s="1"/>
  <c r="L53" i="16"/>
  <c r="L138" i="16"/>
  <c r="L210" i="16"/>
  <c r="L241" i="16"/>
  <c r="L279" i="16"/>
  <c r="L321" i="16"/>
  <c r="V103" i="16" s="1"/>
  <c r="L90" i="16"/>
  <c r="L93" i="16"/>
  <c r="L117" i="16"/>
  <c r="L157" i="16"/>
  <c r="L226" i="16"/>
  <c r="L245" i="16"/>
  <c r="L272" i="16"/>
  <c r="L291" i="16"/>
  <c r="L298" i="16"/>
  <c r="L306" i="16"/>
  <c r="V88" i="16" s="1"/>
  <c r="L46" i="16"/>
  <c r="L50" i="16"/>
  <c r="L54" i="16"/>
  <c r="L65" i="16"/>
  <c r="V67" i="16" s="1"/>
  <c r="L68" i="16"/>
  <c r="V70" i="16" s="1"/>
  <c r="L110" i="16"/>
  <c r="L135" i="16"/>
  <c r="L260" i="16"/>
  <c r="L2" i="16"/>
  <c r="L10" i="16"/>
  <c r="L34" i="16"/>
  <c r="L62" i="16"/>
  <c r="V64" i="16" s="1"/>
  <c r="L69" i="16"/>
  <c r="L76" i="16"/>
  <c r="V78" i="16" s="1"/>
  <c r="L80" i="16"/>
  <c r="V82" i="16" s="1"/>
  <c r="L84" i="16"/>
  <c r="L96" i="16"/>
  <c r="L114" i="16"/>
  <c r="L132" i="16"/>
  <c r="L146" i="16"/>
  <c r="L150" i="16"/>
  <c r="L154" i="16"/>
  <c r="L158" i="16"/>
  <c r="L181" i="16"/>
  <c r="L227" i="16"/>
  <c r="L265" i="16"/>
  <c r="L273" i="16"/>
  <c r="L284" i="16"/>
  <c r="L288" i="16"/>
  <c r="L299" i="16"/>
  <c r="L307" i="16"/>
  <c r="V89" i="16" s="1"/>
  <c r="L103" i="16"/>
  <c r="L129" i="16"/>
  <c r="L189" i="16"/>
  <c r="L248" i="16"/>
  <c r="L263" i="16"/>
  <c r="L270" i="16"/>
  <c r="L277" i="16"/>
  <c r="L280" i="16"/>
  <c r="L295" i="16"/>
  <c r="L302" i="16"/>
  <c r="V84" i="16" s="1"/>
  <c r="L309" i="16"/>
  <c r="V91" i="16" s="1"/>
  <c r="L9" i="16"/>
  <c r="L28" i="16"/>
  <c r="L44" i="16"/>
  <c r="L148" i="16"/>
  <c r="L193" i="16"/>
  <c r="L6" i="16"/>
  <c r="L16" i="16"/>
  <c r="L38" i="16"/>
  <c r="L41" i="16"/>
  <c r="L51" i="16"/>
  <c r="L58" i="16"/>
  <c r="L104" i="16"/>
  <c r="L118" i="16"/>
  <c r="L124" i="16"/>
  <c r="L145" i="16"/>
  <c r="L152" i="16"/>
  <c r="L162" i="16"/>
  <c r="L169" i="16"/>
  <c r="L190" i="16"/>
  <c r="L197" i="16"/>
  <c r="L207" i="16"/>
  <c r="L214" i="16"/>
  <c r="L221" i="16"/>
  <c r="L239" i="16"/>
  <c r="L246" i="16"/>
  <c r="L253" i="16"/>
  <c r="L271" i="16"/>
  <c r="L278" i="16"/>
  <c r="L285" i="16"/>
  <c r="L303" i="16"/>
  <c r="V85" i="16" s="1"/>
  <c r="L310" i="16"/>
  <c r="V92" i="16" s="1"/>
  <c r="L317" i="16"/>
  <c r="V99" i="16" s="1"/>
  <c r="L7" i="16"/>
  <c r="L22" i="16"/>
  <c r="L39" i="16"/>
  <c r="L42" i="16"/>
  <c r="L78" i="16"/>
  <c r="V80" i="16" s="1"/>
  <c r="L140" i="16"/>
  <c r="L163" i="16"/>
  <c r="L170" i="16"/>
  <c r="L177" i="16"/>
  <c r="L215" i="16"/>
  <c r="L222" i="16"/>
  <c r="L229" i="16"/>
  <c r="L247" i="16"/>
  <c r="L254" i="16"/>
  <c r="L261" i="16"/>
  <c r="L296" i="16"/>
  <c r="L195" i="16"/>
  <c r="L283" i="16"/>
  <c r="L290" i="16"/>
  <c r="L297" i="16"/>
  <c r="L315" i="16"/>
  <c r="V97" i="16" s="1"/>
  <c r="L322" i="16"/>
  <c r="L23" i="16"/>
  <c r="L75" i="16"/>
  <c r="V77" i="16" s="1"/>
  <c r="L82" i="16"/>
  <c r="L100" i="16"/>
  <c r="L106" i="16"/>
  <c r="L116" i="16"/>
  <c r="L141" i="16"/>
  <c r="L171" i="16"/>
  <c r="L178" i="16"/>
  <c r="L185" i="16"/>
  <c r="L199" i="16"/>
  <c r="L205" i="16"/>
  <c r="L223" i="16"/>
  <c r="L230" i="16"/>
  <c r="L237" i="16"/>
  <c r="L255" i="16"/>
  <c r="L262" i="16"/>
  <c r="L269" i="16"/>
  <c r="L287" i="16"/>
  <c r="L294" i="16"/>
  <c r="L301" i="16"/>
  <c r="L319" i="16"/>
  <c r="V101" i="16" s="1"/>
  <c r="L5" i="16"/>
  <c r="L43" i="16"/>
  <c r="V73" i="16"/>
  <c r="L137" i="16"/>
  <c r="L66" i="16"/>
  <c r="L81" i="16"/>
  <c r="L121" i="16"/>
  <c r="V71" i="16"/>
  <c r="L86" i="16"/>
  <c r="L113" i="16"/>
  <c r="L203" i="16"/>
  <c r="L32" i="16"/>
  <c r="V66" i="16"/>
  <c r="V81" i="16"/>
  <c r="L56" i="16"/>
  <c r="L91" i="16"/>
  <c r="L144" i="16"/>
  <c r="V69" i="16"/>
  <c r="L105" i="16"/>
  <c r="L128" i="16"/>
  <c r="L219" i="16"/>
  <c r="L33" i="16"/>
  <c r="L108" i="16"/>
  <c r="L155" i="16"/>
  <c r="L161" i="16"/>
  <c r="L322" i="1"/>
  <c r="V69" i="18" l="1"/>
  <c r="V77" i="18"/>
  <c r="V68" i="18"/>
  <c r="N5" i="18" s="1"/>
  <c r="N2" i="18"/>
  <c r="V97" i="17"/>
  <c r="V68" i="17"/>
  <c r="V67" i="17"/>
  <c r="N2" i="17" s="1"/>
  <c r="V83" i="16"/>
  <c r="V68" i="16"/>
  <c r="N5" i="16" l="1"/>
  <c r="M313" i="18"/>
  <c r="M281" i="18"/>
  <c r="M269" i="18"/>
  <c r="M253" i="18"/>
  <c r="M237" i="18"/>
  <c r="M221" i="18"/>
  <c r="M205" i="18"/>
  <c r="M301" i="18"/>
  <c r="M189" i="18"/>
  <c r="M184" i="18"/>
  <c r="M317" i="18"/>
  <c r="M285" i="18"/>
  <c r="M185" i="18"/>
  <c r="M209" i="18"/>
  <c r="M257" i="18"/>
  <c r="M80" i="18"/>
  <c r="M70" i="18"/>
  <c r="M59" i="18"/>
  <c r="M139" i="18"/>
  <c r="M107" i="18"/>
  <c r="M305" i="18"/>
  <c r="M225" i="18"/>
  <c r="M273" i="18"/>
  <c r="M193" i="18"/>
  <c r="M241" i="18"/>
  <c r="M88" i="18"/>
  <c r="M72" i="18"/>
  <c r="M143" i="18"/>
  <c r="M111" i="18"/>
  <c r="M20" i="18"/>
  <c r="M64" i="18"/>
  <c r="M78" i="18"/>
  <c r="M68" i="18"/>
  <c r="M55" i="18"/>
  <c r="M10" i="18"/>
  <c r="M85" i="18"/>
  <c r="M14" i="18"/>
  <c r="M13" i="18"/>
  <c r="M46" i="18"/>
  <c r="M22" i="18"/>
  <c r="M98" i="18"/>
  <c r="M121" i="18"/>
  <c r="M183" i="18"/>
  <c r="M100" i="18"/>
  <c r="M197" i="18"/>
  <c r="M104" i="18"/>
  <c r="M191" i="18"/>
  <c r="M110" i="18"/>
  <c r="M302" i="18"/>
  <c r="M122" i="18"/>
  <c r="M233" i="18"/>
  <c r="M134" i="18"/>
  <c r="M188" i="18"/>
  <c r="M120" i="18"/>
  <c r="M265" i="18"/>
  <c r="M226" i="18"/>
  <c r="M271" i="18"/>
  <c r="M294" i="18"/>
  <c r="M220" i="18"/>
  <c r="M262" i="18"/>
  <c r="M275" i="18"/>
  <c r="M208" i="18"/>
  <c r="M250" i="18"/>
  <c r="M319" i="18"/>
  <c r="M278" i="18"/>
  <c r="M212" i="18"/>
  <c r="M254" i="18"/>
  <c r="M322" i="18"/>
  <c r="M79" i="18"/>
  <c r="M259" i="18"/>
  <c r="M4" i="18"/>
  <c r="M2" i="18"/>
  <c r="M9" i="18"/>
  <c r="M84" i="18"/>
  <c r="M17" i="18"/>
  <c r="M92" i="18"/>
  <c r="M21" i="18"/>
  <c r="M41" i="18"/>
  <c r="M48" i="18"/>
  <c r="M29" i="18"/>
  <c r="M109" i="18"/>
  <c r="M138" i="18"/>
  <c r="M245" i="18"/>
  <c r="M118" i="18"/>
  <c r="M249" i="18"/>
  <c r="M113" i="18"/>
  <c r="M201" i="18"/>
  <c r="M116" i="18"/>
  <c r="M128" i="18"/>
  <c r="M309" i="18"/>
  <c r="M140" i="18"/>
  <c r="M261" i="18"/>
  <c r="M129" i="18"/>
  <c r="M291" i="18"/>
  <c r="M232" i="18"/>
  <c r="M282" i="18"/>
  <c r="M300" i="18"/>
  <c r="M227" i="18"/>
  <c r="M268" i="18"/>
  <c r="M286" i="18"/>
  <c r="M215" i="18"/>
  <c r="M256" i="18"/>
  <c r="M162" i="18"/>
  <c r="M284" i="18"/>
  <c r="M219" i="18"/>
  <c r="M260" i="18"/>
  <c r="M52" i="18"/>
  <c r="M76" i="18"/>
  <c r="M7" i="18"/>
  <c r="M112" i="18"/>
  <c r="M96" i="18"/>
  <c r="M89" i="18"/>
  <c r="M179" i="18"/>
  <c r="M223" i="18"/>
  <c r="M202" i="18"/>
  <c r="M190" i="18"/>
  <c r="M251" i="18"/>
  <c r="M8" i="18"/>
  <c r="M71" i="18"/>
  <c r="M5" i="18"/>
  <c r="M16" i="18"/>
  <c r="M87" i="18"/>
  <c r="M24" i="18"/>
  <c r="M94" i="18"/>
  <c r="M28" i="18"/>
  <c r="M51" i="18"/>
  <c r="M36" i="18"/>
  <c r="M126" i="18"/>
  <c r="M144" i="18"/>
  <c r="M132" i="18"/>
  <c r="M124" i="18"/>
  <c r="M289" i="18"/>
  <c r="M130" i="18"/>
  <c r="M276" i="18"/>
  <c r="M125" i="18"/>
  <c r="M308" i="18"/>
  <c r="M137" i="18"/>
  <c r="M63" i="18"/>
  <c r="M149" i="18"/>
  <c r="M297" i="18"/>
  <c r="M146" i="18"/>
  <c r="M194" i="18"/>
  <c r="M239" i="18"/>
  <c r="M288" i="18"/>
  <c r="M315" i="18"/>
  <c r="M230" i="18"/>
  <c r="M274" i="18"/>
  <c r="M292" i="18"/>
  <c r="M218" i="18"/>
  <c r="M263" i="18"/>
  <c r="M166" i="18"/>
  <c r="M299" i="18"/>
  <c r="M222" i="18"/>
  <c r="M267" i="18"/>
  <c r="M105" i="18"/>
  <c r="M283" i="18"/>
  <c r="M304" i="18"/>
  <c r="M11" i="18"/>
  <c r="M86" i="18"/>
  <c r="M12" i="18"/>
  <c r="M19" i="18"/>
  <c r="M115" i="18"/>
  <c r="M27" i="18"/>
  <c r="M119" i="18"/>
  <c r="M31" i="18"/>
  <c r="M69" i="18"/>
  <c r="M57" i="18"/>
  <c r="M39" i="18"/>
  <c r="M141" i="18"/>
  <c r="M153" i="18"/>
  <c r="M62" i="18"/>
  <c r="M133" i="18"/>
  <c r="M136" i="18"/>
  <c r="M321" i="18"/>
  <c r="M142" i="18"/>
  <c r="M61" i="18"/>
  <c r="M154" i="18"/>
  <c r="M155" i="18"/>
  <c r="M152" i="18"/>
  <c r="M200" i="18"/>
  <c r="M242" i="18"/>
  <c r="M303" i="18"/>
  <c r="M195" i="18"/>
  <c r="M236" i="18"/>
  <c r="M280" i="18"/>
  <c r="M307" i="18"/>
  <c r="M224" i="18"/>
  <c r="M266" i="18"/>
  <c r="M170" i="18"/>
  <c r="M310" i="18"/>
  <c r="M228" i="18"/>
  <c r="M270" i="18"/>
  <c r="M50" i="18"/>
  <c r="M214" i="18"/>
  <c r="M26" i="18"/>
  <c r="M93" i="18"/>
  <c r="M15" i="18"/>
  <c r="M34" i="18"/>
  <c r="M131" i="18"/>
  <c r="M45" i="18"/>
  <c r="M135" i="18"/>
  <c r="M42" i="18"/>
  <c r="M18" i="18"/>
  <c r="M123" i="18"/>
  <c r="M43" i="18"/>
  <c r="M217" i="18"/>
  <c r="M156" i="18"/>
  <c r="M150" i="18"/>
  <c r="M145" i="18"/>
  <c r="M148" i="18"/>
  <c r="M82" i="18"/>
  <c r="M157" i="18"/>
  <c r="M74" i="18"/>
  <c r="M158" i="18"/>
  <c r="M161" i="18"/>
  <c r="M207" i="18"/>
  <c r="M248" i="18"/>
  <c r="M314" i="18"/>
  <c r="M198" i="18"/>
  <c r="M243" i="18"/>
  <c r="M295" i="18"/>
  <c r="M318" i="18"/>
  <c r="M231" i="18"/>
  <c r="M272" i="18"/>
  <c r="M174" i="18"/>
  <c r="M316" i="18"/>
  <c r="M235" i="18"/>
  <c r="M279" i="18"/>
  <c r="M53" i="18"/>
  <c r="M33" i="18"/>
  <c r="M102" i="18"/>
  <c r="M30" i="18"/>
  <c r="M40" i="18"/>
  <c r="M147" i="18"/>
  <c r="M56" i="18"/>
  <c r="M151" i="18"/>
  <c r="M60" i="18"/>
  <c r="M25" i="18"/>
  <c r="M38" i="18"/>
  <c r="M54" i="18"/>
  <c r="M164" i="18"/>
  <c r="M81" i="18"/>
  <c r="M159" i="18"/>
  <c r="M73" i="18"/>
  <c r="M165" i="18"/>
  <c r="M65" i="18"/>
  <c r="M229" i="18"/>
  <c r="M97" i="18"/>
  <c r="M160" i="18"/>
  <c r="M95" i="18"/>
  <c r="M163" i="18"/>
  <c r="M169" i="18"/>
  <c r="M210" i="18"/>
  <c r="M255" i="18"/>
  <c r="M320" i="18"/>
  <c r="M204" i="18"/>
  <c r="M246" i="18"/>
  <c r="M306" i="18"/>
  <c r="M192" i="18"/>
  <c r="M234" i="18"/>
  <c r="M287" i="18"/>
  <c r="M178" i="18"/>
  <c r="M196" i="18"/>
  <c r="M238" i="18"/>
  <c r="M290" i="18"/>
  <c r="M58" i="18"/>
  <c r="M176" i="18"/>
  <c r="M264" i="18"/>
  <c r="M247" i="18"/>
  <c r="M311" i="18"/>
  <c r="M49" i="18"/>
  <c r="M127" i="18"/>
  <c r="M37" i="18"/>
  <c r="M44" i="18"/>
  <c r="M3" i="18"/>
  <c r="M6" i="18"/>
  <c r="M32" i="18"/>
  <c r="M101" i="18"/>
  <c r="M106" i="18"/>
  <c r="M172" i="18"/>
  <c r="M83" i="18"/>
  <c r="M167" i="18"/>
  <c r="M173" i="18"/>
  <c r="M277" i="18"/>
  <c r="M99" i="18"/>
  <c r="M168" i="18"/>
  <c r="M108" i="18"/>
  <c r="M171" i="18"/>
  <c r="M103" i="18"/>
  <c r="M177" i="18"/>
  <c r="M216" i="18"/>
  <c r="M258" i="18"/>
  <c r="M186" i="18"/>
  <c r="M211" i="18"/>
  <c r="M252" i="18"/>
  <c r="M312" i="18"/>
  <c r="M199" i="18"/>
  <c r="M240" i="18"/>
  <c r="M298" i="18"/>
  <c r="M187" i="18"/>
  <c r="M203" i="18"/>
  <c r="M244" i="18"/>
  <c r="M296" i="18"/>
  <c r="M23" i="18"/>
  <c r="M35" i="18"/>
  <c r="M77" i="18"/>
  <c r="M180" i="18"/>
  <c r="M175" i="18"/>
  <c r="M181" i="18"/>
  <c r="M293" i="18"/>
  <c r="M117" i="18"/>
  <c r="M114" i="18"/>
  <c r="M213" i="18"/>
  <c r="M206" i="18"/>
  <c r="M67" i="18"/>
  <c r="M66" i="18"/>
  <c r="M90" i="18"/>
  <c r="M75" i="18"/>
  <c r="M91" i="18"/>
  <c r="M47" i="18"/>
  <c r="M182" i="18"/>
  <c r="N5" i="17"/>
  <c r="M261" i="17"/>
  <c r="M285" i="17"/>
  <c r="M317" i="17"/>
  <c r="M309" i="17"/>
  <c r="M245" i="17"/>
  <c r="M211" i="17"/>
  <c r="M269" i="17"/>
  <c r="M293" i="17"/>
  <c r="M253" i="17"/>
  <c r="M101" i="17"/>
  <c r="M179" i="17"/>
  <c r="M41" i="17"/>
  <c r="M301" i="17"/>
  <c r="M277" i="17"/>
  <c r="M181" i="17"/>
  <c r="M171" i="17"/>
  <c r="M34" i="17"/>
  <c r="M88" i="17"/>
  <c r="M235" i="17"/>
  <c r="M240" i="17"/>
  <c r="M6" i="17"/>
  <c r="M2" i="17"/>
  <c r="M12" i="17"/>
  <c r="M92" i="17"/>
  <c r="M27" i="17"/>
  <c r="M25" i="17"/>
  <c r="M8" i="17"/>
  <c r="M83" i="17"/>
  <c r="M80" i="17"/>
  <c r="M133" i="17"/>
  <c r="M238" i="17"/>
  <c r="M286" i="17"/>
  <c r="M51" i="17"/>
  <c r="M144" i="17"/>
  <c r="M320" i="17"/>
  <c r="M26" i="17"/>
  <c r="M197" i="17"/>
  <c r="M292" i="17"/>
  <c r="M233" i="17"/>
  <c r="M130" i="17"/>
  <c r="M280" i="17"/>
  <c r="M264" i="17"/>
  <c r="M203" i="17"/>
  <c r="M194" i="17"/>
  <c r="M229" i="17"/>
  <c r="M20" i="17"/>
  <c r="M138" i="17"/>
  <c r="M304" i="17"/>
  <c r="M198" i="17"/>
  <c r="M275" i="17"/>
  <c r="M193" i="17"/>
  <c r="M318" i="17"/>
  <c r="M117" i="17"/>
  <c r="M307" i="17"/>
  <c r="M217" i="17"/>
  <c r="M313" i="17"/>
  <c r="M287" i="17"/>
  <c r="M266" i="17"/>
  <c r="M68" i="17"/>
  <c r="M316" i="17"/>
  <c r="M274" i="17"/>
  <c r="M23" i="17"/>
  <c r="M254" i="17"/>
  <c r="M244" i="17"/>
  <c r="M149" i="17"/>
  <c r="M222" i="17"/>
  <c r="M249" i="17"/>
  <c r="M311" i="17"/>
  <c r="M290" i="17"/>
  <c r="M72" i="17"/>
  <c r="M178" i="17"/>
  <c r="M160" i="17"/>
  <c r="M185" i="17"/>
  <c r="M214" i="17"/>
  <c r="M196" i="17"/>
  <c r="M91" i="17"/>
  <c r="M105" i="17"/>
  <c r="M57" i="17"/>
  <c r="M28" i="17"/>
  <c r="M38" i="17"/>
  <c r="M110" i="17"/>
  <c r="M118" i="17"/>
  <c r="M148" i="17"/>
  <c r="M289" i="17"/>
  <c r="M163" i="17"/>
  <c r="M48" i="17"/>
  <c r="M69" i="17"/>
  <c r="M200" i="17"/>
  <c r="M136" i="17"/>
  <c r="M272" i="17"/>
  <c r="M134" i="17"/>
  <c r="M63" i="17"/>
  <c r="M99" i="17"/>
  <c r="M248" i="17"/>
  <c r="M204" i="17"/>
  <c r="M46" i="17"/>
  <c r="M161" i="17"/>
  <c r="M302" i="17"/>
  <c r="M206" i="17"/>
  <c r="M132" i="17"/>
  <c r="M267" i="17"/>
  <c r="M188" i="17"/>
  <c r="M177" i="17"/>
  <c r="M230" i="17"/>
  <c r="M295" i="17"/>
  <c r="M84" i="17"/>
  <c r="M7" i="17"/>
  <c r="M122" i="17"/>
  <c r="M219" i="17"/>
  <c r="M296" i="17"/>
  <c r="M279" i="17"/>
  <c r="M232" i="17"/>
  <c r="M114" i="17"/>
  <c r="M40" i="17"/>
  <c r="M31" i="17"/>
  <c r="M44" i="17"/>
  <c r="M142" i="17"/>
  <c r="M150" i="17"/>
  <c r="M4" i="17"/>
  <c r="M61" i="17"/>
  <c r="M85" i="17"/>
  <c r="M62" i="17"/>
  <c r="M169" i="17"/>
  <c r="M32" i="17"/>
  <c r="M3" i="17"/>
  <c r="M231" i="17"/>
  <c r="M162" i="17"/>
  <c r="M14" i="17"/>
  <c r="M140" i="17"/>
  <c r="M29" i="17"/>
  <c r="M218" i="17"/>
  <c r="M124" i="17"/>
  <c r="M173" i="17"/>
  <c r="M305" i="17"/>
  <c r="M228" i="17"/>
  <c r="M236" i="17"/>
  <c r="M321" i="17"/>
  <c r="M147" i="17"/>
  <c r="M294" i="17"/>
  <c r="M209" i="17"/>
  <c r="M220" i="17"/>
  <c r="M246" i="17"/>
  <c r="M303" i="17"/>
  <c r="M282" i="17"/>
  <c r="M182" i="17"/>
  <c r="M129" i="17"/>
  <c r="M268" i="17"/>
  <c r="M115" i="17"/>
  <c r="M322" i="17"/>
  <c r="M15" i="17"/>
  <c r="M120" i="17"/>
  <c r="M43" i="17"/>
  <c r="M37" i="17"/>
  <c r="M53" i="17"/>
  <c r="M11" i="17"/>
  <c r="M176" i="17"/>
  <c r="M121" i="17"/>
  <c r="M175" i="17"/>
  <c r="M126" i="17"/>
  <c r="M73" i="17"/>
  <c r="M256" i="17"/>
  <c r="M56" i="17"/>
  <c r="M157" i="17"/>
  <c r="M81" i="17"/>
  <c r="M186" i="17"/>
  <c r="M16" i="17"/>
  <c r="M225" i="17"/>
  <c r="M239" i="17"/>
  <c r="M297" i="17"/>
  <c r="M247" i="17"/>
  <c r="M116" i="17"/>
  <c r="M192" i="17"/>
  <c r="M13" i="17"/>
  <c r="M64" i="17"/>
  <c r="M89" i="17"/>
  <c r="M106" i="17"/>
  <c r="M9" i="17"/>
  <c r="M137" i="17"/>
  <c r="M87" i="17"/>
  <c r="M95" i="17"/>
  <c r="M67" i="17"/>
  <c r="M47" i="17"/>
  <c r="M24" i="17"/>
  <c r="M70" i="17"/>
  <c r="M74" i="17"/>
  <c r="M153" i="17"/>
  <c r="M77" i="17"/>
  <c r="M187" i="17"/>
  <c r="M35" i="17"/>
  <c r="M75" i="17"/>
  <c r="M55" i="17"/>
  <c r="M262" i="17"/>
  <c r="M94" i="17"/>
  <c r="M167" i="17"/>
  <c r="M223" i="17"/>
  <c r="M39" i="17"/>
  <c r="M125" i="17"/>
  <c r="M237" i="17"/>
  <c r="M183" i="17"/>
  <c r="M19" i="17"/>
  <c r="M195" i="17"/>
  <c r="M278" i="17"/>
  <c r="M257" i="17"/>
  <c r="M308" i="17"/>
  <c r="M170" i="17"/>
  <c r="M300" i="17"/>
  <c r="M243" i="17"/>
  <c r="M158" i="17"/>
  <c r="M252" i="17"/>
  <c r="M255" i="17"/>
  <c r="M319" i="17"/>
  <c r="M298" i="17"/>
  <c r="M184" i="17"/>
  <c r="M215" i="17"/>
  <c r="M172" i="17"/>
  <c r="M18" i="17"/>
  <c r="M146" i="17"/>
  <c r="M103" i="17"/>
  <c r="M159" i="17"/>
  <c r="M50" i="17"/>
  <c r="M154" i="17"/>
  <c r="M213" i="17"/>
  <c r="M100" i="17"/>
  <c r="M190" i="17"/>
  <c r="M104" i="17"/>
  <c r="M96" i="17"/>
  <c r="M93" i="17"/>
  <c r="M312" i="17"/>
  <c r="M98" i="17"/>
  <c r="M191" i="17"/>
  <c r="M97" i="17"/>
  <c r="M265" i="17"/>
  <c r="M128" i="17"/>
  <c r="M10" i="17"/>
  <c r="M212" i="17"/>
  <c r="M205" i="17"/>
  <c r="M155" i="17"/>
  <c r="M281" i="17"/>
  <c r="M260" i="17"/>
  <c r="M82" i="17"/>
  <c r="M180" i="17"/>
  <c r="M241" i="17"/>
  <c r="M270" i="17"/>
  <c r="M166" i="17"/>
  <c r="M263" i="17"/>
  <c r="M242" i="17"/>
  <c r="M306" i="17"/>
  <c r="M168" i="17"/>
  <c r="M224" i="17"/>
  <c r="M258" i="17"/>
  <c r="M22" i="17"/>
  <c r="M152" i="17"/>
  <c r="M60" i="17"/>
  <c r="M21" i="17"/>
  <c r="M71" i="17"/>
  <c r="M54" i="17"/>
  <c r="M5" i="17"/>
  <c r="M78" i="17"/>
  <c r="M174" i="17"/>
  <c r="M227" i="17"/>
  <c r="M112" i="17"/>
  <c r="M156" i="17"/>
  <c r="M42" i="17"/>
  <c r="M127" i="17"/>
  <c r="M199" i="17"/>
  <c r="M108" i="17"/>
  <c r="M207" i="17"/>
  <c r="M135" i="17"/>
  <c r="M79" i="17"/>
  <c r="M76" i="17"/>
  <c r="M259" i="17"/>
  <c r="M45" i="17"/>
  <c r="M288" i="17"/>
  <c r="M164" i="17"/>
  <c r="M284" i="17"/>
  <c r="M291" i="17"/>
  <c r="M102" i="17"/>
  <c r="M201" i="17"/>
  <c r="M273" i="17"/>
  <c r="M310" i="17"/>
  <c r="M271" i="17"/>
  <c r="M250" i="17"/>
  <c r="M314" i="17"/>
  <c r="M208" i="17"/>
  <c r="M216" i="17"/>
  <c r="M226" i="17"/>
  <c r="M58" i="17"/>
  <c r="M299" i="17"/>
  <c r="M276" i="17"/>
  <c r="M189" i="17"/>
  <c r="M143" i="17"/>
  <c r="M119" i="17"/>
  <c r="M221" i="17"/>
  <c r="M113" i="17"/>
  <c r="M165" i="17"/>
  <c r="M202" i="17"/>
  <c r="M86" i="17"/>
  <c r="M151" i="17"/>
  <c r="M145" i="17"/>
  <c r="M49" i="17"/>
  <c r="M66" i="17"/>
  <c r="M234" i="17"/>
  <c r="M36" i="17"/>
  <c r="M283" i="17"/>
  <c r="M30" i="17"/>
  <c r="M139" i="17"/>
  <c r="M33" i="17"/>
  <c r="M251" i="17"/>
  <c r="M52" i="17"/>
  <c r="M210" i="17"/>
  <c r="M141" i="17"/>
  <c r="M59" i="17"/>
  <c r="M17" i="17"/>
  <c r="M65" i="17"/>
  <c r="M131" i="17"/>
  <c r="M107" i="17"/>
  <c r="M315" i="17"/>
  <c r="M111" i="17"/>
  <c r="M90" i="17"/>
  <c r="M123" i="17"/>
  <c r="M109" i="17"/>
  <c r="N2" i="16"/>
  <c r="O2" i="18" l="1"/>
  <c r="P180" i="18" s="1"/>
  <c r="O2" i="17"/>
  <c r="P299" i="17" s="1"/>
  <c r="M197" i="16"/>
  <c r="M181" i="16"/>
  <c r="M165" i="16"/>
  <c r="M139" i="16"/>
  <c r="M123" i="16"/>
  <c r="M189" i="16"/>
  <c r="M100" i="16"/>
  <c r="M54" i="16"/>
  <c r="M114" i="16"/>
  <c r="M173" i="16"/>
  <c r="M47" i="16"/>
  <c r="M117" i="16"/>
  <c r="M78" i="16"/>
  <c r="M31" i="16"/>
  <c r="M157" i="16"/>
  <c r="M124" i="16"/>
  <c r="M38" i="16"/>
  <c r="M57" i="16"/>
  <c r="M200" i="16"/>
  <c r="M140" i="16"/>
  <c r="M147" i="16"/>
  <c r="M131" i="16"/>
  <c r="M73" i="16"/>
  <c r="M8" i="16"/>
  <c r="M168" i="16"/>
  <c r="M34" i="16"/>
  <c r="M25" i="16"/>
  <c r="M10" i="16"/>
  <c r="M4" i="16"/>
  <c r="M109" i="16"/>
  <c r="M227" i="16"/>
  <c r="M162" i="16"/>
  <c r="M280" i="16"/>
  <c r="M58" i="16"/>
  <c r="M178" i="16"/>
  <c r="M36" i="16"/>
  <c r="M74" i="16"/>
  <c r="M163" i="16"/>
  <c r="M256" i="16"/>
  <c r="M62" i="16"/>
  <c r="M110" i="16"/>
  <c r="M167" i="16"/>
  <c r="M292" i="16"/>
  <c r="M130" i="16"/>
  <c r="M247" i="16"/>
  <c r="M244" i="16"/>
  <c r="M72" i="16"/>
  <c r="M107" i="16"/>
  <c r="M251" i="16"/>
  <c r="M171" i="16"/>
  <c r="M255" i="16"/>
  <c r="M158" i="16"/>
  <c r="M169" i="16"/>
  <c r="M241" i="16"/>
  <c r="M305" i="16"/>
  <c r="M226" i="16"/>
  <c r="M198" i="16"/>
  <c r="M266" i="16"/>
  <c r="M298" i="16"/>
  <c r="M2" i="16"/>
  <c r="M12" i="16"/>
  <c r="M41" i="16"/>
  <c r="M77" i="16"/>
  <c r="M21" i="16"/>
  <c r="M11" i="16"/>
  <c r="M184" i="16"/>
  <c r="M85" i="16"/>
  <c r="M308" i="16"/>
  <c r="M269" i="16"/>
  <c r="M174" i="16"/>
  <c r="M313" i="16"/>
  <c r="M238" i="16"/>
  <c r="M270" i="16"/>
  <c r="M304" i="16"/>
  <c r="M213" i="16"/>
  <c r="M295" i="16"/>
  <c r="M61" i="16"/>
  <c r="M220" i="16"/>
  <c r="M259" i="16"/>
  <c r="M194" i="16"/>
  <c r="M271" i="16"/>
  <c r="M320" i="16"/>
  <c r="M64" i="16"/>
  <c r="M116" i="16"/>
  <c r="M179" i="16"/>
  <c r="M307" i="16"/>
  <c r="M136" i="16"/>
  <c r="M261" i="16"/>
  <c r="M80" i="16"/>
  <c r="M120" i="16"/>
  <c r="M268" i="16"/>
  <c r="M70" i="16"/>
  <c r="M176" i="16"/>
  <c r="M164" i="16"/>
  <c r="M249" i="16"/>
  <c r="M234" i="16"/>
  <c r="M302" i="16"/>
  <c r="M166" i="16"/>
  <c r="M18" i="16"/>
  <c r="M71" i="16"/>
  <c r="M276" i="16"/>
  <c r="M151" i="16"/>
  <c r="M101" i="16"/>
  <c r="M35" i="16"/>
  <c r="M67" i="16"/>
  <c r="M133" i="16"/>
  <c r="M225" i="16"/>
  <c r="M258" i="16"/>
  <c r="M88" i="16"/>
  <c r="M277" i="16"/>
  <c r="M154" i="16"/>
  <c r="M152" i="16"/>
  <c r="M150" i="16"/>
  <c r="M233" i="16"/>
  <c r="M294" i="16"/>
  <c r="M9" i="16"/>
  <c r="M60" i="16"/>
  <c r="M83" i="16"/>
  <c r="M29" i="16"/>
  <c r="M14" i="16"/>
  <c r="M20" i="16"/>
  <c r="M94" i="16"/>
  <c r="M216" i="16"/>
  <c r="M309" i="16"/>
  <c r="M235" i="16"/>
  <c r="M19" i="16"/>
  <c r="M95" i="16"/>
  <c r="M285" i="16"/>
  <c r="M13" i="16"/>
  <c r="M135" i="16"/>
  <c r="M201" i="16"/>
  <c r="M264" i="16"/>
  <c r="M45" i="16"/>
  <c r="M283" i="16"/>
  <c r="M186" i="16"/>
  <c r="M272" i="16"/>
  <c r="M180" i="16"/>
  <c r="M185" i="16"/>
  <c r="M257" i="16"/>
  <c r="M321" i="16"/>
  <c r="M242" i="16"/>
  <c r="M274" i="16"/>
  <c r="M306" i="16"/>
  <c r="M196" i="16"/>
  <c r="M310" i="16"/>
  <c r="M188" i="16"/>
  <c r="M53" i="16"/>
  <c r="M145" i="16"/>
  <c r="M299" i="16"/>
  <c r="M260" i="16"/>
  <c r="M311" i="16"/>
  <c r="M210" i="16"/>
  <c r="M103" i="16"/>
  <c r="M156" i="16"/>
  <c r="M316" i="16"/>
  <c r="M104" i="16"/>
  <c r="M232" i="16"/>
  <c r="M291" i="16"/>
  <c r="M230" i="16"/>
  <c r="M193" i="16"/>
  <c r="M15" i="16"/>
  <c r="M126" i="16"/>
  <c r="M96" i="16"/>
  <c r="M149" i="16"/>
  <c r="M3" i="16"/>
  <c r="M26" i="16"/>
  <c r="M17" i="16"/>
  <c r="M55" i="16"/>
  <c r="M112" i="16"/>
  <c r="M231" i="16"/>
  <c r="M68" i="16"/>
  <c r="M252" i="16"/>
  <c r="M39" i="16"/>
  <c r="M207" i="16"/>
  <c r="M288" i="16"/>
  <c r="M40" i="16"/>
  <c r="M138" i="16"/>
  <c r="M211" i="16"/>
  <c r="M90" i="16"/>
  <c r="M97" i="16"/>
  <c r="M183" i="16"/>
  <c r="M279" i="16"/>
  <c r="M52" i="16"/>
  <c r="M84" i="16"/>
  <c r="M160" i="16"/>
  <c r="M300" i="16"/>
  <c r="M75" i="16"/>
  <c r="M205" i="16"/>
  <c r="M287" i="16"/>
  <c r="M190" i="16"/>
  <c r="M265" i="16"/>
  <c r="M172" i="16"/>
  <c r="M246" i="16"/>
  <c r="M278" i="16"/>
  <c r="M175" i="16"/>
  <c r="M49" i="16"/>
  <c r="M263" i="16"/>
  <c r="M229" i="16"/>
  <c r="M237" i="16"/>
  <c r="M289" i="16"/>
  <c r="M290" i="16"/>
  <c r="M50" i="16"/>
  <c r="M153" i="16"/>
  <c r="M253" i="16"/>
  <c r="M275" i="16"/>
  <c r="M297" i="16"/>
  <c r="M28" i="16"/>
  <c r="M6" i="16"/>
  <c r="M142" i="16"/>
  <c r="M159" i="16"/>
  <c r="M7" i="16"/>
  <c r="M30" i="16"/>
  <c r="M23" i="16"/>
  <c r="M63" i="16"/>
  <c r="M118" i="16"/>
  <c r="M245" i="16"/>
  <c r="M312" i="16"/>
  <c r="M267" i="16"/>
  <c r="M51" i="16"/>
  <c r="M115" i="16"/>
  <c r="M221" i="16"/>
  <c r="M303" i="16"/>
  <c r="M87" i="16"/>
  <c r="M79" i="16"/>
  <c r="M141" i="16"/>
  <c r="M228" i="16"/>
  <c r="M111" i="16"/>
  <c r="M119" i="16"/>
  <c r="M195" i="16"/>
  <c r="M293" i="16"/>
  <c r="M65" i="16"/>
  <c r="M89" i="16"/>
  <c r="M199" i="16"/>
  <c r="M315" i="16"/>
  <c r="M208" i="16"/>
  <c r="M301" i="16"/>
  <c r="M206" i="16"/>
  <c r="M209" i="16"/>
  <c r="M273" i="16"/>
  <c r="M250" i="16"/>
  <c r="M282" i="16"/>
  <c r="M314" i="16"/>
  <c r="M170" i="16"/>
  <c r="M322" i="16"/>
  <c r="M191" i="16"/>
  <c r="M92" i="16"/>
  <c r="M48" i="16"/>
  <c r="M148" i="16"/>
  <c r="M59" i="16"/>
  <c r="M42" i="16"/>
  <c r="M240" i="16"/>
  <c r="M218" i="16"/>
  <c r="M37" i="16"/>
  <c r="M16" i="16"/>
  <c r="M27" i="16"/>
  <c r="M93" i="16"/>
  <c r="M22" i="16"/>
  <c r="M46" i="16"/>
  <c r="M82" i="16"/>
  <c r="M248" i="16"/>
  <c r="M134" i="16"/>
  <c r="M284" i="16"/>
  <c r="M69" i="16"/>
  <c r="M132" i="16"/>
  <c r="M224" i="16"/>
  <c r="M192" i="16"/>
  <c r="M99" i="16"/>
  <c r="M143" i="16"/>
  <c r="M243" i="16"/>
  <c r="M212" i="16"/>
  <c r="M122" i="16"/>
  <c r="M215" i="16"/>
  <c r="M296" i="16"/>
  <c r="M98" i="16"/>
  <c r="M204" i="16"/>
  <c r="M223" i="16"/>
  <c r="M214" i="16"/>
  <c r="M217" i="16"/>
  <c r="M281" i="16"/>
  <c r="M202" i="16"/>
  <c r="M177" i="16"/>
  <c r="M254" i="16"/>
  <c r="M286" i="16"/>
  <c r="M318" i="16"/>
  <c r="M44" i="16"/>
  <c r="M106" i="16"/>
  <c r="M129" i="16"/>
  <c r="M239" i="16"/>
  <c r="M146" i="16"/>
  <c r="M125" i="16"/>
  <c r="M102" i="16"/>
  <c r="M187" i="16"/>
  <c r="M222" i="16"/>
  <c r="M182" i="16"/>
  <c r="M24" i="16"/>
  <c r="M76" i="16"/>
  <c r="M317" i="16"/>
  <c r="M127" i="16"/>
  <c r="M236" i="16"/>
  <c r="M319" i="16"/>
  <c r="M262" i="16"/>
  <c r="M108" i="16"/>
  <c r="M113" i="16"/>
  <c r="M66" i="16"/>
  <c r="M81" i="16"/>
  <c r="M86" i="16"/>
  <c r="M121" i="16"/>
  <c r="M219" i="16"/>
  <c r="M43" i="16"/>
  <c r="M128" i="16"/>
  <c r="M161" i="16"/>
  <c r="M137" i="16"/>
  <c r="M155" i="16"/>
  <c r="M144" i="16"/>
  <c r="M33" i="16"/>
  <c r="M56" i="16"/>
  <c r="M105" i="16"/>
  <c r="M91" i="16"/>
  <c r="M5" i="16"/>
  <c r="M32" i="16"/>
  <c r="M203" i="16"/>
  <c r="P35" i="18" l="1"/>
  <c r="P153" i="18"/>
  <c r="P27" i="17"/>
  <c r="P38" i="17"/>
  <c r="P19" i="18"/>
  <c r="P277" i="18"/>
  <c r="P208" i="18"/>
  <c r="P320" i="18"/>
  <c r="P91" i="18"/>
  <c r="P62" i="18"/>
  <c r="P240" i="18"/>
  <c r="P197" i="18"/>
  <c r="P310" i="18"/>
  <c r="P80" i="18"/>
  <c r="P29" i="18"/>
  <c r="P51" i="18"/>
  <c r="P224" i="18"/>
  <c r="P302" i="18"/>
  <c r="P40" i="18"/>
  <c r="P121" i="18"/>
  <c r="P143" i="18"/>
  <c r="P136" i="18"/>
  <c r="P202" i="18"/>
  <c r="P288" i="18"/>
  <c r="P26" i="18"/>
  <c r="P198" i="18"/>
  <c r="P300" i="18"/>
  <c r="P164" i="18"/>
  <c r="P122" i="18"/>
  <c r="P261" i="18"/>
  <c r="P60" i="18"/>
  <c r="P250" i="18"/>
  <c r="P150" i="18"/>
  <c r="P141" i="18"/>
  <c r="P147" i="18"/>
  <c r="P68" i="18"/>
  <c r="P174" i="18"/>
  <c r="P7" i="18"/>
  <c r="P219" i="18"/>
  <c r="P103" i="18"/>
  <c r="P260" i="18"/>
  <c r="P283" i="18"/>
  <c r="P203" i="18"/>
  <c r="P36" i="18"/>
  <c r="P127" i="18"/>
  <c r="P154" i="18"/>
  <c r="P98" i="18"/>
  <c r="P255" i="18"/>
  <c r="P179" i="18"/>
  <c r="P199" i="18"/>
  <c r="P223" i="18"/>
  <c r="P243" i="18"/>
  <c r="P298" i="18"/>
  <c r="P228" i="18"/>
  <c r="P268" i="18"/>
  <c r="P70" i="18"/>
  <c r="P109" i="18"/>
  <c r="P315" i="18"/>
  <c r="P145" i="18"/>
  <c r="P37" i="18"/>
  <c r="P17" i="18"/>
  <c r="P59" i="18"/>
  <c r="P138" i="18"/>
  <c r="P230" i="18"/>
  <c r="P148" i="18"/>
  <c r="P44" i="18"/>
  <c r="P254" i="18"/>
  <c r="P253" i="18"/>
  <c r="P322" i="18"/>
  <c r="P289" i="18"/>
  <c r="P93" i="18"/>
  <c r="P234" i="18"/>
  <c r="P293" i="18"/>
  <c r="P305" i="18"/>
  <c r="P249" i="18"/>
  <c r="P218" i="18"/>
  <c r="P74" i="18"/>
  <c r="P32" i="18"/>
  <c r="P27" i="18"/>
  <c r="P13" i="18"/>
  <c r="P256" i="18"/>
  <c r="P69" i="18"/>
  <c r="P33" i="18"/>
  <c r="P211" i="18"/>
  <c r="P46" i="18"/>
  <c r="P162" i="18"/>
  <c r="P57" i="18"/>
  <c r="P102" i="18"/>
  <c r="P252" i="18"/>
  <c r="P56" i="18"/>
  <c r="P226" i="18"/>
  <c r="P5" i="18"/>
  <c r="P236" i="18"/>
  <c r="P97" i="18"/>
  <c r="P114" i="18"/>
  <c r="P241" i="18"/>
  <c r="P128" i="18"/>
  <c r="P222" i="18"/>
  <c r="P248" i="18"/>
  <c r="P83" i="18"/>
  <c r="P24" i="18"/>
  <c r="P88" i="18"/>
  <c r="P309" i="18"/>
  <c r="P267" i="18"/>
  <c r="P314" i="18"/>
  <c r="P167" i="18"/>
  <c r="P140" i="18"/>
  <c r="P285" i="18"/>
  <c r="P92" i="18"/>
  <c r="P297" i="18"/>
  <c r="P123" i="18"/>
  <c r="P264" i="18"/>
  <c r="P233" i="18"/>
  <c r="P111" i="18"/>
  <c r="P129" i="18"/>
  <c r="P304" i="18"/>
  <c r="P295" i="18"/>
  <c r="P99" i="18"/>
  <c r="P82" i="18"/>
  <c r="P104" i="18"/>
  <c r="P112" i="18"/>
  <c r="P321" i="18"/>
  <c r="P25" i="18"/>
  <c r="P244" i="18"/>
  <c r="P191" i="18"/>
  <c r="P96" i="18"/>
  <c r="P142" i="18"/>
  <c r="P38" i="18"/>
  <c r="P296" i="18"/>
  <c r="P173" i="18"/>
  <c r="P319" i="18"/>
  <c r="P126" i="18"/>
  <c r="P270" i="18"/>
  <c r="P204" i="18"/>
  <c r="P47" i="18"/>
  <c r="P55" i="18"/>
  <c r="P227" i="18"/>
  <c r="P115" i="18"/>
  <c r="P316" i="18"/>
  <c r="P177" i="18"/>
  <c r="P149" i="18"/>
  <c r="P107" i="18"/>
  <c r="P118" i="18"/>
  <c r="P292" i="18"/>
  <c r="P157" i="18"/>
  <c r="P6" i="18"/>
  <c r="P274" i="18"/>
  <c r="P14" i="18"/>
  <c r="P215" i="18"/>
  <c r="P31" i="18"/>
  <c r="P53" i="18"/>
  <c r="P186" i="18"/>
  <c r="P163" i="18"/>
  <c r="P120" i="18"/>
  <c r="P8" i="18"/>
  <c r="P303" i="18"/>
  <c r="P65" i="18"/>
  <c r="P75" i="18"/>
  <c r="P265" i="18"/>
  <c r="P71" i="18"/>
  <c r="P195" i="18"/>
  <c r="P229" i="18"/>
  <c r="P117" i="18"/>
  <c r="P301" i="18"/>
  <c r="P2" i="18"/>
  <c r="P308" i="18"/>
  <c r="P45" i="18"/>
  <c r="P238" i="18"/>
  <c r="P139" i="18"/>
  <c r="P155" i="18"/>
  <c r="P81" i="18"/>
  <c r="P77" i="18"/>
  <c r="P235" i="18"/>
  <c r="P85" i="18"/>
  <c r="P286" i="18"/>
  <c r="P119" i="18"/>
  <c r="P279" i="18"/>
  <c r="P258" i="18"/>
  <c r="P159" i="18"/>
  <c r="P188" i="18"/>
  <c r="P251" i="18"/>
  <c r="P242" i="18"/>
  <c r="P165" i="18"/>
  <c r="P181" i="18"/>
  <c r="P221" i="18"/>
  <c r="P259" i="18"/>
  <c r="P276" i="18"/>
  <c r="P34" i="18"/>
  <c r="P178" i="18"/>
  <c r="P205" i="18"/>
  <c r="P4" i="18"/>
  <c r="P125" i="18"/>
  <c r="P131" i="18"/>
  <c r="P196" i="18"/>
  <c r="P10" i="18"/>
  <c r="P193" i="18"/>
  <c r="P116" i="18"/>
  <c r="P299" i="18"/>
  <c r="P207" i="18"/>
  <c r="P172" i="18"/>
  <c r="P105" i="18"/>
  <c r="P271" i="18"/>
  <c r="P16" i="18"/>
  <c r="P280" i="18"/>
  <c r="P160" i="18"/>
  <c r="P213" i="18"/>
  <c r="P176" i="18"/>
  <c r="P294" i="18"/>
  <c r="P87" i="18"/>
  <c r="P307" i="18"/>
  <c r="P95" i="18"/>
  <c r="P206" i="18"/>
  <c r="P3" i="18"/>
  <c r="P100" i="18"/>
  <c r="P76" i="18"/>
  <c r="P133" i="18"/>
  <c r="P151" i="18"/>
  <c r="P187" i="18"/>
  <c r="P216" i="18"/>
  <c r="P275" i="18"/>
  <c r="P28" i="18"/>
  <c r="P170" i="18"/>
  <c r="P210" i="18"/>
  <c r="P90" i="18"/>
  <c r="P209" i="18"/>
  <c r="P41" i="18"/>
  <c r="P194" i="18"/>
  <c r="P217" i="18"/>
  <c r="P311" i="18"/>
  <c r="P257" i="18"/>
  <c r="P48" i="18"/>
  <c r="P239" i="18"/>
  <c r="P156" i="18"/>
  <c r="P49" i="18"/>
  <c r="P245" i="18"/>
  <c r="P78" i="18"/>
  <c r="P282" i="18"/>
  <c r="P12" i="18"/>
  <c r="P272" i="18"/>
  <c r="P171" i="18"/>
  <c r="P18" i="18"/>
  <c r="P313" i="18"/>
  <c r="P278" i="18"/>
  <c r="P144" i="18"/>
  <c r="P50" i="18"/>
  <c r="P246" i="18"/>
  <c r="P182" i="18"/>
  <c r="P281" i="18"/>
  <c r="P212" i="18"/>
  <c r="P132" i="18"/>
  <c r="P214" i="18"/>
  <c r="P306" i="18"/>
  <c r="P317" i="18"/>
  <c r="P67" i="18"/>
  <c r="P134" i="18"/>
  <c r="P190" i="18"/>
  <c r="P200" i="18"/>
  <c r="P73" i="18"/>
  <c r="P175" i="18"/>
  <c r="P237" i="18"/>
  <c r="P79" i="18"/>
  <c r="P130" i="18"/>
  <c r="P15" i="18"/>
  <c r="P287" i="18"/>
  <c r="P183" i="18"/>
  <c r="P225" i="18"/>
  <c r="P113" i="18"/>
  <c r="P263" i="18"/>
  <c r="P158" i="18"/>
  <c r="P101" i="18"/>
  <c r="P273" i="18"/>
  <c r="P201" i="18"/>
  <c r="P166" i="18"/>
  <c r="P161" i="18"/>
  <c r="P106" i="18"/>
  <c r="P124" i="18"/>
  <c r="P22" i="18"/>
  <c r="P284" i="18"/>
  <c r="P39" i="18"/>
  <c r="P30" i="18"/>
  <c r="P312" i="18"/>
  <c r="P192" i="18"/>
  <c r="P189" i="18"/>
  <c r="P9" i="18"/>
  <c r="P137" i="18"/>
  <c r="P135" i="18"/>
  <c r="P290" i="18"/>
  <c r="P72" i="18"/>
  <c r="P184" i="18"/>
  <c r="P84" i="18"/>
  <c r="P63" i="18"/>
  <c r="P42" i="18"/>
  <c r="P58" i="18"/>
  <c r="P220" i="18"/>
  <c r="P269" i="18"/>
  <c r="P262" i="18"/>
  <c r="P94" i="18"/>
  <c r="P266" i="18"/>
  <c r="P169" i="18"/>
  <c r="P66" i="18"/>
  <c r="P185" i="18"/>
  <c r="P21" i="18"/>
  <c r="P146" i="18"/>
  <c r="P43" i="18"/>
  <c r="P247" i="18"/>
  <c r="P52" i="18"/>
  <c r="P20" i="18"/>
  <c r="P291" i="18"/>
  <c r="P11" i="18"/>
  <c r="P318" i="18"/>
  <c r="P168" i="18"/>
  <c r="P64" i="18"/>
  <c r="P232" i="18"/>
  <c r="P86" i="18"/>
  <c r="P231" i="18"/>
  <c r="P108" i="18"/>
  <c r="P152" i="18"/>
  <c r="P110" i="18"/>
  <c r="P89" i="18"/>
  <c r="P61" i="18"/>
  <c r="P54" i="18"/>
  <c r="P23" i="18"/>
  <c r="P302" i="17"/>
  <c r="P7" i="17"/>
  <c r="P173" i="17"/>
  <c r="P35" i="17"/>
  <c r="P50" i="17"/>
  <c r="P129" i="17"/>
  <c r="P146" i="17"/>
  <c r="P53" i="17"/>
  <c r="P311" i="17"/>
  <c r="P15" i="17"/>
  <c r="P295" i="17"/>
  <c r="P288" i="17"/>
  <c r="P255" i="17"/>
  <c r="P124" i="17"/>
  <c r="P233" i="17"/>
  <c r="P136" i="17"/>
  <c r="P49" i="17"/>
  <c r="P271" i="17"/>
  <c r="P203" i="17"/>
  <c r="P209" i="17"/>
  <c r="P177" i="17"/>
  <c r="P110" i="17"/>
  <c r="P298" i="17"/>
  <c r="P133" i="17"/>
  <c r="P48" i="17"/>
  <c r="P34" i="17"/>
  <c r="P286" i="17"/>
  <c r="P206" i="17"/>
  <c r="P3" i="17"/>
  <c r="P279" i="17"/>
  <c r="P182" i="17"/>
  <c r="P25" i="17"/>
  <c r="P103" i="17"/>
  <c r="P157" i="17"/>
  <c r="P107" i="17"/>
  <c r="P227" i="17"/>
  <c r="P60" i="17"/>
  <c r="P175" i="17"/>
  <c r="P225" i="17"/>
  <c r="P37" i="17"/>
  <c r="P144" i="17"/>
  <c r="P164" i="17"/>
  <c r="P116" i="17"/>
  <c r="P244" i="17"/>
  <c r="P59" i="17"/>
  <c r="P112" i="17"/>
  <c r="P215" i="17"/>
  <c r="P89" i="17"/>
  <c r="P252" i="17"/>
  <c r="P272" i="17"/>
  <c r="P250" i="17"/>
  <c r="P93" i="17"/>
  <c r="P123" i="17"/>
  <c r="P245" i="17"/>
  <c r="P226" i="17"/>
  <c r="P213" i="17"/>
  <c r="P97" i="17"/>
  <c r="P160" i="17"/>
  <c r="P143" i="17"/>
  <c r="P309" i="17"/>
  <c r="P274" i="17"/>
  <c r="P92" i="17"/>
  <c r="P200" i="17"/>
  <c r="P260" i="17"/>
  <c r="P320" i="17"/>
  <c r="P145" i="17"/>
  <c r="P316" i="17"/>
  <c r="P290" i="17"/>
  <c r="P2" i="17"/>
  <c r="P282" i="17"/>
  <c r="P165" i="17"/>
  <c r="P14" i="17"/>
  <c r="P212" i="17"/>
  <c r="P61" i="17"/>
  <c r="P208" i="17"/>
  <c r="P125" i="17"/>
  <c r="P248" i="17"/>
  <c r="P138" i="17"/>
  <c r="P36" i="17"/>
  <c r="P51" i="17"/>
  <c r="P161" i="17"/>
  <c r="P256" i="17"/>
  <c r="P104" i="17"/>
  <c r="P276" i="17"/>
  <c r="P236" i="17"/>
  <c r="P264" i="17"/>
  <c r="P84" i="17"/>
  <c r="P56" i="17"/>
  <c r="P96" i="17"/>
  <c r="P189" i="17"/>
  <c r="P262" i="17"/>
  <c r="P193" i="17"/>
  <c r="P31" i="17"/>
  <c r="P87" i="17"/>
  <c r="P270" i="17"/>
  <c r="P33" i="17"/>
  <c r="P205" i="17"/>
  <c r="P216" i="17"/>
  <c r="P73" i="17"/>
  <c r="P41" i="17"/>
  <c r="P91" i="17"/>
  <c r="P115" i="17"/>
  <c r="P251" i="17"/>
  <c r="P301" i="17"/>
  <c r="P105" i="17"/>
  <c r="P220" i="17"/>
  <c r="P170" i="17"/>
  <c r="P79" i="17"/>
  <c r="P232" i="17"/>
  <c r="P292" i="17"/>
  <c r="P188" i="17"/>
  <c r="P16" i="17"/>
  <c r="P191" i="17"/>
  <c r="P158" i="17"/>
  <c r="P217" i="17"/>
  <c r="P4" i="17"/>
  <c r="P24" i="17"/>
  <c r="P306" i="17"/>
  <c r="P141" i="17"/>
  <c r="P280" i="17"/>
  <c r="P297" i="17"/>
  <c r="P128" i="17"/>
  <c r="P86" i="17"/>
  <c r="P19" i="17"/>
  <c r="P275" i="17"/>
  <c r="P40" i="17"/>
  <c r="P247" i="17"/>
  <c r="P10" i="17"/>
  <c r="P151" i="17"/>
  <c r="P45" i="17"/>
  <c r="P68" i="17"/>
  <c r="P169" i="17"/>
  <c r="P77" i="17"/>
  <c r="P22" i="17"/>
  <c r="P131" i="17"/>
  <c r="P166" i="17"/>
  <c r="P281" i="17"/>
  <c r="P70" i="17"/>
  <c r="P240" i="17"/>
  <c r="P289" i="17"/>
  <c r="P176" i="17"/>
  <c r="P242" i="17"/>
  <c r="P6" i="17"/>
  <c r="P163" i="17"/>
  <c r="P322" i="17"/>
  <c r="P184" i="17"/>
  <c r="P102" i="17"/>
  <c r="P106" i="17"/>
  <c r="P20" i="17"/>
  <c r="P296" i="17"/>
  <c r="P64" i="17"/>
  <c r="P21" i="17"/>
  <c r="P310" i="17"/>
  <c r="P254" i="17"/>
  <c r="P162" i="17"/>
  <c r="P55" i="17"/>
  <c r="P71" i="17"/>
  <c r="P313" i="17"/>
  <c r="P198" i="17"/>
  <c r="P9" i="17"/>
  <c r="P180" i="17"/>
  <c r="P127" i="17"/>
  <c r="P137" i="17"/>
  <c r="P241" i="17"/>
  <c r="P139" i="17"/>
  <c r="P317" i="17"/>
  <c r="P249" i="17"/>
  <c r="P218" i="17"/>
  <c r="P223" i="17"/>
  <c r="P174" i="17"/>
  <c r="P132" i="17"/>
  <c r="P152" i="17"/>
  <c r="P234" i="17"/>
  <c r="P190" i="17"/>
  <c r="P83" i="17"/>
  <c r="P81" i="17"/>
  <c r="P171" i="17"/>
  <c r="P80" i="17"/>
  <c r="P99" i="17"/>
  <c r="P121" i="17"/>
  <c r="P154" i="17"/>
  <c r="P221" i="17"/>
  <c r="P265" i="17"/>
  <c r="P307" i="17"/>
  <c r="P150" i="17"/>
  <c r="P47" i="17"/>
  <c r="P201" i="17"/>
  <c r="P269" i="17"/>
  <c r="P178" i="17"/>
  <c r="P228" i="17"/>
  <c r="P183" i="17"/>
  <c r="P42" i="17"/>
  <c r="P46" i="17"/>
  <c r="P287" i="17"/>
  <c r="P85" i="17"/>
  <c r="P74" i="17"/>
  <c r="P224" i="17"/>
  <c r="P17" i="17"/>
  <c r="P285" i="17"/>
  <c r="P222" i="17"/>
  <c r="P62" i="17"/>
  <c r="P153" i="17"/>
  <c r="P258" i="17"/>
  <c r="P65" i="17"/>
  <c r="P179" i="17"/>
  <c r="P196" i="17"/>
  <c r="P294" i="17"/>
  <c r="P257" i="17"/>
  <c r="P207" i="17"/>
  <c r="P192" i="17"/>
  <c r="P135" i="17"/>
  <c r="P111" i="17"/>
  <c r="P168" i="17"/>
  <c r="P26" i="17"/>
  <c r="P122" i="17"/>
  <c r="P95" i="17"/>
  <c r="P230" i="17"/>
  <c r="P197" i="17"/>
  <c r="P267" i="17"/>
  <c r="P186" i="17"/>
  <c r="P98" i="17"/>
  <c r="P66" i="17"/>
  <c r="P283" i="17"/>
  <c r="P23" i="17"/>
  <c r="P231" i="17"/>
  <c r="P75" i="17"/>
  <c r="P113" i="17"/>
  <c r="P181" i="17"/>
  <c r="P28" i="17"/>
  <c r="P303" i="17"/>
  <c r="P243" i="17"/>
  <c r="P259" i="17"/>
  <c r="P43" i="17"/>
  <c r="P266" i="17"/>
  <c r="P149" i="17"/>
  <c r="P101" i="17"/>
  <c r="P29" i="17"/>
  <c r="P78" i="17"/>
  <c r="P76" i="17"/>
  <c r="P235" i="17"/>
  <c r="P148" i="17"/>
  <c r="P268" i="17"/>
  <c r="P319" i="17"/>
  <c r="P284" i="17"/>
  <c r="P187" i="17"/>
  <c r="P291" i="17"/>
  <c r="P90" i="17"/>
  <c r="P54" i="17"/>
  <c r="P194" i="17"/>
  <c r="P44" i="17"/>
  <c r="P308" i="17"/>
  <c r="P229" i="17"/>
  <c r="P219" i="17"/>
  <c r="P13" i="17"/>
  <c r="P155" i="17"/>
  <c r="P52" i="17"/>
  <c r="P211" i="17"/>
  <c r="P72" i="17"/>
  <c r="P305" i="17"/>
  <c r="P237" i="17"/>
  <c r="P210" i="17"/>
  <c r="P12" i="17"/>
  <c r="P69" i="17"/>
  <c r="P120" i="17"/>
  <c r="P172" i="17"/>
  <c r="P273" i="17"/>
  <c r="P18" i="17"/>
  <c r="P114" i="17"/>
  <c r="P30" i="17"/>
  <c r="P63" i="17"/>
  <c r="P261" i="17"/>
  <c r="P140" i="17"/>
  <c r="P94" i="17"/>
  <c r="P5" i="17"/>
  <c r="P109" i="17"/>
  <c r="P214" i="17"/>
  <c r="P167" i="17"/>
  <c r="P239" i="17"/>
  <c r="P253" i="17"/>
  <c r="P185" i="17"/>
  <c r="P321" i="17"/>
  <c r="P195" i="17"/>
  <c r="P199" i="17"/>
  <c r="P156" i="17"/>
  <c r="P88" i="17"/>
  <c r="P118" i="17"/>
  <c r="P147" i="17"/>
  <c r="P278" i="17"/>
  <c r="P108" i="17"/>
  <c r="P130" i="17"/>
  <c r="P8" i="17"/>
  <c r="P134" i="17"/>
  <c r="P11" i="17"/>
  <c r="P159" i="17"/>
  <c r="P314" i="17"/>
  <c r="P39" i="17"/>
  <c r="P119" i="17"/>
  <c r="P293" i="17"/>
  <c r="P202" i="17"/>
  <c r="P318" i="17"/>
  <c r="P32" i="17"/>
  <c r="P312" i="17"/>
  <c r="P82" i="17"/>
  <c r="P117" i="17"/>
  <c r="P142" i="17"/>
  <c r="P67" i="17"/>
  <c r="P263" i="17"/>
  <c r="P315" i="17"/>
  <c r="P277" i="17"/>
  <c r="P57" i="17"/>
  <c r="P246" i="17"/>
  <c r="P300" i="17"/>
  <c r="P304" i="17"/>
  <c r="P238" i="17"/>
  <c r="P204" i="17"/>
  <c r="P126" i="17"/>
  <c r="P100" i="17"/>
  <c r="P58" i="17"/>
  <c r="O2" i="16"/>
  <c r="P204" i="16" s="1"/>
  <c r="P256" i="16" l="1"/>
  <c r="P317" i="16"/>
  <c r="P155" i="16"/>
  <c r="P17" i="16"/>
  <c r="P166" i="16"/>
  <c r="P156" i="16"/>
  <c r="P280" i="16"/>
  <c r="P253" i="16"/>
  <c r="P302" i="16"/>
  <c r="P187" i="16"/>
  <c r="P67" i="16"/>
  <c r="P4" i="16"/>
  <c r="P282" i="16"/>
  <c r="P212" i="16"/>
  <c r="P270" i="16"/>
  <c r="P211" i="16"/>
  <c r="P124" i="16"/>
  <c r="P228" i="16"/>
  <c r="P281" i="16"/>
  <c r="P310" i="16"/>
  <c r="P42" i="16"/>
  <c r="P173" i="16"/>
  <c r="P240" i="16"/>
  <c r="P114" i="16"/>
  <c r="P138" i="16"/>
  <c r="P34" i="16"/>
  <c r="P117" i="16"/>
  <c r="P220" i="16"/>
  <c r="P40" i="16"/>
  <c r="P298" i="16"/>
  <c r="P242" i="16"/>
  <c r="P64" i="16"/>
  <c r="P195" i="16"/>
  <c r="P112" i="16"/>
  <c r="P33" i="16"/>
  <c r="P168" i="16"/>
  <c r="P141" i="16"/>
  <c r="P320" i="16"/>
  <c r="P71" i="16"/>
  <c r="P279" i="16"/>
  <c r="P116" i="16"/>
  <c r="P205" i="16"/>
  <c r="P223" i="16"/>
  <c r="P78" i="16"/>
  <c r="P276" i="16"/>
  <c r="P275" i="16"/>
  <c r="P43" i="16"/>
  <c r="P41" i="16"/>
  <c r="P260" i="16"/>
  <c r="P16" i="16"/>
  <c r="P99" i="16"/>
  <c r="P29" i="16"/>
  <c r="P273" i="16"/>
  <c r="P286" i="16"/>
  <c r="P14" i="16"/>
  <c r="P38" i="16"/>
  <c r="P271" i="16"/>
  <c r="P15" i="16"/>
  <c r="P199" i="16"/>
  <c r="P81" i="16"/>
  <c r="P213" i="16"/>
  <c r="P57" i="16"/>
  <c r="P120" i="16"/>
  <c r="P126" i="16"/>
  <c r="P314" i="16"/>
  <c r="P139" i="16"/>
  <c r="P70" i="16"/>
  <c r="P49" i="16"/>
  <c r="P318" i="16"/>
  <c r="P147" i="16"/>
  <c r="P88" i="16"/>
  <c r="P221" i="16"/>
  <c r="P25" i="16"/>
  <c r="P174" i="16"/>
  <c r="P291" i="16"/>
  <c r="P284" i="16"/>
  <c r="P73" i="16"/>
  <c r="P95" i="16"/>
  <c r="P27" i="16"/>
  <c r="P54" i="16"/>
  <c r="P285" i="16"/>
  <c r="P225" i="16"/>
  <c r="P300" i="16"/>
  <c r="P140" i="16"/>
  <c r="P56" i="16"/>
  <c r="P206" i="16"/>
  <c r="P190" i="16"/>
  <c r="P288" i="16"/>
  <c r="P110" i="16"/>
  <c r="P150" i="16"/>
  <c r="P160" i="16"/>
  <c r="P22" i="16"/>
  <c r="P46" i="16"/>
  <c r="P316" i="16"/>
  <c r="P171" i="16"/>
  <c r="P94" i="16"/>
  <c r="P278" i="16"/>
  <c r="P127" i="16"/>
  <c r="P10" i="16"/>
  <c r="P264" i="16"/>
  <c r="P115" i="16"/>
  <c r="P105" i="16"/>
  <c r="P169" i="16"/>
  <c r="P232" i="16"/>
  <c r="P191" i="16"/>
  <c r="P189" i="16"/>
  <c r="P164" i="16"/>
  <c r="P229" i="16"/>
  <c r="P128" i="16"/>
  <c r="P77" i="16"/>
  <c r="P52" i="16"/>
  <c r="P113" i="16"/>
  <c r="P107" i="16"/>
  <c r="P250" i="16"/>
  <c r="P203" i="16"/>
  <c r="P233" i="16"/>
  <c r="P309" i="16"/>
  <c r="P247" i="16"/>
  <c r="P121" i="16"/>
  <c r="P217" i="16"/>
  <c r="P24" i="16"/>
  <c r="P251" i="16"/>
  <c r="P20" i="16"/>
  <c r="P224" i="16"/>
  <c r="P125" i="16"/>
  <c r="P170" i="16"/>
  <c r="P266" i="16"/>
  <c r="P135" i="16"/>
  <c r="P50" i="16"/>
  <c r="P144" i="16"/>
  <c r="P36" i="16"/>
  <c r="P321" i="16"/>
  <c r="P218" i="16"/>
  <c r="P292" i="16"/>
  <c r="P61" i="16"/>
  <c r="P3" i="16"/>
  <c r="P243" i="16"/>
  <c r="P31" i="16"/>
  <c r="P83" i="16"/>
  <c r="P63" i="16"/>
  <c r="P178" i="16"/>
  <c r="P136" i="16"/>
  <c r="P265" i="16"/>
  <c r="P161" i="16"/>
  <c r="P226" i="16"/>
  <c r="P148" i="16"/>
  <c r="P198" i="16"/>
  <c r="P13" i="16"/>
  <c r="P290" i="16"/>
  <c r="P296" i="16"/>
  <c r="P165" i="16"/>
  <c r="P236" i="16"/>
  <c r="P184" i="16"/>
  <c r="P185" i="16"/>
  <c r="P159" i="16"/>
  <c r="P47" i="16"/>
  <c r="P2" i="16"/>
  <c r="P104" i="16"/>
  <c r="P248" i="16"/>
  <c r="P68" i="16"/>
  <c r="P179" i="16"/>
  <c r="P39" i="16"/>
  <c r="P214" i="16"/>
  <c r="P131" i="16"/>
  <c r="P283" i="16"/>
  <c r="P303" i="16"/>
  <c r="P257" i="16"/>
  <c r="P101" i="16"/>
  <c r="P118" i="16"/>
  <c r="P5" i="16"/>
  <c r="P21" i="16"/>
  <c r="P93" i="16"/>
  <c r="P59" i="16"/>
  <c r="P58" i="16"/>
  <c r="P254" i="16"/>
  <c r="P30" i="16"/>
  <c r="P299" i="16"/>
  <c r="P307" i="16"/>
  <c r="P305" i="16"/>
  <c r="P172" i="16"/>
  <c r="P246" i="16"/>
  <c r="P197" i="16"/>
  <c r="P11" i="16"/>
  <c r="P180" i="16"/>
  <c r="P142" i="16"/>
  <c r="P146" i="16"/>
  <c r="P200" i="16"/>
  <c r="P181" i="16"/>
  <c r="P304" i="16"/>
  <c r="P188" i="16"/>
  <c r="P267" i="16"/>
  <c r="P18" i="16"/>
  <c r="P295" i="16"/>
  <c r="P149" i="16"/>
  <c r="P143" i="16"/>
  <c r="P208" i="16"/>
  <c r="P176" i="16"/>
  <c r="P183" i="16"/>
  <c r="P222" i="16"/>
  <c r="P241" i="16"/>
  <c r="P274" i="16"/>
  <c r="P92" i="16"/>
  <c r="P7" i="16"/>
  <c r="P154" i="16"/>
  <c r="P65" i="16"/>
  <c r="P294" i="16"/>
  <c r="P152" i="16"/>
  <c r="P32" i="16"/>
  <c r="P272" i="16"/>
  <c r="P132" i="16"/>
  <c r="P66" i="16"/>
  <c r="P84" i="16"/>
  <c r="P137" i="16"/>
  <c r="P80" i="16"/>
  <c r="P103" i="16"/>
  <c r="P312" i="16"/>
  <c r="P177" i="16"/>
  <c r="P86" i="16"/>
  <c r="P175" i="16"/>
  <c r="P167" i="16"/>
  <c r="P133" i="16"/>
  <c r="P231" i="16"/>
  <c r="P315" i="16"/>
  <c r="P53" i="16"/>
  <c r="P308" i="16"/>
  <c r="P145" i="16"/>
  <c r="P119" i="16"/>
  <c r="P44" i="16"/>
  <c r="P74" i="16"/>
  <c r="P60" i="16"/>
  <c r="P23" i="16"/>
  <c r="P262" i="16"/>
  <c r="P109" i="16"/>
  <c r="P19" i="16"/>
  <c r="P297" i="16"/>
  <c r="P106" i="16"/>
  <c r="P72" i="16"/>
  <c r="P311" i="16"/>
  <c r="P48" i="16"/>
  <c r="P51" i="16"/>
  <c r="P238" i="16"/>
  <c r="P289" i="16"/>
  <c r="P85" i="16"/>
  <c r="P192" i="16"/>
  <c r="P153" i="16"/>
  <c r="P130" i="16"/>
  <c r="P258" i="16"/>
  <c r="P252" i="16"/>
  <c r="P301" i="16"/>
  <c r="P319" i="16"/>
  <c r="P102" i="16"/>
  <c r="P12" i="16"/>
  <c r="P235" i="16"/>
  <c r="P287" i="16"/>
  <c r="P37" i="16"/>
  <c r="P201" i="16"/>
  <c r="P163" i="16"/>
  <c r="P151" i="16"/>
  <c r="P26" i="16"/>
  <c r="P293" i="16"/>
  <c r="P182" i="16"/>
  <c r="P100" i="16"/>
  <c r="P313" i="16"/>
  <c r="P186" i="16"/>
  <c r="P237" i="16"/>
  <c r="P69" i="16"/>
  <c r="P255" i="16"/>
  <c r="P8" i="16"/>
  <c r="P194" i="16"/>
  <c r="P196" i="16"/>
  <c r="P6" i="16"/>
  <c r="P215" i="16"/>
  <c r="P216" i="16"/>
  <c r="P98" i="16"/>
  <c r="P82" i="16"/>
  <c r="P158" i="16"/>
  <c r="P9" i="16"/>
  <c r="P97" i="16"/>
  <c r="P322" i="16"/>
  <c r="P219" i="16"/>
  <c r="P123" i="16"/>
  <c r="P269" i="16"/>
  <c r="P45" i="16"/>
  <c r="P263" i="16"/>
  <c r="P134" i="16"/>
  <c r="P75" i="16"/>
  <c r="P244" i="16"/>
  <c r="P277" i="16"/>
  <c r="P207" i="16"/>
  <c r="P209" i="16"/>
  <c r="P108" i="16"/>
  <c r="P157" i="16"/>
  <c r="P259" i="16"/>
  <c r="P306" i="16"/>
  <c r="P28" i="16"/>
  <c r="P122" i="16"/>
  <c r="P268" i="16"/>
  <c r="P162" i="16"/>
  <c r="P261" i="16"/>
  <c r="P210" i="16"/>
  <c r="P245" i="16"/>
  <c r="P202" i="16"/>
  <c r="P90" i="16"/>
  <c r="P234" i="16"/>
  <c r="P193" i="16"/>
  <c r="P79" i="16"/>
  <c r="P239" i="16"/>
  <c r="P111" i="16"/>
  <c r="P91" i="16"/>
  <c r="P227" i="16"/>
  <c r="P249" i="16"/>
  <c r="P230" i="16"/>
  <c r="P87" i="16"/>
  <c r="P129" i="16"/>
  <c r="P96" i="16"/>
  <c r="P62" i="16"/>
  <c r="P35" i="16"/>
  <c r="P55" i="16"/>
  <c r="P89" i="16"/>
  <c r="P76" i="16"/>
  <c r="J321" i="9" l="1"/>
  <c r="I321" i="9"/>
  <c r="K321" i="9" s="1"/>
  <c r="J320" i="9"/>
  <c r="I320" i="9"/>
  <c r="K320" i="9" s="1"/>
  <c r="J319" i="9"/>
  <c r="I319" i="9"/>
  <c r="K319" i="9" s="1"/>
  <c r="J318" i="9"/>
  <c r="I318" i="9"/>
  <c r="K318" i="9" s="1"/>
  <c r="J317" i="9"/>
  <c r="I317" i="9"/>
  <c r="K317" i="9" s="1"/>
  <c r="J316" i="9"/>
  <c r="I316" i="9"/>
  <c r="K316" i="9" s="1"/>
  <c r="J315" i="9"/>
  <c r="I315" i="9"/>
  <c r="K315" i="9" s="1"/>
  <c r="J314" i="9"/>
  <c r="I314" i="9"/>
  <c r="K314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J309" i="9"/>
  <c r="I309" i="9"/>
  <c r="K309" i="9" s="1"/>
  <c r="J308" i="9"/>
  <c r="I308" i="9"/>
  <c r="K308" i="9" s="1"/>
  <c r="J307" i="9"/>
  <c r="I307" i="9"/>
  <c r="K307" i="9" s="1"/>
  <c r="J306" i="9"/>
  <c r="I306" i="9"/>
  <c r="K306" i="9" s="1"/>
  <c r="J305" i="9"/>
  <c r="I305" i="9"/>
  <c r="K305" i="9" s="1"/>
  <c r="J304" i="9"/>
  <c r="I304" i="9"/>
  <c r="K304" i="9" s="1"/>
  <c r="J303" i="9"/>
  <c r="I303" i="9"/>
  <c r="K303" i="9" s="1"/>
  <c r="J302" i="9"/>
  <c r="I302" i="9"/>
  <c r="K302" i="9" s="1"/>
  <c r="J301" i="9"/>
  <c r="I301" i="9"/>
  <c r="K301" i="9" s="1"/>
  <c r="J300" i="9"/>
  <c r="I300" i="9"/>
  <c r="K300" i="9" s="1"/>
  <c r="J299" i="9"/>
  <c r="I299" i="9"/>
  <c r="K299" i="9" s="1"/>
  <c r="J298" i="9"/>
  <c r="I298" i="9"/>
  <c r="K298" i="9" s="1"/>
  <c r="J297" i="9"/>
  <c r="I297" i="9"/>
  <c r="K297" i="9" s="1"/>
  <c r="J296" i="9"/>
  <c r="I296" i="9"/>
  <c r="K296" i="9" s="1"/>
  <c r="J295" i="9"/>
  <c r="I295" i="9"/>
  <c r="K295" i="9" s="1"/>
  <c r="J294" i="9"/>
  <c r="I294" i="9"/>
  <c r="K294" i="9" s="1"/>
  <c r="J293" i="9"/>
  <c r="I293" i="9"/>
  <c r="K293" i="9" s="1"/>
  <c r="J292" i="9"/>
  <c r="I292" i="9"/>
  <c r="K292" i="9" s="1"/>
  <c r="J291" i="9"/>
  <c r="I291" i="9"/>
  <c r="K291" i="9" s="1"/>
  <c r="J290" i="9"/>
  <c r="I290" i="9"/>
  <c r="K290" i="9" s="1"/>
  <c r="J289" i="9"/>
  <c r="I289" i="9"/>
  <c r="K289" i="9" s="1"/>
  <c r="J288" i="9"/>
  <c r="I288" i="9"/>
  <c r="K288" i="9" s="1"/>
  <c r="J287" i="9"/>
  <c r="I287" i="9"/>
  <c r="K287" i="9" s="1"/>
  <c r="J286" i="9"/>
  <c r="I286" i="9"/>
  <c r="K286" i="9" s="1"/>
  <c r="J285" i="9"/>
  <c r="I285" i="9"/>
  <c r="K285" i="9" s="1"/>
  <c r="J284" i="9"/>
  <c r="I284" i="9"/>
  <c r="K284" i="9" s="1"/>
  <c r="J283" i="9"/>
  <c r="I283" i="9"/>
  <c r="K283" i="9" s="1"/>
  <c r="J282" i="9"/>
  <c r="I282" i="9"/>
  <c r="K282" i="9" s="1"/>
  <c r="J281" i="9"/>
  <c r="I281" i="9"/>
  <c r="K281" i="9" s="1"/>
  <c r="J280" i="9"/>
  <c r="I280" i="9"/>
  <c r="K280" i="9" s="1"/>
  <c r="J279" i="9"/>
  <c r="I279" i="9"/>
  <c r="K279" i="9" s="1"/>
  <c r="J278" i="9"/>
  <c r="I278" i="9"/>
  <c r="K278" i="9" s="1"/>
  <c r="J277" i="9"/>
  <c r="I277" i="9"/>
  <c r="K277" i="9" s="1"/>
  <c r="J276" i="9"/>
  <c r="I276" i="9"/>
  <c r="K276" i="9" s="1"/>
  <c r="J275" i="9"/>
  <c r="I275" i="9"/>
  <c r="K275" i="9" s="1"/>
  <c r="J274" i="9"/>
  <c r="I274" i="9"/>
  <c r="K274" i="9" s="1"/>
  <c r="J273" i="9"/>
  <c r="I273" i="9"/>
  <c r="K273" i="9" s="1"/>
  <c r="J272" i="9"/>
  <c r="I272" i="9"/>
  <c r="K272" i="9" s="1"/>
  <c r="J271" i="9"/>
  <c r="I271" i="9"/>
  <c r="K271" i="9" s="1"/>
  <c r="J270" i="9"/>
  <c r="I270" i="9"/>
  <c r="K270" i="9" s="1"/>
  <c r="J269" i="9"/>
  <c r="I269" i="9"/>
  <c r="K269" i="9" s="1"/>
  <c r="J268" i="9"/>
  <c r="I268" i="9"/>
  <c r="K268" i="9" s="1"/>
  <c r="J267" i="9"/>
  <c r="I267" i="9"/>
  <c r="K267" i="9" s="1"/>
  <c r="J266" i="9"/>
  <c r="I266" i="9"/>
  <c r="K266" i="9" s="1"/>
  <c r="J265" i="9"/>
  <c r="I265" i="9"/>
  <c r="K265" i="9" s="1"/>
  <c r="J264" i="9"/>
  <c r="I264" i="9"/>
  <c r="K264" i="9" s="1"/>
  <c r="J263" i="9"/>
  <c r="I263" i="9"/>
  <c r="K263" i="9" s="1"/>
  <c r="J262" i="9"/>
  <c r="I262" i="9"/>
  <c r="K262" i="9" s="1"/>
  <c r="J261" i="9"/>
  <c r="I261" i="9"/>
  <c r="K261" i="9" s="1"/>
  <c r="J260" i="9"/>
  <c r="I260" i="9"/>
  <c r="K260" i="9" s="1"/>
  <c r="J259" i="9"/>
  <c r="I259" i="9"/>
  <c r="K259" i="9" s="1"/>
  <c r="J258" i="9"/>
  <c r="I258" i="9"/>
  <c r="K258" i="9" s="1"/>
  <c r="J257" i="9"/>
  <c r="I257" i="9"/>
  <c r="K257" i="9" s="1"/>
  <c r="J256" i="9"/>
  <c r="I256" i="9"/>
  <c r="K256" i="9" s="1"/>
  <c r="J255" i="9"/>
  <c r="I255" i="9"/>
  <c r="K255" i="9" s="1"/>
  <c r="J254" i="9"/>
  <c r="I254" i="9"/>
  <c r="K254" i="9" s="1"/>
  <c r="J253" i="9"/>
  <c r="I253" i="9"/>
  <c r="K253" i="9" s="1"/>
  <c r="J252" i="9"/>
  <c r="I252" i="9"/>
  <c r="K252" i="9" s="1"/>
  <c r="J251" i="9"/>
  <c r="I251" i="9"/>
  <c r="K251" i="9" s="1"/>
  <c r="J250" i="9"/>
  <c r="I250" i="9"/>
  <c r="K250" i="9" s="1"/>
  <c r="J249" i="9"/>
  <c r="I249" i="9"/>
  <c r="K249" i="9" s="1"/>
  <c r="J248" i="9"/>
  <c r="I248" i="9"/>
  <c r="K248" i="9" s="1"/>
  <c r="J247" i="9"/>
  <c r="I247" i="9"/>
  <c r="K247" i="9" s="1"/>
  <c r="J246" i="9"/>
  <c r="I246" i="9"/>
  <c r="K246" i="9" s="1"/>
  <c r="J245" i="9"/>
  <c r="I245" i="9"/>
  <c r="K245" i="9" s="1"/>
  <c r="J244" i="9"/>
  <c r="I244" i="9"/>
  <c r="K244" i="9" s="1"/>
  <c r="J243" i="9"/>
  <c r="I243" i="9"/>
  <c r="K243" i="9" s="1"/>
  <c r="J242" i="9"/>
  <c r="I242" i="9"/>
  <c r="K242" i="9" s="1"/>
  <c r="J241" i="9"/>
  <c r="I241" i="9"/>
  <c r="K241" i="9" s="1"/>
  <c r="J240" i="9"/>
  <c r="I240" i="9"/>
  <c r="K240" i="9" s="1"/>
  <c r="J239" i="9"/>
  <c r="I239" i="9"/>
  <c r="K239" i="9" s="1"/>
  <c r="J238" i="9"/>
  <c r="I238" i="9"/>
  <c r="K238" i="9" s="1"/>
  <c r="J237" i="9"/>
  <c r="I237" i="9"/>
  <c r="K237" i="9" s="1"/>
  <c r="J236" i="9"/>
  <c r="I236" i="9"/>
  <c r="K236" i="9" s="1"/>
  <c r="J235" i="9"/>
  <c r="I235" i="9"/>
  <c r="K235" i="9" s="1"/>
  <c r="J234" i="9"/>
  <c r="I234" i="9"/>
  <c r="K234" i="9" s="1"/>
  <c r="J233" i="9"/>
  <c r="I233" i="9"/>
  <c r="K233" i="9" s="1"/>
  <c r="J232" i="9"/>
  <c r="I232" i="9"/>
  <c r="K232" i="9" s="1"/>
  <c r="J231" i="9"/>
  <c r="I231" i="9"/>
  <c r="K231" i="9" s="1"/>
  <c r="J230" i="9"/>
  <c r="I230" i="9"/>
  <c r="K230" i="9" s="1"/>
  <c r="J229" i="9"/>
  <c r="I229" i="9"/>
  <c r="K229" i="9" s="1"/>
  <c r="J228" i="9"/>
  <c r="I228" i="9"/>
  <c r="K228" i="9" s="1"/>
  <c r="J227" i="9"/>
  <c r="I227" i="9"/>
  <c r="K227" i="9" s="1"/>
  <c r="J226" i="9"/>
  <c r="I226" i="9"/>
  <c r="K226" i="9" s="1"/>
  <c r="J225" i="9"/>
  <c r="I225" i="9"/>
  <c r="K225" i="9" s="1"/>
  <c r="J224" i="9"/>
  <c r="I224" i="9"/>
  <c r="K224" i="9" s="1"/>
  <c r="J223" i="9"/>
  <c r="I223" i="9"/>
  <c r="K223" i="9" s="1"/>
  <c r="J222" i="9"/>
  <c r="I222" i="9"/>
  <c r="K222" i="9" s="1"/>
  <c r="J221" i="9"/>
  <c r="I221" i="9"/>
  <c r="K221" i="9" s="1"/>
  <c r="J220" i="9"/>
  <c r="I220" i="9"/>
  <c r="K220" i="9" s="1"/>
  <c r="J219" i="9"/>
  <c r="I219" i="9"/>
  <c r="K219" i="9" s="1"/>
  <c r="J218" i="9"/>
  <c r="I218" i="9"/>
  <c r="K218" i="9" s="1"/>
  <c r="J217" i="9"/>
  <c r="I217" i="9"/>
  <c r="K217" i="9" s="1"/>
  <c r="J216" i="9"/>
  <c r="I216" i="9"/>
  <c r="K216" i="9" s="1"/>
  <c r="J215" i="9"/>
  <c r="I215" i="9"/>
  <c r="K215" i="9" s="1"/>
  <c r="J214" i="9"/>
  <c r="I214" i="9"/>
  <c r="K214" i="9" s="1"/>
  <c r="J213" i="9"/>
  <c r="I213" i="9"/>
  <c r="K213" i="9" s="1"/>
  <c r="J212" i="9"/>
  <c r="I212" i="9"/>
  <c r="K212" i="9" s="1"/>
  <c r="J211" i="9"/>
  <c r="I211" i="9"/>
  <c r="K211" i="9" s="1"/>
  <c r="J210" i="9"/>
  <c r="I210" i="9"/>
  <c r="K210" i="9" s="1"/>
  <c r="J209" i="9"/>
  <c r="I209" i="9"/>
  <c r="K209" i="9" s="1"/>
  <c r="J208" i="9"/>
  <c r="I208" i="9"/>
  <c r="K208" i="9" s="1"/>
  <c r="J207" i="9"/>
  <c r="I207" i="9"/>
  <c r="K207" i="9" s="1"/>
  <c r="J206" i="9"/>
  <c r="I206" i="9"/>
  <c r="K206" i="9" s="1"/>
  <c r="J205" i="9"/>
  <c r="I205" i="9"/>
  <c r="K205" i="9" s="1"/>
  <c r="J204" i="9"/>
  <c r="I204" i="9"/>
  <c r="K204" i="9" s="1"/>
  <c r="J203" i="9"/>
  <c r="I203" i="9"/>
  <c r="K203" i="9" s="1"/>
  <c r="J202" i="9"/>
  <c r="I202" i="9"/>
  <c r="K202" i="9" s="1"/>
  <c r="J201" i="9"/>
  <c r="I201" i="9"/>
  <c r="K201" i="9" s="1"/>
  <c r="J200" i="9"/>
  <c r="I200" i="9"/>
  <c r="K200" i="9" s="1"/>
  <c r="J199" i="9"/>
  <c r="I199" i="9"/>
  <c r="K199" i="9" s="1"/>
  <c r="J198" i="9"/>
  <c r="I198" i="9"/>
  <c r="K198" i="9" s="1"/>
  <c r="J197" i="9"/>
  <c r="I197" i="9"/>
  <c r="K197" i="9" s="1"/>
  <c r="J196" i="9"/>
  <c r="I196" i="9"/>
  <c r="K196" i="9" s="1"/>
  <c r="J195" i="9"/>
  <c r="I195" i="9"/>
  <c r="K195" i="9" s="1"/>
  <c r="J194" i="9"/>
  <c r="I194" i="9"/>
  <c r="K194" i="9" s="1"/>
  <c r="J193" i="9"/>
  <c r="I193" i="9"/>
  <c r="K193" i="9" s="1"/>
  <c r="J192" i="9"/>
  <c r="I192" i="9"/>
  <c r="K192" i="9" s="1"/>
  <c r="J191" i="9"/>
  <c r="I191" i="9"/>
  <c r="K191" i="9" s="1"/>
  <c r="J190" i="9"/>
  <c r="I190" i="9"/>
  <c r="K190" i="9" s="1"/>
  <c r="J189" i="9"/>
  <c r="I189" i="9"/>
  <c r="K189" i="9" s="1"/>
  <c r="J188" i="9"/>
  <c r="I188" i="9"/>
  <c r="K188" i="9" s="1"/>
  <c r="J187" i="9"/>
  <c r="I187" i="9"/>
  <c r="K187" i="9" s="1"/>
  <c r="J186" i="9"/>
  <c r="I186" i="9"/>
  <c r="K186" i="9" s="1"/>
  <c r="J185" i="9"/>
  <c r="I185" i="9"/>
  <c r="K185" i="9" s="1"/>
  <c r="J184" i="9"/>
  <c r="I184" i="9"/>
  <c r="K184" i="9" s="1"/>
  <c r="J183" i="9"/>
  <c r="I183" i="9"/>
  <c r="K183" i="9" s="1"/>
  <c r="J182" i="9"/>
  <c r="I182" i="9"/>
  <c r="K182" i="9" s="1"/>
  <c r="J181" i="9"/>
  <c r="I181" i="9"/>
  <c r="K181" i="9" s="1"/>
  <c r="J180" i="9"/>
  <c r="I180" i="9"/>
  <c r="K180" i="9" s="1"/>
  <c r="J179" i="9"/>
  <c r="I179" i="9"/>
  <c r="K179" i="9" s="1"/>
  <c r="J178" i="9"/>
  <c r="I178" i="9"/>
  <c r="K178" i="9" s="1"/>
  <c r="J177" i="9"/>
  <c r="I177" i="9"/>
  <c r="K177" i="9" s="1"/>
  <c r="J176" i="9"/>
  <c r="I176" i="9"/>
  <c r="K176" i="9" s="1"/>
  <c r="J175" i="9"/>
  <c r="I175" i="9"/>
  <c r="K175" i="9" s="1"/>
  <c r="J174" i="9"/>
  <c r="I174" i="9"/>
  <c r="K174" i="9" s="1"/>
  <c r="J173" i="9"/>
  <c r="I173" i="9"/>
  <c r="K173" i="9" s="1"/>
  <c r="J172" i="9"/>
  <c r="I172" i="9"/>
  <c r="K172" i="9" s="1"/>
  <c r="J171" i="9"/>
  <c r="I171" i="9"/>
  <c r="K171" i="9" s="1"/>
  <c r="J170" i="9"/>
  <c r="I170" i="9"/>
  <c r="K170" i="9" s="1"/>
  <c r="J169" i="9"/>
  <c r="I169" i="9"/>
  <c r="K169" i="9" s="1"/>
  <c r="J168" i="9"/>
  <c r="I168" i="9"/>
  <c r="K168" i="9" s="1"/>
  <c r="J167" i="9"/>
  <c r="I167" i="9"/>
  <c r="K167" i="9" s="1"/>
  <c r="J166" i="9"/>
  <c r="I166" i="9"/>
  <c r="K166" i="9" s="1"/>
  <c r="J165" i="9"/>
  <c r="I165" i="9"/>
  <c r="K165" i="9" s="1"/>
  <c r="J164" i="9"/>
  <c r="I164" i="9"/>
  <c r="K164" i="9" s="1"/>
  <c r="J163" i="9"/>
  <c r="I163" i="9"/>
  <c r="K163" i="9" s="1"/>
  <c r="J162" i="9"/>
  <c r="I162" i="9"/>
  <c r="K162" i="9" s="1"/>
  <c r="J161" i="9"/>
  <c r="I161" i="9"/>
  <c r="K161" i="9" s="1"/>
  <c r="J160" i="9"/>
  <c r="I160" i="9"/>
  <c r="K160" i="9" s="1"/>
  <c r="J159" i="9"/>
  <c r="I159" i="9"/>
  <c r="K159" i="9" s="1"/>
  <c r="J158" i="9"/>
  <c r="I158" i="9"/>
  <c r="K158" i="9" s="1"/>
  <c r="J157" i="9"/>
  <c r="I157" i="9"/>
  <c r="K157" i="9" s="1"/>
  <c r="J156" i="9"/>
  <c r="I156" i="9"/>
  <c r="K156" i="9" s="1"/>
  <c r="J155" i="9"/>
  <c r="I155" i="9"/>
  <c r="K155" i="9" s="1"/>
  <c r="J154" i="9"/>
  <c r="I154" i="9"/>
  <c r="K154" i="9" s="1"/>
  <c r="J153" i="9"/>
  <c r="I153" i="9"/>
  <c r="K153" i="9" s="1"/>
  <c r="J152" i="9"/>
  <c r="I152" i="9"/>
  <c r="K152" i="9" s="1"/>
  <c r="J151" i="9"/>
  <c r="I151" i="9"/>
  <c r="K151" i="9" s="1"/>
  <c r="J150" i="9"/>
  <c r="I150" i="9"/>
  <c r="K150" i="9" s="1"/>
  <c r="J149" i="9"/>
  <c r="I149" i="9"/>
  <c r="K149" i="9" s="1"/>
  <c r="J148" i="9"/>
  <c r="I148" i="9"/>
  <c r="K148" i="9" s="1"/>
  <c r="J147" i="9"/>
  <c r="I147" i="9"/>
  <c r="K147" i="9" s="1"/>
  <c r="J146" i="9"/>
  <c r="I146" i="9"/>
  <c r="K146" i="9" s="1"/>
  <c r="J145" i="9"/>
  <c r="I145" i="9"/>
  <c r="K145" i="9" s="1"/>
  <c r="J144" i="9"/>
  <c r="I144" i="9"/>
  <c r="K144" i="9" s="1"/>
  <c r="J143" i="9"/>
  <c r="I143" i="9"/>
  <c r="K143" i="9" s="1"/>
  <c r="J142" i="9"/>
  <c r="I142" i="9"/>
  <c r="K142" i="9" s="1"/>
  <c r="J141" i="9"/>
  <c r="I141" i="9"/>
  <c r="K141" i="9" s="1"/>
  <c r="J140" i="9"/>
  <c r="I140" i="9"/>
  <c r="K140" i="9" s="1"/>
  <c r="J139" i="9"/>
  <c r="I139" i="9"/>
  <c r="K139" i="9" s="1"/>
  <c r="J138" i="9"/>
  <c r="I138" i="9"/>
  <c r="K138" i="9" s="1"/>
  <c r="J137" i="9"/>
  <c r="I137" i="9"/>
  <c r="K137" i="9" s="1"/>
  <c r="J136" i="9"/>
  <c r="I136" i="9"/>
  <c r="K136" i="9" s="1"/>
  <c r="J135" i="9"/>
  <c r="I135" i="9"/>
  <c r="K135" i="9" s="1"/>
  <c r="J134" i="9"/>
  <c r="I134" i="9"/>
  <c r="K134" i="9" s="1"/>
  <c r="J133" i="9"/>
  <c r="I133" i="9"/>
  <c r="K133" i="9" s="1"/>
  <c r="J132" i="9"/>
  <c r="I132" i="9"/>
  <c r="K132" i="9" s="1"/>
  <c r="J131" i="9"/>
  <c r="I131" i="9"/>
  <c r="K131" i="9" s="1"/>
  <c r="J130" i="9"/>
  <c r="I130" i="9"/>
  <c r="K130" i="9" s="1"/>
  <c r="J129" i="9"/>
  <c r="I129" i="9"/>
  <c r="K129" i="9" s="1"/>
  <c r="J128" i="9"/>
  <c r="I128" i="9"/>
  <c r="K128" i="9" s="1"/>
  <c r="J127" i="9"/>
  <c r="I127" i="9"/>
  <c r="K127" i="9" s="1"/>
  <c r="J126" i="9"/>
  <c r="I126" i="9"/>
  <c r="K126" i="9" s="1"/>
  <c r="J125" i="9"/>
  <c r="I125" i="9"/>
  <c r="K125" i="9" s="1"/>
  <c r="J124" i="9"/>
  <c r="I124" i="9"/>
  <c r="K124" i="9" s="1"/>
  <c r="J123" i="9"/>
  <c r="I123" i="9"/>
  <c r="K123" i="9" s="1"/>
  <c r="J122" i="9"/>
  <c r="I122" i="9"/>
  <c r="K122" i="9" s="1"/>
  <c r="J121" i="9"/>
  <c r="I121" i="9"/>
  <c r="K121" i="9" s="1"/>
  <c r="J120" i="9"/>
  <c r="I120" i="9"/>
  <c r="K120" i="9" s="1"/>
  <c r="J119" i="9"/>
  <c r="I119" i="9"/>
  <c r="K119" i="9" s="1"/>
  <c r="J118" i="9"/>
  <c r="I118" i="9"/>
  <c r="K118" i="9" s="1"/>
  <c r="J117" i="9"/>
  <c r="I117" i="9"/>
  <c r="K117" i="9" s="1"/>
  <c r="J116" i="9"/>
  <c r="I116" i="9"/>
  <c r="K116" i="9" s="1"/>
  <c r="J115" i="9"/>
  <c r="I115" i="9"/>
  <c r="K115" i="9" s="1"/>
  <c r="J114" i="9"/>
  <c r="I114" i="9"/>
  <c r="K114" i="9" s="1"/>
  <c r="J113" i="9"/>
  <c r="I113" i="9"/>
  <c r="K113" i="9" s="1"/>
  <c r="J112" i="9"/>
  <c r="I112" i="9"/>
  <c r="K112" i="9" s="1"/>
  <c r="J111" i="9"/>
  <c r="I111" i="9"/>
  <c r="K111" i="9" s="1"/>
  <c r="J110" i="9"/>
  <c r="I110" i="9"/>
  <c r="K110" i="9" s="1"/>
  <c r="J109" i="9"/>
  <c r="I109" i="9"/>
  <c r="K109" i="9" s="1"/>
  <c r="J108" i="9"/>
  <c r="I108" i="9"/>
  <c r="K108" i="9" s="1"/>
  <c r="J107" i="9"/>
  <c r="I107" i="9"/>
  <c r="K107" i="9" s="1"/>
  <c r="J106" i="9"/>
  <c r="I106" i="9"/>
  <c r="K106" i="9" s="1"/>
  <c r="J105" i="9"/>
  <c r="I105" i="9"/>
  <c r="K105" i="9" s="1"/>
  <c r="J104" i="9"/>
  <c r="I104" i="9"/>
  <c r="K104" i="9" s="1"/>
  <c r="J103" i="9"/>
  <c r="I103" i="9"/>
  <c r="K103" i="9" s="1"/>
  <c r="J102" i="9"/>
  <c r="I102" i="9"/>
  <c r="K102" i="9" s="1"/>
  <c r="J101" i="9"/>
  <c r="I101" i="9"/>
  <c r="K101" i="9" s="1"/>
  <c r="J100" i="9"/>
  <c r="I100" i="9"/>
  <c r="K100" i="9" s="1"/>
  <c r="J99" i="9"/>
  <c r="I99" i="9"/>
  <c r="K99" i="9" s="1"/>
  <c r="J98" i="9"/>
  <c r="I98" i="9"/>
  <c r="K98" i="9" s="1"/>
  <c r="J97" i="9"/>
  <c r="I97" i="9"/>
  <c r="K97" i="9" s="1"/>
  <c r="J96" i="9"/>
  <c r="I96" i="9"/>
  <c r="K96" i="9" s="1"/>
  <c r="J95" i="9"/>
  <c r="I95" i="9"/>
  <c r="K95" i="9" s="1"/>
  <c r="J94" i="9"/>
  <c r="I94" i="9"/>
  <c r="K94" i="9" s="1"/>
  <c r="J93" i="9"/>
  <c r="I93" i="9"/>
  <c r="K93" i="9" s="1"/>
  <c r="J92" i="9"/>
  <c r="I92" i="9"/>
  <c r="K92" i="9" s="1"/>
  <c r="J91" i="9"/>
  <c r="I91" i="9"/>
  <c r="K91" i="9" s="1"/>
  <c r="J90" i="9"/>
  <c r="I90" i="9"/>
  <c r="K90" i="9" s="1"/>
  <c r="J89" i="9"/>
  <c r="I89" i="9"/>
  <c r="K89" i="9" s="1"/>
  <c r="J88" i="9"/>
  <c r="I88" i="9"/>
  <c r="K88" i="9" s="1"/>
  <c r="J87" i="9"/>
  <c r="I87" i="9"/>
  <c r="K87" i="9" s="1"/>
  <c r="J86" i="9"/>
  <c r="I86" i="9"/>
  <c r="K86" i="9" s="1"/>
  <c r="J85" i="9"/>
  <c r="I85" i="9"/>
  <c r="K85" i="9" s="1"/>
  <c r="J84" i="9"/>
  <c r="I84" i="9"/>
  <c r="K84" i="9" s="1"/>
  <c r="J83" i="9"/>
  <c r="I83" i="9"/>
  <c r="K83" i="9" s="1"/>
  <c r="J82" i="9"/>
  <c r="I82" i="9"/>
  <c r="K82" i="9" s="1"/>
  <c r="J81" i="9"/>
  <c r="I81" i="9"/>
  <c r="K81" i="9" s="1"/>
  <c r="J80" i="9"/>
  <c r="I80" i="9"/>
  <c r="K80" i="9" s="1"/>
  <c r="J79" i="9"/>
  <c r="I79" i="9"/>
  <c r="K79" i="9" s="1"/>
  <c r="J78" i="9"/>
  <c r="I78" i="9"/>
  <c r="K78" i="9" s="1"/>
  <c r="J77" i="9"/>
  <c r="I77" i="9"/>
  <c r="K77" i="9" s="1"/>
  <c r="J76" i="9"/>
  <c r="I76" i="9"/>
  <c r="K76" i="9" s="1"/>
  <c r="J75" i="9"/>
  <c r="I75" i="9"/>
  <c r="K75" i="9" s="1"/>
  <c r="J74" i="9"/>
  <c r="I74" i="9"/>
  <c r="K74" i="9" s="1"/>
  <c r="J73" i="9"/>
  <c r="I73" i="9"/>
  <c r="K73" i="9" s="1"/>
  <c r="J72" i="9"/>
  <c r="I72" i="9"/>
  <c r="K72" i="9" s="1"/>
  <c r="J71" i="9"/>
  <c r="I71" i="9"/>
  <c r="K71" i="9" s="1"/>
  <c r="J70" i="9"/>
  <c r="I70" i="9"/>
  <c r="K70" i="9" s="1"/>
  <c r="J69" i="9"/>
  <c r="I69" i="9"/>
  <c r="K69" i="9" s="1"/>
  <c r="J68" i="9"/>
  <c r="I68" i="9"/>
  <c r="K68" i="9" s="1"/>
  <c r="J67" i="9"/>
  <c r="I67" i="9"/>
  <c r="K67" i="9" s="1"/>
  <c r="J66" i="9"/>
  <c r="I66" i="9"/>
  <c r="K66" i="9" s="1"/>
  <c r="J65" i="9"/>
  <c r="I65" i="9"/>
  <c r="K65" i="9" s="1"/>
  <c r="J64" i="9"/>
  <c r="I64" i="9"/>
  <c r="K64" i="9" s="1"/>
  <c r="J63" i="9"/>
  <c r="I63" i="9"/>
  <c r="K63" i="9" s="1"/>
  <c r="J62" i="9"/>
  <c r="I62" i="9"/>
  <c r="K62" i="9" s="1"/>
  <c r="J61" i="9"/>
  <c r="I61" i="9"/>
  <c r="K61" i="9" s="1"/>
  <c r="J60" i="9"/>
  <c r="I60" i="9"/>
  <c r="K60" i="9" s="1"/>
  <c r="J59" i="9"/>
  <c r="I59" i="9"/>
  <c r="K59" i="9" s="1"/>
  <c r="J58" i="9"/>
  <c r="I58" i="9"/>
  <c r="K58" i="9" s="1"/>
  <c r="J57" i="9"/>
  <c r="I57" i="9"/>
  <c r="K57" i="9" s="1"/>
  <c r="J56" i="9"/>
  <c r="I56" i="9"/>
  <c r="K56" i="9" s="1"/>
  <c r="J55" i="9"/>
  <c r="I55" i="9"/>
  <c r="K55" i="9" s="1"/>
  <c r="J54" i="9"/>
  <c r="I54" i="9"/>
  <c r="K54" i="9" s="1"/>
  <c r="J53" i="9"/>
  <c r="I53" i="9"/>
  <c r="K53" i="9" s="1"/>
  <c r="J52" i="9"/>
  <c r="I52" i="9"/>
  <c r="K52" i="9" s="1"/>
  <c r="J51" i="9"/>
  <c r="I51" i="9"/>
  <c r="K51" i="9" s="1"/>
  <c r="J50" i="9"/>
  <c r="I50" i="9"/>
  <c r="K50" i="9" s="1"/>
  <c r="J49" i="9"/>
  <c r="I49" i="9"/>
  <c r="K49" i="9" s="1"/>
  <c r="J48" i="9"/>
  <c r="I48" i="9"/>
  <c r="K48" i="9" s="1"/>
  <c r="J47" i="9"/>
  <c r="I47" i="9"/>
  <c r="K47" i="9" s="1"/>
  <c r="J46" i="9"/>
  <c r="I46" i="9"/>
  <c r="K46" i="9" s="1"/>
  <c r="J45" i="9"/>
  <c r="I45" i="9"/>
  <c r="K45" i="9" s="1"/>
  <c r="J44" i="9"/>
  <c r="I44" i="9"/>
  <c r="K44" i="9" s="1"/>
  <c r="J43" i="9"/>
  <c r="I43" i="9"/>
  <c r="K43" i="9" s="1"/>
  <c r="J42" i="9"/>
  <c r="I42" i="9"/>
  <c r="K42" i="9" s="1"/>
  <c r="J41" i="9"/>
  <c r="I41" i="9"/>
  <c r="K41" i="9" s="1"/>
  <c r="J40" i="9"/>
  <c r="I40" i="9"/>
  <c r="K40" i="9" s="1"/>
  <c r="J39" i="9"/>
  <c r="I39" i="9"/>
  <c r="K39" i="9" s="1"/>
  <c r="J38" i="9"/>
  <c r="I38" i="9"/>
  <c r="K38" i="9" s="1"/>
  <c r="J37" i="9"/>
  <c r="I37" i="9"/>
  <c r="K37" i="9" s="1"/>
  <c r="J36" i="9"/>
  <c r="I36" i="9"/>
  <c r="K36" i="9" s="1"/>
  <c r="J35" i="9"/>
  <c r="I35" i="9"/>
  <c r="K35" i="9" s="1"/>
  <c r="J34" i="9"/>
  <c r="I34" i="9"/>
  <c r="K34" i="9" s="1"/>
  <c r="L34" i="9" s="1"/>
  <c r="J33" i="9"/>
  <c r="I33" i="9"/>
  <c r="K33" i="9" s="1"/>
  <c r="J32" i="9"/>
  <c r="I32" i="9"/>
  <c r="K32" i="9" s="1"/>
  <c r="J31" i="9"/>
  <c r="I31" i="9"/>
  <c r="K31" i="9" s="1"/>
  <c r="J30" i="9"/>
  <c r="I30" i="9"/>
  <c r="K30" i="9" s="1"/>
  <c r="J29" i="9"/>
  <c r="I29" i="9"/>
  <c r="K29" i="9" s="1"/>
  <c r="J28" i="9"/>
  <c r="I28" i="9"/>
  <c r="K28" i="9" s="1"/>
  <c r="J27" i="9"/>
  <c r="I27" i="9"/>
  <c r="K27" i="9" s="1"/>
  <c r="J26" i="9"/>
  <c r="I26" i="9"/>
  <c r="K26" i="9" s="1"/>
  <c r="L26" i="9" s="1"/>
  <c r="J25" i="9"/>
  <c r="I25" i="9"/>
  <c r="K25" i="9" s="1"/>
  <c r="J24" i="9"/>
  <c r="I24" i="9"/>
  <c r="K24" i="9" s="1"/>
  <c r="J23" i="9"/>
  <c r="I23" i="9"/>
  <c r="K23" i="9" s="1"/>
  <c r="J22" i="9"/>
  <c r="I22" i="9"/>
  <c r="K22" i="9" s="1"/>
  <c r="L22" i="9" s="1"/>
  <c r="J21" i="9"/>
  <c r="I21" i="9"/>
  <c r="K21" i="9" s="1"/>
  <c r="J20" i="9"/>
  <c r="I20" i="9"/>
  <c r="K20" i="9" s="1"/>
  <c r="J19" i="9"/>
  <c r="I19" i="9"/>
  <c r="K19" i="9" s="1"/>
  <c r="J18" i="9"/>
  <c r="I18" i="9"/>
  <c r="K18" i="9" s="1"/>
  <c r="J17" i="9"/>
  <c r="I17" i="9"/>
  <c r="K17" i="9" s="1"/>
  <c r="J16" i="9"/>
  <c r="I16" i="9"/>
  <c r="K16" i="9" s="1"/>
  <c r="J15" i="9"/>
  <c r="I15" i="9"/>
  <c r="K15" i="9" s="1"/>
  <c r="J14" i="9"/>
  <c r="I14" i="9"/>
  <c r="K14" i="9" s="1"/>
  <c r="L14" i="9" s="1"/>
  <c r="J13" i="9"/>
  <c r="I13" i="9"/>
  <c r="K13" i="9" s="1"/>
  <c r="J12" i="9"/>
  <c r="I12" i="9"/>
  <c r="K12" i="9" s="1"/>
  <c r="J11" i="9"/>
  <c r="I11" i="9"/>
  <c r="K11" i="9" s="1"/>
  <c r="J10" i="9"/>
  <c r="I10" i="9"/>
  <c r="K10" i="9" s="1"/>
  <c r="L10" i="9" s="1"/>
  <c r="J9" i="9"/>
  <c r="I9" i="9"/>
  <c r="K9" i="9" s="1"/>
  <c r="J8" i="9"/>
  <c r="I8" i="9"/>
  <c r="K8" i="9" s="1"/>
  <c r="J7" i="9"/>
  <c r="I7" i="9"/>
  <c r="K7" i="9" s="1"/>
  <c r="J6" i="9"/>
  <c r="I6" i="9"/>
  <c r="K6" i="9" s="1"/>
  <c r="J5" i="9"/>
  <c r="I5" i="9"/>
  <c r="K5" i="9" s="1"/>
  <c r="J4" i="9"/>
  <c r="I4" i="9"/>
  <c r="K4" i="9" s="1"/>
  <c r="J3" i="9"/>
  <c r="I3" i="9"/>
  <c r="K3" i="9" s="1"/>
  <c r="J2" i="9"/>
  <c r="I2" i="9"/>
  <c r="K2" i="9" s="1"/>
  <c r="L278" i="9" l="1"/>
  <c r="L282" i="9"/>
  <c r="L290" i="9"/>
  <c r="L294" i="9"/>
  <c r="L252" i="9"/>
  <c r="L302" i="9"/>
  <c r="V84" i="9" s="1"/>
  <c r="L83" i="9"/>
  <c r="L179" i="9"/>
  <c r="L183" i="9"/>
  <c r="L187" i="9"/>
  <c r="L191" i="9"/>
  <c r="L195" i="9"/>
  <c r="L199" i="9"/>
  <c r="L203" i="9"/>
  <c r="L207" i="9"/>
  <c r="L211" i="9"/>
  <c r="L219" i="9"/>
  <c r="L223" i="9"/>
  <c r="L227" i="9"/>
  <c r="L231" i="9"/>
  <c r="L235" i="9"/>
  <c r="L239" i="9"/>
  <c r="L243" i="9"/>
  <c r="L251" i="9"/>
  <c r="L255" i="9"/>
  <c r="L259" i="9"/>
  <c r="L263" i="9"/>
  <c r="L267" i="9"/>
  <c r="L271" i="9"/>
  <c r="L275" i="9"/>
  <c r="L283" i="9"/>
  <c r="L8" i="9"/>
  <c r="L16" i="9"/>
  <c r="L32" i="9"/>
  <c r="L40" i="9"/>
  <c r="L44" i="9"/>
  <c r="L52" i="9"/>
  <c r="L88" i="9"/>
  <c r="L108" i="9"/>
  <c r="L116" i="9"/>
  <c r="L120" i="9"/>
  <c r="L128" i="9"/>
  <c r="L132" i="9"/>
  <c r="L136" i="9"/>
  <c r="L144" i="9"/>
  <c r="L164" i="9"/>
  <c r="L168" i="9"/>
  <c r="L172" i="9"/>
  <c r="L180" i="9"/>
  <c r="L188" i="9"/>
  <c r="L192" i="9"/>
  <c r="L196" i="9"/>
  <c r="L200" i="9"/>
  <c r="L208" i="9"/>
  <c r="L220" i="9"/>
  <c r="L232" i="9"/>
  <c r="L240" i="9"/>
  <c r="L287" i="9"/>
  <c r="L291" i="9"/>
  <c r="L295" i="9"/>
  <c r="L299" i="9"/>
  <c r="L303" i="9"/>
  <c r="V85" i="9" s="1"/>
  <c r="L307" i="9"/>
  <c r="V89" i="9" s="1"/>
  <c r="L315" i="9"/>
  <c r="V97" i="9" s="1"/>
  <c r="L319" i="9"/>
  <c r="V101" i="9" s="1"/>
  <c r="L256" i="9"/>
  <c r="L260" i="9"/>
  <c r="L264" i="9"/>
  <c r="L272" i="9"/>
  <c r="L284" i="9"/>
  <c r="L292" i="9"/>
  <c r="L296" i="9"/>
  <c r="L304" i="9"/>
  <c r="V86" i="9" s="1"/>
  <c r="L308" i="9"/>
  <c r="V90" i="9" s="1"/>
  <c r="L316" i="9"/>
  <c r="V98" i="9" s="1"/>
  <c r="L5" i="9"/>
  <c r="L9" i="9"/>
  <c r="L13" i="9"/>
  <c r="L17" i="9"/>
  <c r="L21" i="9"/>
  <c r="L25" i="9"/>
  <c r="L53" i="9"/>
  <c r="L57" i="9"/>
  <c r="L61" i="9"/>
  <c r="L97" i="9"/>
  <c r="L101" i="9"/>
  <c r="L157" i="9"/>
  <c r="L165" i="9"/>
  <c r="L169" i="9"/>
  <c r="L173" i="9"/>
  <c r="L51" i="9"/>
  <c r="L63" i="9"/>
  <c r="V65" i="9" s="1"/>
  <c r="L67" i="9"/>
  <c r="V69" i="9" s="1"/>
  <c r="L75" i="9"/>
  <c r="V77" i="9" s="1"/>
  <c r="L79" i="9"/>
  <c r="V81" i="9" s="1"/>
  <c r="L56" i="9"/>
  <c r="L60" i="9"/>
  <c r="L64" i="9"/>
  <c r="V66" i="9" s="1"/>
  <c r="L72" i="9"/>
  <c r="L76" i="9"/>
  <c r="V78" i="9" s="1"/>
  <c r="L80" i="9"/>
  <c r="V82" i="9" s="1"/>
  <c r="L73" i="9"/>
  <c r="V75" i="9" s="1"/>
  <c r="L77" i="9"/>
  <c r="V79" i="9" s="1"/>
  <c r="L81" i="9"/>
  <c r="V83" i="9" s="1"/>
  <c r="L176" i="9"/>
  <c r="L47" i="9"/>
  <c r="L86" i="9"/>
  <c r="L90" i="9"/>
  <c r="L94" i="9"/>
  <c r="L134" i="9"/>
  <c r="L138" i="9"/>
  <c r="L146" i="9"/>
  <c r="L162" i="9"/>
  <c r="L166" i="9"/>
  <c r="L170" i="9"/>
  <c r="L174" i="9"/>
  <c r="L181" i="9"/>
  <c r="L189" i="9"/>
  <c r="L193" i="9"/>
  <c r="L201" i="9"/>
  <c r="L205" i="9"/>
  <c r="L209" i="9"/>
  <c r="L221" i="9"/>
  <c r="L225" i="9"/>
  <c r="L233" i="9"/>
  <c r="L237" i="9"/>
  <c r="L245" i="9"/>
  <c r="L249" i="9"/>
  <c r="L253" i="9"/>
  <c r="L257" i="9"/>
  <c r="L265" i="9"/>
  <c r="L269" i="9"/>
  <c r="L82" i="9"/>
  <c r="L37" i="9"/>
  <c r="L41" i="9"/>
  <c r="L45" i="9"/>
  <c r="L84" i="9"/>
  <c r="L95" i="9"/>
  <c r="L99" i="9"/>
  <c r="L106" i="9"/>
  <c r="L110" i="9"/>
  <c r="L114" i="9"/>
  <c r="L276" i="9"/>
  <c r="L38" i="9"/>
  <c r="L49" i="9"/>
  <c r="L96" i="9"/>
  <c r="L115" i="9"/>
  <c r="L19" i="9"/>
  <c r="L23" i="9"/>
  <c r="L31" i="9"/>
  <c r="L50" i="9"/>
  <c r="L54" i="9"/>
  <c r="L66" i="9"/>
  <c r="V68" i="9" s="1"/>
  <c r="L74" i="9"/>
  <c r="V76" i="9" s="1"/>
  <c r="L85" i="9"/>
  <c r="L89" i="9"/>
  <c r="L100" i="9"/>
  <c r="L131" i="9"/>
  <c r="L135" i="9"/>
  <c r="L143" i="9"/>
  <c r="L163" i="9"/>
  <c r="L167" i="9"/>
  <c r="L171" i="9"/>
  <c r="L194" i="9"/>
  <c r="L198" i="9"/>
  <c r="L202" i="9"/>
  <c r="L206" i="9"/>
  <c r="L214" i="9"/>
  <c r="L218" i="9"/>
  <c r="L226" i="9"/>
  <c r="L230" i="9"/>
  <c r="L238" i="9"/>
  <c r="L242" i="9"/>
  <c r="L250" i="9"/>
  <c r="L258" i="9"/>
  <c r="L262" i="9"/>
  <c r="L270" i="9"/>
  <c r="L285" i="9"/>
  <c r="L289" i="9"/>
  <c r="L297" i="9"/>
  <c r="L301" i="9"/>
  <c r="L309" i="9"/>
  <c r="V91" i="9" s="1"/>
  <c r="L317" i="9"/>
  <c r="V99" i="9" s="1"/>
  <c r="L321" i="9"/>
  <c r="V103" i="9" s="1"/>
  <c r="L139" i="9"/>
  <c r="L154" i="9"/>
  <c r="L158" i="9"/>
  <c r="L184" i="9"/>
  <c r="L246" i="9"/>
  <c r="L277" i="9"/>
  <c r="L36" i="9"/>
  <c r="L3" i="9"/>
  <c r="L28" i="9"/>
  <c r="L42" i="9"/>
  <c r="L58" i="9"/>
  <c r="L68" i="9"/>
  <c r="V70" i="9" s="1"/>
  <c r="L98" i="9"/>
  <c r="L104" i="9"/>
  <c r="L111" i="9"/>
  <c r="L118" i="9"/>
  <c r="L122" i="9"/>
  <c r="L151" i="9"/>
  <c r="L155" i="9"/>
  <c r="L159" i="9"/>
  <c r="L185" i="9"/>
  <c r="L212" i="9"/>
  <c r="L4" i="9"/>
  <c r="L7" i="9"/>
  <c r="L29" i="9"/>
  <c r="L46" i="9"/>
  <c r="L69" i="9"/>
  <c r="V71" i="9" s="1"/>
  <c r="L112" i="9"/>
  <c r="L119" i="9"/>
  <c r="L123" i="9"/>
  <c r="L130" i="9"/>
  <c r="L148" i="9"/>
  <c r="L152" i="9"/>
  <c r="L160" i="9"/>
  <c r="L178" i="9"/>
  <c r="L182" i="9"/>
  <c r="L186" i="9"/>
  <c r="L213" i="9"/>
  <c r="L244" i="9"/>
  <c r="L310" i="9"/>
  <c r="V92" i="9" s="1"/>
  <c r="L140" i="9"/>
  <c r="L215" i="9"/>
  <c r="L43" i="9"/>
  <c r="L103" i="9"/>
  <c r="L216" i="9"/>
  <c r="L234" i="9"/>
  <c r="L241" i="9"/>
  <c r="L248" i="9"/>
  <c r="L266" i="9"/>
  <c r="L273" i="9"/>
  <c r="L280" i="9"/>
  <c r="L298" i="9"/>
  <c r="L305" i="9"/>
  <c r="V87" i="9" s="1"/>
  <c r="L312" i="9"/>
  <c r="V94" i="9" s="1"/>
  <c r="L33" i="9"/>
  <c r="L2" i="9"/>
  <c r="L55" i="9"/>
  <c r="L78" i="9"/>
  <c r="V80" i="9" s="1"/>
  <c r="L35" i="9"/>
  <c r="L91" i="9"/>
  <c r="L107" i="9"/>
  <c r="L142" i="9"/>
  <c r="L177" i="9"/>
  <c r="L210" i="9"/>
  <c r="L217" i="9"/>
  <c r="L224" i="9"/>
  <c r="L274" i="9"/>
  <c r="L281" i="9"/>
  <c r="L288" i="9"/>
  <c r="L306" i="9"/>
  <c r="V88" i="9" s="1"/>
  <c r="L313" i="9"/>
  <c r="V95" i="9" s="1"/>
  <c r="L320" i="9"/>
  <c r="V102" i="9" s="1"/>
  <c r="L124" i="9"/>
  <c r="L147" i="9"/>
  <c r="L175" i="9"/>
  <c r="L311" i="9"/>
  <c r="V93" i="9" s="1"/>
  <c r="L20" i="9"/>
  <c r="L149" i="9"/>
  <c r="L228" i="9"/>
  <c r="L48" i="9"/>
  <c r="L247" i="9"/>
  <c r="L279" i="9"/>
  <c r="L15" i="9"/>
  <c r="L59" i="9"/>
  <c r="L70" i="9"/>
  <c r="V72" i="9" s="1"/>
  <c r="L314" i="9"/>
  <c r="V96" i="9" s="1"/>
  <c r="L6" i="9"/>
  <c r="L12" i="9"/>
  <c r="L18" i="9"/>
  <c r="L24" i="9"/>
  <c r="L30" i="9"/>
  <c r="L39" i="9"/>
  <c r="L62" i="9"/>
  <c r="V64" i="9" s="1"/>
  <c r="L65" i="9"/>
  <c r="V67" i="9" s="1"/>
  <c r="L71" i="9"/>
  <c r="V73" i="9" s="1"/>
  <c r="L87" i="9"/>
  <c r="L92" i="9"/>
  <c r="L102" i="9"/>
  <c r="L127" i="9"/>
  <c r="L150" i="9"/>
  <c r="L190" i="9"/>
  <c r="L197" i="9"/>
  <c r="L204" i="9"/>
  <c r="L222" i="9"/>
  <c r="L229" i="9"/>
  <c r="L236" i="9"/>
  <c r="L254" i="9"/>
  <c r="L261" i="9"/>
  <c r="L268" i="9"/>
  <c r="L286" i="9"/>
  <c r="L293" i="9"/>
  <c r="L300" i="9"/>
  <c r="L318" i="9"/>
  <c r="V100" i="9" s="1"/>
  <c r="V74" i="9"/>
  <c r="L126" i="9"/>
  <c r="L27" i="9"/>
  <c r="L93" i="9"/>
  <c r="L161" i="9"/>
  <c r="L11" i="9"/>
  <c r="L117" i="9"/>
  <c r="L156" i="9"/>
  <c r="L133" i="9"/>
  <c r="L105" i="9"/>
  <c r="L121" i="9"/>
  <c r="L137" i="9"/>
  <c r="L153" i="9"/>
  <c r="L109" i="9"/>
  <c r="L125" i="9"/>
  <c r="L141" i="9"/>
  <c r="L113" i="9"/>
  <c r="L129" i="9"/>
  <c r="L145" i="9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L95" i="1" l="1"/>
  <c r="L44" i="1"/>
  <c r="L80" i="1"/>
  <c r="V82" i="1" s="1"/>
  <c r="L100" i="1"/>
  <c r="L144" i="1"/>
  <c r="L188" i="1"/>
  <c r="L208" i="1"/>
  <c r="L232" i="1"/>
  <c r="L252" i="1"/>
  <c r="L272" i="1"/>
  <c r="L292" i="1"/>
  <c r="L97" i="1"/>
  <c r="N2" i="9"/>
  <c r="N5" i="9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79" i="1"/>
  <c r="M154" i="9" l="1"/>
  <c r="M322" i="9"/>
  <c r="M153" i="9"/>
  <c r="M48" i="9"/>
  <c r="M216" i="9"/>
  <c r="M197" i="9"/>
  <c r="M93" i="9"/>
  <c r="M109" i="9"/>
  <c r="M185" i="9"/>
  <c r="M187" i="9"/>
  <c r="M68" i="9"/>
  <c r="M207" i="9"/>
  <c r="M253" i="9"/>
  <c r="M33" i="9"/>
  <c r="M133" i="9"/>
  <c r="M6" i="9"/>
  <c r="M50" i="9"/>
  <c r="M218" i="9"/>
  <c r="M191" i="9"/>
  <c r="M300" i="9"/>
  <c r="M40" i="9"/>
  <c r="M104" i="9"/>
  <c r="M280" i="9"/>
  <c r="M124" i="9"/>
  <c r="M38" i="9"/>
  <c r="M145" i="9"/>
  <c r="M65" i="9"/>
  <c r="M117" i="9"/>
  <c r="M299" i="9"/>
  <c r="M92" i="9"/>
  <c r="M320" i="9"/>
  <c r="M95" i="9"/>
  <c r="M265" i="9"/>
  <c r="M167" i="9"/>
  <c r="M210" i="9"/>
  <c r="M35" i="9"/>
  <c r="M4" i="9"/>
  <c r="M297" i="9"/>
  <c r="M149" i="9"/>
  <c r="M279" i="9"/>
  <c r="M220" i="9"/>
  <c r="M190" i="9"/>
  <c r="M163" i="9"/>
  <c r="M287" i="9"/>
  <c r="M90" i="9"/>
  <c r="M47" i="9"/>
  <c r="M204" i="9"/>
  <c r="M55" i="9"/>
  <c r="M9" i="9"/>
  <c r="M302" i="9"/>
  <c r="M230" i="9"/>
  <c r="M41" i="9"/>
  <c r="M59" i="9"/>
  <c r="M318" i="9"/>
  <c r="M97" i="9"/>
  <c r="M86" i="9"/>
  <c r="M289" i="9"/>
  <c r="M274" i="9"/>
  <c r="M235" i="9"/>
  <c r="M268" i="9"/>
  <c r="M71" i="9"/>
  <c r="M244" i="9"/>
  <c r="M166" i="9"/>
  <c r="M175" i="9"/>
  <c r="M310" i="9"/>
  <c r="M2" i="9"/>
  <c r="M202" i="9"/>
  <c r="M186" i="9"/>
  <c r="M58" i="9"/>
  <c r="M54" i="9"/>
  <c r="M45" i="9"/>
  <c r="M168" i="9"/>
  <c r="M243" i="9"/>
  <c r="M307" i="9"/>
  <c r="M26" i="9"/>
  <c r="M284" i="9"/>
  <c r="M170" i="9"/>
  <c r="M217" i="9"/>
  <c r="M51" i="9"/>
  <c r="M128" i="9"/>
  <c r="M232" i="9"/>
  <c r="M142" i="9"/>
  <c r="M157" i="9"/>
  <c r="M306" i="9"/>
  <c r="M121" i="9"/>
  <c r="M200" i="9"/>
  <c r="M272" i="9"/>
  <c r="M213" i="9"/>
  <c r="M15" i="9"/>
  <c r="M295" i="9"/>
  <c r="M44" i="9"/>
  <c r="M164" i="9"/>
  <c r="M43" i="9"/>
  <c r="M252" i="9"/>
  <c r="M7" i="9"/>
  <c r="M205" i="9"/>
  <c r="M129" i="9"/>
  <c r="M242" i="9"/>
  <c r="M96" i="9"/>
  <c r="M31" i="9"/>
  <c r="M67" i="9"/>
  <c r="M172" i="9"/>
  <c r="M221" i="9"/>
  <c r="M180" i="9"/>
  <c r="M286" i="9"/>
  <c r="M136" i="9"/>
  <c r="M27" i="9"/>
  <c r="M263" i="9"/>
  <c r="M62" i="9"/>
  <c r="M158" i="9"/>
  <c r="M49" i="9"/>
  <c r="M155" i="9"/>
  <c r="M251" i="9"/>
  <c r="M315" i="9"/>
  <c r="M24" i="9"/>
  <c r="M308" i="9"/>
  <c r="M254" i="9"/>
  <c r="M249" i="9"/>
  <c r="M17" i="9"/>
  <c r="M77" i="9"/>
  <c r="M285" i="9"/>
  <c r="M294" i="9"/>
  <c r="M209" i="9"/>
  <c r="M262" i="9"/>
  <c r="M110" i="9"/>
  <c r="M214" i="9"/>
  <c r="M138" i="9"/>
  <c r="M226" i="9"/>
  <c r="M281" i="9"/>
  <c r="M152" i="9"/>
  <c r="M174" i="9"/>
  <c r="M140" i="9"/>
  <c r="M256" i="9"/>
  <c r="M260" i="9"/>
  <c r="M273" i="9"/>
  <c r="M206" i="9"/>
  <c r="M29" i="9"/>
  <c r="M304" i="9"/>
  <c r="M247" i="9"/>
  <c r="M63" i="9"/>
  <c r="M61" i="9"/>
  <c r="M116" i="9"/>
  <c r="M222" i="9"/>
  <c r="M269" i="9"/>
  <c r="M198" i="9"/>
  <c r="M282" i="9"/>
  <c r="M194" i="9"/>
  <c r="M28" i="9"/>
  <c r="M179" i="9"/>
  <c r="M236" i="9"/>
  <c r="M82" i="9"/>
  <c r="M19" i="9"/>
  <c r="M229" i="9"/>
  <c r="M20" i="9"/>
  <c r="M270" i="9"/>
  <c r="M156" i="9"/>
  <c r="M34" i="9"/>
  <c r="M46" i="9"/>
  <c r="M14" i="9"/>
  <c r="M203" i="9"/>
  <c r="M267" i="9"/>
  <c r="M60" i="9"/>
  <c r="M144" i="9"/>
  <c r="M88" i="9"/>
  <c r="M159" i="9"/>
  <c r="M313" i="9"/>
  <c r="M94" i="9"/>
  <c r="M292" i="9"/>
  <c r="M75" i="9"/>
  <c r="M139" i="9"/>
  <c r="M245" i="9"/>
  <c r="M261" i="9"/>
  <c r="M277" i="9"/>
  <c r="M85" i="9"/>
  <c r="M257" i="9"/>
  <c r="M188" i="9"/>
  <c r="M53" i="9"/>
  <c r="M176" i="9"/>
  <c r="M161" i="9"/>
  <c r="M189" i="9"/>
  <c r="M73" i="9"/>
  <c r="M101" i="9"/>
  <c r="M123" i="9"/>
  <c r="M231" i="9"/>
  <c r="M169" i="9"/>
  <c r="M148" i="9"/>
  <c r="M305" i="9"/>
  <c r="M178" i="9"/>
  <c r="M127" i="9"/>
  <c r="M225" i="9"/>
  <c r="M316" i="9"/>
  <c r="M119" i="9"/>
  <c r="M181" i="9"/>
  <c r="M162" i="9"/>
  <c r="M303" i="9"/>
  <c r="M301" i="9"/>
  <c r="M311" i="9"/>
  <c r="M271" i="9"/>
  <c r="M228" i="9"/>
  <c r="M111" i="9"/>
  <c r="M258" i="9"/>
  <c r="M208" i="9"/>
  <c r="M56" i="9"/>
  <c r="M118" i="9"/>
  <c r="M72" i="9"/>
  <c r="M12" i="9"/>
  <c r="M212" i="9"/>
  <c r="M16" i="9"/>
  <c r="M42" i="9"/>
  <c r="M74" i="9"/>
  <c r="M21" i="9"/>
  <c r="M211" i="9"/>
  <c r="M275" i="9"/>
  <c r="M64" i="9"/>
  <c r="M99" i="9"/>
  <c r="M196" i="9"/>
  <c r="M224" i="9"/>
  <c r="M147" i="9"/>
  <c r="M160" i="9"/>
  <c r="M173" i="9"/>
  <c r="M314" i="9"/>
  <c r="M66" i="9"/>
  <c r="M131" i="9"/>
  <c r="M319" i="9"/>
  <c r="M112" i="9"/>
  <c r="M83" i="9"/>
  <c r="M248" i="9"/>
  <c r="M32" i="9"/>
  <c r="M259" i="9"/>
  <c r="M199" i="9"/>
  <c r="M10" i="9"/>
  <c r="M276" i="9"/>
  <c r="M107" i="9"/>
  <c r="M201" i="9"/>
  <c r="M23" i="9"/>
  <c r="M239" i="9"/>
  <c r="M296" i="9"/>
  <c r="M150" i="9"/>
  <c r="M321" i="9"/>
  <c r="M132" i="9"/>
  <c r="M36" i="9"/>
  <c r="M76" i="9"/>
  <c r="M146" i="9"/>
  <c r="M137" i="9"/>
  <c r="M290" i="9"/>
  <c r="M141" i="9"/>
  <c r="M240" i="9"/>
  <c r="M81" i="9"/>
  <c r="M103" i="9"/>
  <c r="M114" i="9"/>
  <c r="M113" i="9"/>
  <c r="M298" i="9"/>
  <c r="M165" i="9"/>
  <c r="M135" i="9"/>
  <c r="M87" i="9"/>
  <c r="M130" i="9"/>
  <c r="M184" i="9"/>
  <c r="M171" i="9"/>
  <c r="M5" i="9"/>
  <c r="M30" i="9"/>
  <c r="M219" i="9"/>
  <c r="M283" i="9"/>
  <c r="M57" i="9"/>
  <c r="M234" i="9"/>
  <c r="M278" i="9"/>
  <c r="M288" i="9"/>
  <c r="M106" i="9"/>
  <c r="M108" i="9"/>
  <c r="M250" i="9"/>
  <c r="M312" i="9"/>
  <c r="M192" i="9"/>
  <c r="M78" i="9"/>
  <c r="M52" i="9"/>
  <c r="M237" i="9"/>
  <c r="M91" i="9"/>
  <c r="M317" i="9"/>
  <c r="M115" i="9"/>
  <c r="M98" i="9"/>
  <c r="M195" i="9"/>
  <c r="M89" i="9"/>
  <c r="M39" i="9"/>
  <c r="M25" i="9"/>
  <c r="M238" i="9"/>
  <c r="M100" i="9"/>
  <c r="M233" i="9"/>
  <c r="M122" i="9"/>
  <c r="M182" i="9"/>
  <c r="M183" i="9"/>
  <c r="M215" i="9"/>
  <c r="M80" i="9"/>
  <c r="M70" i="9"/>
  <c r="M8" i="9"/>
  <c r="M177" i="9"/>
  <c r="M246" i="9"/>
  <c r="M264" i="9"/>
  <c r="M241" i="9"/>
  <c r="M151" i="9"/>
  <c r="M193" i="9"/>
  <c r="M105" i="9"/>
  <c r="M3" i="9"/>
  <c r="M255" i="9"/>
  <c r="M309" i="9"/>
  <c r="M102" i="9"/>
  <c r="M223" i="9"/>
  <c r="M22" i="9"/>
  <c r="M126" i="9"/>
  <c r="M69" i="9"/>
  <c r="M18" i="9"/>
  <c r="M120" i="9"/>
  <c r="M37" i="9"/>
  <c r="M84" i="9"/>
  <c r="M227" i="9"/>
  <c r="M291" i="9"/>
  <c r="M143" i="9"/>
  <c r="M134" i="9"/>
  <c r="M11" i="9"/>
  <c r="M125" i="9"/>
  <c r="M13" i="9"/>
  <c r="M266" i="9"/>
  <c r="M79" i="9"/>
  <c r="M293" i="9"/>
  <c r="M322" i="1"/>
  <c r="N5" i="1"/>
  <c r="O2" i="9" l="1"/>
  <c r="P211" i="9" s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285" i="9" l="1"/>
  <c r="P217" i="9"/>
  <c r="P322" i="9"/>
  <c r="P45" i="9"/>
  <c r="P304" i="9"/>
  <c r="P155" i="9"/>
  <c r="P33" i="9"/>
  <c r="P209" i="9"/>
  <c r="P225" i="9"/>
  <c r="P142" i="9"/>
  <c r="P276" i="9"/>
  <c r="P9" i="9"/>
  <c r="P227" i="9"/>
  <c r="P288" i="9"/>
  <c r="P289" i="9"/>
  <c r="P237" i="9"/>
  <c r="P189" i="9"/>
  <c r="P36" i="9"/>
  <c r="P174" i="9"/>
  <c r="P30" i="9"/>
  <c r="P37" i="9"/>
  <c r="P97" i="9"/>
  <c r="P275" i="9"/>
  <c r="P40" i="9"/>
  <c r="P32" i="9"/>
  <c r="P27" i="9"/>
  <c r="P139" i="9"/>
  <c r="P91" i="9"/>
  <c r="P164" i="9"/>
  <c r="P226" i="9"/>
  <c r="P214" i="9"/>
  <c r="P89" i="9"/>
  <c r="P282" i="9"/>
  <c r="P161" i="9"/>
  <c r="P80" i="9"/>
  <c r="P48" i="9"/>
  <c r="P238" i="9"/>
  <c r="P188" i="9"/>
  <c r="P16" i="9"/>
  <c r="P118" i="9"/>
  <c r="P29" i="9"/>
  <c r="P103" i="9"/>
  <c r="P302" i="9"/>
  <c r="P149" i="9"/>
  <c r="P208" i="9"/>
  <c r="P260" i="9"/>
  <c r="P181" i="9"/>
  <c r="P75" i="9"/>
  <c r="P50" i="9"/>
  <c r="P117" i="9"/>
  <c r="P206" i="9"/>
  <c r="P187" i="9"/>
  <c r="P70" i="9"/>
  <c r="P230" i="9"/>
  <c r="P256" i="9"/>
  <c r="P264" i="9"/>
  <c r="P241" i="9"/>
  <c r="P66" i="9"/>
  <c r="P76" i="9"/>
  <c r="P244" i="9"/>
  <c r="P305" i="9"/>
  <c r="P144" i="9"/>
  <c r="P157" i="9"/>
  <c r="P105" i="9"/>
  <c r="P184" i="9"/>
  <c r="P203" i="9"/>
  <c r="P177" i="9"/>
  <c r="P47" i="9"/>
  <c r="P74" i="9"/>
  <c r="P102" i="9"/>
  <c r="P223" i="9"/>
  <c r="P291" i="9"/>
  <c r="P266" i="9"/>
  <c r="P44" i="9"/>
  <c r="P21" i="9"/>
  <c r="P314" i="9"/>
  <c r="P252" i="9"/>
  <c r="P69" i="9"/>
  <c r="P19" i="9"/>
  <c r="P286" i="9"/>
  <c r="P292" i="9"/>
  <c r="P309" i="9"/>
  <c r="P299" i="9"/>
  <c r="P160" i="9"/>
  <c r="P127" i="9"/>
  <c r="P79" i="9"/>
  <c r="P293" i="9"/>
  <c r="P100" i="9"/>
  <c r="P96" i="9"/>
  <c r="P173" i="9"/>
  <c r="P239" i="9"/>
  <c r="P172" i="9"/>
  <c r="P88" i="9"/>
  <c r="P77" i="9"/>
  <c r="P198" i="9"/>
  <c r="P13" i="9"/>
  <c r="P245" i="9"/>
  <c r="P101" i="9"/>
  <c r="P59" i="9"/>
  <c r="P68" i="9"/>
  <c r="P233" i="9"/>
  <c r="P270" i="9"/>
  <c r="P83" i="9"/>
  <c r="P106" i="9"/>
  <c r="P24" i="9"/>
  <c r="P152" i="9"/>
  <c r="P154" i="9"/>
  <c r="P205" i="9"/>
  <c r="P254" i="9"/>
  <c r="P112" i="9"/>
  <c r="P53" i="9"/>
  <c r="P34" i="9"/>
  <c r="P58" i="9"/>
  <c r="P99" i="9"/>
  <c r="P150" i="9"/>
  <c r="P135" i="9"/>
  <c r="P312" i="9"/>
  <c r="P215" i="9"/>
  <c r="P153" i="9"/>
  <c r="P183" i="9"/>
  <c r="P86" i="9"/>
  <c r="P41" i="9"/>
  <c r="P14" i="9"/>
  <c r="P132" i="9"/>
  <c r="P128" i="9"/>
  <c r="P104" i="9"/>
  <c r="P133" i="9"/>
  <c r="P228" i="9"/>
  <c r="P290" i="9"/>
  <c r="P265" i="9"/>
  <c r="P258" i="9"/>
  <c r="P51" i="9"/>
  <c r="P94" i="9"/>
  <c r="P303" i="9"/>
  <c r="P308" i="9"/>
  <c r="P64" i="9"/>
  <c r="P300" i="9"/>
  <c r="P221" i="9"/>
  <c r="P249" i="9"/>
  <c r="P46" i="9"/>
  <c r="P170" i="9"/>
  <c r="P196" i="9"/>
  <c r="P273" i="9"/>
  <c r="P321" i="9"/>
  <c r="P87" i="9"/>
  <c r="P185" i="9"/>
  <c r="P123" i="9"/>
  <c r="P320" i="9"/>
  <c r="P163" i="9"/>
  <c r="P259" i="9"/>
  <c r="P224" i="9"/>
  <c r="P130" i="9"/>
  <c r="P120" i="9"/>
  <c r="P231" i="9"/>
  <c r="P235" i="9"/>
  <c r="P162" i="9"/>
  <c r="P124" i="9"/>
  <c r="P199" i="9"/>
  <c r="P240" i="9"/>
  <c r="P12" i="9"/>
  <c r="P131" i="9"/>
  <c r="P7" i="9"/>
  <c r="P78" i="9"/>
  <c r="P116" i="9"/>
  <c r="P180" i="9"/>
  <c r="P17" i="9"/>
  <c r="P277" i="9"/>
  <c r="P121" i="9"/>
  <c r="P246" i="9"/>
  <c r="P219" i="9"/>
  <c r="P111" i="9"/>
  <c r="P236" i="9"/>
  <c r="P190" i="9"/>
  <c r="P49" i="9"/>
  <c r="P82" i="9"/>
  <c r="P81" i="9"/>
  <c r="P253" i="9"/>
  <c r="P156" i="9"/>
  <c r="P122" i="9"/>
  <c r="P280" i="9"/>
  <c r="P138" i="9"/>
  <c r="P281" i="9"/>
  <c r="P93" i="9"/>
  <c r="P269" i="9"/>
  <c r="P200" i="9"/>
  <c r="P145" i="9"/>
  <c r="P272" i="9"/>
  <c r="P158" i="9"/>
  <c r="P257" i="9"/>
  <c r="P220" i="9"/>
  <c r="P316" i="9"/>
  <c r="P216" i="9"/>
  <c r="P213" i="9"/>
  <c r="P175" i="9"/>
  <c r="P10" i="9"/>
  <c r="P166" i="9"/>
  <c r="P126" i="9"/>
  <c r="P62" i="9"/>
  <c r="P39" i="9"/>
  <c r="P179" i="9"/>
  <c r="P159" i="9"/>
  <c r="P90" i="9"/>
  <c r="P311" i="9"/>
  <c r="P141" i="9"/>
  <c r="P283" i="9"/>
  <c r="P169" i="9"/>
  <c r="P318" i="9"/>
  <c r="P210" i="9"/>
  <c r="P35" i="9"/>
  <c r="P243" i="9"/>
  <c r="P313" i="9"/>
  <c r="P57" i="9"/>
  <c r="P192" i="9"/>
  <c r="P287" i="9"/>
  <c r="P248" i="9"/>
  <c r="P42" i="9"/>
  <c r="P255" i="9"/>
  <c r="P274" i="9"/>
  <c r="P202" i="9"/>
  <c r="P250" i="9"/>
  <c r="P38" i="9"/>
  <c r="P72" i="9"/>
  <c r="P234" i="9"/>
  <c r="P268" i="9"/>
  <c r="P98" i="9"/>
  <c r="P165" i="9"/>
  <c r="P182" i="9"/>
  <c r="P73" i="9"/>
  <c r="P125" i="9"/>
  <c r="P110" i="9"/>
  <c r="P296" i="9"/>
  <c r="P167" i="9"/>
  <c r="P193" i="9"/>
  <c r="P134" i="9"/>
  <c r="P317" i="9"/>
  <c r="P108" i="9"/>
  <c r="P222" i="9"/>
  <c r="P148" i="9"/>
  <c r="P204" i="9"/>
  <c r="P151" i="9"/>
  <c r="P25" i="9"/>
  <c r="P195" i="9"/>
  <c r="P143" i="9"/>
  <c r="P186" i="9"/>
  <c r="P3" i="9"/>
  <c r="P297" i="9"/>
  <c r="P262" i="9"/>
  <c r="P84" i="9"/>
  <c r="P218" i="9"/>
  <c r="P23" i="9"/>
  <c r="P11" i="9"/>
  <c r="P115" i="9"/>
  <c r="P212" i="9"/>
  <c r="P278" i="9"/>
  <c r="P295" i="9"/>
  <c r="P61" i="9"/>
  <c r="P201" i="9"/>
  <c r="P95" i="9"/>
  <c r="P119" i="9"/>
  <c r="P137" i="9"/>
  <c r="P191" i="9"/>
  <c r="P22" i="9"/>
  <c r="P315" i="9"/>
  <c r="P20" i="9"/>
  <c r="P31" i="9"/>
  <c r="P301" i="9"/>
  <c r="P284" i="9"/>
  <c r="P2" i="9"/>
  <c r="P26" i="9"/>
  <c r="P306" i="9"/>
  <c r="P15" i="9"/>
  <c r="P176" i="9"/>
  <c r="P147" i="9"/>
  <c r="P319" i="9"/>
  <c r="P178" i="9"/>
  <c r="P242" i="9"/>
  <c r="P229" i="9"/>
  <c r="P114" i="9"/>
  <c r="P310" i="9"/>
  <c r="P55" i="9"/>
  <c r="P92" i="9"/>
  <c r="P298" i="9"/>
  <c r="P279" i="9"/>
  <c r="P263" i="9"/>
  <c r="P232" i="9"/>
  <c r="P4" i="9"/>
  <c r="P60" i="9"/>
  <c r="P146" i="9"/>
  <c r="P85" i="9"/>
  <c r="P6" i="9"/>
  <c r="P43" i="9"/>
  <c r="P307" i="9"/>
  <c r="P194" i="9"/>
  <c r="P63" i="9"/>
  <c r="P18" i="9"/>
  <c r="P129" i="9"/>
  <c r="P65" i="9"/>
  <c r="P168" i="9"/>
  <c r="P271" i="9"/>
  <c r="P107" i="9"/>
  <c r="P251" i="9"/>
  <c r="P267" i="9"/>
  <c r="P171" i="9"/>
  <c r="P140" i="9"/>
  <c r="P5" i="9"/>
  <c r="P197" i="9"/>
  <c r="P247" i="9"/>
  <c r="P136" i="9"/>
  <c r="P52" i="9"/>
  <c r="P207" i="9"/>
  <c r="P261" i="9"/>
  <c r="P109" i="9"/>
  <c r="P113" i="9"/>
  <c r="P71" i="9"/>
  <c r="P54" i="9"/>
  <c r="P67" i="9"/>
  <c r="P294" i="9"/>
  <c r="P56" i="9"/>
  <c r="P28" i="9"/>
  <c r="P8" i="9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<sst xmlns="http://schemas.openxmlformats.org/spreadsheetml/2006/main" count="105" uniqueCount="19">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</sst>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'240823B007'!$A$2:$A$321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'240823B007'!$J$2:$J$321</c:f>
              <c:numCache>
                <c:formatCode>0.0</c:formatCode>
                <c:ptCount val="320"/>
                <c:pt idx="0">
                  <c:v>756.89663456190999</c:v>
                </c:pt>
                <c:pt idx="1">
                  <c:v>726.74566993645999</c:v>
                </c:pt>
                <c:pt idx="2">
                  <c:v>611.74797862401999</c:v>
                </c:pt>
                <c:pt idx="3">
                  <c:v>698.70701913879998</c:v>
                </c:pt>
                <c:pt idx="4">
                  <c:v>697.78426870585997</c:v>
                </c:pt>
                <c:pt idx="5">
                  <c:v>690.34281491753995</c:v>
                </c:pt>
                <c:pt idx="6">
                  <c:v>704.02413622393999</c:v>
                </c:pt>
                <c:pt idx="7">
                  <c:v>533.67887560551003</c:v>
                </c:pt>
                <c:pt idx="8">
                  <c:v>542.49643678442999</c:v>
                </c:pt>
                <c:pt idx="9">
                  <c:v>772.84283994333009</c:v>
                </c:pt>
                <c:pt idx="10">
                  <c:v>721.62739121294999</c:v>
                </c:pt>
                <c:pt idx="11">
                  <c:v>845.43300690621993</c:v>
                </c:pt>
                <c:pt idx="12">
                  <c:v>844.9225290694601</c:v>
                </c:pt>
                <c:pt idx="13">
                  <c:v>885.71900683607009</c:v>
                </c:pt>
                <c:pt idx="14">
                  <c:v>902.42412417203991</c:v>
                </c:pt>
                <c:pt idx="15">
                  <c:v>899.83665567044</c:v>
                </c:pt>
                <c:pt idx="16">
                  <c:v>908.72434580341996</c:v>
                </c:pt>
                <c:pt idx="17">
                  <c:v>909.4421187199199</c:v>
                </c:pt>
                <c:pt idx="18">
                  <c:v>897.28234338514994</c:v>
                </c:pt>
                <c:pt idx="19">
                  <c:v>896.28802647242003</c:v>
                </c:pt>
                <c:pt idx="20">
                  <c:v>897.12076260629999</c:v>
                </c:pt>
                <c:pt idx="21">
                  <c:v>888.71063882815997</c:v>
                </c:pt>
                <c:pt idx="22">
                  <c:v>890.88115544723007</c:v>
                </c:pt>
                <c:pt idx="23">
                  <c:v>885.7084217132799</c:v>
                </c:pt>
                <c:pt idx="24">
                  <c:v>883.9552709550801</c:v>
                </c:pt>
                <c:pt idx="25">
                  <c:v>882.36082481836002</c:v>
                </c:pt>
                <c:pt idx="26">
                  <c:v>888.11985711518992</c:v>
                </c:pt>
                <c:pt idx="27">
                  <c:v>883.64085878581011</c:v>
                </c:pt>
                <c:pt idx="28">
                  <c:v>879.27972475289005</c:v>
                </c:pt>
                <c:pt idx="29">
                  <c:v>880.28203878566001</c:v>
                </c:pt>
                <c:pt idx="30">
                  <c:v>871.10295092258002</c:v>
                </c:pt>
                <c:pt idx="31">
                  <c:v>879.18468972391997</c:v>
                </c:pt>
                <c:pt idx="32">
                  <c:v>872.60645289326999</c:v>
                </c:pt>
                <c:pt idx="33">
                  <c:v>877.4998855445001</c:v>
                </c:pt>
                <c:pt idx="34">
                  <c:v>870.02356953640003</c:v>
                </c:pt>
                <c:pt idx="35">
                  <c:v>865.07985951501996</c:v>
                </c:pt>
                <c:pt idx="36">
                  <c:v>863.38780557999985</c:v>
                </c:pt>
                <c:pt idx="37">
                  <c:v>890.16036266966012</c:v>
                </c:pt>
                <c:pt idx="38">
                  <c:v>915.37416465043009</c:v>
                </c:pt>
                <c:pt idx="39">
                  <c:v>916.10764652108014</c:v>
                </c:pt>
                <c:pt idx="40">
                  <c:v>896.73379548702997</c:v>
                </c:pt>
                <c:pt idx="41">
                  <c:v>889.06510147134009</c:v>
                </c:pt>
                <c:pt idx="42">
                  <c:v>887.24378536140989</c:v>
                </c:pt>
                <c:pt idx="43">
                  <c:v>891.54428878640999</c:v>
                </c:pt>
                <c:pt idx="44">
                  <c:v>884.50385934822998</c:v>
                </c:pt>
                <c:pt idx="45">
                  <c:v>882.67229370180007</c:v>
                </c:pt>
                <c:pt idx="46">
                  <c:v>881.99834416502006</c:v>
                </c:pt>
                <c:pt idx="47">
                  <c:v>878.71504368625006</c:v>
                </c:pt>
                <c:pt idx="48">
                  <c:v>873.36122347101991</c:v>
                </c:pt>
                <c:pt idx="49">
                  <c:v>877.30650685560988</c:v>
                </c:pt>
                <c:pt idx="50">
                  <c:v>881.84742636970986</c:v>
                </c:pt>
                <c:pt idx="51">
                  <c:v>908.76377796025008</c:v>
                </c:pt>
                <c:pt idx="52">
                  <c:v>938.68379665503994</c:v>
                </c:pt>
                <c:pt idx="53">
                  <c:v>951.92096036316002</c:v>
                </c:pt>
                <c:pt idx="54">
                  <c:v>944.83234517432993</c:v>
                </c:pt>
                <c:pt idx="55">
                  <c:v>902.99834871924986</c:v>
                </c:pt>
                <c:pt idx="56">
                  <c:v>888.57408026649</c:v>
                </c:pt>
                <c:pt idx="57">
                  <c:v>867.57547489824003</c:v>
                </c:pt>
                <c:pt idx="58">
                  <c:v>867.1942593184101</c:v>
                </c:pt>
                <c:pt idx="59">
                  <c:v>862.29684132812008</c:v>
                </c:pt>
                <c:pt idx="60">
                  <c:v>861.84639636048996</c:v>
                </c:pt>
                <c:pt idx="61">
                  <c:v>864.00227472263009</c:v>
                </c:pt>
                <c:pt idx="62">
                  <c:v>858.26886623035011</c:v>
                </c:pt>
                <c:pt idx="63">
                  <c:v>862.83240881154995</c:v>
                </c:pt>
                <c:pt idx="64">
                  <c:v>861.66448838693998</c:v>
                </c:pt>
                <c:pt idx="65">
                  <c:v>856.74767539312006</c:v>
                </c:pt>
                <c:pt idx="66">
                  <c:v>866.29163341050003</c:v>
                </c:pt>
                <c:pt idx="67">
                  <c:v>872.21146939102994</c:v>
                </c:pt>
                <c:pt idx="68">
                  <c:v>869.12344361087003</c:v>
                </c:pt>
                <c:pt idx="69">
                  <c:v>861.7813273206001</c:v>
                </c:pt>
                <c:pt idx="70">
                  <c:v>855.60796951077009</c:v>
                </c:pt>
                <c:pt idx="71">
                  <c:v>866.79131415115</c:v>
                </c:pt>
                <c:pt idx="72">
                  <c:v>877.42663021785006</c:v>
                </c:pt>
                <c:pt idx="73">
                  <c:v>882.37502943202992</c:v>
                </c:pt>
                <c:pt idx="74">
                  <c:v>882.46782034211003</c:v>
                </c:pt>
                <c:pt idx="75">
                  <c:v>866.70307447257005</c:v>
                </c:pt>
                <c:pt idx="76">
                  <c:v>862.00407827087008</c:v>
                </c:pt>
                <c:pt idx="77">
                  <c:v>865.5772366504101</c:v>
                </c:pt>
                <c:pt idx="78">
                  <c:v>891.89434397128002</c:v>
                </c:pt>
                <c:pt idx="79">
                  <c:v>908.66437891485987</c:v>
                </c:pt>
                <c:pt idx="80">
                  <c:v>902.58636331745004</c:v>
                </c:pt>
                <c:pt idx="81">
                  <c:v>904.79141246569009</c:v>
                </c:pt>
                <c:pt idx="82">
                  <c:v>904.65465334661008</c:v>
                </c:pt>
                <c:pt idx="83">
                  <c:v>901.61787299540003</c:v>
                </c:pt>
                <c:pt idx="84">
                  <c:v>905.76340973567005</c:v>
                </c:pt>
                <c:pt idx="85">
                  <c:v>896.56317107915004</c:v>
                </c:pt>
                <c:pt idx="86">
                  <c:v>881.55746420851005</c:v>
                </c:pt>
                <c:pt idx="87">
                  <c:v>846.86137140764004</c:v>
                </c:pt>
                <c:pt idx="88">
                  <c:v>833.27308285838001</c:v>
                </c:pt>
                <c:pt idx="89">
                  <c:v>834.75917858329001</c:v>
                </c:pt>
                <c:pt idx="90">
                  <c:v>828.24163451330003</c:v>
                </c:pt>
                <c:pt idx="91">
                  <c:v>820.41961458389994</c:v>
                </c:pt>
                <c:pt idx="92">
                  <c:v>815.32696261600995</c:v>
                </c:pt>
                <c:pt idx="93">
                  <c:v>817.82483740372993</c:v>
                </c:pt>
                <c:pt idx="94">
                  <c:v>809.18251505590001</c:v>
                </c:pt>
                <c:pt idx="95">
                  <c:v>810.64605899493995</c:v>
                </c:pt>
                <c:pt idx="96">
                  <c:v>802.40024462077997</c:v>
                </c:pt>
                <c:pt idx="97">
                  <c:v>796.01744306709998</c:v>
                </c:pt>
                <c:pt idx="98">
                  <c:v>794.39893481114996</c:v>
                </c:pt>
                <c:pt idx="99">
                  <c:v>795.08970489620003</c:v>
                </c:pt>
                <c:pt idx="100">
                  <c:v>752.96680139873001</c:v>
                </c:pt>
                <c:pt idx="101">
                  <c:v>748.78177418329005</c:v>
                </c:pt>
                <c:pt idx="102">
                  <c:v>766.92311094549007</c:v>
                </c:pt>
                <c:pt idx="103">
                  <c:v>795.77115596236001</c:v>
                </c:pt>
                <c:pt idx="104">
                  <c:v>783.71503124245999</c:v>
                </c:pt>
                <c:pt idx="105">
                  <c:v>783.07968547452003</c:v>
                </c:pt>
                <c:pt idx="106">
                  <c:v>777.68192643641009</c:v>
                </c:pt>
                <c:pt idx="107">
                  <c:v>775.0694444062201</c:v>
                </c:pt>
                <c:pt idx="108">
                  <c:v>778.62342904691002</c:v>
                </c:pt>
                <c:pt idx="109">
                  <c:v>775.27170298240992</c:v>
                </c:pt>
                <c:pt idx="110">
                  <c:v>789.77726249812997</c:v>
                </c:pt>
                <c:pt idx="111">
                  <c:v>792.84969720822005</c:v>
                </c:pt>
                <c:pt idx="112">
                  <c:v>793.01218093563011</c:v>
                </c:pt>
                <c:pt idx="113">
                  <c:v>794.53080164364007</c:v>
                </c:pt>
                <c:pt idx="114">
                  <c:v>788.68385437738004</c:v>
                </c:pt>
                <c:pt idx="115">
                  <c:v>784.20583831716999</c:v>
                </c:pt>
                <c:pt idx="116">
                  <c:v>782.3638895693</c:v>
                </c:pt>
                <c:pt idx="117">
                  <c:v>784.60659316363001</c:v>
                </c:pt>
                <c:pt idx="118">
                  <c:v>785.65862234099995</c:v>
                </c:pt>
                <c:pt idx="119">
                  <c:v>788.75561800072001</c:v>
                </c:pt>
                <c:pt idx="120">
                  <c:v>785.05365941820003</c:v>
                </c:pt>
                <c:pt idx="121">
                  <c:v>788.91842465708999</c:v>
                </c:pt>
                <c:pt idx="122">
                  <c:v>785.76848561911004</c:v>
                </c:pt>
                <c:pt idx="123">
                  <c:v>783.14947895595003</c:v>
                </c:pt>
                <c:pt idx="124">
                  <c:v>773.40150483062996</c:v>
                </c:pt>
                <c:pt idx="125">
                  <c:v>771.49667851045001</c:v>
                </c:pt>
                <c:pt idx="126">
                  <c:v>873.50774171665</c:v>
                </c:pt>
                <c:pt idx="127">
                  <c:v>844.51028490244994</c:v>
                </c:pt>
                <c:pt idx="128">
                  <c:v>841.36502090656995</c:v>
                </c:pt>
                <c:pt idx="129">
                  <c:v>822.83633963762009</c:v>
                </c:pt>
                <c:pt idx="130">
                  <c:v>817.89760197158989</c:v>
                </c:pt>
                <c:pt idx="131">
                  <c:v>816.74194888268005</c:v>
                </c:pt>
                <c:pt idx="132">
                  <c:v>819.83145681609994</c:v>
                </c:pt>
                <c:pt idx="133">
                  <c:v>823.57087106212998</c:v>
                </c:pt>
                <c:pt idx="134">
                  <c:v>821.13348378699993</c:v>
                </c:pt>
                <c:pt idx="135">
                  <c:v>820.08622472055004</c:v>
                </c:pt>
                <c:pt idx="136">
                  <c:v>818.68910272386006</c:v>
                </c:pt>
                <c:pt idx="137">
                  <c:v>816.65675703118006</c:v>
                </c:pt>
                <c:pt idx="138">
                  <c:v>812.00903921947997</c:v>
                </c:pt>
                <c:pt idx="139">
                  <c:v>811.8949538024201</c:v>
                </c:pt>
                <c:pt idx="140">
                  <c:v>807.02316340376001</c:v>
                </c:pt>
                <c:pt idx="141">
                  <c:v>802.34165443654001</c:v>
                </c:pt>
                <c:pt idx="142">
                  <c:v>790.30412155209001</c:v>
                </c:pt>
                <c:pt idx="143">
                  <c:v>794.53600484459992</c:v>
                </c:pt>
                <c:pt idx="144">
                  <c:v>788.65710161820994</c:v>
                </c:pt>
                <c:pt idx="145">
                  <c:v>787.35026545126004</c:v>
                </c:pt>
                <c:pt idx="146">
                  <c:v>784.72624370520998</c:v>
                </c:pt>
                <c:pt idx="147">
                  <c:v>784.16203454964</c:v>
                </c:pt>
                <c:pt idx="148">
                  <c:v>791.28786300346997</c:v>
                </c:pt>
                <c:pt idx="149">
                  <c:v>792.54892225874994</c:v>
                </c:pt>
                <c:pt idx="150">
                  <c:v>790.34245398997007</c:v>
                </c:pt>
                <c:pt idx="151">
                  <c:v>791.75887463232004</c:v>
                </c:pt>
                <c:pt idx="152">
                  <c:v>787.78595157222003</c:v>
                </c:pt>
                <c:pt idx="153">
                  <c:v>792.38950943877012</c:v>
                </c:pt>
                <c:pt idx="154">
                  <c:v>793.73087521514003</c:v>
                </c:pt>
                <c:pt idx="155">
                  <c:v>794.20479815687008</c:v>
                </c:pt>
                <c:pt idx="156">
                  <c:v>793.14660012930995</c:v>
                </c:pt>
                <c:pt idx="157">
                  <c:v>806.87814011091996</c:v>
                </c:pt>
                <c:pt idx="158">
                  <c:v>810.04546729439994</c:v>
                </c:pt>
                <c:pt idx="159">
                  <c:v>812.6915929807999</c:v>
                </c:pt>
                <c:pt idx="160">
                  <c:v>813.21576589291999</c:v>
                </c:pt>
                <c:pt idx="161">
                  <c:v>826.41217888592996</c:v>
                </c:pt>
                <c:pt idx="162">
                  <c:v>811.15215320590005</c:v>
                </c:pt>
                <c:pt idx="163">
                  <c:v>812.04572773715995</c:v>
                </c:pt>
                <c:pt idx="164">
                  <c:v>822.36474187937995</c:v>
                </c:pt>
                <c:pt idx="165">
                  <c:v>817.20148069900995</c:v>
                </c:pt>
                <c:pt idx="166">
                  <c:v>811.79015234990004</c:v>
                </c:pt>
                <c:pt idx="167">
                  <c:v>821.45374622548002</c:v>
                </c:pt>
                <c:pt idx="168">
                  <c:v>827.52778882715006</c:v>
                </c:pt>
                <c:pt idx="169">
                  <c:v>829.31532985654007</c:v>
                </c:pt>
                <c:pt idx="170">
                  <c:v>848.27992523012995</c:v>
                </c:pt>
                <c:pt idx="171">
                  <c:v>832.16013575900001</c:v>
                </c:pt>
                <c:pt idx="172">
                  <c:v>835.42995078307001</c:v>
                </c:pt>
                <c:pt idx="173">
                  <c:v>818.64010672429004</c:v>
                </c:pt>
                <c:pt idx="174">
                  <c:v>824.47286295794004</c:v>
                </c:pt>
                <c:pt idx="175">
                  <c:v>851.71709633653995</c:v>
                </c:pt>
                <c:pt idx="176">
                  <c:v>807.00610583445996</c:v>
                </c:pt>
                <c:pt idx="177">
                  <c:v>837.59331282861001</c:v>
                </c:pt>
                <c:pt idx="178">
                  <c:v>865.55529701981004</c:v>
                </c:pt>
                <c:pt idx="179">
                  <c:v>861.17488683704994</c:v>
                </c:pt>
                <c:pt idx="180">
                  <c:v>861.75251697906992</c:v>
                </c:pt>
                <c:pt idx="181">
                  <c:v>854.49007089460008</c:v>
                </c:pt>
                <c:pt idx="182">
                  <c:v>827.76317047431007</c:v>
                </c:pt>
                <c:pt idx="183">
                  <c:v>822.93844708461006</c:v>
                </c:pt>
                <c:pt idx="184">
                  <c:v>812.62733726047998</c:v>
                </c:pt>
                <c:pt idx="185">
                  <c:v>820.03159737160001</c:v>
                </c:pt>
                <c:pt idx="186">
                  <c:v>824.10530404150006</c:v>
                </c:pt>
                <c:pt idx="187">
                  <c:v>822.98086893691993</c:v>
                </c:pt>
                <c:pt idx="188">
                  <c:v>807.83393545942999</c:v>
                </c:pt>
                <c:pt idx="189">
                  <c:v>803.54191808879</c:v>
                </c:pt>
                <c:pt idx="190">
                  <c:v>800.71667898496992</c:v>
                </c:pt>
                <c:pt idx="191">
                  <c:v>792.38246774259005</c:v>
                </c:pt>
                <c:pt idx="192">
                  <c:v>800.6935031053099</c:v>
                </c:pt>
                <c:pt idx="193">
                  <c:v>801.57815688740004</c:v>
                </c:pt>
                <c:pt idx="194">
                  <c:v>797.75218512022002</c:v>
                </c:pt>
                <c:pt idx="195">
                  <c:v>800.40202626924997</c:v>
                </c:pt>
                <c:pt idx="196">
                  <c:v>794.54345511908002</c:v>
                </c:pt>
                <c:pt idx="197">
                  <c:v>793.77785499700008</c:v>
                </c:pt>
                <c:pt idx="198">
                  <c:v>784.84127955933991</c:v>
                </c:pt>
                <c:pt idx="199">
                  <c:v>786.51367883420994</c:v>
                </c:pt>
                <c:pt idx="200">
                  <c:v>787.96639217069992</c:v>
                </c:pt>
                <c:pt idx="201">
                  <c:v>788.02787338252995</c:v>
                </c:pt>
                <c:pt idx="202">
                  <c:v>793.09651667751996</c:v>
                </c:pt>
                <c:pt idx="203">
                  <c:v>785.80690964983</c:v>
                </c:pt>
                <c:pt idx="204">
                  <c:v>785.83981790971995</c:v>
                </c:pt>
                <c:pt idx="205">
                  <c:v>779.89690773773009</c:v>
                </c:pt>
                <c:pt idx="206">
                  <c:v>779.29987626538002</c:v>
                </c:pt>
                <c:pt idx="207">
                  <c:v>780.46337234742998</c:v>
                </c:pt>
                <c:pt idx="208">
                  <c:v>778.13736656701997</c:v>
                </c:pt>
                <c:pt idx="209">
                  <c:v>773.70998849065006</c:v>
                </c:pt>
                <c:pt idx="210">
                  <c:v>767.64280132964006</c:v>
                </c:pt>
                <c:pt idx="211">
                  <c:v>766.73137821608998</c:v>
                </c:pt>
                <c:pt idx="212">
                  <c:v>766.60688243924005</c:v>
                </c:pt>
                <c:pt idx="213">
                  <c:v>762.48732133861006</c:v>
                </c:pt>
                <c:pt idx="214">
                  <c:v>758.19564042316006</c:v>
                </c:pt>
                <c:pt idx="215">
                  <c:v>795.56161639734</c:v>
                </c:pt>
                <c:pt idx="216">
                  <c:v>805.24164512092</c:v>
                </c:pt>
                <c:pt idx="217">
                  <c:v>830.37934616688995</c:v>
                </c:pt>
                <c:pt idx="218">
                  <c:v>840.97593707598003</c:v>
                </c:pt>
                <c:pt idx="219">
                  <c:v>839.23681493722006</c:v>
                </c:pt>
                <c:pt idx="220">
                  <c:v>848.18457336590006</c:v>
                </c:pt>
                <c:pt idx="221">
                  <c:v>827.85301659930997</c:v>
                </c:pt>
                <c:pt idx="222">
                  <c:v>813.73285775912996</c:v>
                </c:pt>
                <c:pt idx="223">
                  <c:v>812.28291749011998</c:v>
                </c:pt>
                <c:pt idx="224">
                  <c:v>810.47929417881005</c:v>
                </c:pt>
                <c:pt idx="225">
                  <c:v>808.07495317385997</c:v>
                </c:pt>
                <c:pt idx="226">
                  <c:v>806.33109772285002</c:v>
                </c:pt>
                <c:pt idx="227">
                  <c:v>802.78631883812</c:v>
                </c:pt>
                <c:pt idx="228">
                  <c:v>794.30130689192993</c:v>
                </c:pt>
                <c:pt idx="229">
                  <c:v>809.60099791310006</c:v>
                </c:pt>
                <c:pt idx="230">
                  <c:v>823.76118204677994</c:v>
                </c:pt>
                <c:pt idx="231">
                  <c:v>818.17782136746996</c:v>
                </c:pt>
                <c:pt idx="232">
                  <c:v>790.66708493747001</c:v>
                </c:pt>
                <c:pt idx="233">
                  <c:v>791.40787286774002</c:v>
                </c:pt>
                <c:pt idx="234">
                  <c:v>785.10389295208995</c:v>
                </c:pt>
                <c:pt idx="235">
                  <c:v>782.93246443319003</c:v>
                </c:pt>
                <c:pt idx="236">
                  <c:v>779.16762271421999</c:v>
                </c:pt>
                <c:pt idx="237">
                  <c:v>771.79033325610999</c:v>
                </c:pt>
                <c:pt idx="238">
                  <c:v>774.12236765176999</c:v>
                </c:pt>
                <c:pt idx="239">
                  <c:v>770.98825624280994</c:v>
                </c:pt>
                <c:pt idx="240">
                  <c:v>769.50502108820001</c:v>
                </c:pt>
                <c:pt idx="241">
                  <c:v>769.24350990796006</c:v>
                </c:pt>
                <c:pt idx="242">
                  <c:v>749.05728359494992</c:v>
                </c:pt>
                <c:pt idx="243">
                  <c:v>748.51838594312994</c:v>
                </c:pt>
                <c:pt idx="244">
                  <c:v>747.60484507358001</c:v>
                </c:pt>
                <c:pt idx="245">
                  <c:v>750.32835315635998</c:v>
                </c:pt>
                <c:pt idx="246">
                  <c:v>746.96812591807998</c:v>
                </c:pt>
                <c:pt idx="247">
                  <c:v>744.87006510501999</c:v>
                </c:pt>
                <c:pt idx="248">
                  <c:v>746.16802872446999</c:v>
                </c:pt>
                <c:pt idx="249">
                  <c:v>757.07977316592996</c:v>
                </c:pt>
                <c:pt idx="250">
                  <c:v>746.20711745634992</c:v>
                </c:pt>
                <c:pt idx="251">
                  <c:v>749.37646077483998</c:v>
                </c:pt>
                <c:pt idx="252">
                  <c:v>746.96575762781993</c:v>
                </c:pt>
                <c:pt idx="253">
                  <c:v>747.44577001127004</c:v>
                </c:pt>
                <c:pt idx="254">
                  <c:v>742.84111785505002</c:v>
                </c:pt>
                <c:pt idx="255">
                  <c:v>743.81205898861003</c:v>
                </c:pt>
                <c:pt idx="256">
                  <c:v>743.65140430058</c:v>
                </c:pt>
                <c:pt idx="257">
                  <c:v>741.64958352816006</c:v>
                </c:pt>
                <c:pt idx="258">
                  <c:v>746.69891111929996</c:v>
                </c:pt>
                <c:pt idx="259">
                  <c:v>748.79167451349997</c:v>
                </c:pt>
                <c:pt idx="260">
                  <c:v>744.44017402983002</c:v>
                </c:pt>
                <c:pt idx="261">
                  <c:v>725.77153302239992</c:v>
                </c:pt>
                <c:pt idx="262">
                  <c:v>732.63413130690992</c:v>
                </c:pt>
                <c:pt idx="263">
                  <c:v>729.57643569559991</c:v>
                </c:pt>
                <c:pt idx="264">
                  <c:v>749.95475536700997</c:v>
                </c:pt>
                <c:pt idx="265">
                  <c:v>753.85305438707996</c:v>
                </c:pt>
                <c:pt idx="266">
                  <c:v>752.91847542003006</c:v>
                </c:pt>
                <c:pt idx="267">
                  <c:v>742.39484855528008</c:v>
                </c:pt>
                <c:pt idx="268">
                  <c:v>739.0347039958699</c:v>
                </c:pt>
                <c:pt idx="269">
                  <c:v>743.22474918446005</c:v>
                </c:pt>
                <c:pt idx="270">
                  <c:v>743.55495985940991</c:v>
                </c:pt>
                <c:pt idx="271">
                  <c:v>751.11277076181</c:v>
                </c:pt>
                <c:pt idx="272">
                  <c:v>766.36283024466002</c:v>
                </c:pt>
                <c:pt idx="273">
                  <c:v>775.93705014656996</c:v>
                </c:pt>
                <c:pt idx="274">
                  <c:v>766.07421301199997</c:v>
                </c:pt>
                <c:pt idx="275">
                  <c:v>762.81526968468995</c:v>
                </c:pt>
                <c:pt idx="276">
                  <c:v>762.39046795321997</c:v>
                </c:pt>
                <c:pt idx="277">
                  <c:v>761.33812533931996</c:v>
                </c:pt>
                <c:pt idx="278">
                  <c:v>772.98885994108002</c:v>
                </c:pt>
                <c:pt idx="279">
                  <c:v>760.63184753281996</c:v>
                </c:pt>
                <c:pt idx="280">
                  <c:v>754.58659417260992</c:v>
                </c:pt>
                <c:pt idx="281">
                  <c:v>758.33639413567994</c:v>
                </c:pt>
                <c:pt idx="282">
                  <c:v>760.57457817699992</c:v>
                </c:pt>
                <c:pt idx="283">
                  <c:v>766.94303288138008</c:v>
                </c:pt>
                <c:pt idx="284">
                  <c:v>775.41676626408002</c:v>
                </c:pt>
                <c:pt idx="285">
                  <c:v>780.12668240015</c:v>
                </c:pt>
                <c:pt idx="286">
                  <c:v>784.37124052292995</c:v>
                </c:pt>
                <c:pt idx="287">
                  <c:v>786.71882156889001</c:v>
                </c:pt>
                <c:pt idx="288">
                  <c:v>784.13910811547998</c:v>
                </c:pt>
                <c:pt idx="289">
                  <c:v>794.40604051816001</c:v>
                </c:pt>
                <c:pt idx="290">
                  <c:v>790.40317477669998</c:v>
                </c:pt>
                <c:pt idx="291">
                  <c:v>791.29648917963004</c:v>
                </c:pt>
                <c:pt idx="292">
                  <c:v>800.99174864889005</c:v>
                </c:pt>
                <c:pt idx="293">
                  <c:v>803.94263326684995</c:v>
                </c:pt>
                <c:pt idx="294">
                  <c:v>796.46191673502994</c:v>
                </c:pt>
                <c:pt idx="295">
                  <c:v>793.48701574298002</c:v>
                </c:pt>
                <c:pt idx="296">
                  <c:v>794.03218412767001</c:v>
                </c:pt>
                <c:pt idx="297">
                  <c:v>772.02060199927996</c:v>
                </c:pt>
                <c:pt idx="298">
                  <c:v>776.57935554139999</c:v>
                </c:pt>
                <c:pt idx="299">
                  <c:v>764.02909663187006</c:v>
                </c:pt>
                <c:pt idx="300">
                  <c:v>758.95938489370997</c:v>
                </c:pt>
                <c:pt idx="301">
                  <c:v>761.17429365232999</c:v>
                </c:pt>
                <c:pt idx="302">
                  <c:v>757.67892541004994</c:v>
                </c:pt>
                <c:pt idx="303">
                  <c:v>763.18310857586005</c:v>
                </c:pt>
                <c:pt idx="304">
                  <c:v>781.23538984114998</c:v>
                </c:pt>
                <c:pt idx="305">
                  <c:v>776.71687204054001</c:v>
                </c:pt>
                <c:pt idx="306">
                  <c:v>782.16616823120012</c:v>
                </c:pt>
                <c:pt idx="307">
                  <c:v>775.66540119439003</c:v>
                </c:pt>
                <c:pt idx="308">
                  <c:v>765.60044674586004</c:v>
                </c:pt>
                <c:pt idx="309">
                  <c:v>771.43710944350005</c:v>
                </c:pt>
                <c:pt idx="310">
                  <c:v>774.22805453254</c:v>
                </c:pt>
                <c:pt idx="311">
                  <c:v>782.16619130691993</c:v>
                </c:pt>
                <c:pt idx="312">
                  <c:v>770.32396090050997</c:v>
                </c:pt>
                <c:pt idx="313">
                  <c:v>768.47140088056995</c:v>
                </c:pt>
                <c:pt idx="314">
                  <c:v>776.20428192986992</c:v>
                </c:pt>
                <c:pt idx="315">
                  <c:v>773.61294916881002</c:v>
                </c:pt>
                <c:pt idx="316">
                  <c:v>774.21199568022996</c:v>
                </c:pt>
                <c:pt idx="317">
                  <c:v>764.51664312944001</c:v>
                </c:pt>
                <c:pt idx="318">
                  <c:v>768.32124996539005</c:v>
                </c:pt>
                <c:pt idx="319">
                  <c:v>772.07675444669007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'240823B007'!$A$2:$A$321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'240823B007'!$P$2:$P$321</c:f>
              <c:numCache>
                <c:formatCode>General</c:formatCode>
                <c:ptCount val="320"/>
                <c:pt idx="0">
                  <c:v>-3.6477692151864098</c:v>
                </c:pt>
                <c:pt idx="1">
                  <c:v>-2.8263910416468785</c:v>
                </c:pt>
                <c:pt idx="2">
                  <c:v>-3.0211115192994757</c:v>
                </c:pt>
                <c:pt idx="3">
                  <c:v>-4.7583977684247731</c:v>
                </c:pt>
                <c:pt idx="4">
                  <c:v>-4.2973469829502147</c:v>
                </c:pt>
                <c:pt idx="5">
                  <c:v>-4.0085210051490296</c:v>
                </c:pt>
                <c:pt idx="6">
                  <c:v>-1.8969845390231572</c:v>
                </c:pt>
                <c:pt idx="7">
                  <c:v>3.6456177621085994</c:v>
                </c:pt>
                <c:pt idx="8">
                  <c:v>5.7054000963109335</c:v>
                </c:pt>
                <c:pt idx="9">
                  <c:v>-5.0992715752204898</c:v>
                </c:pt>
                <c:pt idx="10">
                  <c:v>-6.483966690392454</c:v>
                </c:pt>
                <c:pt idx="11">
                  <c:v>-7.3599720545890657</c:v>
                </c:pt>
                <c:pt idx="12">
                  <c:v>-6.5292827105812172</c:v>
                </c:pt>
                <c:pt idx="13">
                  <c:v>-6.6155347684789145</c:v>
                </c:pt>
                <c:pt idx="14">
                  <c:v>-5.4512136793946429</c:v>
                </c:pt>
                <c:pt idx="15">
                  <c:v>-5.3777497869049515</c:v>
                </c:pt>
                <c:pt idx="16">
                  <c:v>-5.7404229303771226</c:v>
                </c:pt>
                <c:pt idx="17">
                  <c:v>-6.2846771341867775</c:v>
                </c:pt>
                <c:pt idx="18">
                  <c:v>-5.8854993120982728</c:v>
                </c:pt>
                <c:pt idx="19">
                  <c:v>-5.4031848183047479</c:v>
                </c:pt>
                <c:pt idx="20">
                  <c:v>-6.0148446011049987</c:v>
                </c:pt>
                <c:pt idx="21">
                  <c:v>-5.358061335904801</c:v>
                </c:pt>
                <c:pt idx="22">
                  <c:v>-5.6820940800151432</c:v>
                </c:pt>
                <c:pt idx="23">
                  <c:v>-5.9305941385569074</c:v>
                </c:pt>
                <c:pt idx="24">
                  <c:v>-6.1492651969682619</c:v>
                </c:pt>
                <c:pt idx="25">
                  <c:v>-6.1594892665307137</c:v>
                </c:pt>
                <c:pt idx="26">
                  <c:v>-5.7749024832663496</c:v>
                </c:pt>
                <c:pt idx="27">
                  <c:v>-6.1104404116164481</c:v>
                </c:pt>
                <c:pt idx="28">
                  <c:v>-5.7081042329808467</c:v>
                </c:pt>
                <c:pt idx="29">
                  <c:v>-5.062384268834812</c:v>
                </c:pt>
                <c:pt idx="30">
                  <c:v>-5.2842532886755116</c:v>
                </c:pt>
                <c:pt idx="31">
                  <c:v>-5.5604726341545376</c:v>
                </c:pt>
                <c:pt idx="32">
                  <c:v>-5.6248407317362208</c:v>
                </c:pt>
                <c:pt idx="33">
                  <c:v>-4.9442044093556836</c:v>
                </c:pt>
                <c:pt idx="34">
                  <c:v>-5.3882673896449047</c:v>
                </c:pt>
                <c:pt idx="35">
                  <c:v>-5.0697267256917131</c:v>
                </c:pt>
                <c:pt idx="36">
                  <c:v>-5.9590808637736714</c:v>
                </c:pt>
                <c:pt idx="37">
                  <c:v>-5.2047568639624622</c:v>
                </c:pt>
                <c:pt idx="38">
                  <c:v>-4.9316296061110458</c:v>
                </c:pt>
                <c:pt idx="39">
                  <c:v>-4.438873081657575</c:v>
                </c:pt>
                <c:pt idx="40">
                  <c:v>-4.7357080327295664</c:v>
                </c:pt>
                <c:pt idx="41">
                  <c:v>-3.9926671990810689</c:v>
                </c:pt>
                <c:pt idx="42">
                  <c:v>-3.5818778526905217</c:v>
                </c:pt>
                <c:pt idx="43">
                  <c:v>-3.740232227772855</c:v>
                </c:pt>
                <c:pt idx="44">
                  <c:v>-3.8542723042783873</c:v>
                </c:pt>
                <c:pt idx="45">
                  <c:v>-3.7991377076905848</c:v>
                </c:pt>
                <c:pt idx="46">
                  <c:v>-3.8398831901778263</c:v>
                </c:pt>
                <c:pt idx="47">
                  <c:v>-3.3712728273733465</c:v>
                </c:pt>
                <c:pt idx="48">
                  <c:v>-3.5724290771933784</c:v>
                </c:pt>
                <c:pt idx="49">
                  <c:v>-3.8677242610899483</c:v>
                </c:pt>
                <c:pt idx="50">
                  <c:v>-3.5848340835110695</c:v>
                </c:pt>
                <c:pt idx="51">
                  <c:v>-3.7368911224920658</c:v>
                </c:pt>
                <c:pt idx="52">
                  <c:v>-3.3950130122883366</c:v>
                </c:pt>
                <c:pt idx="53">
                  <c:v>-2.7205683998875339</c:v>
                </c:pt>
                <c:pt idx="54">
                  <c:v>-2.8126544036299257</c:v>
                </c:pt>
                <c:pt idx="55">
                  <c:v>-1.7703610949523927</c:v>
                </c:pt>
                <c:pt idx="56">
                  <c:v>-3.2886551713020613</c:v>
                </c:pt>
                <c:pt idx="57">
                  <c:v>-1.8043349755032059</c:v>
                </c:pt>
                <c:pt idx="58">
                  <c:v>-1.9080606761144541</c:v>
                </c:pt>
                <c:pt idx="59">
                  <c:v>-1.3068647245871032</c:v>
                </c:pt>
                <c:pt idx="60">
                  <c:v>-1.7215935631567525</c:v>
                </c:pt>
                <c:pt idx="61">
                  <c:v>-1.7738970474007238</c:v>
                </c:pt>
                <c:pt idx="62">
                  <c:v>-1.5014634716217521</c:v>
                </c:pt>
                <c:pt idx="63">
                  <c:v>-1.3515237316069226</c:v>
                </c:pt>
                <c:pt idx="64">
                  <c:v>-1.2136691285098951</c:v>
                </c:pt>
                <c:pt idx="65">
                  <c:v>-1.4336213233963195</c:v>
                </c:pt>
                <c:pt idx="66">
                  <c:v>-1.1109079896775635</c:v>
                </c:pt>
                <c:pt idx="67">
                  <c:v>-0.85958695886089909</c:v>
                </c:pt>
                <c:pt idx="68">
                  <c:v>-0.68635575122301029</c:v>
                </c:pt>
                <c:pt idx="69">
                  <c:v>-1.4804913028285271</c:v>
                </c:pt>
                <c:pt idx="70">
                  <c:v>-0.74927616652574924</c:v>
                </c:pt>
                <c:pt idx="71">
                  <c:v>-1.1763268070610062</c:v>
                </c:pt>
                <c:pt idx="72">
                  <c:v>-8.3074446229905924E-2</c:v>
                </c:pt>
                <c:pt idx="73">
                  <c:v>0.64324027202182865</c:v>
                </c:pt>
                <c:pt idx="74">
                  <c:v>1.702566512317234</c:v>
                </c:pt>
                <c:pt idx="75">
                  <c:v>1.1370069345888683</c:v>
                </c:pt>
                <c:pt idx="76">
                  <c:v>2.3042212986522457</c:v>
                </c:pt>
                <c:pt idx="77">
                  <c:v>2.7719614552620686</c:v>
                </c:pt>
                <c:pt idx="78">
                  <c:v>2.2930682479044719</c:v>
                </c:pt>
                <c:pt idx="79">
                  <c:v>4.2897229673524588</c:v>
                </c:pt>
                <c:pt idx="80">
                  <c:v>5.4034844872566632</c:v>
                </c:pt>
                <c:pt idx="81">
                  <c:v>5.4809491864410438</c:v>
                </c:pt>
                <c:pt idx="82">
                  <c:v>5.2972191477882973</c:v>
                </c:pt>
                <c:pt idx="83">
                  <c:v>4.7708259471539591</c:v>
                </c:pt>
                <c:pt idx="84">
                  <c:v>4.6314460245781648</c:v>
                </c:pt>
                <c:pt idx="85">
                  <c:v>5.1470897023130124</c:v>
                </c:pt>
                <c:pt idx="86">
                  <c:v>4.7145749314934431</c:v>
                </c:pt>
                <c:pt idx="87">
                  <c:v>7.0419185446707528</c:v>
                </c:pt>
                <c:pt idx="88">
                  <c:v>7.0790327492838978</c:v>
                </c:pt>
                <c:pt idx="89">
                  <c:v>7.2740173780457038</c:v>
                </c:pt>
                <c:pt idx="90">
                  <c:v>7.844148670498452</c:v>
                </c:pt>
                <c:pt idx="91">
                  <c:v>7.5389385378588223</c:v>
                </c:pt>
                <c:pt idx="92">
                  <c:v>8.4671645439366969</c:v>
                </c:pt>
                <c:pt idx="93">
                  <c:v>7.7406715024533046</c:v>
                </c:pt>
                <c:pt idx="94">
                  <c:v>8.5690867822979548</c:v>
                </c:pt>
                <c:pt idx="95">
                  <c:v>9.5137959029782557</c:v>
                </c:pt>
                <c:pt idx="96">
                  <c:v>8.3902597791119131</c:v>
                </c:pt>
                <c:pt idx="97">
                  <c:v>8.9565019098381295</c:v>
                </c:pt>
                <c:pt idx="98">
                  <c:v>8.8062322928905772</c:v>
                </c:pt>
                <c:pt idx="99">
                  <c:v>9.5996403432358584</c:v>
                </c:pt>
                <c:pt idx="100">
                  <c:v>11.656926562657844</c:v>
                </c:pt>
                <c:pt idx="101">
                  <c:v>12.616908335857172</c:v>
                </c:pt>
                <c:pt idx="102">
                  <c:v>13.197936427731035</c:v>
                </c:pt>
                <c:pt idx="103">
                  <c:v>12.549165241742017</c:v>
                </c:pt>
                <c:pt idx="104">
                  <c:v>8.6261179534316934</c:v>
                </c:pt>
                <c:pt idx="105">
                  <c:v>10.23736753913199</c:v>
                </c:pt>
                <c:pt idx="106">
                  <c:v>10.039396714760198</c:v>
                </c:pt>
                <c:pt idx="107">
                  <c:v>9.6787644572146867</c:v>
                </c:pt>
                <c:pt idx="108">
                  <c:v>9.9262393730389462</c:v>
                </c:pt>
                <c:pt idx="109">
                  <c:v>9.6786434793362144</c:v>
                </c:pt>
                <c:pt idx="110">
                  <c:v>9.23929983363481</c:v>
                </c:pt>
                <c:pt idx="111">
                  <c:v>8.9540728531274727</c:v>
                </c:pt>
                <c:pt idx="112">
                  <c:v>8.3740307760372517</c:v>
                </c:pt>
                <c:pt idx="113">
                  <c:v>8.7528099160385775</c:v>
                </c:pt>
                <c:pt idx="114">
                  <c:v>8.3367841438701813</c:v>
                </c:pt>
                <c:pt idx="115">
                  <c:v>7.8464263242937733</c:v>
                </c:pt>
                <c:pt idx="116">
                  <c:v>7.981345130556468</c:v>
                </c:pt>
                <c:pt idx="117">
                  <c:v>10.184786540728926</c:v>
                </c:pt>
                <c:pt idx="118">
                  <c:v>10.394568128433001</c:v>
                </c:pt>
                <c:pt idx="119">
                  <c:v>10.722225089492577</c:v>
                </c:pt>
                <c:pt idx="120">
                  <c:v>11.131105772578557</c:v>
                </c:pt>
                <c:pt idx="121">
                  <c:v>10.060622065980324</c:v>
                </c:pt>
                <c:pt idx="122">
                  <c:v>10.655823516751003</c:v>
                </c:pt>
                <c:pt idx="123">
                  <c:v>10.970701585401507</c:v>
                </c:pt>
                <c:pt idx="124">
                  <c:v>9.3083842755157189</c:v>
                </c:pt>
                <c:pt idx="125">
                  <c:v>5.7153739216620636</c:v>
                </c:pt>
                <c:pt idx="126">
                  <c:v>-0.11437921781961596</c:v>
                </c:pt>
                <c:pt idx="127">
                  <c:v>-0.19540008269678127</c:v>
                </c:pt>
                <c:pt idx="128">
                  <c:v>-1.4398020076252298</c:v>
                </c:pt>
                <c:pt idx="129">
                  <c:v>-1.5414189467819597</c:v>
                </c:pt>
                <c:pt idx="130">
                  <c:v>-1.1941892991980498</c:v>
                </c:pt>
                <c:pt idx="131">
                  <c:v>-1.6675885560680035</c:v>
                </c:pt>
                <c:pt idx="132">
                  <c:v>-0.64022918670145568</c:v>
                </c:pt>
                <c:pt idx="133">
                  <c:v>-1.51531848389612</c:v>
                </c:pt>
                <c:pt idx="134">
                  <c:v>-0.92616229831048169</c:v>
                </c:pt>
                <c:pt idx="135">
                  <c:v>-0.39674027003281714</c:v>
                </c:pt>
                <c:pt idx="136">
                  <c:v>-0.63066017027527299</c:v>
                </c:pt>
                <c:pt idx="137">
                  <c:v>-0.93514490486165602</c:v>
                </c:pt>
                <c:pt idx="138">
                  <c:v>-0.68377517029192592</c:v>
                </c:pt>
                <c:pt idx="139">
                  <c:v>-0.19878364144485303</c:v>
                </c:pt>
                <c:pt idx="140">
                  <c:v>-0.51635723673645939</c:v>
                </c:pt>
                <c:pt idx="141">
                  <c:v>-0.16969952243442482</c:v>
                </c:pt>
                <c:pt idx="142">
                  <c:v>0.33577978367789391</c:v>
                </c:pt>
                <c:pt idx="143">
                  <c:v>-0.29798662200866954</c:v>
                </c:pt>
                <c:pt idx="144">
                  <c:v>0.21180104847785983</c:v>
                </c:pt>
                <c:pt idx="145">
                  <c:v>0.76288500667555936</c:v>
                </c:pt>
                <c:pt idx="146">
                  <c:v>0.30915659585850691</c:v>
                </c:pt>
                <c:pt idx="147">
                  <c:v>1.2530378954129644</c:v>
                </c:pt>
                <c:pt idx="148">
                  <c:v>1.2292116345783481</c:v>
                </c:pt>
                <c:pt idx="149">
                  <c:v>1.0771788725535438</c:v>
                </c:pt>
                <c:pt idx="150">
                  <c:v>1.5243051179596012</c:v>
                </c:pt>
                <c:pt idx="151">
                  <c:v>1.1973758713510065</c:v>
                </c:pt>
                <c:pt idx="152">
                  <c:v>0.7837960258924217</c:v>
                </c:pt>
                <c:pt idx="153">
                  <c:v>1.5922768579716011</c:v>
                </c:pt>
                <c:pt idx="154">
                  <c:v>1.1115663985132986</c:v>
                </c:pt>
                <c:pt idx="155">
                  <c:v>1.7238077377593735</c:v>
                </c:pt>
                <c:pt idx="156">
                  <c:v>2.3296496484469902</c:v>
                </c:pt>
                <c:pt idx="157">
                  <c:v>3.6314471031115425</c:v>
                </c:pt>
                <c:pt idx="158">
                  <c:v>3.7414408312797631</c:v>
                </c:pt>
                <c:pt idx="159">
                  <c:v>3.035806309061253</c:v>
                </c:pt>
                <c:pt idx="160">
                  <c:v>3.5242819908960707</c:v>
                </c:pt>
                <c:pt idx="161">
                  <c:v>4.6005578663496269</c:v>
                </c:pt>
                <c:pt idx="162">
                  <c:v>3.6519498695777197</c:v>
                </c:pt>
                <c:pt idx="163">
                  <c:v>3.6027688723584217</c:v>
                </c:pt>
                <c:pt idx="164">
                  <c:v>4.5637158750930524</c:v>
                </c:pt>
                <c:pt idx="165">
                  <c:v>4.786541531783822</c:v>
                </c:pt>
                <c:pt idx="166">
                  <c:v>5.0621837602789359</c:v>
                </c:pt>
                <c:pt idx="167">
                  <c:v>4.2519557491917599</c:v>
                </c:pt>
                <c:pt idx="168">
                  <c:v>4.0740208105596425</c:v>
                </c:pt>
                <c:pt idx="169">
                  <c:v>4.394472859890703</c:v>
                </c:pt>
                <c:pt idx="170">
                  <c:v>5.3957246289459002</c:v>
                </c:pt>
                <c:pt idx="171">
                  <c:v>3.3229013371890783</c:v>
                </c:pt>
                <c:pt idx="172">
                  <c:v>3.7642335543496359</c:v>
                </c:pt>
                <c:pt idx="173">
                  <c:v>2.9615535917188902</c:v>
                </c:pt>
                <c:pt idx="174">
                  <c:v>3.5516458769695558</c:v>
                </c:pt>
                <c:pt idx="175">
                  <c:v>5.5750699159819828</c:v>
                </c:pt>
                <c:pt idx="176">
                  <c:v>8.8716134741613679</c:v>
                </c:pt>
                <c:pt idx="177">
                  <c:v>5.0919604282452928</c:v>
                </c:pt>
                <c:pt idx="178">
                  <c:v>6.6153894296389932</c:v>
                </c:pt>
                <c:pt idx="179">
                  <c:v>5.6696810311690795</c:v>
                </c:pt>
                <c:pt idx="180">
                  <c:v>5.3472768034891383</c:v>
                </c:pt>
                <c:pt idx="181">
                  <c:v>5.5879908202432915</c:v>
                </c:pt>
                <c:pt idx="182">
                  <c:v>4.6400531835892496</c:v>
                </c:pt>
                <c:pt idx="183">
                  <c:v>4.7088041288762978</c:v>
                </c:pt>
                <c:pt idx="184">
                  <c:v>4.094422567660212</c:v>
                </c:pt>
                <c:pt idx="185">
                  <c:v>4.4397155463594427</c:v>
                </c:pt>
                <c:pt idx="186">
                  <c:v>3.8890332132869077</c:v>
                </c:pt>
                <c:pt idx="187">
                  <c:v>4.7465039219346963</c:v>
                </c:pt>
                <c:pt idx="188">
                  <c:v>3.7969396037893635</c:v>
                </c:pt>
                <c:pt idx="189">
                  <c:v>3.7562261102215015</c:v>
                </c:pt>
                <c:pt idx="190">
                  <c:v>3.8878200105749627</c:v>
                </c:pt>
                <c:pt idx="191">
                  <c:v>3.8398890620849273</c:v>
                </c:pt>
                <c:pt idx="192">
                  <c:v>4.1462321581523742</c:v>
                </c:pt>
                <c:pt idx="193">
                  <c:v>4.7444867696103845</c:v>
                </c:pt>
                <c:pt idx="194">
                  <c:v>4.8871695321508</c:v>
                </c:pt>
                <c:pt idx="195">
                  <c:v>4.3771793682900375</c:v>
                </c:pt>
                <c:pt idx="196">
                  <c:v>4.7859066606392062</c:v>
                </c:pt>
                <c:pt idx="197">
                  <c:v>4.9287448964932459</c:v>
                </c:pt>
                <c:pt idx="198">
                  <c:v>3.8745139616778221</c:v>
                </c:pt>
                <c:pt idx="199">
                  <c:v>4.9998488716067753</c:v>
                </c:pt>
                <c:pt idx="200">
                  <c:v>5.8151546127118978</c:v>
                </c:pt>
                <c:pt idx="201">
                  <c:v>5.4619369989503248</c:v>
                </c:pt>
                <c:pt idx="202">
                  <c:v>4.9712272585612416</c:v>
                </c:pt>
                <c:pt idx="203">
                  <c:v>5.402582112128548</c:v>
                </c:pt>
                <c:pt idx="204">
                  <c:v>4.5273767314980118</c:v>
                </c:pt>
                <c:pt idx="205">
                  <c:v>5.0423123027357057</c:v>
                </c:pt>
                <c:pt idx="206">
                  <c:v>5.2923115778163146</c:v>
                </c:pt>
                <c:pt idx="207">
                  <c:v>5.0523233577641387</c:v>
                </c:pt>
                <c:pt idx="208">
                  <c:v>5.4096414379173305</c:v>
                </c:pt>
                <c:pt idx="209">
                  <c:v>5.0100897241685045</c:v>
                </c:pt>
                <c:pt idx="210">
                  <c:v>4.617471096864123</c:v>
                </c:pt>
                <c:pt idx="211">
                  <c:v>5.7712840975173281</c:v>
                </c:pt>
                <c:pt idx="212">
                  <c:v>5.7141307829354702</c:v>
                </c:pt>
                <c:pt idx="213">
                  <c:v>5.679356240626408</c:v>
                </c:pt>
                <c:pt idx="214">
                  <c:v>5.2158524161802111</c:v>
                </c:pt>
                <c:pt idx="215">
                  <c:v>4.8406094698129714</c:v>
                </c:pt>
                <c:pt idx="216">
                  <c:v>3.6543232037317996</c:v>
                </c:pt>
                <c:pt idx="217">
                  <c:v>5.4437403330197975</c:v>
                </c:pt>
                <c:pt idx="218">
                  <c:v>6.4072483131683597</c:v>
                </c:pt>
                <c:pt idx="219">
                  <c:v>8.1141808995481242</c:v>
                </c:pt>
                <c:pt idx="220">
                  <c:v>10.011036052522153</c:v>
                </c:pt>
                <c:pt idx="221">
                  <c:v>6.5642714364828265</c:v>
                </c:pt>
                <c:pt idx="222">
                  <c:v>5.6903583853690289</c:v>
                </c:pt>
                <c:pt idx="223">
                  <c:v>4.9447621084845839</c:v>
                </c:pt>
                <c:pt idx="224">
                  <c:v>4.7711810091030555</c:v>
                </c:pt>
                <c:pt idx="225">
                  <c:v>5.8486989952506274</c:v>
                </c:pt>
                <c:pt idx="226">
                  <c:v>5.9601372315080168</c:v>
                </c:pt>
                <c:pt idx="227">
                  <c:v>7.4205276366071731</c:v>
                </c:pt>
                <c:pt idx="228">
                  <c:v>13.35743152999245</c:v>
                </c:pt>
                <c:pt idx="229">
                  <c:v>16.723258915867316</c:v>
                </c:pt>
                <c:pt idx="230">
                  <c:v>20.263181628820735</c:v>
                </c:pt>
                <c:pt idx="231">
                  <c:v>20.549310188043734</c:v>
                </c:pt>
                <c:pt idx="232">
                  <c:v>18.975416851496245</c:v>
                </c:pt>
                <c:pt idx="233">
                  <c:v>19.294021615190569</c:v>
                </c:pt>
                <c:pt idx="234">
                  <c:v>20.297165090868461</c:v>
                </c:pt>
                <c:pt idx="235">
                  <c:v>21.543036227468111</c:v>
                </c:pt>
                <c:pt idx="236">
                  <c:v>21.432623616744557</c:v>
                </c:pt>
                <c:pt idx="237">
                  <c:v>20.911067277634626</c:v>
                </c:pt>
                <c:pt idx="238">
                  <c:v>19.973068775595564</c:v>
                </c:pt>
                <c:pt idx="239">
                  <c:v>19.302097084119659</c:v>
                </c:pt>
                <c:pt idx="240">
                  <c:v>21.681404232951344</c:v>
                </c:pt>
                <c:pt idx="241">
                  <c:v>21.419146725901591</c:v>
                </c:pt>
                <c:pt idx="242">
                  <c:v>19.5427308072688</c:v>
                </c:pt>
                <c:pt idx="243">
                  <c:v>20.72107694580825</c:v>
                </c:pt>
                <c:pt idx="244">
                  <c:v>19.436248550580785</c:v>
                </c:pt>
                <c:pt idx="245">
                  <c:v>19.97695042053455</c:v>
                </c:pt>
                <c:pt idx="246">
                  <c:v>20.390861111153715</c:v>
                </c:pt>
                <c:pt idx="247">
                  <c:v>20.383897268533691</c:v>
                </c:pt>
                <c:pt idx="248">
                  <c:v>21.292034733208435</c:v>
                </c:pt>
                <c:pt idx="249">
                  <c:v>22.665170130196429</c:v>
                </c:pt>
                <c:pt idx="250">
                  <c:v>21.700134300415478</c:v>
                </c:pt>
                <c:pt idx="251">
                  <c:v>22.470993724216736</c:v>
                </c:pt>
                <c:pt idx="252">
                  <c:v>22.840212845379902</c:v>
                </c:pt>
                <c:pt idx="253">
                  <c:v>23.922095761729107</c:v>
                </c:pt>
                <c:pt idx="254">
                  <c:v>24.633726549206134</c:v>
                </c:pt>
                <c:pt idx="255">
                  <c:v>25.154985070469753</c:v>
                </c:pt>
                <c:pt idx="256">
                  <c:v>24.15380623921072</c:v>
                </c:pt>
                <c:pt idx="257">
                  <c:v>24.833178319604514</c:v>
                </c:pt>
                <c:pt idx="258">
                  <c:v>24.39670059674021</c:v>
                </c:pt>
                <c:pt idx="259">
                  <c:v>24.878756966810382</c:v>
                </c:pt>
                <c:pt idx="260">
                  <c:v>24.208075538079587</c:v>
                </c:pt>
                <c:pt idx="261">
                  <c:v>26.457692896146217</c:v>
                </c:pt>
                <c:pt idx="262">
                  <c:v>26.861041707682396</c:v>
                </c:pt>
                <c:pt idx="263">
                  <c:v>26.430749670750885</c:v>
                </c:pt>
                <c:pt idx="264">
                  <c:v>24.805864408854934</c:v>
                </c:pt>
                <c:pt idx="265">
                  <c:v>25.083315141028006</c:v>
                </c:pt>
                <c:pt idx="266">
                  <c:v>27.208125654063529</c:v>
                </c:pt>
                <c:pt idx="267">
                  <c:v>23.861629796497947</c:v>
                </c:pt>
                <c:pt idx="268">
                  <c:v>24.167969642920387</c:v>
                </c:pt>
                <c:pt idx="269">
                  <c:v>24.053994850792026</c:v>
                </c:pt>
                <c:pt idx="270">
                  <c:v>24.008974901021769</c:v>
                </c:pt>
                <c:pt idx="271">
                  <c:v>25.356230306177014</c:v>
                </c:pt>
                <c:pt idx="272">
                  <c:v>27.539191428070549</c:v>
                </c:pt>
                <c:pt idx="273">
                  <c:v>28.364951655039128</c:v>
                </c:pt>
                <c:pt idx="274">
                  <c:v>28.384218839139645</c:v>
                </c:pt>
                <c:pt idx="275">
                  <c:v>27.779055087162082</c:v>
                </c:pt>
                <c:pt idx="276">
                  <c:v>28.090120946326497</c:v>
                </c:pt>
                <c:pt idx="277">
                  <c:v>29.162857012401329</c:v>
                </c:pt>
                <c:pt idx="278">
                  <c:v>30.43322451245561</c:v>
                </c:pt>
                <c:pt idx="279">
                  <c:v>27.936447762432632</c:v>
                </c:pt>
                <c:pt idx="280">
                  <c:v>28.404211413071113</c:v>
                </c:pt>
                <c:pt idx="281">
                  <c:v>27.791090207699565</c:v>
                </c:pt>
                <c:pt idx="282">
                  <c:v>29.545731154468047</c:v>
                </c:pt>
                <c:pt idx="283">
                  <c:v>29.025684270040912</c:v>
                </c:pt>
                <c:pt idx="284">
                  <c:v>30.26465036481256</c:v>
                </c:pt>
                <c:pt idx="285">
                  <c:v>29.945562534812893</c:v>
                </c:pt>
                <c:pt idx="286">
                  <c:v>30.914444133779543</c:v>
                </c:pt>
                <c:pt idx="287">
                  <c:v>31.335459149907795</c:v>
                </c:pt>
                <c:pt idx="288">
                  <c:v>32.197634595161603</c:v>
                </c:pt>
                <c:pt idx="289">
                  <c:v>33.060592803100299</c:v>
                </c:pt>
                <c:pt idx="290">
                  <c:v>32.683806459731677</c:v>
                </c:pt>
                <c:pt idx="291">
                  <c:v>32.622465223783756</c:v>
                </c:pt>
                <c:pt idx="292">
                  <c:v>32.753473922981577</c:v>
                </c:pt>
                <c:pt idx="293">
                  <c:v>33.587712310414318</c:v>
                </c:pt>
                <c:pt idx="294">
                  <c:v>32.543939630634185</c:v>
                </c:pt>
                <c:pt idx="295">
                  <c:v>33.982617303913102</c:v>
                </c:pt>
                <c:pt idx="296">
                  <c:v>32.910603071432135</c:v>
                </c:pt>
                <c:pt idx="297">
                  <c:v>31.779275746686096</c:v>
                </c:pt>
                <c:pt idx="298">
                  <c:v>32.874795329511961</c:v>
                </c:pt>
                <c:pt idx="299">
                  <c:v>31.508871131518944</c:v>
                </c:pt>
                <c:pt idx="300">
                  <c:v>31.993849502376566</c:v>
                </c:pt>
                <c:pt idx="301">
                  <c:v>30.816205109237327</c:v>
                </c:pt>
                <c:pt idx="302">
                  <c:v>31.312124012562691</c:v>
                </c:pt>
                <c:pt idx="303">
                  <c:v>31.614729605511283</c:v>
                </c:pt>
                <c:pt idx="304">
                  <c:v>33.707008371168342</c:v>
                </c:pt>
                <c:pt idx="305">
                  <c:v>32.73672577052718</c:v>
                </c:pt>
                <c:pt idx="306">
                  <c:v>32.749885643770114</c:v>
                </c:pt>
                <c:pt idx="307">
                  <c:v>33.332355833750768</c:v>
                </c:pt>
                <c:pt idx="308">
                  <c:v>33.867671520111983</c:v>
                </c:pt>
                <c:pt idx="309">
                  <c:v>34.808750689739377</c:v>
                </c:pt>
                <c:pt idx="310">
                  <c:v>34.897404601052159</c:v>
                </c:pt>
                <c:pt idx="311">
                  <c:v>35.771116527635868</c:v>
                </c:pt>
                <c:pt idx="312">
                  <c:v>34.14659455260027</c:v>
                </c:pt>
                <c:pt idx="313">
                  <c:v>33.729263366165597</c:v>
                </c:pt>
                <c:pt idx="314">
                  <c:v>35.226096748956436</c:v>
                </c:pt>
                <c:pt idx="315">
                  <c:v>33.787986595431633</c:v>
                </c:pt>
                <c:pt idx="316">
                  <c:v>34.345414714332087</c:v>
                </c:pt>
                <c:pt idx="317">
                  <c:v>33.966605355019226</c:v>
                </c:pt>
                <c:pt idx="318">
                  <c:v>34.446274357768829</c:v>
                </c:pt>
                <c:pt idx="319">
                  <c:v>34.687916287362576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'240823B010'!$A$2:$A$321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'240823B010'!$J$2:$J$321</c:f>
              <c:numCache>
                <c:formatCode>0.0</c:formatCode>
                <c:ptCount val="320"/>
                <c:pt idx="0">
                  <c:v>184.89919814392999</c:v>
                </c:pt>
                <c:pt idx="1">
                  <c:v>180.46175467636996</c:v>
                </c:pt>
                <c:pt idx="2">
                  <c:v>179.18132891928002</c:v>
                </c:pt>
                <c:pt idx="3">
                  <c:v>178.68380730128001</c:v>
                </c:pt>
                <c:pt idx="4">
                  <c:v>176.6602671949</c:v>
                </c:pt>
                <c:pt idx="5">
                  <c:v>175.17295081226001</c:v>
                </c:pt>
                <c:pt idx="6">
                  <c:v>165.21460617244</c:v>
                </c:pt>
                <c:pt idx="7">
                  <c:v>158.32104318172998</c:v>
                </c:pt>
                <c:pt idx="8">
                  <c:v>169.43829145410999</c:v>
                </c:pt>
                <c:pt idx="9">
                  <c:v>149.19769845146001</c:v>
                </c:pt>
                <c:pt idx="10">
                  <c:v>146.09276746625997</c:v>
                </c:pt>
                <c:pt idx="11">
                  <c:v>169.82528989833</c:v>
                </c:pt>
                <c:pt idx="12">
                  <c:v>195.86068598719001</c:v>
                </c:pt>
                <c:pt idx="13">
                  <c:v>241.39134772172</c:v>
                </c:pt>
                <c:pt idx="14">
                  <c:v>239.00802269228001</c:v>
                </c:pt>
                <c:pt idx="15">
                  <c:v>250.16918291141997</c:v>
                </c:pt>
                <c:pt idx="16">
                  <c:v>236.86832698939997</c:v>
                </c:pt>
                <c:pt idx="17">
                  <c:v>241.99535689716001</c:v>
                </c:pt>
                <c:pt idx="18">
                  <c:v>244.98519264463999</c:v>
                </c:pt>
                <c:pt idx="19">
                  <c:v>245.47678871408002</c:v>
                </c:pt>
                <c:pt idx="20">
                  <c:v>244.12617781704998</c:v>
                </c:pt>
                <c:pt idx="21">
                  <c:v>244.20967911406001</c:v>
                </c:pt>
                <c:pt idx="22">
                  <c:v>242.55799379061003</c:v>
                </c:pt>
                <c:pt idx="23">
                  <c:v>239.4995667215</c:v>
                </c:pt>
                <c:pt idx="24">
                  <c:v>230.18941953109001</c:v>
                </c:pt>
                <c:pt idx="25">
                  <c:v>229.33614616002998</c:v>
                </c:pt>
                <c:pt idx="26">
                  <c:v>224.44510474330002</c:v>
                </c:pt>
                <c:pt idx="27">
                  <c:v>229.03415011396999</c:v>
                </c:pt>
                <c:pt idx="28">
                  <c:v>231.32823398859</c:v>
                </c:pt>
                <c:pt idx="29">
                  <c:v>229.33347676419999</c:v>
                </c:pt>
                <c:pt idx="30">
                  <c:v>232.01838142042001</c:v>
                </c:pt>
                <c:pt idx="31">
                  <c:v>242.36304678172002</c:v>
                </c:pt>
                <c:pt idx="32">
                  <c:v>250.07311882259003</c:v>
                </c:pt>
                <c:pt idx="33">
                  <c:v>243.29749386768</c:v>
                </c:pt>
                <c:pt idx="34">
                  <c:v>245.79003589206999</c:v>
                </c:pt>
                <c:pt idx="35">
                  <c:v>233.03007883551999</c:v>
                </c:pt>
                <c:pt idx="36">
                  <c:v>227.14769438113001</c:v>
                </c:pt>
                <c:pt idx="37">
                  <c:v>221.68025845898003</c:v>
                </c:pt>
                <c:pt idx="38">
                  <c:v>226.80031202653998</c:v>
                </c:pt>
                <c:pt idx="39">
                  <c:v>246.82010825256003</c:v>
                </c:pt>
                <c:pt idx="40">
                  <c:v>260.04410353661001</c:v>
                </c:pt>
                <c:pt idx="41">
                  <c:v>252.95974459636003</c:v>
                </c:pt>
                <c:pt idx="42">
                  <c:v>241.43531761777004</c:v>
                </c:pt>
                <c:pt idx="43">
                  <c:v>233.53871633460002</c:v>
                </c:pt>
                <c:pt idx="44">
                  <c:v>238.82599776918997</c:v>
                </c:pt>
                <c:pt idx="45">
                  <c:v>232.93287806398004</c:v>
                </c:pt>
                <c:pt idx="46">
                  <c:v>231.25681775076001</c:v>
                </c:pt>
                <c:pt idx="47">
                  <c:v>228.32606889327002</c:v>
                </c:pt>
                <c:pt idx="48">
                  <c:v>220.41365858467003</c:v>
                </c:pt>
                <c:pt idx="49">
                  <c:v>221.10415136846001</c:v>
                </c:pt>
                <c:pt idx="50">
                  <c:v>227.54067114960003</c:v>
                </c:pt>
                <c:pt idx="51">
                  <c:v>231.08550042867998</c:v>
                </c:pt>
                <c:pt idx="52">
                  <c:v>223.84705676639004</c:v>
                </c:pt>
                <c:pt idx="53">
                  <c:v>229.79883564106999</c:v>
                </c:pt>
                <c:pt idx="54">
                  <c:v>235.39334427260999</c:v>
                </c:pt>
                <c:pt idx="55">
                  <c:v>231.88375580975998</c:v>
                </c:pt>
                <c:pt idx="56">
                  <c:v>217.85288308924001</c:v>
                </c:pt>
                <c:pt idx="57">
                  <c:v>214.64293004099997</c:v>
                </c:pt>
                <c:pt idx="58">
                  <c:v>212.83468875501998</c:v>
                </c:pt>
                <c:pt idx="59">
                  <c:v>217.99344287261999</c:v>
                </c:pt>
                <c:pt idx="60">
                  <c:v>234.59217047696998</c:v>
                </c:pt>
                <c:pt idx="61">
                  <c:v>241.93325935320001</c:v>
                </c:pt>
                <c:pt idx="62">
                  <c:v>231.64734577408001</c:v>
                </c:pt>
                <c:pt idx="63">
                  <c:v>234.51755480568997</c:v>
                </c:pt>
                <c:pt idx="64">
                  <c:v>230.87222800978</c:v>
                </c:pt>
                <c:pt idx="65">
                  <c:v>237.74507611283002</c:v>
                </c:pt>
                <c:pt idx="66">
                  <c:v>235.29403542313</c:v>
                </c:pt>
                <c:pt idx="67">
                  <c:v>232.59895570304997</c:v>
                </c:pt>
                <c:pt idx="68">
                  <c:v>234.18880311665998</c:v>
                </c:pt>
                <c:pt idx="69">
                  <c:v>240.56632602374003</c:v>
                </c:pt>
                <c:pt idx="70">
                  <c:v>237.51758119434001</c:v>
                </c:pt>
                <c:pt idx="71">
                  <c:v>215.26425121975001</c:v>
                </c:pt>
                <c:pt idx="72">
                  <c:v>221.80338691353998</c:v>
                </c:pt>
                <c:pt idx="73">
                  <c:v>228.21752996207002</c:v>
                </c:pt>
                <c:pt idx="74">
                  <c:v>226.77179225886002</c:v>
                </c:pt>
                <c:pt idx="75">
                  <c:v>229.79198831253001</c:v>
                </c:pt>
                <c:pt idx="76">
                  <c:v>224.45062134767002</c:v>
                </c:pt>
                <c:pt idx="77">
                  <c:v>222.57355169180002</c:v>
                </c:pt>
                <c:pt idx="78">
                  <c:v>230.83428324074998</c:v>
                </c:pt>
                <c:pt idx="79">
                  <c:v>231.20880077195</c:v>
                </c:pt>
                <c:pt idx="80">
                  <c:v>233.34439254022001</c:v>
                </c:pt>
                <c:pt idx="81">
                  <c:v>246.02008521342</c:v>
                </c:pt>
                <c:pt idx="82">
                  <c:v>245.30773017105</c:v>
                </c:pt>
                <c:pt idx="83">
                  <c:v>242.47659001824002</c:v>
                </c:pt>
                <c:pt idx="84">
                  <c:v>238.16209628618998</c:v>
                </c:pt>
                <c:pt idx="85">
                  <c:v>247.41858776936999</c:v>
                </c:pt>
                <c:pt idx="86">
                  <c:v>239.51560326763999</c:v>
                </c:pt>
                <c:pt idx="87">
                  <c:v>245.68452069145999</c:v>
                </c:pt>
                <c:pt idx="88">
                  <c:v>244.73018234858003</c:v>
                </c:pt>
                <c:pt idx="89">
                  <c:v>240.49021084336999</c:v>
                </c:pt>
                <c:pt idx="90">
                  <c:v>245.60843373493998</c:v>
                </c:pt>
                <c:pt idx="91">
                  <c:v>250.87819322402001</c:v>
                </c:pt>
                <c:pt idx="92">
                  <c:v>243.09465757767998</c:v>
                </c:pt>
                <c:pt idx="93">
                  <c:v>211.27669986652998</c:v>
                </c:pt>
                <c:pt idx="94">
                  <c:v>224.62442563045002</c:v>
                </c:pt>
                <c:pt idx="95">
                  <c:v>230.19874769348002</c:v>
                </c:pt>
                <c:pt idx="96">
                  <c:v>231.66718224248999</c:v>
                </c:pt>
                <c:pt idx="97">
                  <c:v>228.60322596693001</c:v>
                </c:pt>
                <c:pt idx="98">
                  <c:v>229.35451264517002</c:v>
                </c:pt>
                <c:pt idx="99">
                  <c:v>227.21084337348998</c:v>
                </c:pt>
                <c:pt idx="100">
                  <c:v>245.90662650602999</c:v>
                </c:pt>
                <c:pt idx="101">
                  <c:v>259.49623493976003</c:v>
                </c:pt>
                <c:pt idx="102">
                  <c:v>278.84901400183003</c:v>
                </c:pt>
                <c:pt idx="103">
                  <c:v>268.69665626387996</c:v>
                </c:pt>
                <c:pt idx="104">
                  <c:v>244.82079046523003</c:v>
                </c:pt>
                <c:pt idx="105">
                  <c:v>241.97524931184998</c:v>
                </c:pt>
                <c:pt idx="106">
                  <c:v>237.28269171495003</c:v>
                </c:pt>
                <c:pt idx="107">
                  <c:v>238.68835443353001</c:v>
                </c:pt>
                <c:pt idx="108">
                  <c:v>236.67746323895997</c:v>
                </c:pt>
                <c:pt idx="109">
                  <c:v>224.70445721938998</c:v>
                </c:pt>
                <c:pt idx="110">
                  <c:v>216.93149800103001</c:v>
                </c:pt>
                <c:pt idx="111">
                  <c:v>216.54293465999004</c:v>
                </c:pt>
                <c:pt idx="112">
                  <c:v>210.91688608366002</c:v>
                </c:pt>
                <c:pt idx="113">
                  <c:v>212.58844010352999</c:v>
                </c:pt>
                <c:pt idx="114">
                  <c:v>219.44587605500996</c:v>
                </c:pt>
                <c:pt idx="115">
                  <c:v>228.68509308113002</c:v>
                </c:pt>
                <c:pt idx="116">
                  <c:v>226.34822136078003</c:v>
                </c:pt>
                <c:pt idx="117">
                  <c:v>233.03022065842001</c:v>
                </c:pt>
                <c:pt idx="118">
                  <c:v>233.03415568102002</c:v>
                </c:pt>
                <c:pt idx="119">
                  <c:v>233.29047580456003</c:v>
                </c:pt>
                <c:pt idx="120">
                  <c:v>221.34790116956998</c:v>
                </c:pt>
                <c:pt idx="121">
                  <c:v>224.23223558149002</c:v>
                </c:pt>
                <c:pt idx="122">
                  <c:v>221.69162320701</c:v>
                </c:pt>
                <c:pt idx="123">
                  <c:v>240.84937835489001</c:v>
                </c:pt>
                <c:pt idx="124">
                  <c:v>246.10497644220999</c:v>
                </c:pt>
                <c:pt idx="125">
                  <c:v>249.02821899921</c:v>
                </c:pt>
                <c:pt idx="126">
                  <c:v>262.34414113854996</c:v>
                </c:pt>
                <c:pt idx="127">
                  <c:v>265.93980405929005</c:v>
                </c:pt>
                <c:pt idx="128">
                  <c:v>244.04224296287998</c:v>
                </c:pt>
                <c:pt idx="129">
                  <c:v>217.73268860782997</c:v>
                </c:pt>
                <c:pt idx="130">
                  <c:v>240.79678530877999</c:v>
                </c:pt>
                <c:pt idx="131">
                  <c:v>246.63255956155001</c:v>
                </c:pt>
                <c:pt idx="132">
                  <c:v>235.86506477035999</c:v>
                </c:pt>
                <c:pt idx="133">
                  <c:v>243.34826184437</c:v>
                </c:pt>
                <c:pt idx="134">
                  <c:v>243.43034128996999</c:v>
                </c:pt>
                <c:pt idx="135">
                  <c:v>241.00200086058999</c:v>
                </c:pt>
                <c:pt idx="136">
                  <c:v>221.61213085424998</c:v>
                </c:pt>
                <c:pt idx="137">
                  <c:v>224.62588163036</c:v>
                </c:pt>
                <c:pt idx="138">
                  <c:v>211.32870590714998</c:v>
                </c:pt>
                <c:pt idx="139">
                  <c:v>217.20467882767002</c:v>
                </c:pt>
                <c:pt idx="140">
                  <c:v>214.38125084608001</c:v>
                </c:pt>
                <c:pt idx="141">
                  <c:v>215.69186803393998</c:v>
                </c:pt>
                <c:pt idx="142">
                  <c:v>217.51616522268998</c:v>
                </c:pt>
                <c:pt idx="143">
                  <c:v>232.14915531199</c:v>
                </c:pt>
                <c:pt idx="144">
                  <c:v>224.76281933603002</c:v>
                </c:pt>
                <c:pt idx="145">
                  <c:v>198.78231639131999</c:v>
                </c:pt>
                <c:pt idx="146">
                  <c:v>195.85172871741997</c:v>
                </c:pt>
                <c:pt idx="147">
                  <c:v>228.73301828002002</c:v>
                </c:pt>
                <c:pt idx="148">
                  <c:v>227.18541820957</c:v>
                </c:pt>
                <c:pt idx="149">
                  <c:v>229.16683888017999</c:v>
                </c:pt>
                <c:pt idx="150">
                  <c:v>240.21399551695001</c:v>
                </c:pt>
                <c:pt idx="151">
                  <c:v>253.7175585288</c:v>
                </c:pt>
                <c:pt idx="152">
                  <c:v>256.72036556849002</c:v>
                </c:pt>
                <c:pt idx="153">
                  <c:v>259.03675115570996</c:v>
                </c:pt>
                <c:pt idx="154">
                  <c:v>250.82819159960002</c:v>
                </c:pt>
                <c:pt idx="155">
                  <c:v>222.54277739700998</c:v>
                </c:pt>
                <c:pt idx="156">
                  <c:v>217.02913741403</c:v>
                </c:pt>
                <c:pt idx="157">
                  <c:v>221.27785807911002</c:v>
                </c:pt>
                <c:pt idx="158">
                  <c:v>221.02278338390997</c:v>
                </c:pt>
                <c:pt idx="159">
                  <c:v>224.14827155118002</c:v>
                </c:pt>
                <c:pt idx="160">
                  <c:v>223.59336563840998</c:v>
                </c:pt>
                <c:pt idx="161">
                  <c:v>242.40341594157999</c:v>
                </c:pt>
                <c:pt idx="162">
                  <c:v>256.05292607038001</c:v>
                </c:pt>
                <c:pt idx="163">
                  <c:v>256.59699010488998</c:v>
                </c:pt>
                <c:pt idx="164">
                  <c:v>246.27596786695003</c:v>
                </c:pt>
                <c:pt idx="165">
                  <c:v>234.98705901449998</c:v>
                </c:pt>
                <c:pt idx="166">
                  <c:v>238.94809627732002</c:v>
                </c:pt>
                <c:pt idx="167">
                  <c:v>221.60932652767002</c:v>
                </c:pt>
                <c:pt idx="168">
                  <c:v>230.07598658105002</c:v>
                </c:pt>
                <c:pt idx="169">
                  <c:v>218.73988812392997</c:v>
                </c:pt>
                <c:pt idx="170">
                  <c:v>216.62645984086001</c:v>
                </c:pt>
                <c:pt idx="171">
                  <c:v>214.16694789629997</c:v>
                </c:pt>
                <c:pt idx="172">
                  <c:v>215.3192252931</c:v>
                </c:pt>
                <c:pt idx="173">
                  <c:v>232.66684434367002</c:v>
                </c:pt>
                <c:pt idx="174">
                  <c:v>249.69765046734003</c:v>
                </c:pt>
                <c:pt idx="175">
                  <c:v>246.31614800006997</c:v>
                </c:pt>
                <c:pt idx="176">
                  <c:v>221.80867017059001</c:v>
                </c:pt>
                <c:pt idx="177">
                  <c:v>220.24815999224998</c:v>
                </c:pt>
                <c:pt idx="178">
                  <c:v>227.75405855928997</c:v>
                </c:pt>
                <c:pt idx="179">
                  <c:v>218.19217105441999</c:v>
                </c:pt>
                <c:pt idx="180">
                  <c:v>220.65736827069</c:v>
                </c:pt>
                <c:pt idx="181">
                  <c:v>217.30479610751001</c:v>
                </c:pt>
                <c:pt idx="182">
                  <c:v>218.62227813419</c:v>
                </c:pt>
                <c:pt idx="183">
                  <c:v>224.20895550087002</c:v>
                </c:pt>
                <c:pt idx="184">
                  <c:v>224.94959318228999</c:v>
                </c:pt>
                <c:pt idx="185">
                  <c:v>218.37469632075999</c:v>
                </c:pt>
                <c:pt idx="186">
                  <c:v>214.84828297506002</c:v>
                </c:pt>
                <c:pt idx="187">
                  <c:v>211.35803978244999</c:v>
                </c:pt>
                <c:pt idx="188">
                  <c:v>214.12997730833999</c:v>
                </c:pt>
                <c:pt idx="189">
                  <c:v>214.65305054298003</c:v>
                </c:pt>
                <c:pt idx="190">
                  <c:v>207.80316220036997</c:v>
                </c:pt>
                <c:pt idx="191">
                  <c:v>209.67682051073999</c:v>
                </c:pt>
                <c:pt idx="192">
                  <c:v>210.80912326435001</c:v>
                </c:pt>
                <c:pt idx="193">
                  <c:v>207.80868653988</c:v>
                </c:pt>
                <c:pt idx="194">
                  <c:v>228.66878807364998</c:v>
                </c:pt>
                <c:pt idx="195">
                  <c:v>256.21231332515003</c:v>
                </c:pt>
                <c:pt idx="196">
                  <c:v>267.37138824759995</c:v>
                </c:pt>
                <c:pt idx="197">
                  <c:v>252.20715496717003</c:v>
                </c:pt>
                <c:pt idx="198">
                  <c:v>242.83247060097</c:v>
                </c:pt>
                <c:pt idx="199">
                  <c:v>215.37884854023</c:v>
                </c:pt>
                <c:pt idx="200">
                  <c:v>213.51424861121001</c:v>
                </c:pt>
                <c:pt idx="201">
                  <c:v>215.54872033042002</c:v>
                </c:pt>
                <c:pt idx="202">
                  <c:v>220.53896273717001</c:v>
                </c:pt>
                <c:pt idx="203">
                  <c:v>234.10174834677002</c:v>
                </c:pt>
                <c:pt idx="204">
                  <c:v>249.30785829886</c:v>
                </c:pt>
                <c:pt idx="205">
                  <c:v>255.68095880893998</c:v>
                </c:pt>
                <c:pt idx="206">
                  <c:v>245.15690768331999</c:v>
                </c:pt>
                <c:pt idx="207">
                  <c:v>251.19392690974996</c:v>
                </c:pt>
                <c:pt idx="208">
                  <c:v>258.56774853906995</c:v>
                </c:pt>
                <c:pt idx="209">
                  <c:v>260.03708246158999</c:v>
                </c:pt>
                <c:pt idx="210">
                  <c:v>256.10562459418998</c:v>
                </c:pt>
                <c:pt idx="211">
                  <c:v>256.37265529183003</c:v>
                </c:pt>
                <c:pt idx="212">
                  <c:v>225.34689544694999</c:v>
                </c:pt>
                <c:pt idx="213">
                  <c:v>216.56604510441002</c:v>
                </c:pt>
                <c:pt idx="214">
                  <c:v>218.73660626110998</c:v>
                </c:pt>
                <c:pt idx="215">
                  <c:v>220.29006226096001</c:v>
                </c:pt>
                <c:pt idx="216">
                  <c:v>219.89333376726003</c:v>
                </c:pt>
                <c:pt idx="217">
                  <c:v>220.12552520065</c:v>
                </c:pt>
                <c:pt idx="218">
                  <c:v>237.73489917755003</c:v>
                </c:pt>
                <c:pt idx="219">
                  <c:v>254.40361445783</c:v>
                </c:pt>
                <c:pt idx="220">
                  <c:v>257.99171686747002</c:v>
                </c:pt>
                <c:pt idx="221">
                  <c:v>263.20034416946999</c:v>
                </c:pt>
                <c:pt idx="222">
                  <c:v>258.01838434821002</c:v>
                </c:pt>
                <c:pt idx="223">
                  <c:v>259.71087503165995</c:v>
                </c:pt>
                <c:pt idx="224">
                  <c:v>207.28337921619001</c:v>
                </c:pt>
                <c:pt idx="225">
                  <c:v>231.79908940173001</c:v>
                </c:pt>
                <c:pt idx="226">
                  <c:v>241.93955762946999</c:v>
                </c:pt>
                <c:pt idx="227">
                  <c:v>239.94309469282001</c:v>
                </c:pt>
                <c:pt idx="228">
                  <c:v>249.46659457378001</c:v>
                </c:pt>
                <c:pt idx="229">
                  <c:v>239.69046788658002</c:v>
                </c:pt>
                <c:pt idx="230">
                  <c:v>241.50833635293</c:v>
                </c:pt>
                <c:pt idx="231">
                  <c:v>241.71240714739</c:v>
                </c:pt>
                <c:pt idx="232">
                  <c:v>233.54976220671998</c:v>
                </c:pt>
                <c:pt idx="233">
                  <c:v>241.21461522782997</c:v>
                </c:pt>
                <c:pt idx="234">
                  <c:v>254.29894578312999</c:v>
                </c:pt>
                <c:pt idx="235">
                  <c:v>253.58433734939999</c:v>
                </c:pt>
                <c:pt idx="236">
                  <c:v>223.10293295647</c:v>
                </c:pt>
                <c:pt idx="237">
                  <c:v>224.18216781476002</c:v>
                </c:pt>
                <c:pt idx="238">
                  <c:v>224.17583764812002</c:v>
                </c:pt>
                <c:pt idx="239">
                  <c:v>217.11475032361</c:v>
                </c:pt>
                <c:pt idx="240">
                  <c:v>237.72552314520999</c:v>
                </c:pt>
                <c:pt idx="241">
                  <c:v>228.03459785086002</c:v>
                </c:pt>
                <c:pt idx="242">
                  <c:v>229.54508348709999</c:v>
                </c:pt>
                <c:pt idx="243">
                  <c:v>231.30839574514002</c:v>
                </c:pt>
                <c:pt idx="244">
                  <c:v>226.26318110279001</c:v>
                </c:pt>
                <c:pt idx="245">
                  <c:v>235.58181767701998</c:v>
                </c:pt>
                <c:pt idx="246">
                  <c:v>243.82292714877002</c:v>
                </c:pt>
                <c:pt idx="247">
                  <c:v>242.01789890941001</c:v>
                </c:pt>
                <c:pt idx="248">
                  <c:v>241.72966867470001</c:v>
                </c:pt>
                <c:pt idx="249">
                  <c:v>251.69427710842999</c:v>
                </c:pt>
                <c:pt idx="250">
                  <c:v>250.19277108434</c:v>
                </c:pt>
                <c:pt idx="251">
                  <c:v>238.68373493976</c:v>
                </c:pt>
                <c:pt idx="252">
                  <c:v>240.46611445783</c:v>
                </c:pt>
                <c:pt idx="253">
                  <c:v>234.91415662650002</c:v>
                </c:pt>
                <c:pt idx="254">
                  <c:v>231.42620481928003</c:v>
                </c:pt>
                <c:pt idx="255">
                  <c:v>236.88177710843001</c:v>
                </c:pt>
                <c:pt idx="256">
                  <c:v>253.97922139686</c:v>
                </c:pt>
                <c:pt idx="257">
                  <c:v>270.89608320499997</c:v>
                </c:pt>
                <c:pt idx="258">
                  <c:v>263.26054216866999</c:v>
                </c:pt>
                <c:pt idx="259">
                  <c:v>253.81852409638</c:v>
                </c:pt>
                <c:pt idx="260">
                  <c:v>217.93385827306003</c:v>
                </c:pt>
                <c:pt idx="261">
                  <c:v>199.63968288886002</c:v>
                </c:pt>
                <c:pt idx="262">
                  <c:v>210.80392186724001</c:v>
                </c:pt>
                <c:pt idx="263">
                  <c:v>204.68780120482</c:v>
                </c:pt>
                <c:pt idx="264">
                  <c:v>210.54395438899002</c:v>
                </c:pt>
                <c:pt idx="265">
                  <c:v>215.64874309268004</c:v>
                </c:pt>
                <c:pt idx="266">
                  <c:v>213.45680881419997</c:v>
                </c:pt>
                <c:pt idx="267">
                  <c:v>227.95460089795998</c:v>
                </c:pt>
                <c:pt idx="268">
                  <c:v>223.13405198555</c:v>
                </c:pt>
                <c:pt idx="269">
                  <c:v>234.5191947671</c:v>
                </c:pt>
                <c:pt idx="270">
                  <c:v>230.09845196041999</c:v>
                </c:pt>
                <c:pt idx="271">
                  <c:v>223.72478507899001</c:v>
                </c:pt>
                <c:pt idx="272">
                  <c:v>215.40385944075999</c:v>
                </c:pt>
                <c:pt idx="273">
                  <c:v>216.82012043677</c:v>
                </c:pt>
                <c:pt idx="274">
                  <c:v>219.59232469609</c:v>
                </c:pt>
                <c:pt idx="275">
                  <c:v>214.77955261827003</c:v>
                </c:pt>
                <c:pt idx="276">
                  <c:v>216.38679417821999</c:v>
                </c:pt>
                <c:pt idx="277">
                  <c:v>214.03523238381001</c:v>
                </c:pt>
                <c:pt idx="278">
                  <c:v>212.78479547875997</c:v>
                </c:pt>
                <c:pt idx="279">
                  <c:v>207.12671149364999</c:v>
                </c:pt>
                <c:pt idx="280">
                  <c:v>205.55402494536003</c:v>
                </c:pt>
                <c:pt idx="281">
                  <c:v>238.53041357045001</c:v>
                </c:pt>
                <c:pt idx="282">
                  <c:v>237.15422546686</c:v>
                </c:pt>
                <c:pt idx="283">
                  <c:v>242.88053877196998</c:v>
                </c:pt>
                <c:pt idx="284">
                  <c:v>225.57129341956002</c:v>
                </c:pt>
                <c:pt idx="285">
                  <c:v>216.74385134523001</c:v>
                </c:pt>
                <c:pt idx="286">
                  <c:v>214.37421641452997</c:v>
                </c:pt>
                <c:pt idx="287">
                  <c:v>219.49806255095001</c:v>
                </c:pt>
                <c:pt idx="288">
                  <c:v>249.85160695254999</c:v>
                </c:pt>
                <c:pt idx="289">
                  <c:v>246.18499033616001</c:v>
                </c:pt>
                <c:pt idx="290">
                  <c:v>241.54161322952999</c:v>
                </c:pt>
                <c:pt idx="291">
                  <c:v>222.79467739676002</c:v>
                </c:pt>
                <c:pt idx="292">
                  <c:v>217.72174368894002</c:v>
                </c:pt>
                <c:pt idx="293">
                  <c:v>217.35590241687001</c:v>
                </c:pt>
                <c:pt idx="294">
                  <c:v>215.49172082177</c:v>
                </c:pt>
                <c:pt idx="295">
                  <c:v>214.50249968365998</c:v>
                </c:pt>
                <c:pt idx="296">
                  <c:v>208.24611066169996</c:v>
                </c:pt>
                <c:pt idx="297">
                  <c:v>247.71475632665999</c:v>
                </c:pt>
                <c:pt idx="298">
                  <c:v>261.48230252343001</c:v>
                </c:pt>
                <c:pt idx="299">
                  <c:v>262.19839891800996</c:v>
                </c:pt>
                <c:pt idx="300">
                  <c:v>261.39721780676001</c:v>
                </c:pt>
                <c:pt idx="301">
                  <c:v>258.28817669478997</c:v>
                </c:pt>
                <c:pt idx="302">
                  <c:v>262.35843260599</c:v>
                </c:pt>
                <c:pt idx="303">
                  <c:v>269.63301656964001</c:v>
                </c:pt>
                <c:pt idx="304">
                  <c:v>267.28683139771999</c:v>
                </c:pt>
                <c:pt idx="305">
                  <c:v>282.82883657091998</c:v>
                </c:pt>
                <c:pt idx="306">
                  <c:v>285.63445517296998</c:v>
                </c:pt>
                <c:pt idx="307">
                  <c:v>279.94254185777999</c:v>
                </c:pt>
                <c:pt idx="308">
                  <c:v>272.31489139054003</c:v>
                </c:pt>
                <c:pt idx="309">
                  <c:v>271.02469348512</c:v>
                </c:pt>
                <c:pt idx="310">
                  <c:v>270.91724098193004</c:v>
                </c:pt>
                <c:pt idx="311">
                  <c:v>276.73880128652996</c:v>
                </c:pt>
                <c:pt idx="312">
                  <c:v>270.14104363951998</c:v>
                </c:pt>
                <c:pt idx="313">
                  <c:v>273.37424982521998</c:v>
                </c:pt>
                <c:pt idx="314">
                  <c:v>264.29418633903003</c:v>
                </c:pt>
                <c:pt idx="315">
                  <c:v>265.97175439908</c:v>
                </c:pt>
                <c:pt idx="316">
                  <c:v>242.28273763724999</c:v>
                </c:pt>
                <c:pt idx="317">
                  <c:v>244.81652926507002</c:v>
                </c:pt>
                <c:pt idx="318">
                  <c:v>234.44478288811999</c:v>
                </c:pt>
                <c:pt idx="319">
                  <c:v>216.76347721714001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D-094B-9B31-057E7585D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D-2D40-BB2E-D7AA7BE01C93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'240823B010'!$A$2:$A$321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'240823B010'!$P$2:$P$321</c:f>
              <c:numCache>
                <c:formatCode>General</c:formatCode>
                <c:ptCount val="320"/>
                <c:pt idx="0">
                  <c:v>-20.861461011066115</c:v>
                </c:pt>
                <c:pt idx="1">
                  <c:v>-20.335476604002722</c:v>
                </c:pt>
                <c:pt idx="2">
                  <c:v>-20.014650640617624</c:v>
                </c:pt>
                <c:pt idx="3">
                  <c:v>-19.117346786526561</c:v>
                </c:pt>
                <c:pt idx="4">
                  <c:v>-17.62031400807135</c:v>
                </c:pt>
                <c:pt idx="5">
                  <c:v>-12.518264503720205</c:v>
                </c:pt>
                <c:pt idx="6">
                  <c:v>-2.4404616373297405</c:v>
                </c:pt>
                <c:pt idx="7">
                  <c:v>12.360543477670834</c:v>
                </c:pt>
                <c:pt idx="8">
                  <c:v>16.846667404590907</c:v>
                </c:pt>
                <c:pt idx="9">
                  <c:v>25.26226594753301</c:v>
                </c:pt>
                <c:pt idx="10">
                  <c:v>32.580443852681547</c:v>
                </c:pt>
                <c:pt idx="11">
                  <c:v>44.653937136289443</c:v>
                </c:pt>
                <c:pt idx="12">
                  <c:v>46.196520919996196</c:v>
                </c:pt>
                <c:pt idx="13">
                  <c:v>35.596118563050084</c:v>
                </c:pt>
                <c:pt idx="14">
                  <c:v>28.009649183429264</c:v>
                </c:pt>
                <c:pt idx="15">
                  <c:v>21.736543037422337</c:v>
                </c:pt>
                <c:pt idx="16">
                  <c:v>17.39082313140613</c:v>
                </c:pt>
                <c:pt idx="17">
                  <c:v>14.469379231566645</c:v>
                </c:pt>
                <c:pt idx="18">
                  <c:v>15.155794885277803</c:v>
                </c:pt>
                <c:pt idx="19">
                  <c:v>11.842350858446629</c:v>
                </c:pt>
                <c:pt idx="20">
                  <c:v>7.6906795834271335</c:v>
                </c:pt>
                <c:pt idx="21">
                  <c:v>5.519866189131875</c:v>
                </c:pt>
                <c:pt idx="22">
                  <c:v>4.5931584948675805</c:v>
                </c:pt>
                <c:pt idx="23">
                  <c:v>6.8229262259322354</c:v>
                </c:pt>
                <c:pt idx="24">
                  <c:v>8.2997964848753156</c:v>
                </c:pt>
                <c:pt idx="25">
                  <c:v>9.8138370524197711</c:v>
                </c:pt>
                <c:pt idx="26">
                  <c:v>10.228888192919925</c:v>
                </c:pt>
                <c:pt idx="27">
                  <c:v>17.331254592212961</c:v>
                </c:pt>
                <c:pt idx="28">
                  <c:v>29.183091603853832</c:v>
                </c:pt>
                <c:pt idx="29">
                  <c:v>28.098765673951785</c:v>
                </c:pt>
                <c:pt idx="30">
                  <c:v>18.230147661323244</c:v>
                </c:pt>
                <c:pt idx="31">
                  <c:v>14.153001006054167</c:v>
                </c:pt>
                <c:pt idx="32">
                  <c:v>12.148362531733374</c:v>
                </c:pt>
                <c:pt idx="33">
                  <c:v>6.7498553533334311</c:v>
                </c:pt>
                <c:pt idx="34">
                  <c:v>6.522419655566468</c:v>
                </c:pt>
                <c:pt idx="35">
                  <c:v>6.2083310027795218</c:v>
                </c:pt>
                <c:pt idx="36">
                  <c:v>4.7257338363258503</c:v>
                </c:pt>
                <c:pt idx="37">
                  <c:v>11.211619343426984</c:v>
                </c:pt>
                <c:pt idx="38">
                  <c:v>22.524731839209505</c:v>
                </c:pt>
                <c:pt idx="39">
                  <c:v>29.025032590772909</c:v>
                </c:pt>
                <c:pt idx="40">
                  <c:v>26.524965739859862</c:v>
                </c:pt>
                <c:pt idx="41">
                  <c:v>13.029057215476122</c:v>
                </c:pt>
                <c:pt idx="42">
                  <c:v>14.149857875554359</c:v>
                </c:pt>
                <c:pt idx="43">
                  <c:v>16.699986193672469</c:v>
                </c:pt>
                <c:pt idx="44">
                  <c:v>20.549064243027424</c:v>
                </c:pt>
                <c:pt idx="45">
                  <c:v>25.180408278697421</c:v>
                </c:pt>
                <c:pt idx="46">
                  <c:v>24.65214420196456</c:v>
                </c:pt>
                <c:pt idx="47">
                  <c:v>25.000200301847869</c:v>
                </c:pt>
                <c:pt idx="48">
                  <c:v>25.112626517007929</c:v>
                </c:pt>
                <c:pt idx="49">
                  <c:v>20.987217801790194</c:v>
                </c:pt>
                <c:pt idx="50">
                  <c:v>16.623302608855358</c:v>
                </c:pt>
                <c:pt idx="51">
                  <c:v>10.67031734325932</c:v>
                </c:pt>
                <c:pt idx="52">
                  <c:v>-0.89634226440703169</c:v>
                </c:pt>
                <c:pt idx="53">
                  <c:v>-2.71767631889543</c:v>
                </c:pt>
                <c:pt idx="54">
                  <c:v>-7.2717282782052699</c:v>
                </c:pt>
                <c:pt idx="55">
                  <c:v>-6.6445577715209954</c:v>
                </c:pt>
                <c:pt idx="56">
                  <c:v>-6.4430976178674255</c:v>
                </c:pt>
                <c:pt idx="57">
                  <c:v>-8.8017964862525968</c:v>
                </c:pt>
                <c:pt idx="58">
                  <c:v>2.1625510741063487</c:v>
                </c:pt>
                <c:pt idx="59">
                  <c:v>9.0563913310753357</c:v>
                </c:pt>
                <c:pt idx="60">
                  <c:v>15.410931578844842</c:v>
                </c:pt>
                <c:pt idx="61">
                  <c:v>16.312681893684928</c:v>
                </c:pt>
                <c:pt idx="62">
                  <c:v>7.2300842653671022</c:v>
                </c:pt>
                <c:pt idx="63">
                  <c:v>2.9500823234392017</c:v>
                </c:pt>
                <c:pt idx="64">
                  <c:v>-0.35194656245825856</c:v>
                </c:pt>
                <c:pt idx="65">
                  <c:v>-3.4135502362249763</c:v>
                </c:pt>
                <c:pt idx="66">
                  <c:v>-9.3248276446254188</c:v>
                </c:pt>
                <c:pt idx="67">
                  <c:v>-13.225483030618815</c:v>
                </c:pt>
                <c:pt idx="68">
                  <c:v>-13.346306124317985</c:v>
                </c:pt>
                <c:pt idx="69">
                  <c:v>-16.159232425210579</c:v>
                </c:pt>
                <c:pt idx="70">
                  <c:v>-14.70692639834971</c:v>
                </c:pt>
                <c:pt idx="71">
                  <c:v>-11.11926572395781</c:v>
                </c:pt>
                <c:pt idx="72">
                  <c:v>-4.5147948757539478</c:v>
                </c:pt>
                <c:pt idx="73">
                  <c:v>6.6608201882397271</c:v>
                </c:pt>
                <c:pt idx="74">
                  <c:v>3.4465722192908061</c:v>
                </c:pt>
                <c:pt idx="75">
                  <c:v>3.7332541078125976</c:v>
                </c:pt>
                <c:pt idx="76">
                  <c:v>4.3427282125205977</c:v>
                </c:pt>
                <c:pt idx="77">
                  <c:v>4.0461929495971178</c:v>
                </c:pt>
                <c:pt idx="78">
                  <c:v>7.8636922396131332</c:v>
                </c:pt>
                <c:pt idx="79">
                  <c:v>14.165293043107219</c:v>
                </c:pt>
                <c:pt idx="80">
                  <c:v>13.865747450882909</c:v>
                </c:pt>
                <c:pt idx="81">
                  <c:v>17.492759502717718</c:v>
                </c:pt>
                <c:pt idx="82">
                  <c:v>19.772740695739451</c:v>
                </c:pt>
                <c:pt idx="83">
                  <c:v>18.677797235154877</c:v>
                </c:pt>
                <c:pt idx="84">
                  <c:v>11.924502781536212</c:v>
                </c:pt>
                <c:pt idx="85">
                  <c:v>6.3670624840991117</c:v>
                </c:pt>
                <c:pt idx="86">
                  <c:v>1.7890308327678948</c:v>
                </c:pt>
                <c:pt idx="87">
                  <c:v>-5.7738488794256453</c:v>
                </c:pt>
                <c:pt idx="88">
                  <c:v>-7.187595820903665</c:v>
                </c:pt>
                <c:pt idx="89">
                  <c:v>-6.3427379112367159</c:v>
                </c:pt>
                <c:pt idx="90">
                  <c:v>-11.515920247754998</c:v>
                </c:pt>
                <c:pt idx="91">
                  <c:v>-13.502846861474135</c:v>
                </c:pt>
                <c:pt idx="92">
                  <c:v>-15.78434008360736</c:v>
                </c:pt>
                <c:pt idx="93">
                  <c:v>-14.776363473933632</c:v>
                </c:pt>
                <c:pt idx="94">
                  <c:v>-3.7643959040910544</c:v>
                </c:pt>
                <c:pt idx="95">
                  <c:v>-3.7831919333453574</c:v>
                </c:pt>
                <c:pt idx="96">
                  <c:v>-1.0613085575959906</c:v>
                </c:pt>
                <c:pt idx="97">
                  <c:v>-3.2572880928729697</c:v>
                </c:pt>
                <c:pt idx="98">
                  <c:v>-1.2304290742245019</c:v>
                </c:pt>
                <c:pt idx="99">
                  <c:v>-1.4048781597378723</c:v>
                </c:pt>
                <c:pt idx="100">
                  <c:v>-4.1393108565807806</c:v>
                </c:pt>
                <c:pt idx="101">
                  <c:v>-9.6615950374285795</c:v>
                </c:pt>
                <c:pt idx="102">
                  <c:v>-13.057214487576866</c:v>
                </c:pt>
                <c:pt idx="103">
                  <c:v>-14.745649008326525</c:v>
                </c:pt>
                <c:pt idx="104">
                  <c:v>-16.479148282877073</c:v>
                </c:pt>
                <c:pt idx="105">
                  <c:v>-14.577482328391756</c:v>
                </c:pt>
                <c:pt idx="106">
                  <c:v>-14.906129655652883</c:v>
                </c:pt>
                <c:pt idx="107">
                  <c:v>-14.595588481904329</c:v>
                </c:pt>
                <c:pt idx="108">
                  <c:v>-15.344396343693543</c:v>
                </c:pt>
                <c:pt idx="109">
                  <c:v>-17.629143240421968</c:v>
                </c:pt>
                <c:pt idx="110">
                  <c:v>-18.742208683506167</c:v>
                </c:pt>
                <c:pt idx="111">
                  <c:v>-20.665317365379313</c:v>
                </c:pt>
                <c:pt idx="112">
                  <c:v>-21.144077803867923</c:v>
                </c:pt>
                <c:pt idx="113">
                  <c:v>-21.56064771269844</c:v>
                </c:pt>
                <c:pt idx="114">
                  <c:v>-22.162881845259179</c:v>
                </c:pt>
                <c:pt idx="115">
                  <c:v>-18.568153824073434</c:v>
                </c:pt>
                <c:pt idx="116">
                  <c:v>-17.962987847596541</c:v>
                </c:pt>
                <c:pt idx="117">
                  <c:v>-17.358703394664193</c:v>
                </c:pt>
                <c:pt idx="118">
                  <c:v>-18.558104084695358</c:v>
                </c:pt>
                <c:pt idx="119">
                  <c:v>-18.398616661732866</c:v>
                </c:pt>
                <c:pt idx="120">
                  <c:v>-15.409709282610981</c:v>
                </c:pt>
                <c:pt idx="121">
                  <c:v>-12.724343587118305</c:v>
                </c:pt>
                <c:pt idx="122">
                  <c:v>-13.63544036366822</c:v>
                </c:pt>
                <c:pt idx="123">
                  <c:v>-13.01402844025716</c:v>
                </c:pt>
                <c:pt idx="124">
                  <c:v>-14.870223616562816</c:v>
                </c:pt>
                <c:pt idx="125">
                  <c:v>-13.867351102966548</c:v>
                </c:pt>
                <c:pt idx="126">
                  <c:v>-16.128898844604674</c:v>
                </c:pt>
                <c:pt idx="127">
                  <c:v>-16.473766863270978</c:v>
                </c:pt>
                <c:pt idx="128">
                  <c:v>-17.826126698472081</c:v>
                </c:pt>
                <c:pt idx="129">
                  <c:v>-17.05408877476636</c:v>
                </c:pt>
                <c:pt idx="130">
                  <c:v>-10.546264734809993</c:v>
                </c:pt>
                <c:pt idx="131">
                  <c:v>-12.299151263656304</c:v>
                </c:pt>
                <c:pt idx="132">
                  <c:v>-12.099951981471916</c:v>
                </c:pt>
                <c:pt idx="133">
                  <c:v>-12.689290824439277</c:v>
                </c:pt>
                <c:pt idx="134">
                  <c:v>-14.770117124258835</c:v>
                </c:pt>
                <c:pt idx="135">
                  <c:v>-15.042409607515358</c:v>
                </c:pt>
                <c:pt idx="136">
                  <c:v>-16.337750662481053</c:v>
                </c:pt>
                <c:pt idx="137">
                  <c:v>-17.786362335125645</c:v>
                </c:pt>
                <c:pt idx="138">
                  <c:v>-18.349896656154378</c:v>
                </c:pt>
                <c:pt idx="139">
                  <c:v>-19.186883279579753</c:v>
                </c:pt>
                <c:pt idx="140">
                  <c:v>-21.059188245262337</c:v>
                </c:pt>
                <c:pt idx="141">
                  <c:v>-20.403823970547403</c:v>
                </c:pt>
                <c:pt idx="142">
                  <c:v>-20.719297162533685</c:v>
                </c:pt>
                <c:pt idx="143">
                  <c:v>-19.508861697666998</c:v>
                </c:pt>
                <c:pt idx="144">
                  <c:v>-20.412398603007798</c:v>
                </c:pt>
                <c:pt idx="145">
                  <c:v>-18.709180614831723</c:v>
                </c:pt>
                <c:pt idx="146">
                  <c:v>-16.575703696891768</c:v>
                </c:pt>
                <c:pt idx="147">
                  <c:v>-15.480980357956373</c:v>
                </c:pt>
                <c:pt idx="148">
                  <c:v>-15.955612976606551</c:v>
                </c:pt>
                <c:pt idx="149">
                  <c:v>-17.356708082236132</c:v>
                </c:pt>
                <c:pt idx="150">
                  <c:v>-17.190462382557087</c:v>
                </c:pt>
                <c:pt idx="151">
                  <c:v>-16.637709569377563</c:v>
                </c:pt>
                <c:pt idx="152">
                  <c:v>-16.12059702873249</c:v>
                </c:pt>
                <c:pt idx="153">
                  <c:v>-16.514828697969353</c:v>
                </c:pt>
                <c:pt idx="154">
                  <c:v>-16.509698063749784</c:v>
                </c:pt>
                <c:pt idx="155">
                  <c:v>-15.25524378601405</c:v>
                </c:pt>
                <c:pt idx="156">
                  <c:v>-10.263057383530599</c:v>
                </c:pt>
                <c:pt idx="157">
                  <c:v>-7.6023105419380688</c:v>
                </c:pt>
                <c:pt idx="158">
                  <c:v>-7.2851254460452459</c:v>
                </c:pt>
                <c:pt idx="159">
                  <c:v>-7.5033337943578156</c:v>
                </c:pt>
                <c:pt idx="160">
                  <c:v>-6.8992050446012945</c:v>
                </c:pt>
                <c:pt idx="161">
                  <c:v>-10.004395089035324</c:v>
                </c:pt>
                <c:pt idx="162">
                  <c:v>-12.291152703927279</c:v>
                </c:pt>
                <c:pt idx="163">
                  <c:v>-13.961792007506713</c:v>
                </c:pt>
                <c:pt idx="164">
                  <c:v>-13.937470873976105</c:v>
                </c:pt>
                <c:pt idx="165">
                  <c:v>-11.689470054659253</c:v>
                </c:pt>
                <c:pt idx="166">
                  <c:v>-11.9507747238984</c:v>
                </c:pt>
                <c:pt idx="167">
                  <c:v>-10.104460739468117</c:v>
                </c:pt>
                <c:pt idx="168">
                  <c:v>-4.0615389810130313</c:v>
                </c:pt>
                <c:pt idx="169">
                  <c:v>-1.6988508609660331</c:v>
                </c:pt>
                <c:pt idx="170">
                  <c:v>-0.79936621891503834</c:v>
                </c:pt>
                <c:pt idx="171">
                  <c:v>0.81411716304628734</c:v>
                </c:pt>
                <c:pt idx="172">
                  <c:v>-0.79596189939507656</c:v>
                </c:pt>
                <c:pt idx="173">
                  <c:v>1.7079926016797756E-2</c:v>
                </c:pt>
                <c:pt idx="174">
                  <c:v>-3.1563223934201448</c:v>
                </c:pt>
                <c:pt idx="175">
                  <c:v>-5.1883167815778082</c:v>
                </c:pt>
                <c:pt idx="176">
                  <c:v>-7.4055015400108779</c:v>
                </c:pt>
                <c:pt idx="177">
                  <c:v>-8.6891497594070568</c:v>
                </c:pt>
                <c:pt idx="178">
                  <c:v>-10.129545629291977</c:v>
                </c:pt>
                <c:pt idx="179">
                  <c:v>-10.520428848047995</c:v>
                </c:pt>
                <c:pt idx="180">
                  <c:v>-12.922877813792738</c:v>
                </c:pt>
                <c:pt idx="181">
                  <c:v>-14.226200514803427</c:v>
                </c:pt>
                <c:pt idx="182">
                  <c:v>-13.808065964606186</c:v>
                </c:pt>
                <c:pt idx="183">
                  <c:v>-14.382644417171125</c:v>
                </c:pt>
                <c:pt idx="184">
                  <c:v>-14.415105553808976</c:v>
                </c:pt>
                <c:pt idx="185">
                  <c:v>-15.231561077379425</c:v>
                </c:pt>
                <c:pt idx="186">
                  <c:v>-17.010009828147293</c:v>
                </c:pt>
                <c:pt idx="187">
                  <c:v>-13.865514617618654</c:v>
                </c:pt>
                <c:pt idx="188">
                  <c:v>-9.6051994127713947</c:v>
                </c:pt>
                <c:pt idx="189">
                  <c:v>-6.3150783522739102</c:v>
                </c:pt>
                <c:pt idx="190">
                  <c:v>-4.7927992936394546</c:v>
                </c:pt>
                <c:pt idx="191">
                  <c:v>-1.2792663079315203</c:v>
                </c:pt>
                <c:pt idx="192">
                  <c:v>-6.108569009018491</c:v>
                </c:pt>
                <c:pt idx="193">
                  <c:v>-8.2956692262676714</c:v>
                </c:pt>
                <c:pt idx="194">
                  <c:v>-7.1243329669639062</c:v>
                </c:pt>
                <c:pt idx="195">
                  <c:v>-7.5192052026069049</c:v>
                </c:pt>
                <c:pt idx="196">
                  <c:v>-7.2619686187557999</c:v>
                </c:pt>
                <c:pt idx="197">
                  <c:v>-9.0770026745932153</c:v>
                </c:pt>
                <c:pt idx="198">
                  <c:v>-10.528652091094534</c:v>
                </c:pt>
                <c:pt idx="199">
                  <c:v>-9.4068488464326965</c:v>
                </c:pt>
                <c:pt idx="200">
                  <c:v>-3.7374701798140313</c:v>
                </c:pt>
                <c:pt idx="201">
                  <c:v>1.4440314197709838</c:v>
                </c:pt>
                <c:pt idx="202">
                  <c:v>2.3258250576049639</c:v>
                </c:pt>
                <c:pt idx="203">
                  <c:v>4.982231283947371</c:v>
                </c:pt>
                <c:pt idx="204">
                  <c:v>5.5429974723773636</c:v>
                </c:pt>
                <c:pt idx="205">
                  <c:v>2.3203489254453684</c:v>
                </c:pt>
                <c:pt idx="206">
                  <c:v>-1.0071134697639332</c:v>
                </c:pt>
                <c:pt idx="207">
                  <c:v>-4.0523778730471314</c:v>
                </c:pt>
                <c:pt idx="208">
                  <c:v>-5.9633421051319901</c:v>
                </c:pt>
                <c:pt idx="209">
                  <c:v>-7.2030220961870501</c:v>
                </c:pt>
                <c:pt idx="210">
                  <c:v>-8.7175950449922954</c:v>
                </c:pt>
                <c:pt idx="211">
                  <c:v>-9.0953362432847662</c:v>
                </c:pt>
                <c:pt idx="212">
                  <c:v>-9.2091783905877431</c:v>
                </c:pt>
                <c:pt idx="213">
                  <c:v>0.99249601437539048</c:v>
                </c:pt>
                <c:pt idx="214">
                  <c:v>7.106213739286769</c:v>
                </c:pt>
                <c:pt idx="215">
                  <c:v>8.8575161300300937</c:v>
                </c:pt>
                <c:pt idx="216">
                  <c:v>10.120329706673379</c:v>
                </c:pt>
                <c:pt idx="217">
                  <c:v>11.0962742633108</c:v>
                </c:pt>
                <c:pt idx="218">
                  <c:v>8.3064850745775871</c:v>
                </c:pt>
                <c:pt idx="219">
                  <c:v>3.8454562762031399</c:v>
                </c:pt>
                <c:pt idx="220">
                  <c:v>-0.31205312520204453</c:v>
                </c:pt>
                <c:pt idx="221">
                  <c:v>-2.8873041654207832</c:v>
                </c:pt>
                <c:pt idx="222">
                  <c:v>-6.5390590943770253</c:v>
                </c:pt>
                <c:pt idx="223">
                  <c:v>-7.2912388307021692</c:v>
                </c:pt>
                <c:pt idx="224">
                  <c:v>-7.4828583807186098</c:v>
                </c:pt>
                <c:pt idx="225">
                  <c:v>-1.8043471638754256</c:v>
                </c:pt>
                <c:pt idx="226">
                  <c:v>0.37919898044590655</c:v>
                </c:pt>
                <c:pt idx="227">
                  <c:v>0.88265259043286992</c:v>
                </c:pt>
                <c:pt idx="228">
                  <c:v>2.7052745259187763</c:v>
                </c:pt>
                <c:pt idx="229">
                  <c:v>-0.26092188159534035</c:v>
                </c:pt>
                <c:pt idx="230">
                  <c:v>2.2623971117045127</c:v>
                </c:pt>
                <c:pt idx="231">
                  <c:v>2.574545835965627</c:v>
                </c:pt>
                <c:pt idx="232">
                  <c:v>3.8907393040897174</c:v>
                </c:pt>
                <c:pt idx="233">
                  <c:v>2.8595205673895405</c:v>
                </c:pt>
                <c:pt idx="234">
                  <c:v>0.10851521944088513</c:v>
                </c:pt>
                <c:pt idx="235">
                  <c:v>-0.77427144606406695</c:v>
                </c:pt>
                <c:pt idx="236">
                  <c:v>-1.0285341664943655</c:v>
                </c:pt>
                <c:pt idx="237">
                  <c:v>-0.85473723470589769</c:v>
                </c:pt>
                <c:pt idx="238">
                  <c:v>5.050864227415542E-2</c:v>
                </c:pt>
                <c:pt idx="239">
                  <c:v>-0.68851635777020903</c:v>
                </c:pt>
                <c:pt idx="240">
                  <c:v>-3.7278753744009143</c:v>
                </c:pt>
                <c:pt idx="241">
                  <c:v>-5.4561114705778806</c:v>
                </c:pt>
                <c:pt idx="242">
                  <c:v>-6.0484447086920561</c:v>
                </c:pt>
                <c:pt idx="243">
                  <c:v>-8.0421998859226278</c:v>
                </c:pt>
                <c:pt idx="244">
                  <c:v>-9.3135578511976966</c:v>
                </c:pt>
                <c:pt idx="245">
                  <c:v>-8.9165436589480418</c:v>
                </c:pt>
                <c:pt idx="246">
                  <c:v>-7.3333194334201979</c:v>
                </c:pt>
                <c:pt idx="247">
                  <c:v>-8.7838041978382417</c:v>
                </c:pt>
                <c:pt idx="248">
                  <c:v>-9.0389313513714384</c:v>
                </c:pt>
                <c:pt idx="249">
                  <c:v>-9.3620830138962212</c:v>
                </c:pt>
                <c:pt idx="250">
                  <c:v>-8.4384143141546026</c:v>
                </c:pt>
                <c:pt idx="251">
                  <c:v>-9.4424581246652224</c:v>
                </c:pt>
                <c:pt idx="252">
                  <c:v>-7.6011020411813455</c:v>
                </c:pt>
                <c:pt idx="253">
                  <c:v>-3.5088451934430172</c:v>
                </c:pt>
                <c:pt idx="254">
                  <c:v>-1.8787625085887174</c:v>
                </c:pt>
                <c:pt idx="255">
                  <c:v>-3.3975799072989408</c:v>
                </c:pt>
                <c:pt idx="256">
                  <c:v>-3.5896730553601848</c:v>
                </c:pt>
                <c:pt idx="257">
                  <c:v>-5.86724020038774</c:v>
                </c:pt>
                <c:pt idx="258">
                  <c:v>-6.9940481375884644</c:v>
                </c:pt>
                <c:pt idx="259">
                  <c:v>-8.1306934698790094</c:v>
                </c:pt>
                <c:pt idx="260">
                  <c:v>-10.735416538955288</c:v>
                </c:pt>
                <c:pt idx="261">
                  <c:v>-7.3168489893174646</c:v>
                </c:pt>
                <c:pt idx="262">
                  <c:v>2.093764729232836E-2</c:v>
                </c:pt>
                <c:pt idx="263">
                  <c:v>-3.428036025292009</c:v>
                </c:pt>
                <c:pt idx="264">
                  <c:v>-5.2345663437916974</c:v>
                </c:pt>
                <c:pt idx="265">
                  <c:v>-6.5043214498065671</c:v>
                </c:pt>
                <c:pt idx="266">
                  <c:v>-6.4889590206210253</c:v>
                </c:pt>
                <c:pt idx="267">
                  <c:v>-6.2743591045324827</c:v>
                </c:pt>
                <c:pt idx="268">
                  <c:v>-7.5386296666732484</c:v>
                </c:pt>
                <c:pt idx="269">
                  <c:v>-8.49632712983761</c:v>
                </c:pt>
                <c:pt idx="270">
                  <c:v>-8.6174965294125112</c:v>
                </c:pt>
                <c:pt idx="271">
                  <c:v>-9.0396397995244442</c:v>
                </c:pt>
                <c:pt idx="272">
                  <c:v>-8.6422555595552168</c:v>
                </c:pt>
                <c:pt idx="273">
                  <c:v>-7.6086970722823901</c:v>
                </c:pt>
                <c:pt idx="274">
                  <c:v>-7.2296176211425829</c:v>
                </c:pt>
                <c:pt idx="275">
                  <c:v>-5.4872405401195934</c:v>
                </c:pt>
                <c:pt idx="276">
                  <c:v>-3.5953891238686109</c:v>
                </c:pt>
                <c:pt idx="277">
                  <c:v>-1.9366875883056296</c:v>
                </c:pt>
                <c:pt idx="278">
                  <c:v>-1.8951102239401145</c:v>
                </c:pt>
                <c:pt idx="279">
                  <c:v>-3.5899227540981604</c:v>
                </c:pt>
                <c:pt idx="280">
                  <c:v>-3.2528848133599437</c:v>
                </c:pt>
                <c:pt idx="281">
                  <c:v>-1.9963535417182228</c:v>
                </c:pt>
                <c:pt idx="282">
                  <c:v>-0.83336689575484546</c:v>
                </c:pt>
                <c:pt idx="283">
                  <c:v>-1.5042401550457138</c:v>
                </c:pt>
                <c:pt idx="284">
                  <c:v>2.8442118863334716</c:v>
                </c:pt>
                <c:pt idx="285">
                  <c:v>7.4201484747172124</c:v>
                </c:pt>
                <c:pt idx="286">
                  <c:v>9.6667297872685598</c:v>
                </c:pt>
                <c:pt idx="287">
                  <c:v>11.97007585241038</c:v>
                </c:pt>
                <c:pt idx="288">
                  <c:v>10.699476120703716</c:v>
                </c:pt>
                <c:pt idx="289">
                  <c:v>7.9975166874334134</c:v>
                </c:pt>
                <c:pt idx="290">
                  <c:v>7.5786111064112207</c:v>
                </c:pt>
                <c:pt idx="291">
                  <c:v>5.8217417167808652</c:v>
                </c:pt>
                <c:pt idx="292">
                  <c:v>6.8093745252770637</c:v>
                </c:pt>
                <c:pt idx="293">
                  <c:v>5.6510047439165279</c:v>
                </c:pt>
                <c:pt idx="294">
                  <c:v>5.9913586448569207</c:v>
                </c:pt>
                <c:pt idx="295">
                  <c:v>4.5885744094989249</c:v>
                </c:pt>
                <c:pt idx="296">
                  <c:v>3.2900722289242958</c:v>
                </c:pt>
                <c:pt idx="297">
                  <c:v>1.8026795481147062</c:v>
                </c:pt>
                <c:pt idx="298">
                  <c:v>1.111647737508598</c:v>
                </c:pt>
                <c:pt idx="299">
                  <c:v>1.0520637747260317</c:v>
                </c:pt>
                <c:pt idx="300">
                  <c:v>1.4303900141029422</c:v>
                </c:pt>
                <c:pt idx="301">
                  <c:v>2.3243278227263167</c:v>
                </c:pt>
                <c:pt idx="302">
                  <c:v>2.6041947594871115</c:v>
                </c:pt>
                <c:pt idx="303">
                  <c:v>0.78324171594519776</c:v>
                </c:pt>
                <c:pt idx="304">
                  <c:v>-0.23834553878282708</c:v>
                </c:pt>
                <c:pt idx="305">
                  <c:v>-1.9855679552746606</c:v>
                </c:pt>
                <c:pt idx="306">
                  <c:v>-2.0485098105807817</c:v>
                </c:pt>
                <c:pt idx="307">
                  <c:v>-1.9263615957759654</c:v>
                </c:pt>
                <c:pt idx="308">
                  <c:v>-1.4093413744759575</c:v>
                </c:pt>
                <c:pt idx="309">
                  <c:v>-0.13679963483539248</c:v>
                </c:pt>
                <c:pt idx="310">
                  <c:v>-1.3099411679948347</c:v>
                </c:pt>
                <c:pt idx="311">
                  <c:v>-2.0085945974451702</c:v>
                </c:pt>
                <c:pt idx="312">
                  <c:v>-1.4531855208631275</c:v>
                </c:pt>
                <c:pt idx="313">
                  <c:v>-1.6884343105481507</c:v>
                </c:pt>
                <c:pt idx="314">
                  <c:v>-1.4947150187545819</c:v>
                </c:pt>
                <c:pt idx="315">
                  <c:v>-0.63689499072325939</c:v>
                </c:pt>
                <c:pt idx="316">
                  <c:v>-1.0382148773743656</c:v>
                </c:pt>
                <c:pt idx="317">
                  <c:v>1.4662352734206892</c:v>
                </c:pt>
                <c:pt idx="318">
                  <c:v>0.88409636510435663</c:v>
                </c:pt>
                <c:pt idx="319">
                  <c:v>7.370388634469073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D-2D40-BB2E-D7AA7BE0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'240823B011'!$A$2:$A$321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'240823B011'!$J$2:$J$321</c:f>
              <c:numCache>
                <c:formatCode>0.0</c:formatCode>
                <c:ptCount val="320"/>
                <c:pt idx="0">
                  <c:v>1009.05329744505</c:v>
                </c:pt>
                <c:pt idx="1">
                  <c:v>964.7452938010299</c:v>
                </c:pt>
                <c:pt idx="2">
                  <c:v>1000.41003271354</c:v>
                </c:pt>
                <c:pt idx="3">
                  <c:v>900.23683796428986</c:v>
                </c:pt>
                <c:pt idx="4">
                  <c:v>1021.89577705086</c:v>
                </c:pt>
                <c:pt idx="5">
                  <c:v>946.31080790098008</c:v>
                </c:pt>
                <c:pt idx="6">
                  <c:v>919.11112758288994</c:v>
                </c:pt>
                <c:pt idx="7">
                  <c:v>930.19070354883002</c:v>
                </c:pt>
                <c:pt idx="8">
                  <c:v>958.63569174703002</c:v>
                </c:pt>
                <c:pt idx="9">
                  <c:v>902.85359725042986</c:v>
                </c:pt>
                <c:pt idx="10">
                  <c:v>755.59295126093002</c:v>
                </c:pt>
                <c:pt idx="11">
                  <c:v>1297.37940036501</c:v>
                </c:pt>
                <c:pt idx="12">
                  <c:v>1277.8571302011499</c:v>
                </c:pt>
                <c:pt idx="13">
                  <c:v>984.58667063147004</c:v>
                </c:pt>
                <c:pt idx="14">
                  <c:v>874.50854418309996</c:v>
                </c:pt>
                <c:pt idx="15">
                  <c:v>1013.1925453564402</c:v>
                </c:pt>
                <c:pt idx="16">
                  <c:v>894.87178394982993</c:v>
                </c:pt>
                <c:pt idx="17">
                  <c:v>957.80400563532987</c:v>
                </c:pt>
                <c:pt idx="18">
                  <c:v>962.33995359145001</c:v>
                </c:pt>
                <c:pt idx="19">
                  <c:v>937.8472430439499</c:v>
                </c:pt>
                <c:pt idx="20">
                  <c:v>929.0940613669701</c:v>
                </c:pt>
                <c:pt idx="21">
                  <c:v>884.66918484117002</c:v>
                </c:pt>
                <c:pt idx="22">
                  <c:v>917.87067335597999</c:v>
                </c:pt>
                <c:pt idx="23">
                  <c:v>917.56077436029011</c:v>
                </c:pt>
                <c:pt idx="24">
                  <c:v>893.6406468284099</c:v>
                </c:pt>
                <c:pt idx="25">
                  <c:v>870.89920396766001</c:v>
                </c:pt>
                <c:pt idx="26">
                  <c:v>862.54705176293999</c:v>
                </c:pt>
                <c:pt idx="27">
                  <c:v>901.01265899806992</c:v>
                </c:pt>
                <c:pt idx="28">
                  <c:v>849.88185241056999</c:v>
                </c:pt>
                <c:pt idx="29">
                  <c:v>861.22876898596996</c:v>
                </c:pt>
                <c:pt idx="30">
                  <c:v>850.75732057613993</c:v>
                </c:pt>
                <c:pt idx="31">
                  <c:v>843.05722675703998</c:v>
                </c:pt>
                <c:pt idx="32">
                  <c:v>796.91875431382005</c:v>
                </c:pt>
                <c:pt idx="33">
                  <c:v>807.93928903971005</c:v>
                </c:pt>
                <c:pt idx="34">
                  <c:v>798.99306999937994</c:v>
                </c:pt>
                <c:pt idx="35">
                  <c:v>809.37138777960001</c:v>
                </c:pt>
                <c:pt idx="36">
                  <c:v>816.17547269756005</c:v>
                </c:pt>
                <c:pt idx="37">
                  <c:v>849.96982244598007</c:v>
                </c:pt>
                <c:pt idx="38">
                  <c:v>849.24440135082</c:v>
                </c:pt>
                <c:pt idx="39">
                  <c:v>868.56274721860007</c:v>
                </c:pt>
                <c:pt idx="40">
                  <c:v>867.60646114322003</c:v>
                </c:pt>
                <c:pt idx="41">
                  <c:v>860.47903453704998</c:v>
                </c:pt>
                <c:pt idx="42">
                  <c:v>817.77298283440007</c:v>
                </c:pt>
                <c:pt idx="43">
                  <c:v>822.83615556845007</c:v>
                </c:pt>
                <c:pt idx="44">
                  <c:v>817.75245625672994</c:v>
                </c:pt>
                <c:pt idx="45">
                  <c:v>847.48078447632997</c:v>
                </c:pt>
                <c:pt idx="46">
                  <c:v>851.42222655277999</c:v>
                </c:pt>
                <c:pt idx="47">
                  <c:v>843.31723194295</c:v>
                </c:pt>
                <c:pt idx="48">
                  <c:v>875.01170080437998</c:v>
                </c:pt>
                <c:pt idx="49">
                  <c:v>870.13357658178995</c:v>
                </c:pt>
                <c:pt idx="50">
                  <c:v>872.47816485613998</c:v>
                </c:pt>
                <c:pt idx="51">
                  <c:v>871.47771622857999</c:v>
                </c:pt>
                <c:pt idx="52">
                  <c:v>865.26445973960995</c:v>
                </c:pt>
                <c:pt idx="53">
                  <c:v>870.22661331786992</c:v>
                </c:pt>
                <c:pt idx="54">
                  <c:v>859.55622025042999</c:v>
                </c:pt>
                <c:pt idx="55">
                  <c:v>875.63695745912992</c:v>
                </c:pt>
                <c:pt idx="56">
                  <c:v>862.18018160709994</c:v>
                </c:pt>
                <c:pt idx="57">
                  <c:v>863.64774027697001</c:v>
                </c:pt>
                <c:pt idx="58">
                  <c:v>873.36664814664005</c:v>
                </c:pt>
                <c:pt idx="59">
                  <c:v>853.78726428393998</c:v>
                </c:pt>
                <c:pt idx="60">
                  <c:v>858.0085728501499</c:v>
                </c:pt>
                <c:pt idx="61">
                  <c:v>857.53686955801004</c:v>
                </c:pt>
                <c:pt idx="62">
                  <c:v>855.90605522845999</c:v>
                </c:pt>
                <c:pt idx="63">
                  <c:v>866.63302927275004</c:v>
                </c:pt>
                <c:pt idx="64">
                  <c:v>864.78452110456999</c:v>
                </c:pt>
                <c:pt idx="65">
                  <c:v>858.36846172982996</c:v>
                </c:pt>
                <c:pt idx="66">
                  <c:v>861.50990380628002</c:v>
                </c:pt>
                <c:pt idx="67">
                  <c:v>860.95270005805003</c:v>
                </c:pt>
                <c:pt idx="68">
                  <c:v>868.53278215440992</c:v>
                </c:pt>
                <c:pt idx="69">
                  <c:v>847.17418525583003</c:v>
                </c:pt>
                <c:pt idx="70">
                  <c:v>845.82452110456995</c:v>
                </c:pt>
                <c:pt idx="71">
                  <c:v>839.57005556015997</c:v>
                </c:pt>
                <c:pt idx="72">
                  <c:v>846.70250269507994</c:v>
                </c:pt>
                <c:pt idx="73">
                  <c:v>845.01116095862005</c:v>
                </c:pt>
                <c:pt idx="74">
                  <c:v>843.43929264450003</c:v>
                </c:pt>
                <c:pt idx="75">
                  <c:v>848.87548055394006</c:v>
                </c:pt>
                <c:pt idx="76">
                  <c:v>846.25010365701996</c:v>
                </c:pt>
                <c:pt idx="77">
                  <c:v>848.34171324321994</c:v>
                </c:pt>
                <c:pt idx="78">
                  <c:v>852.59730408823998</c:v>
                </c:pt>
                <c:pt idx="79">
                  <c:v>858.19298034663007</c:v>
                </c:pt>
                <c:pt idx="80">
                  <c:v>873.84520938713001</c:v>
                </c:pt>
                <c:pt idx="81">
                  <c:v>856.45868645824999</c:v>
                </c:pt>
                <c:pt idx="82">
                  <c:v>805.41145368603998</c:v>
                </c:pt>
                <c:pt idx="83">
                  <c:v>819.51318394802001</c:v>
                </c:pt>
                <c:pt idx="84">
                  <c:v>800.23354338907995</c:v>
                </c:pt>
                <c:pt idx="85">
                  <c:v>811.89428809429</c:v>
                </c:pt>
                <c:pt idx="86">
                  <c:v>824.78635873300004</c:v>
                </c:pt>
                <c:pt idx="87">
                  <c:v>836.19207142710002</c:v>
                </c:pt>
                <c:pt idx="88">
                  <c:v>847.64152579195991</c:v>
                </c:pt>
                <c:pt idx="89">
                  <c:v>840.68931324877997</c:v>
                </c:pt>
                <c:pt idx="90">
                  <c:v>826.81665045831005</c:v>
                </c:pt>
                <c:pt idx="91">
                  <c:v>817.25250518285009</c:v>
                </c:pt>
                <c:pt idx="92">
                  <c:v>812.12053072393996</c:v>
                </c:pt>
                <c:pt idx="93">
                  <c:v>827.46377809105002</c:v>
                </c:pt>
                <c:pt idx="94">
                  <c:v>828.67808110124997</c:v>
                </c:pt>
                <c:pt idx="95">
                  <c:v>803.12640683306995</c:v>
                </c:pt>
                <c:pt idx="96">
                  <c:v>792.64281449539999</c:v>
                </c:pt>
                <c:pt idx="97">
                  <c:v>808.17008287810006</c:v>
                </c:pt>
                <c:pt idx="98">
                  <c:v>828.13297384873999</c:v>
                </c:pt>
                <c:pt idx="99">
                  <c:v>823.37334773487009</c:v>
                </c:pt>
                <c:pt idx="100">
                  <c:v>822.01848743676999</c:v>
                </c:pt>
                <c:pt idx="101">
                  <c:v>820.32663653702002</c:v>
                </c:pt>
                <c:pt idx="102">
                  <c:v>760.99495895182008</c:v>
                </c:pt>
                <c:pt idx="103">
                  <c:v>802.84230238070995</c:v>
                </c:pt>
                <c:pt idx="104">
                  <c:v>811.19152220962997</c:v>
                </c:pt>
                <c:pt idx="105">
                  <c:v>807.93951973616004</c:v>
                </c:pt>
                <c:pt idx="106">
                  <c:v>821.25119859836991</c:v>
                </c:pt>
                <c:pt idx="107">
                  <c:v>815.80176646398002</c:v>
                </c:pt>
                <c:pt idx="108">
                  <c:v>837.27354921315998</c:v>
                </c:pt>
                <c:pt idx="109">
                  <c:v>843.11837429267007</c:v>
                </c:pt>
                <c:pt idx="110">
                  <c:v>840.47229275948996</c:v>
                </c:pt>
                <c:pt idx="111">
                  <c:v>838.86549419685002</c:v>
                </c:pt>
                <c:pt idx="112">
                  <c:v>816.70637256315001</c:v>
                </c:pt>
                <c:pt idx="113">
                  <c:v>818.13298927476001</c:v>
                </c:pt>
                <c:pt idx="114">
                  <c:v>818.74588220763007</c:v>
                </c:pt>
                <c:pt idx="115">
                  <c:v>831.42449545079</c:v>
                </c:pt>
                <c:pt idx="116">
                  <c:v>838.22279569892999</c:v>
                </c:pt>
                <c:pt idx="117">
                  <c:v>840.64515301901997</c:v>
                </c:pt>
                <c:pt idx="118">
                  <c:v>823.82809346567001</c:v>
                </c:pt>
                <c:pt idx="119">
                  <c:v>825.79127377997997</c:v>
                </c:pt>
                <c:pt idx="120">
                  <c:v>840.6753928866799</c:v>
                </c:pt>
                <c:pt idx="121">
                  <c:v>817.53507444169009</c:v>
                </c:pt>
                <c:pt idx="122">
                  <c:v>831.82211745244001</c:v>
                </c:pt>
                <c:pt idx="123">
                  <c:v>818.82496691481003</c:v>
                </c:pt>
                <c:pt idx="124">
                  <c:v>849.27950785772998</c:v>
                </c:pt>
                <c:pt idx="125">
                  <c:v>863.43254755997009</c:v>
                </c:pt>
                <c:pt idx="126">
                  <c:v>865.80746071133001</c:v>
                </c:pt>
                <c:pt idx="127">
                  <c:v>857.28266335814999</c:v>
                </c:pt>
                <c:pt idx="128">
                  <c:v>836.94992555831004</c:v>
                </c:pt>
                <c:pt idx="129">
                  <c:v>841.51497932175994</c:v>
                </c:pt>
                <c:pt idx="130">
                  <c:v>811.22527708849998</c:v>
                </c:pt>
                <c:pt idx="131">
                  <c:v>793.68815106215993</c:v>
                </c:pt>
                <c:pt idx="132">
                  <c:v>809.6252780653499</c:v>
                </c:pt>
                <c:pt idx="133">
                  <c:v>795.81314008861</c:v>
                </c:pt>
                <c:pt idx="134">
                  <c:v>851.52878005490004</c:v>
                </c:pt>
                <c:pt idx="135">
                  <c:v>841.30549852434001</c:v>
                </c:pt>
                <c:pt idx="136">
                  <c:v>823.10418260995004</c:v>
                </c:pt>
                <c:pt idx="137">
                  <c:v>830.69579456596</c:v>
                </c:pt>
                <c:pt idx="138">
                  <c:v>823.87398502824999</c:v>
                </c:pt>
                <c:pt idx="139">
                  <c:v>819.00145380235995</c:v>
                </c:pt>
                <c:pt idx="140">
                  <c:v>839.06420418291998</c:v>
                </c:pt>
                <c:pt idx="141">
                  <c:v>847.28316742081006</c:v>
                </c:pt>
                <c:pt idx="142">
                  <c:v>824.15512146296999</c:v>
                </c:pt>
                <c:pt idx="143">
                  <c:v>795.06336801717998</c:v>
                </c:pt>
                <c:pt idx="144">
                  <c:v>837.72816577931007</c:v>
                </c:pt>
                <c:pt idx="145">
                  <c:v>843.86569459063003</c:v>
                </c:pt>
                <c:pt idx="146">
                  <c:v>818.63830062121997</c:v>
                </c:pt>
                <c:pt idx="147">
                  <c:v>777.36490991269</c:v>
                </c:pt>
                <c:pt idx="148">
                  <c:v>784.39135203187004</c:v>
                </c:pt>
                <c:pt idx="149">
                  <c:v>723.25050934880994</c:v>
                </c:pt>
                <c:pt idx="150">
                  <c:v>751.06707856565993</c:v>
                </c:pt>
                <c:pt idx="151">
                  <c:v>737.59400827551997</c:v>
                </c:pt>
                <c:pt idx="152">
                  <c:v>762.30556849924005</c:v>
                </c:pt>
                <c:pt idx="153">
                  <c:v>737.17373874898999</c:v>
                </c:pt>
                <c:pt idx="154">
                  <c:v>706.16091828923004</c:v>
                </c:pt>
                <c:pt idx="155">
                  <c:v>817.39167513743007</c:v>
                </c:pt>
                <c:pt idx="156">
                  <c:v>830.64163040759991</c:v>
                </c:pt>
                <c:pt idx="157">
                  <c:v>800.43131282820991</c:v>
                </c:pt>
                <c:pt idx="158">
                  <c:v>814.44261937132001</c:v>
                </c:pt>
                <c:pt idx="159">
                  <c:v>798.38756231203001</c:v>
                </c:pt>
                <c:pt idx="160">
                  <c:v>800.88684233279002</c:v>
                </c:pt>
                <c:pt idx="161">
                  <c:v>797.77748605306999</c:v>
                </c:pt>
                <c:pt idx="162">
                  <c:v>792.94703872203002</c:v>
                </c:pt>
                <c:pt idx="163">
                  <c:v>762.26143812915006</c:v>
                </c:pt>
                <c:pt idx="164">
                  <c:v>796.82478621569999</c:v>
                </c:pt>
                <c:pt idx="165">
                  <c:v>808.1945093357001</c:v>
                </c:pt>
                <c:pt idx="166">
                  <c:v>814.87542787738994</c:v>
                </c:pt>
                <c:pt idx="167">
                  <c:v>836.74280820205001</c:v>
                </c:pt>
                <c:pt idx="168">
                  <c:v>831.29031841294</c:v>
                </c:pt>
                <c:pt idx="169">
                  <c:v>823.35684587814001</c:v>
                </c:pt>
                <c:pt idx="170">
                  <c:v>802.07901440610999</c:v>
                </c:pt>
                <c:pt idx="171">
                  <c:v>789.20598746211999</c:v>
                </c:pt>
                <c:pt idx="172">
                  <c:v>770.78300494043003</c:v>
                </c:pt>
                <c:pt idx="173">
                  <c:v>777.28042014363996</c:v>
                </c:pt>
                <c:pt idx="174">
                  <c:v>761.2652883298</c:v>
                </c:pt>
                <c:pt idx="175">
                  <c:v>773.33710134096998</c:v>
                </c:pt>
                <c:pt idx="176">
                  <c:v>769.78832067090002</c:v>
                </c:pt>
                <c:pt idx="177">
                  <c:v>778.24436334951997</c:v>
                </c:pt>
                <c:pt idx="178">
                  <c:v>789.6290513555</c:v>
                </c:pt>
                <c:pt idx="179">
                  <c:v>772.73572300411001</c:v>
                </c:pt>
                <c:pt idx="180">
                  <c:v>805.77429816914002</c:v>
                </c:pt>
                <c:pt idx="181">
                  <c:v>820.62108772367003</c:v>
                </c:pt>
                <c:pt idx="182">
                  <c:v>781.31334993979999</c:v>
                </c:pt>
                <c:pt idx="183">
                  <c:v>784.05376759247997</c:v>
                </c:pt>
                <c:pt idx="184">
                  <c:v>768.32149043052004</c:v>
                </c:pt>
                <c:pt idx="185">
                  <c:v>754.46118985344992</c:v>
                </c:pt>
                <c:pt idx="186">
                  <c:v>766.35424155269004</c:v>
                </c:pt>
                <c:pt idx="187">
                  <c:v>724.37509693972993</c:v>
                </c:pt>
                <c:pt idx="188">
                  <c:v>788.79824790383998</c:v>
                </c:pt>
                <c:pt idx="189">
                  <c:v>760.6715740779</c:v>
                </c:pt>
                <c:pt idx="190">
                  <c:v>779.12288298707006</c:v>
                </c:pt>
                <c:pt idx="191">
                  <c:v>709.12631696337007</c:v>
                </c:pt>
                <c:pt idx="192">
                  <c:v>685.82415100574008</c:v>
                </c:pt>
                <c:pt idx="193">
                  <c:v>786.57565726581993</c:v>
                </c:pt>
                <c:pt idx="194">
                  <c:v>826.49143040411002</c:v>
                </c:pt>
                <c:pt idx="195">
                  <c:v>809.61228914164997</c:v>
                </c:pt>
                <c:pt idx="196">
                  <c:v>831.06017403195005</c:v>
                </c:pt>
                <c:pt idx="197">
                  <c:v>808.63912735410008</c:v>
                </c:pt>
                <c:pt idx="198">
                  <c:v>847.89150309735999</c:v>
                </c:pt>
                <c:pt idx="199">
                  <c:v>845.60607288623999</c:v>
                </c:pt>
                <c:pt idx="200">
                  <c:v>841.96896886070999</c:v>
                </c:pt>
                <c:pt idx="201">
                  <c:v>823.54418091034995</c:v>
                </c:pt>
                <c:pt idx="202">
                  <c:v>878.58070324651999</c:v>
                </c:pt>
                <c:pt idx="203">
                  <c:v>858.08981640908996</c:v>
                </c:pt>
                <c:pt idx="204">
                  <c:v>839.71240120319999</c:v>
                </c:pt>
                <c:pt idx="205">
                  <c:v>821.0690944922701</c:v>
                </c:pt>
                <c:pt idx="206">
                  <c:v>807.42991805829001</c:v>
                </c:pt>
                <c:pt idx="207">
                  <c:v>821.53342059157001</c:v>
                </c:pt>
                <c:pt idx="208">
                  <c:v>841.94523549418</c:v>
                </c:pt>
                <c:pt idx="209">
                  <c:v>827.70069256931004</c:v>
                </c:pt>
                <c:pt idx="210">
                  <c:v>843.48490799565002</c:v>
                </c:pt>
                <c:pt idx="211">
                  <c:v>856.64102880404994</c:v>
                </c:pt>
                <c:pt idx="212">
                  <c:v>844.80366824975999</c:v>
                </c:pt>
                <c:pt idx="213">
                  <c:v>854.88251900289993</c:v>
                </c:pt>
                <c:pt idx="214">
                  <c:v>844.32573522981011</c:v>
                </c:pt>
                <c:pt idx="215">
                  <c:v>858.87597326058994</c:v>
                </c:pt>
                <c:pt idx="216">
                  <c:v>898.46899019139005</c:v>
                </c:pt>
                <c:pt idx="217">
                  <c:v>904.70343447390007</c:v>
                </c:pt>
                <c:pt idx="218">
                  <c:v>920.08748911890996</c:v>
                </c:pt>
                <c:pt idx="219">
                  <c:v>958.70598096587003</c:v>
                </c:pt>
                <c:pt idx="220">
                  <c:v>952.45473583378998</c:v>
                </c:pt>
                <c:pt idx="221">
                  <c:v>954.68712801181994</c:v>
                </c:pt>
                <c:pt idx="222">
                  <c:v>978.63018097004988</c:v>
                </c:pt>
                <c:pt idx="223">
                  <c:v>982.21920823009998</c:v>
                </c:pt>
                <c:pt idx="224">
                  <c:v>972.41395655888016</c:v>
                </c:pt>
                <c:pt idx="225">
                  <c:v>984.93317770047997</c:v>
                </c:pt>
                <c:pt idx="226">
                  <c:v>1003.7735796247199</c:v>
                </c:pt>
                <c:pt idx="227">
                  <c:v>1025.24515379325</c:v>
                </c:pt>
                <c:pt idx="228">
                  <c:v>988.97724328902007</c:v>
                </c:pt>
                <c:pt idx="229">
                  <c:v>982.77643859393004</c:v>
                </c:pt>
                <c:pt idx="230">
                  <c:v>969.74079436260001</c:v>
                </c:pt>
                <c:pt idx="231">
                  <c:v>981.66467442292003</c:v>
                </c:pt>
                <c:pt idx="232">
                  <c:v>991.27894732491995</c:v>
                </c:pt>
                <c:pt idx="233">
                  <c:v>983.38326713650008</c:v>
                </c:pt>
                <c:pt idx="234">
                  <c:v>982.91540245088015</c:v>
                </c:pt>
                <c:pt idx="235">
                  <c:v>986.41108677235002</c:v>
                </c:pt>
                <c:pt idx="236">
                  <c:v>987.69793308674014</c:v>
                </c:pt>
                <c:pt idx="237">
                  <c:v>981.59105288173998</c:v>
                </c:pt>
                <c:pt idx="238">
                  <c:v>982.85357731807994</c:v>
                </c:pt>
                <c:pt idx="239">
                  <c:v>988.04736831231003</c:v>
                </c:pt>
                <c:pt idx="240">
                  <c:v>986.32732574235001</c:v>
                </c:pt>
                <c:pt idx="241">
                  <c:v>1010.1596077783302</c:v>
                </c:pt>
                <c:pt idx="242">
                  <c:v>1011.96156640698</c:v>
                </c:pt>
                <c:pt idx="243">
                  <c:v>1001.83796449754</c:v>
                </c:pt>
                <c:pt idx="244">
                  <c:v>970.90852017940006</c:v>
                </c:pt>
                <c:pt idx="245">
                  <c:v>970.11317021763011</c:v>
                </c:pt>
                <c:pt idx="246">
                  <c:v>963.04979975616004</c:v>
                </c:pt>
                <c:pt idx="247">
                  <c:v>930.39367898991009</c:v>
                </c:pt>
                <c:pt idx="248">
                  <c:v>933.58378665450005</c:v>
                </c:pt>
                <c:pt idx="249">
                  <c:v>938.81739207699991</c:v>
                </c:pt>
                <c:pt idx="250">
                  <c:v>931.10160319064005</c:v>
                </c:pt>
                <c:pt idx="251">
                  <c:v>914.99961273794997</c:v>
                </c:pt>
                <c:pt idx="252">
                  <c:v>903.60244880243999</c:v>
                </c:pt>
                <c:pt idx="253">
                  <c:v>918.86733318178995</c:v>
                </c:pt>
                <c:pt idx="254">
                  <c:v>896.51894773825995</c:v>
                </c:pt>
                <c:pt idx="255">
                  <c:v>900.40563162570004</c:v>
                </c:pt>
                <c:pt idx="256">
                  <c:v>910.74953770292007</c:v>
                </c:pt>
                <c:pt idx="257">
                  <c:v>925.36718717898998</c:v>
                </c:pt>
                <c:pt idx="258">
                  <c:v>923.02290938977001</c:v>
                </c:pt>
                <c:pt idx="259">
                  <c:v>913.16899116501008</c:v>
                </c:pt>
                <c:pt idx="260">
                  <c:v>909.63048695294992</c:v>
                </c:pt>
                <c:pt idx="261">
                  <c:v>906.60483254571</c:v>
                </c:pt>
                <c:pt idx="262">
                  <c:v>918.16949660987007</c:v>
                </c:pt>
                <c:pt idx="263">
                  <c:v>909.08696938569005</c:v>
                </c:pt>
                <c:pt idx="264">
                  <c:v>899.60802547770015</c:v>
                </c:pt>
                <c:pt idx="265">
                  <c:v>899.48159441132009</c:v>
                </c:pt>
                <c:pt idx="266">
                  <c:v>902.97468255595993</c:v>
                </c:pt>
                <c:pt idx="267">
                  <c:v>912.15169919866992</c:v>
                </c:pt>
                <c:pt idx="268">
                  <c:v>915.29297719331998</c:v>
                </c:pt>
                <c:pt idx="269">
                  <c:v>910.73916170129007</c:v>
                </c:pt>
                <c:pt idx="270">
                  <c:v>928.81374152451997</c:v>
                </c:pt>
                <c:pt idx="271">
                  <c:v>925.33022395725993</c:v>
                </c:pt>
                <c:pt idx="272">
                  <c:v>917.90142592977008</c:v>
                </c:pt>
                <c:pt idx="273">
                  <c:v>911.91481405381001</c:v>
                </c:pt>
                <c:pt idx="274">
                  <c:v>921.38562564212998</c:v>
                </c:pt>
                <c:pt idx="275">
                  <c:v>919.76650092464001</c:v>
                </c:pt>
                <c:pt idx="276">
                  <c:v>926.72359975345989</c:v>
                </c:pt>
                <c:pt idx="277">
                  <c:v>913.10512019727003</c:v>
                </c:pt>
                <c:pt idx="278">
                  <c:v>909.91876309840995</c:v>
                </c:pt>
                <c:pt idx="279">
                  <c:v>906.06437230325014</c:v>
                </c:pt>
                <c:pt idx="280">
                  <c:v>916.76428189846001</c:v>
                </c:pt>
                <c:pt idx="281">
                  <c:v>916.60248613111992</c:v>
                </c:pt>
                <c:pt idx="282">
                  <c:v>909.50284364085007</c:v>
                </c:pt>
                <c:pt idx="283">
                  <c:v>904.99065543459994</c:v>
                </c:pt>
                <c:pt idx="284">
                  <c:v>911.56601602632009</c:v>
                </c:pt>
                <c:pt idx="285">
                  <c:v>919.4766303677701</c:v>
                </c:pt>
                <c:pt idx="286">
                  <c:v>909.86169714405003</c:v>
                </c:pt>
                <c:pt idx="287">
                  <c:v>906.30979658926003</c:v>
                </c:pt>
                <c:pt idx="288">
                  <c:v>915.82688719948999</c:v>
                </c:pt>
                <c:pt idx="289">
                  <c:v>920.85217176906997</c:v>
                </c:pt>
                <c:pt idx="290">
                  <c:v>918.14239983566995</c:v>
                </c:pt>
                <c:pt idx="291">
                  <c:v>913.81401684814</c:v>
                </c:pt>
                <c:pt idx="292">
                  <c:v>906.12523525783001</c:v>
                </c:pt>
                <c:pt idx="293">
                  <c:v>912.04765974937993</c:v>
                </c:pt>
                <c:pt idx="294">
                  <c:v>909.19339634273001</c:v>
                </c:pt>
                <c:pt idx="295">
                  <c:v>910.39581261557998</c:v>
                </c:pt>
                <c:pt idx="296">
                  <c:v>908.11578385045993</c:v>
                </c:pt>
                <c:pt idx="297">
                  <c:v>911.14463118969991</c:v>
                </c:pt>
                <c:pt idx="298">
                  <c:v>921.26508732281002</c:v>
                </c:pt>
                <c:pt idx="299">
                  <c:v>920.10645983149004</c:v>
                </c:pt>
                <c:pt idx="300">
                  <c:v>914.85580028763991</c:v>
                </c:pt>
                <c:pt idx="301">
                  <c:v>878.60955330187005</c:v>
                </c:pt>
                <c:pt idx="302">
                  <c:v>836.33217184863997</c:v>
                </c:pt>
                <c:pt idx="303">
                  <c:v>840.60004306595999</c:v>
                </c:pt>
                <c:pt idx="304">
                  <c:v>839.30537662015001</c:v>
                </c:pt>
                <c:pt idx="305">
                  <c:v>817.86991345396996</c:v>
                </c:pt>
                <c:pt idx="306">
                  <c:v>812.09456758488</c:v>
                </c:pt>
                <c:pt idx="307">
                  <c:v>807.38583455601997</c:v>
                </c:pt>
                <c:pt idx="308">
                  <c:v>796.69670558575001</c:v>
                </c:pt>
                <c:pt idx="309">
                  <c:v>824.13077101112992</c:v>
                </c:pt>
                <c:pt idx="310">
                  <c:v>813.38927403855996</c:v>
                </c:pt>
                <c:pt idx="311">
                  <c:v>810.52121551527989</c:v>
                </c:pt>
                <c:pt idx="312">
                  <c:v>827.81612944555002</c:v>
                </c:pt>
                <c:pt idx="313">
                  <c:v>830.20328627728998</c:v>
                </c:pt>
                <c:pt idx="314">
                  <c:v>822.51263548595</c:v>
                </c:pt>
                <c:pt idx="315">
                  <c:v>814.96151927769006</c:v>
                </c:pt>
                <c:pt idx="316">
                  <c:v>813.88308651499995</c:v>
                </c:pt>
                <c:pt idx="317">
                  <c:v>807.62883166169001</c:v>
                </c:pt>
                <c:pt idx="318">
                  <c:v>800.28438063272995</c:v>
                </c:pt>
                <c:pt idx="319">
                  <c:v>799.7695398512401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5-A149-8DCD-C9CC91FAA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A-D146-9372-905ECCFEEFFB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'240823B011'!$A$2:$A$321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'240823B011'!$P$2:$P$321</c:f>
              <c:numCache>
                <c:formatCode>General</c:formatCode>
                <c:ptCount val="320"/>
                <c:pt idx="0">
                  <c:v>32.852814873866762</c:v>
                </c:pt>
                <c:pt idx="1">
                  <c:v>36.082501983548227</c:v>
                </c:pt>
                <c:pt idx="2">
                  <c:v>32.919417235471897</c:v>
                </c:pt>
                <c:pt idx="3">
                  <c:v>31.16799814281379</c:v>
                </c:pt>
                <c:pt idx="4">
                  <c:v>25.021825137349555</c:v>
                </c:pt>
                <c:pt idx="5">
                  <c:v>29.983036988602553</c:v>
                </c:pt>
                <c:pt idx="6">
                  <c:v>35.406936443031455</c:v>
                </c:pt>
                <c:pt idx="7">
                  <c:v>30.097969362753584</c:v>
                </c:pt>
                <c:pt idx="8">
                  <c:v>32.955345330131422</c:v>
                </c:pt>
                <c:pt idx="9">
                  <c:v>29.692599182787998</c:v>
                </c:pt>
                <c:pt idx="10">
                  <c:v>33.648379184720959</c:v>
                </c:pt>
                <c:pt idx="11">
                  <c:v>6.5452503137115761</c:v>
                </c:pt>
                <c:pt idx="12">
                  <c:v>3.3280075031853706</c:v>
                </c:pt>
                <c:pt idx="13">
                  <c:v>2.9262423251168386</c:v>
                </c:pt>
                <c:pt idx="14">
                  <c:v>6.048448360225092</c:v>
                </c:pt>
                <c:pt idx="15">
                  <c:v>3.0507328363327186</c:v>
                </c:pt>
                <c:pt idx="16">
                  <c:v>3.1378170532097469</c:v>
                </c:pt>
                <c:pt idx="17">
                  <c:v>-0.27981303110856609</c:v>
                </c:pt>
                <c:pt idx="18">
                  <c:v>-2.1980735962719349</c:v>
                </c:pt>
                <c:pt idx="19">
                  <c:v>-2.4726976067592328</c:v>
                </c:pt>
                <c:pt idx="20">
                  <c:v>-2.7076309258688163</c:v>
                </c:pt>
                <c:pt idx="21">
                  <c:v>3.2847332932909583</c:v>
                </c:pt>
                <c:pt idx="22">
                  <c:v>7.4342145527281245</c:v>
                </c:pt>
                <c:pt idx="23">
                  <c:v>2.3147783516784104</c:v>
                </c:pt>
                <c:pt idx="24">
                  <c:v>1.4134061306956982</c:v>
                </c:pt>
                <c:pt idx="25">
                  <c:v>0.4507570944617913</c:v>
                </c:pt>
                <c:pt idx="26">
                  <c:v>0.83100255942071877</c:v>
                </c:pt>
                <c:pt idx="27">
                  <c:v>-0.9146983591094181</c:v>
                </c:pt>
                <c:pt idx="28">
                  <c:v>-1.1377065395878574</c:v>
                </c:pt>
                <c:pt idx="29">
                  <c:v>-0.62913808897108447</c:v>
                </c:pt>
                <c:pt idx="30">
                  <c:v>3.2298442013176061</c:v>
                </c:pt>
                <c:pt idx="31">
                  <c:v>3.403671742576706</c:v>
                </c:pt>
                <c:pt idx="32">
                  <c:v>6.4063256574445715</c:v>
                </c:pt>
                <c:pt idx="33">
                  <c:v>4.7846455872614202</c:v>
                </c:pt>
                <c:pt idx="34">
                  <c:v>3.9409021312491377</c:v>
                </c:pt>
                <c:pt idx="35">
                  <c:v>3.456243306771932</c:v>
                </c:pt>
                <c:pt idx="36">
                  <c:v>2.8173372391801479</c:v>
                </c:pt>
                <c:pt idx="37">
                  <c:v>1.057558967941933</c:v>
                </c:pt>
                <c:pt idx="38">
                  <c:v>-0.50338835576538665</c:v>
                </c:pt>
                <c:pt idx="39">
                  <c:v>-2.1184170735780898</c:v>
                </c:pt>
                <c:pt idx="40">
                  <c:v>-1.1636916374648163</c:v>
                </c:pt>
                <c:pt idx="41">
                  <c:v>-2.0193265635384621</c:v>
                </c:pt>
                <c:pt idx="42">
                  <c:v>-1.0336293944337247</c:v>
                </c:pt>
                <c:pt idx="43">
                  <c:v>-0.33792098379834234</c:v>
                </c:pt>
                <c:pt idx="44">
                  <c:v>-2.0263388545109503E-2</c:v>
                </c:pt>
                <c:pt idx="45">
                  <c:v>-1.0537983462682861</c:v>
                </c:pt>
                <c:pt idx="46">
                  <c:v>-1.7194735224012385</c:v>
                </c:pt>
                <c:pt idx="47">
                  <c:v>-1.7175324514658985</c:v>
                </c:pt>
                <c:pt idx="48">
                  <c:v>-4.2480826822097191</c:v>
                </c:pt>
                <c:pt idx="49">
                  <c:v>-4.0732211785900629</c:v>
                </c:pt>
                <c:pt idx="50">
                  <c:v>-4.2015423139495844</c:v>
                </c:pt>
                <c:pt idx="51">
                  <c:v>-4.2399201241193296</c:v>
                </c:pt>
                <c:pt idx="52">
                  <c:v>-3.9928330276224973</c:v>
                </c:pt>
                <c:pt idx="53">
                  <c:v>-4.4025899059711966</c:v>
                </c:pt>
                <c:pt idx="54">
                  <c:v>-2.990842796623046</c:v>
                </c:pt>
                <c:pt idx="55">
                  <c:v>-1.6302423285951877</c:v>
                </c:pt>
                <c:pt idx="56">
                  <c:v>-1.2142740262329188</c:v>
                </c:pt>
                <c:pt idx="57">
                  <c:v>-1.4645408389933352</c:v>
                </c:pt>
                <c:pt idx="58">
                  <c:v>-1.8716490327268167</c:v>
                </c:pt>
                <c:pt idx="59">
                  <c:v>-1.8497733922759232</c:v>
                </c:pt>
                <c:pt idx="60">
                  <c:v>-1.769303578964571</c:v>
                </c:pt>
                <c:pt idx="61">
                  <c:v>6.371331323504964E-2</c:v>
                </c:pt>
                <c:pt idx="62">
                  <c:v>-0.30443412868312059</c:v>
                </c:pt>
                <c:pt idx="63">
                  <c:v>1.7413531416271351</c:v>
                </c:pt>
                <c:pt idx="64">
                  <c:v>-7.0752184073278879E-2</c:v>
                </c:pt>
                <c:pt idx="65">
                  <c:v>-0.65720437095803785</c:v>
                </c:pt>
                <c:pt idx="66">
                  <c:v>-4.4135456712838243E-2</c:v>
                </c:pt>
                <c:pt idx="67">
                  <c:v>0.58732054528148048</c:v>
                </c:pt>
                <c:pt idx="68">
                  <c:v>3.4853169708797267E-2</c:v>
                </c:pt>
                <c:pt idx="69">
                  <c:v>-0.20122769937028195</c:v>
                </c:pt>
                <c:pt idx="70">
                  <c:v>-0.64275831026878494</c:v>
                </c:pt>
                <c:pt idx="71">
                  <c:v>-1.5281676291962876</c:v>
                </c:pt>
                <c:pt idx="72">
                  <c:v>-0.16001357495005031</c:v>
                </c:pt>
                <c:pt idx="73">
                  <c:v>-0.4946380304688115</c:v>
                </c:pt>
                <c:pt idx="74">
                  <c:v>-3.8264738250750482E-2</c:v>
                </c:pt>
                <c:pt idx="75">
                  <c:v>-0.97924892559455246</c:v>
                </c:pt>
                <c:pt idx="76">
                  <c:v>-0.67362738498808994</c:v>
                </c:pt>
                <c:pt idx="77">
                  <c:v>-0.67655724639958459</c:v>
                </c:pt>
                <c:pt idx="78">
                  <c:v>2.1359175082047694</c:v>
                </c:pt>
                <c:pt idx="79">
                  <c:v>3.6771755808220044</c:v>
                </c:pt>
                <c:pt idx="80">
                  <c:v>1.0401594639921408</c:v>
                </c:pt>
                <c:pt idx="81">
                  <c:v>1.7589661044599119</c:v>
                </c:pt>
                <c:pt idx="82">
                  <c:v>1.8775995519215578</c:v>
                </c:pt>
                <c:pt idx="83">
                  <c:v>2.2803211855222085</c:v>
                </c:pt>
                <c:pt idx="84">
                  <c:v>2.3483687501784467</c:v>
                </c:pt>
                <c:pt idx="85">
                  <c:v>1.651220475576096</c:v>
                </c:pt>
                <c:pt idx="86">
                  <c:v>0.69666909628442997</c:v>
                </c:pt>
                <c:pt idx="87">
                  <c:v>0.69444475994572497</c:v>
                </c:pt>
                <c:pt idx="88">
                  <c:v>0.90800630833041229</c:v>
                </c:pt>
                <c:pt idx="89">
                  <c:v>1.5715084328902447</c:v>
                </c:pt>
                <c:pt idx="90">
                  <c:v>1.8185706455475965</c:v>
                </c:pt>
                <c:pt idx="91">
                  <c:v>0.97881415593158616</c:v>
                </c:pt>
                <c:pt idx="92">
                  <c:v>0.83567849304946451</c:v>
                </c:pt>
                <c:pt idx="93">
                  <c:v>1.0537358864560282</c:v>
                </c:pt>
                <c:pt idx="94">
                  <c:v>0.49374943272183769</c:v>
                </c:pt>
                <c:pt idx="95">
                  <c:v>0.1714996654720703</c:v>
                </c:pt>
                <c:pt idx="96">
                  <c:v>0.58923442225360012</c:v>
                </c:pt>
                <c:pt idx="97">
                  <c:v>-0.84595409393459098</c:v>
                </c:pt>
                <c:pt idx="98">
                  <c:v>-0.84232893922155483</c:v>
                </c:pt>
                <c:pt idx="99">
                  <c:v>-0.13799237519365981</c:v>
                </c:pt>
                <c:pt idx="100">
                  <c:v>-0.40719179431656138</c:v>
                </c:pt>
                <c:pt idx="101">
                  <c:v>-0.22599926315591684</c:v>
                </c:pt>
                <c:pt idx="102">
                  <c:v>2.5311402103989558</c:v>
                </c:pt>
                <c:pt idx="103">
                  <c:v>0.65005849944586924</c:v>
                </c:pt>
                <c:pt idx="104">
                  <c:v>0.28070577959377918</c:v>
                </c:pt>
                <c:pt idx="105">
                  <c:v>0.56272885995444211</c:v>
                </c:pt>
                <c:pt idx="106">
                  <c:v>-0.28216867132319723</c:v>
                </c:pt>
                <c:pt idx="107">
                  <c:v>0.61661743000994007</c:v>
                </c:pt>
                <c:pt idx="108">
                  <c:v>0.16894106571379444</c:v>
                </c:pt>
                <c:pt idx="109">
                  <c:v>-0.43711670375565753</c:v>
                </c:pt>
                <c:pt idx="110">
                  <c:v>-1.939530218574206E-2</c:v>
                </c:pt>
                <c:pt idx="111">
                  <c:v>0.22561120315486294</c:v>
                </c:pt>
                <c:pt idx="112">
                  <c:v>0.84070567053820666</c:v>
                </c:pt>
                <c:pt idx="113">
                  <c:v>0.5137233250477391</c:v>
                </c:pt>
                <c:pt idx="114">
                  <c:v>0.60300992294621281</c:v>
                </c:pt>
                <c:pt idx="115">
                  <c:v>-0.32039307376222481</c:v>
                </c:pt>
                <c:pt idx="116">
                  <c:v>-7.0213558291661954E-2</c:v>
                </c:pt>
                <c:pt idx="117">
                  <c:v>0.52214795286047055</c:v>
                </c:pt>
                <c:pt idx="118">
                  <c:v>1.9083842598898535</c:v>
                </c:pt>
                <c:pt idx="119">
                  <c:v>0.57422844375617255</c:v>
                </c:pt>
                <c:pt idx="120">
                  <c:v>9.7232851200466652E-2</c:v>
                </c:pt>
                <c:pt idx="121">
                  <c:v>2.0768058599078589</c:v>
                </c:pt>
                <c:pt idx="122">
                  <c:v>1.4855445243434784</c:v>
                </c:pt>
                <c:pt idx="123">
                  <c:v>2.2521120619596271</c:v>
                </c:pt>
                <c:pt idx="124">
                  <c:v>0.58867705895720168</c:v>
                </c:pt>
                <c:pt idx="125">
                  <c:v>-0.52305839662194853</c:v>
                </c:pt>
                <c:pt idx="126">
                  <c:v>-0.9161042019198713</c:v>
                </c:pt>
                <c:pt idx="127">
                  <c:v>-0.54761988064314193</c:v>
                </c:pt>
                <c:pt idx="128">
                  <c:v>0.11268781226433974</c:v>
                </c:pt>
                <c:pt idx="129">
                  <c:v>0.23385974640894722</c:v>
                </c:pt>
                <c:pt idx="130">
                  <c:v>1.1750442723862613</c:v>
                </c:pt>
                <c:pt idx="131">
                  <c:v>0.29449921101656618</c:v>
                </c:pt>
                <c:pt idx="132">
                  <c:v>0.27946062200750643</c:v>
                </c:pt>
                <c:pt idx="133">
                  <c:v>1.2607153713855206</c:v>
                </c:pt>
                <c:pt idx="134">
                  <c:v>-0.31758335832846574</c:v>
                </c:pt>
                <c:pt idx="135">
                  <c:v>-0.22645604888249868</c:v>
                </c:pt>
                <c:pt idx="136">
                  <c:v>1.9378430825758513</c:v>
                </c:pt>
                <c:pt idx="137">
                  <c:v>1.1151997927645745</c:v>
                </c:pt>
                <c:pt idx="138">
                  <c:v>0.92482482658102594</c:v>
                </c:pt>
                <c:pt idx="139">
                  <c:v>0.71461019477511367</c:v>
                </c:pt>
                <c:pt idx="140">
                  <c:v>-0.15863572130165157</c:v>
                </c:pt>
                <c:pt idx="141">
                  <c:v>-0.36065095002285452</c:v>
                </c:pt>
                <c:pt idx="142">
                  <c:v>1.1730611222258613</c:v>
                </c:pt>
                <c:pt idx="143">
                  <c:v>1.7297491895176751</c:v>
                </c:pt>
                <c:pt idx="144">
                  <c:v>-0.33068313277768552</c:v>
                </c:pt>
                <c:pt idx="145">
                  <c:v>-0.52830465403594562</c:v>
                </c:pt>
                <c:pt idx="146">
                  <c:v>1.0465277655736021</c:v>
                </c:pt>
                <c:pt idx="147">
                  <c:v>1.1400864383361757</c:v>
                </c:pt>
                <c:pt idx="148">
                  <c:v>0.69754546096510828</c:v>
                </c:pt>
                <c:pt idx="149">
                  <c:v>2.3382851855450952</c:v>
                </c:pt>
                <c:pt idx="150">
                  <c:v>3.3189970509637914</c:v>
                </c:pt>
                <c:pt idx="151">
                  <c:v>3.5053834620319253</c:v>
                </c:pt>
                <c:pt idx="152">
                  <c:v>3.0296676566826135</c:v>
                </c:pt>
                <c:pt idx="153">
                  <c:v>2.7272571565028674</c:v>
                </c:pt>
                <c:pt idx="154">
                  <c:v>2.8055286642305033</c:v>
                </c:pt>
                <c:pt idx="155">
                  <c:v>-0.78459645354540075</c:v>
                </c:pt>
                <c:pt idx="156">
                  <c:v>-1.0820247068556814</c:v>
                </c:pt>
                <c:pt idx="157">
                  <c:v>1.4043188436455598</c:v>
                </c:pt>
                <c:pt idx="158">
                  <c:v>-0.24957048822345443</c:v>
                </c:pt>
                <c:pt idx="159">
                  <c:v>-0.94271656548092253</c:v>
                </c:pt>
                <c:pt idx="160">
                  <c:v>-1.0059183105328</c:v>
                </c:pt>
                <c:pt idx="161">
                  <c:v>-1.0398270553625379</c:v>
                </c:pt>
                <c:pt idx="162">
                  <c:v>-0.54164279670662319</c:v>
                </c:pt>
                <c:pt idx="163">
                  <c:v>-0.84362988238374537</c:v>
                </c:pt>
                <c:pt idx="164">
                  <c:v>-0.80623745347135134</c:v>
                </c:pt>
                <c:pt idx="165">
                  <c:v>-0.14196001540150499</c:v>
                </c:pt>
                <c:pt idx="166">
                  <c:v>0.44696275422578763</c:v>
                </c:pt>
                <c:pt idx="167">
                  <c:v>1.5387992474324583</c:v>
                </c:pt>
                <c:pt idx="168">
                  <c:v>3.8624532008514958</c:v>
                </c:pt>
                <c:pt idx="169">
                  <c:v>3.9168136024940181</c:v>
                </c:pt>
                <c:pt idx="170">
                  <c:v>2.6638845152540882</c:v>
                </c:pt>
                <c:pt idx="171">
                  <c:v>3.7146184606968529</c:v>
                </c:pt>
                <c:pt idx="172">
                  <c:v>4.9826761180901711</c:v>
                </c:pt>
                <c:pt idx="173">
                  <c:v>3.5309519384144989</c:v>
                </c:pt>
                <c:pt idx="174">
                  <c:v>4.0809758326994983</c:v>
                </c:pt>
                <c:pt idx="175">
                  <c:v>3.9197307842999991</c:v>
                </c:pt>
                <c:pt idx="176">
                  <c:v>3.5533759557166125</c:v>
                </c:pt>
                <c:pt idx="177">
                  <c:v>4.2566530159754983</c:v>
                </c:pt>
                <c:pt idx="178">
                  <c:v>3.8364971147137577</c:v>
                </c:pt>
                <c:pt idx="179">
                  <c:v>3.8313144798313012</c:v>
                </c:pt>
                <c:pt idx="180">
                  <c:v>3.2240027498540762</c:v>
                </c:pt>
                <c:pt idx="181">
                  <c:v>3.1910505704127874</c:v>
                </c:pt>
                <c:pt idx="182">
                  <c:v>5.1201947317603622</c:v>
                </c:pt>
                <c:pt idx="183">
                  <c:v>4.2584524934439916</c:v>
                </c:pt>
                <c:pt idx="184">
                  <c:v>4.2790018624042094</c:v>
                </c:pt>
                <c:pt idx="185">
                  <c:v>6.5028424788872554</c:v>
                </c:pt>
                <c:pt idx="186">
                  <c:v>4.0255490267281733</c:v>
                </c:pt>
                <c:pt idx="187">
                  <c:v>4.9035375349054533</c:v>
                </c:pt>
                <c:pt idx="188">
                  <c:v>3.4175996040094012</c:v>
                </c:pt>
                <c:pt idx="189">
                  <c:v>4.4900304430906122</c:v>
                </c:pt>
                <c:pt idx="190">
                  <c:v>3.2031048126833515</c:v>
                </c:pt>
                <c:pt idx="191">
                  <c:v>5.5953223059068309</c:v>
                </c:pt>
                <c:pt idx="192">
                  <c:v>5.7223149807257432</c:v>
                </c:pt>
                <c:pt idx="193">
                  <c:v>2.5005800891050756</c:v>
                </c:pt>
                <c:pt idx="194">
                  <c:v>3.1138277223799378</c:v>
                </c:pt>
                <c:pt idx="195">
                  <c:v>3.7687708784445948</c:v>
                </c:pt>
                <c:pt idx="196">
                  <c:v>2.9797830649605244</c:v>
                </c:pt>
                <c:pt idx="197">
                  <c:v>2.8961615367475568</c:v>
                </c:pt>
                <c:pt idx="198">
                  <c:v>2.1403001302962457</c:v>
                </c:pt>
                <c:pt idx="199">
                  <c:v>2.2022095695023713</c:v>
                </c:pt>
                <c:pt idx="200">
                  <c:v>2.5220341006038307</c:v>
                </c:pt>
                <c:pt idx="201">
                  <c:v>2.524128715623271</c:v>
                </c:pt>
                <c:pt idx="202">
                  <c:v>1.5979577455205545</c:v>
                </c:pt>
                <c:pt idx="203">
                  <c:v>2.9290531202137138</c:v>
                </c:pt>
                <c:pt idx="204">
                  <c:v>3.3563517518881101</c:v>
                </c:pt>
                <c:pt idx="205">
                  <c:v>2.7029491788965085</c:v>
                </c:pt>
                <c:pt idx="206">
                  <c:v>4.1824795474568397</c:v>
                </c:pt>
                <c:pt idx="207">
                  <c:v>3.8042589473997026</c:v>
                </c:pt>
                <c:pt idx="208">
                  <c:v>3.8047200198895696</c:v>
                </c:pt>
                <c:pt idx="209">
                  <c:v>6.3418856607418954</c:v>
                </c:pt>
                <c:pt idx="210">
                  <c:v>5.16477052606235</c:v>
                </c:pt>
                <c:pt idx="211">
                  <c:v>4.2281837912578979</c:v>
                </c:pt>
                <c:pt idx="212">
                  <c:v>7.7071856440744826</c:v>
                </c:pt>
                <c:pt idx="213">
                  <c:v>7.0071378433080076</c:v>
                </c:pt>
                <c:pt idx="214">
                  <c:v>6.0050937149655486</c:v>
                </c:pt>
                <c:pt idx="215">
                  <c:v>5.9419267077159565</c:v>
                </c:pt>
                <c:pt idx="216">
                  <c:v>4.2440519863813204</c:v>
                </c:pt>
                <c:pt idx="217">
                  <c:v>4.4121625422665751</c:v>
                </c:pt>
                <c:pt idx="218">
                  <c:v>3.6208473584946521</c:v>
                </c:pt>
                <c:pt idx="219">
                  <c:v>3.7959140248863301</c:v>
                </c:pt>
                <c:pt idx="220">
                  <c:v>4.6662244301661193</c:v>
                </c:pt>
                <c:pt idx="221">
                  <c:v>3.8516443813160524</c:v>
                </c:pt>
                <c:pt idx="222">
                  <c:v>3.699545966245231</c:v>
                </c:pt>
                <c:pt idx="223">
                  <c:v>4.3769579653149924</c:v>
                </c:pt>
                <c:pt idx="224">
                  <c:v>5.032260509082052</c:v>
                </c:pt>
                <c:pt idx="225">
                  <c:v>4.2978500833911308</c:v>
                </c:pt>
                <c:pt idx="226">
                  <c:v>3.8272371104496985</c:v>
                </c:pt>
                <c:pt idx="227">
                  <c:v>4.3689993242945588</c:v>
                </c:pt>
                <c:pt idx="228">
                  <c:v>5.9103180755176092</c:v>
                </c:pt>
                <c:pt idx="229">
                  <c:v>5.8533622776812644</c:v>
                </c:pt>
                <c:pt idx="230">
                  <c:v>5.8292305390585026</c:v>
                </c:pt>
                <c:pt idx="231">
                  <c:v>6.4348540564586303</c:v>
                </c:pt>
                <c:pt idx="232">
                  <c:v>5.8945982656425278</c:v>
                </c:pt>
                <c:pt idx="233">
                  <c:v>6.1507959857017118</c:v>
                </c:pt>
                <c:pt idx="234">
                  <c:v>6.5118429596200196</c:v>
                </c:pt>
                <c:pt idx="235">
                  <c:v>5.8009541288166666</c:v>
                </c:pt>
                <c:pt idx="236">
                  <c:v>6.2025993838099422</c:v>
                </c:pt>
                <c:pt idx="237">
                  <c:v>6.7143394098297158</c:v>
                </c:pt>
                <c:pt idx="238">
                  <c:v>6.1053183964145079</c:v>
                </c:pt>
                <c:pt idx="239">
                  <c:v>6.5782322978552976</c:v>
                </c:pt>
                <c:pt idx="240">
                  <c:v>6.5938220978055666</c:v>
                </c:pt>
                <c:pt idx="241">
                  <c:v>6.2611188875586778</c:v>
                </c:pt>
                <c:pt idx="242">
                  <c:v>6.3258964871878458</c:v>
                </c:pt>
                <c:pt idx="243">
                  <c:v>6.8740731936541914</c:v>
                </c:pt>
                <c:pt idx="244">
                  <c:v>6.8376179822129126</c:v>
                </c:pt>
                <c:pt idx="245">
                  <c:v>6.86790345114823</c:v>
                </c:pt>
                <c:pt idx="246">
                  <c:v>6.7708946372583787</c:v>
                </c:pt>
                <c:pt idx="247">
                  <c:v>7.2849391072190279</c:v>
                </c:pt>
                <c:pt idx="248">
                  <c:v>7.171449498178756</c:v>
                </c:pt>
                <c:pt idx="249">
                  <c:v>7.8861849752940305</c:v>
                </c:pt>
                <c:pt idx="250">
                  <c:v>7.4945038960937946</c:v>
                </c:pt>
                <c:pt idx="251">
                  <c:v>8.5655785528116581</c:v>
                </c:pt>
                <c:pt idx="252">
                  <c:v>8.35476879439336</c:v>
                </c:pt>
                <c:pt idx="253">
                  <c:v>7.4913283788119633</c:v>
                </c:pt>
                <c:pt idx="254">
                  <c:v>8.6984307666557577</c:v>
                </c:pt>
                <c:pt idx="255">
                  <c:v>8.277200888954015</c:v>
                </c:pt>
                <c:pt idx="256">
                  <c:v>6.8894577559302936</c:v>
                </c:pt>
                <c:pt idx="257">
                  <c:v>7.1318622556763396</c:v>
                </c:pt>
                <c:pt idx="258">
                  <c:v>7.297903052882333</c:v>
                </c:pt>
                <c:pt idx="259">
                  <c:v>8.3411111849647916</c:v>
                </c:pt>
                <c:pt idx="260">
                  <c:v>6.9436209930983885</c:v>
                </c:pt>
                <c:pt idx="261">
                  <c:v>7.8753266557012775</c:v>
                </c:pt>
                <c:pt idx="262">
                  <c:v>7.9996313261252023</c:v>
                </c:pt>
                <c:pt idx="263">
                  <c:v>7.7621452641030402</c:v>
                </c:pt>
                <c:pt idx="264">
                  <c:v>8.2555909179406246</c:v>
                </c:pt>
                <c:pt idx="265">
                  <c:v>8.211114947588511</c:v>
                </c:pt>
                <c:pt idx="266">
                  <c:v>8.5768663766417319</c:v>
                </c:pt>
                <c:pt idx="267">
                  <c:v>8.2929075371739014</c:v>
                </c:pt>
                <c:pt idx="268">
                  <c:v>8.2982935726303975</c:v>
                </c:pt>
                <c:pt idx="269">
                  <c:v>8.8563951049672731</c:v>
                </c:pt>
                <c:pt idx="270">
                  <c:v>8.282503775710893</c:v>
                </c:pt>
                <c:pt idx="271">
                  <c:v>7.9369675112492111</c:v>
                </c:pt>
                <c:pt idx="272">
                  <c:v>8.4478123663430633</c:v>
                </c:pt>
                <c:pt idx="273">
                  <c:v>8.288591008288817</c:v>
                </c:pt>
                <c:pt idx="274">
                  <c:v>8.580589358686332</c:v>
                </c:pt>
                <c:pt idx="275">
                  <c:v>9.4812322675566119</c:v>
                </c:pt>
                <c:pt idx="276">
                  <c:v>8.8572951721451361</c:v>
                </c:pt>
                <c:pt idx="277">
                  <c:v>9.2252919222083118</c:v>
                </c:pt>
                <c:pt idx="278">
                  <c:v>9.4495500799446468</c:v>
                </c:pt>
                <c:pt idx="279">
                  <c:v>9.3742182811922738</c:v>
                </c:pt>
                <c:pt idx="280">
                  <c:v>8.9159917626763097</c:v>
                </c:pt>
                <c:pt idx="281">
                  <c:v>9.1074388232639159</c:v>
                </c:pt>
                <c:pt idx="282">
                  <c:v>9.310919710767088</c:v>
                </c:pt>
                <c:pt idx="283">
                  <c:v>9.8736027921676861</c:v>
                </c:pt>
                <c:pt idx="284">
                  <c:v>9.4909402242874119</c:v>
                </c:pt>
                <c:pt idx="285">
                  <c:v>9.1885926693258586</c:v>
                </c:pt>
                <c:pt idx="286">
                  <c:v>9.7934443843339487</c:v>
                </c:pt>
                <c:pt idx="287">
                  <c:v>9.9341704868997631</c:v>
                </c:pt>
                <c:pt idx="288">
                  <c:v>9.7046592364361608</c:v>
                </c:pt>
                <c:pt idx="289">
                  <c:v>10.213648008972667</c:v>
                </c:pt>
                <c:pt idx="290">
                  <c:v>9.6956346741355812</c:v>
                </c:pt>
                <c:pt idx="291">
                  <c:v>10.460346676158634</c:v>
                </c:pt>
                <c:pt idx="292">
                  <c:v>9.8333711701824011</c:v>
                </c:pt>
                <c:pt idx="293">
                  <c:v>10.541902653648064</c:v>
                </c:pt>
                <c:pt idx="294">
                  <c:v>10.547209113121147</c:v>
                </c:pt>
                <c:pt idx="295">
                  <c:v>10.038291729732116</c:v>
                </c:pt>
                <c:pt idx="296">
                  <c:v>10.60809499596761</c:v>
                </c:pt>
                <c:pt idx="297">
                  <c:v>10.279212129546188</c:v>
                </c:pt>
                <c:pt idx="298">
                  <c:v>10.725970190767843</c:v>
                </c:pt>
                <c:pt idx="299">
                  <c:v>10.828108435831847</c:v>
                </c:pt>
                <c:pt idx="300">
                  <c:v>10.685591849090951</c:v>
                </c:pt>
                <c:pt idx="301">
                  <c:v>10.217826786009896</c:v>
                </c:pt>
                <c:pt idx="302">
                  <c:v>11.44973314553099</c:v>
                </c:pt>
                <c:pt idx="303">
                  <c:v>10.568161163950059</c:v>
                </c:pt>
                <c:pt idx="304">
                  <c:v>10.398275386628406</c:v>
                </c:pt>
                <c:pt idx="305">
                  <c:v>11.526912995555987</c:v>
                </c:pt>
                <c:pt idx="306">
                  <c:v>11.895250416381236</c:v>
                </c:pt>
                <c:pt idx="307">
                  <c:v>11.984777149270778</c:v>
                </c:pt>
                <c:pt idx="308">
                  <c:v>12.096883251444927</c:v>
                </c:pt>
                <c:pt idx="309">
                  <c:v>11.770492663332515</c:v>
                </c:pt>
                <c:pt idx="310">
                  <c:v>12.51045189457454</c:v>
                </c:pt>
                <c:pt idx="311">
                  <c:v>11.514660345268165</c:v>
                </c:pt>
                <c:pt idx="312">
                  <c:v>11.11017553676645</c:v>
                </c:pt>
                <c:pt idx="313">
                  <c:v>11.272824046329962</c:v>
                </c:pt>
                <c:pt idx="314">
                  <c:v>11.202000318512006</c:v>
                </c:pt>
                <c:pt idx="315">
                  <c:v>10.306160288339528</c:v>
                </c:pt>
                <c:pt idx="316">
                  <c:v>10.319597850374153</c:v>
                </c:pt>
                <c:pt idx="317">
                  <c:v>9.9135516822005982</c:v>
                </c:pt>
                <c:pt idx="318">
                  <c:v>10.717544529098712</c:v>
                </c:pt>
                <c:pt idx="319">
                  <c:v>10.150549756790474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7A-D146-9372-905ECCFEE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'240823B013'!$A$2:$A$321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'240823B013'!$J$2:$J$321</c:f>
              <c:numCache>
                <c:formatCode>0.0</c:formatCode>
                <c:ptCount val="320"/>
                <c:pt idx="0">
                  <c:v>2155.9910826054302</c:v>
                </c:pt>
                <c:pt idx="1">
                  <c:v>2154.14553154638</c:v>
                </c:pt>
                <c:pt idx="2">
                  <c:v>2190.25266174425</c:v>
                </c:pt>
                <c:pt idx="3">
                  <c:v>2188.6933053151897</c:v>
                </c:pt>
                <c:pt idx="4">
                  <c:v>2114.8498549252399</c:v>
                </c:pt>
                <c:pt idx="5">
                  <c:v>2132.3380511600599</c:v>
                </c:pt>
                <c:pt idx="6">
                  <c:v>2207.3403289439702</c:v>
                </c:pt>
                <c:pt idx="7">
                  <c:v>2172.9012304512999</c:v>
                </c:pt>
                <c:pt idx="8">
                  <c:v>2095.2388608771703</c:v>
                </c:pt>
                <c:pt idx="9">
                  <c:v>2036.2822521518901</c:v>
                </c:pt>
                <c:pt idx="10">
                  <c:v>1984.2228792121502</c:v>
                </c:pt>
                <c:pt idx="11">
                  <c:v>2169.1431038962096</c:v>
                </c:pt>
                <c:pt idx="12">
                  <c:v>2197.6655477106997</c:v>
                </c:pt>
                <c:pt idx="13">
                  <c:v>1875.8097231233101</c:v>
                </c:pt>
                <c:pt idx="14">
                  <c:v>1848.65486677475</c:v>
                </c:pt>
                <c:pt idx="15">
                  <c:v>1759.0401598703002</c:v>
                </c:pt>
                <c:pt idx="16">
                  <c:v>1794.0980347288501</c:v>
                </c:pt>
                <c:pt idx="17">
                  <c:v>1851.0545144607402</c:v>
                </c:pt>
                <c:pt idx="18">
                  <c:v>1854.8292207679799</c:v>
                </c:pt>
                <c:pt idx="19">
                  <c:v>1840.86092870524</c:v>
                </c:pt>
                <c:pt idx="20">
                  <c:v>1805.08745646695</c:v>
                </c:pt>
                <c:pt idx="21">
                  <c:v>1782.33595125221</c:v>
                </c:pt>
                <c:pt idx="22">
                  <c:v>1748.7883199593498</c:v>
                </c:pt>
                <c:pt idx="23">
                  <c:v>1793.1583756908399</c:v>
                </c:pt>
                <c:pt idx="24">
                  <c:v>1798.19660661842</c:v>
                </c:pt>
                <c:pt idx="25">
                  <c:v>1785.2752519482601</c:v>
                </c:pt>
                <c:pt idx="26">
                  <c:v>1838.8921269694101</c:v>
                </c:pt>
                <c:pt idx="27">
                  <c:v>1774.52359939759</c:v>
                </c:pt>
                <c:pt idx="28">
                  <c:v>1729.8114423077</c:v>
                </c:pt>
                <c:pt idx="29">
                  <c:v>1665.6265071826099</c:v>
                </c:pt>
                <c:pt idx="30">
                  <c:v>1607.52026876742</c:v>
                </c:pt>
                <c:pt idx="31">
                  <c:v>1651.0790987024602</c:v>
                </c:pt>
                <c:pt idx="32">
                  <c:v>1610.2797080630701</c:v>
                </c:pt>
                <c:pt idx="33">
                  <c:v>1539.45808039853</c:v>
                </c:pt>
                <c:pt idx="34">
                  <c:v>1757.2551285913</c:v>
                </c:pt>
                <c:pt idx="35">
                  <c:v>1842.3859939759</c:v>
                </c:pt>
                <c:pt idx="36">
                  <c:v>1791.5681128359399</c:v>
                </c:pt>
                <c:pt idx="37">
                  <c:v>1771.7429460148699</c:v>
                </c:pt>
                <c:pt idx="38">
                  <c:v>1670.45275949953</c:v>
                </c:pt>
                <c:pt idx="39">
                  <c:v>1729.9687835959101</c:v>
                </c:pt>
                <c:pt idx="40">
                  <c:v>1737.43691960147</c:v>
                </c:pt>
                <c:pt idx="41">
                  <c:v>1689.0176645041399</c:v>
                </c:pt>
                <c:pt idx="42">
                  <c:v>1736.1913148749099</c:v>
                </c:pt>
                <c:pt idx="43">
                  <c:v>1609.8959024559499</c:v>
                </c:pt>
                <c:pt idx="44">
                  <c:v>1631.78266218722</c:v>
                </c:pt>
                <c:pt idx="45">
                  <c:v>1773.0972115385</c:v>
                </c:pt>
                <c:pt idx="46">
                  <c:v>1708.2957113067598</c:v>
                </c:pt>
                <c:pt idx="47">
                  <c:v>1676.35266682116</c:v>
                </c:pt>
                <c:pt idx="48">
                  <c:v>1688.34944045416</c:v>
                </c:pt>
                <c:pt idx="49">
                  <c:v>1637.8054761353601</c:v>
                </c:pt>
                <c:pt idx="50">
                  <c:v>1635.3693176552099</c:v>
                </c:pt>
                <c:pt idx="51">
                  <c:v>1714.50771916042</c:v>
                </c:pt>
                <c:pt idx="52">
                  <c:v>1673.1982993110598</c:v>
                </c:pt>
                <c:pt idx="53">
                  <c:v>1604.40659014067</c:v>
                </c:pt>
                <c:pt idx="54">
                  <c:v>1698.4066747220199</c:v>
                </c:pt>
                <c:pt idx="55">
                  <c:v>1712.4989239116198</c:v>
                </c:pt>
                <c:pt idx="56">
                  <c:v>1665.2844374993199</c:v>
                </c:pt>
                <c:pt idx="57">
                  <c:v>1662.31827137151</c:v>
                </c:pt>
                <c:pt idx="58">
                  <c:v>1675.6597411697799</c:v>
                </c:pt>
                <c:pt idx="59">
                  <c:v>1721.0987619443601</c:v>
                </c:pt>
                <c:pt idx="60">
                  <c:v>1613.6837792303402</c:v>
                </c:pt>
                <c:pt idx="61">
                  <c:v>1507.8347080585499</c:v>
                </c:pt>
                <c:pt idx="62">
                  <c:v>1381.0573190600001</c:v>
                </c:pt>
                <c:pt idx="63">
                  <c:v>1257.93483658845</c:v>
                </c:pt>
                <c:pt idx="64">
                  <c:v>1374.4423947671501</c:v>
                </c:pt>
                <c:pt idx="65">
                  <c:v>1462.06779937494</c:v>
                </c:pt>
                <c:pt idx="66">
                  <c:v>1503.6027976902499</c:v>
                </c:pt>
                <c:pt idx="67">
                  <c:v>1413.6300378492601</c:v>
                </c:pt>
                <c:pt idx="68">
                  <c:v>1610.9022028490499</c:v>
                </c:pt>
                <c:pt idx="69">
                  <c:v>1555.1493666323599</c:v>
                </c:pt>
                <c:pt idx="70">
                  <c:v>1483.9418579399601</c:v>
                </c:pt>
                <c:pt idx="71">
                  <c:v>1516.40070279202</c:v>
                </c:pt>
                <c:pt idx="72">
                  <c:v>1505.3722052928701</c:v>
                </c:pt>
                <c:pt idx="73">
                  <c:v>1589.3087487703301</c:v>
                </c:pt>
                <c:pt idx="74">
                  <c:v>1629.9233457171599</c:v>
                </c:pt>
                <c:pt idx="75">
                  <c:v>1594.9392508716701</c:v>
                </c:pt>
                <c:pt idx="76">
                  <c:v>1543.0358743857601</c:v>
                </c:pt>
                <c:pt idx="77">
                  <c:v>1651.7213934502499</c:v>
                </c:pt>
                <c:pt idx="78">
                  <c:v>1661.3236579522502</c:v>
                </c:pt>
                <c:pt idx="79">
                  <c:v>1708.66663720516</c:v>
                </c:pt>
                <c:pt idx="80">
                  <c:v>1678.71210192124</c:v>
                </c:pt>
                <c:pt idx="81">
                  <c:v>1749.81987975067</c:v>
                </c:pt>
                <c:pt idx="82">
                  <c:v>1718.6926433921199</c:v>
                </c:pt>
                <c:pt idx="83">
                  <c:v>1591.3237730846699</c:v>
                </c:pt>
                <c:pt idx="84">
                  <c:v>1553.42103735408</c:v>
                </c:pt>
                <c:pt idx="85">
                  <c:v>1771.26554216872</c:v>
                </c:pt>
                <c:pt idx="86">
                  <c:v>1830.9701204819698</c:v>
                </c:pt>
                <c:pt idx="87">
                  <c:v>1869.1898795181198</c:v>
                </c:pt>
                <c:pt idx="88">
                  <c:v>1593.7533933024199</c:v>
                </c:pt>
                <c:pt idx="89">
                  <c:v>1544.0871690243</c:v>
                </c:pt>
                <c:pt idx="90">
                  <c:v>1484.3536370628099</c:v>
                </c:pt>
                <c:pt idx="91">
                  <c:v>1552.2092465523101</c:v>
                </c:pt>
                <c:pt idx="92">
                  <c:v>1523.4921820357201</c:v>
                </c:pt>
                <c:pt idx="93">
                  <c:v>1567.4010598227401</c:v>
                </c:pt>
                <c:pt idx="94">
                  <c:v>1536.2352532212101</c:v>
                </c:pt>
                <c:pt idx="95">
                  <c:v>1572.4631836507299</c:v>
                </c:pt>
                <c:pt idx="96">
                  <c:v>1561.4737187676401</c:v>
                </c:pt>
                <c:pt idx="97">
                  <c:v>1773.97666327502</c:v>
                </c:pt>
                <c:pt idx="98">
                  <c:v>1774.02819115238</c:v>
                </c:pt>
                <c:pt idx="99">
                  <c:v>1793.9673732165099</c:v>
                </c:pt>
                <c:pt idx="100">
                  <c:v>1821.49696089537</c:v>
                </c:pt>
                <c:pt idx="101">
                  <c:v>1801.76569161257</c:v>
                </c:pt>
                <c:pt idx="102">
                  <c:v>1767.579273633</c:v>
                </c:pt>
                <c:pt idx="103">
                  <c:v>1737.3453336422201</c:v>
                </c:pt>
                <c:pt idx="104">
                  <c:v>1735.1927780351998</c:v>
                </c:pt>
                <c:pt idx="105">
                  <c:v>1711.0527896200101</c:v>
                </c:pt>
                <c:pt idx="106">
                  <c:v>1688.11843257643</c:v>
                </c:pt>
                <c:pt idx="107">
                  <c:v>1592.0014654773199</c:v>
                </c:pt>
                <c:pt idx="108">
                  <c:v>1669.67475054585</c:v>
                </c:pt>
                <c:pt idx="109">
                  <c:v>1671.5585549099799</c:v>
                </c:pt>
                <c:pt idx="110">
                  <c:v>1635.9288033823</c:v>
                </c:pt>
                <c:pt idx="111">
                  <c:v>1617.4537067542001</c:v>
                </c:pt>
                <c:pt idx="112">
                  <c:v>1585.41581328185</c:v>
                </c:pt>
                <c:pt idx="113">
                  <c:v>1552.0644066583</c:v>
                </c:pt>
                <c:pt idx="114">
                  <c:v>1525.9650336725701</c:v>
                </c:pt>
                <c:pt idx="115">
                  <c:v>1706.81217446715</c:v>
                </c:pt>
                <c:pt idx="116">
                  <c:v>1733.9572126969101</c:v>
                </c:pt>
                <c:pt idx="117">
                  <c:v>1682.5615685819801</c:v>
                </c:pt>
                <c:pt idx="118">
                  <c:v>1710.4014955978</c:v>
                </c:pt>
                <c:pt idx="119">
                  <c:v>1696.4865430954399</c:v>
                </c:pt>
                <c:pt idx="120">
                  <c:v>1671.3727444392898</c:v>
                </c:pt>
                <c:pt idx="121">
                  <c:v>1605.9912743281302</c:v>
                </c:pt>
                <c:pt idx="122">
                  <c:v>1610.1102884615</c:v>
                </c:pt>
                <c:pt idx="123">
                  <c:v>1600.6742852178102</c:v>
                </c:pt>
                <c:pt idx="124">
                  <c:v>1649.7485970806699</c:v>
                </c:pt>
                <c:pt idx="125">
                  <c:v>1519.6393813716099</c:v>
                </c:pt>
                <c:pt idx="126">
                  <c:v>1478.8112870713501</c:v>
                </c:pt>
                <c:pt idx="127">
                  <c:v>1587.4056509161001</c:v>
                </c:pt>
                <c:pt idx="128">
                  <c:v>1555.3506583021099</c:v>
                </c:pt>
                <c:pt idx="129">
                  <c:v>1502.1438417909801</c:v>
                </c:pt>
                <c:pt idx="130">
                  <c:v>1538.17733992536</c:v>
                </c:pt>
                <c:pt idx="131">
                  <c:v>1431.01440469453</c:v>
                </c:pt>
                <c:pt idx="132">
                  <c:v>1546.9154912110898</c:v>
                </c:pt>
                <c:pt idx="133">
                  <c:v>1501.8962377726002</c:v>
                </c:pt>
                <c:pt idx="134">
                  <c:v>1460.5062429651898</c:v>
                </c:pt>
                <c:pt idx="135">
                  <c:v>1495.8623135074702</c:v>
                </c:pt>
                <c:pt idx="136">
                  <c:v>1492.46483651362</c:v>
                </c:pt>
                <c:pt idx="137">
                  <c:v>1496.85357043562</c:v>
                </c:pt>
                <c:pt idx="138">
                  <c:v>1524.9741670527999</c:v>
                </c:pt>
                <c:pt idx="139">
                  <c:v>1486.75235523111</c:v>
                </c:pt>
                <c:pt idx="140">
                  <c:v>1505.67543228359</c:v>
                </c:pt>
                <c:pt idx="141">
                  <c:v>1495.3686875993101</c:v>
                </c:pt>
                <c:pt idx="142">
                  <c:v>1438.2775309267502</c:v>
                </c:pt>
                <c:pt idx="143">
                  <c:v>1476.1645451404502</c:v>
                </c:pt>
                <c:pt idx="144">
                  <c:v>1492.30851522028</c:v>
                </c:pt>
                <c:pt idx="145">
                  <c:v>1493.8742619398301</c:v>
                </c:pt>
                <c:pt idx="146">
                  <c:v>1490.28083875735</c:v>
                </c:pt>
                <c:pt idx="147">
                  <c:v>1506.62506764813</c:v>
                </c:pt>
                <c:pt idx="148">
                  <c:v>1583.4175580936401</c:v>
                </c:pt>
                <c:pt idx="149">
                  <c:v>1565.82593077513</c:v>
                </c:pt>
                <c:pt idx="150">
                  <c:v>1556.4861241497599</c:v>
                </c:pt>
                <c:pt idx="151">
                  <c:v>1557.9190860552101</c:v>
                </c:pt>
                <c:pt idx="152">
                  <c:v>1624.3045228395899</c:v>
                </c:pt>
                <c:pt idx="153">
                  <c:v>1653.2229302823198</c:v>
                </c:pt>
                <c:pt idx="154">
                  <c:v>1607.6972511629801</c:v>
                </c:pt>
                <c:pt idx="155">
                  <c:v>1628.37876282107</c:v>
                </c:pt>
                <c:pt idx="156">
                  <c:v>1548.69654156195</c:v>
                </c:pt>
                <c:pt idx="157">
                  <c:v>1551.67587183263</c:v>
                </c:pt>
                <c:pt idx="158">
                  <c:v>1541.92962121869</c:v>
                </c:pt>
                <c:pt idx="159">
                  <c:v>1600.3542166350799</c:v>
                </c:pt>
                <c:pt idx="160">
                  <c:v>1599.91699829207</c:v>
                </c:pt>
                <c:pt idx="161">
                  <c:v>1618.5655458864999</c:v>
                </c:pt>
                <c:pt idx="162">
                  <c:v>1633.73010537813</c:v>
                </c:pt>
                <c:pt idx="163">
                  <c:v>1585.0133382904701</c:v>
                </c:pt>
                <c:pt idx="164">
                  <c:v>1589.5780000232301</c:v>
                </c:pt>
                <c:pt idx="165">
                  <c:v>1621.94650602406</c:v>
                </c:pt>
                <c:pt idx="166">
                  <c:v>1695.0077108434</c:v>
                </c:pt>
                <c:pt idx="167">
                  <c:v>1320.02613612956</c:v>
                </c:pt>
                <c:pt idx="168">
                  <c:v>1123.5353321064899</c:v>
                </c:pt>
                <c:pt idx="169">
                  <c:v>1163.62182864025</c:v>
                </c:pt>
                <c:pt idx="170">
                  <c:v>1128.1252424105699</c:v>
                </c:pt>
                <c:pt idx="171">
                  <c:v>1224.5523590616199</c:v>
                </c:pt>
                <c:pt idx="172">
                  <c:v>1401.8980310868899</c:v>
                </c:pt>
                <c:pt idx="173">
                  <c:v>1449.38907098136</c:v>
                </c:pt>
                <c:pt idx="174">
                  <c:v>1302.0999386595201</c:v>
                </c:pt>
                <c:pt idx="175">
                  <c:v>1680.6485091086101</c:v>
                </c:pt>
                <c:pt idx="176">
                  <c:v>1661.2337674084599</c:v>
                </c:pt>
                <c:pt idx="177">
                  <c:v>1659.9340735415401</c:v>
                </c:pt>
                <c:pt idx="178">
                  <c:v>1584.3561230098799</c:v>
                </c:pt>
                <c:pt idx="179">
                  <c:v>1502.5638032398699</c:v>
                </c:pt>
                <c:pt idx="180">
                  <c:v>1472.38646822131</c:v>
                </c:pt>
                <c:pt idx="181">
                  <c:v>1438.6073722415999</c:v>
                </c:pt>
                <c:pt idx="182">
                  <c:v>1428.8142964157098</c:v>
                </c:pt>
                <c:pt idx="183">
                  <c:v>1365.0928190915899</c:v>
                </c:pt>
                <c:pt idx="184">
                  <c:v>1311.7276134373499</c:v>
                </c:pt>
                <c:pt idx="185">
                  <c:v>1341.1155675638202</c:v>
                </c:pt>
                <c:pt idx="186">
                  <c:v>1330.9391773832799</c:v>
                </c:pt>
                <c:pt idx="187">
                  <c:v>1358.69456057143</c:v>
                </c:pt>
                <c:pt idx="188">
                  <c:v>1391.4133130790801</c:v>
                </c:pt>
                <c:pt idx="189">
                  <c:v>1485.27856558094</c:v>
                </c:pt>
                <c:pt idx="190">
                  <c:v>1526.65643099828</c:v>
                </c:pt>
                <c:pt idx="191">
                  <c:v>1575.68219975188</c:v>
                </c:pt>
                <c:pt idx="192">
                  <c:v>1509.96090541181</c:v>
                </c:pt>
                <c:pt idx="193">
                  <c:v>1490.4758624122001</c:v>
                </c:pt>
                <c:pt idx="194">
                  <c:v>1625.2224624145201</c:v>
                </c:pt>
                <c:pt idx="195">
                  <c:v>1606.03869032328</c:v>
                </c:pt>
                <c:pt idx="196">
                  <c:v>1550.4919918093001</c:v>
                </c:pt>
                <c:pt idx="197">
                  <c:v>1443.6892571441999</c:v>
                </c:pt>
                <c:pt idx="198">
                  <c:v>1516.43201601798</c:v>
                </c:pt>
                <c:pt idx="199">
                  <c:v>1606.0110873465399</c:v>
                </c:pt>
                <c:pt idx="200">
                  <c:v>1578.2270509126001</c:v>
                </c:pt>
                <c:pt idx="201">
                  <c:v>1534.8613187041999</c:v>
                </c:pt>
                <c:pt idx="202">
                  <c:v>1530.4071298450699</c:v>
                </c:pt>
                <c:pt idx="203">
                  <c:v>1345.2766464127101</c:v>
                </c:pt>
                <c:pt idx="204">
                  <c:v>1452.5733940668601</c:v>
                </c:pt>
                <c:pt idx="205">
                  <c:v>1463.8578572877</c:v>
                </c:pt>
                <c:pt idx="206">
                  <c:v>1503.28646858717</c:v>
                </c:pt>
                <c:pt idx="207">
                  <c:v>1496.94907607343</c:v>
                </c:pt>
                <c:pt idx="208">
                  <c:v>1474.3144479795001</c:v>
                </c:pt>
                <c:pt idx="209">
                  <c:v>1480.7989809743801</c:v>
                </c:pt>
                <c:pt idx="210">
                  <c:v>1492.52495604356</c:v>
                </c:pt>
                <c:pt idx="211">
                  <c:v>1600.48536889261</c:v>
                </c:pt>
                <c:pt idx="212">
                  <c:v>1660.3816976419901</c:v>
                </c:pt>
                <c:pt idx="213">
                  <c:v>1573.90489263413</c:v>
                </c:pt>
                <c:pt idx="214">
                  <c:v>1420.91060008823</c:v>
                </c:pt>
                <c:pt idx="215">
                  <c:v>1516.8701641246701</c:v>
                </c:pt>
                <c:pt idx="216">
                  <c:v>1590.8068596855901</c:v>
                </c:pt>
                <c:pt idx="217">
                  <c:v>1540.3785349304701</c:v>
                </c:pt>
                <c:pt idx="218">
                  <c:v>1540.67674351252</c:v>
                </c:pt>
                <c:pt idx="219">
                  <c:v>1663.23133688601</c:v>
                </c:pt>
                <c:pt idx="220">
                  <c:v>1667.0339801879202</c:v>
                </c:pt>
                <c:pt idx="221">
                  <c:v>1627.14639890333</c:v>
                </c:pt>
                <c:pt idx="222">
                  <c:v>1547.51476519621</c:v>
                </c:pt>
                <c:pt idx="223">
                  <c:v>1570.5885776422599</c:v>
                </c:pt>
                <c:pt idx="224">
                  <c:v>1623.3551091540301</c:v>
                </c:pt>
                <c:pt idx="225">
                  <c:v>1587.6889872315101</c:v>
                </c:pt>
                <c:pt idx="226">
                  <c:v>1559.70000952705</c:v>
                </c:pt>
                <c:pt idx="227">
                  <c:v>1463.57381409702</c:v>
                </c:pt>
                <c:pt idx="228">
                  <c:v>1402.67233571969</c:v>
                </c:pt>
                <c:pt idx="229">
                  <c:v>1504.8844597950899</c:v>
                </c:pt>
                <c:pt idx="230">
                  <c:v>1417.4587323406599</c:v>
                </c:pt>
                <c:pt idx="231">
                  <c:v>1446.69946008391</c:v>
                </c:pt>
                <c:pt idx="232">
                  <c:v>1308.88257713503</c:v>
                </c:pt>
                <c:pt idx="233">
                  <c:v>1397.4780648891201</c:v>
                </c:pt>
                <c:pt idx="234">
                  <c:v>1281.82386282172</c:v>
                </c:pt>
                <c:pt idx="235">
                  <c:v>1270.72271697155</c:v>
                </c:pt>
                <c:pt idx="236">
                  <c:v>1301.61232800683</c:v>
                </c:pt>
                <c:pt idx="237">
                  <c:v>1430.16926921556</c:v>
                </c:pt>
                <c:pt idx="238">
                  <c:v>1546.11601782859</c:v>
                </c:pt>
                <c:pt idx="239">
                  <c:v>1385.10871609281</c:v>
                </c:pt>
                <c:pt idx="240">
                  <c:v>1429.4766591124901</c:v>
                </c:pt>
                <c:pt idx="241">
                  <c:v>1455.1607770043502</c:v>
                </c:pt>
                <c:pt idx="242">
                  <c:v>1492.0602321424399</c:v>
                </c:pt>
                <c:pt idx="243">
                  <c:v>1378.13304060173</c:v>
                </c:pt>
                <c:pt idx="244">
                  <c:v>1416.40276342368</c:v>
                </c:pt>
                <c:pt idx="245">
                  <c:v>1350.1571578800399</c:v>
                </c:pt>
                <c:pt idx="246">
                  <c:v>1301.0528583699099</c:v>
                </c:pt>
                <c:pt idx="247">
                  <c:v>1344.43950878655</c:v>
                </c:pt>
                <c:pt idx="248">
                  <c:v>1467.91740110711</c:v>
                </c:pt>
                <c:pt idx="249">
                  <c:v>1482.05672087679</c:v>
                </c:pt>
                <c:pt idx="250">
                  <c:v>1385.0445983452801</c:v>
                </c:pt>
                <c:pt idx="251">
                  <c:v>1354.4199717602201</c:v>
                </c:pt>
                <c:pt idx="252">
                  <c:v>1334.6940314572398</c:v>
                </c:pt>
                <c:pt idx="253">
                  <c:v>1354.33632744231</c:v>
                </c:pt>
                <c:pt idx="254">
                  <c:v>1346.85996111244</c:v>
                </c:pt>
                <c:pt idx="255">
                  <c:v>1337.63090934348</c:v>
                </c:pt>
                <c:pt idx="256">
                  <c:v>1438.4109822575701</c:v>
                </c:pt>
                <c:pt idx="257">
                  <c:v>1470.00446442833</c:v>
                </c:pt>
                <c:pt idx="258">
                  <c:v>1501.18750483197</c:v>
                </c:pt>
                <c:pt idx="259">
                  <c:v>1404.82997060562</c:v>
                </c:pt>
                <c:pt idx="260">
                  <c:v>1345.27211255827</c:v>
                </c:pt>
                <c:pt idx="261">
                  <c:v>1461.0274640815301</c:v>
                </c:pt>
                <c:pt idx="262">
                  <c:v>1478.89976297881</c:v>
                </c:pt>
                <c:pt idx="263">
                  <c:v>1499.53580644044</c:v>
                </c:pt>
                <c:pt idx="264">
                  <c:v>1477.5901870426601</c:v>
                </c:pt>
                <c:pt idx="265">
                  <c:v>1533.5430592436801</c:v>
                </c:pt>
                <c:pt idx="266">
                  <c:v>1575.5415343762099</c:v>
                </c:pt>
                <c:pt idx="267">
                  <c:v>1590.28395746608</c:v>
                </c:pt>
                <c:pt idx="268">
                  <c:v>1639.2523088697301</c:v>
                </c:pt>
                <c:pt idx="269">
                  <c:v>1631.9475853752199</c:v>
                </c:pt>
                <c:pt idx="270">
                  <c:v>1624.25391792391</c:v>
                </c:pt>
                <c:pt idx="271">
                  <c:v>1607.6723721836199</c:v>
                </c:pt>
                <c:pt idx="272">
                  <c:v>1593.74412467968</c:v>
                </c:pt>
                <c:pt idx="273">
                  <c:v>1610.3462200679401</c:v>
                </c:pt>
                <c:pt idx="274">
                  <c:v>1555.0765836010498</c:v>
                </c:pt>
                <c:pt idx="275">
                  <c:v>1550.4369001704899</c:v>
                </c:pt>
                <c:pt idx="276">
                  <c:v>1555.2723315977901</c:v>
                </c:pt>
                <c:pt idx="277">
                  <c:v>1542.88681702754</c:v>
                </c:pt>
                <c:pt idx="278">
                  <c:v>1512.98408363004</c:v>
                </c:pt>
                <c:pt idx="279">
                  <c:v>1519.4132952213099</c:v>
                </c:pt>
                <c:pt idx="280">
                  <c:v>1531.2232246019501</c:v>
                </c:pt>
                <c:pt idx="281">
                  <c:v>1505.5928056402799</c:v>
                </c:pt>
                <c:pt idx="282">
                  <c:v>1492.3719779212799</c:v>
                </c:pt>
                <c:pt idx="283">
                  <c:v>1467.7024639076001</c:v>
                </c:pt>
                <c:pt idx="284">
                  <c:v>1474.6013404918899</c:v>
                </c:pt>
                <c:pt idx="285">
                  <c:v>1549.1401328895699</c:v>
                </c:pt>
                <c:pt idx="286">
                  <c:v>1536.0085206303902</c:v>
                </c:pt>
                <c:pt idx="287">
                  <c:v>1545.95824778885</c:v>
                </c:pt>
                <c:pt idx="288">
                  <c:v>1524.3966281310002</c:v>
                </c:pt>
                <c:pt idx="289">
                  <c:v>1532.19477377718</c:v>
                </c:pt>
                <c:pt idx="290">
                  <c:v>1526.9317570861699</c:v>
                </c:pt>
                <c:pt idx="291">
                  <c:v>1500.4339004572898</c:v>
                </c:pt>
                <c:pt idx="292">
                  <c:v>1571.4845657896601</c:v>
                </c:pt>
                <c:pt idx="293">
                  <c:v>1549.09191043292</c:v>
                </c:pt>
                <c:pt idx="294">
                  <c:v>1515.30695594701</c:v>
                </c:pt>
                <c:pt idx="295">
                  <c:v>1564.8615492190402</c:v>
                </c:pt>
                <c:pt idx="296">
                  <c:v>1543.1121930028301</c:v>
                </c:pt>
                <c:pt idx="297">
                  <c:v>1598.49245134384</c:v>
                </c:pt>
                <c:pt idx="298">
                  <c:v>1436.6149316496601</c:v>
                </c:pt>
                <c:pt idx="299">
                  <c:v>1520.5355734476698</c:v>
                </c:pt>
                <c:pt idx="300">
                  <c:v>1571.2823389712901</c:v>
                </c:pt>
                <c:pt idx="301">
                  <c:v>1552.2863982854899</c:v>
                </c:pt>
                <c:pt idx="302">
                  <c:v>1509.65931417978</c:v>
                </c:pt>
                <c:pt idx="303">
                  <c:v>1568.92644893848</c:v>
                </c:pt>
                <c:pt idx="304">
                  <c:v>1529.2512997111301</c:v>
                </c:pt>
                <c:pt idx="305">
                  <c:v>1519.2777978613599</c:v>
                </c:pt>
                <c:pt idx="306">
                  <c:v>1602.5577742303799</c:v>
                </c:pt>
                <c:pt idx="307">
                  <c:v>1622.70896646548</c:v>
                </c:pt>
                <c:pt idx="308">
                  <c:v>1570.81248964971</c:v>
                </c:pt>
                <c:pt idx="309">
                  <c:v>1435.9801691380801</c:v>
                </c:pt>
                <c:pt idx="310">
                  <c:v>1445.6775683503399</c:v>
                </c:pt>
                <c:pt idx="311">
                  <c:v>1285.2320238647401</c:v>
                </c:pt>
                <c:pt idx="312">
                  <c:v>1373.1724687210101</c:v>
                </c:pt>
                <c:pt idx="313">
                  <c:v>1438.0216855884798</c:v>
                </c:pt>
                <c:pt idx="314">
                  <c:v>1547.22702734018</c:v>
                </c:pt>
                <c:pt idx="315">
                  <c:v>1453.5865685819799</c:v>
                </c:pt>
                <c:pt idx="316">
                  <c:v>1524.2906406395</c:v>
                </c:pt>
                <c:pt idx="317">
                  <c:v>1571.9755352178099</c:v>
                </c:pt>
                <c:pt idx="318">
                  <c:v>1537.9578660797299</c:v>
                </c:pt>
                <c:pt idx="319">
                  <c:v>1515.5923354824899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3E-9244-8341-9953569DC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EE-5D47-AE32-B9442C972604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'240823B013'!$A$2:$A$321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'240823B013'!$P$2:$P$321</c:f>
              <c:numCache>
                <c:formatCode>General</c:formatCode>
                <c:ptCount val="320"/>
                <c:pt idx="0">
                  <c:v>-25.123215980516058</c:v>
                </c:pt>
                <c:pt idx="1">
                  <c:v>-25.495806383148533</c:v>
                </c:pt>
                <c:pt idx="2">
                  <c:v>-25.683214538573523</c:v>
                </c:pt>
                <c:pt idx="3">
                  <c:v>-22.366821708535202</c:v>
                </c:pt>
                <c:pt idx="4">
                  <c:v>-21.921024379715877</c:v>
                </c:pt>
                <c:pt idx="5">
                  <c:v>-22.277766125187249</c:v>
                </c:pt>
                <c:pt idx="6">
                  <c:v>-24.569360453084581</c:v>
                </c:pt>
                <c:pt idx="7">
                  <c:v>-21.389686479337165</c:v>
                </c:pt>
                <c:pt idx="8">
                  <c:v>-21.216521434127639</c:v>
                </c:pt>
                <c:pt idx="9">
                  <c:v>-18.098122184633311</c:v>
                </c:pt>
                <c:pt idx="10">
                  <c:v>-17.353918212259476</c:v>
                </c:pt>
                <c:pt idx="11">
                  <c:v>-20.8315815339624</c:v>
                </c:pt>
                <c:pt idx="12">
                  <c:v>-20.58104472889541</c:v>
                </c:pt>
                <c:pt idx="13">
                  <c:v>-20.305275850534205</c:v>
                </c:pt>
                <c:pt idx="14">
                  <c:v>-21.242130157003544</c:v>
                </c:pt>
                <c:pt idx="15">
                  <c:v>-20.752530787994903</c:v>
                </c:pt>
                <c:pt idx="16">
                  <c:v>-21.202800365388608</c:v>
                </c:pt>
                <c:pt idx="17">
                  <c:v>-18.896628863977423</c:v>
                </c:pt>
                <c:pt idx="18">
                  <c:v>-18.916156990656294</c:v>
                </c:pt>
                <c:pt idx="19">
                  <c:v>-18.05593459178235</c:v>
                </c:pt>
                <c:pt idx="20">
                  <c:v>-17.778471825666013</c:v>
                </c:pt>
                <c:pt idx="21">
                  <c:v>-14.498727939521819</c:v>
                </c:pt>
                <c:pt idx="22">
                  <c:v>-14.452084984129678</c:v>
                </c:pt>
                <c:pt idx="23">
                  <c:v>-14.550360138554716</c:v>
                </c:pt>
                <c:pt idx="24">
                  <c:v>-15.259370604831002</c:v>
                </c:pt>
                <c:pt idx="25">
                  <c:v>-14.628613667699211</c:v>
                </c:pt>
                <c:pt idx="26">
                  <c:v>-15.779948668471794</c:v>
                </c:pt>
                <c:pt idx="27">
                  <c:v>-16.319720653896415</c:v>
                </c:pt>
                <c:pt idx="28">
                  <c:v>-12.425878384181861</c:v>
                </c:pt>
                <c:pt idx="29">
                  <c:v>-10.042590210500709</c:v>
                </c:pt>
                <c:pt idx="30">
                  <c:v>-9.793151551518589</c:v>
                </c:pt>
                <c:pt idx="31">
                  <c:v>-8.1390220453463336</c:v>
                </c:pt>
                <c:pt idx="32">
                  <c:v>-8.6942453387794476</c:v>
                </c:pt>
                <c:pt idx="33">
                  <c:v>-6.2210314002086537</c:v>
                </c:pt>
                <c:pt idx="34">
                  <c:v>-7.8219513009355452</c:v>
                </c:pt>
                <c:pt idx="35">
                  <c:v>-8.7534221385276254</c:v>
                </c:pt>
                <c:pt idx="36">
                  <c:v>-6.6582383432961327</c:v>
                </c:pt>
                <c:pt idx="37">
                  <c:v>-2.6970405308145944</c:v>
                </c:pt>
                <c:pt idx="38">
                  <c:v>-1.9570712072764385</c:v>
                </c:pt>
                <c:pt idx="39">
                  <c:v>-1.2097450703620407</c:v>
                </c:pt>
                <c:pt idx="40">
                  <c:v>-3.2424476897162871</c:v>
                </c:pt>
                <c:pt idx="41">
                  <c:v>-1.9355369926650323</c:v>
                </c:pt>
                <c:pt idx="42">
                  <c:v>-4.0358812847486671</c:v>
                </c:pt>
                <c:pt idx="43">
                  <c:v>-3.9488922058042921</c:v>
                </c:pt>
                <c:pt idx="44">
                  <c:v>-3.0092455306187702</c:v>
                </c:pt>
                <c:pt idx="45">
                  <c:v>-1.9266276205967283</c:v>
                </c:pt>
                <c:pt idx="46">
                  <c:v>-3.7862320349004719</c:v>
                </c:pt>
                <c:pt idx="47">
                  <c:v>0.85696887264500121</c:v>
                </c:pt>
                <c:pt idx="48">
                  <c:v>-1.3666966370070388</c:v>
                </c:pt>
                <c:pt idx="49">
                  <c:v>0.27764150246157843</c:v>
                </c:pt>
                <c:pt idx="50">
                  <c:v>0.50131389219297551</c:v>
                </c:pt>
                <c:pt idx="51">
                  <c:v>3.1445938953594426</c:v>
                </c:pt>
                <c:pt idx="52">
                  <c:v>1.9731244236705254</c:v>
                </c:pt>
                <c:pt idx="53">
                  <c:v>4.2111159907464657</c:v>
                </c:pt>
                <c:pt idx="54">
                  <c:v>5.9425508067951398</c:v>
                </c:pt>
                <c:pt idx="55">
                  <c:v>6.8526115784351553</c:v>
                </c:pt>
                <c:pt idx="56">
                  <c:v>5.5669470983985638</c:v>
                </c:pt>
                <c:pt idx="57">
                  <c:v>2.9483928325428161</c:v>
                </c:pt>
                <c:pt idx="58">
                  <c:v>-0.7772296780189728</c:v>
                </c:pt>
                <c:pt idx="59">
                  <c:v>-1.9212302596720825</c:v>
                </c:pt>
                <c:pt idx="60">
                  <c:v>-5.7575969904162356</c:v>
                </c:pt>
                <c:pt idx="61">
                  <c:v>-4.5586366116620116</c:v>
                </c:pt>
                <c:pt idx="62">
                  <c:v>-3.2406778462449819</c:v>
                </c:pt>
                <c:pt idx="63">
                  <c:v>0.91896617870745501</c:v>
                </c:pt>
                <c:pt idx="64">
                  <c:v>-3.0896597694744345</c:v>
                </c:pt>
                <c:pt idx="65">
                  <c:v>-5.5809806411647953</c:v>
                </c:pt>
                <c:pt idx="66">
                  <c:v>-7.2612199080536968</c:v>
                </c:pt>
                <c:pt idx="67">
                  <c:v>-7.7253790975618424</c:v>
                </c:pt>
                <c:pt idx="68">
                  <c:v>-5.0521648618633836</c:v>
                </c:pt>
                <c:pt idx="69">
                  <c:v>0.61202023515248771</c:v>
                </c:pt>
                <c:pt idx="70">
                  <c:v>2.8250296843710005</c:v>
                </c:pt>
                <c:pt idx="71">
                  <c:v>3.115051416878539</c:v>
                </c:pt>
                <c:pt idx="72">
                  <c:v>3.0917254081075689</c:v>
                </c:pt>
                <c:pt idx="73">
                  <c:v>3.1600377155226607</c:v>
                </c:pt>
                <c:pt idx="74">
                  <c:v>2.1775639480573235</c:v>
                </c:pt>
                <c:pt idx="75">
                  <c:v>3.20258808837576</c:v>
                </c:pt>
                <c:pt idx="76">
                  <c:v>4.5616315930702322</c:v>
                </c:pt>
                <c:pt idx="77">
                  <c:v>7.2816142099392289</c:v>
                </c:pt>
                <c:pt idx="78">
                  <c:v>6.000854601141854</c:v>
                </c:pt>
                <c:pt idx="79">
                  <c:v>5.319232647117337</c:v>
                </c:pt>
                <c:pt idx="80">
                  <c:v>4.9588742910475103</c:v>
                </c:pt>
                <c:pt idx="81">
                  <c:v>7.1764067955805517</c:v>
                </c:pt>
                <c:pt idx="82">
                  <c:v>4.2774268057082949</c:v>
                </c:pt>
                <c:pt idx="83">
                  <c:v>2.3647790405982336</c:v>
                </c:pt>
                <c:pt idx="84">
                  <c:v>-2.2007229160935773</c:v>
                </c:pt>
                <c:pt idx="85">
                  <c:v>0.45957733037298337</c:v>
                </c:pt>
                <c:pt idx="86">
                  <c:v>-0.89652744800950057</c:v>
                </c:pt>
                <c:pt idx="87">
                  <c:v>0.85985420823278658</c:v>
                </c:pt>
                <c:pt idx="88">
                  <c:v>0.45078650543922377</c:v>
                </c:pt>
                <c:pt idx="89">
                  <c:v>-1.4595658558666738</c:v>
                </c:pt>
                <c:pt idx="90">
                  <c:v>0.36115335343725335</c:v>
                </c:pt>
                <c:pt idx="91">
                  <c:v>2.0228049657981542</c:v>
                </c:pt>
                <c:pt idx="92">
                  <c:v>3.4237428388533866</c:v>
                </c:pt>
                <c:pt idx="93">
                  <c:v>5.1770103525843325</c:v>
                </c:pt>
                <c:pt idx="94">
                  <c:v>5.5907446754370325</c:v>
                </c:pt>
                <c:pt idx="95">
                  <c:v>7.520742616030029</c:v>
                </c:pt>
                <c:pt idx="96">
                  <c:v>7.2140665401277753</c:v>
                </c:pt>
                <c:pt idx="97">
                  <c:v>5.1367101125546482</c:v>
                </c:pt>
                <c:pt idx="98">
                  <c:v>6.3802801265881142</c:v>
                </c:pt>
                <c:pt idx="99">
                  <c:v>5.6510618565253008</c:v>
                </c:pt>
                <c:pt idx="100">
                  <c:v>4.6794638807837385</c:v>
                </c:pt>
                <c:pt idx="101">
                  <c:v>4.2461864296969258</c:v>
                </c:pt>
                <c:pt idx="102">
                  <c:v>1.4310072333103585</c:v>
                </c:pt>
                <c:pt idx="103">
                  <c:v>0.19337862062853031</c:v>
                </c:pt>
                <c:pt idx="104">
                  <c:v>-1.5116124087841916</c:v>
                </c:pt>
                <c:pt idx="105">
                  <c:v>-3.5540199610009786</c:v>
                </c:pt>
                <c:pt idx="106">
                  <c:v>-4.4771844059258905</c:v>
                </c:pt>
                <c:pt idx="107">
                  <c:v>-5.5664045148066705</c:v>
                </c:pt>
                <c:pt idx="108">
                  <c:v>-7.3897479002378184</c:v>
                </c:pt>
                <c:pt idx="109">
                  <c:v>-8.5156564771877026</c:v>
                </c:pt>
                <c:pt idx="110">
                  <c:v>-9.8084695301270166</c:v>
                </c:pt>
                <c:pt idx="111">
                  <c:v>-10.862256728034936</c:v>
                </c:pt>
                <c:pt idx="112">
                  <c:v>-11.933630434552867</c:v>
                </c:pt>
                <c:pt idx="113">
                  <c:v>-13.17267451249641</c:v>
                </c:pt>
                <c:pt idx="114">
                  <c:v>-13.094373271337634</c:v>
                </c:pt>
                <c:pt idx="115">
                  <c:v>-14.558801861042358</c:v>
                </c:pt>
                <c:pt idx="116">
                  <c:v>-15.012592655874856</c:v>
                </c:pt>
                <c:pt idx="117">
                  <c:v>-14.472165305899685</c:v>
                </c:pt>
                <c:pt idx="118">
                  <c:v>-13.61227550795536</c:v>
                </c:pt>
                <c:pt idx="119">
                  <c:v>-14.593988717967374</c:v>
                </c:pt>
                <c:pt idx="120">
                  <c:v>-15.484794002666124</c:v>
                </c:pt>
                <c:pt idx="121">
                  <c:v>-14.370578488975436</c:v>
                </c:pt>
                <c:pt idx="122">
                  <c:v>-15.219823213672196</c:v>
                </c:pt>
                <c:pt idx="123">
                  <c:v>-15.654000191617337</c:v>
                </c:pt>
                <c:pt idx="124">
                  <c:v>-16.816198947677936</c:v>
                </c:pt>
                <c:pt idx="125">
                  <c:v>-12.387138014049059</c:v>
                </c:pt>
                <c:pt idx="126">
                  <c:v>-7.2264971180057938</c:v>
                </c:pt>
                <c:pt idx="127">
                  <c:v>-7.8445728771963887</c:v>
                </c:pt>
                <c:pt idx="128">
                  <c:v>-8.5505456745582276</c:v>
                </c:pt>
                <c:pt idx="129">
                  <c:v>-11.297851143354629</c:v>
                </c:pt>
                <c:pt idx="130">
                  <c:v>-13.2036848373633</c:v>
                </c:pt>
                <c:pt idx="131">
                  <c:v>-14.261176516493496</c:v>
                </c:pt>
                <c:pt idx="132">
                  <c:v>-15.070551018536257</c:v>
                </c:pt>
                <c:pt idx="133">
                  <c:v>-14.19715786026576</c:v>
                </c:pt>
                <c:pt idx="134">
                  <c:v>-12.131821406701667</c:v>
                </c:pt>
                <c:pt idx="135">
                  <c:v>-6.3909877072192849</c:v>
                </c:pt>
                <c:pt idx="136">
                  <c:v>-6.413049775525451</c:v>
                </c:pt>
                <c:pt idx="137">
                  <c:v>-8.4139935298158655</c:v>
                </c:pt>
                <c:pt idx="138">
                  <c:v>-9.6990963802667913</c:v>
                </c:pt>
                <c:pt idx="139">
                  <c:v>-11.988036221366864</c:v>
                </c:pt>
                <c:pt idx="140">
                  <c:v>-9.3996972009981263</c:v>
                </c:pt>
                <c:pt idx="141">
                  <c:v>-9.0942571501349416</c:v>
                </c:pt>
                <c:pt idx="142">
                  <c:v>-6.4451636258808316</c:v>
                </c:pt>
                <c:pt idx="143">
                  <c:v>-8.1919639359406009</c:v>
                </c:pt>
                <c:pt idx="144">
                  <c:v>-5.1004022629485268</c:v>
                </c:pt>
                <c:pt idx="145">
                  <c:v>-5.9431864419553211</c:v>
                </c:pt>
                <c:pt idx="146">
                  <c:v>-8.374684160986904</c:v>
                </c:pt>
                <c:pt idx="147">
                  <c:v>-9.8144683576386864</c:v>
                </c:pt>
                <c:pt idx="148">
                  <c:v>-6.2488394279110855</c:v>
                </c:pt>
                <c:pt idx="149">
                  <c:v>-1.3821992438024062</c:v>
                </c:pt>
                <c:pt idx="150">
                  <c:v>-4.2471457901832023E-2</c:v>
                </c:pt>
                <c:pt idx="151">
                  <c:v>-2.5034291087400606</c:v>
                </c:pt>
                <c:pt idx="152">
                  <c:v>-4.9567477400287823</c:v>
                </c:pt>
                <c:pt idx="153">
                  <c:v>-7.4708520610148943</c:v>
                </c:pt>
                <c:pt idx="154">
                  <c:v>-8.4212886548230497</c:v>
                </c:pt>
                <c:pt idx="155">
                  <c:v>-9.9388459624143604</c:v>
                </c:pt>
                <c:pt idx="156">
                  <c:v>-8.6360679026082003</c:v>
                </c:pt>
                <c:pt idx="157">
                  <c:v>-8.3715976671451564</c:v>
                </c:pt>
                <c:pt idx="158">
                  <c:v>-9.4805449146423673</c:v>
                </c:pt>
                <c:pt idx="159">
                  <c:v>-8.0414848046902296</c:v>
                </c:pt>
                <c:pt idx="160">
                  <c:v>-6.2294296149870112</c:v>
                </c:pt>
                <c:pt idx="161">
                  <c:v>-3.7658407783945873</c:v>
                </c:pt>
                <c:pt idx="162">
                  <c:v>-6.5927213282537283</c:v>
                </c:pt>
                <c:pt idx="163">
                  <c:v>-8.0965442801890912</c:v>
                </c:pt>
                <c:pt idx="164">
                  <c:v>-9.0903709715856742</c:v>
                </c:pt>
                <c:pt idx="165">
                  <c:v>-8.2289939710029287</c:v>
                </c:pt>
                <c:pt idx="166">
                  <c:v>-8.4959680501810002</c:v>
                </c:pt>
                <c:pt idx="167">
                  <c:v>-7.3648058228410251</c:v>
                </c:pt>
                <c:pt idx="168">
                  <c:v>-8.6535767486308863</c:v>
                </c:pt>
                <c:pt idx="169">
                  <c:v>-8.3443895411616698</c:v>
                </c:pt>
                <c:pt idx="170">
                  <c:v>-7.7308987069058155</c:v>
                </c:pt>
                <c:pt idx="171">
                  <c:v>-6.8161244149023483</c:v>
                </c:pt>
                <c:pt idx="172">
                  <c:v>-10.131485777712772</c:v>
                </c:pt>
                <c:pt idx="173">
                  <c:v>-11.225813431416535</c:v>
                </c:pt>
                <c:pt idx="174">
                  <c:v>-11.89777801082592</c:v>
                </c:pt>
                <c:pt idx="175">
                  <c:v>-11.822595503066232</c:v>
                </c:pt>
                <c:pt idx="176">
                  <c:v>-10.271101248294249</c:v>
                </c:pt>
                <c:pt idx="177">
                  <c:v>-9.6690147455502462</c:v>
                </c:pt>
                <c:pt idx="178">
                  <c:v>-10.731647576184976</c:v>
                </c:pt>
                <c:pt idx="179">
                  <c:v>-11.446137008694828</c:v>
                </c:pt>
                <c:pt idx="180">
                  <c:v>-11.6404465725566</c:v>
                </c:pt>
                <c:pt idx="181">
                  <c:v>-9.9247464699384693</c:v>
                </c:pt>
                <c:pt idx="182">
                  <c:v>-10.426511355832423</c:v>
                </c:pt>
                <c:pt idx="183">
                  <c:v>-10.835964068750217</c:v>
                </c:pt>
                <c:pt idx="184">
                  <c:v>-9.9098426212109541</c:v>
                </c:pt>
                <c:pt idx="185">
                  <c:v>-9.4221782725470167</c:v>
                </c:pt>
                <c:pt idx="186">
                  <c:v>-8.9861436934782954</c:v>
                </c:pt>
                <c:pt idx="187">
                  <c:v>-9.090314169664925</c:v>
                </c:pt>
                <c:pt idx="188">
                  <c:v>-10.258848765319231</c:v>
                </c:pt>
                <c:pt idx="189">
                  <c:v>-8.0846682691781808</c:v>
                </c:pt>
                <c:pt idx="190">
                  <c:v>-7.841684514423064</c:v>
                </c:pt>
                <c:pt idx="191">
                  <c:v>-8.4342538064378836</c:v>
                </c:pt>
                <c:pt idx="192">
                  <c:v>-7.9493166158640909</c:v>
                </c:pt>
                <c:pt idx="193">
                  <c:v>-11.152935722449858</c:v>
                </c:pt>
                <c:pt idx="194">
                  <c:v>-11.696895596092643</c:v>
                </c:pt>
                <c:pt idx="195">
                  <c:v>-11.459143079687813</c:v>
                </c:pt>
                <c:pt idx="196">
                  <c:v>-12.069225311314883</c:v>
                </c:pt>
                <c:pt idx="197">
                  <c:v>-9.732300586378031</c:v>
                </c:pt>
                <c:pt idx="198">
                  <c:v>-6.446534855059018</c:v>
                </c:pt>
                <c:pt idx="199">
                  <c:v>-3.4894382730140552</c:v>
                </c:pt>
                <c:pt idx="200">
                  <c:v>-4.2598016816569842E-2</c:v>
                </c:pt>
                <c:pt idx="201">
                  <c:v>-2.7965655862988039</c:v>
                </c:pt>
                <c:pt idx="202">
                  <c:v>-4.1505245140654905</c:v>
                </c:pt>
                <c:pt idx="203">
                  <c:v>-2.9491811004563089</c:v>
                </c:pt>
                <c:pt idx="204">
                  <c:v>-0.47978949422222494</c:v>
                </c:pt>
                <c:pt idx="205">
                  <c:v>-0.2644000478099629</c:v>
                </c:pt>
                <c:pt idx="206">
                  <c:v>-2.8588840148631891</c:v>
                </c:pt>
                <c:pt idx="207">
                  <c:v>-3.9814752007067091</c:v>
                </c:pt>
                <c:pt idx="208">
                  <c:v>-2.3712726244950648</c:v>
                </c:pt>
                <c:pt idx="209">
                  <c:v>-0.65765700088788548</c:v>
                </c:pt>
                <c:pt idx="210">
                  <c:v>1.7632353126301368</c:v>
                </c:pt>
                <c:pt idx="211">
                  <c:v>-0.1393051538426871</c:v>
                </c:pt>
                <c:pt idx="212">
                  <c:v>-1.00594526335545</c:v>
                </c:pt>
                <c:pt idx="213">
                  <c:v>-4.4003417310577948</c:v>
                </c:pt>
                <c:pt idx="214">
                  <c:v>-5.5317327459426053</c:v>
                </c:pt>
                <c:pt idx="215">
                  <c:v>-4.0392589386285351</c:v>
                </c:pt>
                <c:pt idx="216">
                  <c:v>-0.50574961867599466</c:v>
                </c:pt>
                <c:pt idx="217">
                  <c:v>2.0134183750468826</c:v>
                </c:pt>
                <c:pt idx="218">
                  <c:v>3.1205979948243914</c:v>
                </c:pt>
                <c:pt idx="219">
                  <c:v>1.7610725207377613</c:v>
                </c:pt>
                <c:pt idx="220">
                  <c:v>-0.23062105536748889</c:v>
                </c:pt>
                <c:pt idx="221">
                  <c:v>-0.79836059456541708</c:v>
                </c:pt>
                <c:pt idx="222">
                  <c:v>-2.2286445457528981</c:v>
                </c:pt>
                <c:pt idx="223">
                  <c:v>-3.538821335182269</c:v>
                </c:pt>
                <c:pt idx="224">
                  <c:v>-3.9191252134142749</c:v>
                </c:pt>
                <c:pt idx="225">
                  <c:v>-3.0583334079422739</c:v>
                </c:pt>
                <c:pt idx="226">
                  <c:v>-4.0133291952456203</c:v>
                </c:pt>
                <c:pt idx="227">
                  <c:v>-6.4784991754446093</c:v>
                </c:pt>
                <c:pt idx="228">
                  <c:v>-7.1738389918040202</c:v>
                </c:pt>
                <c:pt idx="229">
                  <c:v>-4.5486873704752373</c:v>
                </c:pt>
                <c:pt idx="230">
                  <c:v>-4.9448354343721119</c:v>
                </c:pt>
                <c:pt idx="231">
                  <c:v>-6.4169265808453888</c:v>
                </c:pt>
                <c:pt idx="232">
                  <c:v>-6.4698919754061262</c:v>
                </c:pt>
                <c:pt idx="233">
                  <c:v>-3.8808716707808188</c:v>
                </c:pt>
                <c:pt idx="234">
                  <c:v>-2.3435235588502792</c:v>
                </c:pt>
                <c:pt idx="235">
                  <c:v>2.9180454999623025E-2</c:v>
                </c:pt>
                <c:pt idx="236">
                  <c:v>0.59205834177024763</c:v>
                </c:pt>
                <c:pt idx="237">
                  <c:v>-3.1883691879672873</c:v>
                </c:pt>
                <c:pt idx="238">
                  <c:v>-4.17039364801873</c:v>
                </c:pt>
                <c:pt idx="239">
                  <c:v>-4.8661199524303367</c:v>
                </c:pt>
                <c:pt idx="240">
                  <c:v>-5.2947709077837812</c:v>
                </c:pt>
                <c:pt idx="241">
                  <c:v>-5.1334896467493447</c:v>
                </c:pt>
                <c:pt idx="242">
                  <c:v>-5.9606003212102809</c:v>
                </c:pt>
                <c:pt idx="243">
                  <c:v>-3.5866032647159365</c:v>
                </c:pt>
                <c:pt idx="244">
                  <c:v>-1.4420976677921553</c:v>
                </c:pt>
                <c:pt idx="245">
                  <c:v>-1.990259981419384</c:v>
                </c:pt>
                <c:pt idx="246">
                  <c:v>-2.1087812914418818</c:v>
                </c:pt>
                <c:pt idx="247">
                  <c:v>-2.9282569441585493</c:v>
                </c:pt>
                <c:pt idx="248">
                  <c:v>-4.3679857259419999</c:v>
                </c:pt>
                <c:pt idx="249">
                  <c:v>-4.3523687987674258</c:v>
                </c:pt>
                <c:pt idx="250">
                  <c:v>-4.3423086222237144</c:v>
                </c:pt>
                <c:pt idx="251">
                  <c:v>-5.6598997588882964</c:v>
                </c:pt>
                <c:pt idx="252">
                  <c:v>-4.4859723212710527</c:v>
                </c:pt>
                <c:pt idx="253">
                  <c:v>-4.6926465871991594</c:v>
                </c:pt>
                <c:pt idx="254">
                  <c:v>-5.5757855141895023</c:v>
                </c:pt>
                <c:pt idx="255">
                  <c:v>-5.8088621682794495</c:v>
                </c:pt>
                <c:pt idx="256">
                  <c:v>-6.1536272738775466</c:v>
                </c:pt>
                <c:pt idx="257">
                  <c:v>-6.6067648291373295</c:v>
                </c:pt>
                <c:pt idx="258">
                  <c:v>-6.188403940130649</c:v>
                </c:pt>
                <c:pt idx="259">
                  <c:v>-6.406526631367278</c:v>
                </c:pt>
                <c:pt idx="260">
                  <c:v>-6.4551423734558337</c:v>
                </c:pt>
                <c:pt idx="261">
                  <c:v>-4.7698036102934553</c:v>
                </c:pt>
                <c:pt idx="262">
                  <c:v>-2.5265291024637566</c:v>
                </c:pt>
                <c:pt idx="263">
                  <c:v>0.94153829036050363</c:v>
                </c:pt>
                <c:pt idx="264">
                  <c:v>1.2853433591107737</c:v>
                </c:pt>
                <c:pt idx="265">
                  <c:v>-0.79937936047279956</c:v>
                </c:pt>
                <c:pt idx="266">
                  <c:v>-1.7267963225155212</c:v>
                </c:pt>
                <c:pt idx="267">
                  <c:v>-1.1825589121820415</c:v>
                </c:pt>
                <c:pt idx="268">
                  <c:v>-2.5406385366733164</c:v>
                </c:pt>
                <c:pt idx="269">
                  <c:v>-2.9977751135055009</c:v>
                </c:pt>
                <c:pt idx="270">
                  <c:v>-3.773321983956353</c:v>
                </c:pt>
                <c:pt idx="271">
                  <c:v>-4.0908556801037985</c:v>
                </c:pt>
                <c:pt idx="272">
                  <c:v>-4.7312998667051218</c:v>
                </c:pt>
                <c:pt idx="273">
                  <c:v>-5.1792236084005445</c:v>
                </c:pt>
                <c:pt idx="274">
                  <c:v>-5.0901484955473748</c:v>
                </c:pt>
                <c:pt idx="275">
                  <c:v>-5.1494246073964289</c:v>
                </c:pt>
                <c:pt idx="276">
                  <c:v>-5.2476312722882676</c:v>
                </c:pt>
                <c:pt idx="277">
                  <c:v>-5.4540462382739543</c:v>
                </c:pt>
                <c:pt idx="278">
                  <c:v>-5.6574538388249564</c:v>
                </c:pt>
                <c:pt idx="279">
                  <c:v>-5.1751193575575973</c:v>
                </c:pt>
                <c:pt idx="280">
                  <c:v>-4.0855192763693875</c:v>
                </c:pt>
                <c:pt idx="281">
                  <c:v>-3.1081735503890426</c:v>
                </c:pt>
                <c:pt idx="282">
                  <c:v>-3.8710195750950209</c:v>
                </c:pt>
                <c:pt idx="283">
                  <c:v>-3.813340006190006</c:v>
                </c:pt>
                <c:pt idx="284">
                  <c:v>-2.8368194587979092</c:v>
                </c:pt>
                <c:pt idx="285">
                  <c:v>-3.9223880169299412</c:v>
                </c:pt>
                <c:pt idx="286">
                  <c:v>-4.7105089050997346</c:v>
                </c:pt>
                <c:pt idx="287">
                  <c:v>-3.0338792420000171</c:v>
                </c:pt>
                <c:pt idx="288">
                  <c:v>-0.8859647615993943</c:v>
                </c:pt>
                <c:pt idx="289">
                  <c:v>-0.4489439433192185</c:v>
                </c:pt>
                <c:pt idx="290">
                  <c:v>-0.5817130218735409</c:v>
                </c:pt>
                <c:pt idx="291">
                  <c:v>-0.47962699184795698</c:v>
                </c:pt>
                <c:pt idx="292">
                  <c:v>-2.6657723425373767</c:v>
                </c:pt>
                <c:pt idx="293">
                  <c:v>-3.040080038741146</c:v>
                </c:pt>
                <c:pt idx="294">
                  <c:v>-1.3379097026863673</c:v>
                </c:pt>
                <c:pt idx="295">
                  <c:v>-1.7746526140255463</c:v>
                </c:pt>
                <c:pt idx="296">
                  <c:v>-2.1650872776411383</c:v>
                </c:pt>
                <c:pt idx="297">
                  <c:v>-2.7761248022629661</c:v>
                </c:pt>
                <c:pt idx="298">
                  <c:v>-2.6749157402540145</c:v>
                </c:pt>
                <c:pt idx="299">
                  <c:v>-1.9600005382739218</c:v>
                </c:pt>
                <c:pt idx="300">
                  <c:v>-2.7864719069102541</c:v>
                </c:pt>
                <c:pt idx="301">
                  <c:v>-1.9182930987321933</c:v>
                </c:pt>
                <c:pt idx="302">
                  <c:v>-2.0875448558278151</c:v>
                </c:pt>
                <c:pt idx="303">
                  <c:v>-1.0921575506596848</c:v>
                </c:pt>
                <c:pt idx="304">
                  <c:v>0.32294033504604353</c:v>
                </c:pt>
                <c:pt idx="305">
                  <c:v>3.1111266257854679</c:v>
                </c:pt>
                <c:pt idx="306">
                  <c:v>0.98725197708923618</c:v>
                </c:pt>
                <c:pt idx="307">
                  <c:v>0.15252465213557262</c:v>
                </c:pt>
                <c:pt idx="308">
                  <c:v>-0.72871309818222063</c:v>
                </c:pt>
                <c:pt idx="309">
                  <c:v>-6.5586030886115462E-2</c:v>
                </c:pt>
                <c:pt idx="310">
                  <c:v>-0.47102698637958912</c:v>
                </c:pt>
                <c:pt idx="311">
                  <c:v>1.1387507297902872</c:v>
                </c:pt>
                <c:pt idx="312">
                  <c:v>1.389393148375907</c:v>
                </c:pt>
                <c:pt idx="313">
                  <c:v>0.24639491211675074</c:v>
                </c:pt>
                <c:pt idx="314">
                  <c:v>-0.13224059969492902</c:v>
                </c:pt>
                <c:pt idx="315">
                  <c:v>-0.34392477702819568</c:v>
                </c:pt>
                <c:pt idx="316">
                  <c:v>-0.50966886728886773</c:v>
                </c:pt>
                <c:pt idx="317">
                  <c:v>-0.76983960134976892</c:v>
                </c:pt>
                <c:pt idx="318">
                  <c:v>-0.80634759385975252</c:v>
                </c:pt>
                <c:pt idx="319">
                  <c:v>0.34911050217822043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EE-5D47-AE32-B9442C972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'240823B015'!$A$2:$A$321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'240823B015'!$J$2:$J$321</c:f>
              <c:numCache>
                <c:formatCode>0.0</c:formatCode>
                <c:ptCount val="320"/>
                <c:pt idx="0">
                  <c:v>955.2648682508501</c:v>
                </c:pt>
                <c:pt idx="1">
                  <c:v>1001.94270037528</c:v>
                </c:pt>
                <c:pt idx="2">
                  <c:v>1045.01522389457</c:v>
                </c:pt>
                <c:pt idx="3">
                  <c:v>1053.9684340551999</c:v>
                </c:pt>
                <c:pt idx="4">
                  <c:v>1049.6463276488801</c:v>
                </c:pt>
                <c:pt idx="5">
                  <c:v>1031.26868081047</c:v>
                </c:pt>
                <c:pt idx="6">
                  <c:v>1039.7256742596001</c:v>
                </c:pt>
                <c:pt idx="7">
                  <c:v>1010.9991848001499</c:v>
                </c:pt>
                <c:pt idx="8">
                  <c:v>943.22605478382002</c:v>
                </c:pt>
                <c:pt idx="9">
                  <c:v>761.02938378499005</c:v>
                </c:pt>
                <c:pt idx="10">
                  <c:v>884.69882096040999</c:v>
                </c:pt>
                <c:pt idx="11">
                  <c:v>888.12504024770988</c:v>
                </c:pt>
                <c:pt idx="12">
                  <c:v>931.93130806650993</c:v>
                </c:pt>
                <c:pt idx="13">
                  <c:v>932.81061164874006</c:v>
                </c:pt>
                <c:pt idx="14">
                  <c:v>908.9614177745899</c:v>
                </c:pt>
                <c:pt idx="15">
                  <c:v>829.17844096313002</c:v>
                </c:pt>
                <c:pt idx="16">
                  <c:v>917.74256225576005</c:v>
                </c:pt>
                <c:pt idx="17">
                  <c:v>934.27592324527018</c:v>
                </c:pt>
                <c:pt idx="18">
                  <c:v>930.83463964600003</c:v>
                </c:pt>
                <c:pt idx="19">
                  <c:v>911.72470252601011</c:v>
                </c:pt>
                <c:pt idx="20">
                  <c:v>928.96103180896989</c:v>
                </c:pt>
                <c:pt idx="21">
                  <c:v>890.85689887681997</c:v>
                </c:pt>
                <c:pt idx="22">
                  <c:v>844.74157010959993</c:v>
                </c:pt>
                <c:pt idx="23">
                  <c:v>903.2518438998801</c:v>
                </c:pt>
                <c:pt idx="24">
                  <c:v>860.09316056571004</c:v>
                </c:pt>
                <c:pt idx="25">
                  <c:v>879.25326078331989</c:v>
                </c:pt>
                <c:pt idx="26">
                  <c:v>947.52883114477993</c:v>
                </c:pt>
                <c:pt idx="27">
                  <c:v>937.52168655560013</c:v>
                </c:pt>
                <c:pt idx="28">
                  <c:v>914.64752212489998</c:v>
                </c:pt>
                <c:pt idx="29">
                  <c:v>936.48091545681007</c:v>
                </c:pt>
                <c:pt idx="30">
                  <c:v>951.65715755098006</c:v>
                </c:pt>
                <c:pt idx="31">
                  <c:v>958.22188956164007</c:v>
                </c:pt>
                <c:pt idx="32">
                  <c:v>937.39186412080994</c:v>
                </c:pt>
                <c:pt idx="33">
                  <c:v>924.26809177281007</c:v>
                </c:pt>
                <c:pt idx="34">
                  <c:v>940.89812666440002</c:v>
                </c:pt>
                <c:pt idx="35">
                  <c:v>938.43863566827008</c:v>
                </c:pt>
                <c:pt idx="36">
                  <c:v>932.14299416274991</c:v>
                </c:pt>
                <c:pt idx="37">
                  <c:v>945.44306280613</c:v>
                </c:pt>
                <c:pt idx="38">
                  <c:v>939.65670395552002</c:v>
                </c:pt>
                <c:pt idx="39">
                  <c:v>964.27863104009998</c:v>
                </c:pt>
                <c:pt idx="40">
                  <c:v>953.93566393512015</c:v>
                </c:pt>
                <c:pt idx="41">
                  <c:v>969.97343378277014</c:v>
                </c:pt>
                <c:pt idx="42">
                  <c:v>977.73985754558009</c:v>
                </c:pt>
                <c:pt idx="43">
                  <c:v>980.72205735808006</c:v>
                </c:pt>
                <c:pt idx="44">
                  <c:v>974.99896819030005</c:v>
                </c:pt>
                <c:pt idx="45">
                  <c:v>970.15807560132998</c:v>
                </c:pt>
                <c:pt idx="46">
                  <c:v>979.50171821311005</c:v>
                </c:pt>
                <c:pt idx="47">
                  <c:v>970.60910652924997</c:v>
                </c:pt>
                <c:pt idx="48">
                  <c:v>976.81872852233005</c:v>
                </c:pt>
                <c:pt idx="49">
                  <c:v>978.25085910649</c:v>
                </c:pt>
                <c:pt idx="50">
                  <c:v>971.72766323020005</c:v>
                </c:pt>
                <c:pt idx="51">
                  <c:v>978.56701030924</c:v>
                </c:pt>
                <c:pt idx="52">
                  <c:v>967.65716330855014</c:v>
                </c:pt>
                <c:pt idx="53">
                  <c:v>968.58930718931015</c:v>
                </c:pt>
                <c:pt idx="54">
                  <c:v>977.77507512568002</c:v>
                </c:pt>
                <c:pt idx="55">
                  <c:v>976.33839932871012</c:v>
                </c:pt>
                <c:pt idx="56">
                  <c:v>974.46385621380011</c:v>
                </c:pt>
                <c:pt idx="57">
                  <c:v>974.40875520410009</c:v>
                </c:pt>
                <c:pt idx="58">
                  <c:v>970.66604394368983</c:v>
                </c:pt>
                <c:pt idx="59">
                  <c:v>959.26936276895992</c:v>
                </c:pt>
                <c:pt idx="60">
                  <c:v>966.22659581065011</c:v>
                </c:pt>
                <c:pt idx="61">
                  <c:v>946.63960296421988</c:v>
                </c:pt>
                <c:pt idx="62">
                  <c:v>908.08883663831989</c:v>
                </c:pt>
                <c:pt idx="63">
                  <c:v>912.88952983311015</c:v>
                </c:pt>
                <c:pt idx="64">
                  <c:v>909.84783841997</c:v>
                </c:pt>
                <c:pt idx="65">
                  <c:v>933.16528398450009</c:v>
                </c:pt>
                <c:pt idx="66">
                  <c:v>934.46080999367996</c:v>
                </c:pt>
                <c:pt idx="67">
                  <c:v>966.81975797530993</c:v>
                </c:pt>
                <c:pt idx="68">
                  <c:v>967.70958143441987</c:v>
                </c:pt>
                <c:pt idx="69">
                  <c:v>962.25834918811006</c:v>
                </c:pt>
                <c:pt idx="70">
                  <c:v>947.21504592637996</c:v>
                </c:pt>
                <c:pt idx="71">
                  <c:v>945.18822028520003</c:v>
                </c:pt>
                <c:pt idx="72">
                  <c:v>924.66921448909011</c:v>
                </c:pt>
                <c:pt idx="73">
                  <c:v>934.65671430464988</c:v>
                </c:pt>
                <c:pt idx="74">
                  <c:v>955.73395646211009</c:v>
                </c:pt>
                <c:pt idx="75">
                  <c:v>941.08193746757991</c:v>
                </c:pt>
                <c:pt idx="76">
                  <c:v>894.10329260965989</c:v>
                </c:pt>
                <c:pt idx="77">
                  <c:v>945.20194837779002</c:v>
                </c:pt>
                <c:pt idx="78">
                  <c:v>908.33218542703003</c:v>
                </c:pt>
                <c:pt idx="79">
                  <c:v>879.38648125140003</c:v>
                </c:pt>
                <c:pt idx="80">
                  <c:v>892.30856218529004</c:v>
                </c:pt>
                <c:pt idx="81">
                  <c:v>918.98735090249011</c:v>
                </c:pt>
                <c:pt idx="82">
                  <c:v>878.51659524524007</c:v>
                </c:pt>
                <c:pt idx="83">
                  <c:v>955.81797744716994</c:v>
                </c:pt>
                <c:pt idx="84">
                  <c:v>917.43597267912992</c:v>
                </c:pt>
                <c:pt idx="85">
                  <c:v>952.38958386617992</c:v>
                </c:pt>
                <c:pt idx="86">
                  <c:v>964.22127252964992</c:v>
                </c:pt>
                <c:pt idx="87">
                  <c:v>923.99694052881</c:v>
                </c:pt>
                <c:pt idx="88">
                  <c:v>953.03823024057988</c:v>
                </c:pt>
                <c:pt idx="89">
                  <c:v>959.85344343923998</c:v>
                </c:pt>
                <c:pt idx="90">
                  <c:v>949.15287713028999</c:v>
                </c:pt>
                <c:pt idx="91">
                  <c:v>954.86296374215999</c:v>
                </c:pt>
                <c:pt idx="92">
                  <c:v>951.03355775300997</c:v>
                </c:pt>
                <c:pt idx="93">
                  <c:v>955.03161161370008</c:v>
                </c:pt>
                <c:pt idx="94">
                  <c:v>916.83538466930008</c:v>
                </c:pt>
                <c:pt idx="95">
                  <c:v>915.54609369518016</c:v>
                </c:pt>
                <c:pt idx="96">
                  <c:v>884.72927624660997</c:v>
                </c:pt>
                <c:pt idx="97">
                  <c:v>926.14407962911002</c:v>
                </c:pt>
                <c:pt idx="98">
                  <c:v>964.20532646051004</c:v>
                </c:pt>
                <c:pt idx="99">
                  <c:v>941.69329896904003</c:v>
                </c:pt>
                <c:pt idx="100">
                  <c:v>946.8575201484</c:v>
                </c:pt>
                <c:pt idx="101">
                  <c:v>947.10418526362992</c:v>
                </c:pt>
                <c:pt idx="102">
                  <c:v>962.27017368833992</c:v>
                </c:pt>
                <c:pt idx="103">
                  <c:v>983.94275199972003</c:v>
                </c:pt>
                <c:pt idx="104">
                  <c:v>987.61450766925986</c:v>
                </c:pt>
                <c:pt idx="105">
                  <c:v>977.25553241265993</c:v>
                </c:pt>
                <c:pt idx="106">
                  <c:v>921.66667979394992</c:v>
                </c:pt>
                <c:pt idx="107">
                  <c:v>982.70538998857</c:v>
                </c:pt>
                <c:pt idx="108">
                  <c:v>1007.8060679661601</c:v>
                </c:pt>
                <c:pt idx="109">
                  <c:v>1022.9062561866199</c:v>
                </c:pt>
                <c:pt idx="110">
                  <c:v>1004.08739543721</c:v>
                </c:pt>
                <c:pt idx="111">
                  <c:v>977.29436812823997</c:v>
                </c:pt>
                <c:pt idx="112">
                  <c:v>992.43232633934997</c:v>
                </c:pt>
                <c:pt idx="113">
                  <c:v>979.23662586093997</c:v>
                </c:pt>
                <c:pt idx="114">
                  <c:v>979.91591762627991</c:v>
                </c:pt>
                <c:pt idx="115">
                  <c:v>961.13559884004007</c:v>
                </c:pt>
                <c:pt idx="116">
                  <c:v>1007.33333333334</c:v>
                </c:pt>
                <c:pt idx="117">
                  <c:v>1010.8376288659399</c:v>
                </c:pt>
                <c:pt idx="118">
                  <c:v>1044.6065292096198</c:v>
                </c:pt>
                <c:pt idx="119">
                  <c:v>1089.83934707909</c:v>
                </c:pt>
                <c:pt idx="120">
                  <c:v>1001.7259450172299</c:v>
                </c:pt>
                <c:pt idx="121">
                  <c:v>999.21391752582008</c:v>
                </c:pt>
                <c:pt idx="122">
                  <c:v>999.3951890034499</c:v>
                </c:pt>
                <c:pt idx="123">
                  <c:v>998.21046341651004</c:v>
                </c:pt>
                <c:pt idx="124">
                  <c:v>940.10842689356014</c:v>
                </c:pt>
                <c:pt idx="125">
                  <c:v>957.30363164435994</c:v>
                </c:pt>
                <c:pt idx="126">
                  <c:v>919.12949989028994</c:v>
                </c:pt>
                <c:pt idx="127">
                  <c:v>932.40049499156999</c:v>
                </c:pt>
                <c:pt idx="128">
                  <c:v>894.22640125760006</c:v>
                </c:pt>
                <c:pt idx="129">
                  <c:v>960.71570165496007</c:v>
                </c:pt>
                <c:pt idx="130">
                  <c:v>986.30153459287999</c:v>
                </c:pt>
                <c:pt idx="131">
                  <c:v>948.23499918881998</c:v>
                </c:pt>
                <c:pt idx="132">
                  <c:v>927.58828222936006</c:v>
                </c:pt>
                <c:pt idx="133">
                  <c:v>989.02349623228997</c:v>
                </c:pt>
                <c:pt idx="134">
                  <c:v>989.3368117209701</c:v>
                </c:pt>
                <c:pt idx="135">
                  <c:v>966.70759679860998</c:v>
                </c:pt>
                <c:pt idx="136">
                  <c:v>972.49775169995996</c:v>
                </c:pt>
                <c:pt idx="137">
                  <c:v>961.50106073353004</c:v>
                </c:pt>
                <c:pt idx="138">
                  <c:v>988.34098639457</c:v>
                </c:pt>
                <c:pt idx="139">
                  <c:v>974.57553124346998</c:v>
                </c:pt>
                <c:pt idx="140">
                  <c:v>960.72681223543009</c:v>
                </c:pt>
                <c:pt idx="141">
                  <c:v>979.08220107496004</c:v>
                </c:pt>
                <c:pt idx="142">
                  <c:v>971.46495285934009</c:v>
                </c:pt>
                <c:pt idx="143">
                  <c:v>964.30687725789994</c:v>
                </c:pt>
                <c:pt idx="144">
                  <c:v>946.26900323066002</c:v>
                </c:pt>
                <c:pt idx="145">
                  <c:v>931.42002078323003</c:v>
                </c:pt>
                <c:pt idx="146">
                  <c:v>933.27528007316005</c:v>
                </c:pt>
                <c:pt idx="147">
                  <c:v>948.83413805673001</c:v>
                </c:pt>
                <c:pt idx="148">
                  <c:v>979.90236610728994</c:v>
                </c:pt>
                <c:pt idx="149">
                  <c:v>978.66007601878005</c:v>
                </c:pt>
                <c:pt idx="150">
                  <c:v>962.95054231558004</c:v>
                </c:pt>
                <c:pt idx="151">
                  <c:v>998.89481924283007</c:v>
                </c:pt>
                <c:pt idx="152">
                  <c:v>1003.0138168687</c:v>
                </c:pt>
                <c:pt idx="153">
                  <c:v>1008.764221676</c:v>
                </c:pt>
                <c:pt idx="154">
                  <c:v>1009.66082385815</c:v>
                </c:pt>
                <c:pt idx="155">
                  <c:v>981.42782620997014</c:v>
                </c:pt>
                <c:pt idx="156">
                  <c:v>1007.8593091902201</c:v>
                </c:pt>
                <c:pt idx="157">
                  <c:v>1013.6951229183001</c:v>
                </c:pt>
                <c:pt idx="158">
                  <c:v>991.64205656889999</c:v>
                </c:pt>
                <c:pt idx="159">
                  <c:v>1003.39677125871</c:v>
                </c:pt>
                <c:pt idx="160">
                  <c:v>1012.9226449548701</c:v>
                </c:pt>
                <c:pt idx="161">
                  <c:v>1037.3542863963598</c:v>
                </c:pt>
                <c:pt idx="162">
                  <c:v>1066.0612190765801</c:v>
                </c:pt>
                <c:pt idx="163">
                  <c:v>1071.8561829145599</c:v>
                </c:pt>
                <c:pt idx="164">
                  <c:v>1088.0207040252901</c:v>
                </c:pt>
                <c:pt idx="165">
                  <c:v>1063.8808039467401</c:v>
                </c:pt>
                <c:pt idx="166">
                  <c:v>1013.1696005965201</c:v>
                </c:pt>
                <c:pt idx="167">
                  <c:v>1029.3636306179699</c:v>
                </c:pt>
                <c:pt idx="168">
                  <c:v>1013.5828233077799</c:v>
                </c:pt>
                <c:pt idx="169">
                  <c:v>1067.09402770304</c:v>
                </c:pt>
                <c:pt idx="170">
                  <c:v>1047.9749712651399</c:v>
                </c:pt>
                <c:pt idx="171">
                  <c:v>1013.1041466404801</c:v>
                </c:pt>
                <c:pt idx="172">
                  <c:v>1036.21306062396</c:v>
                </c:pt>
                <c:pt idx="173">
                  <c:v>1062.0229668797399</c:v>
                </c:pt>
                <c:pt idx="174">
                  <c:v>1039.2109760277901</c:v>
                </c:pt>
                <c:pt idx="175">
                  <c:v>1053.86654522457</c:v>
                </c:pt>
                <c:pt idx="176">
                  <c:v>1078.1175808801202</c:v>
                </c:pt>
                <c:pt idx="177">
                  <c:v>1073.1638477926299</c:v>
                </c:pt>
                <c:pt idx="178">
                  <c:v>1034.62221399801</c:v>
                </c:pt>
                <c:pt idx="179">
                  <c:v>1025.6781130628601</c:v>
                </c:pt>
                <c:pt idx="180">
                  <c:v>992.02671268229005</c:v>
                </c:pt>
                <c:pt idx="181">
                  <c:v>1022.13093493876</c:v>
                </c:pt>
                <c:pt idx="182">
                  <c:v>1020.83532015589</c:v>
                </c:pt>
                <c:pt idx="183">
                  <c:v>1008.1492137066801</c:v>
                </c:pt>
                <c:pt idx="184">
                  <c:v>1004.8925495262999</c:v>
                </c:pt>
                <c:pt idx="185">
                  <c:v>1025.0432727740499</c:v>
                </c:pt>
                <c:pt idx="186">
                  <c:v>1000.2792702473999</c:v>
                </c:pt>
                <c:pt idx="187">
                  <c:v>1016.9348912586599</c:v>
                </c:pt>
                <c:pt idx="188">
                  <c:v>1027.4823024054599</c:v>
                </c:pt>
                <c:pt idx="189">
                  <c:v>1039.0227068464101</c:v>
                </c:pt>
                <c:pt idx="190">
                  <c:v>1004.47618292366</c:v>
                </c:pt>
                <c:pt idx="191">
                  <c:v>1021.9235291771099</c:v>
                </c:pt>
                <c:pt idx="192">
                  <c:v>1039.02004975879</c:v>
                </c:pt>
                <c:pt idx="193">
                  <c:v>1014.9469998493299</c:v>
                </c:pt>
                <c:pt idx="194">
                  <c:v>999.59999172662992</c:v>
                </c:pt>
                <c:pt idx="195">
                  <c:v>1033.2176516474201</c:v>
                </c:pt>
                <c:pt idx="196">
                  <c:v>967.79111005722996</c:v>
                </c:pt>
                <c:pt idx="197">
                  <c:v>1008.0873420080201</c:v>
                </c:pt>
                <c:pt idx="198">
                  <c:v>986.70469258516005</c:v>
                </c:pt>
                <c:pt idx="199">
                  <c:v>990.82100651188</c:v>
                </c:pt>
                <c:pt idx="200">
                  <c:v>1012.7436913262</c:v>
                </c:pt>
                <c:pt idx="201">
                  <c:v>1030.4903532094199</c:v>
                </c:pt>
                <c:pt idx="202">
                  <c:v>983.56799487032993</c:v>
                </c:pt>
                <c:pt idx="203">
                  <c:v>1020.75404881484</c:v>
                </c:pt>
                <c:pt idx="204">
                  <c:v>1018.17586130936</c:v>
                </c:pt>
                <c:pt idx="205">
                  <c:v>991.20469204333995</c:v>
                </c:pt>
                <c:pt idx="206">
                  <c:v>963.3469953299799</c:v>
                </c:pt>
                <c:pt idx="207">
                  <c:v>996.60436263880001</c:v>
                </c:pt>
                <c:pt idx="208">
                  <c:v>999.14369069821987</c:v>
                </c:pt>
                <c:pt idx="209">
                  <c:v>1015.07268686305</c:v>
                </c:pt>
                <c:pt idx="210">
                  <c:v>1003.2307800570101</c:v>
                </c:pt>
                <c:pt idx="211">
                  <c:v>1004.88515534286</c:v>
                </c:pt>
                <c:pt idx="212">
                  <c:v>998.71650513403995</c:v>
                </c:pt>
                <c:pt idx="213">
                  <c:v>1001.81730133249</c:v>
                </c:pt>
                <c:pt idx="214">
                  <c:v>1009.4761684289599</c:v>
                </c:pt>
                <c:pt idx="215">
                  <c:v>965.68159042740012</c:v>
                </c:pt>
                <c:pt idx="216">
                  <c:v>1013.5622370869301</c:v>
                </c:pt>
                <c:pt idx="217">
                  <c:v>1003.09238445058</c:v>
                </c:pt>
                <c:pt idx="218">
                  <c:v>987.55448161117988</c:v>
                </c:pt>
                <c:pt idx="219">
                  <c:v>965.83061491152012</c:v>
                </c:pt>
                <c:pt idx="220">
                  <c:v>992.92790045827007</c:v>
                </c:pt>
                <c:pt idx="221">
                  <c:v>1008.9353854882701</c:v>
                </c:pt>
                <c:pt idx="222">
                  <c:v>1010.4878725612</c:v>
                </c:pt>
                <c:pt idx="223">
                  <c:v>1003.2376087295</c:v>
                </c:pt>
                <c:pt idx="224">
                  <c:v>1007.0194074295699</c:v>
                </c:pt>
                <c:pt idx="225">
                  <c:v>969.01480911521992</c:v>
                </c:pt>
                <c:pt idx="226">
                  <c:v>880.59539977485008</c:v>
                </c:pt>
                <c:pt idx="227">
                  <c:v>968.8734702004499</c:v>
                </c:pt>
                <c:pt idx="228">
                  <c:v>960.19933999976013</c:v>
                </c:pt>
                <c:pt idx="229">
                  <c:v>1014.5868900783501</c:v>
                </c:pt>
                <c:pt idx="230">
                  <c:v>1006.82618636072</c:v>
                </c:pt>
                <c:pt idx="231">
                  <c:v>1009.0722443184801</c:v>
                </c:pt>
                <c:pt idx="232">
                  <c:v>1063.8775504955202</c:v>
                </c:pt>
                <c:pt idx="233">
                  <c:v>1068.80868087097</c:v>
                </c:pt>
                <c:pt idx="234">
                  <c:v>1026.52880983251</c:v>
                </c:pt>
                <c:pt idx="235">
                  <c:v>1001.08370960582</c:v>
                </c:pt>
                <c:pt idx="236">
                  <c:v>967.88139112055001</c:v>
                </c:pt>
                <c:pt idx="237">
                  <c:v>927.06954647404007</c:v>
                </c:pt>
                <c:pt idx="238">
                  <c:v>961.19838967134012</c:v>
                </c:pt>
                <c:pt idx="239">
                  <c:v>960.46113884158001</c:v>
                </c:pt>
                <c:pt idx="240">
                  <c:v>968.13231857342998</c:v>
                </c:pt>
                <c:pt idx="241">
                  <c:v>986.88220172320007</c:v>
                </c:pt>
                <c:pt idx="242">
                  <c:v>981.0294234799901</c:v>
                </c:pt>
                <c:pt idx="243">
                  <c:v>973.17678633900994</c:v>
                </c:pt>
                <c:pt idx="244">
                  <c:v>967.35169792961995</c:v>
                </c:pt>
                <c:pt idx="245">
                  <c:v>981.37981841915007</c:v>
                </c:pt>
                <c:pt idx="246">
                  <c:v>983.62341149801989</c:v>
                </c:pt>
                <c:pt idx="247">
                  <c:v>988.09171201043989</c:v>
                </c:pt>
                <c:pt idx="248">
                  <c:v>983.93521045547004</c:v>
                </c:pt>
                <c:pt idx="249">
                  <c:v>980.34886548048996</c:v>
                </c:pt>
                <c:pt idx="250">
                  <c:v>962.46740750850995</c:v>
                </c:pt>
                <c:pt idx="251">
                  <c:v>968.73909059431003</c:v>
                </c:pt>
                <c:pt idx="252">
                  <c:v>966.73533576318005</c:v>
                </c:pt>
                <c:pt idx="253">
                  <c:v>957.87768773427001</c:v>
                </c:pt>
                <c:pt idx="254">
                  <c:v>957.50337186476008</c:v>
                </c:pt>
                <c:pt idx="255">
                  <c:v>964.16994829223006</c:v>
                </c:pt>
                <c:pt idx="256">
                  <c:v>962.37534371601998</c:v>
                </c:pt>
                <c:pt idx="257">
                  <c:v>974.72726852546998</c:v>
                </c:pt>
                <c:pt idx="258">
                  <c:v>1011.90473821826</c:v>
                </c:pt>
                <c:pt idx="259">
                  <c:v>1002.8243130816099</c:v>
                </c:pt>
                <c:pt idx="260">
                  <c:v>999.81812472672004</c:v>
                </c:pt>
                <c:pt idx="261">
                  <c:v>981.88414093745007</c:v>
                </c:pt>
                <c:pt idx="262">
                  <c:v>1017.8080399459</c:v>
                </c:pt>
                <c:pt idx="263">
                  <c:v>992.98454415260994</c:v>
                </c:pt>
                <c:pt idx="264">
                  <c:v>993.04818553181997</c:v>
                </c:pt>
                <c:pt idx="265">
                  <c:v>976.48951611246002</c:v>
                </c:pt>
                <c:pt idx="266">
                  <c:v>982.81527522218005</c:v>
                </c:pt>
                <c:pt idx="267">
                  <c:v>949.18982292576993</c:v>
                </c:pt>
                <c:pt idx="268">
                  <c:v>953.94500617740005</c:v>
                </c:pt>
                <c:pt idx="269">
                  <c:v>956.54845038020994</c:v>
                </c:pt>
                <c:pt idx="270">
                  <c:v>957.46618010863006</c:v>
                </c:pt>
                <c:pt idx="271">
                  <c:v>964.40080731069008</c:v>
                </c:pt>
                <c:pt idx="272">
                  <c:v>976.91404826254006</c:v>
                </c:pt>
                <c:pt idx="273">
                  <c:v>946.88369047513993</c:v>
                </c:pt>
                <c:pt idx="274">
                  <c:v>966.46970090474008</c:v>
                </c:pt>
                <c:pt idx="275">
                  <c:v>970.95958164227</c:v>
                </c:pt>
                <c:pt idx="276">
                  <c:v>972.20521347804015</c:v>
                </c:pt>
                <c:pt idx="277">
                  <c:v>961.78494824814993</c:v>
                </c:pt>
                <c:pt idx="278">
                  <c:v>951.88593545037998</c:v>
                </c:pt>
                <c:pt idx="279">
                  <c:v>965.37791443273011</c:v>
                </c:pt>
                <c:pt idx="280">
                  <c:v>952.00937680666004</c:v>
                </c:pt>
                <c:pt idx="281">
                  <c:v>968.79984431906007</c:v>
                </c:pt>
                <c:pt idx="282">
                  <c:v>953.20598014443999</c:v>
                </c:pt>
                <c:pt idx="283">
                  <c:v>948.32525700080987</c:v>
                </c:pt>
                <c:pt idx="284">
                  <c:v>932.34674563136002</c:v>
                </c:pt>
                <c:pt idx="285">
                  <c:v>917.5893558529101</c:v>
                </c:pt>
                <c:pt idx="286">
                  <c:v>928.05362213933995</c:v>
                </c:pt>
                <c:pt idx="287">
                  <c:v>893.14297433650995</c:v>
                </c:pt>
                <c:pt idx="288">
                  <c:v>924.37948088034</c:v>
                </c:pt>
                <c:pt idx="289">
                  <c:v>944.28521605611991</c:v>
                </c:pt>
                <c:pt idx="290">
                  <c:v>945.45622285586001</c:v>
                </c:pt>
                <c:pt idx="291">
                  <c:v>950.26651093072007</c:v>
                </c:pt>
                <c:pt idx="292">
                  <c:v>948.95908386341989</c:v>
                </c:pt>
                <c:pt idx="293">
                  <c:v>945.39225853621008</c:v>
                </c:pt>
                <c:pt idx="294">
                  <c:v>942.57447027853993</c:v>
                </c:pt>
                <c:pt idx="295">
                  <c:v>947.8647481173299</c:v>
                </c:pt>
                <c:pt idx="296">
                  <c:v>941.33014769321994</c:v>
                </c:pt>
                <c:pt idx="297">
                  <c:v>943.2454149301999</c:v>
                </c:pt>
                <c:pt idx="298">
                  <c:v>929.74375009135997</c:v>
                </c:pt>
                <c:pt idx="299">
                  <c:v>925.96141843972998</c:v>
                </c:pt>
                <c:pt idx="300">
                  <c:v>965.72430723111984</c:v>
                </c:pt>
                <c:pt idx="301">
                  <c:v>959.78946918187</c:v>
                </c:pt>
                <c:pt idx="302">
                  <c:v>969.02775389341002</c:v>
                </c:pt>
                <c:pt idx="303">
                  <c:v>959.36599254221005</c:v>
                </c:pt>
                <c:pt idx="304">
                  <c:v>966.22148853986005</c:v>
                </c:pt>
                <c:pt idx="305">
                  <c:v>952.40378594797005</c:v>
                </c:pt>
                <c:pt idx="306">
                  <c:v>929.7309012313799</c:v>
                </c:pt>
                <c:pt idx="307">
                  <c:v>945.78257723078013</c:v>
                </c:pt>
                <c:pt idx="308">
                  <c:v>944.22646447698003</c:v>
                </c:pt>
                <c:pt idx="309">
                  <c:v>882.30295825670987</c:v>
                </c:pt>
                <c:pt idx="310">
                  <c:v>886.95912695241009</c:v>
                </c:pt>
                <c:pt idx="311">
                  <c:v>894.35565900350002</c:v>
                </c:pt>
                <c:pt idx="312">
                  <c:v>890.71626841417003</c:v>
                </c:pt>
                <c:pt idx="313">
                  <c:v>977.16866487934999</c:v>
                </c:pt>
                <c:pt idx="314">
                  <c:v>979.30645851160011</c:v>
                </c:pt>
                <c:pt idx="315">
                  <c:v>970.79588613646001</c:v>
                </c:pt>
                <c:pt idx="316">
                  <c:v>978.47512118623001</c:v>
                </c:pt>
                <c:pt idx="317">
                  <c:v>970.09247410918999</c:v>
                </c:pt>
                <c:pt idx="318">
                  <c:v>974.28919039683001</c:v>
                </c:pt>
                <c:pt idx="319">
                  <c:v>968.9606244066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5-DE49-81E3-F71201B1B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D-CE43-9168-2B005B2CFA9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'240823B015'!$A$2:$A$321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'240823B015'!$P$2:$P$321</c:f>
              <c:numCache>
                <c:formatCode>General</c:formatCode>
                <c:ptCount val="320"/>
                <c:pt idx="0">
                  <c:v>16.483400830349204</c:v>
                </c:pt>
                <c:pt idx="1">
                  <c:v>15.564818879242678</c:v>
                </c:pt>
                <c:pt idx="2">
                  <c:v>14.348809529760292</c:v>
                </c:pt>
                <c:pt idx="3">
                  <c:v>12.850472272667885</c:v>
                </c:pt>
                <c:pt idx="4">
                  <c:v>9.9747342244098043</c:v>
                </c:pt>
                <c:pt idx="5">
                  <c:v>9.3067147550507414</c:v>
                </c:pt>
                <c:pt idx="6">
                  <c:v>4.6857134663223512</c:v>
                </c:pt>
                <c:pt idx="7">
                  <c:v>3.3711078777016263</c:v>
                </c:pt>
                <c:pt idx="8">
                  <c:v>2.5595853903453443</c:v>
                </c:pt>
                <c:pt idx="9">
                  <c:v>3.9133122534499387</c:v>
                </c:pt>
                <c:pt idx="10">
                  <c:v>8.082681031696854</c:v>
                </c:pt>
                <c:pt idx="11">
                  <c:v>10.513951877544121</c:v>
                </c:pt>
                <c:pt idx="12">
                  <c:v>8.0633152252646738</c:v>
                </c:pt>
                <c:pt idx="13">
                  <c:v>2.347378114574143</c:v>
                </c:pt>
                <c:pt idx="14">
                  <c:v>1.938843397719447</c:v>
                </c:pt>
                <c:pt idx="15">
                  <c:v>2.8156387020362127E-2</c:v>
                </c:pt>
                <c:pt idx="16">
                  <c:v>1.9879240530284403</c:v>
                </c:pt>
                <c:pt idx="17">
                  <c:v>0.15100948987278845</c:v>
                </c:pt>
                <c:pt idx="18">
                  <c:v>-1.2303597308369412</c:v>
                </c:pt>
                <c:pt idx="19">
                  <c:v>0.73630682507546452</c:v>
                </c:pt>
                <c:pt idx="20">
                  <c:v>-0.73363093973561599</c:v>
                </c:pt>
                <c:pt idx="21">
                  <c:v>1.0122866050927528</c:v>
                </c:pt>
                <c:pt idx="22">
                  <c:v>1.5713937213762839</c:v>
                </c:pt>
                <c:pt idx="23">
                  <c:v>9.2818851523223944E-2</c:v>
                </c:pt>
                <c:pt idx="24">
                  <c:v>-2.1864025059567469</c:v>
                </c:pt>
                <c:pt idx="25">
                  <c:v>-0.64028210441265332</c:v>
                </c:pt>
                <c:pt idx="26">
                  <c:v>-0.63035080824554868</c:v>
                </c:pt>
                <c:pt idx="27">
                  <c:v>-0.42003985568414853</c:v>
                </c:pt>
                <c:pt idx="28">
                  <c:v>6.3300485872145706E-2</c:v>
                </c:pt>
                <c:pt idx="29">
                  <c:v>0.184897982039093</c:v>
                </c:pt>
                <c:pt idx="30">
                  <c:v>0.41611103199087329</c:v>
                </c:pt>
                <c:pt idx="31">
                  <c:v>0.13499577110490335</c:v>
                </c:pt>
                <c:pt idx="32">
                  <c:v>0.29061895165314294</c:v>
                </c:pt>
                <c:pt idx="33">
                  <c:v>0.29350183266974622</c:v>
                </c:pt>
                <c:pt idx="34">
                  <c:v>-0.5630376487805212</c:v>
                </c:pt>
                <c:pt idx="35">
                  <c:v>1.4033207739843296</c:v>
                </c:pt>
                <c:pt idx="36">
                  <c:v>1.9828633497014998</c:v>
                </c:pt>
                <c:pt idx="37">
                  <c:v>1.4241793770607305</c:v>
                </c:pt>
                <c:pt idx="38">
                  <c:v>0.88845690305734515</c:v>
                </c:pt>
                <c:pt idx="39">
                  <c:v>-1.3665389092600453</c:v>
                </c:pt>
                <c:pt idx="40">
                  <c:v>0.23887333438010216</c:v>
                </c:pt>
                <c:pt idx="41">
                  <c:v>-0.19600020880074534</c:v>
                </c:pt>
                <c:pt idx="42">
                  <c:v>0.18497180245345474</c:v>
                </c:pt>
                <c:pt idx="43">
                  <c:v>-0.71321876353025393</c:v>
                </c:pt>
                <c:pt idx="44">
                  <c:v>-0.87399151460642621</c:v>
                </c:pt>
                <c:pt idx="45">
                  <c:v>0.34171158214155045</c:v>
                </c:pt>
                <c:pt idx="46">
                  <c:v>-9.2931016597878474E-2</c:v>
                </c:pt>
                <c:pt idx="47">
                  <c:v>-1.1799502283172938</c:v>
                </c:pt>
                <c:pt idx="48">
                  <c:v>-1.2992479847702945</c:v>
                </c:pt>
                <c:pt idx="49">
                  <c:v>-1.4266424560183799</c:v>
                </c:pt>
                <c:pt idx="50">
                  <c:v>-1.4891785987485697</c:v>
                </c:pt>
                <c:pt idx="51">
                  <c:v>-2.228675700632043</c:v>
                </c:pt>
                <c:pt idx="52">
                  <c:v>-1.6762111773410386</c:v>
                </c:pt>
                <c:pt idx="53">
                  <c:v>-2.5931612417491747</c:v>
                </c:pt>
                <c:pt idx="54">
                  <c:v>-1.8842694623025933</c:v>
                </c:pt>
                <c:pt idx="55">
                  <c:v>-1.7808630057415815</c:v>
                </c:pt>
                <c:pt idx="56">
                  <c:v>-1.8357192634513051</c:v>
                </c:pt>
                <c:pt idx="57">
                  <c:v>-1.3964190873672522</c:v>
                </c:pt>
                <c:pt idx="58">
                  <c:v>-1.5684872949672592</c:v>
                </c:pt>
                <c:pt idx="59">
                  <c:v>-2.152754727620855</c:v>
                </c:pt>
                <c:pt idx="60">
                  <c:v>-2.1551347616851877</c:v>
                </c:pt>
                <c:pt idx="61">
                  <c:v>-1.0569780663590078</c:v>
                </c:pt>
                <c:pt idx="62">
                  <c:v>-2.0974273090542135</c:v>
                </c:pt>
                <c:pt idx="63">
                  <c:v>-1.5724627330375378</c:v>
                </c:pt>
                <c:pt idx="64">
                  <c:v>-1.9080312661263497</c:v>
                </c:pt>
                <c:pt idx="65">
                  <c:v>-0.58722695675071745</c:v>
                </c:pt>
                <c:pt idx="66">
                  <c:v>-0.86983004736592573</c:v>
                </c:pt>
                <c:pt idx="67">
                  <c:v>-0.95132822708784237</c:v>
                </c:pt>
                <c:pt idx="68">
                  <c:v>-0.14583215309414455</c:v>
                </c:pt>
                <c:pt idx="69">
                  <c:v>1.2419164395849687</c:v>
                </c:pt>
                <c:pt idx="70">
                  <c:v>-0.61887475519232926</c:v>
                </c:pt>
                <c:pt idx="71">
                  <c:v>0.27331089392875491</c:v>
                </c:pt>
                <c:pt idx="72">
                  <c:v>0.90116033343202151</c:v>
                </c:pt>
                <c:pt idx="73">
                  <c:v>1.1709432782308007</c:v>
                </c:pt>
                <c:pt idx="74">
                  <c:v>-0.35892930057995232</c:v>
                </c:pt>
                <c:pt idx="75">
                  <c:v>1.3726031469975248</c:v>
                </c:pt>
                <c:pt idx="76">
                  <c:v>2.8362409288198607</c:v>
                </c:pt>
                <c:pt idx="77">
                  <c:v>0.12043655357095781</c:v>
                </c:pt>
                <c:pt idx="78">
                  <c:v>2.4319768746190897</c:v>
                </c:pt>
                <c:pt idx="79">
                  <c:v>1.973467127149044</c:v>
                </c:pt>
                <c:pt idx="80">
                  <c:v>0.8147322980608267</c:v>
                </c:pt>
                <c:pt idx="81">
                  <c:v>-0.74138984917202788</c:v>
                </c:pt>
                <c:pt idx="82">
                  <c:v>1.6152652328682939</c:v>
                </c:pt>
                <c:pt idx="83">
                  <c:v>2.2679126282328137</c:v>
                </c:pt>
                <c:pt idx="84">
                  <c:v>1.6287127104528054</c:v>
                </c:pt>
                <c:pt idx="85">
                  <c:v>-0.65391269522144779</c:v>
                </c:pt>
                <c:pt idx="86">
                  <c:v>3.5975019838057087</c:v>
                </c:pt>
                <c:pt idx="87">
                  <c:v>3.5772184262251714</c:v>
                </c:pt>
                <c:pt idx="88">
                  <c:v>3.2170834409073765</c:v>
                </c:pt>
                <c:pt idx="89">
                  <c:v>3.8790263488243277</c:v>
                </c:pt>
                <c:pt idx="90">
                  <c:v>3.5061263281028974</c:v>
                </c:pt>
                <c:pt idx="91">
                  <c:v>3.10909231993358</c:v>
                </c:pt>
                <c:pt idx="92">
                  <c:v>2.6118211404619558</c:v>
                </c:pt>
                <c:pt idx="93">
                  <c:v>1.9564426532353973</c:v>
                </c:pt>
                <c:pt idx="94">
                  <c:v>2.7678031906363896</c:v>
                </c:pt>
                <c:pt idx="95">
                  <c:v>5.387129058722893</c:v>
                </c:pt>
                <c:pt idx="96">
                  <c:v>10.318871361525721</c:v>
                </c:pt>
                <c:pt idx="97">
                  <c:v>7.9654239065686303</c:v>
                </c:pt>
                <c:pt idx="98">
                  <c:v>8.5828332910865619</c:v>
                </c:pt>
                <c:pt idx="99">
                  <c:v>6.7609808496677761</c:v>
                </c:pt>
                <c:pt idx="100">
                  <c:v>5.7296012465037798</c:v>
                </c:pt>
                <c:pt idx="101">
                  <c:v>5.3032379299308516</c:v>
                </c:pt>
                <c:pt idx="102">
                  <c:v>8.526121086224423</c:v>
                </c:pt>
                <c:pt idx="103">
                  <c:v>10.812090780780039</c:v>
                </c:pt>
                <c:pt idx="104">
                  <c:v>9.9835051413480542</c:v>
                </c:pt>
                <c:pt idx="105">
                  <c:v>8.2706144596554623</c:v>
                </c:pt>
                <c:pt idx="106">
                  <c:v>9.7905358239489804</c:v>
                </c:pt>
                <c:pt idx="107">
                  <c:v>6.7432155705527252</c:v>
                </c:pt>
                <c:pt idx="108">
                  <c:v>7.6623847310749573</c:v>
                </c:pt>
                <c:pt idx="109">
                  <c:v>11.212639436979737</c:v>
                </c:pt>
                <c:pt idx="110">
                  <c:v>16.913049014540508</c:v>
                </c:pt>
                <c:pt idx="111">
                  <c:v>16.245075708408752</c:v>
                </c:pt>
                <c:pt idx="112">
                  <c:v>13.352597318405415</c:v>
                </c:pt>
                <c:pt idx="113">
                  <c:v>11.433564098144441</c:v>
                </c:pt>
                <c:pt idx="114">
                  <c:v>11.108135416983389</c:v>
                </c:pt>
                <c:pt idx="115">
                  <c:v>18.573171240901541</c:v>
                </c:pt>
                <c:pt idx="116">
                  <c:v>32.577851370210084</c:v>
                </c:pt>
                <c:pt idx="117">
                  <c:v>39.114506751811149</c:v>
                </c:pt>
                <c:pt idx="118">
                  <c:v>41.699086977761468</c:v>
                </c:pt>
                <c:pt idx="119">
                  <c:v>44.467349458060426</c:v>
                </c:pt>
                <c:pt idx="120">
                  <c:v>38.68497754577254</c:v>
                </c:pt>
                <c:pt idx="121">
                  <c:v>32.953797127890574</c:v>
                </c:pt>
                <c:pt idx="122">
                  <c:v>29.16166076814854</c:v>
                </c:pt>
                <c:pt idx="123">
                  <c:v>39.837761243057798</c:v>
                </c:pt>
                <c:pt idx="124">
                  <c:v>50.106755734623221</c:v>
                </c:pt>
                <c:pt idx="125">
                  <c:v>62.395599144984523</c:v>
                </c:pt>
                <c:pt idx="126">
                  <c:v>59.272770229975812</c:v>
                </c:pt>
                <c:pt idx="127">
                  <c:v>62.640238486471489</c:v>
                </c:pt>
                <c:pt idx="128">
                  <c:v>66.512801798187425</c:v>
                </c:pt>
                <c:pt idx="129">
                  <c:v>64.821589641847439</c:v>
                </c:pt>
                <c:pt idx="130">
                  <c:v>57.195507894950261</c:v>
                </c:pt>
                <c:pt idx="131">
                  <c:v>51.899988442745858</c:v>
                </c:pt>
                <c:pt idx="132">
                  <c:v>46.192852586104912</c:v>
                </c:pt>
                <c:pt idx="133">
                  <c:v>41.222173149546968</c:v>
                </c:pt>
                <c:pt idx="134">
                  <c:v>41.0049077326264</c:v>
                </c:pt>
                <c:pt idx="135">
                  <c:v>36.576242532631404</c:v>
                </c:pt>
                <c:pt idx="136">
                  <c:v>40.029372043030676</c:v>
                </c:pt>
                <c:pt idx="137">
                  <c:v>44.184535640526654</c:v>
                </c:pt>
                <c:pt idx="138">
                  <c:v>60.267441000064572</c:v>
                </c:pt>
                <c:pt idx="139">
                  <c:v>54.885900165551469</c:v>
                </c:pt>
                <c:pt idx="140">
                  <c:v>56.395630200072034</c:v>
                </c:pt>
                <c:pt idx="141">
                  <c:v>50.641721163657095</c:v>
                </c:pt>
                <c:pt idx="142">
                  <c:v>47.155327978785799</c:v>
                </c:pt>
                <c:pt idx="143">
                  <c:v>42.679357688026329</c:v>
                </c:pt>
                <c:pt idx="144">
                  <c:v>41.55643074342732</c:v>
                </c:pt>
                <c:pt idx="145">
                  <c:v>36.803368059566836</c:v>
                </c:pt>
                <c:pt idx="146">
                  <c:v>32.896328399012063</c:v>
                </c:pt>
                <c:pt idx="147">
                  <c:v>30.366076654097085</c:v>
                </c:pt>
                <c:pt idx="148">
                  <c:v>27.126232874266798</c:v>
                </c:pt>
                <c:pt idx="149">
                  <c:v>28.477441720847015</c:v>
                </c:pt>
                <c:pt idx="150">
                  <c:v>29.541938396542879</c:v>
                </c:pt>
                <c:pt idx="151">
                  <c:v>33.60854926488755</c:v>
                </c:pt>
                <c:pt idx="152">
                  <c:v>36.766535730328471</c:v>
                </c:pt>
                <c:pt idx="153">
                  <c:v>42.802118599025484</c:v>
                </c:pt>
                <c:pt idx="154">
                  <c:v>39.867447079246062</c:v>
                </c:pt>
                <c:pt idx="155">
                  <c:v>38.780014778867752</c:v>
                </c:pt>
                <c:pt idx="156">
                  <c:v>37.549105559912825</c:v>
                </c:pt>
                <c:pt idx="157">
                  <c:v>35.030529695769772</c:v>
                </c:pt>
                <c:pt idx="158">
                  <c:v>33.042183981967206</c:v>
                </c:pt>
                <c:pt idx="159">
                  <c:v>32.963663954526609</c:v>
                </c:pt>
                <c:pt idx="160">
                  <c:v>33.052256738296251</c:v>
                </c:pt>
                <c:pt idx="161">
                  <c:v>40.685679551790102</c:v>
                </c:pt>
                <c:pt idx="162">
                  <c:v>65.776922554346271</c:v>
                </c:pt>
                <c:pt idx="163">
                  <c:v>75.098189298303097</c:v>
                </c:pt>
                <c:pt idx="164">
                  <c:v>71.703660926971295</c:v>
                </c:pt>
                <c:pt idx="165">
                  <c:v>72.377793607618614</c:v>
                </c:pt>
                <c:pt idx="166">
                  <c:v>86.623126624936603</c:v>
                </c:pt>
                <c:pt idx="167">
                  <c:v>94.861907557623638</c:v>
                </c:pt>
                <c:pt idx="168">
                  <c:v>96.508228218905771</c:v>
                </c:pt>
                <c:pt idx="169">
                  <c:v>92.169525587190961</c:v>
                </c:pt>
                <c:pt idx="170">
                  <c:v>83.42777483571048</c:v>
                </c:pt>
                <c:pt idx="171">
                  <c:v>82.400212870736027</c:v>
                </c:pt>
                <c:pt idx="172">
                  <c:v>83.219982340440041</c:v>
                </c:pt>
                <c:pt idx="173">
                  <c:v>74.781688573214964</c:v>
                </c:pt>
                <c:pt idx="174">
                  <c:v>65.695019539672103</c:v>
                </c:pt>
                <c:pt idx="175">
                  <c:v>65.402616487888181</c:v>
                </c:pt>
                <c:pt idx="176">
                  <c:v>83.027594159349476</c:v>
                </c:pt>
                <c:pt idx="177">
                  <c:v>85.87833792259741</c:v>
                </c:pt>
                <c:pt idx="178">
                  <c:v>85.0668370312859</c:v>
                </c:pt>
                <c:pt idx="179">
                  <c:v>85.81773101233901</c:v>
                </c:pt>
                <c:pt idx="180">
                  <c:v>81.914424240322603</c:v>
                </c:pt>
                <c:pt idx="181">
                  <c:v>81.843917358547728</c:v>
                </c:pt>
                <c:pt idx="182">
                  <c:v>72.529764710810412</c:v>
                </c:pt>
                <c:pt idx="183">
                  <c:v>67.037968242839568</c:v>
                </c:pt>
                <c:pt idx="184">
                  <c:v>61.126530773332497</c:v>
                </c:pt>
                <c:pt idx="185">
                  <c:v>57.77940686088435</c:v>
                </c:pt>
                <c:pt idx="186">
                  <c:v>61.762307608502475</c:v>
                </c:pt>
                <c:pt idx="187">
                  <c:v>70.045423652196547</c:v>
                </c:pt>
                <c:pt idx="188">
                  <c:v>76.624864005231274</c:v>
                </c:pt>
                <c:pt idx="189">
                  <c:v>96.604685116096746</c:v>
                </c:pt>
                <c:pt idx="190">
                  <c:v>109.25835813734808</c:v>
                </c:pt>
                <c:pt idx="191">
                  <c:v>110.63691334913193</c:v>
                </c:pt>
                <c:pt idx="192">
                  <c:v>116.66661919986826</c:v>
                </c:pt>
                <c:pt idx="193">
                  <c:v>113.84177159388622</c:v>
                </c:pt>
                <c:pt idx="194">
                  <c:v>111.57500128672983</c:v>
                </c:pt>
                <c:pt idx="195">
                  <c:v>107.9259251881772</c:v>
                </c:pt>
                <c:pt idx="196">
                  <c:v>103.13790169645232</c:v>
                </c:pt>
                <c:pt idx="197">
                  <c:v>100.64513553361074</c:v>
                </c:pt>
                <c:pt idx="198">
                  <c:v>90.100118996926142</c:v>
                </c:pt>
                <c:pt idx="199">
                  <c:v>83.4510836082776</c:v>
                </c:pt>
                <c:pt idx="200">
                  <c:v>79.828133708719733</c:v>
                </c:pt>
                <c:pt idx="201">
                  <c:v>77.917662505802383</c:v>
                </c:pt>
                <c:pt idx="202">
                  <c:v>71.618481903503266</c:v>
                </c:pt>
                <c:pt idx="203">
                  <c:v>80.860328397707136</c:v>
                </c:pt>
                <c:pt idx="204">
                  <c:v>81.230740535901774</c:v>
                </c:pt>
                <c:pt idx="205">
                  <c:v>77.685666533181035</c:v>
                </c:pt>
                <c:pt idx="206">
                  <c:v>71.393180609287015</c:v>
                </c:pt>
                <c:pt idx="207">
                  <c:v>63.971396252618874</c:v>
                </c:pt>
                <c:pt idx="208">
                  <c:v>67.226156398286179</c:v>
                </c:pt>
                <c:pt idx="209">
                  <c:v>69.803272529708565</c:v>
                </c:pt>
                <c:pt idx="210">
                  <c:v>64.488325792972006</c:v>
                </c:pt>
                <c:pt idx="211">
                  <c:v>57.437455286307163</c:v>
                </c:pt>
                <c:pt idx="212">
                  <c:v>51.972314073560518</c:v>
                </c:pt>
                <c:pt idx="213">
                  <c:v>64.808240472754591</c:v>
                </c:pt>
                <c:pt idx="214">
                  <c:v>65.968539311844481</c:v>
                </c:pt>
                <c:pt idx="215">
                  <c:v>63.556807068559607</c:v>
                </c:pt>
                <c:pt idx="216">
                  <c:v>60.271208617445218</c:v>
                </c:pt>
                <c:pt idx="217">
                  <c:v>59.304651843753376</c:v>
                </c:pt>
                <c:pt idx="218">
                  <c:v>56.396328242972494</c:v>
                </c:pt>
                <c:pt idx="219">
                  <c:v>52.362671314755801</c:v>
                </c:pt>
                <c:pt idx="220">
                  <c:v>49.819277234943222</c:v>
                </c:pt>
                <c:pt idx="221">
                  <c:v>47.45173743288062</c:v>
                </c:pt>
                <c:pt idx="222">
                  <c:v>45.969783893896192</c:v>
                </c:pt>
                <c:pt idx="223">
                  <c:v>48.762765936168279</c:v>
                </c:pt>
                <c:pt idx="224">
                  <c:v>53.991756252060718</c:v>
                </c:pt>
                <c:pt idx="225">
                  <c:v>48.084564305009224</c:v>
                </c:pt>
                <c:pt idx="226">
                  <c:v>43.72099027264597</c:v>
                </c:pt>
                <c:pt idx="227">
                  <c:v>37.39240178291822</c:v>
                </c:pt>
                <c:pt idx="228">
                  <c:v>32.722968720580091</c:v>
                </c:pt>
                <c:pt idx="229">
                  <c:v>31.697319956055768</c:v>
                </c:pt>
                <c:pt idx="230">
                  <c:v>32.832469772273555</c:v>
                </c:pt>
                <c:pt idx="231">
                  <c:v>36.408356891248985</c:v>
                </c:pt>
                <c:pt idx="232">
                  <c:v>38.073135556757961</c:v>
                </c:pt>
                <c:pt idx="233">
                  <c:v>39.726217511357788</c:v>
                </c:pt>
                <c:pt idx="234">
                  <c:v>43.960784802073505</c:v>
                </c:pt>
                <c:pt idx="235">
                  <c:v>41.283036397435133</c:v>
                </c:pt>
                <c:pt idx="236">
                  <c:v>37.708986963062749</c:v>
                </c:pt>
                <c:pt idx="237">
                  <c:v>34.020485233183571</c:v>
                </c:pt>
                <c:pt idx="238">
                  <c:v>29.920959947792369</c:v>
                </c:pt>
                <c:pt idx="239">
                  <c:v>26.523545123316282</c:v>
                </c:pt>
                <c:pt idx="240">
                  <c:v>26.193407666627532</c:v>
                </c:pt>
                <c:pt idx="241">
                  <c:v>26.209658334408719</c:v>
                </c:pt>
                <c:pt idx="242">
                  <c:v>23.464931803644454</c:v>
                </c:pt>
                <c:pt idx="243">
                  <c:v>23.557980651216013</c:v>
                </c:pt>
                <c:pt idx="244">
                  <c:v>23.229104779734602</c:v>
                </c:pt>
                <c:pt idx="245">
                  <c:v>22.887632500101091</c:v>
                </c:pt>
                <c:pt idx="246">
                  <c:v>26.115097442059071</c:v>
                </c:pt>
                <c:pt idx="247">
                  <c:v>24.991753382240923</c:v>
                </c:pt>
                <c:pt idx="248">
                  <c:v>24.830235020430877</c:v>
                </c:pt>
                <c:pt idx="249">
                  <c:v>23.363977423167302</c:v>
                </c:pt>
                <c:pt idx="250">
                  <c:v>25.006799782571669</c:v>
                </c:pt>
                <c:pt idx="251">
                  <c:v>26.2219127787628</c:v>
                </c:pt>
                <c:pt idx="252">
                  <c:v>22.714614443367349</c:v>
                </c:pt>
                <c:pt idx="253">
                  <c:v>20.508725797785761</c:v>
                </c:pt>
                <c:pt idx="254">
                  <c:v>18.249944413614799</c:v>
                </c:pt>
                <c:pt idx="255">
                  <c:v>16.108730472697786</c:v>
                </c:pt>
                <c:pt idx="256">
                  <c:v>15.168494395024926</c:v>
                </c:pt>
                <c:pt idx="257">
                  <c:v>15.995708044822814</c:v>
                </c:pt>
                <c:pt idx="258">
                  <c:v>14.620901162947131</c:v>
                </c:pt>
                <c:pt idx="259">
                  <c:v>13.52670662251324</c:v>
                </c:pt>
                <c:pt idx="260">
                  <c:v>13.946049696338136</c:v>
                </c:pt>
                <c:pt idx="261">
                  <c:v>12.427240371180323</c:v>
                </c:pt>
                <c:pt idx="262">
                  <c:v>12.398535519032031</c:v>
                </c:pt>
                <c:pt idx="263">
                  <c:v>11.493279485231273</c:v>
                </c:pt>
                <c:pt idx="264">
                  <c:v>10.234492862203377</c:v>
                </c:pt>
                <c:pt idx="265">
                  <c:v>9.9361369984894239</c:v>
                </c:pt>
                <c:pt idx="266">
                  <c:v>8.4837761525321973</c:v>
                </c:pt>
                <c:pt idx="267">
                  <c:v>8.5152993956395484</c:v>
                </c:pt>
                <c:pt idx="268">
                  <c:v>9.5135952206745351</c:v>
                </c:pt>
                <c:pt idx="269">
                  <c:v>10.684140262193671</c:v>
                </c:pt>
                <c:pt idx="270">
                  <c:v>12.372447461953092</c:v>
                </c:pt>
                <c:pt idx="271">
                  <c:v>10.960319424278707</c:v>
                </c:pt>
                <c:pt idx="272">
                  <c:v>10.765259746068519</c:v>
                </c:pt>
                <c:pt idx="273">
                  <c:v>11.479504159256267</c:v>
                </c:pt>
                <c:pt idx="274">
                  <c:v>9.7217956078931334</c:v>
                </c:pt>
                <c:pt idx="275">
                  <c:v>9.4666688102229788</c:v>
                </c:pt>
                <c:pt idx="276">
                  <c:v>13.346617859117449</c:v>
                </c:pt>
                <c:pt idx="277">
                  <c:v>13.92684700574867</c:v>
                </c:pt>
                <c:pt idx="278">
                  <c:v>13.093343348945361</c:v>
                </c:pt>
                <c:pt idx="279">
                  <c:v>10.378719264838091</c:v>
                </c:pt>
                <c:pt idx="280">
                  <c:v>9.5206635235879133</c:v>
                </c:pt>
                <c:pt idx="281">
                  <c:v>10.837995423805486</c:v>
                </c:pt>
                <c:pt idx="282">
                  <c:v>10.386189474586484</c:v>
                </c:pt>
                <c:pt idx="283">
                  <c:v>11.823156178671871</c:v>
                </c:pt>
                <c:pt idx="284">
                  <c:v>12.718156421431939</c:v>
                </c:pt>
                <c:pt idx="285">
                  <c:v>12.484026244955006</c:v>
                </c:pt>
                <c:pt idx="286">
                  <c:v>11.317049359605013</c:v>
                </c:pt>
                <c:pt idx="287">
                  <c:v>13.559582285042564</c:v>
                </c:pt>
                <c:pt idx="288">
                  <c:v>10.544661156871429</c:v>
                </c:pt>
                <c:pt idx="289">
                  <c:v>9.2388730886760904</c:v>
                </c:pt>
                <c:pt idx="290">
                  <c:v>8.9273301471965727</c:v>
                </c:pt>
                <c:pt idx="291">
                  <c:v>8.0656783162137931</c:v>
                </c:pt>
                <c:pt idx="292">
                  <c:v>8.5086400950090866</c:v>
                </c:pt>
                <c:pt idx="293">
                  <c:v>7.6693926167690458</c:v>
                </c:pt>
                <c:pt idx="294">
                  <c:v>6.3761625386254934</c:v>
                </c:pt>
                <c:pt idx="295">
                  <c:v>7.7337222968702894</c:v>
                </c:pt>
                <c:pt idx="296">
                  <c:v>8.9854493221094032</c:v>
                </c:pt>
                <c:pt idx="297">
                  <c:v>8.6986515508184699</c:v>
                </c:pt>
                <c:pt idx="298">
                  <c:v>9.5567467338879464</c:v>
                </c:pt>
                <c:pt idx="299">
                  <c:v>10.058105949388162</c:v>
                </c:pt>
                <c:pt idx="300">
                  <c:v>8.2706434256931249</c:v>
                </c:pt>
                <c:pt idx="301">
                  <c:v>8.0580416154691683</c:v>
                </c:pt>
                <c:pt idx="302">
                  <c:v>7.8270006616952781</c:v>
                </c:pt>
                <c:pt idx="303">
                  <c:v>7.5444666269514462</c:v>
                </c:pt>
                <c:pt idx="304">
                  <c:v>9.1410302725630075</c:v>
                </c:pt>
                <c:pt idx="305">
                  <c:v>13.419075900681928</c:v>
                </c:pt>
                <c:pt idx="306">
                  <c:v>14.09132638498996</c:v>
                </c:pt>
                <c:pt idx="307">
                  <c:v>12.138565612349737</c:v>
                </c:pt>
                <c:pt idx="308">
                  <c:v>11.761943359423251</c:v>
                </c:pt>
                <c:pt idx="309">
                  <c:v>11.847736761699686</c:v>
                </c:pt>
                <c:pt idx="310">
                  <c:v>11.462602877817513</c:v>
                </c:pt>
                <c:pt idx="311">
                  <c:v>11.967018030120073</c:v>
                </c:pt>
                <c:pt idx="312">
                  <c:v>13.647313153719875</c:v>
                </c:pt>
                <c:pt idx="313">
                  <c:v>10.175143272346864</c:v>
                </c:pt>
                <c:pt idx="314">
                  <c:v>9.2204057117353599</c:v>
                </c:pt>
                <c:pt idx="315">
                  <c:v>10.275285541838979</c:v>
                </c:pt>
                <c:pt idx="316">
                  <c:v>9.4113032318155412</c:v>
                </c:pt>
                <c:pt idx="317">
                  <c:v>9.7598387229428685</c:v>
                </c:pt>
                <c:pt idx="318">
                  <c:v>9.4127667130476382</c:v>
                </c:pt>
                <c:pt idx="319">
                  <c:v>11.912117802419434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0D-CE43-9168-2B005B2C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B145243-A18A-AF4E-9987-99012707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C495C-6502-D740-9D0B-9FC5D7E89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4C3B49-6214-CE49-8D2A-2612E1A53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1748BB-20A2-B54C-8D40-FE8FFA555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BC65CCA-8AB3-194E-B1F1-6F0C36B4A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32D2ED-DC04-6444-B948-6C19019DB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F89D85A-0622-274D-869A-837BC21D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0C3E0-5CC9-7A4F-935B-F3D89E199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topLeftCell="D1" zoomScale="66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928.16393442622996</v>
      </c>
      <c r="E2">
        <v>319.51366120219001</v>
      </c>
      <c r="F2">
        <v>171.26729986431999</v>
      </c>
      <c r="G2">
        <v>129.29715061057999</v>
      </c>
      <c r="H2" s="4"/>
      <c r="I2" s="5">
        <f>E2-G2</f>
        <v>190.21651059161002</v>
      </c>
      <c r="J2" s="5">
        <f>D2-F2</f>
        <v>756.89663456190999</v>
      </c>
      <c r="K2" s="9">
        <f>I2*1</f>
        <v>190.21651059161002</v>
      </c>
      <c r="L2" s="6">
        <f t="shared" ref="L2:L65" si="0">K2/J2</f>
        <v>0.25131107988306339</v>
      </c>
      <c r="M2" s="6">
        <f>L2+ABS($N$2)*A2</f>
        <v>0.25131107988306339</v>
      </c>
      <c r="N2" s="4">
        <f>LINEST(V64:V103,U64:U103)</f>
        <v>3.6562285419471308E-4</v>
      </c>
      <c r="O2" s="7">
        <f>AVERAGE(M62:M81)</f>
        <v>0.26082538809539779</v>
      </c>
      <c r="P2" s="4">
        <f>(M2-$O$2)/$O$2*100</f>
        <v>-3.6477692151864098</v>
      </c>
    </row>
    <row r="3" spans="1:16" x14ac:dyDescent="0.2">
      <c r="A3" s="8">
        <v>0.5</v>
      </c>
      <c r="B3" s="8">
        <v>1</v>
      </c>
      <c r="D3">
        <v>897.71174863388001</v>
      </c>
      <c r="E3">
        <v>313.03551912568003</v>
      </c>
      <c r="F3">
        <v>170.96607869741999</v>
      </c>
      <c r="G3">
        <v>128.97218453189001</v>
      </c>
      <c r="I3" s="9">
        <f t="shared" ref="I3:I66" si="1">E3-G3</f>
        <v>184.06333459379002</v>
      </c>
      <c r="J3" s="9">
        <f t="shared" ref="J3:J66" si="2">D3-F3</f>
        <v>726.74566993645999</v>
      </c>
      <c r="K3" s="9">
        <f t="shared" ref="K3:K66" si="3">I3*1</f>
        <v>184.06333459379002</v>
      </c>
      <c r="L3" s="10">
        <f t="shared" si="0"/>
        <v>0.2532706312648314</v>
      </c>
      <c r="M3" s="10">
        <f t="shared" ref="M3:M66" si="4">L3+ABS($N$2)*A3</f>
        <v>0.25345344269192877</v>
      </c>
      <c r="P3" s="8">
        <f t="shared" ref="P3:P66" si="5">(M3-$O$2)/$O$2*100</f>
        <v>-2.8263910416468785</v>
      </c>
    </row>
    <row r="4" spans="1:16" ht="16" x14ac:dyDescent="0.2">
      <c r="A4" s="8">
        <v>1</v>
      </c>
      <c r="B4" s="8">
        <v>2</v>
      </c>
      <c r="D4">
        <v>783.75204918033</v>
      </c>
      <c r="E4">
        <v>283.35040983607001</v>
      </c>
      <c r="F4">
        <v>172.00407055631001</v>
      </c>
      <c r="G4">
        <v>128.83514246946999</v>
      </c>
      <c r="I4" s="9">
        <f t="shared" si="1"/>
        <v>154.51526736660003</v>
      </c>
      <c r="J4" s="9">
        <f t="shared" si="2"/>
        <v>611.74797862401999</v>
      </c>
      <c r="K4" s="9">
        <f t="shared" si="3"/>
        <v>154.51526736660003</v>
      </c>
      <c r="L4" s="10">
        <f t="shared" si="0"/>
        <v>0.25257993939619544</v>
      </c>
      <c r="M4" s="10">
        <f t="shared" si="4"/>
        <v>0.25294556225039017</v>
      </c>
      <c r="N4" s="1" t="s">
        <v>7</v>
      </c>
      <c r="P4" s="8">
        <f t="shared" si="5"/>
        <v>-3.0211115192994757</v>
      </c>
    </row>
    <row r="5" spans="1:16" x14ac:dyDescent="0.2">
      <c r="A5" s="8">
        <v>1.5</v>
      </c>
      <c r="B5" s="8">
        <v>3</v>
      </c>
      <c r="D5">
        <v>870.22669349429998</v>
      </c>
      <c r="E5">
        <v>302.55399061033</v>
      </c>
      <c r="F5">
        <v>171.5196743555</v>
      </c>
      <c r="G5">
        <v>129.368385346</v>
      </c>
      <c r="I5" s="9">
        <f t="shared" si="1"/>
        <v>173.18560526433001</v>
      </c>
      <c r="J5" s="9">
        <f t="shared" si="2"/>
        <v>698.70701913879998</v>
      </c>
      <c r="K5" s="9">
        <f t="shared" si="3"/>
        <v>173.18560526433001</v>
      </c>
      <c r="L5" s="10">
        <f t="shared" si="0"/>
        <v>0.24786584436748907</v>
      </c>
      <c r="M5" s="10">
        <f t="shared" si="4"/>
        <v>0.24841427864878113</v>
      </c>
      <c r="N5" s="8">
        <f>RSQ(V64:V83,U64:U83)</f>
        <v>0.70415376819087694</v>
      </c>
      <c r="P5" s="8">
        <f t="shared" si="5"/>
        <v>-4.7583977684247731</v>
      </c>
    </row>
    <row r="6" spans="1:16" x14ac:dyDescent="0.2">
      <c r="A6" s="8">
        <v>2</v>
      </c>
      <c r="B6" s="8">
        <v>4</v>
      </c>
      <c r="D6">
        <v>869.58752515090998</v>
      </c>
      <c r="E6">
        <v>302.57209926223999</v>
      </c>
      <c r="F6">
        <v>171.80325644505001</v>
      </c>
      <c r="G6">
        <v>128.90366350068001</v>
      </c>
      <c r="I6" s="9">
        <f t="shared" si="1"/>
        <v>173.66843576155998</v>
      </c>
      <c r="J6" s="9">
        <f t="shared" si="2"/>
        <v>697.78426870585997</v>
      </c>
      <c r="K6" s="9">
        <f t="shared" si="3"/>
        <v>173.66843576155998</v>
      </c>
      <c r="L6" s="10">
        <f t="shared" si="0"/>
        <v>0.2488855704409226</v>
      </c>
      <c r="M6" s="10">
        <f t="shared" si="4"/>
        <v>0.24961681614931203</v>
      </c>
      <c r="P6" s="8">
        <f t="shared" si="5"/>
        <v>-4.2973469829502147</v>
      </c>
    </row>
    <row r="7" spans="1:16" x14ac:dyDescent="0.2">
      <c r="A7" s="8">
        <v>2.5</v>
      </c>
      <c r="B7" s="8">
        <v>5</v>
      </c>
      <c r="D7">
        <v>862.15828303152</v>
      </c>
      <c r="E7">
        <v>301.59624413146003</v>
      </c>
      <c r="F7">
        <v>171.81546811397999</v>
      </c>
      <c r="G7">
        <v>129.38602442333999</v>
      </c>
      <c r="I7" s="9">
        <f t="shared" si="1"/>
        <v>172.21021970812004</v>
      </c>
      <c r="J7" s="9">
        <f t="shared" si="2"/>
        <v>690.34281491753995</v>
      </c>
      <c r="K7" s="9">
        <f t="shared" si="3"/>
        <v>172.21021970812004</v>
      </c>
      <c r="L7" s="10">
        <f t="shared" si="0"/>
        <v>0.24945609049134551</v>
      </c>
      <c r="M7" s="10">
        <f t="shared" si="4"/>
        <v>0.2503701476268323</v>
      </c>
      <c r="P7" s="8">
        <f t="shared" si="5"/>
        <v>-4.0085210051490296</v>
      </c>
    </row>
    <row r="8" spans="1:16" x14ac:dyDescent="0.2">
      <c r="A8" s="8">
        <v>3</v>
      </c>
      <c r="B8" s="8">
        <v>6</v>
      </c>
      <c r="D8">
        <v>875.84842387659</v>
      </c>
      <c r="E8">
        <v>308.35412474848999</v>
      </c>
      <c r="F8">
        <v>171.82428765265001</v>
      </c>
      <c r="G8">
        <v>128.98236092266001</v>
      </c>
      <c r="I8" s="9">
        <f t="shared" si="1"/>
        <v>179.37176382582999</v>
      </c>
      <c r="J8" s="9">
        <f t="shared" si="2"/>
        <v>704.02413622393999</v>
      </c>
      <c r="K8" s="9">
        <f t="shared" si="3"/>
        <v>179.37176382582999</v>
      </c>
      <c r="L8" s="10">
        <f t="shared" si="0"/>
        <v>0.25478070224679683</v>
      </c>
      <c r="M8" s="10">
        <f t="shared" si="4"/>
        <v>0.25587757080938095</v>
      </c>
      <c r="P8" s="8">
        <f t="shared" si="5"/>
        <v>-1.8969845390231572</v>
      </c>
    </row>
    <row r="9" spans="1:16" x14ac:dyDescent="0.2">
      <c r="A9" s="8">
        <v>3.5</v>
      </c>
      <c r="B9" s="8">
        <v>7</v>
      </c>
      <c r="D9">
        <v>706.13749161636997</v>
      </c>
      <c r="E9">
        <v>272.54862508384002</v>
      </c>
      <c r="F9">
        <v>172.45861601086</v>
      </c>
      <c r="G9">
        <v>128.95997286296</v>
      </c>
      <c r="I9" s="9">
        <f t="shared" si="1"/>
        <v>143.58865222088002</v>
      </c>
      <c r="J9" s="9">
        <f t="shared" si="2"/>
        <v>533.67887560551003</v>
      </c>
      <c r="K9" s="9">
        <f t="shared" si="3"/>
        <v>143.58865222088002</v>
      </c>
      <c r="L9" s="10">
        <f t="shared" si="0"/>
        <v>0.26905440478221082</v>
      </c>
      <c r="M9" s="10">
        <f t="shared" si="4"/>
        <v>0.2703340847718923</v>
      </c>
      <c r="P9" s="8">
        <f t="shared" si="5"/>
        <v>3.6456177621085994</v>
      </c>
    </row>
    <row r="10" spans="1:16" x14ac:dyDescent="0.2">
      <c r="A10" s="8">
        <v>4</v>
      </c>
      <c r="B10" s="8">
        <v>8</v>
      </c>
      <c r="D10">
        <v>714.83836351442005</v>
      </c>
      <c r="E10">
        <v>277.50435949028002</v>
      </c>
      <c r="F10">
        <v>172.34192672999001</v>
      </c>
      <c r="G10">
        <v>128.72795115331999</v>
      </c>
      <c r="I10" s="9">
        <f t="shared" si="1"/>
        <v>148.77640833696003</v>
      </c>
      <c r="J10" s="9">
        <f t="shared" si="2"/>
        <v>542.49643678442999</v>
      </c>
      <c r="K10" s="9">
        <f t="shared" si="3"/>
        <v>148.77640833696003</v>
      </c>
      <c r="L10" s="10">
        <f t="shared" si="0"/>
        <v>0.27424402862221714</v>
      </c>
      <c r="M10" s="10">
        <f t="shared" si="4"/>
        <v>0.27570652003899598</v>
      </c>
      <c r="P10" s="8">
        <f t="shared" si="5"/>
        <v>5.7054000963109335</v>
      </c>
    </row>
    <row r="11" spans="1:16" x14ac:dyDescent="0.2">
      <c r="A11" s="8">
        <v>4.5</v>
      </c>
      <c r="B11" s="8">
        <v>9</v>
      </c>
      <c r="D11">
        <v>944.50905432596005</v>
      </c>
      <c r="E11">
        <v>318.99530516431997</v>
      </c>
      <c r="F11">
        <v>171.66621438262999</v>
      </c>
      <c r="G11">
        <v>128.96879240163</v>
      </c>
      <c r="I11" s="9">
        <f t="shared" si="1"/>
        <v>190.02651276268998</v>
      </c>
      <c r="J11" s="9">
        <f t="shared" si="2"/>
        <v>772.84283994333009</v>
      </c>
      <c r="K11" s="9">
        <f t="shared" si="3"/>
        <v>190.02651276268998</v>
      </c>
      <c r="L11" s="10">
        <f t="shared" si="0"/>
        <v>0.24587989037541444</v>
      </c>
      <c r="M11" s="10">
        <f t="shared" si="4"/>
        <v>0.24752519321929065</v>
      </c>
      <c r="P11" s="8">
        <f t="shared" si="5"/>
        <v>-5.0992715752204898</v>
      </c>
    </row>
    <row r="12" spans="1:16" x14ac:dyDescent="0.2">
      <c r="A12" s="8">
        <v>5</v>
      </c>
      <c r="B12" s="8">
        <v>10</v>
      </c>
      <c r="D12">
        <v>894.36619718309998</v>
      </c>
      <c r="E12">
        <v>303.81488933601997</v>
      </c>
      <c r="F12">
        <v>172.73880597015</v>
      </c>
      <c r="G12">
        <v>129.11940298508</v>
      </c>
      <c r="I12" s="9">
        <f t="shared" si="1"/>
        <v>174.69548635093997</v>
      </c>
      <c r="J12" s="9">
        <f t="shared" si="2"/>
        <v>721.62739121294999</v>
      </c>
      <c r="K12" s="9">
        <f t="shared" si="3"/>
        <v>174.69548635093997</v>
      </c>
      <c r="L12" s="10">
        <f t="shared" si="0"/>
        <v>0.24208544254023179</v>
      </c>
      <c r="M12" s="10">
        <f t="shared" si="4"/>
        <v>0.24391355681120536</v>
      </c>
      <c r="P12" s="8">
        <f t="shared" si="5"/>
        <v>-6.483966690392454</v>
      </c>
    </row>
    <row r="13" spans="1:16" x14ac:dyDescent="0.2">
      <c r="A13" s="8">
        <v>5.5</v>
      </c>
      <c r="B13" s="8">
        <v>11</v>
      </c>
      <c r="D13">
        <v>1018.1616364856</v>
      </c>
      <c r="E13">
        <v>331.81891348088999</v>
      </c>
      <c r="F13">
        <v>172.72862957938</v>
      </c>
      <c r="G13">
        <v>129.2381275441</v>
      </c>
      <c r="I13" s="9">
        <f t="shared" si="1"/>
        <v>202.58078593678999</v>
      </c>
      <c r="J13" s="9">
        <f t="shared" si="2"/>
        <v>845.43300690621993</v>
      </c>
      <c r="K13" s="9">
        <f t="shared" si="3"/>
        <v>202.58078593678999</v>
      </c>
      <c r="L13" s="10">
        <f t="shared" si="0"/>
        <v>0.23961778672223211</v>
      </c>
      <c r="M13" s="10">
        <f t="shared" si="4"/>
        <v>0.24162871242030304</v>
      </c>
      <c r="P13" s="8">
        <f t="shared" si="5"/>
        <v>-7.3599720545890657</v>
      </c>
    </row>
    <row r="14" spans="1:16" x14ac:dyDescent="0.2">
      <c r="A14" s="8">
        <v>6</v>
      </c>
      <c r="B14" s="8">
        <v>12</v>
      </c>
      <c r="D14">
        <v>1017.5480378890001</v>
      </c>
      <c r="E14">
        <v>333.37956698240998</v>
      </c>
      <c r="F14">
        <v>172.62550881953999</v>
      </c>
      <c r="G14">
        <v>129.24491180461001</v>
      </c>
      <c r="I14" s="9">
        <f t="shared" si="1"/>
        <v>204.13465517779997</v>
      </c>
      <c r="J14" s="9">
        <f t="shared" si="2"/>
        <v>844.9225290694601</v>
      </c>
      <c r="K14" s="9">
        <f t="shared" si="3"/>
        <v>204.13465517779997</v>
      </c>
      <c r="L14" s="10">
        <f t="shared" si="0"/>
        <v>0.24160162400051036</v>
      </c>
      <c r="M14" s="10">
        <f t="shared" si="4"/>
        <v>0.24379536112567862</v>
      </c>
      <c r="P14" s="8">
        <f t="shared" si="5"/>
        <v>-6.5292827105812172</v>
      </c>
    </row>
    <row r="15" spans="1:16" x14ac:dyDescent="0.2">
      <c r="A15" s="8">
        <v>6.5</v>
      </c>
      <c r="B15" s="8">
        <v>13</v>
      </c>
      <c r="D15">
        <v>1058.9693460491001</v>
      </c>
      <c r="E15">
        <v>343.59673024522999</v>
      </c>
      <c r="F15">
        <v>173.25033921303</v>
      </c>
      <c r="G15">
        <v>129.96675712346999</v>
      </c>
      <c r="I15" s="9">
        <f t="shared" si="1"/>
        <v>213.62997312176</v>
      </c>
      <c r="J15" s="9">
        <f t="shared" si="2"/>
        <v>885.71900683607009</v>
      </c>
      <c r="K15" s="9">
        <f t="shared" si="3"/>
        <v>213.62997312176</v>
      </c>
      <c r="L15" s="10">
        <f t="shared" si="0"/>
        <v>0.24119384530866106</v>
      </c>
      <c r="M15" s="10">
        <f t="shared" si="4"/>
        <v>0.24357039386092669</v>
      </c>
      <c r="P15" s="8">
        <f t="shared" si="5"/>
        <v>-6.6155347684789145</v>
      </c>
    </row>
    <row r="16" spans="1:16" x14ac:dyDescent="0.2">
      <c r="A16" s="8">
        <v>7</v>
      </c>
      <c r="B16" s="8">
        <v>14</v>
      </c>
      <c r="D16">
        <v>1075.384097035</v>
      </c>
      <c r="E16">
        <v>350.20619946092</v>
      </c>
      <c r="F16">
        <v>172.95997286296</v>
      </c>
      <c r="G16">
        <v>129.97150610583</v>
      </c>
      <c r="I16" s="9">
        <f t="shared" si="1"/>
        <v>220.23469335509</v>
      </c>
      <c r="J16" s="9">
        <f t="shared" si="2"/>
        <v>902.42412417203991</v>
      </c>
      <c r="K16" s="9">
        <f t="shared" si="3"/>
        <v>220.23469335509</v>
      </c>
      <c r="L16" s="10">
        <f t="shared" si="0"/>
        <v>0.24404787888084431</v>
      </c>
      <c r="M16" s="10">
        <f t="shared" si="4"/>
        <v>0.2466072388602073</v>
      </c>
      <c r="P16" s="8">
        <f t="shared" si="5"/>
        <v>-5.4512136793946429</v>
      </c>
    </row>
    <row r="17" spans="1:16" x14ac:dyDescent="0.2">
      <c r="A17" s="8">
        <v>7.5</v>
      </c>
      <c r="B17" s="8">
        <v>15</v>
      </c>
      <c r="D17">
        <v>1073.7769541779001</v>
      </c>
      <c r="E17">
        <v>349.71698113207998</v>
      </c>
      <c r="F17">
        <v>173.94029850746</v>
      </c>
      <c r="G17">
        <v>130.10583446403999</v>
      </c>
      <c r="I17" s="9">
        <f t="shared" si="1"/>
        <v>219.61114666803999</v>
      </c>
      <c r="J17" s="9">
        <f t="shared" si="2"/>
        <v>899.83665567044</v>
      </c>
      <c r="K17" s="9">
        <f t="shared" si="3"/>
        <v>219.61114666803999</v>
      </c>
      <c r="L17" s="10">
        <f t="shared" si="0"/>
        <v>0.24405667993644317</v>
      </c>
      <c r="M17" s="10">
        <f t="shared" si="4"/>
        <v>0.24679885134290352</v>
      </c>
      <c r="P17" s="8">
        <f t="shared" si="5"/>
        <v>-5.3777497869049515</v>
      </c>
    </row>
    <row r="18" spans="1:16" x14ac:dyDescent="0.2">
      <c r="A18" s="8">
        <v>8</v>
      </c>
      <c r="B18" s="8">
        <v>16</v>
      </c>
      <c r="D18">
        <v>1082.6714285713999</v>
      </c>
      <c r="E18">
        <v>350.79047619047998</v>
      </c>
      <c r="F18">
        <v>173.94708276797999</v>
      </c>
      <c r="G18">
        <v>130.03595658072999</v>
      </c>
      <c r="I18" s="9">
        <f t="shared" si="1"/>
        <v>220.75451960974999</v>
      </c>
      <c r="J18" s="9">
        <f t="shared" si="2"/>
        <v>908.72434580341996</v>
      </c>
      <c r="K18" s="9">
        <f t="shared" si="3"/>
        <v>220.75451960974999</v>
      </c>
      <c r="L18" s="10">
        <f t="shared" si="0"/>
        <v>0.24292792487536674</v>
      </c>
      <c r="M18" s="10">
        <f t="shared" si="4"/>
        <v>0.24585290770892446</v>
      </c>
      <c r="P18" s="8">
        <f t="shared" si="5"/>
        <v>-5.7404229303771226</v>
      </c>
    </row>
    <row r="19" spans="1:16" x14ac:dyDescent="0.2">
      <c r="A19" s="8">
        <v>8.5</v>
      </c>
      <c r="B19" s="8">
        <v>17</v>
      </c>
      <c r="D19">
        <v>1083.1707482992999</v>
      </c>
      <c r="E19">
        <v>349.79523809523999</v>
      </c>
      <c r="F19">
        <v>173.72862957938</v>
      </c>
      <c r="G19">
        <v>130.32360922659001</v>
      </c>
      <c r="I19" s="9">
        <f t="shared" si="1"/>
        <v>219.47162886864999</v>
      </c>
      <c r="J19" s="9">
        <f t="shared" si="2"/>
        <v>909.4421187199199</v>
      </c>
      <c r="K19" s="9">
        <f t="shared" si="3"/>
        <v>219.47162886864999</v>
      </c>
      <c r="L19" s="10">
        <f t="shared" si="0"/>
        <v>0.24132556030895735</v>
      </c>
      <c r="M19" s="10">
        <f t="shared" si="4"/>
        <v>0.2444333545696124</v>
      </c>
      <c r="P19" s="8">
        <f t="shared" si="5"/>
        <v>-6.2846771341867775</v>
      </c>
    </row>
    <row r="20" spans="1:16" x14ac:dyDescent="0.2">
      <c r="A20" s="8">
        <v>9</v>
      </c>
      <c r="B20" s="8">
        <v>18</v>
      </c>
      <c r="D20">
        <v>1071.5435374149999</v>
      </c>
      <c r="E20">
        <v>347.75578231293002</v>
      </c>
      <c r="F20">
        <v>174.26119402985</v>
      </c>
      <c r="G20">
        <v>130.44843962007999</v>
      </c>
      <c r="I20" s="9">
        <f t="shared" si="1"/>
        <v>217.30734269285003</v>
      </c>
      <c r="J20" s="9">
        <f t="shared" si="2"/>
        <v>897.28234338514994</v>
      </c>
      <c r="K20" s="9">
        <f t="shared" si="3"/>
        <v>217.30734269285003</v>
      </c>
      <c r="L20" s="10">
        <f t="shared" si="0"/>
        <v>0.24218390598551309</v>
      </c>
      <c r="M20" s="10">
        <f t="shared" si="4"/>
        <v>0.24547451167326551</v>
      </c>
      <c r="P20" s="8">
        <f t="shared" si="5"/>
        <v>-5.8854993120982728</v>
      </c>
    </row>
    <row r="21" spans="1:16" x14ac:dyDescent="0.2">
      <c r="A21" s="8">
        <v>9.5</v>
      </c>
      <c r="B21" s="8">
        <v>19</v>
      </c>
      <c r="D21">
        <v>1069.887755102</v>
      </c>
      <c r="E21">
        <v>348.13333333332997</v>
      </c>
      <c r="F21">
        <v>173.59972862958</v>
      </c>
      <c r="G21">
        <v>130.10312075984001</v>
      </c>
      <c r="I21" s="9">
        <f t="shared" si="1"/>
        <v>218.03021257348996</v>
      </c>
      <c r="J21" s="9">
        <f t="shared" si="2"/>
        <v>896.28802647242003</v>
      </c>
      <c r="K21" s="9">
        <f t="shared" si="3"/>
        <v>218.03021257348996</v>
      </c>
      <c r="L21" s="10">
        <f t="shared" si="0"/>
        <v>0.24325909320869304</v>
      </c>
      <c r="M21" s="10">
        <f t="shared" si="4"/>
        <v>0.24673251032354282</v>
      </c>
      <c r="P21" s="8">
        <f t="shared" si="5"/>
        <v>-5.4031848183047479</v>
      </c>
    </row>
    <row r="22" spans="1:16" x14ac:dyDescent="0.2">
      <c r="A22" s="8">
        <v>10</v>
      </c>
      <c r="B22" s="8">
        <v>20</v>
      </c>
      <c r="D22">
        <v>1071.2510204082</v>
      </c>
      <c r="E22">
        <v>346.93537414965999</v>
      </c>
      <c r="F22">
        <v>174.1302578019</v>
      </c>
      <c r="G22">
        <v>130.29782903664</v>
      </c>
      <c r="I22" s="9">
        <f t="shared" si="1"/>
        <v>216.63754511302</v>
      </c>
      <c r="J22" s="9">
        <f t="shared" si="2"/>
        <v>897.12076260629999</v>
      </c>
      <c r="K22" s="9">
        <f t="shared" si="3"/>
        <v>216.63754511302</v>
      </c>
      <c r="L22" s="10">
        <f t="shared" si="0"/>
        <v>0.24148091777928346</v>
      </c>
      <c r="M22" s="10">
        <f t="shared" si="4"/>
        <v>0.2451371463212306</v>
      </c>
      <c r="P22" s="8">
        <f t="shared" si="5"/>
        <v>-6.0148446011049987</v>
      </c>
    </row>
    <row r="23" spans="1:16" x14ac:dyDescent="0.2">
      <c r="A23" s="8">
        <v>10.5</v>
      </c>
      <c r="B23" s="8">
        <v>21</v>
      </c>
      <c r="D23">
        <v>1062.1204081633</v>
      </c>
      <c r="E23">
        <v>346.19455782313003</v>
      </c>
      <c r="F23">
        <v>173.40976933514</v>
      </c>
      <c r="G23">
        <v>130.22795115331999</v>
      </c>
      <c r="I23" s="9">
        <f t="shared" si="1"/>
        <v>215.96660666981003</v>
      </c>
      <c r="J23" s="9">
        <f t="shared" si="2"/>
        <v>888.71063882815997</v>
      </c>
      <c r="K23" s="9">
        <f t="shared" si="3"/>
        <v>215.96660666981003</v>
      </c>
      <c r="L23" s="10">
        <f t="shared" si="0"/>
        <v>0.24301116385259014</v>
      </c>
      <c r="M23" s="10">
        <f t="shared" si="4"/>
        <v>0.24685020382163464</v>
      </c>
      <c r="P23" s="8">
        <f t="shared" si="5"/>
        <v>-5.358061335904801</v>
      </c>
    </row>
    <row r="24" spans="1:16" x14ac:dyDescent="0.2">
      <c r="A24" s="8">
        <v>11</v>
      </c>
      <c r="B24" s="8">
        <v>22</v>
      </c>
      <c r="D24">
        <v>1064.4557823129001</v>
      </c>
      <c r="E24">
        <v>345.59115646258999</v>
      </c>
      <c r="F24">
        <v>173.57462686567001</v>
      </c>
      <c r="G24">
        <v>130.01289009498001</v>
      </c>
      <c r="I24" s="9">
        <f t="shared" si="1"/>
        <v>215.57826636760998</v>
      </c>
      <c r="J24" s="9">
        <f t="shared" si="2"/>
        <v>890.88115544723007</v>
      </c>
      <c r="K24" s="9">
        <f t="shared" si="3"/>
        <v>215.57826636760998</v>
      </c>
      <c r="L24" s="10">
        <f t="shared" si="0"/>
        <v>0.24198319276311084</v>
      </c>
      <c r="M24" s="10">
        <f t="shared" si="4"/>
        <v>0.24600504415925267</v>
      </c>
      <c r="P24" s="8">
        <f t="shared" si="5"/>
        <v>-5.6820940800151432</v>
      </c>
    </row>
    <row r="25" spans="1:16" x14ac:dyDescent="0.2">
      <c r="A25" s="8">
        <v>11.5</v>
      </c>
      <c r="B25" s="8">
        <v>23</v>
      </c>
      <c r="D25">
        <v>1059.8034013604999</v>
      </c>
      <c r="E25">
        <v>344.12176870747999</v>
      </c>
      <c r="F25">
        <v>174.09497964721999</v>
      </c>
      <c r="G25">
        <v>130.53120759837</v>
      </c>
      <c r="I25" s="9">
        <f t="shared" si="1"/>
        <v>213.59056110910998</v>
      </c>
      <c r="J25" s="9">
        <f t="shared" si="2"/>
        <v>885.7084217132799</v>
      </c>
      <c r="K25" s="9">
        <f t="shared" si="3"/>
        <v>213.59056110910998</v>
      </c>
      <c r="L25" s="10">
        <f t="shared" si="0"/>
        <v>0.24115223009390463</v>
      </c>
      <c r="M25" s="10">
        <f t="shared" si="4"/>
        <v>0.24535689291714383</v>
      </c>
      <c r="P25" s="8">
        <f t="shared" si="5"/>
        <v>-5.9305941385569074</v>
      </c>
    </row>
    <row r="26" spans="1:16" x14ac:dyDescent="0.2">
      <c r="A26" s="8">
        <v>12</v>
      </c>
      <c r="B26" s="8">
        <v>24</v>
      </c>
      <c r="D26">
        <v>1057.2673469388001</v>
      </c>
      <c r="E26">
        <v>342.49591836734999</v>
      </c>
      <c r="F26">
        <v>173.31207598372001</v>
      </c>
      <c r="G26">
        <v>129.99389416554001</v>
      </c>
      <c r="I26" s="9">
        <f t="shared" si="1"/>
        <v>212.50202420180997</v>
      </c>
      <c r="J26" s="9">
        <f t="shared" si="2"/>
        <v>883.9552709550801</v>
      </c>
      <c r="K26" s="9">
        <f t="shared" si="3"/>
        <v>212.50202420180997</v>
      </c>
      <c r="L26" s="10">
        <f t="shared" si="0"/>
        <v>0.24039906903005354</v>
      </c>
      <c r="M26" s="10">
        <f t="shared" si="4"/>
        <v>0.2447865432803901</v>
      </c>
      <c r="P26" s="8">
        <f t="shared" si="5"/>
        <v>-6.1492651969682619</v>
      </c>
    </row>
    <row r="27" spans="1:16" x14ac:dyDescent="0.2">
      <c r="A27" s="8">
        <v>12.5</v>
      </c>
      <c r="B27" s="8">
        <v>25</v>
      </c>
      <c r="D27">
        <v>1056.9639455782001</v>
      </c>
      <c r="E27">
        <v>342.13673469387999</v>
      </c>
      <c r="F27">
        <v>174.60312075984001</v>
      </c>
      <c r="G27">
        <v>130.20284938942001</v>
      </c>
      <c r="I27" s="9">
        <f t="shared" si="1"/>
        <v>211.93388530445998</v>
      </c>
      <c r="J27" s="9">
        <f t="shared" si="2"/>
        <v>882.36082481836002</v>
      </c>
      <c r="K27" s="9">
        <f t="shared" si="3"/>
        <v>211.93388530445998</v>
      </c>
      <c r="L27" s="10">
        <f t="shared" si="0"/>
        <v>0.24018959063384077</v>
      </c>
      <c r="M27" s="10">
        <f t="shared" si="4"/>
        <v>0.24475987631127469</v>
      </c>
      <c r="P27" s="8">
        <f t="shared" si="5"/>
        <v>-6.1594892665307137</v>
      </c>
    </row>
    <row r="28" spans="1:16" x14ac:dyDescent="0.2">
      <c r="A28" s="8">
        <v>13</v>
      </c>
      <c r="B28" s="8">
        <v>26</v>
      </c>
      <c r="D28">
        <v>1062.6673469387999</v>
      </c>
      <c r="E28">
        <v>344.07551020407999</v>
      </c>
      <c r="F28">
        <v>174.54748982360999</v>
      </c>
      <c r="G28">
        <v>130.02985074627</v>
      </c>
      <c r="I28" s="9">
        <f t="shared" si="1"/>
        <v>214.04565945780999</v>
      </c>
      <c r="J28" s="9">
        <f t="shared" si="2"/>
        <v>888.11985711518992</v>
      </c>
      <c r="K28" s="9">
        <f t="shared" si="3"/>
        <v>214.04565945780999</v>
      </c>
      <c r="L28" s="10">
        <f t="shared" si="0"/>
        <v>0.24100987917675629</v>
      </c>
      <c r="M28" s="10">
        <f t="shared" si="4"/>
        <v>0.24576297628128757</v>
      </c>
      <c r="P28" s="8">
        <f t="shared" si="5"/>
        <v>-5.7749024832663496</v>
      </c>
    </row>
    <row r="29" spans="1:16" x14ac:dyDescent="0.2">
      <c r="A29" s="8">
        <v>13.5</v>
      </c>
      <c r="B29" s="8">
        <v>27</v>
      </c>
      <c r="D29">
        <v>1057.6564625850001</v>
      </c>
      <c r="E29">
        <v>342.28503401361002</v>
      </c>
      <c r="F29">
        <v>174.01560379918999</v>
      </c>
      <c r="G29">
        <v>130.25373134328001</v>
      </c>
      <c r="I29" s="9">
        <f t="shared" si="1"/>
        <v>212.03130267033001</v>
      </c>
      <c r="J29" s="9">
        <f t="shared" si="2"/>
        <v>883.64085878581011</v>
      </c>
      <c r="K29" s="9">
        <f t="shared" si="3"/>
        <v>212.03130267033001</v>
      </c>
      <c r="L29" s="10">
        <f t="shared" si="0"/>
        <v>0.23995189964583255</v>
      </c>
      <c r="M29" s="10">
        <f t="shared" si="4"/>
        <v>0.24488780817746117</v>
      </c>
      <c r="P29" s="8">
        <f t="shared" si="5"/>
        <v>-6.1104404116164481</v>
      </c>
    </row>
    <row r="30" spans="1:16" x14ac:dyDescent="0.2">
      <c r="A30" s="8">
        <v>14</v>
      </c>
      <c r="B30" s="8">
        <v>28</v>
      </c>
      <c r="D30">
        <v>1053.3285714286001</v>
      </c>
      <c r="E30">
        <v>341.69931972788999</v>
      </c>
      <c r="F30">
        <v>174.04884667571</v>
      </c>
      <c r="G30">
        <v>129.95251017639001</v>
      </c>
      <c r="I30" s="9">
        <f t="shared" si="1"/>
        <v>211.74680955149998</v>
      </c>
      <c r="J30" s="9">
        <f t="shared" si="2"/>
        <v>879.27972475289005</v>
      </c>
      <c r="K30" s="9">
        <f t="shared" si="3"/>
        <v>211.74680955149998</v>
      </c>
      <c r="L30" s="10">
        <f t="shared" si="0"/>
        <v>0.24081848311810969</v>
      </c>
      <c r="M30" s="10">
        <f t="shared" si="4"/>
        <v>0.24593720307683567</v>
      </c>
      <c r="P30" s="8">
        <f t="shared" si="5"/>
        <v>-5.7081042329808467</v>
      </c>
    </row>
    <row r="31" spans="1:16" x14ac:dyDescent="0.2">
      <c r="A31" s="8">
        <v>14.5</v>
      </c>
      <c r="B31" s="8">
        <v>29</v>
      </c>
      <c r="D31">
        <v>1054.931292517</v>
      </c>
      <c r="E31">
        <v>343.4231292517</v>
      </c>
      <c r="F31">
        <v>174.64925373134</v>
      </c>
      <c r="G31">
        <v>130.11329715061001</v>
      </c>
      <c r="I31" s="9">
        <f t="shared" si="1"/>
        <v>213.30983210109</v>
      </c>
      <c r="J31" s="9">
        <f t="shared" si="2"/>
        <v>880.28203878566001</v>
      </c>
      <c r="K31" s="9">
        <f t="shared" si="3"/>
        <v>213.30983210109</v>
      </c>
      <c r="L31" s="10">
        <f t="shared" si="0"/>
        <v>0.24231987329350568</v>
      </c>
      <c r="M31" s="10">
        <f t="shared" si="4"/>
        <v>0.24762140467932903</v>
      </c>
      <c r="P31" s="8">
        <f t="shared" si="5"/>
        <v>-5.062384268834812</v>
      </c>
    </row>
    <row r="32" spans="1:16" x14ac:dyDescent="0.2">
      <c r="A32" s="8">
        <v>15</v>
      </c>
      <c r="B32" s="8">
        <v>30</v>
      </c>
      <c r="D32">
        <v>1045.437414966</v>
      </c>
      <c r="E32">
        <v>340.58435374150002</v>
      </c>
      <c r="F32">
        <v>174.33446404342001</v>
      </c>
      <c r="G32">
        <v>130.16214382632</v>
      </c>
      <c r="I32" s="9">
        <f t="shared" si="1"/>
        <v>210.42220991518002</v>
      </c>
      <c r="J32" s="9">
        <f t="shared" si="2"/>
        <v>871.10295092258002</v>
      </c>
      <c r="K32" s="9">
        <f t="shared" si="3"/>
        <v>210.42220991518002</v>
      </c>
      <c r="L32" s="10">
        <f t="shared" si="0"/>
        <v>0.24155837113434536</v>
      </c>
      <c r="M32" s="10">
        <f t="shared" si="4"/>
        <v>0.24704271394726607</v>
      </c>
      <c r="P32" s="8">
        <f t="shared" si="5"/>
        <v>-5.2842532886755116</v>
      </c>
    </row>
    <row r="33" spans="1:16" x14ac:dyDescent="0.2">
      <c r="A33" s="8">
        <v>15.5</v>
      </c>
      <c r="B33" s="8">
        <v>31</v>
      </c>
      <c r="D33">
        <v>1053.3081632653</v>
      </c>
      <c r="E33">
        <v>341.83605442176997</v>
      </c>
      <c r="F33">
        <v>174.12347354138001</v>
      </c>
      <c r="G33">
        <v>130.25576662143999</v>
      </c>
      <c r="I33" s="9">
        <f t="shared" si="1"/>
        <v>211.58028780032998</v>
      </c>
      <c r="J33" s="9">
        <f t="shared" si="2"/>
        <v>879.18468972391997</v>
      </c>
      <c r="K33" s="9">
        <f t="shared" si="3"/>
        <v>211.58028780032998</v>
      </c>
      <c r="L33" s="10">
        <f t="shared" si="0"/>
        <v>0.24065510952740779</v>
      </c>
      <c r="M33" s="10">
        <f t="shared" si="4"/>
        <v>0.24632226376742583</v>
      </c>
      <c r="P33" s="8">
        <f t="shared" si="5"/>
        <v>-5.5604726341545376</v>
      </c>
    </row>
    <row r="34" spans="1:16" x14ac:dyDescent="0.2">
      <c r="A34" s="8">
        <v>16</v>
      </c>
      <c r="B34" s="8">
        <v>32</v>
      </c>
      <c r="D34">
        <v>1046.7278911564999</v>
      </c>
      <c r="E34">
        <v>339.69931972788999</v>
      </c>
      <c r="F34">
        <v>174.12143826323</v>
      </c>
      <c r="G34">
        <v>130.00814111262</v>
      </c>
      <c r="I34" s="9">
        <f t="shared" si="1"/>
        <v>209.69117861526999</v>
      </c>
      <c r="J34" s="9">
        <f t="shared" si="2"/>
        <v>872.60645289326999</v>
      </c>
      <c r="K34" s="9">
        <f t="shared" si="3"/>
        <v>209.69117861526999</v>
      </c>
      <c r="L34" s="10">
        <f t="shared" si="0"/>
        <v>0.24030440975998338</v>
      </c>
      <c r="M34" s="10">
        <f t="shared" si="4"/>
        <v>0.24615437542709878</v>
      </c>
      <c r="P34" s="8">
        <f t="shared" si="5"/>
        <v>-5.6248407317362208</v>
      </c>
    </row>
    <row r="35" spans="1:16" x14ac:dyDescent="0.2">
      <c r="A35" s="8">
        <v>16.5</v>
      </c>
      <c r="B35" s="8">
        <v>33</v>
      </c>
      <c r="D35">
        <v>1051.9578231293001</v>
      </c>
      <c r="E35">
        <v>342.20952380952002</v>
      </c>
      <c r="F35">
        <v>174.45793758479999</v>
      </c>
      <c r="G35">
        <v>129.94504748982001</v>
      </c>
      <c r="I35" s="9">
        <f t="shared" si="1"/>
        <v>212.26447631970001</v>
      </c>
      <c r="J35" s="9">
        <f t="shared" si="2"/>
        <v>877.4998855445001</v>
      </c>
      <c r="K35" s="9">
        <f t="shared" si="3"/>
        <v>212.26447631970001</v>
      </c>
      <c r="L35" s="10">
        <f t="shared" si="0"/>
        <v>0.24189687066225329</v>
      </c>
      <c r="M35" s="10">
        <f t="shared" si="4"/>
        <v>0.24792964775646606</v>
      </c>
      <c r="P35" s="8">
        <f t="shared" si="5"/>
        <v>-4.9442044093556836</v>
      </c>
    </row>
    <row r="36" spans="1:16" x14ac:dyDescent="0.2">
      <c r="A36" s="8">
        <v>17</v>
      </c>
      <c r="B36" s="8">
        <v>34</v>
      </c>
      <c r="D36">
        <v>1044.4353741497</v>
      </c>
      <c r="E36">
        <v>339.08571428571003</v>
      </c>
      <c r="F36">
        <v>174.41180461330001</v>
      </c>
      <c r="G36">
        <v>129.79647218452999</v>
      </c>
      <c r="I36" s="9">
        <f t="shared" si="1"/>
        <v>209.28924210118004</v>
      </c>
      <c r="J36" s="9">
        <f t="shared" si="2"/>
        <v>870.02356953640003</v>
      </c>
      <c r="K36" s="9">
        <f t="shared" si="3"/>
        <v>209.28924210118004</v>
      </c>
      <c r="L36" s="10">
        <f t="shared" si="0"/>
        <v>0.24055583024342858</v>
      </c>
      <c r="M36" s="10">
        <f t="shared" si="4"/>
        <v>0.24677141876473871</v>
      </c>
      <c r="P36" s="8">
        <f t="shared" si="5"/>
        <v>-5.3882673896449047</v>
      </c>
    </row>
    <row r="37" spans="1:16" x14ac:dyDescent="0.2">
      <c r="A37" s="8">
        <v>17.5</v>
      </c>
      <c r="B37" s="8">
        <v>35</v>
      </c>
      <c r="D37">
        <v>1039.1782312925</v>
      </c>
      <c r="E37">
        <v>339.17959183673997</v>
      </c>
      <c r="F37">
        <v>174.09837177748</v>
      </c>
      <c r="G37">
        <v>130.51899592944</v>
      </c>
      <c r="I37" s="9">
        <f t="shared" si="1"/>
        <v>208.66059590729998</v>
      </c>
      <c r="J37" s="9">
        <f t="shared" si="2"/>
        <v>865.07985951501996</v>
      </c>
      <c r="K37" s="9">
        <f t="shared" si="3"/>
        <v>208.66059590729998</v>
      </c>
      <c r="L37" s="10">
        <f t="shared" si="0"/>
        <v>0.24120385373932879</v>
      </c>
      <c r="M37" s="10">
        <f t="shared" si="4"/>
        <v>0.24760225368773628</v>
      </c>
      <c r="P37" s="8">
        <f t="shared" si="5"/>
        <v>-5.0697267256917131</v>
      </c>
    </row>
    <row r="38" spans="1:16" x14ac:dyDescent="0.2">
      <c r="A38" s="8">
        <v>18</v>
      </c>
      <c r="B38" s="8">
        <v>36</v>
      </c>
      <c r="D38">
        <v>1037.5418082936999</v>
      </c>
      <c r="E38">
        <v>336.13460231135002</v>
      </c>
      <c r="F38">
        <v>174.15400271370001</v>
      </c>
      <c r="G38">
        <v>130.04274084125001</v>
      </c>
      <c r="I38" s="9">
        <f t="shared" si="1"/>
        <v>206.09186147010001</v>
      </c>
      <c r="J38" s="9">
        <f t="shared" si="2"/>
        <v>863.38780557999985</v>
      </c>
      <c r="K38" s="9">
        <f t="shared" si="3"/>
        <v>206.09186147010001</v>
      </c>
      <c r="L38" s="10">
        <f t="shared" si="0"/>
        <v>0.23870138093003671</v>
      </c>
      <c r="M38" s="10">
        <f t="shared" si="4"/>
        <v>0.24528259230554153</v>
      </c>
      <c r="P38" s="8">
        <f t="shared" si="5"/>
        <v>-5.9590808637736714</v>
      </c>
    </row>
    <row r="39" spans="1:16" x14ac:dyDescent="0.2">
      <c r="A39" s="8">
        <v>18.5</v>
      </c>
      <c r="B39" s="8">
        <v>37</v>
      </c>
      <c r="D39">
        <v>1064.4581917063001</v>
      </c>
      <c r="E39">
        <v>344.28619986403999</v>
      </c>
      <c r="F39">
        <v>174.29782903664</v>
      </c>
      <c r="G39">
        <v>130.21506105834999</v>
      </c>
      <c r="I39" s="9">
        <f t="shared" si="1"/>
        <v>214.07113880569</v>
      </c>
      <c r="J39" s="9">
        <f t="shared" si="2"/>
        <v>890.16036266966012</v>
      </c>
      <c r="K39" s="9">
        <f t="shared" si="3"/>
        <v>214.07113880569</v>
      </c>
      <c r="L39" s="10">
        <f t="shared" si="0"/>
        <v>0.24048603800294366</v>
      </c>
      <c r="M39" s="10">
        <f t="shared" si="4"/>
        <v>0.24725006080554585</v>
      </c>
      <c r="P39" s="8">
        <f t="shared" si="5"/>
        <v>-5.2047568639624622</v>
      </c>
    </row>
    <row r="40" spans="1:16" x14ac:dyDescent="0.2">
      <c r="A40" s="8">
        <v>19</v>
      </c>
      <c r="B40" s="8">
        <v>38</v>
      </c>
      <c r="D40">
        <v>1089.8395649218</v>
      </c>
      <c r="E40">
        <v>350.69680489463002</v>
      </c>
      <c r="F40">
        <v>174.46540027136999</v>
      </c>
      <c r="G40">
        <v>130.07734056987999</v>
      </c>
      <c r="I40" s="9">
        <f t="shared" si="1"/>
        <v>220.61946432475003</v>
      </c>
      <c r="J40" s="9">
        <f t="shared" si="2"/>
        <v>915.37416465043009</v>
      </c>
      <c r="K40" s="9">
        <f t="shared" si="3"/>
        <v>220.61946432475003</v>
      </c>
      <c r="L40" s="10">
        <f t="shared" si="0"/>
        <v>0.24101561180613157</v>
      </c>
      <c r="M40" s="10">
        <f t="shared" si="4"/>
        <v>0.24796244603583112</v>
      </c>
      <c r="P40" s="8">
        <f t="shared" si="5"/>
        <v>-4.9316296061110458</v>
      </c>
    </row>
    <row r="41" spans="1:16" x14ac:dyDescent="0.2">
      <c r="A41" s="8">
        <v>19.5</v>
      </c>
      <c r="B41" s="8">
        <v>39</v>
      </c>
      <c r="D41">
        <v>1090.2236573759001</v>
      </c>
      <c r="E41">
        <v>351.43779741672</v>
      </c>
      <c r="F41">
        <v>174.11601085481999</v>
      </c>
      <c r="G41">
        <v>129.631614654</v>
      </c>
      <c r="I41" s="9">
        <f t="shared" si="1"/>
        <v>221.80618276272</v>
      </c>
      <c r="J41" s="9">
        <f t="shared" si="2"/>
        <v>916.10764652108014</v>
      </c>
      <c r="K41" s="9">
        <f t="shared" si="3"/>
        <v>221.80618276272</v>
      </c>
      <c r="L41" s="10">
        <f t="shared" si="0"/>
        <v>0.24211803449630537</v>
      </c>
      <c r="M41" s="10">
        <f t="shared" si="4"/>
        <v>0.24924768015310228</v>
      </c>
      <c r="P41" s="8">
        <f t="shared" si="5"/>
        <v>-4.438873081657575</v>
      </c>
    </row>
    <row r="42" spans="1:16" x14ac:dyDescent="0.2">
      <c r="A42" s="8">
        <v>20</v>
      </c>
      <c r="B42" s="8">
        <v>40</v>
      </c>
      <c r="D42">
        <v>1070.8715159755</v>
      </c>
      <c r="E42">
        <v>346.71447994561998</v>
      </c>
      <c r="F42">
        <v>174.13772048846999</v>
      </c>
      <c r="G42">
        <v>130.45725915874999</v>
      </c>
      <c r="I42" s="9">
        <f t="shared" si="1"/>
        <v>216.25722078686999</v>
      </c>
      <c r="J42" s="9">
        <f t="shared" si="2"/>
        <v>896.73379548702997</v>
      </c>
      <c r="K42" s="9">
        <f t="shared" si="3"/>
        <v>216.25722078686999</v>
      </c>
      <c r="L42" s="10">
        <f t="shared" si="0"/>
        <v>0.2411610021560717</v>
      </c>
      <c r="M42" s="10">
        <f t="shared" si="4"/>
        <v>0.24847345923996597</v>
      </c>
      <c r="P42" s="8">
        <f t="shared" si="5"/>
        <v>-4.7357080327295664</v>
      </c>
    </row>
    <row r="43" spans="1:16" x14ac:dyDescent="0.2">
      <c r="A43" s="8">
        <v>20.5</v>
      </c>
      <c r="B43" s="8">
        <v>41</v>
      </c>
      <c r="D43">
        <v>1063.5040431267</v>
      </c>
      <c r="E43">
        <v>346.46630727762999</v>
      </c>
      <c r="F43">
        <v>174.43894165536</v>
      </c>
      <c r="G43">
        <v>130.49796472185</v>
      </c>
      <c r="I43" s="9">
        <f t="shared" si="1"/>
        <v>215.96834255578</v>
      </c>
      <c r="J43" s="9">
        <f t="shared" si="2"/>
        <v>889.06510147134009</v>
      </c>
      <c r="K43" s="9">
        <f t="shared" si="3"/>
        <v>215.96834255578</v>
      </c>
      <c r="L43" s="10">
        <f t="shared" si="0"/>
        <v>0.24291622986704531</v>
      </c>
      <c r="M43" s="10">
        <f t="shared" si="4"/>
        <v>0.25041149837803695</v>
      </c>
      <c r="P43" s="8">
        <f t="shared" si="5"/>
        <v>-3.9926671990810689</v>
      </c>
    </row>
    <row r="44" spans="1:16" x14ac:dyDescent="0.2">
      <c r="A44" s="8">
        <v>21</v>
      </c>
      <c r="B44" s="8">
        <v>42</v>
      </c>
      <c r="D44">
        <v>1061.0660377359</v>
      </c>
      <c r="E44">
        <v>346.16509433962</v>
      </c>
      <c r="F44">
        <v>173.82225237449001</v>
      </c>
      <c r="G44">
        <v>129.85074626866</v>
      </c>
      <c r="I44" s="9">
        <f t="shared" si="1"/>
        <v>216.31434807095999</v>
      </c>
      <c r="J44" s="9">
        <f t="shared" si="2"/>
        <v>887.24378536140989</v>
      </c>
      <c r="K44" s="9">
        <f t="shared" si="3"/>
        <v>216.31434807095999</v>
      </c>
      <c r="L44" s="10">
        <f t="shared" si="0"/>
        <v>0.24380486134692564</v>
      </c>
      <c r="M44" s="10">
        <f t="shared" si="4"/>
        <v>0.25148294128501464</v>
      </c>
      <c r="P44" s="8">
        <f t="shared" si="5"/>
        <v>-3.5818778526905217</v>
      </c>
    </row>
    <row r="45" spans="1:16" x14ac:dyDescent="0.2">
      <c r="A45" s="8">
        <v>21.5</v>
      </c>
      <c r="B45" s="8">
        <v>43</v>
      </c>
      <c r="D45">
        <v>1065.6718328841</v>
      </c>
      <c r="E45">
        <v>346.82008086253001</v>
      </c>
      <c r="F45">
        <v>174.12754409768999</v>
      </c>
      <c r="G45">
        <v>129.98846675711999</v>
      </c>
      <c r="I45" s="9">
        <f t="shared" si="1"/>
        <v>216.83161410541001</v>
      </c>
      <c r="J45" s="9">
        <f t="shared" si="2"/>
        <v>891.54428878640999</v>
      </c>
      <c r="K45" s="9">
        <f t="shared" si="3"/>
        <v>216.83161410541001</v>
      </c>
      <c r="L45" s="10">
        <f t="shared" si="0"/>
        <v>0.24320902150645377</v>
      </c>
      <c r="M45" s="10">
        <f t="shared" si="4"/>
        <v>0.2510699128716401</v>
      </c>
      <c r="P45" s="8">
        <f t="shared" si="5"/>
        <v>-3.740232227772855</v>
      </c>
    </row>
    <row r="46" spans="1:16" x14ac:dyDescent="0.2">
      <c r="A46" s="8">
        <v>22</v>
      </c>
      <c r="B46" s="8">
        <v>44</v>
      </c>
      <c r="D46">
        <v>1059.2311320755</v>
      </c>
      <c r="E46">
        <v>344.72641509433998</v>
      </c>
      <c r="F46">
        <v>174.72727272726999</v>
      </c>
      <c r="G46">
        <v>130.03188602442</v>
      </c>
      <c r="I46" s="9">
        <f t="shared" si="1"/>
        <v>214.69452906991998</v>
      </c>
      <c r="J46" s="9">
        <f t="shared" si="2"/>
        <v>884.50385934822998</v>
      </c>
      <c r="K46" s="9">
        <f t="shared" si="3"/>
        <v>214.69452906991998</v>
      </c>
      <c r="L46" s="10">
        <f t="shared" si="0"/>
        <v>0.24272876460722659</v>
      </c>
      <c r="M46" s="10">
        <f t="shared" si="4"/>
        <v>0.25077246739951026</v>
      </c>
      <c r="P46" s="8">
        <f t="shared" si="5"/>
        <v>-3.8542723042783873</v>
      </c>
    </row>
    <row r="47" spans="1:16" x14ac:dyDescent="0.2">
      <c r="A47" s="8">
        <v>22.5</v>
      </c>
      <c r="B47" s="8">
        <v>45</v>
      </c>
      <c r="D47">
        <v>1056.8039083558001</v>
      </c>
      <c r="E47">
        <v>344.33153638814002</v>
      </c>
      <c r="F47">
        <v>174.131614654</v>
      </c>
      <c r="G47">
        <v>130.11601085481999</v>
      </c>
      <c r="I47" s="9">
        <f t="shared" si="1"/>
        <v>214.21552553332003</v>
      </c>
      <c r="J47" s="9">
        <f t="shared" si="2"/>
        <v>882.67229370180007</v>
      </c>
      <c r="K47" s="9">
        <f t="shared" si="3"/>
        <v>214.21552553332003</v>
      </c>
      <c r="L47" s="10">
        <f t="shared" si="0"/>
        <v>0.24268975820565419</v>
      </c>
      <c r="M47" s="10">
        <f t="shared" si="4"/>
        <v>0.25091627242503522</v>
      </c>
      <c r="P47" s="8">
        <f t="shared" si="5"/>
        <v>-3.7991377076905848</v>
      </c>
    </row>
    <row r="48" spans="1:16" x14ac:dyDescent="0.2">
      <c r="A48" s="8">
        <v>23</v>
      </c>
      <c r="B48" s="8">
        <v>46</v>
      </c>
      <c r="D48">
        <v>1056.4440700809</v>
      </c>
      <c r="E48">
        <v>343.82345013476998</v>
      </c>
      <c r="F48">
        <v>174.44572591587999</v>
      </c>
      <c r="G48">
        <v>130.02645861600999</v>
      </c>
      <c r="I48" s="9">
        <f t="shared" si="1"/>
        <v>213.79699151876</v>
      </c>
      <c r="J48" s="9">
        <f t="shared" si="2"/>
        <v>881.99834416502006</v>
      </c>
      <c r="K48" s="9">
        <f t="shared" si="3"/>
        <v>213.79699151876</v>
      </c>
      <c r="L48" s="10">
        <f t="shared" si="0"/>
        <v>0.24240067221572814</v>
      </c>
      <c r="M48" s="10">
        <f t="shared" si="4"/>
        <v>0.25080999786220654</v>
      </c>
      <c r="P48" s="8">
        <f t="shared" si="5"/>
        <v>-3.8398831901778263</v>
      </c>
    </row>
    <row r="49" spans="1:25" x14ac:dyDescent="0.2">
      <c r="A49" s="8">
        <v>23.5</v>
      </c>
      <c r="B49" s="8">
        <v>47</v>
      </c>
      <c r="D49">
        <v>1053.3025606469</v>
      </c>
      <c r="E49">
        <v>344.30390835579999</v>
      </c>
      <c r="F49">
        <v>174.58751696064999</v>
      </c>
      <c r="G49">
        <v>130.3894165536</v>
      </c>
      <c r="I49" s="9">
        <f t="shared" si="1"/>
        <v>213.91449180219999</v>
      </c>
      <c r="J49" s="9">
        <f t="shared" si="2"/>
        <v>878.71504368625006</v>
      </c>
      <c r="K49" s="9">
        <f t="shared" si="3"/>
        <v>213.91449180219999</v>
      </c>
      <c r="L49" s="10">
        <f t="shared" si="0"/>
        <v>0.24344011558607082</v>
      </c>
      <c r="M49" s="10">
        <f t="shared" si="4"/>
        <v>0.25203225265964657</v>
      </c>
      <c r="P49" s="8">
        <f t="shared" si="5"/>
        <v>-3.3712728273733465</v>
      </c>
    </row>
    <row r="50" spans="1:25" x14ac:dyDescent="0.2">
      <c r="A50" s="8">
        <v>24</v>
      </c>
      <c r="B50" s="8">
        <v>48</v>
      </c>
      <c r="D50">
        <v>1047.6556603774</v>
      </c>
      <c r="E50">
        <v>342.39150943395998</v>
      </c>
      <c r="F50">
        <v>174.29443690638001</v>
      </c>
      <c r="G50">
        <v>130.39823609227</v>
      </c>
      <c r="I50" s="9">
        <f t="shared" si="1"/>
        <v>211.99327334168999</v>
      </c>
      <c r="J50" s="9">
        <f t="shared" si="2"/>
        <v>873.36122347101991</v>
      </c>
      <c r="K50" s="9">
        <f t="shared" si="3"/>
        <v>211.99327334168999</v>
      </c>
      <c r="L50" s="10">
        <f t="shared" si="0"/>
        <v>0.2427326375897022</v>
      </c>
      <c r="M50" s="10">
        <f t="shared" si="4"/>
        <v>0.25150758609037532</v>
      </c>
      <c r="P50" s="8">
        <f t="shared" si="5"/>
        <v>-3.5724290771933784</v>
      </c>
    </row>
    <row r="51" spans="1:25" x14ac:dyDescent="0.2">
      <c r="A51" s="8">
        <v>24.5</v>
      </c>
      <c r="B51" s="8">
        <v>49</v>
      </c>
      <c r="D51">
        <v>1051.5208894878999</v>
      </c>
      <c r="E51">
        <v>342.37331536388001</v>
      </c>
      <c r="F51">
        <v>174.21438263229001</v>
      </c>
      <c r="G51">
        <v>130.25848032565</v>
      </c>
      <c r="I51" s="9">
        <f t="shared" si="1"/>
        <v>212.11483503823001</v>
      </c>
      <c r="J51" s="9">
        <f t="shared" si="2"/>
        <v>877.30650685560988</v>
      </c>
      <c r="K51" s="9">
        <f t="shared" si="3"/>
        <v>212.11483503823001</v>
      </c>
      <c r="L51" s="10">
        <f t="shared" si="0"/>
        <v>0.2417796213531796</v>
      </c>
      <c r="M51" s="10">
        <f t="shared" si="4"/>
        <v>0.25073738128095008</v>
      </c>
      <c r="P51" s="8">
        <f t="shared" si="5"/>
        <v>-3.8677242610899483</v>
      </c>
    </row>
    <row r="52" spans="1:25" x14ac:dyDescent="0.2">
      <c r="A52" s="8">
        <v>25</v>
      </c>
      <c r="B52" s="8">
        <v>50</v>
      </c>
      <c r="D52">
        <v>1056.1893530996999</v>
      </c>
      <c r="E52">
        <v>343.59636118598002</v>
      </c>
      <c r="F52">
        <v>174.34192672999001</v>
      </c>
      <c r="G52">
        <v>129.89416553596001</v>
      </c>
      <c r="I52" s="9">
        <f t="shared" si="1"/>
        <v>213.70219565002</v>
      </c>
      <c r="J52" s="9">
        <f t="shared" si="2"/>
        <v>881.84742636970986</v>
      </c>
      <c r="K52" s="9">
        <f t="shared" si="3"/>
        <v>213.70219565002</v>
      </c>
      <c r="L52" s="10">
        <f t="shared" si="0"/>
        <v>0.2423346593296361</v>
      </c>
      <c r="M52" s="10">
        <f t="shared" si="4"/>
        <v>0.25147523068450395</v>
      </c>
      <c r="P52" s="8">
        <f t="shared" si="5"/>
        <v>-3.5848340835110695</v>
      </c>
    </row>
    <row r="53" spans="1:25" x14ac:dyDescent="0.2">
      <c r="A53" s="8">
        <v>25.5</v>
      </c>
      <c r="B53" s="8">
        <v>51</v>
      </c>
      <c r="D53">
        <v>1082.7617426821</v>
      </c>
      <c r="E53">
        <v>349.89108236895999</v>
      </c>
      <c r="F53">
        <v>173.99796472185</v>
      </c>
      <c r="G53">
        <v>130.19267299864001</v>
      </c>
      <c r="I53" s="9">
        <f t="shared" si="1"/>
        <v>219.69840937031998</v>
      </c>
      <c r="J53" s="9">
        <f t="shared" si="2"/>
        <v>908.76377796025008</v>
      </c>
      <c r="K53" s="9">
        <f t="shared" si="3"/>
        <v>219.69840937031998</v>
      </c>
      <c r="L53" s="10">
        <f t="shared" si="0"/>
        <v>0.24175524454049019</v>
      </c>
      <c r="M53" s="10">
        <f t="shared" si="4"/>
        <v>0.25107862732245539</v>
      </c>
      <c r="P53" s="8">
        <f t="shared" si="5"/>
        <v>-3.7368911224920658</v>
      </c>
      <c r="S53" s="11"/>
      <c r="U53" s="12"/>
    </row>
    <row r="54" spans="1:25" x14ac:dyDescent="0.2">
      <c r="A54" s="8">
        <v>26</v>
      </c>
      <c r="B54" s="8">
        <v>52</v>
      </c>
      <c r="D54">
        <v>1112.3832539141999</v>
      </c>
      <c r="E54">
        <v>356.84206943498998</v>
      </c>
      <c r="F54">
        <v>173.69945725916</v>
      </c>
      <c r="G54">
        <v>129.24491180461001</v>
      </c>
      <c r="I54" s="9">
        <f t="shared" si="1"/>
        <v>227.59715763037997</v>
      </c>
      <c r="J54" s="9">
        <f t="shared" si="2"/>
        <v>938.68379665503994</v>
      </c>
      <c r="K54" s="9">
        <f t="shared" si="3"/>
        <v>227.59715763037997</v>
      </c>
      <c r="L54" s="10">
        <f t="shared" si="0"/>
        <v>0.24246413802114494</v>
      </c>
      <c r="M54" s="10">
        <f t="shared" si="4"/>
        <v>0.25197033223020748</v>
      </c>
      <c r="P54" s="8">
        <f t="shared" si="5"/>
        <v>-3.3950130122883366</v>
      </c>
      <c r="S54" s="11"/>
    </row>
    <row r="55" spans="1:25" x14ac:dyDescent="0.2">
      <c r="A55" s="8">
        <v>26.5</v>
      </c>
      <c r="B55" s="8">
        <v>53</v>
      </c>
      <c r="D55">
        <v>1125.6991150443</v>
      </c>
      <c r="E55">
        <v>362.16814159291999</v>
      </c>
      <c r="F55">
        <v>173.77815468113999</v>
      </c>
      <c r="G55">
        <v>129.86092265943</v>
      </c>
      <c r="I55" s="9">
        <f t="shared" si="1"/>
        <v>232.30721893348999</v>
      </c>
      <c r="J55" s="9">
        <f t="shared" si="2"/>
        <v>951.92096036316002</v>
      </c>
      <c r="K55" s="9">
        <f t="shared" si="3"/>
        <v>232.30721893348999</v>
      </c>
      <c r="L55" s="10">
        <f t="shared" si="0"/>
        <v>0.24404044937183048</v>
      </c>
      <c r="M55" s="10">
        <f t="shared" si="4"/>
        <v>0.25372945500799038</v>
      </c>
      <c r="P55" s="8">
        <f t="shared" si="5"/>
        <v>-2.7205683998875339</v>
      </c>
      <c r="S55" s="11"/>
    </row>
    <row r="56" spans="1:25" x14ac:dyDescent="0.2">
      <c r="A56" s="8">
        <v>27</v>
      </c>
      <c r="B56" s="8">
        <v>54</v>
      </c>
      <c r="D56">
        <v>1117.775357386</v>
      </c>
      <c r="E56">
        <v>359.97140912185</v>
      </c>
      <c r="F56">
        <v>172.94301221167001</v>
      </c>
      <c r="G56">
        <v>129.79375848033001</v>
      </c>
      <c r="I56" s="9">
        <f t="shared" si="1"/>
        <v>230.17765064151999</v>
      </c>
      <c r="J56" s="9">
        <f t="shared" si="2"/>
        <v>944.83234517432993</v>
      </c>
      <c r="K56" s="9">
        <f t="shared" si="3"/>
        <v>230.17765064151999</v>
      </c>
      <c r="L56" s="10">
        <f t="shared" si="0"/>
        <v>0.24361745426809048</v>
      </c>
      <c r="M56" s="10">
        <f t="shared" si="4"/>
        <v>0.25348927133134774</v>
      </c>
      <c r="P56" s="8">
        <f t="shared" si="5"/>
        <v>-2.8126544036299257</v>
      </c>
      <c r="S56" s="11"/>
    </row>
    <row r="57" spans="1:25" x14ac:dyDescent="0.2">
      <c r="A57" s="8">
        <v>27.5</v>
      </c>
      <c r="B57" s="8">
        <v>55</v>
      </c>
      <c r="D57">
        <v>1077.4779959376999</v>
      </c>
      <c r="E57">
        <v>352.42112389980002</v>
      </c>
      <c r="F57">
        <v>174.47964721845</v>
      </c>
      <c r="G57">
        <v>130.14518317503001</v>
      </c>
      <c r="I57" s="9">
        <f t="shared" si="1"/>
        <v>222.27594072477001</v>
      </c>
      <c r="J57" s="9">
        <f t="shared" si="2"/>
        <v>902.99834871924986</v>
      </c>
      <c r="K57" s="9">
        <f t="shared" si="3"/>
        <v>222.27594072477001</v>
      </c>
      <c r="L57" s="10">
        <f t="shared" si="0"/>
        <v>0.24615320840844368</v>
      </c>
      <c r="M57" s="10">
        <f t="shared" si="4"/>
        <v>0.25620783689879828</v>
      </c>
      <c r="P57" s="8">
        <f t="shared" si="5"/>
        <v>-1.7703610949523927</v>
      </c>
      <c r="S57" s="11"/>
    </row>
    <row r="58" spans="1:25" x14ac:dyDescent="0.2">
      <c r="A58" s="8">
        <v>28</v>
      </c>
      <c r="B58" s="8">
        <v>56</v>
      </c>
      <c r="D58">
        <v>1062.6018957346</v>
      </c>
      <c r="E58">
        <v>345.34190927556</v>
      </c>
      <c r="F58">
        <v>174.02781546810999</v>
      </c>
      <c r="G58">
        <v>130.29782903664</v>
      </c>
      <c r="I58" s="9">
        <f t="shared" si="1"/>
        <v>215.04408023892</v>
      </c>
      <c r="J58" s="9">
        <f t="shared" si="2"/>
        <v>888.57408026649</v>
      </c>
      <c r="K58" s="9">
        <f t="shared" si="3"/>
        <v>215.04408023892</v>
      </c>
      <c r="L58" s="10">
        <f t="shared" si="0"/>
        <v>0.24201030056427786</v>
      </c>
      <c r="M58" s="10">
        <f t="shared" si="4"/>
        <v>0.25224774048172982</v>
      </c>
      <c r="P58" s="8">
        <f t="shared" si="5"/>
        <v>-3.2886551713020613</v>
      </c>
      <c r="S58" s="11"/>
    </row>
    <row r="59" spans="1:25" x14ac:dyDescent="0.2">
      <c r="A59" s="8">
        <v>28.5</v>
      </c>
      <c r="B59" s="8">
        <v>57</v>
      </c>
      <c r="D59">
        <v>1041.625</v>
      </c>
      <c r="E59">
        <v>343.39171122994998</v>
      </c>
      <c r="F59">
        <v>174.04952510176</v>
      </c>
      <c r="G59">
        <v>130.22930800543</v>
      </c>
      <c r="I59" s="9">
        <f t="shared" si="1"/>
        <v>213.16240322451998</v>
      </c>
      <c r="J59" s="9">
        <f t="shared" si="2"/>
        <v>867.57547489824003</v>
      </c>
      <c r="K59" s="9">
        <f t="shared" si="3"/>
        <v>213.16240322451998</v>
      </c>
      <c r="L59" s="10">
        <f t="shared" si="0"/>
        <v>0.24569897304845126</v>
      </c>
      <c r="M59" s="10">
        <f t="shared" si="4"/>
        <v>0.25611922439300056</v>
      </c>
      <c r="P59" s="8">
        <f t="shared" si="5"/>
        <v>-1.8043349755032059</v>
      </c>
      <c r="R59" s="1"/>
      <c r="S59" s="11"/>
    </row>
    <row r="60" spans="1:25" x14ac:dyDescent="0.2">
      <c r="A60" s="8">
        <v>29</v>
      </c>
      <c r="B60" s="8">
        <v>58</v>
      </c>
      <c r="D60">
        <v>1041.6664438503001</v>
      </c>
      <c r="E60">
        <v>342.50802139037</v>
      </c>
      <c r="F60">
        <v>174.47218453189001</v>
      </c>
      <c r="G60">
        <v>129.83242876527001</v>
      </c>
      <c r="I60" s="9">
        <f t="shared" si="1"/>
        <v>212.67559262509999</v>
      </c>
      <c r="J60" s="9">
        <f t="shared" si="2"/>
        <v>867.1942593184101</v>
      </c>
      <c r="K60" s="9">
        <f t="shared" si="3"/>
        <v>212.67559262509999</v>
      </c>
      <c r="L60" s="10">
        <f t="shared" si="0"/>
        <v>0.24524561866017994</v>
      </c>
      <c r="M60" s="10">
        <f t="shared" si="4"/>
        <v>0.2558486814318266</v>
      </c>
      <c r="P60" s="8">
        <f t="shared" si="5"/>
        <v>-1.9080606761144541</v>
      </c>
      <c r="S60" s="11"/>
    </row>
    <row r="61" spans="1:25" x14ac:dyDescent="0.2">
      <c r="A61" s="8">
        <v>29.5</v>
      </c>
      <c r="B61" s="8">
        <v>59</v>
      </c>
      <c r="C61" s="2"/>
      <c r="D61">
        <v>1036.6570855615</v>
      </c>
      <c r="E61">
        <v>342.72058823528999</v>
      </c>
      <c r="F61">
        <v>174.36024423338</v>
      </c>
      <c r="G61">
        <v>130.05156037992001</v>
      </c>
      <c r="I61" s="9">
        <f t="shared" si="1"/>
        <v>212.66902785536999</v>
      </c>
      <c r="J61" s="9">
        <f t="shared" si="2"/>
        <v>862.29684132812008</v>
      </c>
      <c r="K61" s="9">
        <f t="shared" si="3"/>
        <v>212.66902785536999</v>
      </c>
      <c r="L61" s="10">
        <f t="shared" si="0"/>
        <v>0.24663087890686758</v>
      </c>
      <c r="M61" s="10">
        <f t="shared" si="4"/>
        <v>0.25741675310561163</v>
      </c>
      <c r="P61" s="8">
        <f t="shared" si="5"/>
        <v>-1.3068647245871032</v>
      </c>
      <c r="S61" s="11"/>
    </row>
    <row r="62" spans="1:25" x14ac:dyDescent="0.2">
      <c r="A62" s="8">
        <v>30</v>
      </c>
      <c r="B62" s="8">
        <v>60</v>
      </c>
      <c r="D62">
        <v>1036.1096256685</v>
      </c>
      <c r="E62">
        <v>341.50066844920002</v>
      </c>
      <c r="F62">
        <v>174.26322930801001</v>
      </c>
      <c r="G62">
        <v>130.03256445048001</v>
      </c>
      <c r="I62" s="9">
        <f t="shared" si="1"/>
        <v>211.46810399872001</v>
      </c>
      <c r="J62" s="9">
        <f t="shared" si="2"/>
        <v>861.84639636048996</v>
      </c>
      <c r="K62" s="9">
        <f t="shared" si="3"/>
        <v>211.46810399872001</v>
      </c>
      <c r="L62" s="10">
        <f t="shared" si="0"/>
        <v>0.24536634937702739</v>
      </c>
      <c r="M62" s="10">
        <f t="shared" si="4"/>
        <v>0.25633503500286881</v>
      </c>
      <c r="P62" s="8">
        <f t="shared" si="5"/>
        <v>-1.7215935631567525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1037.6203208556001</v>
      </c>
      <c r="E63">
        <v>342.08422459893001</v>
      </c>
      <c r="F63">
        <v>173.61804613296999</v>
      </c>
      <c r="G63">
        <v>130.36295793759001</v>
      </c>
      <c r="I63" s="9">
        <f t="shared" si="1"/>
        <v>211.72126666134</v>
      </c>
      <c r="J63" s="9">
        <f t="shared" si="2"/>
        <v>864.00227472263009</v>
      </c>
      <c r="K63" s="9">
        <f t="shared" si="3"/>
        <v>211.72126666134</v>
      </c>
      <c r="L63" s="10">
        <f t="shared" si="0"/>
        <v>0.2450471171841633</v>
      </c>
      <c r="M63" s="10">
        <f t="shared" si="4"/>
        <v>0.25619861423710205</v>
      </c>
      <c r="P63" s="8">
        <f t="shared" si="5"/>
        <v>-1.7738970474007238</v>
      </c>
    </row>
    <row r="64" spans="1:25" x14ac:dyDescent="0.2">
      <c r="A64" s="8">
        <v>31</v>
      </c>
      <c r="B64" s="8">
        <v>62</v>
      </c>
      <c r="D64">
        <v>1032.4405080214001</v>
      </c>
      <c r="E64">
        <v>340.91310160427997</v>
      </c>
      <c r="F64">
        <v>174.17164179105001</v>
      </c>
      <c r="G64">
        <v>130.14382632293001</v>
      </c>
      <c r="I64" s="9">
        <f t="shared" si="1"/>
        <v>210.76927528134996</v>
      </c>
      <c r="J64" s="9">
        <f t="shared" si="2"/>
        <v>858.26886623035011</v>
      </c>
      <c r="K64" s="9">
        <f t="shared" si="3"/>
        <v>210.76927528134996</v>
      </c>
      <c r="L64" s="10">
        <f t="shared" si="0"/>
        <v>0.24557488168839361</v>
      </c>
      <c r="M64" s="10">
        <f t="shared" si="4"/>
        <v>0.25690919016842972</v>
      </c>
      <c r="P64" s="8">
        <f t="shared" si="5"/>
        <v>-1.5014634716217521</v>
      </c>
      <c r="U64" s="8">
        <v>30.5</v>
      </c>
      <c r="V64" s="10">
        <f>L62</f>
        <v>0.24536634937702739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1036.5922459893</v>
      </c>
      <c r="E65">
        <v>342.33221925134001</v>
      </c>
      <c r="F65">
        <v>173.75983717775</v>
      </c>
      <c r="G65">
        <v>130.26255088195001</v>
      </c>
      <c r="I65" s="9">
        <f t="shared" si="1"/>
        <v>212.06966836939</v>
      </c>
      <c r="J65" s="9">
        <f t="shared" si="2"/>
        <v>862.83240881154995</v>
      </c>
      <c r="K65" s="9">
        <f t="shared" si="3"/>
        <v>212.06966836939</v>
      </c>
      <c r="L65" s="10">
        <f t="shared" si="0"/>
        <v>0.24578315117009919</v>
      </c>
      <c r="M65" s="10">
        <f t="shared" si="4"/>
        <v>0.25730027107723263</v>
      </c>
      <c r="P65" s="8">
        <f t="shared" si="5"/>
        <v>-1.3515237316069226</v>
      </c>
      <c r="U65" s="8">
        <v>31</v>
      </c>
      <c r="V65" s="10">
        <f t="shared" ref="V65:V83" si="6">L63</f>
        <v>0.2450471171841633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1035.8429144385</v>
      </c>
      <c r="E66">
        <v>342.17914438502999</v>
      </c>
      <c r="F66">
        <v>174.17842605156</v>
      </c>
      <c r="G66">
        <v>130.24423337856001</v>
      </c>
      <c r="I66" s="9">
        <f t="shared" si="1"/>
        <v>211.93491100646997</v>
      </c>
      <c r="J66" s="9">
        <f t="shared" si="2"/>
        <v>861.66448838693998</v>
      </c>
      <c r="K66" s="9">
        <f t="shared" si="3"/>
        <v>211.93491100646997</v>
      </c>
      <c r="L66" s="10">
        <f t="shared" ref="L66:L129" si="7">K66/J66</f>
        <v>0.24595989954653702</v>
      </c>
      <c r="M66" s="10">
        <f t="shared" si="4"/>
        <v>0.25765983088076783</v>
      </c>
      <c r="P66" s="8">
        <f t="shared" si="5"/>
        <v>-1.2136691285098951</v>
      </c>
      <c r="U66" s="8">
        <v>31.5</v>
      </c>
      <c r="V66" s="10">
        <f t="shared" si="6"/>
        <v>0.24557488168839361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1031.0421122995001</v>
      </c>
      <c r="E67">
        <v>339.99331550801998</v>
      </c>
      <c r="F67">
        <v>174.29443690638001</v>
      </c>
      <c r="G67">
        <v>129.91587516960999</v>
      </c>
      <c r="I67" s="9">
        <f t="shared" ref="I67:I130" si="8">E67-G67</f>
        <v>210.07744033840999</v>
      </c>
      <c r="J67" s="9">
        <f t="shared" ref="J67:J130" si="9">D67-F67</f>
        <v>856.74767539312006</v>
      </c>
      <c r="K67" s="9">
        <f t="shared" ref="K67:K130" si="10">I67*1</f>
        <v>210.07744033840999</v>
      </c>
      <c r="L67" s="10">
        <f t="shared" si="7"/>
        <v>0.24520339695350279</v>
      </c>
      <c r="M67" s="10">
        <f t="shared" ref="M67:M130" si="11">L67+ABS($N$2)*A67</f>
        <v>0.25708613971483096</v>
      </c>
      <c r="P67" s="8">
        <f t="shared" ref="P67:P130" si="12">(M67-$O$2)/$O$2*100</f>
        <v>-1.4336213233963195</v>
      </c>
      <c r="U67" s="8">
        <v>32</v>
      </c>
      <c r="V67" s="10">
        <f t="shared" si="6"/>
        <v>0.24578315117009919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1040.0969251337001</v>
      </c>
      <c r="E68">
        <v>342.81885026738001</v>
      </c>
      <c r="F68">
        <v>173.80529172320001</v>
      </c>
      <c r="G68">
        <v>129.83039348711</v>
      </c>
      <c r="I68" s="9">
        <f t="shared" si="8"/>
        <v>212.98845678027001</v>
      </c>
      <c r="J68" s="9">
        <f t="shared" si="9"/>
        <v>866.29163341050003</v>
      </c>
      <c r="K68" s="9">
        <f t="shared" si="10"/>
        <v>212.98845678027001</v>
      </c>
      <c r="L68" s="10">
        <f t="shared" si="7"/>
        <v>0.24586230383151297</v>
      </c>
      <c r="M68" s="10">
        <f t="shared" si="11"/>
        <v>0.25792785801993851</v>
      </c>
      <c r="P68" s="8">
        <f t="shared" si="12"/>
        <v>-1.1109079896775635</v>
      </c>
      <c r="U68" s="8">
        <v>32.5</v>
      </c>
      <c r="V68" s="10">
        <f t="shared" si="6"/>
        <v>0.24595989954653702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1046.7860962566999</v>
      </c>
      <c r="E69">
        <v>344.45187165775002</v>
      </c>
      <c r="F69">
        <v>174.57462686567001</v>
      </c>
      <c r="G69">
        <v>129.59565807326999</v>
      </c>
      <c r="I69" s="9">
        <f t="shared" si="8"/>
        <v>214.85621358448003</v>
      </c>
      <c r="J69" s="9">
        <f t="shared" si="9"/>
        <v>872.21146939102994</v>
      </c>
      <c r="K69" s="9">
        <f t="shared" si="10"/>
        <v>214.85621358448003</v>
      </c>
      <c r="L69" s="10">
        <f t="shared" si="7"/>
        <v>0.24633500145840856</v>
      </c>
      <c r="M69" s="10">
        <f t="shared" si="11"/>
        <v>0.25858336707393142</v>
      </c>
      <c r="P69" s="8">
        <f t="shared" si="12"/>
        <v>-0.85958695886089909</v>
      </c>
      <c r="U69" s="8">
        <v>33</v>
      </c>
      <c r="V69" s="10">
        <f t="shared" si="6"/>
        <v>0.24520339695350279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1042.5474598931</v>
      </c>
      <c r="E70">
        <v>343.84358288769999</v>
      </c>
      <c r="F70">
        <v>173.42401628223001</v>
      </c>
      <c r="G70">
        <v>129.51424694708001</v>
      </c>
      <c r="I70" s="9">
        <f t="shared" si="8"/>
        <v>214.32933594061998</v>
      </c>
      <c r="J70" s="9">
        <f t="shared" si="9"/>
        <v>869.12344361087003</v>
      </c>
      <c r="K70" s="9">
        <f t="shared" si="10"/>
        <v>214.32933594061998</v>
      </c>
      <c r="L70" s="10">
        <f t="shared" si="7"/>
        <v>0.24660402100093506</v>
      </c>
      <c r="M70" s="10">
        <f t="shared" si="11"/>
        <v>0.25903519804355529</v>
      </c>
      <c r="P70" s="8">
        <f t="shared" si="12"/>
        <v>-0.68635575122301029</v>
      </c>
      <c r="U70" s="8">
        <v>33.5</v>
      </c>
      <c r="V70" s="10">
        <f t="shared" si="6"/>
        <v>0.24586230383151297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1035.6510695187001</v>
      </c>
      <c r="E71">
        <v>340.44117647058999</v>
      </c>
      <c r="F71">
        <v>173.8697421981</v>
      </c>
      <c r="G71">
        <v>129.86499321573999</v>
      </c>
      <c r="I71" s="9">
        <f t="shared" si="8"/>
        <v>210.57618325485001</v>
      </c>
      <c r="J71" s="9">
        <f t="shared" si="9"/>
        <v>861.7813273206001</v>
      </c>
      <c r="K71" s="9">
        <f t="shared" si="10"/>
        <v>210.57618325485001</v>
      </c>
      <c r="L71" s="10">
        <f t="shared" si="7"/>
        <v>0.24434990243935908</v>
      </c>
      <c r="M71" s="10">
        <f t="shared" si="11"/>
        <v>0.25696389090907668</v>
      </c>
      <c r="P71" s="8">
        <f t="shared" si="12"/>
        <v>-1.4804913028285271</v>
      </c>
      <c r="U71" s="8">
        <v>34</v>
      </c>
      <c r="V71" s="10">
        <f t="shared" si="6"/>
        <v>0.24633500145840856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1029.4478609626001</v>
      </c>
      <c r="E72">
        <v>339.97459893048</v>
      </c>
      <c r="F72">
        <v>173.83989145183</v>
      </c>
      <c r="G72">
        <v>129.43147896879</v>
      </c>
      <c r="I72" s="9">
        <f t="shared" si="8"/>
        <v>210.54311996169</v>
      </c>
      <c r="J72" s="9">
        <f t="shared" si="9"/>
        <v>855.60796951077009</v>
      </c>
      <c r="K72" s="9">
        <f t="shared" si="10"/>
        <v>210.54311996169</v>
      </c>
      <c r="L72" s="10">
        <f t="shared" si="7"/>
        <v>0.24607428572933571</v>
      </c>
      <c r="M72" s="10">
        <f t="shared" si="11"/>
        <v>0.25887108562615069</v>
      </c>
      <c r="P72" s="8">
        <f t="shared" si="12"/>
        <v>-0.74927616652574924</v>
      </c>
      <c r="U72" s="8">
        <v>34.5</v>
      </c>
      <c r="V72" s="10">
        <f t="shared" si="6"/>
        <v>0.24660402100093506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1039.618315508</v>
      </c>
      <c r="E73">
        <v>341.80815508020999</v>
      </c>
      <c r="F73">
        <v>172.82700135684999</v>
      </c>
      <c r="G73">
        <v>129.63704206241999</v>
      </c>
      <c r="I73" s="9">
        <f t="shared" si="8"/>
        <v>212.17111301778999</v>
      </c>
      <c r="J73" s="9">
        <f t="shared" si="9"/>
        <v>866.79131415115</v>
      </c>
      <c r="K73" s="9">
        <f t="shared" si="10"/>
        <v>212.17111301778999</v>
      </c>
      <c r="L73" s="10">
        <f t="shared" si="7"/>
        <v>0.24477761781169841</v>
      </c>
      <c r="M73" s="10">
        <f t="shared" si="11"/>
        <v>0.25775722913561072</v>
      </c>
      <c r="P73" s="8">
        <f t="shared" si="12"/>
        <v>-1.1763268070610062</v>
      </c>
      <c r="U73" s="8">
        <v>35</v>
      </c>
      <c r="V73" s="10">
        <f t="shared" si="6"/>
        <v>0.24434990243935908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1050.1430481283001</v>
      </c>
      <c r="E74">
        <v>346.63970588234997</v>
      </c>
      <c r="F74">
        <v>172.71641791044999</v>
      </c>
      <c r="G74">
        <v>129.52374491181001</v>
      </c>
      <c r="I74" s="9">
        <f t="shared" si="8"/>
        <v>217.11596097053996</v>
      </c>
      <c r="J74" s="9">
        <f t="shared" si="9"/>
        <v>877.42663021785006</v>
      </c>
      <c r="K74" s="9">
        <f t="shared" si="10"/>
        <v>217.11596097053996</v>
      </c>
      <c r="L74" s="10">
        <f t="shared" si="7"/>
        <v>0.24744628609760086</v>
      </c>
      <c r="M74" s="10">
        <f t="shared" si="11"/>
        <v>0.26060870884861054</v>
      </c>
      <c r="P74" s="8">
        <f t="shared" si="12"/>
        <v>-8.3074446229905924E-2</v>
      </c>
      <c r="U74" s="8">
        <v>35.5</v>
      </c>
      <c r="V74" s="10">
        <f t="shared" si="6"/>
        <v>0.24607428572933571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1055.6009453071999</v>
      </c>
      <c r="E75">
        <v>349.29574611749001</v>
      </c>
      <c r="F75">
        <v>173.22591587516999</v>
      </c>
      <c r="G75">
        <v>129.44504748982001</v>
      </c>
      <c r="I75" s="9">
        <f t="shared" si="8"/>
        <v>219.85069862767</v>
      </c>
      <c r="J75" s="9">
        <f t="shared" si="9"/>
        <v>882.37502943202992</v>
      </c>
      <c r="K75" s="9">
        <f t="shared" si="10"/>
        <v>219.85069862767</v>
      </c>
      <c r="L75" s="10">
        <f t="shared" si="7"/>
        <v>0.24915788785317761</v>
      </c>
      <c r="M75" s="10">
        <f t="shared" si="11"/>
        <v>0.26250312203128462</v>
      </c>
      <c r="P75" s="8">
        <f t="shared" si="12"/>
        <v>0.64324027202182865</v>
      </c>
      <c r="U75" s="8">
        <v>36</v>
      </c>
      <c r="V75" s="10">
        <f t="shared" si="6"/>
        <v>0.24477761781169841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1054.9189736664</v>
      </c>
      <c r="E76">
        <v>351.40040513167003</v>
      </c>
      <c r="F76">
        <v>172.45115332429</v>
      </c>
      <c r="G76">
        <v>129.24966078697</v>
      </c>
      <c r="I76" s="9">
        <f t="shared" si="8"/>
        <v>222.15074434470003</v>
      </c>
      <c r="J76" s="9">
        <f t="shared" si="9"/>
        <v>882.46782034211003</v>
      </c>
      <c r="K76" s="9">
        <f t="shared" si="10"/>
        <v>222.15074434470003</v>
      </c>
      <c r="L76" s="10">
        <f t="shared" si="7"/>
        <v>0.25173806820352712</v>
      </c>
      <c r="M76" s="10">
        <f t="shared" si="11"/>
        <v>0.2652661138087315</v>
      </c>
      <c r="P76" s="8">
        <f t="shared" si="12"/>
        <v>1.702566512317234</v>
      </c>
      <c r="U76" s="8">
        <v>36.5</v>
      </c>
      <c r="V76" s="10">
        <f t="shared" si="6"/>
        <v>0.24744628609760086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1039.8889632107</v>
      </c>
      <c r="E77">
        <v>345.83545150501999</v>
      </c>
      <c r="F77">
        <v>173.18588873812999</v>
      </c>
      <c r="G77">
        <v>129.09023066486</v>
      </c>
      <c r="I77" s="9">
        <f t="shared" si="8"/>
        <v>216.74522084015999</v>
      </c>
      <c r="J77" s="9">
        <f t="shared" si="9"/>
        <v>866.70307447257005</v>
      </c>
      <c r="K77" s="9">
        <f t="shared" si="10"/>
        <v>216.74522084015999</v>
      </c>
      <c r="L77" s="10">
        <f t="shared" si="7"/>
        <v>0.25008013381290906</v>
      </c>
      <c r="M77" s="10">
        <f t="shared" si="11"/>
        <v>0.26379099084521079</v>
      </c>
      <c r="P77" s="8">
        <f t="shared" si="12"/>
        <v>1.1370069345888683</v>
      </c>
      <c r="U77" s="8">
        <v>37</v>
      </c>
      <c r="V77" s="10">
        <f t="shared" si="6"/>
        <v>0.24915788785317761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1034.9518394649001</v>
      </c>
      <c r="E78">
        <v>347.27491638795999</v>
      </c>
      <c r="F78">
        <v>172.94776119402999</v>
      </c>
      <c r="G78">
        <v>129.2381275441</v>
      </c>
      <c r="I78" s="9">
        <f t="shared" si="8"/>
        <v>218.03678884385999</v>
      </c>
      <c r="J78" s="9">
        <f t="shared" si="9"/>
        <v>862.00407827087008</v>
      </c>
      <c r="K78" s="9">
        <f t="shared" si="10"/>
        <v>218.03678884385999</v>
      </c>
      <c r="L78" s="10">
        <f t="shared" si="7"/>
        <v>0.25294171378078523</v>
      </c>
      <c r="M78" s="10">
        <f t="shared" si="11"/>
        <v>0.26683538224018433</v>
      </c>
      <c r="P78" s="8">
        <f t="shared" si="12"/>
        <v>2.3042212986522457</v>
      </c>
      <c r="U78" s="8">
        <v>37.5</v>
      </c>
      <c r="V78" s="10">
        <f t="shared" si="6"/>
        <v>0.25173806820352712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1038.5311036789001</v>
      </c>
      <c r="E79">
        <v>349.25150501671999</v>
      </c>
      <c r="F79">
        <v>172.95386702849001</v>
      </c>
      <c r="G79">
        <v>129.41316146540001</v>
      </c>
      <c r="I79" s="9">
        <f t="shared" si="8"/>
        <v>219.83834355131998</v>
      </c>
      <c r="J79" s="9">
        <f t="shared" si="9"/>
        <v>865.5772366504101</v>
      </c>
      <c r="K79" s="9">
        <f t="shared" si="10"/>
        <v>219.83834355131998</v>
      </c>
      <c r="L79" s="10">
        <f t="shared" si="7"/>
        <v>0.25397888743244346</v>
      </c>
      <c r="M79" s="10">
        <f t="shared" si="11"/>
        <v>0.26805536731893992</v>
      </c>
      <c r="P79" s="8">
        <f t="shared" si="12"/>
        <v>2.7719614552620686</v>
      </c>
      <c r="U79" s="8">
        <v>38</v>
      </c>
      <c r="V79" s="10">
        <f t="shared" si="6"/>
        <v>0.25008013381290906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1064.1616438356</v>
      </c>
      <c r="E80">
        <v>354.10616438355999</v>
      </c>
      <c r="F80">
        <v>172.26729986431999</v>
      </c>
      <c r="G80">
        <v>128.86092265943</v>
      </c>
      <c r="I80" s="9">
        <f t="shared" si="8"/>
        <v>225.24524172412998</v>
      </c>
      <c r="J80" s="9">
        <f t="shared" si="9"/>
        <v>891.89434397128002</v>
      </c>
      <c r="K80" s="9">
        <f t="shared" si="10"/>
        <v>225.24524172412998</v>
      </c>
      <c r="L80" s="10">
        <f t="shared" si="7"/>
        <v>0.25254700093869314</v>
      </c>
      <c r="M80" s="10">
        <f t="shared" si="11"/>
        <v>0.26680629225228697</v>
      </c>
      <c r="P80" s="8">
        <f t="shared" si="12"/>
        <v>2.2930682479044719</v>
      </c>
      <c r="U80" s="8">
        <v>38.5</v>
      </c>
      <c r="V80" s="10">
        <f t="shared" si="6"/>
        <v>0.25294171378078523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1080.5924657533999</v>
      </c>
      <c r="E81">
        <v>363.10753424657997</v>
      </c>
      <c r="F81">
        <v>171.92808683854</v>
      </c>
      <c r="G81">
        <v>129.06105834464</v>
      </c>
      <c r="I81" s="9">
        <f t="shared" si="8"/>
        <v>234.04647590193997</v>
      </c>
      <c r="J81" s="9">
        <f t="shared" si="9"/>
        <v>908.66437891485987</v>
      </c>
      <c r="K81" s="9">
        <f t="shared" si="10"/>
        <v>234.04647590193997</v>
      </c>
      <c r="L81" s="10">
        <f t="shared" si="7"/>
        <v>0.25757197193252107</v>
      </c>
      <c r="M81" s="10">
        <f t="shared" si="11"/>
        <v>0.27201407467321226</v>
      </c>
      <c r="P81" s="8">
        <f t="shared" si="12"/>
        <v>4.2897229673524588</v>
      </c>
      <c r="U81" s="8">
        <v>39</v>
      </c>
      <c r="V81" s="10">
        <f t="shared" si="6"/>
        <v>0.25397888743244346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1074.9133646743001</v>
      </c>
      <c r="E82">
        <v>364.03223640026999</v>
      </c>
      <c r="F82">
        <v>172.32700135684999</v>
      </c>
      <c r="G82">
        <v>129.09430122117001</v>
      </c>
      <c r="H82" s="13"/>
      <c r="I82" s="14">
        <f t="shared" si="8"/>
        <v>234.93793517909998</v>
      </c>
      <c r="J82" s="14">
        <f t="shared" si="9"/>
        <v>902.58636331745004</v>
      </c>
      <c r="K82" s="9">
        <f t="shared" si="10"/>
        <v>234.93793517909998</v>
      </c>
      <c r="L82" s="15">
        <f t="shared" si="7"/>
        <v>0.26029413331217105</v>
      </c>
      <c r="M82" s="15">
        <f t="shared" si="11"/>
        <v>0.2749190474799596</v>
      </c>
      <c r="N82" s="13"/>
      <c r="O82" s="13"/>
      <c r="P82" s="13">
        <f t="shared" si="12"/>
        <v>5.4034844872566632</v>
      </c>
      <c r="U82" s="8">
        <v>39.5</v>
      </c>
      <c r="V82" s="10">
        <f t="shared" si="6"/>
        <v>0.25254700093869314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1077.1638683680001</v>
      </c>
      <c r="E83">
        <v>364.45399597045002</v>
      </c>
      <c r="F83">
        <v>172.37245590231001</v>
      </c>
      <c r="G83">
        <v>128.92469470827999</v>
      </c>
      <c r="I83" s="9">
        <f t="shared" si="8"/>
        <v>235.52930126217004</v>
      </c>
      <c r="J83" s="9">
        <f t="shared" si="9"/>
        <v>904.79141246569009</v>
      </c>
      <c r="K83" s="9">
        <f t="shared" si="10"/>
        <v>235.52930126217004</v>
      </c>
      <c r="L83" s="10">
        <f t="shared" si="7"/>
        <v>0.26031336948735834</v>
      </c>
      <c r="M83" s="10">
        <f t="shared" si="11"/>
        <v>0.27512109508224419</v>
      </c>
      <c r="P83" s="8">
        <f t="shared" si="12"/>
        <v>5.4809491864410438</v>
      </c>
      <c r="U83" s="8">
        <v>40</v>
      </c>
      <c r="V83" s="10">
        <f t="shared" si="6"/>
        <v>0.25757197193252107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1076.7360644728001</v>
      </c>
      <c r="E84">
        <v>364.00470114170997</v>
      </c>
      <c r="F84">
        <v>172.08141112619001</v>
      </c>
      <c r="G84">
        <v>129.10990502035</v>
      </c>
      <c r="I84" s="9">
        <f t="shared" si="8"/>
        <v>234.89479612135997</v>
      </c>
      <c r="J84" s="9">
        <f t="shared" si="9"/>
        <v>904.65465334661008</v>
      </c>
      <c r="K84" s="9">
        <f t="shared" si="10"/>
        <v>234.89479612135997</v>
      </c>
      <c r="L84" s="10">
        <f t="shared" si="7"/>
        <v>0.25965134347389712</v>
      </c>
      <c r="M84" s="10">
        <f t="shared" si="11"/>
        <v>0.27464188049588034</v>
      </c>
      <c r="P84" s="8">
        <f t="shared" si="12"/>
        <v>5.2972191477882973</v>
      </c>
      <c r="U84" s="8">
        <v>150.5</v>
      </c>
      <c r="V84" s="10">
        <f>L302</f>
        <v>0.28943004209742201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1073.6836803224001</v>
      </c>
      <c r="E85">
        <v>362.19543317662999</v>
      </c>
      <c r="F85">
        <v>172.06580732699999</v>
      </c>
      <c r="G85">
        <v>129.49185888738</v>
      </c>
      <c r="I85" s="9">
        <f t="shared" si="8"/>
        <v>232.70357428924999</v>
      </c>
      <c r="J85" s="9">
        <f t="shared" si="9"/>
        <v>901.61787299540003</v>
      </c>
      <c r="K85" s="9">
        <f t="shared" si="10"/>
        <v>232.70357428924999</v>
      </c>
      <c r="L85" s="10">
        <f t="shared" si="7"/>
        <v>0.25809556493833746</v>
      </c>
      <c r="M85" s="10">
        <f t="shared" si="11"/>
        <v>0.27326891338741804</v>
      </c>
      <c r="P85" s="8">
        <f t="shared" si="12"/>
        <v>4.7708259471539591</v>
      </c>
      <c r="U85" s="8">
        <v>151</v>
      </c>
      <c r="V85" s="10">
        <f t="shared" ref="V85:V103" si="13">L303</f>
        <v>0.28617563511153554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1077.5822699799</v>
      </c>
      <c r="E86">
        <v>362.01746138348</v>
      </c>
      <c r="F86">
        <v>171.81886024423</v>
      </c>
      <c r="G86">
        <v>128.73880597015</v>
      </c>
      <c r="I86" s="9">
        <f t="shared" si="8"/>
        <v>233.27865541333</v>
      </c>
      <c r="J86" s="9">
        <f t="shared" si="9"/>
        <v>905.76340973567005</v>
      </c>
      <c r="K86" s="9">
        <f t="shared" si="10"/>
        <v>233.27865541333</v>
      </c>
      <c r="L86" s="10">
        <f t="shared" si="7"/>
        <v>0.25754921528725472</v>
      </c>
      <c r="M86" s="10">
        <f t="shared" si="11"/>
        <v>0.27290537516343266</v>
      </c>
      <c r="P86" s="8">
        <f t="shared" si="12"/>
        <v>4.6314460245781648</v>
      </c>
      <c r="U86" s="8">
        <v>151.5</v>
      </c>
      <c r="V86" s="10">
        <f t="shared" si="13"/>
        <v>0.287286306088675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1068.3257219611</v>
      </c>
      <c r="E87">
        <v>360.60980523841999</v>
      </c>
      <c r="F87">
        <v>171.76255088195001</v>
      </c>
      <c r="G87">
        <v>128.65875169607</v>
      </c>
      <c r="I87" s="9">
        <f t="shared" si="8"/>
        <v>231.95105354235</v>
      </c>
      <c r="J87" s="9">
        <f t="shared" si="9"/>
        <v>896.56317107915004</v>
      </c>
      <c r="K87" s="9">
        <f t="shared" si="10"/>
        <v>231.95105354235</v>
      </c>
      <c r="L87" s="10">
        <f t="shared" si="7"/>
        <v>0.25871133348379866</v>
      </c>
      <c r="M87" s="10">
        <f t="shared" si="11"/>
        <v>0.27425030478707396</v>
      </c>
      <c r="P87" s="8">
        <f t="shared" si="12"/>
        <v>5.1470897023130124</v>
      </c>
      <c r="U87" s="8">
        <v>152</v>
      </c>
      <c r="V87" s="10">
        <f t="shared" si="13"/>
        <v>0.28789276687378418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1052.9007477906</v>
      </c>
      <c r="E88">
        <v>355.71312032630999</v>
      </c>
      <c r="F88">
        <v>171.34328358209001</v>
      </c>
      <c r="G88">
        <v>128.79986431479</v>
      </c>
      <c r="I88" s="9">
        <f t="shared" si="8"/>
        <v>226.91325601151999</v>
      </c>
      <c r="J88" s="9">
        <f t="shared" si="9"/>
        <v>881.55746420851005</v>
      </c>
      <c r="K88" s="9">
        <f t="shared" si="10"/>
        <v>226.91325601151999</v>
      </c>
      <c r="L88" s="10">
        <f t="shared" si="7"/>
        <v>0.25740041372714123</v>
      </c>
      <c r="M88" s="10">
        <f t="shared" si="11"/>
        <v>0.2731221964575139</v>
      </c>
      <c r="P88" s="8">
        <f t="shared" si="12"/>
        <v>4.7145749314934431</v>
      </c>
      <c r="U88" s="8">
        <v>152.5</v>
      </c>
      <c r="V88" s="10">
        <f t="shared" si="13"/>
        <v>0.29316714965724944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1017.8871515976</v>
      </c>
      <c r="E89">
        <v>351.78585995920997</v>
      </c>
      <c r="F89">
        <v>171.02578018995999</v>
      </c>
      <c r="G89">
        <v>128.81750339212999</v>
      </c>
      <c r="I89" s="9">
        <f t="shared" si="8"/>
        <v>222.96835656707998</v>
      </c>
      <c r="J89" s="9">
        <f t="shared" si="9"/>
        <v>846.86137140764004</v>
      </c>
      <c r="K89" s="9">
        <f t="shared" si="10"/>
        <v>222.96835656707998</v>
      </c>
      <c r="L89" s="10">
        <f t="shared" si="7"/>
        <v>0.26328790531142704</v>
      </c>
      <c r="M89" s="10">
        <f t="shared" si="11"/>
        <v>0.27919249946889707</v>
      </c>
      <c r="P89" s="8">
        <f t="shared" si="12"/>
        <v>7.0419185446707528</v>
      </c>
      <c r="U89" s="8">
        <v>153</v>
      </c>
      <c r="V89" s="10">
        <f t="shared" si="13"/>
        <v>0.29045359487140765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1004.1747110809</v>
      </c>
      <c r="E90">
        <v>348.42963970087999</v>
      </c>
      <c r="F90">
        <v>170.90162822252</v>
      </c>
      <c r="G90">
        <v>129.1105834464</v>
      </c>
      <c r="I90" s="9">
        <f t="shared" si="8"/>
        <v>219.31905625447999</v>
      </c>
      <c r="J90" s="9">
        <f t="shared" si="9"/>
        <v>833.27308285838001</v>
      </c>
      <c r="K90" s="9">
        <f t="shared" si="10"/>
        <v>219.31905625447999</v>
      </c>
      <c r="L90" s="10">
        <f t="shared" si="7"/>
        <v>0.26320189715255043</v>
      </c>
      <c r="M90" s="10">
        <f t="shared" si="11"/>
        <v>0.27928930273711783</v>
      </c>
      <c r="P90" s="8">
        <f t="shared" si="12"/>
        <v>7.0790327492838978</v>
      </c>
      <c r="U90" s="8">
        <v>153.5</v>
      </c>
      <c r="V90" s="10">
        <f t="shared" si="13"/>
        <v>0.29030510773476903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1005.676410605</v>
      </c>
      <c r="E91">
        <v>348.55268524812999</v>
      </c>
      <c r="F91">
        <v>170.91723202170999</v>
      </c>
      <c r="G91">
        <v>128.57055630936</v>
      </c>
      <c r="I91" s="9">
        <f t="shared" si="8"/>
        <v>219.98212893876999</v>
      </c>
      <c r="J91" s="9">
        <f t="shared" si="9"/>
        <v>834.75917858329001</v>
      </c>
      <c r="K91" s="9">
        <f t="shared" si="10"/>
        <v>219.98212893876999</v>
      </c>
      <c r="L91" s="10">
        <f t="shared" si="7"/>
        <v>0.26352765514014742</v>
      </c>
      <c r="M91" s="10">
        <f t="shared" si="11"/>
        <v>0.27979787215181218</v>
      </c>
      <c r="P91" s="8">
        <f t="shared" si="12"/>
        <v>7.2740173780457038</v>
      </c>
      <c r="U91" s="8">
        <v>154</v>
      </c>
      <c r="V91" s="10">
        <f t="shared" si="13"/>
        <v>0.29164152644122876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999.05642420122001</v>
      </c>
      <c r="E92">
        <v>348.07749830047999</v>
      </c>
      <c r="F92">
        <v>170.81478968792001</v>
      </c>
      <c r="G92">
        <v>128.73270013569001</v>
      </c>
      <c r="I92" s="9">
        <f t="shared" si="8"/>
        <v>219.34479816478998</v>
      </c>
      <c r="J92" s="9">
        <f t="shared" si="9"/>
        <v>828.24163451330003</v>
      </c>
      <c r="K92" s="9">
        <f t="shared" si="10"/>
        <v>219.34479816478998</v>
      </c>
      <c r="L92" s="10">
        <f t="shared" si="7"/>
        <v>0.2648318908692433</v>
      </c>
      <c r="M92" s="10">
        <f t="shared" si="11"/>
        <v>0.28128491930800537</v>
      </c>
      <c r="P92" s="8">
        <f t="shared" si="12"/>
        <v>7.844148670498452</v>
      </c>
      <c r="U92" s="8">
        <v>154.5</v>
      </c>
      <c r="V92" s="10">
        <f t="shared" si="13"/>
        <v>0.29285495423061858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991.17063222297998</v>
      </c>
      <c r="E93">
        <v>345.01903467029001</v>
      </c>
      <c r="F93">
        <v>170.75101763908</v>
      </c>
      <c r="G93">
        <v>128.54884667571</v>
      </c>
      <c r="I93" s="9">
        <f t="shared" si="8"/>
        <v>216.47018799458002</v>
      </c>
      <c r="J93" s="9">
        <f t="shared" si="9"/>
        <v>820.41961458389994</v>
      </c>
      <c r="K93" s="9">
        <f t="shared" si="10"/>
        <v>216.47018799458002</v>
      </c>
      <c r="L93" s="10">
        <f t="shared" si="7"/>
        <v>0.26385301392918215</v>
      </c>
      <c r="M93" s="10">
        <f t="shared" si="11"/>
        <v>0.28048885379504157</v>
      </c>
      <c r="P93" s="8">
        <f t="shared" si="12"/>
        <v>7.5389385378588223</v>
      </c>
      <c r="U93" s="8">
        <v>155</v>
      </c>
      <c r="V93" s="10">
        <f t="shared" si="13"/>
        <v>0.29512671619998682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985.98096532970999</v>
      </c>
      <c r="E94">
        <v>345.10740992522</v>
      </c>
      <c r="F94">
        <v>170.65400271370001</v>
      </c>
      <c r="G94">
        <v>128.15603799185999</v>
      </c>
      <c r="I94" s="9">
        <f t="shared" si="8"/>
        <v>216.95137193336001</v>
      </c>
      <c r="J94" s="9">
        <f t="shared" si="9"/>
        <v>815.32696261600995</v>
      </c>
      <c r="K94" s="9">
        <f t="shared" si="10"/>
        <v>216.95137193336001</v>
      </c>
      <c r="L94" s="10">
        <f t="shared" si="7"/>
        <v>0.26609125158483982</v>
      </c>
      <c r="M94" s="10">
        <f t="shared" si="11"/>
        <v>0.2829099028777966</v>
      </c>
      <c r="P94" s="8">
        <f t="shared" si="12"/>
        <v>8.4671645439366969</v>
      </c>
      <c r="U94" s="8">
        <v>155.5</v>
      </c>
      <c r="V94" s="10">
        <f t="shared" si="13"/>
        <v>0.29517513668113277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987.93677770223997</v>
      </c>
      <c r="E95">
        <v>344.14479945615</v>
      </c>
      <c r="F95">
        <v>170.11194029851001</v>
      </c>
      <c r="G95">
        <v>128.22795115331999</v>
      </c>
      <c r="I95" s="9">
        <f t="shared" si="8"/>
        <v>215.91684830283</v>
      </c>
      <c r="J95" s="9">
        <f t="shared" si="9"/>
        <v>817.82483740372993</v>
      </c>
      <c r="K95" s="9">
        <f t="shared" si="10"/>
        <v>215.91684830283</v>
      </c>
      <c r="L95" s="10">
        <f t="shared" si="7"/>
        <v>0.26401356186280733</v>
      </c>
      <c r="M95" s="10">
        <f t="shared" si="11"/>
        <v>0.28101502458286148</v>
      </c>
      <c r="P95" s="8">
        <f t="shared" si="12"/>
        <v>7.7406715024533046</v>
      </c>
      <c r="U95" s="8">
        <v>156</v>
      </c>
      <c r="V95" s="10">
        <f t="shared" si="13"/>
        <v>0.29727118777738315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979.67573079537999</v>
      </c>
      <c r="E96">
        <v>343.11352821209999</v>
      </c>
      <c r="F96">
        <v>170.49321573948001</v>
      </c>
      <c r="G96">
        <v>127.87788331071999</v>
      </c>
      <c r="I96" s="9">
        <f t="shared" si="8"/>
        <v>215.23564490138</v>
      </c>
      <c r="J96" s="9">
        <f t="shared" si="9"/>
        <v>809.18251505590001</v>
      </c>
      <c r="K96" s="9">
        <f t="shared" si="10"/>
        <v>215.23564490138</v>
      </c>
      <c r="L96" s="10">
        <f t="shared" si="7"/>
        <v>0.26599146780440636</v>
      </c>
      <c r="M96" s="10">
        <f t="shared" si="11"/>
        <v>0.28317574195155787</v>
      </c>
      <c r="P96" s="8">
        <f t="shared" si="12"/>
        <v>8.5690867822979548</v>
      </c>
      <c r="U96" s="8">
        <v>156.5</v>
      </c>
      <c r="V96" s="10">
        <f t="shared" si="13"/>
        <v>0.29285121060420416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980.43031951054002</v>
      </c>
      <c r="E97">
        <v>345.65941536370002</v>
      </c>
      <c r="F97">
        <v>169.78426051560001</v>
      </c>
      <c r="G97">
        <v>128.18521031207999</v>
      </c>
      <c r="I97" s="9">
        <f t="shared" si="8"/>
        <v>217.47420505162003</v>
      </c>
      <c r="J97" s="9">
        <f t="shared" si="9"/>
        <v>810.64605899493995</v>
      </c>
      <c r="K97" s="9">
        <f t="shared" si="10"/>
        <v>217.47420505162003</v>
      </c>
      <c r="L97" s="10">
        <f t="shared" si="7"/>
        <v>0.26827269760769601</v>
      </c>
      <c r="M97" s="10">
        <f t="shared" si="11"/>
        <v>0.28563978318194488</v>
      </c>
      <c r="P97" s="8">
        <f t="shared" si="12"/>
        <v>9.5137959029782557</v>
      </c>
      <c r="U97" s="8">
        <v>157</v>
      </c>
      <c r="V97" s="10">
        <f t="shared" si="13"/>
        <v>0.29157989349044544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972.32019034669997</v>
      </c>
      <c r="E98">
        <v>341.03670972127998</v>
      </c>
      <c r="F98">
        <v>169.91994572592</v>
      </c>
      <c r="G98">
        <v>128.27272727273001</v>
      </c>
      <c r="I98" s="9">
        <f t="shared" si="8"/>
        <v>212.76398244854997</v>
      </c>
      <c r="J98" s="9">
        <f t="shared" si="9"/>
        <v>802.40024462077997</v>
      </c>
      <c r="K98" s="9">
        <f t="shared" si="10"/>
        <v>212.76398244854997</v>
      </c>
      <c r="L98" s="10">
        <f t="shared" si="7"/>
        <v>0.26515941872513227</v>
      </c>
      <c r="M98" s="10">
        <f t="shared" si="11"/>
        <v>0.28270931572647851</v>
      </c>
      <c r="P98" s="8">
        <f t="shared" si="12"/>
        <v>8.3902597791119131</v>
      </c>
      <c r="U98" s="8">
        <v>157.5</v>
      </c>
      <c r="V98" s="10">
        <f t="shared" si="13"/>
        <v>0.29530120354315376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966.57036029912001</v>
      </c>
      <c r="E99">
        <v>339.94017675050998</v>
      </c>
      <c r="F99">
        <v>170.55291723202001</v>
      </c>
      <c r="G99">
        <v>127.83853459973</v>
      </c>
      <c r="I99" s="9">
        <f t="shared" si="8"/>
        <v>212.10164215077998</v>
      </c>
      <c r="J99" s="9">
        <f t="shared" si="9"/>
        <v>796.01744306709998</v>
      </c>
      <c r="K99" s="9">
        <f t="shared" si="10"/>
        <v>212.10164215077998</v>
      </c>
      <c r="L99" s="10">
        <f t="shared" si="7"/>
        <v>0.26645351053306121</v>
      </c>
      <c r="M99" s="10">
        <f t="shared" si="11"/>
        <v>0.28418621896150481</v>
      </c>
      <c r="P99" s="8">
        <f t="shared" si="12"/>
        <v>8.9565019098381295</v>
      </c>
      <c r="U99" s="8">
        <v>158</v>
      </c>
      <c r="V99" s="10">
        <f t="shared" si="13"/>
        <v>0.291367435726886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964.34330387492003</v>
      </c>
      <c r="E100">
        <v>338.38137321549999</v>
      </c>
      <c r="F100">
        <v>169.94436906377001</v>
      </c>
      <c r="G100">
        <v>127.16757123474</v>
      </c>
      <c r="I100" s="9">
        <f t="shared" si="8"/>
        <v>211.21380198076</v>
      </c>
      <c r="J100" s="9">
        <f t="shared" si="9"/>
        <v>794.39893481114996</v>
      </c>
      <c r="K100" s="9">
        <f t="shared" si="10"/>
        <v>211.21380198076</v>
      </c>
      <c r="L100" s="10">
        <f t="shared" si="7"/>
        <v>0.26587875779437092</v>
      </c>
      <c r="M100" s="10">
        <f t="shared" si="11"/>
        <v>0.28379427764991189</v>
      </c>
      <c r="P100" s="8">
        <f t="shared" si="12"/>
        <v>8.8062322928905772</v>
      </c>
      <c r="U100" s="8">
        <v>158.5</v>
      </c>
      <c r="V100" s="10">
        <f t="shared" si="13"/>
        <v>0.29263853835426368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964.74167233175001</v>
      </c>
      <c r="E101">
        <v>340.62746430998999</v>
      </c>
      <c r="F101">
        <v>169.65196743555001</v>
      </c>
      <c r="G101">
        <v>127.72998643148</v>
      </c>
      <c r="I101" s="9">
        <f t="shared" si="8"/>
        <v>212.89747787850999</v>
      </c>
      <c r="J101" s="9">
        <f t="shared" si="9"/>
        <v>795.08970489620003</v>
      </c>
      <c r="K101" s="9">
        <f t="shared" si="10"/>
        <v>212.89747787850999</v>
      </c>
      <c r="L101" s="10">
        <f t="shared" si="7"/>
        <v>0.26776535599376677</v>
      </c>
      <c r="M101" s="10">
        <f t="shared" si="11"/>
        <v>0.2858636872764051</v>
      </c>
      <c r="P101" s="8">
        <f t="shared" si="12"/>
        <v>9.5996403432358584</v>
      </c>
      <c r="U101" s="8">
        <v>159</v>
      </c>
      <c r="V101" s="10">
        <f t="shared" si="13"/>
        <v>0.29146769594559685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923.02175390891</v>
      </c>
      <c r="E102">
        <v>333.38477226377</v>
      </c>
      <c r="F102">
        <v>170.05495251017999</v>
      </c>
      <c r="G102">
        <v>127.86363636364</v>
      </c>
      <c r="I102" s="9">
        <f t="shared" si="8"/>
        <v>205.52113590012999</v>
      </c>
      <c r="J102" s="9">
        <f t="shared" si="9"/>
        <v>752.96680139873001</v>
      </c>
      <c r="K102" s="9">
        <f t="shared" si="10"/>
        <v>205.52113590012999</v>
      </c>
      <c r="L102" s="10">
        <f t="shared" si="7"/>
        <v>0.27294846933271</v>
      </c>
      <c r="M102" s="10">
        <f t="shared" si="11"/>
        <v>0.29122961204244563</v>
      </c>
      <c r="P102" s="8">
        <f t="shared" si="12"/>
        <v>11.656926562657844</v>
      </c>
      <c r="U102" s="8">
        <v>159.5</v>
      </c>
      <c r="V102" s="10">
        <f t="shared" si="13"/>
        <v>0.29253598305649448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918.77838205302999</v>
      </c>
      <c r="E103">
        <v>333.72603670972001</v>
      </c>
      <c r="F103">
        <v>169.99660786973999</v>
      </c>
      <c r="G103">
        <v>127.6092265943</v>
      </c>
      <c r="I103" s="9">
        <f t="shared" si="8"/>
        <v>206.11681011542001</v>
      </c>
      <c r="J103" s="9">
        <f t="shared" si="9"/>
        <v>748.78177418329005</v>
      </c>
      <c r="K103" s="9">
        <f t="shared" si="10"/>
        <v>206.11681011542001</v>
      </c>
      <c r="L103" s="10">
        <f t="shared" si="7"/>
        <v>0.27526953409120486</v>
      </c>
      <c r="M103" s="10">
        <f t="shared" si="11"/>
        <v>0.29373348822803785</v>
      </c>
      <c r="P103" s="8">
        <f t="shared" si="12"/>
        <v>12.616908335857172</v>
      </c>
      <c r="U103" s="8">
        <v>160</v>
      </c>
      <c r="V103" s="10">
        <f t="shared" si="13"/>
        <v>0.2929834351300612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936.88851121686002</v>
      </c>
      <c r="E104">
        <v>339.8239292998</v>
      </c>
      <c r="F104">
        <v>169.96540027136999</v>
      </c>
      <c r="G104">
        <v>127.69131614654</v>
      </c>
      <c r="I104" s="9">
        <f t="shared" si="8"/>
        <v>212.13261315326</v>
      </c>
      <c r="J104" s="9">
        <f t="shared" si="9"/>
        <v>766.92311094549007</v>
      </c>
      <c r="K104" s="9">
        <f t="shared" si="10"/>
        <v>212.13261315326</v>
      </c>
      <c r="L104" s="10">
        <f t="shared" si="7"/>
        <v>0.27660219143968079</v>
      </c>
      <c r="M104" s="10">
        <f t="shared" si="11"/>
        <v>0.29524895700361115</v>
      </c>
      <c r="P104" s="8">
        <f t="shared" si="12"/>
        <v>13.197936427731035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965.89462950374002</v>
      </c>
      <c r="E105">
        <v>346.62542488103003</v>
      </c>
      <c r="F105">
        <v>170.12347354138001</v>
      </c>
      <c r="G105">
        <v>128.00542740840999</v>
      </c>
      <c r="I105" s="9">
        <f t="shared" si="8"/>
        <v>218.61999747262004</v>
      </c>
      <c r="J105" s="9">
        <f t="shared" si="9"/>
        <v>795.77115596236001</v>
      </c>
      <c r="K105" s="9">
        <f t="shared" si="10"/>
        <v>218.61999747262004</v>
      </c>
      <c r="L105" s="10">
        <f t="shared" si="7"/>
        <v>0.27472722004887645</v>
      </c>
      <c r="M105" s="10">
        <f t="shared" si="11"/>
        <v>0.29355679703990417</v>
      </c>
      <c r="P105" s="8">
        <f t="shared" si="12"/>
        <v>12.549165241742017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953.00878972278997</v>
      </c>
      <c r="E106">
        <v>334.54496281271003</v>
      </c>
      <c r="F106">
        <v>169.29375848033001</v>
      </c>
      <c r="G106">
        <v>127.39959294437</v>
      </c>
      <c r="I106" s="9">
        <f t="shared" si="8"/>
        <v>207.14536986834003</v>
      </c>
      <c r="J106" s="9">
        <f t="shared" si="9"/>
        <v>783.71503124245999</v>
      </c>
      <c r="K106" s="9">
        <f t="shared" si="10"/>
        <v>207.14536986834003</v>
      </c>
      <c r="L106" s="10">
        <f t="shared" si="7"/>
        <v>0.26431210530687771</v>
      </c>
      <c r="M106" s="10">
        <f t="shared" si="11"/>
        <v>0.28332449372500279</v>
      </c>
      <c r="P106" s="8">
        <f t="shared" si="12"/>
        <v>8.6261179534316934</v>
      </c>
      <c r="X106" s="8">
        <v>-13</v>
      </c>
    </row>
    <row r="107" spans="1:25" x14ac:dyDescent="0.2">
      <c r="A107" s="8">
        <v>52.5</v>
      </c>
      <c r="B107" s="8">
        <v>105</v>
      </c>
      <c r="D107">
        <v>951.90872210953</v>
      </c>
      <c r="E107">
        <v>337.48681541581999</v>
      </c>
      <c r="F107">
        <v>168.82903663501</v>
      </c>
      <c r="G107">
        <v>127.36160108548</v>
      </c>
      <c r="I107" s="9">
        <f t="shared" si="8"/>
        <v>210.12521433033999</v>
      </c>
      <c r="J107" s="9">
        <f t="shared" si="9"/>
        <v>783.07968547452003</v>
      </c>
      <c r="K107" s="9">
        <f t="shared" si="10"/>
        <v>210.12521433033999</v>
      </c>
      <c r="L107" s="10">
        <f t="shared" si="7"/>
        <v>0.26833184186486864</v>
      </c>
      <c r="M107" s="10">
        <f t="shared" si="11"/>
        <v>0.28752704171009108</v>
      </c>
      <c r="P107" s="8">
        <f t="shared" si="12"/>
        <v>10.23736753913199</v>
      </c>
      <c r="X107" s="8">
        <v>-13</v>
      </c>
    </row>
    <row r="108" spans="1:25" x14ac:dyDescent="0.2">
      <c r="A108" s="8">
        <v>53</v>
      </c>
      <c r="B108" s="8">
        <v>106</v>
      </c>
      <c r="D108">
        <v>946.76808654496006</v>
      </c>
      <c r="E108">
        <v>335.36443542934001</v>
      </c>
      <c r="F108">
        <v>169.08616010854999</v>
      </c>
      <c r="G108">
        <v>127.23134328358</v>
      </c>
      <c r="I108" s="9">
        <f t="shared" si="8"/>
        <v>208.13309214576</v>
      </c>
      <c r="J108" s="9">
        <f t="shared" si="9"/>
        <v>777.68192643641009</v>
      </c>
      <c r="K108" s="9">
        <f t="shared" si="10"/>
        <v>208.13309214576</v>
      </c>
      <c r="L108" s="10">
        <f t="shared" si="7"/>
        <v>0.26763267226678789</v>
      </c>
      <c r="M108" s="10">
        <f t="shared" si="11"/>
        <v>0.28701068353910769</v>
      </c>
      <c r="P108" s="8">
        <f t="shared" si="12"/>
        <v>10.039396714760198</v>
      </c>
      <c r="X108" s="8">
        <v>-13</v>
      </c>
    </row>
    <row r="109" spans="1:25" x14ac:dyDescent="0.2">
      <c r="A109" s="8">
        <v>53.5</v>
      </c>
      <c r="B109" s="8">
        <v>107</v>
      </c>
      <c r="D109">
        <v>944.12778904665004</v>
      </c>
      <c r="E109">
        <v>334.17782285328002</v>
      </c>
      <c r="F109">
        <v>169.05834464042999</v>
      </c>
      <c r="G109">
        <v>127.61465400271</v>
      </c>
      <c r="I109" s="9">
        <f t="shared" si="8"/>
        <v>206.56316885057004</v>
      </c>
      <c r="J109" s="9">
        <f t="shared" si="9"/>
        <v>775.0694444062201</v>
      </c>
      <c r="K109" s="9">
        <f t="shared" si="10"/>
        <v>206.56316885057004</v>
      </c>
      <c r="L109" s="10">
        <f t="shared" si="7"/>
        <v>0.26650924035435025</v>
      </c>
      <c r="M109" s="10">
        <f t="shared" si="11"/>
        <v>0.28607006305376742</v>
      </c>
      <c r="P109" s="8">
        <f t="shared" si="12"/>
        <v>9.6787644572146867</v>
      </c>
      <c r="X109" s="8">
        <v>-13</v>
      </c>
    </row>
    <row r="110" spans="1:25" x14ac:dyDescent="0.2">
      <c r="A110" s="8">
        <v>54</v>
      </c>
      <c r="B110" s="8">
        <v>108</v>
      </c>
      <c r="D110">
        <v>947.41311697092999</v>
      </c>
      <c r="E110">
        <v>334.95267072346002</v>
      </c>
      <c r="F110">
        <v>168.78968792402</v>
      </c>
      <c r="G110">
        <v>127.08208955224001</v>
      </c>
      <c r="I110" s="9">
        <f t="shared" si="8"/>
        <v>207.87058117122001</v>
      </c>
      <c r="J110" s="9">
        <f t="shared" si="9"/>
        <v>778.62342904691002</v>
      </c>
      <c r="K110" s="9">
        <f t="shared" si="10"/>
        <v>207.87058117122001</v>
      </c>
      <c r="L110" s="10">
        <f t="shared" si="7"/>
        <v>0.26697190633689027</v>
      </c>
      <c r="M110" s="10">
        <f t="shared" si="11"/>
        <v>0.28671554046340481</v>
      </c>
      <c r="P110" s="8">
        <f t="shared" si="12"/>
        <v>9.9262393730389462</v>
      </c>
      <c r="X110" s="8">
        <v>-13</v>
      </c>
    </row>
    <row r="111" spans="1:25" x14ac:dyDescent="0.2">
      <c r="A111" s="8">
        <v>54.5</v>
      </c>
      <c r="B111" s="8">
        <v>109</v>
      </c>
      <c r="D111">
        <v>943.90196078430995</v>
      </c>
      <c r="E111">
        <v>333.92224475997</v>
      </c>
      <c r="F111">
        <v>168.6302578019</v>
      </c>
      <c r="G111">
        <v>127.58887381274999</v>
      </c>
      <c r="I111" s="9">
        <f t="shared" si="8"/>
        <v>206.33337094722</v>
      </c>
      <c r="J111" s="9">
        <f t="shared" si="9"/>
        <v>775.27170298240992</v>
      </c>
      <c r="K111" s="9">
        <f t="shared" si="10"/>
        <v>206.33337094722</v>
      </c>
      <c r="L111" s="10">
        <f t="shared" si="7"/>
        <v>0.26614330195913455</v>
      </c>
      <c r="M111" s="10">
        <f t="shared" si="11"/>
        <v>0.28606974751274639</v>
      </c>
      <c r="P111" s="8">
        <f t="shared" si="12"/>
        <v>9.6786434793362144</v>
      </c>
      <c r="X111" s="8">
        <v>-13</v>
      </c>
    </row>
    <row r="112" spans="1:25" x14ac:dyDescent="0.2">
      <c r="A112" s="8">
        <v>55</v>
      </c>
      <c r="B112" s="8">
        <v>110</v>
      </c>
      <c r="D112">
        <v>958.26301555104999</v>
      </c>
      <c r="E112">
        <v>336.39350912779003</v>
      </c>
      <c r="F112">
        <v>168.48575305291999</v>
      </c>
      <c r="G112">
        <v>127.24898236092</v>
      </c>
      <c r="I112" s="9">
        <f t="shared" si="8"/>
        <v>209.14452676687003</v>
      </c>
      <c r="J112" s="9">
        <f t="shared" si="9"/>
        <v>789.77726249812997</v>
      </c>
      <c r="K112" s="9">
        <f t="shared" si="10"/>
        <v>209.14452676687003</v>
      </c>
      <c r="L112" s="10">
        <f t="shared" si="7"/>
        <v>0.26481457076306403</v>
      </c>
      <c r="M112" s="10">
        <f t="shared" si="11"/>
        <v>0.28492382774377323</v>
      </c>
      <c r="P112" s="8">
        <f t="shared" si="12"/>
        <v>9.23929983363481</v>
      </c>
      <c r="X112" s="8">
        <v>-13</v>
      </c>
    </row>
    <row r="113" spans="1:24" x14ac:dyDescent="0.2">
      <c r="A113" s="8">
        <v>55.5</v>
      </c>
      <c r="B113" s="8">
        <v>111</v>
      </c>
      <c r="D113">
        <v>961.70926301555005</v>
      </c>
      <c r="E113">
        <v>335.94929006084999</v>
      </c>
      <c r="F113">
        <v>168.85956580733</v>
      </c>
      <c r="G113">
        <v>126.72591587517</v>
      </c>
      <c r="I113" s="9">
        <f t="shared" si="8"/>
        <v>209.22337418567997</v>
      </c>
      <c r="J113" s="9">
        <f t="shared" si="9"/>
        <v>792.84969720822005</v>
      </c>
      <c r="K113" s="9">
        <f t="shared" si="10"/>
        <v>209.22337418567997</v>
      </c>
      <c r="L113" s="10">
        <f t="shared" si="7"/>
        <v>0.26388781495710562</v>
      </c>
      <c r="M113" s="10">
        <f t="shared" si="11"/>
        <v>0.28417988336491218</v>
      </c>
      <c r="P113" s="8">
        <f t="shared" si="12"/>
        <v>8.9540728531274727</v>
      </c>
      <c r="X113" s="8">
        <v>-13</v>
      </c>
    </row>
    <row r="114" spans="1:24" x14ac:dyDescent="0.2">
      <c r="A114" s="8">
        <v>56</v>
      </c>
      <c r="B114" s="8">
        <v>112</v>
      </c>
      <c r="D114">
        <v>961.40906017579005</v>
      </c>
      <c r="E114">
        <v>334.93171061528</v>
      </c>
      <c r="F114">
        <v>168.39687924015999</v>
      </c>
      <c r="G114">
        <v>127.01017639077</v>
      </c>
      <c r="I114" s="9">
        <f t="shared" si="8"/>
        <v>207.92153422451</v>
      </c>
      <c r="J114" s="9">
        <f t="shared" si="9"/>
        <v>793.01218093563011</v>
      </c>
      <c r="K114" s="9">
        <f t="shared" si="10"/>
        <v>207.92153422451</v>
      </c>
      <c r="L114" s="10">
        <f t="shared" si="7"/>
        <v>0.26219210653132108</v>
      </c>
      <c r="M114" s="10">
        <f t="shared" si="11"/>
        <v>0.282666986366225</v>
      </c>
      <c r="P114" s="8">
        <f t="shared" si="12"/>
        <v>8.3740307760372517</v>
      </c>
      <c r="X114" s="8">
        <v>-13</v>
      </c>
    </row>
    <row r="115" spans="1:24" x14ac:dyDescent="0.2">
      <c r="A115" s="8">
        <v>56.5</v>
      </c>
      <c r="B115" s="8">
        <v>113</v>
      </c>
      <c r="D115">
        <v>963.11967545639004</v>
      </c>
      <c r="E115">
        <v>335.96484110886001</v>
      </c>
      <c r="F115">
        <v>168.58887381274999</v>
      </c>
      <c r="G115">
        <v>127.00542740841</v>
      </c>
      <c r="I115" s="9">
        <f t="shared" si="8"/>
        <v>208.95941370045</v>
      </c>
      <c r="J115" s="9">
        <f t="shared" si="9"/>
        <v>794.53080164364007</v>
      </c>
      <c r="K115" s="9">
        <f t="shared" si="10"/>
        <v>208.95941370045</v>
      </c>
      <c r="L115" s="10">
        <f t="shared" si="7"/>
        <v>0.26299724726615659</v>
      </c>
      <c r="M115" s="10">
        <f t="shared" si="11"/>
        <v>0.28365493852815787</v>
      </c>
      <c r="P115" s="8">
        <f t="shared" si="12"/>
        <v>8.7528099160385775</v>
      </c>
      <c r="X115" s="8">
        <v>-13</v>
      </c>
    </row>
    <row r="116" spans="1:24" x14ac:dyDescent="0.2">
      <c r="A116" s="8">
        <v>57</v>
      </c>
      <c r="B116" s="8">
        <v>114</v>
      </c>
      <c r="D116">
        <v>956.59972954699003</v>
      </c>
      <c r="E116">
        <v>333.28262339419001</v>
      </c>
      <c r="F116">
        <v>167.91587516960999</v>
      </c>
      <c r="G116">
        <v>126.86092265943</v>
      </c>
      <c r="I116" s="9">
        <f t="shared" si="8"/>
        <v>206.42170073476001</v>
      </c>
      <c r="J116" s="9">
        <f t="shared" si="9"/>
        <v>788.68385437738004</v>
      </c>
      <c r="K116" s="9">
        <f t="shared" si="10"/>
        <v>206.42170073476001</v>
      </c>
      <c r="L116" s="10">
        <f t="shared" si="7"/>
        <v>0.26172933500422413</v>
      </c>
      <c r="M116" s="10">
        <f t="shared" si="11"/>
        <v>0.28256983769332278</v>
      </c>
      <c r="P116" s="8">
        <f t="shared" si="12"/>
        <v>8.3367841438701813</v>
      </c>
      <c r="X116" s="8">
        <v>-13</v>
      </c>
    </row>
    <row r="117" spans="1:24" x14ac:dyDescent="0.2">
      <c r="A117" s="8">
        <v>57.5</v>
      </c>
      <c r="B117" s="8">
        <v>115</v>
      </c>
      <c r="D117">
        <v>952.91886409736003</v>
      </c>
      <c r="E117">
        <v>331.13860716700998</v>
      </c>
      <c r="F117">
        <v>168.71302578019001</v>
      </c>
      <c r="G117">
        <v>127.03527815468</v>
      </c>
      <c r="I117" s="9">
        <f t="shared" si="8"/>
        <v>204.10332901232999</v>
      </c>
      <c r="J117" s="9">
        <f t="shared" si="9"/>
        <v>784.20583831716999</v>
      </c>
      <c r="K117" s="9">
        <f t="shared" si="10"/>
        <v>204.10332901232999</v>
      </c>
      <c r="L117" s="10">
        <f t="shared" si="7"/>
        <v>0.26026754589116047</v>
      </c>
      <c r="M117" s="10">
        <f t="shared" si="11"/>
        <v>0.28129086000735648</v>
      </c>
      <c r="P117" s="8">
        <f t="shared" si="12"/>
        <v>7.8464263242937733</v>
      </c>
      <c r="X117" s="8">
        <v>-13</v>
      </c>
    </row>
    <row r="118" spans="1:24" x14ac:dyDescent="0.2">
      <c r="A118" s="8">
        <v>58</v>
      </c>
      <c r="B118" s="8">
        <v>116</v>
      </c>
      <c r="D118">
        <v>950.52535496957</v>
      </c>
      <c r="E118">
        <v>330.06626098714997</v>
      </c>
      <c r="F118">
        <v>168.16146540027</v>
      </c>
      <c r="G118">
        <v>126.31004070556</v>
      </c>
      <c r="I118" s="9">
        <f t="shared" si="8"/>
        <v>203.75622028158998</v>
      </c>
      <c r="J118" s="9">
        <f t="shared" si="9"/>
        <v>782.3638895693</v>
      </c>
      <c r="K118" s="9">
        <f t="shared" si="10"/>
        <v>203.75622028158998</v>
      </c>
      <c r="L118" s="10">
        <f t="shared" si="7"/>
        <v>0.26043663696411146</v>
      </c>
      <c r="M118" s="10">
        <f t="shared" si="11"/>
        <v>0.28164276250740483</v>
      </c>
      <c r="P118" s="8">
        <f t="shared" si="12"/>
        <v>7.981345130556468</v>
      </c>
      <c r="X118" s="8">
        <v>-13</v>
      </c>
    </row>
    <row r="119" spans="1:24" x14ac:dyDescent="0.2">
      <c r="A119" s="8">
        <v>58.5</v>
      </c>
      <c r="B119" s="8">
        <v>117</v>
      </c>
      <c r="D119">
        <v>952.97633536172998</v>
      </c>
      <c r="E119">
        <v>335.63962136578999</v>
      </c>
      <c r="F119">
        <v>168.3697421981</v>
      </c>
      <c r="G119">
        <v>126.93351424695</v>
      </c>
      <c r="I119" s="9">
        <f t="shared" si="8"/>
        <v>208.70610711884001</v>
      </c>
      <c r="J119" s="9">
        <f t="shared" si="9"/>
        <v>784.60659316363001</v>
      </c>
      <c r="K119" s="9">
        <f t="shared" si="10"/>
        <v>208.70610711884001</v>
      </c>
      <c r="L119" s="10">
        <f t="shared" si="7"/>
        <v>0.26600096014655111</v>
      </c>
      <c r="M119" s="10">
        <f t="shared" si="11"/>
        <v>0.28738989711694185</v>
      </c>
      <c r="P119" s="8">
        <f t="shared" si="12"/>
        <v>10.184786540728926</v>
      </c>
      <c r="X119" s="8">
        <v>-13</v>
      </c>
    </row>
    <row r="120" spans="1:24" x14ac:dyDescent="0.2">
      <c r="A120" s="8">
        <v>59</v>
      </c>
      <c r="B120" s="8">
        <v>118</v>
      </c>
      <c r="D120">
        <v>954.43813387423995</v>
      </c>
      <c r="E120">
        <v>336.15415821501</v>
      </c>
      <c r="F120">
        <v>168.77951153324</v>
      </c>
      <c r="G120">
        <v>126.88195386703001</v>
      </c>
      <c r="I120" s="9">
        <f t="shared" si="8"/>
        <v>209.27220434797999</v>
      </c>
      <c r="J120" s="9">
        <f t="shared" si="9"/>
        <v>785.65862234099995</v>
      </c>
      <c r="K120" s="9">
        <f t="shared" si="10"/>
        <v>209.27220434797999</v>
      </c>
      <c r="L120" s="10">
        <f t="shared" si="7"/>
        <v>0.2663653123597356</v>
      </c>
      <c r="M120" s="10">
        <f t="shared" si="11"/>
        <v>0.2879370607572237</v>
      </c>
      <c r="P120" s="8">
        <f t="shared" si="12"/>
        <v>10.394568128433001</v>
      </c>
      <c r="X120" s="8">
        <v>-13</v>
      </c>
    </row>
    <row r="121" spans="1:24" x14ac:dyDescent="0.2">
      <c r="A121" s="8">
        <v>59.5</v>
      </c>
      <c r="B121" s="8">
        <v>119</v>
      </c>
      <c r="D121">
        <v>956.84381338742003</v>
      </c>
      <c r="E121">
        <v>337.15348208248997</v>
      </c>
      <c r="F121">
        <v>168.08819538669999</v>
      </c>
      <c r="G121">
        <v>126.52645861601</v>
      </c>
      <c r="I121" s="9">
        <f t="shared" si="8"/>
        <v>210.62702346647995</v>
      </c>
      <c r="J121" s="9">
        <f t="shared" si="9"/>
        <v>788.75561800072001</v>
      </c>
      <c r="K121" s="9">
        <f t="shared" si="10"/>
        <v>210.62702346647995</v>
      </c>
      <c r="L121" s="10">
        <f t="shared" si="7"/>
        <v>0.26703711347294351</v>
      </c>
      <c r="M121" s="10">
        <f t="shared" si="11"/>
        <v>0.28879167329752892</v>
      </c>
      <c r="P121" s="8">
        <f t="shared" si="12"/>
        <v>10.722225089492577</v>
      </c>
      <c r="X121" s="8">
        <v>-13</v>
      </c>
    </row>
    <row r="122" spans="1:24" x14ac:dyDescent="0.2">
      <c r="A122" s="8">
        <v>60</v>
      </c>
      <c r="B122" s="8">
        <v>120</v>
      </c>
      <c r="D122">
        <v>953.18120351589005</v>
      </c>
      <c r="E122">
        <v>337.27383367139998</v>
      </c>
      <c r="F122">
        <v>168.12754409768999</v>
      </c>
      <c r="G122">
        <v>126.94165535957001</v>
      </c>
      <c r="I122" s="9">
        <f t="shared" si="8"/>
        <v>210.33217831182998</v>
      </c>
      <c r="J122" s="9">
        <f t="shared" si="9"/>
        <v>785.05365941820003</v>
      </c>
      <c r="K122" s="9">
        <f t="shared" si="10"/>
        <v>210.33217831182998</v>
      </c>
      <c r="L122" s="10">
        <f t="shared" si="7"/>
        <v>0.26792076667435227</v>
      </c>
      <c r="M122" s="10">
        <f t="shared" si="11"/>
        <v>0.28985813792603504</v>
      </c>
      <c r="P122" s="8">
        <f t="shared" si="12"/>
        <v>11.131105772578557</v>
      </c>
      <c r="X122" s="8">
        <v>-13</v>
      </c>
    </row>
    <row r="123" spans="1:24" x14ac:dyDescent="0.2">
      <c r="A123" s="8">
        <v>60.5</v>
      </c>
      <c r="B123" s="8">
        <v>121</v>
      </c>
      <c r="D123">
        <v>956.64841108857001</v>
      </c>
      <c r="E123">
        <v>335.70588235294002</v>
      </c>
      <c r="F123">
        <v>167.72998643148</v>
      </c>
      <c r="G123">
        <v>126.68521031208</v>
      </c>
      <c r="I123" s="9">
        <f t="shared" si="8"/>
        <v>209.02067204086001</v>
      </c>
      <c r="J123" s="9">
        <f t="shared" si="9"/>
        <v>788.91842465708999</v>
      </c>
      <c r="K123" s="9">
        <f t="shared" si="10"/>
        <v>209.02067204086001</v>
      </c>
      <c r="L123" s="10">
        <f t="shared" si="7"/>
        <v>0.26494586196502207</v>
      </c>
      <c r="M123" s="10">
        <f t="shared" si="11"/>
        <v>0.2870660446438022</v>
      </c>
      <c r="P123" s="8">
        <f t="shared" si="12"/>
        <v>10.060622065980324</v>
      </c>
      <c r="X123" s="8">
        <v>-13</v>
      </c>
    </row>
    <row r="124" spans="1:24" x14ac:dyDescent="0.2">
      <c r="A124" s="8">
        <v>61</v>
      </c>
      <c r="B124" s="8">
        <v>122</v>
      </c>
      <c r="D124">
        <v>953.65043948614004</v>
      </c>
      <c r="E124">
        <v>336.06896551723997</v>
      </c>
      <c r="F124">
        <v>167.88195386703001</v>
      </c>
      <c r="G124">
        <v>126.80664857531001</v>
      </c>
      <c r="I124" s="9">
        <f t="shared" si="8"/>
        <v>209.26231694192995</v>
      </c>
      <c r="J124" s="9">
        <f t="shared" si="9"/>
        <v>785.76848561911004</v>
      </c>
      <c r="K124" s="9">
        <f t="shared" si="10"/>
        <v>209.26231694192995</v>
      </c>
      <c r="L124" s="10">
        <f t="shared" si="7"/>
        <v>0.26631548703184676</v>
      </c>
      <c r="M124" s="10">
        <f t="shared" si="11"/>
        <v>0.28861848113772426</v>
      </c>
      <c r="P124" s="8">
        <f t="shared" si="12"/>
        <v>10.655823516751003</v>
      </c>
      <c r="X124" s="8">
        <v>-13</v>
      </c>
    </row>
    <row r="125" spans="1:24" x14ac:dyDescent="0.2">
      <c r="A125" s="8">
        <v>61.5</v>
      </c>
      <c r="B125" s="8">
        <v>123</v>
      </c>
      <c r="D125">
        <v>950.73360378634004</v>
      </c>
      <c r="E125">
        <v>335.48140635564999</v>
      </c>
      <c r="F125">
        <v>167.58412483039001</v>
      </c>
      <c r="G125">
        <v>126.41655359566001</v>
      </c>
      <c r="I125" s="9">
        <f t="shared" si="8"/>
        <v>209.06485275999</v>
      </c>
      <c r="J125" s="9">
        <f t="shared" si="9"/>
        <v>783.14947895595003</v>
      </c>
      <c r="K125" s="9">
        <f t="shared" si="10"/>
        <v>209.06485275999</v>
      </c>
      <c r="L125" s="10">
        <f t="shared" si="7"/>
        <v>0.26695395754933438</v>
      </c>
      <c r="M125" s="10">
        <f t="shared" si="11"/>
        <v>0.28943976308230923</v>
      </c>
      <c r="P125" s="8">
        <f t="shared" si="12"/>
        <v>10.970701585401507</v>
      </c>
      <c r="X125" s="8">
        <v>-13</v>
      </c>
    </row>
    <row r="126" spans="1:24" x14ac:dyDescent="0.2">
      <c r="A126" s="8">
        <v>62</v>
      </c>
      <c r="B126" s="8">
        <v>124</v>
      </c>
      <c r="D126">
        <v>940.83637592968</v>
      </c>
      <c r="E126">
        <v>329.65314401622999</v>
      </c>
      <c r="F126">
        <v>167.43487109905001</v>
      </c>
      <c r="G126">
        <v>126.68521031208</v>
      </c>
      <c r="I126" s="9">
        <f t="shared" si="8"/>
        <v>202.96793370414997</v>
      </c>
      <c r="J126" s="9">
        <f t="shared" si="9"/>
        <v>773.40150483062996</v>
      </c>
      <c r="K126" s="9">
        <f t="shared" si="10"/>
        <v>202.96793370414997</v>
      </c>
      <c r="L126" s="10">
        <f t="shared" si="7"/>
        <v>0.26243540054735043</v>
      </c>
      <c r="M126" s="10">
        <f t="shared" si="11"/>
        <v>0.28510401750742265</v>
      </c>
      <c r="P126" s="8">
        <f t="shared" si="12"/>
        <v>9.3083842755157189</v>
      </c>
      <c r="X126" s="8">
        <v>-13</v>
      </c>
    </row>
    <row r="127" spans="1:24" x14ac:dyDescent="0.2">
      <c r="A127" s="8">
        <v>62.5</v>
      </c>
      <c r="B127" s="8">
        <v>125</v>
      </c>
      <c r="D127">
        <v>939.17917511832002</v>
      </c>
      <c r="E127">
        <v>321.62407031778002</v>
      </c>
      <c r="F127">
        <v>167.68249660787001</v>
      </c>
      <c r="G127">
        <v>126.52713704206001</v>
      </c>
      <c r="I127" s="9">
        <f t="shared" si="8"/>
        <v>195.09693327572</v>
      </c>
      <c r="J127" s="9">
        <f t="shared" si="9"/>
        <v>771.49667851045001</v>
      </c>
      <c r="K127" s="9">
        <f t="shared" si="10"/>
        <v>195.09693327572</v>
      </c>
      <c r="L127" s="10">
        <f t="shared" si="7"/>
        <v>0.25288110592050644</v>
      </c>
      <c r="M127" s="10">
        <f t="shared" si="11"/>
        <v>0.27573253430767602</v>
      </c>
      <c r="P127" s="8">
        <f t="shared" si="12"/>
        <v>5.7153739216620636</v>
      </c>
      <c r="X127" s="8">
        <v>-13</v>
      </c>
    </row>
    <row r="128" spans="1:24" x14ac:dyDescent="0.2">
      <c r="A128" s="8">
        <v>63</v>
      </c>
      <c r="B128" s="8">
        <v>126</v>
      </c>
      <c r="D128">
        <v>1040.8991935484</v>
      </c>
      <c r="E128">
        <v>334.35887096774002</v>
      </c>
      <c r="F128">
        <v>167.39145183175</v>
      </c>
      <c r="G128">
        <v>126.90705563093999</v>
      </c>
      <c r="I128" s="9">
        <f t="shared" si="8"/>
        <v>207.45181533680002</v>
      </c>
      <c r="J128" s="9">
        <f t="shared" si="9"/>
        <v>873.50774171665</v>
      </c>
      <c r="K128" s="9">
        <f t="shared" si="10"/>
        <v>207.45181533680002</v>
      </c>
      <c r="L128" s="10">
        <f t="shared" si="7"/>
        <v>0.23749281824235235</v>
      </c>
      <c r="M128" s="10">
        <f t="shared" si="11"/>
        <v>0.2605270580566193</v>
      </c>
      <c r="P128" s="8">
        <f t="shared" si="12"/>
        <v>-0.11437921781961596</v>
      </c>
      <c r="X128" s="8">
        <v>-13</v>
      </c>
    </row>
    <row r="129" spans="1:24" x14ac:dyDescent="0.2">
      <c r="A129" s="8">
        <v>63.5</v>
      </c>
      <c r="B129" s="8">
        <v>127</v>
      </c>
      <c r="D129">
        <v>1012.4885752688</v>
      </c>
      <c r="E129">
        <v>326.97311827956997</v>
      </c>
      <c r="F129">
        <v>167.97829036635</v>
      </c>
      <c r="G129">
        <v>126.7408412483</v>
      </c>
      <c r="I129" s="9">
        <f t="shared" si="8"/>
        <v>200.23227703126997</v>
      </c>
      <c r="J129" s="9">
        <f t="shared" si="9"/>
        <v>844.51028490244994</v>
      </c>
      <c r="K129" s="9">
        <f t="shared" si="10"/>
        <v>200.23227703126997</v>
      </c>
      <c r="L129" s="10">
        <f t="shared" si="7"/>
        <v>0.23709868383000091</v>
      </c>
      <c r="M129" s="10">
        <f t="shared" si="11"/>
        <v>0.26031573507136518</v>
      </c>
      <c r="P129" s="8">
        <f t="shared" si="12"/>
        <v>-0.19540008269678127</v>
      </c>
      <c r="X129" s="8">
        <v>-13</v>
      </c>
    </row>
    <row r="130" spans="1:24" x14ac:dyDescent="0.2">
      <c r="A130" s="8">
        <v>64</v>
      </c>
      <c r="B130" s="8">
        <v>128</v>
      </c>
      <c r="D130">
        <v>1009.5102040816</v>
      </c>
      <c r="E130">
        <v>323.29863945578001</v>
      </c>
      <c r="F130">
        <v>168.14518317503001</v>
      </c>
      <c r="G130">
        <v>126.69674355495</v>
      </c>
      <c r="I130" s="9">
        <f t="shared" si="8"/>
        <v>196.60189590083002</v>
      </c>
      <c r="J130" s="9">
        <f t="shared" si="9"/>
        <v>841.36502090656995</v>
      </c>
      <c r="K130" s="9">
        <f t="shared" si="10"/>
        <v>196.60189590083002</v>
      </c>
      <c r="L130" s="10">
        <f t="shared" ref="L130:L193" si="14">K130/J130</f>
        <v>0.23367015625274232</v>
      </c>
      <c r="M130" s="10">
        <f t="shared" si="11"/>
        <v>0.25707001892120396</v>
      </c>
      <c r="P130" s="8">
        <f t="shared" si="12"/>
        <v>-1.4398020076252298</v>
      </c>
      <c r="X130" s="8">
        <v>-13</v>
      </c>
    </row>
    <row r="131" spans="1:24" x14ac:dyDescent="0.2">
      <c r="A131" s="8">
        <v>64.5</v>
      </c>
      <c r="B131" s="8">
        <v>129</v>
      </c>
      <c r="D131">
        <v>990.69115646259002</v>
      </c>
      <c r="E131">
        <v>319.04489795917999</v>
      </c>
      <c r="F131">
        <v>167.85481682496999</v>
      </c>
      <c r="G131">
        <v>127.14111261873001</v>
      </c>
      <c r="I131" s="9">
        <f t="shared" ref="I131:I194" si="15">E131-G131</f>
        <v>191.90378534044999</v>
      </c>
      <c r="J131" s="9">
        <f t="shared" ref="J131:J194" si="16">D131-F131</f>
        <v>822.83633963762009</v>
      </c>
      <c r="K131" s="9">
        <f t="shared" ref="K131:K194" si="17">I131*1</f>
        <v>191.90378534044999</v>
      </c>
      <c r="L131" s="10">
        <f t="shared" si="14"/>
        <v>0.23322230204971875</v>
      </c>
      <c r="M131" s="10">
        <f t="shared" ref="M131:M181" si="18">L131+ABS($N$2)*A131</f>
        <v>0.25680497614527775</v>
      </c>
      <c r="P131" s="8">
        <f t="shared" ref="P131:P194" si="19">(M131-$O$2)/$O$2*100</f>
        <v>-1.5414189467819597</v>
      </c>
      <c r="X131" s="8">
        <v>-13</v>
      </c>
    </row>
    <row r="132" spans="1:24" x14ac:dyDescent="0.2">
      <c r="A132" s="8">
        <v>65</v>
      </c>
      <c r="B132" s="8">
        <v>130</v>
      </c>
      <c r="D132">
        <v>986.51632653060994</v>
      </c>
      <c r="E132">
        <v>317.96190476190998</v>
      </c>
      <c r="F132">
        <v>168.61872455902</v>
      </c>
      <c r="G132">
        <v>126.61872455902</v>
      </c>
      <c r="I132" s="9">
        <f t="shared" si="15"/>
        <v>191.34318020288998</v>
      </c>
      <c r="J132" s="9">
        <f t="shared" si="16"/>
        <v>817.89760197158989</v>
      </c>
      <c r="K132" s="9">
        <f t="shared" si="17"/>
        <v>191.34318020288998</v>
      </c>
      <c r="L132" s="10">
        <f t="shared" si="14"/>
        <v>0.23394515369851443</v>
      </c>
      <c r="M132" s="10">
        <f t="shared" si="18"/>
        <v>0.25771063922117077</v>
      </c>
      <c r="P132" s="8">
        <f t="shared" si="19"/>
        <v>-1.1941892991980498</v>
      </c>
      <c r="X132" s="8">
        <v>-13</v>
      </c>
    </row>
    <row r="133" spans="1:24" x14ac:dyDescent="0.2">
      <c r="A133" s="8">
        <v>65.5</v>
      </c>
      <c r="B133" s="8">
        <v>131</v>
      </c>
      <c r="D133">
        <v>985.40816326531001</v>
      </c>
      <c r="E133">
        <v>316.69319727891002</v>
      </c>
      <c r="F133">
        <v>168.66621438262999</v>
      </c>
      <c r="G133">
        <v>126.77815468113999</v>
      </c>
      <c r="I133" s="9">
        <f t="shared" si="15"/>
        <v>189.91504259777003</v>
      </c>
      <c r="J133" s="9">
        <f t="shared" si="16"/>
        <v>816.74194888268005</v>
      </c>
      <c r="K133" s="9">
        <f t="shared" si="17"/>
        <v>189.91504259777003</v>
      </c>
      <c r="L133" s="10">
        <f t="shared" si="14"/>
        <v>0.23252759682244525</v>
      </c>
      <c r="M133" s="10">
        <f t="shared" si="18"/>
        <v>0.25647589377219898</v>
      </c>
      <c r="P133" s="8">
        <f t="shared" si="19"/>
        <v>-1.6675885560680035</v>
      </c>
      <c r="X133" s="8">
        <v>-13</v>
      </c>
    </row>
    <row r="134" spans="1:24" x14ac:dyDescent="0.2">
      <c r="A134" s="8">
        <v>66</v>
      </c>
      <c r="B134" s="8">
        <v>132</v>
      </c>
      <c r="D134">
        <v>987.39183673468995</v>
      </c>
      <c r="E134">
        <v>319.22585034014003</v>
      </c>
      <c r="F134">
        <v>167.56037991859</v>
      </c>
      <c r="G134">
        <v>126.54545454546</v>
      </c>
      <c r="I134" s="9">
        <f t="shared" si="15"/>
        <v>192.68039579468001</v>
      </c>
      <c r="J134" s="9">
        <f t="shared" si="16"/>
        <v>819.83145681609994</v>
      </c>
      <c r="K134" s="9">
        <f t="shared" si="17"/>
        <v>192.68039579468001</v>
      </c>
      <c r="L134" s="10">
        <f t="shared" si="14"/>
        <v>0.23502439945763268</v>
      </c>
      <c r="M134" s="10">
        <f t="shared" si="18"/>
        <v>0.25915550783448371</v>
      </c>
      <c r="P134" s="8">
        <f t="shared" si="19"/>
        <v>-0.64022918670145568</v>
      </c>
      <c r="X134" s="8">
        <v>-13</v>
      </c>
    </row>
    <row r="135" spans="1:24" x14ac:dyDescent="0.2">
      <c r="A135" s="8">
        <v>66.5</v>
      </c>
      <c r="B135" s="8">
        <v>133</v>
      </c>
      <c r="D135">
        <v>991.86598639455997</v>
      </c>
      <c r="E135">
        <v>318.15986394558001</v>
      </c>
      <c r="F135">
        <v>168.29511533242999</v>
      </c>
      <c r="G135">
        <v>126.63093622795</v>
      </c>
      <c r="I135" s="9">
        <f t="shared" si="15"/>
        <v>191.52892771763001</v>
      </c>
      <c r="J135" s="9">
        <f t="shared" si="16"/>
        <v>823.57087106212998</v>
      </c>
      <c r="K135" s="9">
        <f t="shared" si="17"/>
        <v>191.52892771763001</v>
      </c>
      <c r="L135" s="10">
        <f t="shared" si="14"/>
        <v>0.23255913297494601</v>
      </c>
      <c r="M135" s="10">
        <f t="shared" si="18"/>
        <v>0.25687305277889444</v>
      </c>
      <c r="P135" s="8">
        <f t="shared" si="19"/>
        <v>-1.51531848389612</v>
      </c>
      <c r="X135" s="8">
        <v>-13</v>
      </c>
    </row>
    <row r="136" spans="1:24" x14ac:dyDescent="0.2">
      <c r="A136" s="8">
        <v>67</v>
      </c>
      <c r="B136" s="8">
        <v>134</v>
      </c>
      <c r="D136">
        <v>989.4387755102</v>
      </c>
      <c r="E136">
        <v>318.69115646259002</v>
      </c>
      <c r="F136">
        <v>168.30529172320001</v>
      </c>
      <c r="G136">
        <v>126.61736770692001</v>
      </c>
      <c r="I136" s="9">
        <f t="shared" si="15"/>
        <v>192.07378875567002</v>
      </c>
      <c r="J136" s="9">
        <f t="shared" si="16"/>
        <v>821.13348378699993</v>
      </c>
      <c r="K136" s="9">
        <f t="shared" si="17"/>
        <v>192.07378875567002</v>
      </c>
      <c r="L136" s="10">
        <f t="shared" si="14"/>
        <v>0.23391299045539046</v>
      </c>
      <c r="M136" s="10">
        <f t="shared" si="18"/>
        <v>0.25840972168643622</v>
      </c>
      <c r="P136" s="8">
        <f t="shared" si="19"/>
        <v>-0.92616229831048169</v>
      </c>
      <c r="X136" s="8">
        <v>-13</v>
      </c>
    </row>
    <row r="137" spans="1:24" x14ac:dyDescent="0.2">
      <c r="A137" s="8">
        <v>67.5</v>
      </c>
      <c r="B137" s="8">
        <v>135</v>
      </c>
      <c r="D137">
        <v>988.02380952380997</v>
      </c>
      <c r="E137">
        <v>319.22517006803002</v>
      </c>
      <c r="F137">
        <v>167.93758480325999</v>
      </c>
      <c r="G137">
        <v>126.41383989145</v>
      </c>
      <c r="I137" s="9">
        <f t="shared" si="15"/>
        <v>192.81133017658004</v>
      </c>
      <c r="J137" s="9">
        <f t="shared" si="16"/>
        <v>820.08622472055004</v>
      </c>
      <c r="K137" s="9">
        <f t="shared" si="17"/>
        <v>192.81133017658004</v>
      </c>
      <c r="L137" s="10">
        <f t="shared" si="14"/>
        <v>0.23511104608821082</v>
      </c>
      <c r="M137" s="10">
        <f t="shared" si="18"/>
        <v>0.25979058874635397</v>
      </c>
      <c r="P137" s="8">
        <f t="shared" si="19"/>
        <v>-0.39674027003281714</v>
      </c>
      <c r="X137" s="8">
        <v>-13</v>
      </c>
    </row>
    <row r="138" spans="1:24" x14ac:dyDescent="0.2">
      <c r="A138" s="8">
        <v>68</v>
      </c>
      <c r="B138" s="8">
        <v>136</v>
      </c>
      <c r="D138">
        <v>986.18435374149999</v>
      </c>
      <c r="E138">
        <v>318.21292517006998</v>
      </c>
      <c r="F138">
        <v>167.49525101763999</v>
      </c>
      <c r="G138">
        <v>126.37924016282</v>
      </c>
      <c r="I138" s="9">
        <f t="shared" si="15"/>
        <v>191.83368500724998</v>
      </c>
      <c r="J138" s="9">
        <f t="shared" si="16"/>
        <v>818.68910272386006</v>
      </c>
      <c r="K138" s="9">
        <f t="shared" si="17"/>
        <v>191.83368500724998</v>
      </c>
      <c r="L138" s="10">
        <f t="shared" si="14"/>
        <v>0.2343181121734737</v>
      </c>
      <c r="M138" s="10">
        <f t="shared" si="18"/>
        <v>0.25918046625871421</v>
      </c>
      <c r="P138" s="8">
        <f t="shared" si="19"/>
        <v>-0.63066017027527299</v>
      </c>
      <c r="X138" s="8">
        <v>-13</v>
      </c>
    </row>
    <row r="139" spans="1:24" x14ac:dyDescent="0.2">
      <c r="A139" s="8">
        <v>68.5</v>
      </c>
      <c r="B139" s="8">
        <v>137</v>
      </c>
      <c r="D139">
        <v>984.51496598640006</v>
      </c>
      <c r="E139">
        <v>317.21564625849999</v>
      </c>
      <c r="F139">
        <v>167.85820895521999</v>
      </c>
      <c r="G139">
        <v>126.65603799186</v>
      </c>
      <c r="I139" s="9">
        <f t="shared" si="15"/>
        <v>190.55960826664</v>
      </c>
      <c r="J139" s="9">
        <f t="shared" si="16"/>
        <v>816.65675703118006</v>
      </c>
      <c r="K139" s="9">
        <f t="shared" si="17"/>
        <v>190.55960826664</v>
      </c>
      <c r="L139" s="10">
        <f t="shared" si="14"/>
        <v>0.23334112725570016</v>
      </c>
      <c r="M139" s="10">
        <f t="shared" si="18"/>
        <v>0.25838629276803804</v>
      </c>
      <c r="P139" s="8">
        <f t="shared" si="19"/>
        <v>-0.93514490486165602</v>
      </c>
      <c r="X139" s="8">
        <v>-13</v>
      </c>
    </row>
    <row r="140" spans="1:24" x14ac:dyDescent="0.2">
      <c r="A140" s="8">
        <v>69</v>
      </c>
      <c r="B140" s="8">
        <v>138</v>
      </c>
      <c r="D140">
        <v>979.58095238094995</v>
      </c>
      <c r="E140">
        <v>316.05714285713998</v>
      </c>
      <c r="F140">
        <v>167.57191316147001</v>
      </c>
      <c r="G140">
        <v>126.19810040706</v>
      </c>
      <c r="I140" s="9">
        <f t="shared" si="15"/>
        <v>189.85904245007998</v>
      </c>
      <c r="J140" s="9">
        <f t="shared" si="16"/>
        <v>812.00903921947997</v>
      </c>
      <c r="K140" s="9">
        <f t="shared" si="17"/>
        <v>189.85904245007998</v>
      </c>
      <c r="L140" s="10">
        <f t="shared" si="14"/>
        <v>0.2338139519143487</v>
      </c>
      <c r="M140" s="10">
        <f t="shared" si="18"/>
        <v>0.25904192885378391</v>
      </c>
      <c r="P140" s="8">
        <f t="shared" si="19"/>
        <v>-0.68377517029192592</v>
      </c>
      <c r="X140" s="8">
        <v>-13</v>
      </c>
    </row>
    <row r="141" spans="1:24" x14ac:dyDescent="0.2">
      <c r="A141" s="8">
        <v>69.5</v>
      </c>
      <c r="B141" s="8">
        <v>139</v>
      </c>
      <c r="D141">
        <v>979.79047619048004</v>
      </c>
      <c r="E141">
        <v>316.99455782312998</v>
      </c>
      <c r="F141">
        <v>167.89552238805999</v>
      </c>
      <c r="G141">
        <v>126.28358208954999</v>
      </c>
      <c r="I141" s="9">
        <f t="shared" si="15"/>
        <v>190.71097573357997</v>
      </c>
      <c r="J141" s="9">
        <f t="shared" si="16"/>
        <v>811.8949538024201</v>
      </c>
      <c r="K141" s="9">
        <f t="shared" si="17"/>
        <v>190.71097573357997</v>
      </c>
      <c r="L141" s="10">
        <f t="shared" si="14"/>
        <v>0.23489612152459655</v>
      </c>
      <c r="M141" s="10">
        <f t="shared" si="18"/>
        <v>0.26030690989112909</v>
      </c>
      <c r="P141" s="8">
        <f t="shared" si="19"/>
        <v>-0.19878364144485303</v>
      </c>
      <c r="X141" s="8">
        <v>-13</v>
      </c>
    </row>
    <row r="142" spans="1:24" x14ac:dyDescent="0.2">
      <c r="A142" s="8">
        <v>70</v>
      </c>
      <c r="B142" s="8">
        <v>140</v>
      </c>
      <c r="D142">
        <v>974.28571428571001</v>
      </c>
      <c r="E142">
        <v>315.10000000000002</v>
      </c>
      <c r="F142">
        <v>167.26255088195001</v>
      </c>
      <c r="G142">
        <v>126.34938941655</v>
      </c>
      <c r="I142" s="9">
        <f t="shared" si="15"/>
        <v>188.75061058345003</v>
      </c>
      <c r="J142" s="9">
        <f t="shared" si="16"/>
        <v>807.02316340376001</v>
      </c>
      <c r="K142" s="9">
        <f t="shared" si="17"/>
        <v>188.75061058345003</v>
      </c>
      <c r="L142" s="10">
        <f t="shared" si="14"/>
        <v>0.23388499753509134</v>
      </c>
      <c r="M142" s="10">
        <f t="shared" si="18"/>
        <v>0.25947859732872125</v>
      </c>
      <c r="P142" s="8">
        <f t="shared" si="19"/>
        <v>-0.51635723673645939</v>
      </c>
      <c r="X142" s="8">
        <v>-13</v>
      </c>
    </row>
    <row r="143" spans="1:24" x14ac:dyDescent="0.2">
      <c r="A143" s="8">
        <v>70.5</v>
      </c>
      <c r="B143" s="8">
        <v>141</v>
      </c>
      <c r="D143">
        <v>969.14965986394998</v>
      </c>
      <c r="E143">
        <v>314.39591836735002</v>
      </c>
      <c r="F143">
        <v>166.80800542741</v>
      </c>
      <c r="G143">
        <v>126.16146540027</v>
      </c>
      <c r="I143" s="9">
        <f t="shared" si="15"/>
        <v>188.23445296708002</v>
      </c>
      <c r="J143" s="9">
        <f t="shared" si="16"/>
        <v>802.34165443654001</v>
      </c>
      <c r="K143" s="9">
        <f t="shared" si="17"/>
        <v>188.23445296708002</v>
      </c>
      <c r="L143" s="10">
        <f t="shared" si="14"/>
        <v>0.2346063574366849</v>
      </c>
      <c r="M143" s="10">
        <f t="shared" si="18"/>
        <v>0.26038276865741217</v>
      </c>
      <c r="P143" s="8">
        <f t="shared" si="19"/>
        <v>-0.16969952243442482</v>
      </c>
      <c r="X143" s="8">
        <v>-13</v>
      </c>
    </row>
    <row r="144" spans="1:24" x14ac:dyDescent="0.2">
      <c r="A144" s="8">
        <v>71</v>
      </c>
      <c r="B144" s="8">
        <v>142</v>
      </c>
      <c r="D144">
        <v>957.79530201342004</v>
      </c>
      <c r="E144">
        <v>312.57718120804998</v>
      </c>
      <c r="F144">
        <v>167.49118046133</v>
      </c>
      <c r="G144">
        <v>126.26933514247</v>
      </c>
      <c r="I144" s="9">
        <f t="shared" si="15"/>
        <v>186.30784606557998</v>
      </c>
      <c r="J144" s="9">
        <f t="shared" si="16"/>
        <v>790.30412155209001</v>
      </c>
      <c r="K144" s="9">
        <f t="shared" si="17"/>
        <v>186.30784606557998</v>
      </c>
      <c r="L144" s="10">
        <f t="shared" si="14"/>
        <v>0.23574196437149691</v>
      </c>
      <c r="M144" s="10">
        <f t="shared" si="18"/>
        <v>0.26170118701932155</v>
      </c>
      <c r="P144" s="8">
        <f t="shared" si="19"/>
        <v>0.33577978367789391</v>
      </c>
    </row>
    <row r="145" spans="1:16" x14ac:dyDescent="0.2">
      <c r="A145" s="8">
        <v>71.5</v>
      </c>
      <c r="B145" s="8">
        <v>143</v>
      </c>
      <c r="D145">
        <v>962.30805369127995</v>
      </c>
      <c r="E145">
        <v>311.85973154362</v>
      </c>
      <c r="F145">
        <v>167.77204884668001</v>
      </c>
      <c r="G145">
        <v>126.01289009497999</v>
      </c>
      <c r="I145" s="9">
        <f t="shared" si="15"/>
        <v>185.84684144864002</v>
      </c>
      <c r="J145" s="9">
        <f t="shared" si="16"/>
        <v>794.53600484459992</v>
      </c>
      <c r="K145" s="9">
        <f t="shared" si="17"/>
        <v>185.84684144864002</v>
      </c>
      <c r="L145" s="10">
        <f t="shared" si="14"/>
        <v>0.23390612925714935</v>
      </c>
      <c r="M145" s="10">
        <f t="shared" si="18"/>
        <v>0.26004816333207131</v>
      </c>
      <c r="P145" s="8">
        <f t="shared" si="19"/>
        <v>-0.29798662200866954</v>
      </c>
    </row>
    <row r="146" spans="1:16" x14ac:dyDescent="0.2">
      <c r="A146" s="8">
        <v>72</v>
      </c>
      <c r="B146" s="8">
        <v>144</v>
      </c>
      <c r="D146">
        <v>955.90201342282</v>
      </c>
      <c r="E146">
        <v>311.40536912751998</v>
      </c>
      <c r="F146">
        <v>167.24491180461001</v>
      </c>
      <c r="G146">
        <v>126.02917232022</v>
      </c>
      <c r="I146" s="9">
        <f t="shared" si="15"/>
        <v>185.37619680729998</v>
      </c>
      <c r="J146" s="9">
        <f t="shared" si="16"/>
        <v>788.65710161820994</v>
      </c>
      <c r="K146" s="9">
        <f t="shared" si="17"/>
        <v>185.37619680729998</v>
      </c>
      <c r="L146" s="10">
        <f t="shared" si="14"/>
        <v>0.23505297350006096</v>
      </c>
      <c r="M146" s="10">
        <f t="shared" si="18"/>
        <v>0.26137781900208029</v>
      </c>
      <c r="P146" s="8">
        <f t="shared" si="19"/>
        <v>0.21180104847785983</v>
      </c>
    </row>
    <row r="147" spans="1:16" x14ac:dyDescent="0.2">
      <c r="A147" s="8">
        <v>72.5</v>
      </c>
      <c r="B147" s="8">
        <v>145</v>
      </c>
      <c r="D147">
        <v>954.54429530201003</v>
      </c>
      <c r="E147">
        <v>312.33020134228002</v>
      </c>
      <c r="F147">
        <v>167.19402985075001</v>
      </c>
      <c r="G147">
        <v>126.27340569878</v>
      </c>
      <c r="I147" s="9">
        <f t="shared" si="15"/>
        <v>186.05679564350004</v>
      </c>
      <c r="J147" s="9">
        <f t="shared" si="16"/>
        <v>787.35026545126004</v>
      </c>
      <c r="K147" s="9">
        <f t="shared" si="17"/>
        <v>186.05679564350004</v>
      </c>
      <c r="L147" s="10">
        <f t="shared" si="14"/>
        <v>0.23630752894566423</v>
      </c>
      <c r="M147" s="10">
        <f t="shared" si="18"/>
        <v>0.26281518587478092</v>
      </c>
      <c r="P147" s="8">
        <f t="shared" si="19"/>
        <v>0.76288500667555936</v>
      </c>
    </row>
    <row r="148" spans="1:16" x14ac:dyDescent="0.2">
      <c r="A148" s="8">
        <v>73</v>
      </c>
      <c r="B148" s="8">
        <v>146</v>
      </c>
      <c r="D148">
        <v>952.46979865772005</v>
      </c>
      <c r="E148">
        <v>310.66241610738001</v>
      </c>
      <c r="F148">
        <v>167.74355495251001</v>
      </c>
      <c r="G148">
        <v>126.29782903664</v>
      </c>
      <c r="I148" s="9">
        <f t="shared" si="15"/>
        <v>184.36458707074001</v>
      </c>
      <c r="J148" s="9">
        <f t="shared" si="16"/>
        <v>784.72624370520998</v>
      </c>
      <c r="K148" s="9">
        <f t="shared" si="17"/>
        <v>184.36458707074001</v>
      </c>
      <c r="L148" s="10">
        <f t="shared" si="14"/>
        <v>0.23494127863015418</v>
      </c>
      <c r="M148" s="10">
        <f t="shared" si="18"/>
        <v>0.26163174698636826</v>
      </c>
      <c r="P148" s="8">
        <f t="shared" si="19"/>
        <v>0.30915659585850691</v>
      </c>
    </row>
    <row r="149" spans="1:16" x14ac:dyDescent="0.2">
      <c r="A149" s="8">
        <v>73.5</v>
      </c>
      <c r="B149" s="8">
        <v>147</v>
      </c>
      <c r="D149">
        <v>951.51006711409002</v>
      </c>
      <c r="E149">
        <v>312.41946308724999</v>
      </c>
      <c r="F149">
        <v>167.34803256444999</v>
      </c>
      <c r="G149">
        <v>126.40027137042</v>
      </c>
      <c r="I149" s="9">
        <f t="shared" si="15"/>
        <v>186.01919171682999</v>
      </c>
      <c r="J149" s="9">
        <f t="shared" si="16"/>
        <v>784.16203454964</v>
      </c>
      <c r="K149" s="9">
        <f t="shared" si="17"/>
        <v>186.01919171682999</v>
      </c>
      <c r="L149" s="10">
        <f t="shared" si="14"/>
        <v>0.23722034926577967</v>
      </c>
      <c r="M149" s="10">
        <f t="shared" si="18"/>
        <v>0.26409362904909106</v>
      </c>
      <c r="P149" s="8">
        <f t="shared" si="19"/>
        <v>1.2530378954129644</v>
      </c>
    </row>
    <row r="150" spans="1:16" x14ac:dyDescent="0.2">
      <c r="A150" s="8">
        <v>74</v>
      </c>
      <c r="B150" s="8">
        <v>148</v>
      </c>
      <c r="D150">
        <v>958.41812080536999</v>
      </c>
      <c r="E150">
        <v>313.17382550335998</v>
      </c>
      <c r="F150">
        <v>167.1302578019</v>
      </c>
      <c r="G150">
        <v>125.65807327000999</v>
      </c>
      <c r="I150" s="9">
        <f t="shared" si="15"/>
        <v>187.51575223334999</v>
      </c>
      <c r="J150" s="9">
        <f t="shared" si="16"/>
        <v>791.28786300346997</v>
      </c>
      <c r="K150" s="9">
        <f t="shared" si="17"/>
        <v>187.51575223334999</v>
      </c>
      <c r="L150" s="10">
        <f t="shared" si="14"/>
        <v>0.2369753929013918</v>
      </c>
      <c r="M150" s="10">
        <f t="shared" si="18"/>
        <v>0.26403148411180055</v>
      </c>
      <c r="P150" s="8">
        <f t="shared" si="19"/>
        <v>1.2292116345783481</v>
      </c>
    </row>
    <row r="151" spans="1:16" x14ac:dyDescent="0.2">
      <c r="A151" s="8">
        <v>74.5</v>
      </c>
      <c r="B151" s="8">
        <v>149</v>
      </c>
      <c r="D151">
        <v>959.18053691274997</v>
      </c>
      <c r="E151">
        <v>313.38120805368999</v>
      </c>
      <c r="F151">
        <v>166.631614654</v>
      </c>
      <c r="G151">
        <v>126.02578018996</v>
      </c>
      <c r="I151" s="9">
        <f t="shared" si="15"/>
        <v>187.35542786372997</v>
      </c>
      <c r="J151" s="9">
        <f t="shared" si="16"/>
        <v>792.54892225874994</v>
      </c>
      <c r="K151" s="9">
        <f t="shared" si="17"/>
        <v>187.35542786372997</v>
      </c>
      <c r="L151" s="10">
        <f t="shared" si="14"/>
        <v>0.23639604143271109</v>
      </c>
      <c r="M151" s="10">
        <f t="shared" si="18"/>
        <v>0.2636349440702172</v>
      </c>
      <c r="P151" s="8">
        <f t="shared" si="19"/>
        <v>1.0771788725535438</v>
      </c>
    </row>
    <row r="152" spans="1:16" x14ac:dyDescent="0.2">
      <c r="A152" s="8">
        <v>75</v>
      </c>
      <c r="B152" s="8">
        <v>150</v>
      </c>
      <c r="D152">
        <v>957.63892617450006</v>
      </c>
      <c r="E152">
        <v>313.39395973154001</v>
      </c>
      <c r="F152">
        <v>167.29647218452999</v>
      </c>
      <c r="G152">
        <v>125.78290366349999</v>
      </c>
      <c r="I152" s="9">
        <f t="shared" si="15"/>
        <v>187.61105606804</v>
      </c>
      <c r="J152" s="9">
        <f t="shared" si="16"/>
        <v>790.34245398997007</v>
      </c>
      <c r="K152" s="9">
        <f t="shared" si="17"/>
        <v>187.61105606804</v>
      </c>
      <c r="L152" s="10">
        <f t="shared" si="14"/>
        <v>0.23737944877047046</v>
      </c>
      <c r="M152" s="10">
        <f t="shared" si="18"/>
        <v>0.26480116283507393</v>
      </c>
      <c r="P152" s="8">
        <f t="shared" si="19"/>
        <v>1.5243051179596012</v>
      </c>
    </row>
    <row r="153" spans="1:16" x14ac:dyDescent="0.2">
      <c r="A153" s="8">
        <v>75.5</v>
      </c>
      <c r="B153" s="8">
        <v>151</v>
      </c>
      <c r="D153">
        <v>958.52617449664001</v>
      </c>
      <c r="E153">
        <v>313.01342281878999</v>
      </c>
      <c r="F153">
        <v>166.76729986431999</v>
      </c>
      <c r="G153">
        <v>125.88602442334</v>
      </c>
      <c r="I153" s="9">
        <f t="shared" si="15"/>
        <v>187.12739839544997</v>
      </c>
      <c r="J153" s="9">
        <f t="shared" si="16"/>
        <v>791.75887463232004</v>
      </c>
      <c r="K153" s="9">
        <f t="shared" si="17"/>
        <v>187.12739839544997</v>
      </c>
      <c r="L153" s="10">
        <f t="shared" si="14"/>
        <v>0.23634392286710887</v>
      </c>
      <c r="M153" s="10">
        <f t="shared" si="18"/>
        <v>0.26394844835880971</v>
      </c>
      <c r="P153" s="8">
        <f t="shared" si="19"/>
        <v>1.1973758713510065</v>
      </c>
    </row>
    <row r="154" spans="1:16" x14ac:dyDescent="0.2">
      <c r="A154" s="8">
        <v>76</v>
      </c>
      <c r="B154" s="8">
        <v>152</v>
      </c>
      <c r="D154">
        <v>954.40671140940003</v>
      </c>
      <c r="E154">
        <v>310.88456375839002</v>
      </c>
      <c r="F154">
        <v>166.62075983718</v>
      </c>
      <c r="G154">
        <v>125.68995929444</v>
      </c>
      <c r="I154" s="9">
        <f t="shared" si="15"/>
        <v>185.19460446395001</v>
      </c>
      <c r="J154" s="9">
        <f t="shared" si="16"/>
        <v>787.78595157222003</v>
      </c>
      <c r="K154" s="9">
        <f t="shared" si="17"/>
        <v>185.19460446395001</v>
      </c>
      <c r="L154" s="10">
        <f t="shared" si="14"/>
        <v>0.23508239020300981</v>
      </c>
      <c r="M154" s="10">
        <f t="shared" si="18"/>
        <v>0.26286972712180801</v>
      </c>
      <c r="P154" s="8">
        <f t="shared" si="19"/>
        <v>0.7837960258924217</v>
      </c>
    </row>
    <row r="155" spans="1:16" x14ac:dyDescent="0.2">
      <c r="A155" s="8">
        <v>76.5</v>
      </c>
      <c r="B155" s="8">
        <v>153</v>
      </c>
      <c r="D155">
        <v>959.36644295302006</v>
      </c>
      <c r="E155">
        <v>313.53355704697998</v>
      </c>
      <c r="F155">
        <v>166.97693351424999</v>
      </c>
      <c r="G155">
        <v>125.73066485753</v>
      </c>
      <c r="I155" s="9">
        <f t="shared" si="15"/>
        <v>187.80289218944998</v>
      </c>
      <c r="J155" s="9">
        <f t="shared" si="16"/>
        <v>792.38950943877012</v>
      </c>
      <c r="K155" s="9">
        <f t="shared" si="17"/>
        <v>187.80289218944998</v>
      </c>
      <c r="L155" s="10">
        <f t="shared" si="14"/>
        <v>0.23700830204385986</v>
      </c>
      <c r="M155" s="10">
        <f t="shared" si="18"/>
        <v>0.26497845038975543</v>
      </c>
      <c r="P155" s="8">
        <f t="shared" si="19"/>
        <v>1.5922768579716011</v>
      </c>
    </row>
    <row r="156" spans="1:16" x14ac:dyDescent="0.2">
      <c r="A156" s="8">
        <v>77</v>
      </c>
      <c r="B156" s="8">
        <v>154</v>
      </c>
      <c r="D156">
        <v>960.41812080536999</v>
      </c>
      <c r="E156">
        <v>312.79530201341998</v>
      </c>
      <c r="F156">
        <v>166.68724559022999</v>
      </c>
      <c r="G156">
        <v>125.81478968792</v>
      </c>
      <c r="I156" s="9">
        <f t="shared" si="15"/>
        <v>186.9805123255</v>
      </c>
      <c r="J156" s="9">
        <f t="shared" si="16"/>
        <v>793.73087521514003</v>
      </c>
      <c r="K156" s="9">
        <f t="shared" si="17"/>
        <v>186.9805123255</v>
      </c>
      <c r="L156" s="10">
        <f t="shared" si="14"/>
        <v>0.23557167569526524</v>
      </c>
      <c r="M156" s="10">
        <f t="shared" si="18"/>
        <v>0.26372463546825814</v>
      </c>
      <c r="P156" s="8">
        <f t="shared" si="19"/>
        <v>1.1115663985132986</v>
      </c>
    </row>
    <row r="157" spans="1:16" x14ac:dyDescent="0.2">
      <c r="A157" s="8">
        <v>77.5</v>
      </c>
      <c r="B157" s="8">
        <v>155</v>
      </c>
      <c r="D157">
        <v>961.07046979866004</v>
      </c>
      <c r="E157">
        <v>314.11073825503001</v>
      </c>
      <c r="F157">
        <v>166.86567164178999</v>
      </c>
      <c r="G157">
        <v>125.89552238806</v>
      </c>
      <c r="I157" s="9">
        <f t="shared" si="15"/>
        <v>188.21521586697003</v>
      </c>
      <c r="J157" s="9">
        <f t="shared" si="16"/>
        <v>794.20479815687008</v>
      </c>
      <c r="K157" s="9">
        <f t="shared" si="17"/>
        <v>188.21521586697003</v>
      </c>
      <c r="L157" s="10">
        <f t="shared" si="14"/>
        <v>0.23698574511733692</v>
      </c>
      <c r="M157" s="10">
        <f t="shared" si="18"/>
        <v>0.26532151631742718</v>
      </c>
      <c r="P157" s="8">
        <f t="shared" si="19"/>
        <v>1.7238077377593735</v>
      </c>
    </row>
    <row r="158" spans="1:16" x14ac:dyDescent="0.2">
      <c r="A158" s="8">
        <v>78</v>
      </c>
      <c r="B158" s="8">
        <v>156</v>
      </c>
      <c r="D158">
        <v>960.11946308724998</v>
      </c>
      <c r="E158">
        <v>314.79664429529998</v>
      </c>
      <c r="F158">
        <v>166.97286295794001</v>
      </c>
      <c r="G158">
        <v>125.72388059702</v>
      </c>
      <c r="I158" s="9">
        <f t="shared" si="15"/>
        <v>189.07276369827997</v>
      </c>
      <c r="J158" s="9">
        <f t="shared" si="16"/>
        <v>793.14660012930995</v>
      </c>
      <c r="K158" s="9">
        <f t="shared" si="17"/>
        <v>189.07276369827997</v>
      </c>
      <c r="L158" s="10">
        <f t="shared" si="14"/>
        <v>0.23838312320503507</v>
      </c>
      <c r="M158" s="10">
        <f t="shared" si="18"/>
        <v>0.26690170583222272</v>
      </c>
      <c r="P158" s="8">
        <f t="shared" si="19"/>
        <v>2.3296496484469902</v>
      </c>
    </row>
    <row r="159" spans="1:16" x14ac:dyDescent="0.2">
      <c r="A159" s="8">
        <v>78.5</v>
      </c>
      <c r="B159" s="8">
        <v>157</v>
      </c>
      <c r="D159">
        <v>973.60134228187997</v>
      </c>
      <c r="E159">
        <v>320.43288590603999</v>
      </c>
      <c r="F159">
        <v>166.72320217096001</v>
      </c>
      <c r="G159">
        <v>125.49457259159</v>
      </c>
      <c r="I159" s="9">
        <f t="shared" si="15"/>
        <v>194.93831331445</v>
      </c>
      <c r="J159" s="9">
        <f t="shared" si="16"/>
        <v>806.87814011091996</v>
      </c>
      <c r="K159" s="9">
        <f t="shared" si="17"/>
        <v>194.93831331445</v>
      </c>
      <c r="L159" s="10">
        <f t="shared" si="14"/>
        <v>0.24159573004128257</v>
      </c>
      <c r="M159" s="10">
        <f t="shared" si="18"/>
        <v>0.27029712409556755</v>
      </c>
      <c r="P159" s="8">
        <f t="shared" si="19"/>
        <v>3.6314471031115425</v>
      </c>
    </row>
    <row r="160" spans="1:16" x14ac:dyDescent="0.2">
      <c r="A160" s="8">
        <v>79</v>
      </c>
      <c r="B160" s="8">
        <v>158</v>
      </c>
      <c r="D160">
        <v>976.37382550335997</v>
      </c>
      <c r="E160">
        <v>321.54563758389003</v>
      </c>
      <c r="F160">
        <v>166.32835820896</v>
      </c>
      <c r="G160">
        <v>125.75780189959001</v>
      </c>
      <c r="I160" s="9">
        <f t="shared" si="15"/>
        <v>195.78783568430003</v>
      </c>
      <c r="J160" s="9">
        <f t="shared" si="16"/>
        <v>810.04546729439994</v>
      </c>
      <c r="K160" s="9">
        <f t="shared" si="17"/>
        <v>195.78783568430003</v>
      </c>
      <c r="L160" s="10">
        <f t="shared" si="14"/>
        <v>0.24169981018256056</v>
      </c>
      <c r="M160" s="10">
        <f t="shared" si="18"/>
        <v>0.27058401566394291</v>
      </c>
      <c r="P160" s="8">
        <f t="shared" si="19"/>
        <v>3.7414408312797631</v>
      </c>
    </row>
    <row r="161" spans="1:16" x14ac:dyDescent="0.2">
      <c r="A161" s="8">
        <v>79.5</v>
      </c>
      <c r="B161" s="8">
        <v>159</v>
      </c>
      <c r="D161">
        <v>978.97449664429996</v>
      </c>
      <c r="E161">
        <v>321.23221476510003</v>
      </c>
      <c r="F161">
        <v>166.28290366350001</v>
      </c>
      <c r="G161">
        <v>126.44911804613</v>
      </c>
      <c r="I161" s="9">
        <f t="shared" si="15"/>
        <v>194.78309671897003</v>
      </c>
      <c r="J161" s="9">
        <f t="shared" si="16"/>
        <v>812.6915929807999</v>
      </c>
      <c r="K161" s="9">
        <f t="shared" si="17"/>
        <v>194.78309671897003</v>
      </c>
      <c r="L161" s="10">
        <f t="shared" si="14"/>
        <v>0.2396765247743517</v>
      </c>
      <c r="M161" s="10">
        <f t="shared" si="18"/>
        <v>0.26874354168283138</v>
      </c>
      <c r="P161" s="8">
        <f t="shared" si="19"/>
        <v>3.035806309061253</v>
      </c>
    </row>
    <row r="162" spans="1:16" x14ac:dyDescent="0.2">
      <c r="A162" s="8">
        <v>80</v>
      </c>
      <c r="B162" s="4">
        <v>160</v>
      </c>
      <c r="C162" s="4" t="s">
        <v>6</v>
      </c>
      <c r="D162">
        <v>979.31006711408997</v>
      </c>
      <c r="E162">
        <v>321.34161073825999</v>
      </c>
      <c r="F162">
        <v>166.09430122117001</v>
      </c>
      <c r="G162">
        <v>125.54545454546</v>
      </c>
      <c r="H162" s="4"/>
      <c r="I162" s="5">
        <f t="shared" si="15"/>
        <v>195.79615619279997</v>
      </c>
      <c r="J162" s="5">
        <f t="shared" si="16"/>
        <v>813.21576589291999</v>
      </c>
      <c r="K162" s="9">
        <f t="shared" si="17"/>
        <v>195.79615619279997</v>
      </c>
      <c r="L162" s="6">
        <f t="shared" si="14"/>
        <v>0.24076778194015164</v>
      </c>
      <c r="M162" s="6">
        <f t="shared" si="18"/>
        <v>0.27001761027572868</v>
      </c>
      <c r="N162" s="4"/>
      <c r="O162" s="4"/>
      <c r="P162" s="4">
        <f t="shared" si="19"/>
        <v>3.5242819908960707</v>
      </c>
    </row>
    <row r="163" spans="1:16" x14ac:dyDescent="0.2">
      <c r="A163" s="8">
        <v>80.5</v>
      </c>
      <c r="B163" s="8">
        <v>161</v>
      </c>
      <c r="D163">
        <v>993.15302013423002</v>
      </c>
      <c r="E163">
        <v>326.76979865772</v>
      </c>
      <c r="F163">
        <v>166.7408412483</v>
      </c>
      <c r="G163">
        <v>125.62754409769001</v>
      </c>
      <c r="I163" s="9">
        <f t="shared" si="15"/>
        <v>201.14225456002998</v>
      </c>
      <c r="J163" s="9">
        <f t="shared" si="16"/>
        <v>826.41217888592996</v>
      </c>
      <c r="K163" s="9">
        <f t="shared" si="17"/>
        <v>201.14225456002998</v>
      </c>
      <c r="L163" s="10">
        <f t="shared" si="14"/>
        <v>0.24339217124218318</v>
      </c>
      <c r="M163" s="10">
        <f t="shared" si="18"/>
        <v>0.27282481100485756</v>
      </c>
      <c r="P163" s="8">
        <f t="shared" si="19"/>
        <v>4.6005578663496269</v>
      </c>
    </row>
    <row r="164" spans="1:16" x14ac:dyDescent="0.2">
      <c r="A164" s="8">
        <v>81</v>
      </c>
      <c r="B164" s="8">
        <v>162</v>
      </c>
      <c r="D164">
        <v>977.23288590604</v>
      </c>
      <c r="E164">
        <v>320.86510067114</v>
      </c>
      <c r="F164">
        <v>166.08073270014</v>
      </c>
      <c r="G164">
        <v>125.59226594301001</v>
      </c>
      <c r="I164" s="9">
        <f t="shared" si="15"/>
        <v>195.27283472812999</v>
      </c>
      <c r="J164" s="9">
        <f t="shared" si="16"/>
        <v>811.15215320590005</v>
      </c>
      <c r="K164" s="9">
        <f t="shared" si="17"/>
        <v>195.27283472812999</v>
      </c>
      <c r="L164" s="10">
        <f t="shared" si="14"/>
        <v>0.24073514932600149</v>
      </c>
      <c r="M164" s="10">
        <f t="shared" si="18"/>
        <v>0.27035060051577325</v>
      </c>
      <c r="P164" s="8">
        <f t="shared" si="19"/>
        <v>3.6519498695777197</v>
      </c>
    </row>
    <row r="165" spans="1:16" x14ac:dyDescent="0.2">
      <c r="A165" s="8">
        <v>81.5</v>
      </c>
      <c r="B165" s="8">
        <v>163</v>
      </c>
      <c r="D165">
        <v>978.22483221477</v>
      </c>
      <c r="E165">
        <v>320.88255033556999</v>
      </c>
      <c r="F165">
        <v>166.17910447761</v>
      </c>
      <c r="G165">
        <v>125.64721845319001</v>
      </c>
      <c r="I165" s="9">
        <f t="shared" si="15"/>
        <v>195.23533188237997</v>
      </c>
      <c r="J165" s="9">
        <f t="shared" si="16"/>
        <v>812.04572773715995</v>
      </c>
      <c r="K165" s="9">
        <f t="shared" si="17"/>
        <v>195.23533188237997</v>
      </c>
      <c r="L165" s="10">
        <f t="shared" si="14"/>
        <v>0.2404240613720377</v>
      </c>
      <c r="M165" s="10">
        <f t="shared" si="18"/>
        <v>0.27022232398890683</v>
      </c>
      <c r="P165" s="8">
        <f t="shared" si="19"/>
        <v>3.6027688723584217</v>
      </c>
    </row>
    <row r="166" spans="1:16" x14ac:dyDescent="0.2">
      <c r="A166" s="8">
        <v>82</v>
      </c>
      <c r="B166" s="8">
        <v>164</v>
      </c>
      <c r="D166">
        <v>988.77315436241997</v>
      </c>
      <c r="E166">
        <v>324.79060402685002</v>
      </c>
      <c r="F166">
        <v>166.40841248304</v>
      </c>
      <c r="G166">
        <v>125.16350067843</v>
      </c>
      <c r="I166" s="9">
        <f t="shared" si="15"/>
        <v>199.62710334842001</v>
      </c>
      <c r="J166" s="9">
        <f t="shared" si="16"/>
        <v>822.36474187937995</v>
      </c>
      <c r="K166" s="9">
        <f t="shared" si="17"/>
        <v>199.62710334842001</v>
      </c>
      <c r="L166" s="10">
        <f t="shared" si="14"/>
        <v>0.24274764369421403</v>
      </c>
      <c r="M166" s="10">
        <f t="shared" si="18"/>
        <v>0.27272871773818053</v>
      </c>
      <c r="P166" s="8">
        <f t="shared" si="19"/>
        <v>4.5637158750930524</v>
      </c>
    </row>
    <row r="167" spans="1:16" x14ac:dyDescent="0.2">
      <c r="A167" s="8">
        <v>82.5</v>
      </c>
      <c r="B167" s="8">
        <v>165</v>
      </c>
      <c r="D167">
        <v>983.68859060402997</v>
      </c>
      <c r="E167">
        <v>324.26577181208</v>
      </c>
      <c r="F167">
        <v>166.48710990501999</v>
      </c>
      <c r="G167">
        <v>125.56648575305</v>
      </c>
      <c r="I167" s="9">
        <f t="shared" si="15"/>
        <v>198.69928605902999</v>
      </c>
      <c r="J167" s="9">
        <f t="shared" si="16"/>
        <v>817.20148069900995</v>
      </c>
      <c r="K167" s="9">
        <f t="shared" si="17"/>
        <v>198.69928605902999</v>
      </c>
      <c r="L167" s="10">
        <f t="shared" si="14"/>
        <v>0.24314601815095649</v>
      </c>
      <c r="M167" s="10">
        <f t="shared" si="18"/>
        <v>0.27330990362202034</v>
      </c>
      <c r="P167" s="8">
        <f t="shared" si="19"/>
        <v>4.786541531783822</v>
      </c>
    </row>
    <row r="168" spans="1:16" x14ac:dyDescent="0.2">
      <c r="A168" s="8">
        <v>83</v>
      </c>
      <c r="B168" s="8">
        <v>166</v>
      </c>
      <c r="D168">
        <v>978.83221476510005</v>
      </c>
      <c r="E168">
        <v>323.38322147651002</v>
      </c>
      <c r="F168">
        <v>167.04206241520001</v>
      </c>
      <c r="G168">
        <v>125.5644504749</v>
      </c>
      <c r="I168" s="9">
        <f t="shared" si="15"/>
        <v>197.81877100161</v>
      </c>
      <c r="J168" s="9">
        <f t="shared" si="16"/>
        <v>811.79015234990004</v>
      </c>
      <c r="K168" s="9">
        <f t="shared" si="17"/>
        <v>197.81877100161</v>
      </c>
      <c r="L168" s="10">
        <f t="shared" si="14"/>
        <v>0.24368215163608636</v>
      </c>
      <c r="M168" s="10">
        <f t="shared" si="18"/>
        <v>0.27402884853424753</v>
      </c>
      <c r="P168" s="8">
        <f t="shared" si="19"/>
        <v>5.0621837602789359</v>
      </c>
    </row>
    <row r="169" spans="1:16" x14ac:dyDescent="0.2">
      <c r="A169" s="8">
        <v>83.5</v>
      </c>
      <c r="B169" s="8">
        <v>167</v>
      </c>
      <c r="D169">
        <v>987.39268788083996</v>
      </c>
      <c r="E169">
        <v>324.08327691265998</v>
      </c>
      <c r="F169">
        <v>165.93894165536</v>
      </c>
      <c r="G169">
        <v>125.79579375848</v>
      </c>
      <c r="I169" s="9">
        <f t="shared" si="15"/>
        <v>198.28748315417999</v>
      </c>
      <c r="J169" s="9">
        <f t="shared" si="16"/>
        <v>821.45374622548002</v>
      </c>
      <c r="K169" s="9">
        <f t="shared" si="17"/>
        <v>198.28748315417999</v>
      </c>
      <c r="L169" s="10">
        <f t="shared" si="14"/>
        <v>0.24138605985461323</v>
      </c>
      <c r="M169" s="10">
        <f t="shared" si="18"/>
        <v>0.27191556817987178</v>
      </c>
      <c r="P169" s="8">
        <f t="shared" si="19"/>
        <v>4.2519557491917599</v>
      </c>
    </row>
    <row r="170" spans="1:16" x14ac:dyDescent="0.2">
      <c r="A170" s="8">
        <v>84</v>
      </c>
      <c r="B170" s="8">
        <v>168</v>
      </c>
      <c r="D170">
        <v>993.67975626270004</v>
      </c>
      <c r="E170">
        <v>324.72444143534</v>
      </c>
      <c r="F170">
        <v>166.15196743555001</v>
      </c>
      <c r="G170">
        <v>125.50610583446</v>
      </c>
      <c r="I170" s="9">
        <f t="shared" si="15"/>
        <v>199.21833560087998</v>
      </c>
      <c r="J170" s="9">
        <f t="shared" si="16"/>
        <v>827.52778882715006</v>
      </c>
      <c r="K170" s="9">
        <f t="shared" si="17"/>
        <v>199.21833560087998</v>
      </c>
      <c r="L170" s="10">
        <f t="shared" si="14"/>
        <v>0.24073914893327134</v>
      </c>
      <c r="M170" s="10">
        <f t="shared" si="18"/>
        <v>0.27145146868562725</v>
      </c>
      <c r="P170" s="8">
        <f t="shared" si="19"/>
        <v>4.0740208105596425</v>
      </c>
    </row>
    <row r="171" spans="1:16" x14ac:dyDescent="0.2">
      <c r="A171" s="8">
        <v>84.5</v>
      </c>
      <c r="B171" s="8">
        <v>169</v>
      </c>
      <c r="D171">
        <v>995.73459715640001</v>
      </c>
      <c r="E171">
        <v>325.87339201083</v>
      </c>
      <c r="F171">
        <v>166.41926729986</v>
      </c>
      <c r="G171">
        <v>125.68317503391999</v>
      </c>
      <c r="I171" s="9">
        <f t="shared" si="15"/>
        <v>200.19021697690999</v>
      </c>
      <c r="J171" s="9">
        <f t="shared" si="16"/>
        <v>829.31532985654007</v>
      </c>
      <c r="K171" s="9">
        <f t="shared" si="17"/>
        <v>200.19021697690999</v>
      </c>
      <c r="L171" s="10">
        <f t="shared" si="14"/>
        <v>0.2413921578075014</v>
      </c>
      <c r="M171" s="10">
        <f t="shared" si="18"/>
        <v>0.27228728898695465</v>
      </c>
      <c r="P171" s="8">
        <f t="shared" si="19"/>
        <v>4.394472859890703</v>
      </c>
    </row>
    <row r="172" spans="1:16" x14ac:dyDescent="0.2">
      <c r="A172" s="8">
        <v>85</v>
      </c>
      <c r="B172" s="8">
        <v>170</v>
      </c>
      <c r="D172">
        <v>1015.2032630863</v>
      </c>
      <c r="E172">
        <v>332.32698844324</v>
      </c>
      <c r="F172">
        <v>166.92333785617001</v>
      </c>
      <c r="G172">
        <v>125.4986431479</v>
      </c>
      <c r="I172" s="9">
        <f t="shared" si="15"/>
        <v>206.82834529534</v>
      </c>
      <c r="J172" s="9">
        <f t="shared" si="16"/>
        <v>848.27992523012995</v>
      </c>
      <c r="K172" s="9">
        <f t="shared" si="17"/>
        <v>206.82834529534</v>
      </c>
      <c r="L172" s="10">
        <f t="shared" si="14"/>
        <v>0.24382086519285426</v>
      </c>
      <c r="M172" s="10">
        <f t="shared" si="18"/>
        <v>0.2748988077994049</v>
      </c>
      <c r="P172" s="8">
        <f t="shared" si="19"/>
        <v>5.3957246289459002</v>
      </c>
    </row>
    <row r="173" spans="1:16" x14ac:dyDescent="0.2">
      <c r="A173" s="8">
        <v>85.5</v>
      </c>
      <c r="B173" s="8">
        <v>171</v>
      </c>
      <c r="D173">
        <v>998.34670292318003</v>
      </c>
      <c r="E173">
        <v>324.28280081576997</v>
      </c>
      <c r="F173">
        <v>166.18656716417999</v>
      </c>
      <c r="G173">
        <v>126.03595658073</v>
      </c>
      <c r="I173" s="9">
        <f t="shared" si="15"/>
        <v>198.24684423503999</v>
      </c>
      <c r="J173" s="9">
        <f t="shared" si="16"/>
        <v>832.16013575900001</v>
      </c>
      <c r="K173" s="9">
        <f t="shared" si="17"/>
        <v>198.24684423503999</v>
      </c>
      <c r="L173" s="10">
        <f t="shared" si="14"/>
        <v>0.23823160437050039</v>
      </c>
      <c r="M173" s="10">
        <f t="shared" si="18"/>
        <v>0.26949235840414837</v>
      </c>
      <c r="P173" s="8">
        <f t="shared" si="19"/>
        <v>3.3229013371890783</v>
      </c>
    </row>
    <row r="174" spans="1:16" x14ac:dyDescent="0.2">
      <c r="A174" s="8">
        <v>86</v>
      </c>
      <c r="B174" s="8">
        <v>172</v>
      </c>
      <c r="D174">
        <v>1001.7474541752</v>
      </c>
      <c r="E174">
        <v>325.43652410048003</v>
      </c>
      <c r="F174">
        <v>166.31750339212999</v>
      </c>
      <c r="G174">
        <v>125.60176390773</v>
      </c>
      <c r="I174" s="9">
        <f t="shared" si="15"/>
        <v>199.83476019275002</v>
      </c>
      <c r="J174" s="9">
        <f t="shared" si="16"/>
        <v>835.42995078307001</v>
      </c>
      <c r="K174" s="9">
        <f t="shared" si="17"/>
        <v>199.83476019275002</v>
      </c>
      <c r="L174" s="10">
        <f t="shared" si="14"/>
        <v>0.23919989941160208</v>
      </c>
      <c r="M174" s="10">
        <f t="shared" si="18"/>
        <v>0.27064346487234742</v>
      </c>
      <c r="P174" s="8">
        <f t="shared" si="19"/>
        <v>3.7642335543496359</v>
      </c>
    </row>
    <row r="175" spans="1:16" x14ac:dyDescent="0.2">
      <c r="A175" s="8">
        <v>86.5</v>
      </c>
      <c r="B175" s="8">
        <v>173</v>
      </c>
      <c r="D175">
        <v>985.51731160895997</v>
      </c>
      <c r="E175">
        <v>319.78071961981999</v>
      </c>
      <c r="F175">
        <v>166.87720488466999</v>
      </c>
      <c r="G175">
        <v>125.82564450475</v>
      </c>
      <c r="I175" s="9">
        <f t="shared" si="15"/>
        <v>193.95507511506997</v>
      </c>
      <c r="J175" s="9">
        <f t="shared" si="16"/>
        <v>818.64010672429004</v>
      </c>
      <c r="K175" s="9">
        <f t="shared" si="17"/>
        <v>193.95507511506997</v>
      </c>
      <c r="L175" s="10">
        <f t="shared" si="14"/>
        <v>0.23692349485680908</v>
      </c>
      <c r="M175" s="10">
        <f t="shared" si="18"/>
        <v>0.26854987174465178</v>
      </c>
      <c r="P175" s="8">
        <f t="shared" si="19"/>
        <v>2.9615535917188902</v>
      </c>
    </row>
    <row r="176" spans="1:16" x14ac:dyDescent="0.2">
      <c r="A176" s="8">
        <v>87</v>
      </c>
      <c r="B176" s="8">
        <v>174</v>
      </c>
      <c r="D176">
        <v>991.38059701493</v>
      </c>
      <c r="E176">
        <v>322.18860244233002</v>
      </c>
      <c r="F176">
        <v>166.90773405698999</v>
      </c>
      <c r="G176">
        <v>125.73337856174</v>
      </c>
      <c r="I176" s="9">
        <f t="shared" si="15"/>
        <v>196.45522388059004</v>
      </c>
      <c r="J176" s="9">
        <f t="shared" si="16"/>
        <v>824.47286295794004</v>
      </c>
      <c r="K176" s="9">
        <f t="shared" si="17"/>
        <v>196.45522388059004</v>
      </c>
      <c r="L176" s="10">
        <f t="shared" si="14"/>
        <v>0.2382797939228378</v>
      </c>
      <c r="M176" s="10">
        <f t="shared" si="18"/>
        <v>0.27008898223777783</v>
      </c>
      <c r="P176" s="8">
        <f t="shared" si="19"/>
        <v>3.5516458769695558</v>
      </c>
    </row>
    <row r="177" spans="1:16" x14ac:dyDescent="0.2">
      <c r="A177" s="8">
        <v>87.5</v>
      </c>
      <c r="B177" s="8">
        <v>175</v>
      </c>
      <c r="D177">
        <v>1019.091587517</v>
      </c>
      <c r="E177">
        <v>332.87856173677</v>
      </c>
      <c r="F177">
        <v>167.37449118046001</v>
      </c>
      <c r="G177">
        <v>125.59226594301001</v>
      </c>
      <c r="I177" s="9">
        <f t="shared" si="15"/>
        <v>207.28629579375999</v>
      </c>
      <c r="J177" s="9">
        <f t="shared" si="16"/>
        <v>851.71709633653995</v>
      </c>
      <c r="K177" s="9">
        <f t="shared" si="17"/>
        <v>207.28629579375999</v>
      </c>
      <c r="L177" s="10">
        <f t="shared" si="14"/>
        <v>0.24337458609831017</v>
      </c>
      <c r="M177" s="10">
        <f t="shared" si="18"/>
        <v>0.27536658584034757</v>
      </c>
      <c r="P177" s="8">
        <f t="shared" si="19"/>
        <v>5.5750699159819828</v>
      </c>
    </row>
    <row r="178" spans="1:16" x14ac:dyDescent="0.2">
      <c r="A178" s="8">
        <v>88</v>
      </c>
      <c r="B178" s="8">
        <v>176</v>
      </c>
      <c r="D178">
        <v>973.77001356851997</v>
      </c>
      <c r="E178">
        <v>328.98982360922997</v>
      </c>
      <c r="F178">
        <v>166.76390773406001</v>
      </c>
      <c r="G178">
        <v>125.79375848033</v>
      </c>
      <c r="I178" s="9">
        <f t="shared" si="15"/>
        <v>203.19606512889999</v>
      </c>
      <c r="J178" s="9">
        <f t="shared" si="16"/>
        <v>807.00610583445996</v>
      </c>
      <c r="K178" s="9">
        <f t="shared" si="17"/>
        <v>203.19606512889999</v>
      </c>
      <c r="L178" s="10">
        <f t="shared" si="14"/>
        <v>0.25178999720056805</v>
      </c>
      <c r="M178" s="10">
        <f t="shared" si="18"/>
        <v>0.28396480836970278</v>
      </c>
      <c r="P178" s="8">
        <f t="shared" si="19"/>
        <v>8.8716134741613679</v>
      </c>
    </row>
    <row r="179" spans="1:16" x14ac:dyDescent="0.2">
      <c r="A179" s="8">
        <v>88.5</v>
      </c>
      <c r="B179" s="8">
        <v>177</v>
      </c>
      <c r="D179">
        <v>1004.5431093008</v>
      </c>
      <c r="E179">
        <v>328.21317040053998</v>
      </c>
      <c r="F179">
        <v>166.94979647219</v>
      </c>
      <c r="G179">
        <v>125.72591587517</v>
      </c>
      <c r="I179" s="9">
        <f t="shared" si="15"/>
        <v>202.48725452536996</v>
      </c>
      <c r="J179" s="9">
        <f t="shared" si="16"/>
        <v>837.59331282861001</v>
      </c>
      <c r="K179" s="9">
        <f t="shared" si="17"/>
        <v>202.48725452536996</v>
      </c>
      <c r="L179" s="10">
        <f t="shared" si="14"/>
        <v>0.24174889104780053</v>
      </c>
      <c r="M179" s="10">
        <f t="shared" si="18"/>
        <v>0.27410651364403266</v>
      </c>
      <c r="P179" s="8">
        <f t="shared" si="19"/>
        <v>5.0919604282452928</v>
      </c>
    </row>
    <row r="180" spans="1:16" x14ac:dyDescent="0.2">
      <c r="A180" s="8">
        <v>89</v>
      </c>
      <c r="B180" s="8">
        <v>178</v>
      </c>
      <c r="D180">
        <v>1032.5078071962</v>
      </c>
      <c r="E180">
        <v>338.38221317040001</v>
      </c>
      <c r="F180">
        <v>166.95251017639001</v>
      </c>
      <c r="G180">
        <v>125.85413839892</v>
      </c>
      <c r="I180" s="9">
        <f t="shared" si="15"/>
        <v>212.52807477148002</v>
      </c>
      <c r="J180" s="9">
        <f t="shared" si="16"/>
        <v>865.55529701981004</v>
      </c>
      <c r="K180" s="9">
        <f t="shared" si="17"/>
        <v>212.52807477148002</v>
      </c>
      <c r="L180" s="10">
        <f t="shared" si="14"/>
        <v>0.24553956922594614</v>
      </c>
      <c r="M180" s="10">
        <f t="shared" si="18"/>
        <v>0.27808000324927562</v>
      </c>
      <c r="P180" s="8">
        <f t="shared" si="19"/>
        <v>6.6153894296389932</v>
      </c>
    </row>
    <row r="181" spans="1:16" x14ac:dyDescent="0.2">
      <c r="A181" s="8">
        <v>89.5</v>
      </c>
      <c r="B181" s="8">
        <v>179</v>
      </c>
      <c r="D181">
        <v>1027.608401084</v>
      </c>
      <c r="E181">
        <v>335.57384823848002</v>
      </c>
      <c r="F181">
        <v>166.43351424695001</v>
      </c>
      <c r="G181">
        <v>126.40298507463</v>
      </c>
      <c r="I181" s="9">
        <f t="shared" si="15"/>
        <v>209.17086316385002</v>
      </c>
      <c r="J181" s="9">
        <f t="shared" si="16"/>
        <v>861.17488683704994</v>
      </c>
      <c r="K181" s="9">
        <f t="shared" si="17"/>
        <v>209.17086316385002</v>
      </c>
      <c r="L181" s="10">
        <f t="shared" si="14"/>
        <v>0.24289011019828888</v>
      </c>
      <c r="M181" s="10">
        <f t="shared" si="18"/>
        <v>0.2756133556487157</v>
      </c>
      <c r="P181" s="8">
        <f t="shared" si="19"/>
        <v>5.6696810311690795</v>
      </c>
    </row>
    <row r="182" spans="1:16" x14ac:dyDescent="0.2">
      <c r="A182" s="8">
        <v>90</v>
      </c>
      <c r="B182" s="8">
        <v>180</v>
      </c>
      <c r="D182">
        <v>1028.8949864499</v>
      </c>
      <c r="E182">
        <v>334.35094850949002</v>
      </c>
      <c r="F182">
        <v>167.14246947083001</v>
      </c>
      <c r="G182">
        <v>125.92198100407001</v>
      </c>
      <c r="I182" s="9">
        <f t="shared" si="15"/>
        <v>208.42896750542002</v>
      </c>
      <c r="J182" s="9">
        <f t="shared" si="16"/>
        <v>861.75251697906992</v>
      </c>
      <c r="K182" s="9">
        <f t="shared" si="17"/>
        <v>208.42896750542002</v>
      </c>
      <c r="L182" s="10">
        <f t="shared" si="14"/>
        <v>0.24186638669310936</v>
      </c>
      <c r="M182" s="10">
        <f>L182+ABS($N$2)*A182</f>
        <v>0.27477244357063352</v>
      </c>
      <c r="P182" s="8">
        <f t="shared" si="19"/>
        <v>5.3472768034891383</v>
      </c>
    </row>
    <row r="183" spans="1:16" x14ac:dyDescent="0.2">
      <c r="A183" s="8">
        <v>90.5</v>
      </c>
      <c r="B183" s="8">
        <v>181</v>
      </c>
      <c r="D183">
        <v>1021.8177506775</v>
      </c>
      <c r="E183">
        <v>333.15921409214002</v>
      </c>
      <c r="F183">
        <v>167.32767978289999</v>
      </c>
      <c r="G183">
        <v>126.10651289010001</v>
      </c>
      <c r="I183" s="9">
        <f t="shared" si="15"/>
        <v>207.05270120204</v>
      </c>
      <c r="J183" s="9">
        <f t="shared" si="16"/>
        <v>854.49007089460008</v>
      </c>
      <c r="K183" s="9">
        <f t="shared" si="17"/>
        <v>207.05270120204</v>
      </c>
      <c r="L183" s="10">
        <f t="shared" si="14"/>
        <v>0.24231141853441104</v>
      </c>
      <c r="M183" s="10">
        <f t="shared" ref="M183:M241" si="20">L183+ABS($N$2)*A183</f>
        <v>0.27540028683903256</v>
      </c>
      <c r="P183" s="8">
        <f t="shared" si="19"/>
        <v>5.5879908202432915</v>
      </c>
    </row>
    <row r="184" spans="1:16" x14ac:dyDescent="0.2">
      <c r="A184" s="8">
        <v>91</v>
      </c>
      <c r="B184" s="8">
        <v>182</v>
      </c>
      <c r="D184">
        <v>995.54336043360001</v>
      </c>
      <c r="E184">
        <v>324.02303523034999</v>
      </c>
      <c r="F184">
        <v>167.78018995929</v>
      </c>
      <c r="G184">
        <v>125.64450474898</v>
      </c>
      <c r="I184" s="9">
        <f t="shared" si="15"/>
        <v>198.37853048136998</v>
      </c>
      <c r="J184" s="9">
        <f t="shared" si="16"/>
        <v>827.76317047431007</v>
      </c>
      <c r="K184" s="9">
        <f t="shared" si="17"/>
        <v>198.37853048136998</v>
      </c>
      <c r="L184" s="10">
        <f t="shared" si="14"/>
        <v>0.23965614508760841</v>
      </c>
      <c r="M184" s="10">
        <f t="shared" si="20"/>
        <v>0.27292782481932731</v>
      </c>
      <c r="P184" s="8">
        <f t="shared" si="19"/>
        <v>4.6400531835892496</v>
      </c>
    </row>
    <row r="185" spans="1:16" x14ac:dyDescent="0.2">
      <c r="A185" s="8">
        <v>91.5</v>
      </c>
      <c r="B185" s="8">
        <v>183</v>
      </c>
      <c r="D185">
        <v>990.36449864499002</v>
      </c>
      <c r="E185">
        <v>323.31504065041003</v>
      </c>
      <c r="F185">
        <v>167.42605156037999</v>
      </c>
      <c r="G185">
        <v>126.09565807327</v>
      </c>
      <c r="I185" s="9">
        <f t="shared" si="15"/>
        <v>197.21938257714004</v>
      </c>
      <c r="J185" s="9">
        <f t="shared" si="16"/>
        <v>822.93844708461006</v>
      </c>
      <c r="K185" s="9">
        <f t="shared" si="17"/>
        <v>197.21938257714004</v>
      </c>
      <c r="L185" s="10">
        <f t="shared" si="14"/>
        <v>0.23965265358037527</v>
      </c>
      <c r="M185" s="10">
        <f t="shared" si="20"/>
        <v>0.27310714473919151</v>
      </c>
      <c r="P185" s="8">
        <f t="shared" si="19"/>
        <v>4.7088041288762978</v>
      </c>
    </row>
    <row r="186" spans="1:16" x14ac:dyDescent="0.2">
      <c r="A186" s="8">
        <v>92</v>
      </c>
      <c r="B186" s="8">
        <v>184</v>
      </c>
      <c r="D186">
        <v>979.65243902438999</v>
      </c>
      <c r="E186">
        <v>319.21680216802002</v>
      </c>
      <c r="F186">
        <v>167.02510176390999</v>
      </c>
      <c r="G186">
        <v>125.91926729986</v>
      </c>
      <c r="I186" s="9">
        <f t="shared" si="15"/>
        <v>193.29753486816003</v>
      </c>
      <c r="J186" s="9">
        <f t="shared" si="16"/>
        <v>812.62733726047998</v>
      </c>
      <c r="K186" s="9">
        <f t="shared" si="17"/>
        <v>193.29753486816003</v>
      </c>
      <c r="L186" s="10">
        <f t="shared" si="14"/>
        <v>0.23786737906184952</v>
      </c>
      <c r="M186" s="10">
        <f t="shared" si="20"/>
        <v>0.27150468164776309</v>
      </c>
      <c r="P186" s="8">
        <f t="shared" si="19"/>
        <v>4.094422567660212</v>
      </c>
    </row>
    <row r="187" spans="1:16" x14ac:dyDescent="0.2">
      <c r="A187" s="8">
        <v>92.5</v>
      </c>
      <c r="B187" s="8">
        <v>185</v>
      </c>
      <c r="D187">
        <v>987.21273712737002</v>
      </c>
      <c r="E187">
        <v>321.37669376693998</v>
      </c>
      <c r="F187">
        <v>167.18113975577</v>
      </c>
      <c r="G187">
        <v>125.72930800543</v>
      </c>
      <c r="I187" s="9">
        <f t="shared" si="15"/>
        <v>195.64738576150998</v>
      </c>
      <c r="J187" s="9">
        <f t="shared" si="16"/>
        <v>820.03159737160001</v>
      </c>
      <c r="K187" s="9">
        <f t="shared" si="17"/>
        <v>195.64738576150998</v>
      </c>
      <c r="L187" s="10">
        <f t="shared" si="14"/>
        <v>0.23858517938651055</v>
      </c>
      <c r="M187" s="10">
        <f t="shared" si="20"/>
        <v>0.27240529339952152</v>
      </c>
      <c r="P187" s="8">
        <f t="shared" si="19"/>
        <v>4.4397155463594427</v>
      </c>
    </row>
    <row r="188" spans="1:16" x14ac:dyDescent="0.2">
      <c r="A188" s="8">
        <v>93</v>
      </c>
      <c r="B188" s="8">
        <v>186</v>
      </c>
      <c r="D188">
        <v>990.89092140921002</v>
      </c>
      <c r="E188">
        <v>321.47154471545002</v>
      </c>
      <c r="F188">
        <v>166.78561736770999</v>
      </c>
      <c r="G188">
        <v>126.18656716418</v>
      </c>
      <c r="I188" s="9">
        <f t="shared" si="15"/>
        <v>195.28497755127</v>
      </c>
      <c r="J188" s="9">
        <f t="shared" si="16"/>
        <v>824.10530404150006</v>
      </c>
      <c r="K188" s="9">
        <f t="shared" si="17"/>
        <v>195.28497755127</v>
      </c>
      <c r="L188" s="10">
        <f t="shared" si="14"/>
        <v>0.23696604862700399</v>
      </c>
      <c r="M188" s="10">
        <f t="shared" si="20"/>
        <v>0.27096897406711229</v>
      </c>
      <c r="P188" s="8">
        <f t="shared" si="19"/>
        <v>3.8890332132869077</v>
      </c>
    </row>
    <row r="189" spans="1:16" x14ac:dyDescent="0.2">
      <c r="A189" s="8">
        <v>93.5</v>
      </c>
      <c r="B189" s="8">
        <v>187</v>
      </c>
      <c r="D189">
        <v>990.09959349593998</v>
      </c>
      <c r="E189">
        <v>323.20867208672001</v>
      </c>
      <c r="F189">
        <v>167.11872455902</v>
      </c>
      <c r="G189">
        <v>126.5</v>
      </c>
      <c r="I189" s="9">
        <f t="shared" si="15"/>
        <v>196.70867208672001</v>
      </c>
      <c r="J189" s="9">
        <f t="shared" si="16"/>
        <v>822.98086893691993</v>
      </c>
      <c r="K189" s="9">
        <f t="shared" si="17"/>
        <v>196.70867208672001</v>
      </c>
      <c r="L189" s="10">
        <f t="shared" si="14"/>
        <v>0.23901973850354155</v>
      </c>
      <c r="M189" s="10">
        <f t="shared" si="20"/>
        <v>0.27320547537074724</v>
      </c>
      <c r="P189" s="8">
        <f t="shared" si="19"/>
        <v>4.7465039219346963</v>
      </c>
    </row>
    <row r="190" spans="1:16" x14ac:dyDescent="0.2">
      <c r="A190" s="8">
        <v>94</v>
      </c>
      <c r="B190" s="8">
        <v>188</v>
      </c>
      <c r="D190">
        <v>973.88956639566004</v>
      </c>
      <c r="E190">
        <v>316.86111111111001</v>
      </c>
      <c r="F190">
        <v>166.05563093622999</v>
      </c>
      <c r="G190">
        <v>125.92130257802</v>
      </c>
      <c r="I190" s="9">
        <f t="shared" si="15"/>
        <v>190.93980853309</v>
      </c>
      <c r="J190" s="9">
        <f t="shared" si="16"/>
        <v>807.83393545942999</v>
      </c>
      <c r="K190" s="9">
        <f t="shared" si="17"/>
        <v>190.93980853309</v>
      </c>
      <c r="L190" s="10">
        <f t="shared" si="14"/>
        <v>0.23636022225842621</v>
      </c>
      <c r="M190" s="10">
        <f t="shared" si="20"/>
        <v>0.27072877055272926</v>
      </c>
      <c r="P190" s="8">
        <f t="shared" si="19"/>
        <v>3.7969396037893635</v>
      </c>
    </row>
    <row r="191" spans="1:16" x14ac:dyDescent="0.2">
      <c r="A191" s="8">
        <v>94.5</v>
      </c>
      <c r="B191" s="8">
        <v>189</v>
      </c>
      <c r="D191">
        <v>971.10636856369001</v>
      </c>
      <c r="E191">
        <v>315.67005420053999</v>
      </c>
      <c r="F191">
        <v>167.56445047490001</v>
      </c>
      <c r="G191">
        <v>125.97693351425001</v>
      </c>
      <c r="I191" s="9">
        <f t="shared" si="15"/>
        <v>189.69312068629</v>
      </c>
      <c r="J191" s="9">
        <f t="shared" si="16"/>
        <v>803.54191808879</v>
      </c>
      <c r="K191" s="9">
        <f t="shared" si="17"/>
        <v>189.69312068629</v>
      </c>
      <c r="L191" s="10">
        <f t="shared" si="14"/>
        <v>0.23607121970372333</v>
      </c>
      <c r="M191" s="10">
        <f t="shared" si="20"/>
        <v>0.27062257942512369</v>
      </c>
      <c r="P191" s="8">
        <f t="shared" si="19"/>
        <v>3.7562261102215015</v>
      </c>
    </row>
    <row r="192" spans="1:16" x14ac:dyDescent="0.2">
      <c r="A192" s="8">
        <v>95</v>
      </c>
      <c r="B192" s="8">
        <v>190</v>
      </c>
      <c r="D192">
        <v>967.80758807587995</v>
      </c>
      <c r="E192">
        <v>315.05013550135999</v>
      </c>
      <c r="F192">
        <v>167.09090909091</v>
      </c>
      <c r="G192">
        <v>125.89552238806</v>
      </c>
      <c r="I192" s="9">
        <f t="shared" si="15"/>
        <v>189.1546131133</v>
      </c>
      <c r="J192" s="9">
        <f t="shared" si="16"/>
        <v>800.71667898496992</v>
      </c>
      <c r="K192" s="9">
        <f t="shared" si="17"/>
        <v>189.1546131133</v>
      </c>
      <c r="L192" s="10">
        <f t="shared" si="14"/>
        <v>0.23623163857793272</v>
      </c>
      <c r="M192" s="10">
        <f t="shared" si="20"/>
        <v>0.27096580972643047</v>
      </c>
      <c r="P192" s="8">
        <f t="shared" si="19"/>
        <v>3.8878200105749627</v>
      </c>
    </row>
    <row r="193" spans="1:16" x14ac:dyDescent="0.2">
      <c r="A193" s="8">
        <v>95.5</v>
      </c>
      <c r="B193" s="8">
        <v>191</v>
      </c>
      <c r="D193">
        <v>959.62127371274005</v>
      </c>
      <c r="E193">
        <v>312.82588075881</v>
      </c>
      <c r="F193">
        <v>167.23880597015</v>
      </c>
      <c r="G193">
        <v>125.88398914518</v>
      </c>
      <c r="I193" s="9">
        <f t="shared" si="15"/>
        <v>186.94189161362999</v>
      </c>
      <c r="J193" s="9">
        <f t="shared" si="16"/>
        <v>792.38246774259005</v>
      </c>
      <c r="K193" s="9">
        <f t="shared" si="17"/>
        <v>186.94189161362999</v>
      </c>
      <c r="L193" s="10">
        <f t="shared" si="14"/>
        <v>0.23592381106841845</v>
      </c>
      <c r="M193" s="10">
        <f t="shared" si="20"/>
        <v>0.27084079364401353</v>
      </c>
      <c r="P193" s="8">
        <f t="shared" si="19"/>
        <v>3.8398890620849273</v>
      </c>
    </row>
    <row r="194" spans="1:16" x14ac:dyDescent="0.2">
      <c r="A194" s="8">
        <v>96</v>
      </c>
      <c r="B194" s="8">
        <v>192</v>
      </c>
      <c r="D194">
        <v>966.88821138210994</v>
      </c>
      <c r="E194">
        <v>315.10569105691002</v>
      </c>
      <c r="F194">
        <v>166.19470827679999</v>
      </c>
      <c r="G194">
        <v>125.70963364993</v>
      </c>
      <c r="I194" s="9">
        <f t="shared" si="15"/>
        <v>189.39605740698002</v>
      </c>
      <c r="J194" s="9">
        <f t="shared" si="16"/>
        <v>800.6935031053099</v>
      </c>
      <c r="K194" s="9">
        <f t="shared" si="17"/>
        <v>189.39605740698002</v>
      </c>
      <c r="L194" s="10">
        <f t="shared" ref="L194:L257" si="21">K194/J194</f>
        <v>0.23654002021054243</v>
      </c>
      <c r="M194" s="10">
        <f t="shared" si="20"/>
        <v>0.27163981421323491</v>
      </c>
      <c r="P194" s="8">
        <f t="shared" si="19"/>
        <v>4.1462321581523742</v>
      </c>
    </row>
    <row r="195" spans="1:16" x14ac:dyDescent="0.2">
      <c r="A195" s="8">
        <v>96.5</v>
      </c>
      <c r="B195" s="8">
        <v>193</v>
      </c>
      <c r="D195">
        <v>968.89837398374004</v>
      </c>
      <c r="E195">
        <v>317.05555555555998</v>
      </c>
      <c r="F195">
        <v>167.32021709634</v>
      </c>
      <c r="G195">
        <v>126.3459972863</v>
      </c>
      <c r="I195" s="9">
        <f t="shared" ref="I195:I241" si="22">E195-G195</f>
        <v>190.70955826925996</v>
      </c>
      <c r="J195" s="9">
        <f t="shared" ref="J195:J241" si="23">D195-F195</f>
        <v>801.57815688740004</v>
      </c>
      <c r="K195" s="9">
        <f t="shared" ref="K195:K258" si="24">I195*1</f>
        <v>190.70955826925996</v>
      </c>
      <c r="L195" s="10">
        <f t="shared" si="21"/>
        <v>0.2379176086955791</v>
      </c>
      <c r="M195" s="10">
        <f t="shared" si="20"/>
        <v>0.27320021412536888</v>
      </c>
      <c r="P195" s="8">
        <f t="shared" ref="P195:P241" si="25">(M195-$O$2)/$O$2*100</f>
        <v>4.7444867696103845</v>
      </c>
    </row>
    <row r="196" spans="1:16" x14ac:dyDescent="0.2">
      <c r="A196" s="8">
        <v>97</v>
      </c>
      <c r="B196" s="8">
        <v>194</v>
      </c>
      <c r="D196">
        <v>965.13956639566004</v>
      </c>
      <c r="E196">
        <v>315.59959349593998</v>
      </c>
      <c r="F196">
        <v>167.38738127543999</v>
      </c>
      <c r="G196">
        <v>125.64925373134</v>
      </c>
      <c r="I196" s="9">
        <f t="shared" si="22"/>
        <v>189.95033976459999</v>
      </c>
      <c r="J196" s="9">
        <f t="shared" si="23"/>
        <v>797.75218512022002</v>
      </c>
      <c r="K196" s="9">
        <f t="shared" si="24"/>
        <v>189.95033976459999</v>
      </c>
      <c r="L196" s="10">
        <f t="shared" si="21"/>
        <v>0.23810695013762295</v>
      </c>
      <c r="M196" s="10">
        <f t="shared" si="20"/>
        <v>0.27357236699451015</v>
      </c>
      <c r="P196" s="8">
        <f t="shared" si="25"/>
        <v>4.8871695321508</v>
      </c>
    </row>
    <row r="197" spans="1:16" x14ac:dyDescent="0.2">
      <c r="A197" s="8">
        <v>97.5</v>
      </c>
      <c r="B197" s="8">
        <v>195</v>
      </c>
      <c r="D197">
        <v>967.70663956639999</v>
      </c>
      <c r="E197">
        <v>315.60298102981</v>
      </c>
      <c r="F197">
        <v>167.30461329715001</v>
      </c>
      <c r="G197">
        <v>126.23270013569</v>
      </c>
      <c r="I197" s="9">
        <f t="shared" si="22"/>
        <v>189.37028089412001</v>
      </c>
      <c r="J197" s="9">
        <f t="shared" si="23"/>
        <v>800.40202626924997</v>
      </c>
      <c r="K197" s="9">
        <f t="shared" si="24"/>
        <v>189.37028089412001</v>
      </c>
      <c r="L197" s="10">
        <f t="shared" si="21"/>
        <v>0.23659395488638743</v>
      </c>
      <c r="M197" s="10">
        <f t="shared" si="20"/>
        <v>0.27224218317037197</v>
      </c>
      <c r="P197" s="8">
        <f t="shared" si="25"/>
        <v>4.3771793682900375</v>
      </c>
    </row>
    <row r="198" spans="1:16" x14ac:dyDescent="0.2">
      <c r="A198" s="8">
        <v>98</v>
      </c>
      <c r="B198" s="8">
        <v>196</v>
      </c>
      <c r="D198">
        <v>961.47357723576999</v>
      </c>
      <c r="E198">
        <v>314.44647696477</v>
      </c>
      <c r="F198">
        <v>166.93012211669</v>
      </c>
      <c r="G198">
        <v>125.7605156038</v>
      </c>
      <c r="I198" s="9">
        <f t="shared" si="22"/>
        <v>188.68596136097</v>
      </c>
      <c r="J198" s="9">
        <f t="shared" si="23"/>
        <v>794.54345511908002</v>
      </c>
      <c r="K198" s="9">
        <f t="shared" si="24"/>
        <v>188.68596136097</v>
      </c>
      <c r="L198" s="10">
        <f t="shared" si="21"/>
        <v>0.2374772080058116</v>
      </c>
      <c r="M198" s="10">
        <f t="shared" si="20"/>
        <v>0.27330824771689349</v>
      </c>
      <c r="P198" s="8">
        <f t="shared" si="25"/>
        <v>4.7859066606392062</v>
      </c>
    </row>
    <row r="199" spans="1:16" x14ac:dyDescent="0.2">
      <c r="A199" s="8">
        <v>98.5</v>
      </c>
      <c r="B199" s="8">
        <v>197</v>
      </c>
      <c r="D199">
        <v>960.72086720867003</v>
      </c>
      <c r="E199">
        <v>314.43766937669</v>
      </c>
      <c r="F199">
        <v>166.94301221167001</v>
      </c>
      <c r="G199">
        <v>125.78290366349999</v>
      </c>
      <c r="I199" s="9">
        <f t="shared" si="22"/>
        <v>188.65476571318999</v>
      </c>
      <c r="J199" s="9">
        <f t="shared" si="23"/>
        <v>793.77785499700008</v>
      </c>
      <c r="K199" s="9">
        <f t="shared" si="24"/>
        <v>188.65476571318999</v>
      </c>
      <c r="L199" s="10">
        <f t="shared" si="21"/>
        <v>0.23766695496172915</v>
      </c>
      <c r="M199" s="10">
        <f t="shared" si="20"/>
        <v>0.27368080609990841</v>
      </c>
      <c r="P199" s="8">
        <f t="shared" si="25"/>
        <v>4.9287448964932459</v>
      </c>
    </row>
    <row r="200" spans="1:16" x14ac:dyDescent="0.2">
      <c r="A200" s="8">
        <v>99</v>
      </c>
      <c r="B200" s="8">
        <v>198</v>
      </c>
      <c r="D200">
        <v>951.47696476964995</v>
      </c>
      <c r="E200">
        <v>310.52100271003002</v>
      </c>
      <c r="F200">
        <v>166.63568521030999</v>
      </c>
      <c r="G200">
        <v>126.29172320217</v>
      </c>
      <c r="I200" s="9">
        <f t="shared" si="22"/>
        <v>184.22927950786001</v>
      </c>
      <c r="J200" s="9">
        <f t="shared" si="23"/>
        <v>784.84127955933991</v>
      </c>
      <c r="K200" s="9">
        <f t="shared" si="24"/>
        <v>184.22927950786001</v>
      </c>
      <c r="L200" s="10">
        <f t="shared" si="21"/>
        <v>0.23473444160747778</v>
      </c>
      <c r="M200" s="10">
        <f t="shared" si="20"/>
        <v>0.27093110417275434</v>
      </c>
      <c r="P200" s="8">
        <f t="shared" si="25"/>
        <v>3.8745139616778221</v>
      </c>
    </row>
    <row r="201" spans="1:16" x14ac:dyDescent="0.2">
      <c r="A201" s="8">
        <v>99.5</v>
      </c>
      <c r="B201" s="8">
        <v>199</v>
      </c>
      <c r="D201">
        <v>953.41869918699001</v>
      </c>
      <c r="E201">
        <v>312.76964769647998</v>
      </c>
      <c r="F201">
        <v>166.90502035278001</v>
      </c>
      <c r="G201">
        <v>125.98303934870999</v>
      </c>
      <c r="I201" s="9">
        <f t="shared" si="22"/>
        <v>186.78660834776997</v>
      </c>
      <c r="J201" s="9">
        <f t="shared" si="23"/>
        <v>786.51367883420994</v>
      </c>
      <c r="K201" s="9">
        <f t="shared" si="24"/>
        <v>186.78660834776997</v>
      </c>
      <c r="L201" s="10">
        <f t="shared" si="21"/>
        <v>0.2374867893265756</v>
      </c>
      <c r="M201" s="10">
        <f t="shared" si="20"/>
        <v>0.27386626331894953</v>
      </c>
      <c r="P201" s="8">
        <f t="shared" si="25"/>
        <v>4.9998488716067753</v>
      </c>
    </row>
    <row r="202" spans="1:16" x14ac:dyDescent="0.2">
      <c r="A202" s="8">
        <v>100</v>
      </c>
      <c r="B202" s="8">
        <v>200</v>
      </c>
      <c r="D202">
        <v>955.26897018969998</v>
      </c>
      <c r="E202">
        <v>314.22967479674998</v>
      </c>
      <c r="F202">
        <v>167.30257801900001</v>
      </c>
      <c r="G202">
        <v>125.56648575305</v>
      </c>
      <c r="I202" s="9">
        <f t="shared" si="22"/>
        <v>188.66318904369996</v>
      </c>
      <c r="J202" s="9">
        <f t="shared" si="23"/>
        <v>787.96639217069992</v>
      </c>
      <c r="K202" s="9">
        <f t="shared" si="24"/>
        <v>188.66318904369996</v>
      </c>
      <c r="L202" s="10">
        <f t="shared" si="21"/>
        <v>0.23943050226287974</v>
      </c>
      <c r="M202" s="10">
        <f t="shared" si="20"/>
        <v>0.27599278768235103</v>
      </c>
      <c r="P202" s="8">
        <f t="shared" si="25"/>
        <v>5.8151546127118978</v>
      </c>
    </row>
    <row r="203" spans="1:16" x14ac:dyDescent="0.2">
      <c r="A203" s="8">
        <v>100.5</v>
      </c>
      <c r="B203" s="8">
        <v>201</v>
      </c>
      <c r="D203">
        <v>954.95731707316997</v>
      </c>
      <c r="E203">
        <v>314.11178861789</v>
      </c>
      <c r="F203">
        <v>166.92944369064</v>
      </c>
      <c r="G203">
        <v>126.3039348711</v>
      </c>
      <c r="I203" s="9">
        <f t="shared" si="22"/>
        <v>187.80785374678999</v>
      </c>
      <c r="J203" s="9">
        <f t="shared" si="23"/>
        <v>788.02787338252995</v>
      </c>
      <c r="K203" s="9">
        <f t="shared" si="24"/>
        <v>187.80785374678999</v>
      </c>
      <c r="L203" s="10">
        <f t="shared" si="21"/>
        <v>0.23832640962386745</v>
      </c>
      <c r="M203" s="10">
        <f t="shared" si="20"/>
        <v>0.2750715064704361</v>
      </c>
      <c r="P203" s="8">
        <f t="shared" si="25"/>
        <v>5.4619369989503248</v>
      </c>
    </row>
    <row r="204" spans="1:16" x14ac:dyDescent="0.2">
      <c r="A204" s="8">
        <v>101</v>
      </c>
      <c r="B204" s="8">
        <v>202</v>
      </c>
      <c r="D204">
        <v>959.86720867208999</v>
      </c>
      <c r="E204">
        <v>313.79200542004997</v>
      </c>
      <c r="F204">
        <v>166.77069199457</v>
      </c>
      <c r="G204">
        <v>125.93622795115</v>
      </c>
      <c r="I204" s="9">
        <f t="shared" si="22"/>
        <v>187.85577746889999</v>
      </c>
      <c r="J204" s="9">
        <f t="shared" si="23"/>
        <v>793.09651667751996</v>
      </c>
      <c r="K204" s="9">
        <f t="shared" si="24"/>
        <v>187.85577746889999</v>
      </c>
      <c r="L204" s="10">
        <f t="shared" si="21"/>
        <v>0.23686370261197831</v>
      </c>
      <c r="M204" s="10">
        <f t="shared" si="20"/>
        <v>0.27379161088564435</v>
      </c>
      <c r="P204" s="8">
        <f t="shared" si="25"/>
        <v>4.9712272585612416</v>
      </c>
    </row>
    <row r="205" spans="1:16" x14ac:dyDescent="0.2">
      <c r="A205" s="8">
        <v>101.5</v>
      </c>
      <c r="B205" s="8">
        <v>203</v>
      </c>
      <c r="D205">
        <v>952.30758807587995</v>
      </c>
      <c r="E205">
        <v>312.62127371273999</v>
      </c>
      <c r="F205">
        <v>166.50067842605</v>
      </c>
      <c r="G205">
        <v>125.75169606513001</v>
      </c>
      <c r="I205" s="9">
        <f t="shared" si="22"/>
        <v>186.86957764760999</v>
      </c>
      <c r="J205" s="9">
        <f t="shared" si="23"/>
        <v>785.80690964983</v>
      </c>
      <c r="K205" s="9">
        <f t="shared" si="24"/>
        <v>186.86957764760999</v>
      </c>
      <c r="L205" s="10">
        <f t="shared" si="21"/>
        <v>0.23780597415576621</v>
      </c>
      <c r="M205" s="10">
        <f t="shared" si="20"/>
        <v>0.27491669385652961</v>
      </c>
      <c r="P205" s="8">
        <f t="shared" si="25"/>
        <v>5.402582112128548</v>
      </c>
    </row>
    <row r="206" spans="1:16" x14ac:dyDescent="0.2">
      <c r="A206" s="8">
        <v>102</v>
      </c>
      <c r="B206" s="8">
        <v>204</v>
      </c>
      <c r="D206">
        <v>952.05420054200999</v>
      </c>
      <c r="E206">
        <v>310.82249322492999</v>
      </c>
      <c r="F206">
        <v>166.21438263229001</v>
      </c>
      <c r="G206">
        <v>125.88263229307999</v>
      </c>
      <c r="I206" s="9">
        <f t="shared" si="22"/>
        <v>184.93986093184998</v>
      </c>
      <c r="J206" s="9">
        <f t="shared" si="23"/>
        <v>785.83981790971995</v>
      </c>
      <c r="K206" s="9">
        <f t="shared" si="24"/>
        <v>184.93986093184998</v>
      </c>
      <c r="L206" s="10">
        <f t="shared" si="21"/>
        <v>0.2353404048980075</v>
      </c>
      <c r="M206" s="10">
        <f t="shared" si="20"/>
        <v>0.27263393602586822</v>
      </c>
      <c r="P206" s="8">
        <f t="shared" si="25"/>
        <v>4.5273767314980118</v>
      </c>
    </row>
    <row r="207" spans="1:16" x14ac:dyDescent="0.2">
      <c r="A207" s="8">
        <v>102.5</v>
      </c>
      <c r="B207" s="8">
        <v>205</v>
      </c>
      <c r="D207">
        <v>946.97899728997004</v>
      </c>
      <c r="E207">
        <v>310.19037940379002</v>
      </c>
      <c r="F207">
        <v>167.08208955224001</v>
      </c>
      <c r="G207">
        <v>125.74423337856</v>
      </c>
      <c r="I207" s="9">
        <f t="shared" si="22"/>
        <v>184.44614602523001</v>
      </c>
      <c r="J207" s="9">
        <f t="shared" si="23"/>
        <v>779.89690773773009</v>
      </c>
      <c r="K207" s="9">
        <f t="shared" si="24"/>
        <v>184.44614602523001</v>
      </c>
      <c r="L207" s="10">
        <f t="shared" si="21"/>
        <v>0.23650067617303211</v>
      </c>
      <c r="M207" s="10">
        <f t="shared" si="20"/>
        <v>0.27397701872799018</v>
      </c>
      <c r="P207" s="8">
        <f t="shared" si="25"/>
        <v>5.0423123027357057</v>
      </c>
    </row>
    <row r="208" spans="1:16" x14ac:dyDescent="0.2">
      <c r="A208" s="8">
        <v>103</v>
      </c>
      <c r="B208" s="8">
        <v>206</v>
      </c>
      <c r="D208">
        <v>945.99119241192</v>
      </c>
      <c r="E208">
        <v>310.24254742546998</v>
      </c>
      <c r="F208">
        <v>166.69131614654</v>
      </c>
      <c r="G208">
        <v>125.57191316146999</v>
      </c>
      <c r="I208" s="9">
        <f t="shared" si="22"/>
        <v>184.670634264</v>
      </c>
      <c r="J208" s="9">
        <f t="shared" si="23"/>
        <v>779.29987626538002</v>
      </c>
      <c r="K208" s="9">
        <f t="shared" si="24"/>
        <v>184.670634264</v>
      </c>
      <c r="L208" s="10">
        <f t="shared" si="21"/>
        <v>0.23696992632539943</v>
      </c>
      <c r="M208" s="10">
        <f t="shared" si="20"/>
        <v>0.27462908030745486</v>
      </c>
      <c r="P208" s="8">
        <f t="shared" si="25"/>
        <v>5.2923115778163146</v>
      </c>
    </row>
    <row r="209" spans="1:16" x14ac:dyDescent="0.2">
      <c r="A209" s="8">
        <v>103.5</v>
      </c>
      <c r="B209" s="8">
        <v>207</v>
      </c>
      <c r="D209">
        <v>946.99457994579996</v>
      </c>
      <c r="E209">
        <v>310.24254742546998</v>
      </c>
      <c r="F209">
        <v>166.53120759837</v>
      </c>
      <c r="G209">
        <v>125.92740841248001</v>
      </c>
      <c r="I209" s="9">
        <f t="shared" si="22"/>
        <v>184.31513901298996</v>
      </c>
      <c r="J209" s="9">
        <f t="shared" si="23"/>
        <v>780.46337234742998</v>
      </c>
      <c r="K209" s="9">
        <f t="shared" si="24"/>
        <v>184.31513901298996</v>
      </c>
      <c r="L209" s="10">
        <f t="shared" si="21"/>
        <v>0.23616116469196774</v>
      </c>
      <c r="M209" s="10">
        <f t="shared" si="20"/>
        <v>0.27400313010112054</v>
      </c>
      <c r="P209" s="8">
        <f t="shared" si="25"/>
        <v>5.0523233577641387</v>
      </c>
    </row>
    <row r="210" spans="1:16" x14ac:dyDescent="0.2">
      <c r="A210" s="8">
        <v>104</v>
      </c>
      <c r="B210" s="8">
        <v>208</v>
      </c>
      <c r="D210">
        <v>945.26084010839998</v>
      </c>
      <c r="E210">
        <v>309.94918699187002</v>
      </c>
      <c r="F210">
        <v>167.12347354138001</v>
      </c>
      <c r="G210">
        <v>125.60040705563</v>
      </c>
      <c r="I210" s="9">
        <f t="shared" si="22"/>
        <v>184.34877993624002</v>
      </c>
      <c r="J210" s="9">
        <f t="shared" si="23"/>
        <v>778.13736656701997</v>
      </c>
      <c r="K210" s="9">
        <f t="shared" si="24"/>
        <v>184.34877993624002</v>
      </c>
      <c r="L210" s="10">
        <f t="shared" si="21"/>
        <v>0.23691032953416497</v>
      </c>
      <c r="M210" s="10">
        <f t="shared" si="20"/>
        <v>0.27493510637041513</v>
      </c>
      <c r="P210" s="8">
        <f t="shared" si="25"/>
        <v>5.4096414379173305</v>
      </c>
    </row>
    <row r="211" spans="1:16" x14ac:dyDescent="0.2">
      <c r="A211" s="8">
        <v>104.5</v>
      </c>
      <c r="B211" s="8">
        <v>209</v>
      </c>
      <c r="D211">
        <v>940.23848238482003</v>
      </c>
      <c r="E211">
        <v>307.97493224931998</v>
      </c>
      <c r="F211">
        <v>166.52849389417</v>
      </c>
      <c r="G211">
        <v>125.62279511533001</v>
      </c>
      <c r="I211" s="9">
        <f t="shared" si="22"/>
        <v>182.35213713398997</v>
      </c>
      <c r="J211" s="9">
        <f t="shared" si="23"/>
        <v>773.70998849065006</v>
      </c>
      <c r="K211" s="9">
        <f t="shared" si="24"/>
        <v>182.35213713398997</v>
      </c>
      <c r="L211" s="10">
        <f t="shared" si="21"/>
        <v>0.23568538579904041</v>
      </c>
      <c r="M211" s="10">
        <f t="shared" si="20"/>
        <v>0.27389297406238794</v>
      </c>
      <c r="P211" s="8">
        <f t="shared" si="25"/>
        <v>5.0100897241685045</v>
      </c>
    </row>
    <row r="212" spans="1:16" x14ac:dyDescent="0.2">
      <c r="A212" s="8">
        <v>105</v>
      </c>
      <c r="B212" s="8">
        <v>210</v>
      </c>
      <c r="D212">
        <v>934.25542005420004</v>
      </c>
      <c r="E212">
        <v>306.13075880758998</v>
      </c>
      <c r="F212">
        <v>166.61261872456001</v>
      </c>
      <c r="G212">
        <v>126.13500678426</v>
      </c>
      <c r="I212" s="9">
        <f t="shared" si="22"/>
        <v>179.99575202333</v>
      </c>
      <c r="J212" s="9">
        <f t="shared" si="23"/>
        <v>767.64280132964006</v>
      </c>
      <c r="K212" s="9">
        <f t="shared" si="24"/>
        <v>179.99575202333</v>
      </c>
      <c r="L212" s="10">
        <f t="shared" si="21"/>
        <v>0.2344785253135416</v>
      </c>
      <c r="M212" s="10">
        <f t="shared" si="20"/>
        <v>0.27286892500398646</v>
      </c>
      <c r="P212" s="8">
        <f t="shared" si="25"/>
        <v>4.617471096864123</v>
      </c>
    </row>
    <row r="213" spans="1:16" x14ac:dyDescent="0.2">
      <c r="A213" s="8">
        <v>105.5</v>
      </c>
      <c r="B213" s="8">
        <v>211</v>
      </c>
      <c r="D213">
        <v>933.47425474254999</v>
      </c>
      <c r="E213">
        <v>307.86178861789</v>
      </c>
      <c r="F213">
        <v>166.74287652646001</v>
      </c>
      <c r="G213">
        <v>125.91248303934999</v>
      </c>
      <c r="I213" s="9">
        <f t="shared" si="22"/>
        <v>181.94930557854002</v>
      </c>
      <c r="J213" s="9">
        <f t="shared" si="23"/>
        <v>766.73137821608998</v>
      </c>
      <c r="K213" s="9">
        <f t="shared" si="24"/>
        <v>181.94930557854002</v>
      </c>
      <c r="L213" s="10">
        <f t="shared" si="21"/>
        <v>0.23730515112329309</v>
      </c>
      <c r="M213" s="10">
        <f t="shared" si="20"/>
        <v>0.27587836224083534</v>
      </c>
      <c r="P213" s="8">
        <f t="shared" si="25"/>
        <v>5.7712840975173281</v>
      </c>
    </row>
    <row r="214" spans="1:16" x14ac:dyDescent="0.2">
      <c r="A214" s="8">
        <v>106</v>
      </c>
      <c r="B214" s="8">
        <v>212</v>
      </c>
      <c r="D214">
        <v>933.22764227642006</v>
      </c>
      <c r="E214">
        <v>307.64498644986998</v>
      </c>
      <c r="F214">
        <v>166.62075983718</v>
      </c>
      <c r="G214">
        <v>125.97964721845</v>
      </c>
      <c r="I214" s="9">
        <f t="shared" si="22"/>
        <v>181.66533923141998</v>
      </c>
      <c r="J214" s="9">
        <f t="shared" si="23"/>
        <v>766.60688243924005</v>
      </c>
      <c r="K214" s="9">
        <f t="shared" si="24"/>
        <v>181.66533923141998</v>
      </c>
      <c r="L214" s="10">
        <f t="shared" si="21"/>
        <v>0.23697326934162824</v>
      </c>
      <c r="M214" s="10">
        <f t="shared" si="20"/>
        <v>0.27572929188626782</v>
      </c>
      <c r="P214" s="8">
        <f t="shared" si="25"/>
        <v>5.7141307829354702</v>
      </c>
    </row>
    <row r="215" spans="1:16" x14ac:dyDescent="0.2">
      <c r="A215" s="8">
        <v>106.5</v>
      </c>
      <c r="B215" s="8">
        <v>213</v>
      </c>
      <c r="D215">
        <v>928.84417344173005</v>
      </c>
      <c r="E215">
        <v>306.32452574526002</v>
      </c>
      <c r="F215">
        <v>166.35685210311999</v>
      </c>
      <c r="G215">
        <v>125.84396200814</v>
      </c>
      <c r="I215" s="9">
        <f t="shared" si="22"/>
        <v>180.48056373712001</v>
      </c>
      <c r="J215" s="9">
        <f t="shared" si="23"/>
        <v>762.48732133861006</v>
      </c>
      <c r="K215" s="9">
        <f t="shared" si="24"/>
        <v>180.48056373712001</v>
      </c>
      <c r="L215" s="10">
        <f t="shared" si="21"/>
        <v>0.2366997570795949</v>
      </c>
      <c r="M215" s="10">
        <f t="shared" si="20"/>
        <v>0.27563859105133182</v>
      </c>
      <c r="P215" s="8">
        <f t="shared" si="25"/>
        <v>5.679356240626408</v>
      </c>
    </row>
    <row r="216" spans="1:16" x14ac:dyDescent="0.2">
      <c r="A216" s="8">
        <v>107</v>
      </c>
      <c r="B216" s="8">
        <v>214</v>
      </c>
      <c r="D216">
        <v>924.81300813007999</v>
      </c>
      <c r="E216">
        <v>304.19308943088998</v>
      </c>
      <c r="F216">
        <v>166.61736770691999</v>
      </c>
      <c r="G216">
        <v>125.78358208954999</v>
      </c>
      <c r="I216" s="9">
        <f t="shared" si="22"/>
        <v>178.40950734133997</v>
      </c>
      <c r="J216" s="9">
        <f t="shared" si="23"/>
        <v>758.19564042316006</v>
      </c>
      <c r="K216" s="9">
        <f t="shared" si="24"/>
        <v>178.40950734133997</v>
      </c>
      <c r="L216" s="10">
        <f t="shared" si="21"/>
        <v>0.23530801000354873</v>
      </c>
      <c r="M216" s="10">
        <f t="shared" si="20"/>
        <v>0.27442965540238301</v>
      </c>
      <c r="P216" s="8">
        <f t="shared" si="25"/>
        <v>5.2158524161802111</v>
      </c>
    </row>
    <row r="217" spans="1:16" x14ac:dyDescent="0.2">
      <c r="A217" s="8">
        <v>107.5</v>
      </c>
      <c r="B217" s="8">
        <v>215</v>
      </c>
      <c r="D217">
        <v>961.94085656016</v>
      </c>
      <c r="E217">
        <v>312.22977566281003</v>
      </c>
      <c r="F217">
        <v>166.37924016282</v>
      </c>
      <c r="G217">
        <v>125.95183175034001</v>
      </c>
      <c r="I217" s="9">
        <f t="shared" si="22"/>
        <v>186.27794391247002</v>
      </c>
      <c r="J217" s="9">
        <f t="shared" si="23"/>
        <v>795.56161639734</v>
      </c>
      <c r="K217" s="9">
        <f t="shared" si="24"/>
        <v>186.27794391247002</v>
      </c>
      <c r="L217" s="10">
        <f t="shared" si="21"/>
        <v>0.23414646970528838</v>
      </c>
      <c r="M217" s="10">
        <f t="shared" si="20"/>
        <v>0.27345092653122005</v>
      </c>
      <c r="P217" s="8">
        <f t="shared" si="25"/>
        <v>4.8406094698129714</v>
      </c>
    </row>
    <row r="218" spans="1:16" x14ac:dyDescent="0.2">
      <c r="A218" s="8">
        <v>108</v>
      </c>
      <c r="B218" s="8">
        <v>216</v>
      </c>
      <c r="D218">
        <v>971.39496940856998</v>
      </c>
      <c r="E218">
        <v>312.02719238613003</v>
      </c>
      <c r="F218">
        <v>166.15332428765001</v>
      </c>
      <c r="G218">
        <v>126.12143826323</v>
      </c>
      <c r="I218" s="9">
        <f t="shared" si="22"/>
        <v>185.90575412290002</v>
      </c>
      <c r="J218" s="9">
        <f t="shared" si="23"/>
        <v>805.24164512092</v>
      </c>
      <c r="K218" s="9">
        <f t="shared" si="24"/>
        <v>185.90575412290002</v>
      </c>
      <c r="L218" s="10">
        <f t="shared" si="21"/>
        <v>0.23086952252076243</v>
      </c>
      <c r="M218" s="10">
        <f t="shared" si="20"/>
        <v>0.27035679077379143</v>
      </c>
      <c r="P218" s="8">
        <f t="shared" si="25"/>
        <v>3.6543232037317996</v>
      </c>
    </row>
    <row r="219" spans="1:16" x14ac:dyDescent="0.2">
      <c r="A219" s="8">
        <v>108.5</v>
      </c>
      <c r="B219" s="8">
        <v>217</v>
      </c>
      <c r="D219">
        <v>997.078125</v>
      </c>
      <c r="E219">
        <v>321.17391304348001</v>
      </c>
      <c r="F219">
        <v>166.69877883311</v>
      </c>
      <c r="G219">
        <v>125.7408412483</v>
      </c>
      <c r="I219" s="9">
        <f t="shared" si="22"/>
        <v>195.43307179518001</v>
      </c>
      <c r="J219" s="9">
        <f t="shared" si="23"/>
        <v>830.37934616688995</v>
      </c>
      <c r="K219" s="9">
        <f t="shared" si="24"/>
        <v>195.43307179518001</v>
      </c>
      <c r="L219" s="10">
        <f t="shared" si="21"/>
        <v>0.23535396526577601</v>
      </c>
      <c r="M219" s="10">
        <f t="shared" si="20"/>
        <v>0.27502404494590238</v>
      </c>
      <c r="P219" s="8">
        <f t="shared" si="25"/>
        <v>5.4437403330197975</v>
      </c>
    </row>
    <row r="220" spans="1:16" x14ac:dyDescent="0.2">
      <c r="A220" s="8">
        <v>109</v>
      </c>
      <c r="B220" s="8">
        <v>218</v>
      </c>
      <c r="D220">
        <v>1007.765625</v>
      </c>
      <c r="E220">
        <v>325.50951086957002</v>
      </c>
      <c r="F220">
        <v>166.78968792402</v>
      </c>
      <c r="G220">
        <v>125.62279511533001</v>
      </c>
      <c r="I220" s="9">
        <f t="shared" si="22"/>
        <v>199.88671575424002</v>
      </c>
      <c r="J220" s="9">
        <f t="shared" si="23"/>
        <v>840.97593707598003</v>
      </c>
      <c r="K220" s="9">
        <f t="shared" si="24"/>
        <v>199.88671575424002</v>
      </c>
      <c r="L220" s="10">
        <f t="shared" si="21"/>
        <v>0.23768422726723126</v>
      </c>
      <c r="M220" s="10">
        <f t="shared" si="20"/>
        <v>0.27753711837445499</v>
      </c>
      <c r="P220" s="8">
        <f t="shared" si="25"/>
        <v>6.4072483131683597</v>
      </c>
    </row>
    <row r="221" spans="1:16" x14ac:dyDescent="0.2">
      <c r="A221" s="8">
        <v>109.5</v>
      </c>
      <c r="B221" s="8">
        <v>219</v>
      </c>
      <c r="D221">
        <v>1006.5326086957</v>
      </c>
      <c r="E221">
        <v>328.5</v>
      </c>
      <c r="F221">
        <v>167.29579375847999</v>
      </c>
      <c r="G221">
        <v>125.44369063772</v>
      </c>
      <c r="I221" s="9">
        <f t="shared" si="22"/>
        <v>203.05630936227999</v>
      </c>
      <c r="J221" s="9">
        <f t="shared" si="23"/>
        <v>839.23681493722006</v>
      </c>
      <c r="K221" s="9">
        <f t="shared" si="24"/>
        <v>203.05630936227999</v>
      </c>
      <c r="L221" s="10">
        <f t="shared" si="21"/>
        <v>0.24195352938308576</v>
      </c>
      <c r="M221" s="10">
        <f t="shared" si="20"/>
        <v>0.28198923191740682</v>
      </c>
      <c r="P221" s="8">
        <f t="shared" si="25"/>
        <v>8.1141808995481242</v>
      </c>
    </row>
    <row r="222" spans="1:16" x14ac:dyDescent="0.2">
      <c r="A222" s="8">
        <v>110</v>
      </c>
      <c r="B222" s="8">
        <v>220</v>
      </c>
      <c r="D222">
        <v>1013.5305706522</v>
      </c>
      <c r="E222">
        <v>334.51358695651999</v>
      </c>
      <c r="F222">
        <v>165.34599728629999</v>
      </c>
      <c r="G222">
        <v>125.25101763908</v>
      </c>
      <c r="I222" s="9">
        <f t="shared" si="22"/>
        <v>209.26256931743998</v>
      </c>
      <c r="J222" s="9">
        <f t="shared" si="23"/>
        <v>848.18457336590006</v>
      </c>
      <c r="K222" s="9">
        <f t="shared" si="24"/>
        <v>209.26256931743998</v>
      </c>
      <c r="L222" s="10">
        <f t="shared" si="21"/>
        <v>0.24671819777034046</v>
      </c>
      <c r="M222" s="10">
        <f t="shared" si="20"/>
        <v>0.28693671173175889</v>
      </c>
      <c r="P222" s="8">
        <f t="shared" si="25"/>
        <v>10.011036052522153</v>
      </c>
    </row>
    <row r="223" spans="1:16" x14ac:dyDescent="0.2">
      <c r="A223" s="8">
        <v>110.5</v>
      </c>
      <c r="B223" s="8">
        <v>221</v>
      </c>
      <c r="D223">
        <v>994.17323369564997</v>
      </c>
      <c r="E223">
        <v>321.99116847826002</v>
      </c>
      <c r="F223">
        <v>166.32021709634</v>
      </c>
      <c r="G223">
        <v>125.33853459973</v>
      </c>
      <c r="I223" s="9">
        <f t="shared" si="22"/>
        <v>196.65263387853003</v>
      </c>
      <c r="J223" s="9">
        <f t="shared" si="23"/>
        <v>827.85301659930997</v>
      </c>
      <c r="K223" s="9">
        <f t="shared" si="24"/>
        <v>196.65263387853003</v>
      </c>
      <c r="L223" s="10">
        <f t="shared" si="21"/>
        <v>0.23754534915672365</v>
      </c>
      <c r="M223" s="10">
        <f t="shared" si="20"/>
        <v>0.27794667454523947</v>
      </c>
      <c r="P223" s="8">
        <f t="shared" si="25"/>
        <v>6.5642714364828265</v>
      </c>
    </row>
    <row r="224" spans="1:16" x14ac:dyDescent="0.2">
      <c r="A224" s="8">
        <v>111</v>
      </c>
      <c r="B224" s="8">
        <v>222</v>
      </c>
      <c r="D224">
        <v>980.11616847825997</v>
      </c>
      <c r="E224">
        <v>316.82948369565003</v>
      </c>
      <c r="F224">
        <v>166.38331071913001</v>
      </c>
      <c r="G224">
        <v>125.53459972863</v>
      </c>
      <c r="I224" s="9">
        <f t="shared" si="22"/>
        <v>191.29488396702004</v>
      </c>
      <c r="J224" s="9">
        <f t="shared" si="23"/>
        <v>813.73285775912996</v>
      </c>
      <c r="K224" s="9">
        <f t="shared" si="24"/>
        <v>191.29488396702004</v>
      </c>
      <c r="L224" s="10">
        <f t="shared" si="21"/>
        <v>0.23508315062244239</v>
      </c>
      <c r="M224" s="10">
        <f t="shared" si="20"/>
        <v>0.27566728743805557</v>
      </c>
      <c r="P224" s="8">
        <f t="shared" si="25"/>
        <v>5.6903583853690289</v>
      </c>
    </row>
    <row r="225" spans="1:16" x14ac:dyDescent="0.2">
      <c r="A225" s="8">
        <v>111.5</v>
      </c>
      <c r="B225" s="8">
        <v>223</v>
      </c>
      <c r="D225">
        <v>978.51019021739</v>
      </c>
      <c r="E225">
        <v>314.47554347826002</v>
      </c>
      <c r="F225">
        <v>166.22727272726999</v>
      </c>
      <c r="G225">
        <v>125.24966078697</v>
      </c>
      <c r="I225" s="9">
        <f t="shared" si="22"/>
        <v>189.22588269129002</v>
      </c>
      <c r="J225" s="9">
        <f t="shared" si="23"/>
        <v>812.28291749011998</v>
      </c>
      <c r="K225" s="9">
        <f t="shared" si="24"/>
        <v>189.22588269129002</v>
      </c>
      <c r="L225" s="10">
        <f t="shared" si="21"/>
        <v>0.23295563481253639</v>
      </c>
      <c r="M225" s="10">
        <f t="shared" si="20"/>
        <v>0.27372258305524688</v>
      </c>
      <c r="P225" s="8">
        <f t="shared" si="25"/>
        <v>4.9447621084845839</v>
      </c>
    </row>
    <row r="226" spans="1:16" x14ac:dyDescent="0.2">
      <c r="A226" s="8">
        <v>112</v>
      </c>
      <c r="B226" s="8">
        <v>224</v>
      </c>
      <c r="D226">
        <v>976.23980978261</v>
      </c>
      <c r="E226">
        <v>313.68274456521999</v>
      </c>
      <c r="F226">
        <v>165.7605156038</v>
      </c>
      <c r="G226">
        <v>125.39213025780001</v>
      </c>
      <c r="I226" s="9">
        <f t="shared" si="22"/>
        <v>188.29061430741999</v>
      </c>
      <c r="J226" s="9">
        <f t="shared" si="23"/>
        <v>810.47929417881005</v>
      </c>
      <c r="K226" s="9">
        <f t="shared" si="24"/>
        <v>188.29061430741999</v>
      </c>
      <c r="L226" s="10">
        <f t="shared" si="21"/>
        <v>0.2323200798093169</v>
      </c>
      <c r="M226" s="10">
        <f t="shared" si="20"/>
        <v>0.27326983947912475</v>
      </c>
      <c r="P226" s="8">
        <f t="shared" si="25"/>
        <v>4.7711810091030555</v>
      </c>
    </row>
    <row r="227" spans="1:16" x14ac:dyDescent="0.2">
      <c r="A227" s="8">
        <v>112.5</v>
      </c>
      <c r="B227" s="8">
        <v>225</v>
      </c>
      <c r="D227">
        <v>974.74048913043998</v>
      </c>
      <c r="E227">
        <v>315.39945652173998</v>
      </c>
      <c r="F227">
        <v>166.66553595657999</v>
      </c>
      <c r="G227">
        <v>125.54409769335</v>
      </c>
      <c r="I227" s="9">
        <f t="shared" si="22"/>
        <v>189.85535882838997</v>
      </c>
      <c r="J227" s="9">
        <f t="shared" si="23"/>
        <v>808.07495317385997</v>
      </c>
      <c r="K227" s="9">
        <f t="shared" si="24"/>
        <v>189.85535882838997</v>
      </c>
      <c r="L227" s="10">
        <f t="shared" si="21"/>
        <v>0.23494770885138666</v>
      </c>
      <c r="M227" s="10">
        <f t="shared" si="20"/>
        <v>0.27608027994829187</v>
      </c>
      <c r="P227" s="8">
        <f t="shared" si="25"/>
        <v>5.8486989952506274</v>
      </c>
    </row>
    <row r="228" spans="1:16" x14ac:dyDescent="0.2">
      <c r="A228" s="8">
        <v>113</v>
      </c>
      <c r="B228" s="8">
        <v>226</v>
      </c>
      <c r="D228">
        <v>972.51902173913004</v>
      </c>
      <c r="E228">
        <v>315.02989130434997</v>
      </c>
      <c r="F228">
        <v>166.18792401627999</v>
      </c>
      <c r="G228">
        <v>125.49728629579</v>
      </c>
      <c r="I228" s="9">
        <f t="shared" si="22"/>
        <v>189.53260500855998</v>
      </c>
      <c r="J228" s="9">
        <f t="shared" si="23"/>
        <v>806.33109772285002</v>
      </c>
      <c r="K228" s="9">
        <f t="shared" si="24"/>
        <v>189.53260500855998</v>
      </c>
      <c r="L228" s="10">
        <f t="shared" si="21"/>
        <v>0.2350555566364943</v>
      </c>
      <c r="M228" s="10">
        <f t="shared" si="20"/>
        <v>0.27637093916049688</v>
      </c>
      <c r="P228" s="8">
        <f t="shared" si="25"/>
        <v>5.9601372315080168</v>
      </c>
    </row>
    <row r="229" spans="1:16" x14ac:dyDescent="0.2">
      <c r="A229" s="8">
        <v>113.5</v>
      </c>
      <c r="B229" s="8">
        <v>227</v>
      </c>
      <c r="D229">
        <v>969.01698369564997</v>
      </c>
      <c r="E229">
        <v>317.4347826087</v>
      </c>
      <c r="F229">
        <v>166.23066485753</v>
      </c>
      <c r="G229">
        <v>125.82428765265</v>
      </c>
      <c r="I229" s="9">
        <f t="shared" si="22"/>
        <v>191.61049495604999</v>
      </c>
      <c r="J229" s="9">
        <f t="shared" si="23"/>
        <v>802.78631883812</v>
      </c>
      <c r="K229" s="9">
        <f t="shared" si="24"/>
        <v>191.61049495604999</v>
      </c>
      <c r="L229" s="10">
        <f t="shared" si="21"/>
        <v>0.23868181415120479</v>
      </c>
      <c r="M229" s="10">
        <f t="shared" si="20"/>
        <v>0.2801800081023047</v>
      </c>
      <c r="P229" s="8">
        <f t="shared" si="25"/>
        <v>7.4205276366071731</v>
      </c>
    </row>
    <row r="230" spans="1:16" x14ac:dyDescent="0.2">
      <c r="A230" s="8">
        <v>114</v>
      </c>
      <c r="B230" s="8">
        <v>228</v>
      </c>
      <c r="D230">
        <v>960.06317934782999</v>
      </c>
      <c r="E230">
        <v>327.72350543478001</v>
      </c>
      <c r="F230">
        <v>165.7618724559</v>
      </c>
      <c r="G230">
        <v>125.98371777476</v>
      </c>
      <c r="I230" s="9">
        <f t="shared" si="22"/>
        <v>201.73978766002</v>
      </c>
      <c r="J230" s="9">
        <f t="shared" si="23"/>
        <v>794.30130689192993</v>
      </c>
      <c r="K230" s="9">
        <f t="shared" si="24"/>
        <v>201.73978766002</v>
      </c>
      <c r="L230" s="10">
        <f t="shared" si="21"/>
        <v>0.25398395534488033</v>
      </c>
      <c r="M230" s="10">
        <f t="shared" si="20"/>
        <v>0.29566496072307763</v>
      </c>
      <c r="P230" s="8">
        <f t="shared" si="25"/>
        <v>13.35743152999245</v>
      </c>
    </row>
    <row r="231" spans="1:16" x14ac:dyDescent="0.2">
      <c r="A231" s="8">
        <v>114.5</v>
      </c>
      <c r="B231" s="8">
        <v>229</v>
      </c>
      <c r="D231">
        <v>974.93546195652004</v>
      </c>
      <c r="E231">
        <v>338.21263586957002</v>
      </c>
      <c r="F231">
        <v>165.33446404342001</v>
      </c>
      <c r="G231">
        <v>125.62754409769001</v>
      </c>
      <c r="I231" s="9">
        <f t="shared" si="22"/>
        <v>212.58509177188</v>
      </c>
      <c r="J231" s="9">
        <f t="shared" si="23"/>
        <v>809.60099791310006</v>
      </c>
      <c r="K231" s="9">
        <f t="shared" si="24"/>
        <v>212.58509177188</v>
      </c>
      <c r="L231" s="10">
        <f t="shared" si="21"/>
        <v>0.26258007625961227</v>
      </c>
      <c r="M231" s="10">
        <f t="shared" si="20"/>
        <v>0.30444389306490693</v>
      </c>
      <c r="P231" s="8">
        <f t="shared" si="25"/>
        <v>16.723258915867316</v>
      </c>
    </row>
    <row r="232" spans="1:16" x14ac:dyDescent="0.2">
      <c r="A232" s="8">
        <v>115</v>
      </c>
      <c r="B232" s="8">
        <v>230</v>
      </c>
      <c r="D232">
        <v>989.49116847825997</v>
      </c>
      <c r="E232">
        <v>349.00135869565003</v>
      </c>
      <c r="F232">
        <v>165.72998643148</v>
      </c>
      <c r="G232">
        <v>125.24287652645999</v>
      </c>
      <c r="I232" s="9">
        <f t="shared" si="22"/>
        <v>223.75848216919002</v>
      </c>
      <c r="J232" s="9">
        <f t="shared" si="23"/>
        <v>823.76118204677994</v>
      </c>
      <c r="K232" s="9">
        <f t="shared" si="24"/>
        <v>223.75848216919002</v>
      </c>
      <c r="L232" s="10">
        <f t="shared" si="21"/>
        <v>0.2716302819868528</v>
      </c>
      <c r="M232" s="10">
        <f t="shared" si="20"/>
        <v>0.31367691021924482</v>
      </c>
      <c r="P232" s="8">
        <f t="shared" si="25"/>
        <v>20.263181628820735</v>
      </c>
    </row>
    <row r="233" spans="1:16" x14ac:dyDescent="0.2">
      <c r="A233" s="8">
        <v>115.5</v>
      </c>
      <c r="B233" s="8">
        <v>231</v>
      </c>
      <c r="D233">
        <v>983.05434782608995</v>
      </c>
      <c r="E233">
        <v>348.03940217390999</v>
      </c>
      <c r="F233">
        <v>164.87652645861999</v>
      </c>
      <c r="G233">
        <v>125.33649932157</v>
      </c>
      <c r="I233" s="9">
        <f t="shared" si="22"/>
        <v>222.70290285234</v>
      </c>
      <c r="J233" s="9">
        <f t="shared" si="23"/>
        <v>818.17782136746996</v>
      </c>
      <c r="K233" s="9">
        <f t="shared" si="24"/>
        <v>222.70290285234</v>
      </c>
      <c r="L233" s="10">
        <f t="shared" si="21"/>
        <v>0.27219376648480059</v>
      </c>
      <c r="M233" s="10">
        <f t="shared" si="20"/>
        <v>0.31442320614428998</v>
      </c>
      <c r="P233" s="8">
        <f t="shared" si="25"/>
        <v>20.549310188043734</v>
      </c>
    </row>
    <row r="234" spans="1:16" x14ac:dyDescent="0.2">
      <c r="A234" s="8">
        <v>116</v>
      </c>
      <c r="B234" s="8">
        <v>232</v>
      </c>
      <c r="D234">
        <v>955.85840108400998</v>
      </c>
      <c r="E234">
        <v>336.96815718157001</v>
      </c>
      <c r="F234">
        <v>165.19131614654</v>
      </c>
      <c r="G234">
        <v>125.14382632293</v>
      </c>
      <c r="I234" s="9">
        <f t="shared" si="22"/>
        <v>211.82433085864</v>
      </c>
      <c r="J234" s="9">
        <f t="shared" si="23"/>
        <v>790.66708493747001</v>
      </c>
      <c r="K234" s="9">
        <f t="shared" si="24"/>
        <v>211.82433085864</v>
      </c>
      <c r="L234" s="10">
        <f t="shared" si="21"/>
        <v>0.2679058416544457</v>
      </c>
      <c r="M234" s="10">
        <f t="shared" si="20"/>
        <v>0.31031809274103239</v>
      </c>
      <c r="P234" s="8">
        <f t="shared" si="25"/>
        <v>18.975416851496245</v>
      </c>
    </row>
    <row r="235" spans="1:16" x14ac:dyDescent="0.2">
      <c r="A235" s="8">
        <v>116.5</v>
      </c>
      <c r="B235" s="8">
        <v>233</v>
      </c>
      <c r="D235">
        <v>956.89769647697005</v>
      </c>
      <c r="E235">
        <v>338.13346883469001</v>
      </c>
      <c r="F235">
        <v>165.48982360923</v>
      </c>
      <c r="G235">
        <v>125.59769335143</v>
      </c>
      <c r="I235" s="9">
        <f t="shared" si="22"/>
        <v>212.53577548326001</v>
      </c>
      <c r="J235" s="9">
        <f t="shared" si="23"/>
        <v>791.40787286774002</v>
      </c>
      <c r="K235" s="9">
        <f t="shared" si="24"/>
        <v>212.53577548326001</v>
      </c>
      <c r="L235" s="10">
        <f t="shared" si="21"/>
        <v>0.26855403233874447</v>
      </c>
      <c r="M235" s="10">
        <f t="shared" si="20"/>
        <v>0.31114909485242853</v>
      </c>
      <c r="P235" s="8">
        <f t="shared" si="25"/>
        <v>19.294021615190569</v>
      </c>
    </row>
    <row r="236" spans="1:16" x14ac:dyDescent="0.2">
      <c r="A236" s="8">
        <v>117</v>
      </c>
      <c r="B236" s="8">
        <v>234</v>
      </c>
      <c r="D236">
        <v>950.43089430893997</v>
      </c>
      <c r="E236">
        <v>338.18699186992001</v>
      </c>
      <c r="F236">
        <v>165.32700135684999</v>
      </c>
      <c r="G236">
        <v>125.43351424695</v>
      </c>
      <c r="I236" s="9">
        <f t="shared" si="22"/>
        <v>212.75347762297002</v>
      </c>
      <c r="J236" s="9">
        <f t="shared" si="23"/>
        <v>785.10389295208995</v>
      </c>
      <c r="K236" s="9">
        <f t="shared" si="24"/>
        <v>212.75347762297002</v>
      </c>
      <c r="L236" s="10">
        <f t="shared" si="21"/>
        <v>0.27098767377523764</v>
      </c>
      <c r="M236" s="10">
        <f t="shared" si="20"/>
        <v>0.31376554771601906</v>
      </c>
      <c r="P236" s="8">
        <f t="shared" si="25"/>
        <v>20.297165090868461</v>
      </c>
    </row>
    <row r="237" spans="1:16" x14ac:dyDescent="0.2">
      <c r="A237" s="8">
        <v>117.5</v>
      </c>
      <c r="B237" s="8">
        <v>235</v>
      </c>
      <c r="D237">
        <v>948.77371273713004</v>
      </c>
      <c r="E237">
        <v>339.78794037940003</v>
      </c>
      <c r="F237">
        <v>165.84124830394001</v>
      </c>
      <c r="G237">
        <v>125.22184531886001</v>
      </c>
      <c r="I237" s="9">
        <f t="shared" si="22"/>
        <v>214.56609506054002</v>
      </c>
      <c r="J237" s="9">
        <f t="shared" si="23"/>
        <v>782.93246443319003</v>
      </c>
      <c r="K237" s="9">
        <f t="shared" si="24"/>
        <v>214.56609506054002</v>
      </c>
      <c r="L237" s="10">
        <f t="shared" si="21"/>
        <v>0.27405441057534485</v>
      </c>
      <c r="M237" s="10">
        <f t="shared" si="20"/>
        <v>0.31701509594322363</v>
      </c>
      <c r="P237" s="8">
        <f t="shared" si="25"/>
        <v>21.543036227468111</v>
      </c>
    </row>
    <row r="238" spans="1:16" x14ac:dyDescent="0.2">
      <c r="A238" s="8">
        <v>118</v>
      </c>
      <c r="B238" s="8">
        <v>236</v>
      </c>
      <c r="D238">
        <v>944.46205962060003</v>
      </c>
      <c r="E238">
        <v>338.05623306233002</v>
      </c>
      <c r="F238">
        <v>165.29443690638001</v>
      </c>
      <c r="G238">
        <v>124.88873812753999</v>
      </c>
      <c r="I238" s="9">
        <f t="shared" si="22"/>
        <v>213.16749493479003</v>
      </c>
      <c r="J238" s="9">
        <f t="shared" si="23"/>
        <v>779.16762271421999</v>
      </c>
      <c r="K238" s="9">
        <f t="shared" si="24"/>
        <v>213.16749493479003</v>
      </c>
      <c r="L238" s="10">
        <f t="shared" si="21"/>
        <v>0.27358361502782153</v>
      </c>
      <c r="M238" s="10">
        <f t="shared" si="20"/>
        <v>0.31672711182279767</v>
      </c>
      <c r="P238" s="8">
        <f t="shared" si="25"/>
        <v>21.432623616744557</v>
      </c>
    </row>
    <row r="239" spans="1:16" x14ac:dyDescent="0.2">
      <c r="A239" s="8">
        <v>118.5</v>
      </c>
      <c r="B239" s="8">
        <v>237</v>
      </c>
      <c r="D239">
        <v>937.02439024390003</v>
      </c>
      <c r="E239">
        <v>334.81300813007999</v>
      </c>
      <c r="F239">
        <v>165.23405698779001</v>
      </c>
      <c r="G239">
        <v>124.85481682497</v>
      </c>
      <c r="I239" s="9">
        <f t="shared" si="22"/>
        <v>209.95819130511001</v>
      </c>
      <c r="J239" s="9">
        <f t="shared" si="23"/>
        <v>771.79033325610999</v>
      </c>
      <c r="K239" s="9">
        <f t="shared" si="24"/>
        <v>209.95819130511001</v>
      </c>
      <c r="L239" s="10">
        <f t="shared" si="21"/>
        <v>0.27204045225510454</v>
      </c>
      <c r="M239" s="10">
        <f t="shared" si="20"/>
        <v>0.31536676047717804</v>
      </c>
      <c r="P239" s="8">
        <f t="shared" si="25"/>
        <v>20.911067277634626</v>
      </c>
    </row>
    <row r="240" spans="1:16" x14ac:dyDescent="0.2">
      <c r="A240" s="8">
        <v>119</v>
      </c>
      <c r="B240" s="8">
        <v>238</v>
      </c>
      <c r="D240">
        <v>938.81504065040997</v>
      </c>
      <c r="E240">
        <v>333.87262872628997</v>
      </c>
      <c r="F240">
        <v>164.69267299864001</v>
      </c>
      <c r="G240">
        <v>125.31546811398</v>
      </c>
      <c r="I240" s="9">
        <f t="shared" si="22"/>
        <v>208.55716061230999</v>
      </c>
      <c r="J240" s="9">
        <f t="shared" si="23"/>
        <v>774.12236765176999</v>
      </c>
      <c r="K240" s="9">
        <f t="shared" si="24"/>
        <v>208.55716061230999</v>
      </c>
      <c r="L240" s="10">
        <f t="shared" si="21"/>
        <v>0.26941110259473477</v>
      </c>
      <c r="M240" s="10">
        <f t="shared" si="20"/>
        <v>0.31292022224390564</v>
      </c>
      <c r="P240" s="8">
        <f t="shared" si="25"/>
        <v>19.973068775595564</v>
      </c>
    </row>
    <row r="241" spans="1:16" x14ac:dyDescent="0.2">
      <c r="A241" s="8">
        <v>119.5</v>
      </c>
      <c r="B241" s="8">
        <v>239</v>
      </c>
      <c r="D241">
        <v>936.15514905148996</v>
      </c>
      <c r="E241">
        <v>331.4647696477</v>
      </c>
      <c r="F241">
        <v>165.16689280867999</v>
      </c>
      <c r="G241">
        <v>125.24219810040999</v>
      </c>
      <c r="I241" s="9">
        <f t="shared" si="22"/>
        <v>206.22257154728999</v>
      </c>
      <c r="J241" s="9">
        <f t="shared" si="23"/>
        <v>770.98825624280994</v>
      </c>
      <c r="K241" s="9">
        <f t="shared" si="24"/>
        <v>206.22257154728999</v>
      </c>
      <c r="L241" s="10">
        <f t="shared" si="21"/>
        <v>0.26747822664933513</v>
      </c>
      <c r="M241" s="10">
        <f t="shared" si="20"/>
        <v>0.31117015772560336</v>
      </c>
      <c r="P241" s="8">
        <f t="shared" si="25"/>
        <v>19.302097084119659</v>
      </c>
    </row>
    <row r="242" spans="1:16" x14ac:dyDescent="0.2">
      <c r="A242" s="8">
        <v>120</v>
      </c>
      <c r="B242" s="8">
        <v>240</v>
      </c>
      <c r="D242">
        <v>934.79945799458005</v>
      </c>
      <c r="E242">
        <v>335.54742547426002</v>
      </c>
      <c r="F242">
        <v>165.29443690638001</v>
      </c>
      <c r="G242">
        <v>125.08683853460001</v>
      </c>
      <c r="I242" s="9">
        <f>E242-G242</f>
        <v>210.46058693966</v>
      </c>
      <c r="J242" s="9">
        <f>D242-F242</f>
        <v>769.50502108820001</v>
      </c>
      <c r="K242" s="9">
        <f t="shared" si="24"/>
        <v>210.46058693966</v>
      </c>
      <c r="L242" s="10">
        <f t="shared" si="21"/>
        <v>0.27350125232715955</v>
      </c>
      <c r="M242" s="10">
        <f>L242+ABS($N$2)*A242</f>
        <v>0.31737599483052514</v>
      </c>
      <c r="O242" s="11"/>
      <c r="P242" s="8">
        <f>(M242-$O$2)/$O$2*100</f>
        <v>21.681404232951344</v>
      </c>
    </row>
    <row r="243" spans="1:16" x14ac:dyDescent="0.2">
      <c r="A243" s="8">
        <v>120.5</v>
      </c>
      <c r="B243" s="8">
        <v>241</v>
      </c>
      <c r="D243">
        <v>934.53319783198003</v>
      </c>
      <c r="E243">
        <v>334.70325203252003</v>
      </c>
      <c r="F243">
        <v>165.28968792402</v>
      </c>
      <c r="G243">
        <v>124.98100407056</v>
      </c>
      <c r="I243" s="9">
        <f t="shared" ref="I243:I274" si="26">E243-G243</f>
        <v>209.72224796196002</v>
      </c>
      <c r="J243" s="9">
        <f t="shared" ref="J243:J274" si="27">D243-F243</f>
        <v>769.24350990796006</v>
      </c>
      <c r="K243" s="9">
        <f t="shared" si="24"/>
        <v>209.72224796196002</v>
      </c>
      <c r="L243" s="10">
        <f t="shared" si="21"/>
        <v>0.27263440673949041</v>
      </c>
      <c r="M243" s="10">
        <f t="shared" ref="M243:M274" si="28">L243+ABS($N$2)*A243</f>
        <v>0.31669196066995331</v>
      </c>
      <c r="P243" s="8">
        <f t="shared" ref="P243:P274" si="29">(M243-$O$2)/$O$2*100</f>
        <v>21.419146725901591</v>
      </c>
    </row>
    <row r="244" spans="1:16" x14ac:dyDescent="0.2">
      <c r="A244" s="8">
        <v>121</v>
      </c>
      <c r="B244" s="8">
        <v>242</v>
      </c>
      <c r="D244">
        <v>913.52132701421999</v>
      </c>
      <c r="E244">
        <v>325.68449559918997</v>
      </c>
      <c r="F244">
        <v>164.46404341927001</v>
      </c>
      <c r="G244">
        <v>125.26865671642</v>
      </c>
      <c r="I244" s="9">
        <f t="shared" si="26"/>
        <v>200.41583888276998</v>
      </c>
      <c r="J244" s="9">
        <f t="shared" si="27"/>
        <v>749.05728359494992</v>
      </c>
      <c r="K244" s="9">
        <f t="shared" si="24"/>
        <v>200.41583888276998</v>
      </c>
      <c r="L244" s="10">
        <f t="shared" si="21"/>
        <v>0.26755742621033524</v>
      </c>
      <c r="M244" s="10">
        <f t="shared" si="28"/>
        <v>0.3117977915678955</v>
      </c>
      <c r="N244" s="1"/>
      <c r="P244" s="8">
        <f t="shared" si="29"/>
        <v>19.5427308072688</v>
      </c>
    </row>
    <row r="245" spans="1:16" x14ac:dyDescent="0.2">
      <c r="A245" s="8">
        <v>121.5</v>
      </c>
      <c r="B245" s="8">
        <v>243</v>
      </c>
      <c r="D245">
        <v>913.63303994583998</v>
      </c>
      <c r="E245">
        <v>327.44075829384002</v>
      </c>
      <c r="F245">
        <v>165.11465400271001</v>
      </c>
      <c r="G245">
        <v>125.00542740841</v>
      </c>
      <c r="I245" s="9">
        <f t="shared" si="26"/>
        <v>202.43533088543001</v>
      </c>
      <c r="J245" s="9">
        <f t="shared" si="27"/>
        <v>748.51838594312994</v>
      </c>
      <c r="K245" s="9">
        <f t="shared" si="24"/>
        <v>202.43533088543001</v>
      </c>
      <c r="L245" s="10">
        <f t="shared" si="21"/>
        <v>0.27044804067219053</v>
      </c>
      <c r="M245" s="10">
        <f t="shared" si="28"/>
        <v>0.31487121745684815</v>
      </c>
      <c r="P245" s="8">
        <f t="shared" si="29"/>
        <v>20.72107694580825</v>
      </c>
    </row>
    <row r="246" spans="1:16" x14ac:dyDescent="0.2">
      <c r="A246" s="8">
        <v>122</v>
      </c>
      <c r="B246" s="8">
        <v>244</v>
      </c>
      <c r="D246">
        <v>912.48612051455996</v>
      </c>
      <c r="E246">
        <v>324.60798916723002</v>
      </c>
      <c r="F246">
        <v>164.88127544098</v>
      </c>
      <c r="G246">
        <v>125.06173677069</v>
      </c>
      <c r="I246" s="9">
        <f t="shared" si="26"/>
        <v>199.54625239654001</v>
      </c>
      <c r="J246" s="9">
        <f t="shared" si="27"/>
        <v>747.60484507358001</v>
      </c>
      <c r="K246" s="9">
        <f t="shared" si="24"/>
        <v>199.54625239654001</v>
      </c>
      <c r="L246" s="10">
        <f t="shared" si="21"/>
        <v>0.26691407059688127</v>
      </c>
      <c r="M246" s="10">
        <f t="shared" si="28"/>
        <v>0.31152005880863626</v>
      </c>
      <c r="P246" s="8">
        <f t="shared" si="29"/>
        <v>19.436248550580785</v>
      </c>
    </row>
    <row r="247" spans="1:16" x14ac:dyDescent="0.2">
      <c r="A247" s="8">
        <v>122.5</v>
      </c>
      <c r="B247" s="8">
        <v>245</v>
      </c>
      <c r="D247">
        <v>915.33581584292995</v>
      </c>
      <c r="E247">
        <v>326.24712254569999</v>
      </c>
      <c r="F247">
        <v>165.00746268656999</v>
      </c>
      <c r="G247">
        <v>125.05291723201999</v>
      </c>
      <c r="I247" s="9">
        <f t="shared" si="26"/>
        <v>201.19420531368002</v>
      </c>
      <c r="J247" s="9">
        <f t="shared" si="27"/>
        <v>750.32835315635998</v>
      </c>
      <c r="K247" s="9">
        <f t="shared" si="24"/>
        <v>201.19420531368002</v>
      </c>
      <c r="L247" s="10">
        <f t="shared" si="21"/>
        <v>0.26814154692052988</v>
      </c>
      <c r="M247" s="10">
        <f t="shared" si="28"/>
        <v>0.31293034655938223</v>
      </c>
      <c r="P247" s="8">
        <f t="shared" si="29"/>
        <v>19.97695042053455</v>
      </c>
    </row>
    <row r="248" spans="1:16" x14ac:dyDescent="0.2">
      <c r="A248" s="8">
        <v>123</v>
      </c>
      <c r="B248" s="8">
        <v>246</v>
      </c>
      <c r="D248">
        <v>911.66079891671995</v>
      </c>
      <c r="E248">
        <v>326.15504400813001</v>
      </c>
      <c r="F248">
        <v>164.69267299864001</v>
      </c>
      <c r="G248">
        <v>125.19199457259</v>
      </c>
      <c r="I248" s="9">
        <f t="shared" si="26"/>
        <v>200.96304943554</v>
      </c>
      <c r="J248" s="9">
        <f t="shared" si="27"/>
        <v>746.96812591807998</v>
      </c>
      <c r="K248" s="9">
        <f t="shared" si="24"/>
        <v>200.96304943554</v>
      </c>
      <c r="L248" s="10">
        <f t="shared" si="21"/>
        <v>0.2690383196586083</v>
      </c>
      <c r="M248" s="10">
        <f t="shared" si="28"/>
        <v>0.31400993072455802</v>
      </c>
      <c r="P248" s="8">
        <f t="shared" si="29"/>
        <v>20.390861111153715</v>
      </c>
    </row>
    <row r="249" spans="1:16" x14ac:dyDescent="0.2">
      <c r="A249" s="8">
        <v>123.5</v>
      </c>
      <c r="B249" s="8">
        <v>247</v>
      </c>
      <c r="D249">
        <v>910.17467840217</v>
      </c>
      <c r="E249">
        <v>325.37846987135998</v>
      </c>
      <c r="F249">
        <v>165.30461329715001</v>
      </c>
      <c r="G249">
        <v>125.12957937585</v>
      </c>
      <c r="I249" s="9">
        <f t="shared" si="26"/>
        <v>200.24889049550998</v>
      </c>
      <c r="J249" s="9">
        <f t="shared" si="27"/>
        <v>744.87006510501999</v>
      </c>
      <c r="K249" s="9">
        <f t="shared" si="24"/>
        <v>200.24889049550998</v>
      </c>
      <c r="L249" s="10">
        <f t="shared" si="21"/>
        <v>0.26883734476197091</v>
      </c>
      <c r="M249" s="10">
        <f t="shared" si="28"/>
        <v>0.31399176725501798</v>
      </c>
      <c r="P249" s="8">
        <f t="shared" si="29"/>
        <v>20.383897268533691</v>
      </c>
    </row>
    <row r="250" spans="1:16" x14ac:dyDescent="0.2">
      <c r="A250" s="8">
        <v>124</v>
      </c>
      <c r="B250" s="8">
        <v>248</v>
      </c>
      <c r="D250">
        <v>910.77522004061996</v>
      </c>
      <c r="E250">
        <v>327.23155044008001</v>
      </c>
      <c r="F250">
        <v>164.60719131614999</v>
      </c>
      <c r="G250">
        <v>125.00271370421</v>
      </c>
      <c r="I250" s="9">
        <f t="shared" si="26"/>
        <v>202.22883673587</v>
      </c>
      <c r="J250" s="9">
        <f t="shared" si="27"/>
        <v>746.16802872446999</v>
      </c>
      <c r="K250" s="9">
        <f t="shared" si="24"/>
        <v>202.22883673587</v>
      </c>
      <c r="L250" s="10">
        <f t="shared" si="21"/>
        <v>0.27102318640155115</v>
      </c>
      <c r="M250" s="10">
        <f t="shared" si="28"/>
        <v>0.31636042032169559</v>
      </c>
      <c r="P250" s="8">
        <f t="shared" si="29"/>
        <v>21.292034733208435</v>
      </c>
    </row>
    <row r="251" spans="1:16" x14ac:dyDescent="0.2">
      <c r="A251" s="8">
        <v>124.5</v>
      </c>
      <c r="B251" s="8">
        <v>249</v>
      </c>
      <c r="D251">
        <v>922.13811780636001</v>
      </c>
      <c r="E251">
        <v>332.96005416384997</v>
      </c>
      <c r="F251">
        <v>165.05834464042999</v>
      </c>
      <c r="G251">
        <v>125.20081411126</v>
      </c>
      <c r="I251" s="9">
        <f t="shared" si="26"/>
        <v>207.75924005258997</v>
      </c>
      <c r="J251" s="9">
        <f t="shared" si="27"/>
        <v>757.07977316592996</v>
      </c>
      <c r="K251" s="9">
        <f t="shared" si="24"/>
        <v>207.75924005258997</v>
      </c>
      <c r="L251" s="10">
        <f t="shared" si="21"/>
        <v>0.27442186070272301</v>
      </c>
      <c r="M251" s="10">
        <f t="shared" si="28"/>
        <v>0.31994190604996481</v>
      </c>
      <c r="P251" s="8">
        <f t="shared" si="29"/>
        <v>22.665170130196429</v>
      </c>
    </row>
    <row r="252" spans="1:16" x14ac:dyDescent="0.2">
      <c r="A252" s="8">
        <v>125</v>
      </c>
      <c r="B252" s="8">
        <v>250</v>
      </c>
      <c r="D252">
        <v>911.23628977656995</v>
      </c>
      <c r="E252">
        <v>327.8192281652</v>
      </c>
      <c r="F252">
        <v>165.02917232022</v>
      </c>
      <c r="G252">
        <v>125.05834464042999</v>
      </c>
      <c r="I252" s="9">
        <f t="shared" si="26"/>
        <v>202.76088352477001</v>
      </c>
      <c r="J252" s="9">
        <f t="shared" si="27"/>
        <v>746.20711745634992</v>
      </c>
      <c r="K252" s="9">
        <f t="shared" si="24"/>
        <v>202.76088352477001</v>
      </c>
      <c r="L252" s="10">
        <f t="shared" si="21"/>
        <v>0.27172199082733983</v>
      </c>
      <c r="M252" s="10">
        <f t="shared" si="28"/>
        <v>0.31742484760167899</v>
      </c>
      <c r="P252" s="8">
        <f t="shared" si="29"/>
        <v>21.700134300415478</v>
      </c>
    </row>
    <row r="253" spans="1:16" x14ac:dyDescent="0.2">
      <c r="A253" s="8">
        <v>125.5</v>
      </c>
      <c r="B253" s="8">
        <v>251</v>
      </c>
      <c r="D253">
        <v>914.36560595801996</v>
      </c>
      <c r="E253">
        <v>329.71360866622001</v>
      </c>
      <c r="F253">
        <v>164.98914518318</v>
      </c>
      <c r="G253">
        <v>124.72184531886001</v>
      </c>
      <c r="I253" s="9">
        <f t="shared" si="26"/>
        <v>204.99176334736001</v>
      </c>
      <c r="J253" s="9">
        <f t="shared" si="27"/>
        <v>749.37646077483998</v>
      </c>
      <c r="K253" s="9">
        <f t="shared" si="24"/>
        <v>204.99176334736001</v>
      </c>
      <c r="L253" s="10">
        <f t="shared" si="21"/>
        <v>0.27354977648404211</v>
      </c>
      <c r="M253" s="10">
        <f t="shared" si="28"/>
        <v>0.31943544468547858</v>
      </c>
      <c r="P253" s="8">
        <f t="shared" si="29"/>
        <v>22.470993724216736</v>
      </c>
    </row>
    <row r="254" spans="1:16" x14ac:dyDescent="0.2">
      <c r="A254" s="8">
        <v>126</v>
      </c>
      <c r="B254" s="8">
        <v>252</v>
      </c>
      <c r="D254">
        <v>911.15775220040996</v>
      </c>
      <c r="E254">
        <v>330.04603926879003</v>
      </c>
      <c r="F254">
        <v>164.19199457259</v>
      </c>
      <c r="G254">
        <v>125.13093622795</v>
      </c>
      <c r="I254" s="9">
        <f t="shared" si="26"/>
        <v>204.91510304084002</v>
      </c>
      <c r="J254" s="9">
        <f t="shared" si="27"/>
        <v>746.96575762781993</v>
      </c>
      <c r="K254" s="9">
        <f t="shared" si="24"/>
        <v>204.91510304084002</v>
      </c>
      <c r="L254" s="10">
        <f t="shared" si="21"/>
        <v>0.27432998226264099</v>
      </c>
      <c r="M254" s="10">
        <f t="shared" si="28"/>
        <v>0.32039846189117482</v>
      </c>
      <c r="P254" s="8">
        <f t="shared" si="29"/>
        <v>22.840212845379902</v>
      </c>
    </row>
    <row r="255" spans="1:16" x14ac:dyDescent="0.2">
      <c r="A255" s="8">
        <v>126.5</v>
      </c>
      <c r="B255" s="8">
        <v>253</v>
      </c>
      <c r="D255">
        <v>911.97833446175002</v>
      </c>
      <c r="E255">
        <v>331.84834123222998</v>
      </c>
      <c r="F255">
        <v>164.53256445048001</v>
      </c>
      <c r="G255">
        <v>124.82903663501</v>
      </c>
      <c r="I255" s="9">
        <f t="shared" si="26"/>
        <v>207.01930459721999</v>
      </c>
      <c r="J255" s="9">
        <f t="shared" si="27"/>
        <v>747.44577001127004</v>
      </c>
      <c r="K255" s="9">
        <f t="shared" si="24"/>
        <v>207.01930459721999</v>
      </c>
      <c r="L255" s="10">
        <f t="shared" si="21"/>
        <v>0.27696899615084924</v>
      </c>
      <c r="M255" s="10">
        <f t="shared" si="28"/>
        <v>0.32322028720648044</v>
      </c>
      <c r="P255" s="8">
        <f t="shared" si="29"/>
        <v>23.922095761729107</v>
      </c>
    </row>
    <row r="256" spans="1:16" x14ac:dyDescent="0.2">
      <c r="A256" s="8">
        <v>127</v>
      </c>
      <c r="B256" s="8">
        <v>254</v>
      </c>
      <c r="D256">
        <v>907.39742721733001</v>
      </c>
      <c r="E256">
        <v>331.74204468517001</v>
      </c>
      <c r="F256">
        <v>164.55630936227999</v>
      </c>
      <c r="G256">
        <v>124.75508819539</v>
      </c>
      <c r="I256" s="9">
        <f t="shared" si="26"/>
        <v>206.98695648978003</v>
      </c>
      <c r="J256" s="9">
        <f t="shared" si="27"/>
        <v>742.84111785505002</v>
      </c>
      <c r="K256" s="9">
        <f t="shared" si="24"/>
        <v>206.98695648978003</v>
      </c>
      <c r="L256" s="10">
        <f t="shared" si="21"/>
        <v>0.27864229848699518</v>
      </c>
      <c r="M256" s="10">
        <f t="shared" si="28"/>
        <v>0.32507640096972373</v>
      </c>
      <c r="P256" s="8">
        <f t="shared" si="29"/>
        <v>24.633726549206134</v>
      </c>
    </row>
    <row r="257" spans="1:16" x14ac:dyDescent="0.2">
      <c r="A257" s="8">
        <v>127.5</v>
      </c>
      <c r="B257" s="8">
        <v>255</v>
      </c>
      <c r="D257">
        <v>908.67501692619999</v>
      </c>
      <c r="E257">
        <v>333.08801624914997</v>
      </c>
      <c r="F257">
        <v>164.86295793759001</v>
      </c>
      <c r="G257">
        <v>124.9552238806</v>
      </c>
      <c r="I257" s="9">
        <f t="shared" si="26"/>
        <v>208.13279236854999</v>
      </c>
      <c r="J257" s="9">
        <f t="shared" si="27"/>
        <v>743.81205898861003</v>
      </c>
      <c r="K257" s="9">
        <f t="shared" si="24"/>
        <v>208.13279236854999</v>
      </c>
      <c r="L257" s="10">
        <f t="shared" si="21"/>
        <v>0.27981906162096398</v>
      </c>
      <c r="M257" s="10">
        <f t="shared" si="28"/>
        <v>0.3264359755307899</v>
      </c>
      <c r="P257" s="8">
        <f t="shared" si="29"/>
        <v>25.154985070469753</v>
      </c>
    </row>
    <row r="258" spans="1:16" x14ac:dyDescent="0.2">
      <c r="A258" s="8">
        <v>128</v>
      </c>
      <c r="B258" s="8">
        <v>256</v>
      </c>
      <c r="D258">
        <v>907.61002031144005</v>
      </c>
      <c r="E258">
        <v>330.76709546377998</v>
      </c>
      <c r="F258">
        <v>163.95861601086</v>
      </c>
      <c r="G258">
        <v>124.75712347354001</v>
      </c>
      <c r="I258" s="9">
        <f t="shared" si="26"/>
        <v>206.00997199023999</v>
      </c>
      <c r="J258" s="9">
        <f t="shared" si="27"/>
        <v>743.65140430058</v>
      </c>
      <c r="K258" s="9">
        <f t="shared" si="24"/>
        <v>206.00997199023999</v>
      </c>
      <c r="L258" s="10">
        <f t="shared" ref="L258:L321" si="30">K258/J258</f>
        <v>0.27702492162170628</v>
      </c>
      <c r="M258" s="10">
        <f t="shared" si="28"/>
        <v>0.32382464695862956</v>
      </c>
      <c r="P258" s="8">
        <f t="shared" si="29"/>
        <v>24.15380623921072</v>
      </c>
    </row>
    <row r="259" spans="1:16" x14ac:dyDescent="0.2">
      <c r="A259" s="8">
        <v>128.5</v>
      </c>
      <c r="B259" s="8">
        <v>257</v>
      </c>
      <c r="D259">
        <v>906.17129316181001</v>
      </c>
      <c r="E259">
        <v>331.48476641842001</v>
      </c>
      <c r="F259">
        <v>164.52170963365</v>
      </c>
      <c r="G259">
        <v>124.85074626866</v>
      </c>
      <c r="I259" s="9">
        <f t="shared" si="26"/>
        <v>206.63402014976</v>
      </c>
      <c r="J259" s="9">
        <f t="shared" si="27"/>
        <v>741.64958352816006</v>
      </c>
      <c r="K259" s="9">
        <f t="shared" ref="K259:K321" si="31">I259*1</f>
        <v>206.63402014976</v>
      </c>
      <c r="L259" s="10">
        <f t="shared" si="30"/>
        <v>0.27861408505990781</v>
      </c>
      <c r="M259" s="10">
        <f t="shared" si="28"/>
        <v>0.32559662182392846</v>
      </c>
      <c r="P259" s="8">
        <f t="shared" si="29"/>
        <v>24.833178319604514</v>
      </c>
    </row>
    <row r="260" spans="1:16" x14ac:dyDescent="0.2">
      <c r="A260" s="8">
        <v>129</v>
      </c>
      <c r="B260" s="8">
        <v>258</v>
      </c>
      <c r="D260">
        <v>910.93500338523995</v>
      </c>
      <c r="E260">
        <v>332.01015572106002</v>
      </c>
      <c r="F260">
        <v>164.23609226593999</v>
      </c>
      <c r="G260">
        <v>124.95590230665</v>
      </c>
      <c r="I260" s="9">
        <f t="shared" si="26"/>
        <v>207.05425341441003</v>
      </c>
      <c r="J260" s="9">
        <f t="shared" si="27"/>
        <v>746.69891111929996</v>
      </c>
      <c r="K260" s="9">
        <f t="shared" si="31"/>
        <v>207.05425341441003</v>
      </c>
      <c r="L260" s="10">
        <f t="shared" si="30"/>
        <v>0.27729282891819967</v>
      </c>
      <c r="M260" s="10">
        <f t="shared" si="28"/>
        <v>0.32445817710931768</v>
      </c>
      <c r="P260" s="8">
        <f t="shared" si="29"/>
        <v>24.39670059674021</v>
      </c>
    </row>
    <row r="261" spans="1:16" x14ac:dyDescent="0.2">
      <c r="A261" s="8">
        <v>129.5</v>
      </c>
      <c r="B261" s="8">
        <v>259</v>
      </c>
      <c r="D261">
        <v>912.69058903181997</v>
      </c>
      <c r="E261">
        <v>333.23155044008001</v>
      </c>
      <c r="F261">
        <v>163.89891451832</v>
      </c>
      <c r="G261">
        <v>124.79240162822001</v>
      </c>
      <c r="I261" s="9">
        <f t="shared" si="26"/>
        <v>208.43914881186001</v>
      </c>
      <c r="J261" s="9">
        <f t="shared" si="27"/>
        <v>748.79167451349997</v>
      </c>
      <c r="K261" s="9">
        <f t="shared" si="31"/>
        <v>208.43914881186001</v>
      </c>
      <c r="L261" s="10">
        <f t="shared" si="30"/>
        <v>0.27836734288917642</v>
      </c>
      <c r="M261" s="10">
        <f t="shared" si="28"/>
        <v>0.32571550250739179</v>
      </c>
      <c r="P261" s="8">
        <f t="shared" si="29"/>
        <v>24.878756966810382</v>
      </c>
    </row>
    <row r="262" spans="1:16" x14ac:dyDescent="0.2">
      <c r="A262" s="8">
        <v>130</v>
      </c>
      <c r="B262" s="8">
        <v>260</v>
      </c>
      <c r="D262">
        <v>908.72782667569004</v>
      </c>
      <c r="E262">
        <v>330.76574136763998</v>
      </c>
      <c r="F262">
        <v>164.28765264585999</v>
      </c>
      <c r="G262">
        <v>124.97625508820001</v>
      </c>
      <c r="I262" s="9">
        <f t="shared" si="26"/>
        <v>205.78948627943998</v>
      </c>
      <c r="J262" s="9">
        <f t="shared" si="27"/>
        <v>744.44017402983002</v>
      </c>
      <c r="K262" s="9">
        <f t="shared" si="31"/>
        <v>205.78948627943998</v>
      </c>
      <c r="L262" s="10">
        <f t="shared" si="30"/>
        <v>0.27643522402270826</v>
      </c>
      <c r="M262" s="10">
        <f t="shared" si="28"/>
        <v>0.32396619506802093</v>
      </c>
      <c r="P262" s="8">
        <f t="shared" si="29"/>
        <v>24.208075538079587</v>
      </c>
    </row>
    <row r="263" spans="1:16" x14ac:dyDescent="0.2">
      <c r="A263" s="8">
        <v>130.5</v>
      </c>
      <c r="B263" s="8">
        <v>261</v>
      </c>
      <c r="D263">
        <v>889.92010832768995</v>
      </c>
      <c r="E263">
        <v>329.54637779282001</v>
      </c>
      <c r="F263">
        <v>164.14857530529</v>
      </c>
      <c r="G263">
        <v>124.79172320217</v>
      </c>
      <c r="I263" s="9">
        <f t="shared" si="26"/>
        <v>204.75465459065001</v>
      </c>
      <c r="J263" s="9">
        <f t="shared" si="27"/>
        <v>725.77153302239992</v>
      </c>
      <c r="K263" s="9">
        <f t="shared" si="31"/>
        <v>204.75465459065001</v>
      </c>
      <c r="L263" s="10">
        <f t="shared" si="30"/>
        <v>0.28211998580044961</v>
      </c>
      <c r="M263" s="10">
        <f t="shared" si="28"/>
        <v>0.32983376827285965</v>
      </c>
      <c r="P263" s="8">
        <f t="shared" si="29"/>
        <v>26.457692896146217</v>
      </c>
    </row>
    <row r="264" spans="1:16" x14ac:dyDescent="0.2">
      <c r="A264" s="8">
        <v>131</v>
      </c>
      <c r="B264" s="8">
        <v>262</v>
      </c>
      <c r="D264">
        <v>897.09681787406998</v>
      </c>
      <c r="E264">
        <v>332.06161137441001</v>
      </c>
      <c r="F264">
        <v>164.46268656716001</v>
      </c>
      <c r="G264">
        <v>124.73405698779</v>
      </c>
      <c r="I264" s="9">
        <f t="shared" si="26"/>
        <v>207.32755438662002</v>
      </c>
      <c r="J264" s="9">
        <f t="shared" si="27"/>
        <v>732.63413130690992</v>
      </c>
      <c r="K264" s="9">
        <f t="shared" si="31"/>
        <v>207.32755438662002</v>
      </c>
      <c r="L264" s="10">
        <f t="shared" si="30"/>
        <v>0.28298921047641967</v>
      </c>
      <c r="M264" s="10">
        <f t="shared" si="28"/>
        <v>0.33088580437592707</v>
      </c>
      <c r="P264" s="8">
        <f t="shared" si="29"/>
        <v>26.861041707682396</v>
      </c>
    </row>
    <row r="265" spans="1:16" x14ac:dyDescent="0.2">
      <c r="A265" s="8">
        <v>131.5</v>
      </c>
      <c r="B265" s="8">
        <v>263</v>
      </c>
      <c r="D265">
        <v>893.77792823290997</v>
      </c>
      <c r="E265">
        <v>330.05077860528002</v>
      </c>
      <c r="F265">
        <v>164.20149253731</v>
      </c>
      <c r="G265">
        <v>124.54070556309</v>
      </c>
      <c r="I265" s="9">
        <f t="shared" si="26"/>
        <v>205.51007304219002</v>
      </c>
      <c r="J265" s="9">
        <f t="shared" si="27"/>
        <v>729.57643569559991</v>
      </c>
      <c r="K265" s="9">
        <f t="shared" si="31"/>
        <v>205.51007304219002</v>
      </c>
      <c r="L265" s="10">
        <f t="shared" si="30"/>
        <v>0.28168408817405211</v>
      </c>
      <c r="M265" s="10">
        <f t="shared" si="28"/>
        <v>0.32976349350065687</v>
      </c>
      <c r="P265" s="8">
        <f t="shared" si="29"/>
        <v>26.430749670750885</v>
      </c>
    </row>
    <row r="266" spans="1:16" x14ac:dyDescent="0.2">
      <c r="A266" s="8">
        <v>132</v>
      </c>
      <c r="B266" s="8">
        <v>264</v>
      </c>
      <c r="D266">
        <v>914.23019634393995</v>
      </c>
      <c r="E266">
        <v>332.68788083954001</v>
      </c>
      <c r="F266">
        <v>164.27544097693001</v>
      </c>
      <c r="G266">
        <v>124.75305291722999</v>
      </c>
      <c r="I266" s="9">
        <f t="shared" si="26"/>
        <v>207.93482792231003</v>
      </c>
      <c r="J266" s="9">
        <f t="shared" si="27"/>
        <v>749.95475536700997</v>
      </c>
      <c r="K266" s="9">
        <f t="shared" si="31"/>
        <v>207.93482792231003</v>
      </c>
      <c r="L266" s="10">
        <f t="shared" si="30"/>
        <v>0.2772631634565097</v>
      </c>
      <c r="M266" s="10">
        <f t="shared" si="28"/>
        <v>0.32552538021021182</v>
      </c>
      <c r="P266" s="8">
        <f t="shared" si="29"/>
        <v>24.805864408854934</v>
      </c>
    </row>
    <row r="267" spans="1:16" x14ac:dyDescent="0.2">
      <c r="A267" s="8">
        <v>132.5</v>
      </c>
      <c r="B267" s="8">
        <v>265</v>
      </c>
      <c r="D267">
        <v>917.86594448205994</v>
      </c>
      <c r="E267">
        <v>334.30060934326002</v>
      </c>
      <c r="F267">
        <v>164.01289009498001</v>
      </c>
      <c r="G267">
        <v>124.87720488466999</v>
      </c>
      <c r="I267" s="9">
        <f t="shared" si="26"/>
        <v>209.42340445859003</v>
      </c>
      <c r="J267" s="9">
        <f t="shared" si="27"/>
        <v>753.85305438707996</v>
      </c>
      <c r="K267" s="9">
        <f t="shared" si="31"/>
        <v>209.42340445859003</v>
      </c>
      <c r="L267" s="10">
        <f t="shared" si="30"/>
        <v>0.27780401397837629</v>
      </c>
      <c r="M267" s="10">
        <f t="shared" si="28"/>
        <v>0.32624904215917577</v>
      </c>
      <c r="P267" s="8">
        <f t="shared" si="29"/>
        <v>25.083315141028006</v>
      </c>
    </row>
    <row r="268" spans="1:16" x14ac:dyDescent="0.2">
      <c r="A268" s="8">
        <v>133</v>
      </c>
      <c r="B268" s="8">
        <v>266</v>
      </c>
      <c r="D268">
        <v>916.72241029113002</v>
      </c>
      <c r="E268">
        <v>337.96953283683001</v>
      </c>
      <c r="F268">
        <v>163.80393487110001</v>
      </c>
      <c r="G268">
        <v>124.77069199457</v>
      </c>
      <c r="I268" s="9">
        <f t="shared" si="26"/>
        <v>213.19884084226001</v>
      </c>
      <c r="J268" s="9">
        <f t="shared" si="27"/>
        <v>752.91847542003006</v>
      </c>
      <c r="K268" s="9">
        <f t="shared" si="31"/>
        <v>213.19884084226001</v>
      </c>
      <c r="L268" s="10">
        <f t="shared" si="30"/>
        <v>0.28316324781819563</v>
      </c>
      <c r="M268" s="10">
        <f t="shared" si="28"/>
        <v>0.33179108742609248</v>
      </c>
      <c r="P268" s="8">
        <f t="shared" si="29"/>
        <v>27.208125654063529</v>
      </c>
    </row>
    <row r="269" spans="1:16" x14ac:dyDescent="0.2">
      <c r="A269" s="8">
        <v>133.5</v>
      </c>
      <c r="B269" s="8">
        <v>267</v>
      </c>
      <c r="D269">
        <v>906.33107650643001</v>
      </c>
      <c r="E269">
        <v>328.61949898442998</v>
      </c>
      <c r="F269">
        <v>163.93622795114999</v>
      </c>
      <c r="G269">
        <v>125.01628222524</v>
      </c>
      <c r="I269" s="9">
        <f t="shared" si="26"/>
        <v>203.60321675918999</v>
      </c>
      <c r="J269" s="9">
        <f t="shared" si="27"/>
        <v>742.39484855528008</v>
      </c>
      <c r="K269" s="9">
        <f t="shared" si="31"/>
        <v>203.60321675918999</v>
      </c>
      <c r="L269" s="10">
        <f t="shared" si="30"/>
        <v>0.27425192558300643</v>
      </c>
      <c r="M269" s="10">
        <f t="shared" si="28"/>
        <v>0.32306257661800064</v>
      </c>
      <c r="P269" s="8">
        <f t="shared" si="29"/>
        <v>23.861629796497947</v>
      </c>
    </row>
    <row r="270" spans="1:16" x14ac:dyDescent="0.2">
      <c r="A270" s="8">
        <v>134</v>
      </c>
      <c r="B270" s="8">
        <v>268</v>
      </c>
      <c r="D270">
        <v>902.61543669600997</v>
      </c>
      <c r="E270">
        <v>327.64590385917001</v>
      </c>
      <c r="F270">
        <v>163.58073270014</v>
      </c>
      <c r="G270">
        <v>124.50881953867</v>
      </c>
      <c r="I270" s="9">
        <f t="shared" si="26"/>
        <v>203.13708432050001</v>
      </c>
      <c r="J270" s="9">
        <f t="shared" si="27"/>
        <v>739.0347039958699</v>
      </c>
      <c r="K270" s="9">
        <f t="shared" si="31"/>
        <v>203.13708432050001</v>
      </c>
      <c r="L270" s="10">
        <f t="shared" si="30"/>
        <v>0.27486812624923124</v>
      </c>
      <c r="M270" s="10">
        <f t="shared" si="28"/>
        <v>0.32386158871132281</v>
      </c>
      <c r="P270" s="8">
        <f t="shared" si="29"/>
        <v>24.167969642920387</v>
      </c>
    </row>
    <row r="271" spans="1:16" x14ac:dyDescent="0.2">
      <c r="A271" s="8">
        <v>134.5</v>
      </c>
      <c r="B271" s="8">
        <v>269</v>
      </c>
      <c r="D271">
        <v>907.90656736628</v>
      </c>
      <c r="E271">
        <v>328.75287745430001</v>
      </c>
      <c r="F271">
        <v>164.68181818182001</v>
      </c>
      <c r="G271">
        <v>124.82089552239</v>
      </c>
      <c r="I271" s="9">
        <f t="shared" si="26"/>
        <v>203.93198193191</v>
      </c>
      <c r="J271" s="9">
        <f t="shared" si="27"/>
        <v>743.22474918446005</v>
      </c>
      <c r="K271" s="9">
        <f t="shared" si="31"/>
        <v>203.93198193191</v>
      </c>
      <c r="L271" s="10">
        <f t="shared" si="30"/>
        <v>0.27438803962823416</v>
      </c>
      <c r="M271" s="10">
        <f t="shared" si="28"/>
        <v>0.3235643135174231</v>
      </c>
      <c r="P271" s="8">
        <f t="shared" si="29"/>
        <v>24.053994850792026</v>
      </c>
    </row>
    <row r="272" spans="1:16" x14ac:dyDescent="0.2">
      <c r="A272" s="8">
        <v>135</v>
      </c>
      <c r="B272" s="8">
        <v>270</v>
      </c>
      <c r="D272">
        <v>907.32972241028995</v>
      </c>
      <c r="E272">
        <v>328.58767772511999</v>
      </c>
      <c r="F272">
        <v>163.77476255088001</v>
      </c>
      <c r="G272">
        <v>124.78833107190999</v>
      </c>
      <c r="I272" s="9">
        <f t="shared" si="26"/>
        <v>203.79934665320999</v>
      </c>
      <c r="J272" s="9">
        <f t="shared" si="27"/>
        <v>743.55495985940991</v>
      </c>
      <c r="K272" s="9">
        <f t="shared" si="31"/>
        <v>203.79934665320999</v>
      </c>
      <c r="L272" s="10">
        <f t="shared" si="30"/>
        <v>0.27408780474242822</v>
      </c>
      <c r="M272" s="10">
        <f t="shared" si="28"/>
        <v>0.32344689005871446</v>
      </c>
      <c r="P272" s="8">
        <f t="shared" si="29"/>
        <v>24.008974901021769</v>
      </c>
    </row>
    <row r="273" spans="1:16" x14ac:dyDescent="0.2">
      <c r="A273" s="8">
        <v>135.5</v>
      </c>
      <c r="B273" s="8">
        <v>271</v>
      </c>
      <c r="D273">
        <v>915.25863236290002</v>
      </c>
      <c r="E273">
        <v>332.76371022343</v>
      </c>
      <c r="F273">
        <v>164.14586160108999</v>
      </c>
      <c r="G273">
        <v>124.3907734057</v>
      </c>
      <c r="I273" s="9">
        <f t="shared" si="26"/>
        <v>208.37293681772999</v>
      </c>
      <c r="J273" s="9">
        <f t="shared" si="27"/>
        <v>751.11277076181</v>
      </c>
      <c r="K273" s="9">
        <f t="shared" si="31"/>
        <v>208.37293681772999</v>
      </c>
      <c r="L273" s="10">
        <f t="shared" si="30"/>
        <v>0.27741897745446326</v>
      </c>
      <c r="M273" s="10">
        <f t="shared" si="28"/>
        <v>0.32696087419784686</v>
      </c>
      <c r="P273" s="8">
        <f t="shared" si="29"/>
        <v>25.356230306177014</v>
      </c>
    </row>
    <row r="274" spans="1:16" x14ac:dyDescent="0.2">
      <c r="A274" s="8">
        <v>136</v>
      </c>
      <c r="B274" s="8">
        <v>272</v>
      </c>
      <c r="D274">
        <v>930.39607312119006</v>
      </c>
      <c r="E274">
        <v>341.69397427217001</v>
      </c>
      <c r="F274">
        <v>164.03324287653001</v>
      </c>
      <c r="G274">
        <v>124.86702849389</v>
      </c>
      <c r="I274" s="9">
        <f t="shared" si="26"/>
        <v>216.82694577827999</v>
      </c>
      <c r="J274" s="9">
        <f t="shared" si="27"/>
        <v>766.36283024466002</v>
      </c>
      <c r="K274" s="9">
        <f t="shared" si="31"/>
        <v>216.82694577827999</v>
      </c>
      <c r="L274" s="10">
        <f t="shared" si="30"/>
        <v>0.28292988284551635</v>
      </c>
      <c r="M274" s="10">
        <f t="shared" si="28"/>
        <v>0.33265459101599731</v>
      </c>
      <c r="P274" s="8">
        <f t="shared" si="29"/>
        <v>27.539191428070549</v>
      </c>
    </row>
    <row r="275" spans="1:16" x14ac:dyDescent="0.2">
      <c r="A275" s="8">
        <v>136.5</v>
      </c>
      <c r="B275" s="8">
        <v>273</v>
      </c>
      <c r="D275">
        <v>939.26269465131998</v>
      </c>
      <c r="E275">
        <v>345.99661475965002</v>
      </c>
      <c r="F275">
        <v>163.32564450474999</v>
      </c>
      <c r="G275">
        <v>124.93147896879</v>
      </c>
      <c r="I275" s="9">
        <f>E275-G275</f>
        <v>221.06513579086001</v>
      </c>
      <c r="J275" s="9">
        <f>D275-F275</f>
        <v>775.93705014656996</v>
      </c>
      <c r="K275" s="9">
        <f t="shared" si="31"/>
        <v>221.06513579086001</v>
      </c>
      <c r="L275" s="10">
        <f t="shared" si="30"/>
        <v>0.28490086373514723</v>
      </c>
      <c r="M275" s="10">
        <f>L275+ABS($N$2)*A275</f>
        <v>0.33480838333272556</v>
      </c>
      <c r="O275" s="11"/>
      <c r="P275" s="8">
        <f>(M275-$O$2)/$O$2*100</f>
        <v>28.364951655039128</v>
      </c>
    </row>
    <row r="276" spans="1:16" x14ac:dyDescent="0.2">
      <c r="A276" s="8">
        <v>137</v>
      </c>
      <c r="B276" s="8">
        <v>274</v>
      </c>
      <c r="D276">
        <v>929.87000677048002</v>
      </c>
      <c r="E276">
        <v>342.50372376438997</v>
      </c>
      <c r="F276">
        <v>163.79579375847999</v>
      </c>
      <c r="G276">
        <v>124.35006784261</v>
      </c>
      <c r="I276" s="9">
        <f t="shared" ref="I276:I291" si="32">E276-G276</f>
        <v>218.15365592177997</v>
      </c>
      <c r="J276" s="9">
        <f t="shared" ref="J276:J291" si="33">D276-F276</f>
        <v>766.07421301199997</v>
      </c>
      <c r="K276" s="9">
        <f t="shared" si="31"/>
        <v>218.15365592177997</v>
      </c>
      <c r="L276" s="10">
        <f t="shared" si="30"/>
        <v>0.28476830601575509</v>
      </c>
      <c r="M276" s="10">
        <f t="shared" ref="M276:M291" si="34">L276+ABS($N$2)*A276</f>
        <v>0.33485863704043078</v>
      </c>
      <c r="P276" s="8">
        <f t="shared" ref="P276:P291" si="35">(M276-$O$2)/$O$2*100</f>
        <v>28.384218839139645</v>
      </c>
    </row>
    <row r="277" spans="1:16" x14ac:dyDescent="0.2">
      <c r="A277" s="8">
        <v>137.5</v>
      </c>
      <c r="B277" s="8">
        <v>275</v>
      </c>
      <c r="D277">
        <v>927.09749492213996</v>
      </c>
      <c r="E277">
        <v>340.58632362897998</v>
      </c>
      <c r="F277">
        <v>164.28222523745001</v>
      </c>
      <c r="G277">
        <v>124.70420624152</v>
      </c>
      <c r="I277" s="9">
        <f t="shared" si="32"/>
        <v>215.88211738745997</v>
      </c>
      <c r="J277" s="9">
        <f t="shared" si="33"/>
        <v>762.81526968468995</v>
      </c>
      <c r="K277" s="9">
        <f t="shared" si="31"/>
        <v>215.88211738745997</v>
      </c>
      <c r="L277" s="10">
        <f t="shared" si="30"/>
        <v>0.28300707388394958</v>
      </c>
      <c r="M277" s="10">
        <f t="shared" si="34"/>
        <v>0.33328021633572263</v>
      </c>
      <c r="N277" s="1"/>
      <c r="P277" s="8">
        <f t="shared" si="35"/>
        <v>27.779055087162082</v>
      </c>
    </row>
    <row r="278" spans="1:16" x14ac:dyDescent="0.2">
      <c r="A278" s="8">
        <v>138</v>
      </c>
      <c r="B278" s="8">
        <v>276</v>
      </c>
      <c r="D278">
        <v>926.48341232227995</v>
      </c>
      <c r="E278">
        <v>341.21665538253001</v>
      </c>
      <c r="F278">
        <v>164.09294436906001</v>
      </c>
      <c r="G278">
        <v>124.97557666214</v>
      </c>
      <c r="I278" s="9">
        <f t="shared" si="32"/>
        <v>216.24107872039002</v>
      </c>
      <c r="J278" s="9">
        <f t="shared" si="33"/>
        <v>762.39046795321997</v>
      </c>
      <c r="K278" s="9">
        <f t="shared" si="31"/>
        <v>216.24107872039002</v>
      </c>
      <c r="L278" s="10">
        <f t="shared" si="30"/>
        <v>0.28363560119125009</v>
      </c>
      <c r="M278" s="10">
        <f t="shared" si="34"/>
        <v>0.33409155507012051</v>
      </c>
      <c r="P278" s="8">
        <f t="shared" si="35"/>
        <v>28.090120946326497</v>
      </c>
    </row>
    <row r="279" spans="1:16" x14ac:dyDescent="0.2">
      <c r="A279" s="8">
        <v>138.5</v>
      </c>
      <c r="B279" s="8">
        <v>277</v>
      </c>
      <c r="D279">
        <v>925.20108327691003</v>
      </c>
      <c r="E279">
        <v>342.28368314149998</v>
      </c>
      <c r="F279">
        <v>163.86295793759001</v>
      </c>
      <c r="G279">
        <v>124.35006784261</v>
      </c>
      <c r="I279" s="9">
        <f t="shared" si="32"/>
        <v>217.93361529888998</v>
      </c>
      <c r="J279" s="9">
        <f t="shared" si="33"/>
        <v>761.33812533931996</v>
      </c>
      <c r="K279" s="9">
        <f t="shared" si="31"/>
        <v>217.93361529888998</v>
      </c>
      <c r="L279" s="10">
        <f t="shared" si="30"/>
        <v>0.2862507577717317</v>
      </c>
      <c r="M279" s="10">
        <f t="shared" si="34"/>
        <v>0.33688952307769948</v>
      </c>
      <c r="P279" s="8">
        <f t="shared" si="35"/>
        <v>29.162857012401329</v>
      </c>
    </row>
    <row r="280" spans="1:16" x14ac:dyDescent="0.2">
      <c r="A280" s="8">
        <v>139</v>
      </c>
      <c r="B280" s="8">
        <v>278</v>
      </c>
      <c r="D280">
        <v>937.14014895058006</v>
      </c>
      <c r="E280">
        <v>348.00677048070003</v>
      </c>
      <c r="F280">
        <v>164.1512890095</v>
      </c>
      <c r="G280">
        <v>124.31818181817999</v>
      </c>
      <c r="I280" s="9">
        <f t="shared" si="32"/>
        <v>223.68858866252003</v>
      </c>
      <c r="J280" s="9">
        <f t="shared" si="33"/>
        <v>772.98885994108002</v>
      </c>
      <c r="K280" s="9">
        <f t="shared" si="31"/>
        <v>223.68858866252003</v>
      </c>
      <c r="L280" s="10">
        <f t="shared" si="30"/>
        <v>0.28938138730688873</v>
      </c>
      <c r="M280" s="10">
        <f t="shared" si="34"/>
        <v>0.34020296403995387</v>
      </c>
      <c r="P280" s="8">
        <f t="shared" si="35"/>
        <v>30.43322451245561</v>
      </c>
    </row>
    <row r="281" spans="1:16" x14ac:dyDescent="0.2">
      <c r="A281" s="8">
        <v>139.5</v>
      </c>
      <c r="B281" s="8">
        <v>279</v>
      </c>
      <c r="D281">
        <v>923.8855788761</v>
      </c>
      <c r="E281">
        <v>339.72241029113002</v>
      </c>
      <c r="F281">
        <v>163.25373134328001</v>
      </c>
      <c r="G281">
        <v>124.70217096336999</v>
      </c>
      <c r="I281" s="9">
        <f t="shared" si="32"/>
        <v>215.02023932776001</v>
      </c>
      <c r="J281" s="9">
        <f t="shared" si="33"/>
        <v>760.63184753281996</v>
      </c>
      <c r="K281" s="9">
        <f t="shared" si="31"/>
        <v>215.02023932776001</v>
      </c>
      <c r="L281" s="10">
        <f t="shared" si="30"/>
        <v>0.28268634823166833</v>
      </c>
      <c r="M281" s="10">
        <f t="shared" si="34"/>
        <v>0.33369073639183078</v>
      </c>
      <c r="P281" s="8">
        <f t="shared" si="35"/>
        <v>27.936447762432632</v>
      </c>
    </row>
    <row r="282" spans="1:16" x14ac:dyDescent="0.2">
      <c r="A282" s="8">
        <v>140</v>
      </c>
      <c r="B282" s="8">
        <v>280</v>
      </c>
      <c r="D282">
        <v>918.78672985781998</v>
      </c>
      <c r="E282">
        <v>338.47528774543002</v>
      </c>
      <c r="F282">
        <v>164.20013568521</v>
      </c>
      <c r="G282">
        <v>124.38127544098</v>
      </c>
      <c r="I282" s="9">
        <f t="shared" si="32"/>
        <v>214.09401230445002</v>
      </c>
      <c r="J282" s="9">
        <f t="shared" si="33"/>
        <v>754.58659417260992</v>
      </c>
      <c r="K282" s="9">
        <f t="shared" si="31"/>
        <v>214.09401230445002</v>
      </c>
      <c r="L282" s="10">
        <f t="shared" si="30"/>
        <v>0.28372358316171797</v>
      </c>
      <c r="M282" s="10">
        <f t="shared" si="34"/>
        <v>0.33491078274897779</v>
      </c>
      <c r="P282" s="8">
        <f t="shared" si="35"/>
        <v>28.404211413071113</v>
      </c>
    </row>
    <row r="283" spans="1:16" x14ac:dyDescent="0.2">
      <c r="A283" s="8">
        <v>140.5</v>
      </c>
      <c r="B283" s="8">
        <v>281</v>
      </c>
      <c r="D283">
        <v>921.71834800270994</v>
      </c>
      <c r="E283">
        <v>338.37034529452001</v>
      </c>
      <c r="F283">
        <v>163.38195386703001</v>
      </c>
      <c r="G283">
        <v>124.56377204885</v>
      </c>
      <c r="I283" s="9">
        <f t="shared" si="32"/>
        <v>213.80657324566999</v>
      </c>
      <c r="J283" s="9">
        <f t="shared" si="33"/>
        <v>758.33639413567994</v>
      </c>
      <c r="K283" s="9">
        <f t="shared" si="31"/>
        <v>213.80657324566999</v>
      </c>
      <c r="L283" s="10">
        <f t="shared" si="30"/>
        <v>0.2819415959712151</v>
      </c>
      <c r="M283" s="10">
        <f t="shared" si="34"/>
        <v>0.33331160698557227</v>
      </c>
      <c r="P283" s="8">
        <f t="shared" si="35"/>
        <v>27.791090207699565</v>
      </c>
    </row>
    <row r="284" spans="1:16" x14ac:dyDescent="0.2">
      <c r="A284" s="8">
        <v>141</v>
      </c>
      <c r="B284" s="8">
        <v>282</v>
      </c>
      <c r="D284">
        <v>924.69058903181997</v>
      </c>
      <c r="E284">
        <v>342.40013540961002</v>
      </c>
      <c r="F284">
        <v>164.11601085481999</v>
      </c>
      <c r="G284">
        <v>124.62075983718</v>
      </c>
      <c r="I284" s="9">
        <f t="shared" si="32"/>
        <v>217.77937557243001</v>
      </c>
      <c r="J284" s="9">
        <f t="shared" si="33"/>
        <v>760.57457817699992</v>
      </c>
      <c r="K284" s="9">
        <f t="shared" si="31"/>
        <v>217.77937557243001</v>
      </c>
      <c r="L284" s="10">
        <f t="shared" si="30"/>
        <v>0.2863353336032074</v>
      </c>
      <c r="M284" s="10">
        <f t="shared" si="34"/>
        <v>0.33788815604466194</v>
      </c>
      <c r="P284" s="8">
        <f t="shared" si="35"/>
        <v>29.545731154468047</v>
      </c>
    </row>
    <row r="285" spans="1:16" x14ac:dyDescent="0.2">
      <c r="A285" s="8">
        <v>141.5</v>
      </c>
      <c r="B285" s="8">
        <v>283</v>
      </c>
      <c r="D285">
        <v>929.98984427894004</v>
      </c>
      <c r="E285">
        <v>343.13202437373002</v>
      </c>
      <c r="F285">
        <v>163.04681139755999</v>
      </c>
      <c r="G285">
        <v>124.70963364993</v>
      </c>
      <c r="I285" s="9">
        <f t="shared" si="32"/>
        <v>218.42239072380002</v>
      </c>
      <c r="J285" s="9">
        <f t="shared" si="33"/>
        <v>766.94303288138008</v>
      </c>
      <c r="K285" s="9">
        <f t="shared" si="31"/>
        <v>218.42239072380002</v>
      </c>
      <c r="L285" s="10">
        <f t="shared" si="30"/>
        <v>0.28479610787152493</v>
      </c>
      <c r="M285" s="10">
        <f t="shared" si="34"/>
        <v>0.33653174174007683</v>
      </c>
      <c r="P285" s="8">
        <f t="shared" si="35"/>
        <v>29.025684270040912</v>
      </c>
    </row>
    <row r="286" spans="1:16" x14ac:dyDescent="0.2">
      <c r="A286" s="8">
        <v>142</v>
      </c>
      <c r="B286" s="8">
        <v>284</v>
      </c>
      <c r="D286">
        <v>939.2288422478</v>
      </c>
      <c r="E286">
        <v>347.87542315503998</v>
      </c>
      <c r="F286">
        <v>163.81207598372001</v>
      </c>
      <c r="G286">
        <v>124.67571234735</v>
      </c>
      <c r="I286" s="9">
        <f t="shared" si="32"/>
        <v>223.19971080769</v>
      </c>
      <c r="J286" s="9">
        <f t="shared" si="33"/>
        <v>775.41676626408002</v>
      </c>
      <c r="K286" s="9">
        <f t="shared" si="31"/>
        <v>223.19971080769</v>
      </c>
      <c r="L286" s="10">
        <f t="shared" si="30"/>
        <v>0.28784483456948612</v>
      </c>
      <c r="M286" s="10">
        <f t="shared" si="34"/>
        <v>0.33976327986513538</v>
      </c>
      <c r="P286" s="8">
        <f t="shared" si="35"/>
        <v>30.26465036481256</v>
      </c>
    </row>
    <row r="287" spans="1:16" x14ac:dyDescent="0.2">
      <c r="A287" s="8">
        <v>142.5</v>
      </c>
      <c r="B287" s="8">
        <v>285</v>
      </c>
      <c r="D287">
        <v>943.09004739337001</v>
      </c>
      <c r="E287">
        <v>348.50914014895</v>
      </c>
      <c r="F287">
        <v>162.96336499322001</v>
      </c>
      <c r="G287">
        <v>124.74559023067</v>
      </c>
      <c r="I287" s="9">
        <f t="shared" si="32"/>
        <v>223.76354991827998</v>
      </c>
      <c r="J287" s="9">
        <f t="shared" si="33"/>
        <v>780.12668240015</v>
      </c>
      <c r="K287" s="9">
        <f t="shared" si="31"/>
        <v>223.76354991827998</v>
      </c>
      <c r="L287" s="10">
        <f t="shared" si="30"/>
        <v>0.28682976107142694</v>
      </c>
      <c r="M287" s="10">
        <f t="shared" si="34"/>
        <v>0.33893101779417356</v>
      </c>
      <c r="P287" s="8">
        <f t="shared" si="35"/>
        <v>29.945562534812893</v>
      </c>
    </row>
    <row r="288" spans="1:16" x14ac:dyDescent="0.2">
      <c r="A288" s="8">
        <v>143</v>
      </c>
      <c r="B288" s="8">
        <v>286</v>
      </c>
      <c r="D288">
        <v>947.59715639809997</v>
      </c>
      <c r="E288">
        <v>351.20514556533999</v>
      </c>
      <c r="F288">
        <v>163.22591587516999</v>
      </c>
      <c r="G288">
        <v>124.38534599729</v>
      </c>
      <c r="I288" s="9">
        <f t="shared" si="32"/>
        <v>226.81979956804997</v>
      </c>
      <c r="J288" s="9">
        <f t="shared" si="33"/>
        <v>784.37124052292995</v>
      </c>
      <c r="K288" s="9">
        <f t="shared" si="31"/>
        <v>226.81979956804997</v>
      </c>
      <c r="L288" s="10">
        <f t="shared" si="30"/>
        <v>0.28917403883501924</v>
      </c>
      <c r="M288" s="10">
        <f t="shared" si="34"/>
        <v>0.34145810698486323</v>
      </c>
      <c r="P288" s="8">
        <f t="shared" si="35"/>
        <v>30.914444133779543</v>
      </c>
    </row>
    <row r="289" spans="1:16" x14ac:dyDescent="0.2">
      <c r="A289" s="8">
        <v>143.5</v>
      </c>
      <c r="B289" s="8">
        <v>287</v>
      </c>
      <c r="D289">
        <v>950.15233581584005</v>
      </c>
      <c r="E289">
        <v>352.52335815843003</v>
      </c>
      <c r="F289">
        <v>163.43351424695001</v>
      </c>
      <c r="G289">
        <v>124.30461329715</v>
      </c>
      <c r="I289" s="9">
        <f t="shared" si="32"/>
        <v>228.21874486128002</v>
      </c>
      <c r="J289" s="9">
        <f t="shared" si="33"/>
        <v>786.71882156889001</v>
      </c>
      <c r="K289" s="9">
        <f t="shared" si="31"/>
        <v>228.21874486128002</v>
      </c>
      <c r="L289" s="10">
        <f t="shared" si="30"/>
        <v>0.29008934145767828</v>
      </c>
      <c r="M289" s="10">
        <f t="shared" si="34"/>
        <v>0.34255622103461963</v>
      </c>
      <c r="P289" s="8">
        <f t="shared" si="35"/>
        <v>31.335459149907795</v>
      </c>
    </row>
    <row r="290" spans="1:16" x14ac:dyDescent="0.2">
      <c r="A290" s="8">
        <v>144</v>
      </c>
      <c r="B290" s="8">
        <v>288</v>
      </c>
      <c r="D290">
        <v>947.31821259309004</v>
      </c>
      <c r="E290">
        <v>353.58429248477</v>
      </c>
      <c r="F290">
        <v>163.17910447761</v>
      </c>
      <c r="G290">
        <v>124.49389416554</v>
      </c>
      <c r="I290" s="9">
        <f t="shared" si="32"/>
        <v>229.09039831923002</v>
      </c>
      <c r="J290" s="9">
        <f t="shared" si="33"/>
        <v>784.13910811547998</v>
      </c>
      <c r="K290" s="9">
        <f t="shared" si="31"/>
        <v>229.09039831923002</v>
      </c>
      <c r="L290" s="10">
        <f t="shared" si="30"/>
        <v>0.29215530248172744</v>
      </c>
      <c r="M290" s="10">
        <f t="shared" si="34"/>
        <v>0.3448049934857661</v>
      </c>
      <c r="P290" s="8">
        <f t="shared" si="35"/>
        <v>32.197634595161603</v>
      </c>
    </row>
    <row r="291" spans="1:16" x14ac:dyDescent="0.2">
      <c r="A291" s="8">
        <v>144.5</v>
      </c>
      <c r="B291" s="8">
        <v>289</v>
      </c>
      <c r="D291">
        <v>957.83209207853997</v>
      </c>
      <c r="E291">
        <v>358.29857819904998</v>
      </c>
      <c r="F291">
        <v>163.42605156037999</v>
      </c>
      <c r="G291">
        <v>124.565807327</v>
      </c>
      <c r="I291" s="9">
        <f t="shared" si="32"/>
        <v>233.73277087204997</v>
      </c>
      <c r="J291" s="9">
        <f t="shared" si="33"/>
        <v>794.40604051816001</v>
      </c>
      <c r="K291" s="9">
        <f t="shared" si="31"/>
        <v>233.73277087204997</v>
      </c>
      <c r="L291" s="10">
        <f t="shared" si="30"/>
        <v>0.29422330514958728</v>
      </c>
      <c r="M291" s="10">
        <f t="shared" si="34"/>
        <v>0.3470558075807233</v>
      </c>
      <c r="P291" s="8">
        <f t="shared" si="35"/>
        <v>33.060592803100299</v>
      </c>
    </row>
    <row r="292" spans="1:16" x14ac:dyDescent="0.2">
      <c r="A292" s="8">
        <v>145</v>
      </c>
      <c r="B292" s="8">
        <v>290</v>
      </c>
      <c r="D292">
        <v>953.57345971563996</v>
      </c>
      <c r="E292">
        <v>356.27555856466</v>
      </c>
      <c r="F292">
        <v>163.17028493894</v>
      </c>
      <c r="G292">
        <v>124.64179104478001</v>
      </c>
      <c r="I292" s="9">
        <f>E292-G292</f>
        <v>231.63376751988</v>
      </c>
      <c r="J292" s="9">
        <f>D292-F292</f>
        <v>790.40317477669998</v>
      </c>
      <c r="K292" s="9">
        <f t="shared" si="31"/>
        <v>231.63376751988</v>
      </c>
      <c r="L292" s="10">
        <f t="shared" si="30"/>
        <v>0.29305773928010825</v>
      </c>
      <c r="M292" s="10">
        <f>L292+ABS($N$2)*A292</f>
        <v>0.34607305313834164</v>
      </c>
      <c r="O292" s="11"/>
      <c r="P292" s="8">
        <f>(M292-$O$2)/$O$2*100</f>
        <v>32.683806459731677</v>
      </c>
    </row>
    <row r="293" spans="1:16" x14ac:dyDescent="0.2">
      <c r="A293" s="8">
        <v>145.5</v>
      </c>
      <c r="B293" s="8">
        <v>291</v>
      </c>
      <c r="D293">
        <v>954.32498307380001</v>
      </c>
      <c r="E293">
        <v>356.26066350711</v>
      </c>
      <c r="F293">
        <v>163.02849389417</v>
      </c>
      <c r="G293">
        <v>124.63636363636</v>
      </c>
      <c r="I293" s="9">
        <f t="shared" ref="I293:I301" si="36">E293-G293</f>
        <v>231.62429987075001</v>
      </c>
      <c r="J293" s="9">
        <f t="shared" ref="J293:J301" si="37">D293-F293</f>
        <v>791.29648917963004</v>
      </c>
      <c r="K293" s="9">
        <f t="shared" si="31"/>
        <v>231.62429987075001</v>
      </c>
      <c r="L293" s="10">
        <f t="shared" si="30"/>
        <v>0.2927149343362872</v>
      </c>
      <c r="M293" s="10">
        <f t="shared" ref="M293:M301" si="38">L293+ABS($N$2)*A293</f>
        <v>0.34591305962161795</v>
      </c>
      <c r="P293" s="8">
        <f t="shared" ref="P293:P301" si="39">(M293-$O$2)/$O$2*100</f>
        <v>32.622465223783756</v>
      </c>
    </row>
    <row r="294" spans="1:16" x14ac:dyDescent="0.2">
      <c r="A294" s="8">
        <v>146</v>
      </c>
      <c r="B294" s="8">
        <v>292</v>
      </c>
      <c r="D294">
        <v>964.05416384563</v>
      </c>
      <c r="E294">
        <v>358.68314150305002</v>
      </c>
      <c r="F294">
        <v>163.06241519674001</v>
      </c>
      <c r="G294">
        <v>124.09362279512</v>
      </c>
      <c r="I294" s="9">
        <f t="shared" si="36"/>
        <v>234.58951870793004</v>
      </c>
      <c r="J294" s="9">
        <f t="shared" si="37"/>
        <v>800.99174864889005</v>
      </c>
      <c r="K294" s="9">
        <f t="shared" si="31"/>
        <v>234.58951870793004</v>
      </c>
      <c r="L294" s="10">
        <f t="shared" si="30"/>
        <v>0.29287382685731128</v>
      </c>
      <c r="M294" s="10">
        <f t="shared" si="38"/>
        <v>0.34625476356973939</v>
      </c>
      <c r="N294" s="1"/>
      <c r="P294" s="8">
        <f t="shared" si="39"/>
        <v>32.753473922981577</v>
      </c>
    </row>
    <row r="295" spans="1:16" x14ac:dyDescent="0.2">
      <c r="A295" s="8">
        <v>146.5</v>
      </c>
      <c r="B295" s="8">
        <v>293</v>
      </c>
      <c r="D295">
        <v>967.18618821936002</v>
      </c>
      <c r="E295">
        <v>361.10832769127001</v>
      </c>
      <c r="F295">
        <v>163.24355495251001</v>
      </c>
      <c r="G295">
        <v>124.05223880597001</v>
      </c>
      <c r="I295" s="9">
        <f t="shared" si="36"/>
        <v>237.0560888853</v>
      </c>
      <c r="J295" s="9">
        <f t="shared" si="37"/>
        <v>803.94263326684995</v>
      </c>
      <c r="K295" s="9">
        <f t="shared" si="31"/>
        <v>237.0560888853</v>
      </c>
      <c r="L295" s="10">
        <f t="shared" si="30"/>
        <v>0.29486692094187616</v>
      </c>
      <c r="M295" s="10">
        <f t="shared" si="38"/>
        <v>0.34843066908140163</v>
      </c>
      <c r="P295" s="8">
        <f t="shared" si="39"/>
        <v>33.587712310414318</v>
      </c>
    </row>
    <row r="296" spans="1:16" x14ac:dyDescent="0.2">
      <c r="A296" s="8">
        <v>147</v>
      </c>
      <c r="B296" s="8">
        <v>294</v>
      </c>
      <c r="D296">
        <v>959.71157752199997</v>
      </c>
      <c r="E296">
        <v>357.13337846987002</v>
      </c>
      <c r="F296">
        <v>163.24966078697</v>
      </c>
      <c r="G296">
        <v>124.59701492537</v>
      </c>
      <c r="I296" s="9">
        <f t="shared" si="36"/>
        <v>232.53636354450003</v>
      </c>
      <c r="J296" s="9">
        <f t="shared" si="37"/>
        <v>796.46191673502994</v>
      </c>
      <c r="K296" s="9">
        <f t="shared" si="31"/>
        <v>232.53636354450003</v>
      </c>
      <c r="L296" s="10">
        <f t="shared" si="30"/>
        <v>0.29196168537190853</v>
      </c>
      <c r="M296" s="10">
        <f t="shared" si="38"/>
        <v>0.34570824493853136</v>
      </c>
      <c r="P296" s="8">
        <f t="shared" si="39"/>
        <v>32.543939630634185</v>
      </c>
    </row>
    <row r="297" spans="1:16" x14ac:dyDescent="0.2">
      <c r="A297" s="8">
        <v>147.5</v>
      </c>
      <c r="B297" s="8">
        <v>295</v>
      </c>
      <c r="D297">
        <v>956.71293161815004</v>
      </c>
      <c r="E297">
        <v>358.87339201083</v>
      </c>
      <c r="F297">
        <v>163.22591587516999</v>
      </c>
      <c r="G297">
        <v>124.37313432836</v>
      </c>
      <c r="I297" s="9">
        <f t="shared" si="36"/>
        <v>234.50025768247002</v>
      </c>
      <c r="J297" s="9">
        <f t="shared" si="37"/>
        <v>793.48701574298002</v>
      </c>
      <c r="K297" s="9">
        <f t="shared" si="31"/>
        <v>234.50025768247002</v>
      </c>
      <c r="L297" s="10">
        <f t="shared" si="30"/>
        <v>0.29553131056958276</v>
      </c>
      <c r="M297" s="10">
        <f t="shared" si="38"/>
        <v>0.34946068156330296</v>
      </c>
      <c r="P297" s="8">
        <f t="shared" si="39"/>
        <v>33.982617303913102</v>
      </c>
    </row>
    <row r="298" spans="1:16" x14ac:dyDescent="0.2">
      <c r="A298" s="8">
        <v>148</v>
      </c>
      <c r="B298" s="8">
        <v>296</v>
      </c>
      <c r="D298">
        <v>957.18686526742999</v>
      </c>
      <c r="E298">
        <v>356.88287068381999</v>
      </c>
      <c r="F298">
        <v>163.15468113975999</v>
      </c>
      <c r="G298">
        <v>124.58683853460001</v>
      </c>
      <c r="I298" s="9">
        <f t="shared" si="36"/>
        <v>232.29603214921997</v>
      </c>
      <c r="J298" s="9">
        <f t="shared" si="37"/>
        <v>794.03218412767001</v>
      </c>
      <c r="K298" s="9">
        <f t="shared" si="31"/>
        <v>232.29603214921997</v>
      </c>
      <c r="L298" s="10">
        <f t="shared" si="30"/>
        <v>0.29255241386017899</v>
      </c>
      <c r="M298" s="10">
        <f t="shared" si="38"/>
        <v>0.34666459628099655</v>
      </c>
      <c r="P298" s="8">
        <f t="shared" si="39"/>
        <v>32.910603071432135</v>
      </c>
    </row>
    <row r="299" spans="1:16" x14ac:dyDescent="0.2">
      <c r="A299" s="8">
        <v>148.5</v>
      </c>
      <c r="B299" s="8">
        <v>297</v>
      </c>
      <c r="D299">
        <v>935.09183673468999</v>
      </c>
      <c r="E299">
        <v>347.64013605442</v>
      </c>
      <c r="F299">
        <v>163.07123473541</v>
      </c>
      <c r="G299">
        <v>124.20284938942</v>
      </c>
      <c r="I299" s="9">
        <f t="shared" si="36"/>
        <v>223.43728666499999</v>
      </c>
      <c r="J299" s="9">
        <f t="shared" si="37"/>
        <v>772.02060199927996</v>
      </c>
      <c r="K299" s="9">
        <f t="shared" si="31"/>
        <v>223.43728666499999</v>
      </c>
      <c r="L299" s="10">
        <f t="shared" si="30"/>
        <v>0.28941881354768351</v>
      </c>
      <c r="M299" s="10">
        <f t="shared" si="38"/>
        <v>0.34371380739559843</v>
      </c>
      <c r="P299" s="8">
        <f t="shared" si="39"/>
        <v>31.779275746686096</v>
      </c>
    </row>
    <row r="300" spans="1:16" x14ac:dyDescent="0.2">
      <c r="A300" s="8">
        <v>149</v>
      </c>
      <c r="B300" s="8">
        <v>298</v>
      </c>
      <c r="D300">
        <v>939.49251700679997</v>
      </c>
      <c r="E300">
        <v>350.96870748299</v>
      </c>
      <c r="F300">
        <v>162.91316146540001</v>
      </c>
      <c r="G300">
        <v>124.13500678426</v>
      </c>
      <c r="I300" s="9">
        <f t="shared" si="36"/>
        <v>226.83370069873001</v>
      </c>
      <c r="J300" s="9">
        <f t="shared" si="37"/>
        <v>776.57935554139999</v>
      </c>
      <c r="K300" s="9">
        <f t="shared" si="31"/>
        <v>226.83370069873001</v>
      </c>
      <c r="L300" s="10">
        <f t="shared" si="30"/>
        <v>0.29209339532415285</v>
      </c>
      <c r="M300" s="10">
        <f t="shared" si="38"/>
        <v>0.34657120059916507</v>
      </c>
      <c r="P300" s="8">
        <f t="shared" si="39"/>
        <v>32.874795329511961</v>
      </c>
    </row>
    <row r="301" spans="1:16" x14ac:dyDescent="0.2">
      <c r="A301" s="8">
        <v>149.5</v>
      </c>
      <c r="B301" s="8">
        <v>299</v>
      </c>
      <c r="D301">
        <v>926.97210884354001</v>
      </c>
      <c r="E301">
        <v>344.83129251701001</v>
      </c>
      <c r="F301">
        <v>162.94301221167001</v>
      </c>
      <c r="G301">
        <v>124.52510176391</v>
      </c>
      <c r="I301" s="9">
        <f t="shared" si="36"/>
        <v>220.3061907531</v>
      </c>
      <c r="J301" s="9">
        <f t="shared" si="37"/>
        <v>764.02909663187006</v>
      </c>
      <c r="K301" s="9">
        <f t="shared" si="31"/>
        <v>220.3061907531</v>
      </c>
      <c r="L301" s="10">
        <f t="shared" si="30"/>
        <v>0.28834790680655126</v>
      </c>
      <c r="M301" s="10">
        <f t="shared" si="38"/>
        <v>0.34300852350866085</v>
      </c>
      <c r="P301" s="8">
        <f t="shared" si="39"/>
        <v>31.508871131518944</v>
      </c>
    </row>
    <row r="302" spans="1:16" x14ac:dyDescent="0.2">
      <c r="A302" s="8">
        <v>150</v>
      </c>
      <c r="B302" s="8">
        <v>300</v>
      </c>
      <c r="D302">
        <v>922.03333333333001</v>
      </c>
      <c r="E302">
        <v>344.04081632652998</v>
      </c>
      <c r="F302">
        <v>163.07394843962001</v>
      </c>
      <c r="G302">
        <v>124.37516960651</v>
      </c>
      <c r="I302" s="9">
        <f>E302-G302</f>
        <v>219.66564672001999</v>
      </c>
      <c r="J302" s="9">
        <f>D302-F302</f>
        <v>758.95938489370997</v>
      </c>
      <c r="K302" s="9">
        <f t="shared" si="31"/>
        <v>219.66564672001999</v>
      </c>
      <c r="L302" s="10">
        <f t="shared" si="30"/>
        <v>0.28943004209742201</v>
      </c>
      <c r="M302" s="10">
        <f>L302+ABS($N$2)*A302</f>
        <v>0.34427347022662896</v>
      </c>
      <c r="O302" s="11"/>
      <c r="P302" s="8">
        <f>(M302-$O$2)/$O$2*100</f>
        <v>31.993849502376566</v>
      </c>
    </row>
    <row r="303" spans="1:16" x14ac:dyDescent="0.2">
      <c r="A303" s="8">
        <v>150.5</v>
      </c>
      <c r="B303" s="8">
        <v>301</v>
      </c>
      <c r="D303">
        <v>924.22721088435003</v>
      </c>
      <c r="E303">
        <v>342.18435374149999</v>
      </c>
      <c r="F303">
        <v>163.05291723202001</v>
      </c>
      <c r="G303">
        <v>124.35481682497</v>
      </c>
      <c r="I303" s="9">
        <f t="shared" ref="I303:I309" si="40">E303-G303</f>
        <v>217.82953691653</v>
      </c>
      <c r="J303" s="9">
        <f t="shared" ref="J303:J309" si="41">D303-F303</f>
        <v>761.17429365232999</v>
      </c>
      <c r="K303" s="9">
        <f t="shared" si="31"/>
        <v>217.82953691653</v>
      </c>
      <c r="L303" s="10">
        <f t="shared" si="30"/>
        <v>0.28617563511153554</v>
      </c>
      <c r="M303" s="10">
        <f t="shared" ref="M303:M309" si="42">L303+ABS($N$2)*A303</f>
        <v>0.34120187466783986</v>
      </c>
      <c r="P303" s="8">
        <f t="shared" ref="P303:P309" si="43">(M303-$O$2)/$O$2*100</f>
        <v>30.816205109237327</v>
      </c>
    </row>
    <row r="304" spans="1:16" x14ac:dyDescent="0.2">
      <c r="A304" s="8">
        <v>151</v>
      </c>
      <c r="B304" s="8">
        <v>302</v>
      </c>
      <c r="D304">
        <v>920.43401360543999</v>
      </c>
      <c r="E304">
        <v>341.68231292516998</v>
      </c>
      <c r="F304">
        <v>162.75508819538999</v>
      </c>
      <c r="G304">
        <v>124.01153324288001</v>
      </c>
      <c r="I304" s="9">
        <f t="shared" si="40"/>
        <v>217.67077968228998</v>
      </c>
      <c r="J304" s="9">
        <f t="shared" si="41"/>
        <v>757.67892541004994</v>
      </c>
      <c r="K304" s="9">
        <f t="shared" si="31"/>
        <v>217.67077968228998</v>
      </c>
      <c r="L304" s="10">
        <f t="shared" si="30"/>
        <v>0.287286306088675</v>
      </c>
      <c r="M304" s="10">
        <f t="shared" si="42"/>
        <v>0.34249535707207668</v>
      </c>
      <c r="N304" s="1"/>
      <c r="P304" s="8">
        <f t="shared" si="43"/>
        <v>31.312124012562691</v>
      </c>
    </row>
    <row r="305" spans="1:16" x14ac:dyDescent="0.2">
      <c r="A305" s="8">
        <v>151.5</v>
      </c>
      <c r="B305" s="8">
        <v>303</v>
      </c>
      <c r="D305">
        <v>925.97551020408002</v>
      </c>
      <c r="E305">
        <v>343.93945578231001</v>
      </c>
      <c r="F305">
        <v>162.79240162822001</v>
      </c>
      <c r="G305">
        <v>124.22455902307</v>
      </c>
      <c r="I305" s="9">
        <f t="shared" si="40"/>
        <v>219.71489675923999</v>
      </c>
      <c r="J305" s="9">
        <f t="shared" si="41"/>
        <v>763.18310857586005</v>
      </c>
      <c r="K305" s="9">
        <f t="shared" si="31"/>
        <v>219.71489675923999</v>
      </c>
      <c r="L305" s="10">
        <f t="shared" si="30"/>
        <v>0.28789276687378418</v>
      </c>
      <c r="M305" s="10">
        <f t="shared" si="42"/>
        <v>0.34328462928428322</v>
      </c>
      <c r="P305" s="8">
        <f t="shared" si="43"/>
        <v>31.614729605511283</v>
      </c>
    </row>
    <row r="306" spans="1:16" x14ac:dyDescent="0.2">
      <c r="A306" s="8">
        <v>152</v>
      </c>
      <c r="B306" s="8">
        <v>304</v>
      </c>
      <c r="D306">
        <v>943.99115646258997</v>
      </c>
      <c r="E306">
        <v>353.24557823128998</v>
      </c>
      <c r="F306">
        <v>162.75576662143999</v>
      </c>
      <c r="G306">
        <v>124.21302578018999</v>
      </c>
      <c r="I306" s="9">
        <f t="shared" si="40"/>
        <v>229.0325524511</v>
      </c>
      <c r="J306" s="9">
        <f t="shared" si="41"/>
        <v>781.23538984114998</v>
      </c>
      <c r="K306" s="9">
        <f t="shared" si="31"/>
        <v>229.0325524511</v>
      </c>
      <c r="L306" s="10">
        <f t="shared" si="30"/>
        <v>0.29316714965724944</v>
      </c>
      <c r="M306" s="10">
        <f t="shared" si="42"/>
        <v>0.34874182349484584</v>
      </c>
      <c r="P306" s="8">
        <f t="shared" si="43"/>
        <v>33.707008371168342</v>
      </c>
    </row>
    <row r="307" spans="1:16" x14ac:dyDescent="0.2">
      <c r="A307" s="8">
        <v>152.5</v>
      </c>
      <c r="B307" s="8">
        <v>305</v>
      </c>
      <c r="D307">
        <v>939.66734693878004</v>
      </c>
      <c r="E307">
        <v>349.92653061225002</v>
      </c>
      <c r="F307">
        <v>162.95047489824</v>
      </c>
      <c r="G307">
        <v>124.3263229308</v>
      </c>
      <c r="I307" s="9">
        <f t="shared" si="40"/>
        <v>225.60020768145</v>
      </c>
      <c r="J307" s="9">
        <f t="shared" si="41"/>
        <v>776.71687204054001</v>
      </c>
      <c r="K307" s="9">
        <f t="shared" si="31"/>
        <v>225.60020768145</v>
      </c>
      <c r="L307" s="10">
        <f t="shared" si="30"/>
        <v>0.29045359487140765</v>
      </c>
      <c r="M307" s="10">
        <f t="shared" si="42"/>
        <v>0.34621108013610141</v>
      </c>
      <c r="P307" s="8">
        <f t="shared" si="43"/>
        <v>32.73672577052718</v>
      </c>
    </row>
    <row r="308" spans="1:16" x14ac:dyDescent="0.2">
      <c r="A308" s="8">
        <v>153</v>
      </c>
      <c r="B308" s="8">
        <v>306</v>
      </c>
      <c r="D308">
        <v>944.48299319728005</v>
      </c>
      <c r="E308">
        <v>351.37823129252001</v>
      </c>
      <c r="F308">
        <v>162.31682496607999</v>
      </c>
      <c r="G308">
        <v>124.31139755767001</v>
      </c>
      <c r="I308" s="9">
        <f t="shared" si="40"/>
        <v>227.06683373485001</v>
      </c>
      <c r="J308" s="9">
        <f t="shared" si="41"/>
        <v>782.16616823120012</v>
      </c>
      <c r="K308" s="9">
        <f t="shared" si="31"/>
        <v>227.06683373485001</v>
      </c>
      <c r="L308" s="10">
        <f t="shared" si="30"/>
        <v>0.29030510773476903</v>
      </c>
      <c r="M308" s="10">
        <f t="shared" si="42"/>
        <v>0.34624540442656015</v>
      </c>
      <c r="P308" s="8">
        <f t="shared" si="43"/>
        <v>32.749885643770114</v>
      </c>
    </row>
    <row r="309" spans="1:16" x14ac:dyDescent="0.2">
      <c r="A309" s="8">
        <v>153.5</v>
      </c>
      <c r="B309" s="8">
        <v>307</v>
      </c>
      <c r="D309">
        <v>938.95034013605004</v>
      </c>
      <c r="E309">
        <v>350.18503401360999</v>
      </c>
      <c r="F309">
        <v>163.28493894165999</v>
      </c>
      <c r="G309">
        <v>123.96879240163</v>
      </c>
      <c r="I309" s="9">
        <f t="shared" si="40"/>
        <v>226.21624161198</v>
      </c>
      <c r="J309" s="9">
        <f t="shared" si="41"/>
        <v>775.66540119439003</v>
      </c>
      <c r="K309" s="9">
        <f t="shared" si="31"/>
        <v>226.21624161198</v>
      </c>
      <c r="L309" s="10">
        <f t="shared" si="30"/>
        <v>0.29164152644122876</v>
      </c>
      <c r="M309" s="10">
        <f t="shared" si="42"/>
        <v>0.34776463456011719</v>
      </c>
      <c r="P309" s="8">
        <f t="shared" si="43"/>
        <v>33.332355833750768</v>
      </c>
    </row>
    <row r="310" spans="1:16" x14ac:dyDescent="0.2">
      <c r="A310" s="8">
        <v>154</v>
      </c>
      <c r="B310" s="8">
        <v>308</v>
      </c>
      <c r="D310">
        <v>928.76462585034005</v>
      </c>
      <c r="E310">
        <v>348.34217687075</v>
      </c>
      <c r="F310">
        <v>163.16417910448001</v>
      </c>
      <c r="G310">
        <v>124.13229308005</v>
      </c>
      <c r="I310" s="9">
        <f>E310-G310</f>
        <v>224.20988379069999</v>
      </c>
      <c r="J310" s="9">
        <f>D310-F310</f>
        <v>765.60044674586004</v>
      </c>
      <c r="K310" s="9">
        <f t="shared" si="31"/>
        <v>224.20988379069999</v>
      </c>
      <c r="L310" s="10">
        <f t="shared" si="30"/>
        <v>0.29285495423061858</v>
      </c>
      <c r="M310" s="10">
        <f>L310+ABS($N$2)*A310</f>
        <v>0.34916087377660437</v>
      </c>
      <c r="O310" s="11"/>
      <c r="P310" s="8">
        <f>(M310-$O$2)/$O$2*100</f>
        <v>33.867671520111983</v>
      </c>
    </row>
    <row r="311" spans="1:16" x14ac:dyDescent="0.2">
      <c r="A311" s="8">
        <v>154.5</v>
      </c>
      <c r="B311" s="8">
        <v>309</v>
      </c>
      <c r="D311">
        <v>934.57482993197004</v>
      </c>
      <c r="E311">
        <v>352.02176870748002</v>
      </c>
      <c r="F311">
        <v>163.13772048846999</v>
      </c>
      <c r="G311">
        <v>124.35006784261</v>
      </c>
      <c r="I311" s="9">
        <f t="shared" ref="I311:I319" si="44">E311-G311</f>
        <v>227.67170086487002</v>
      </c>
      <c r="J311" s="9">
        <f t="shared" ref="J311:J319" si="45">D311-F311</f>
        <v>771.43710944350005</v>
      </c>
      <c r="K311" s="9">
        <f t="shared" si="31"/>
        <v>227.67170086487002</v>
      </c>
      <c r="L311" s="10">
        <f t="shared" si="30"/>
        <v>0.29512671619998682</v>
      </c>
      <c r="M311" s="10">
        <f t="shared" ref="M311:M319" si="46">L311+ABS($N$2)*A311</f>
        <v>0.35161544717306997</v>
      </c>
      <c r="P311" s="8">
        <f t="shared" ref="P311:P319" si="47">(M311-$O$2)/$O$2*100</f>
        <v>34.808750689739377</v>
      </c>
    </row>
    <row r="312" spans="1:16" x14ac:dyDescent="0.2">
      <c r="A312" s="8">
        <v>155</v>
      </c>
      <c r="B312" s="8">
        <v>310</v>
      </c>
      <c r="D312">
        <v>936.03809523810003</v>
      </c>
      <c r="E312">
        <v>352.36326530612001</v>
      </c>
      <c r="F312">
        <v>161.81004070556</v>
      </c>
      <c r="G312">
        <v>123.83039348711</v>
      </c>
      <c r="I312" s="9">
        <f t="shared" si="44"/>
        <v>228.53287181901001</v>
      </c>
      <c r="J312" s="9">
        <f t="shared" si="45"/>
        <v>774.22805453254</v>
      </c>
      <c r="K312" s="9">
        <f t="shared" si="31"/>
        <v>228.53287181901001</v>
      </c>
      <c r="L312" s="10">
        <f t="shared" si="30"/>
        <v>0.29517513668113277</v>
      </c>
      <c r="M312" s="10">
        <f t="shared" si="46"/>
        <v>0.35184667908131328</v>
      </c>
      <c r="N312" s="1"/>
      <c r="P312" s="8">
        <f t="shared" si="47"/>
        <v>34.897404601052159</v>
      </c>
    </row>
    <row r="313" spans="1:16" x14ac:dyDescent="0.2">
      <c r="A313" s="8">
        <v>155.5</v>
      </c>
      <c r="B313" s="8">
        <v>311</v>
      </c>
      <c r="D313">
        <v>944.74149659863997</v>
      </c>
      <c r="E313">
        <v>356.45170068026999</v>
      </c>
      <c r="F313">
        <v>162.57530529172001</v>
      </c>
      <c r="G313">
        <v>123.93622795115</v>
      </c>
      <c r="I313" s="9">
        <f t="shared" si="44"/>
        <v>232.51547272912001</v>
      </c>
      <c r="J313" s="9">
        <f t="shared" si="45"/>
        <v>782.16619130691993</v>
      </c>
      <c r="K313" s="9">
        <f t="shared" si="31"/>
        <v>232.51547272912001</v>
      </c>
      <c r="L313" s="10">
        <f t="shared" si="30"/>
        <v>0.29727118777738315</v>
      </c>
      <c r="M313" s="10">
        <f t="shared" si="46"/>
        <v>0.35412554160466103</v>
      </c>
      <c r="P313" s="8">
        <f t="shared" si="47"/>
        <v>35.771116527635868</v>
      </c>
    </row>
    <row r="314" spans="1:16" x14ac:dyDescent="0.2">
      <c r="A314" s="8">
        <v>156</v>
      </c>
      <c r="B314" s="8">
        <v>312</v>
      </c>
      <c r="D314">
        <v>932.87959183674002</v>
      </c>
      <c r="E314">
        <v>349.52721088434998</v>
      </c>
      <c r="F314">
        <v>162.55563093622999</v>
      </c>
      <c r="G314">
        <v>123.93690637720999</v>
      </c>
      <c r="I314" s="9">
        <f t="shared" si="44"/>
        <v>225.59030450713999</v>
      </c>
      <c r="J314" s="9">
        <f t="shared" si="45"/>
        <v>770.32396090050997</v>
      </c>
      <c r="K314" s="9">
        <f t="shared" si="31"/>
        <v>225.59030450713999</v>
      </c>
      <c r="L314" s="10">
        <f t="shared" si="30"/>
        <v>0.29285121060420416</v>
      </c>
      <c r="M314" s="10">
        <f t="shared" si="46"/>
        <v>0.3498883758585794</v>
      </c>
      <c r="P314" s="8">
        <f t="shared" si="47"/>
        <v>34.14659455260027</v>
      </c>
    </row>
    <row r="315" spans="1:16" x14ac:dyDescent="0.2">
      <c r="A315" s="8">
        <v>156.5</v>
      </c>
      <c r="B315" s="8">
        <v>313</v>
      </c>
      <c r="D315">
        <v>930.96122448979997</v>
      </c>
      <c r="E315">
        <v>348.09319727891</v>
      </c>
      <c r="F315">
        <v>162.48982360923</v>
      </c>
      <c r="G315">
        <v>124.02238805970001</v>
      </c>
      <c r="I315" s="9">
        <f t="shared" si="44"/>
        <v>224.07080921920999</v>
      </c>
      <c r="J315" s="9">
        <f t="shared" si="45"/>
        <v>768.47140088056995</v>
      </c>
      <c r="K315" s="9">
        <f t="shared" si="31"/>
        <v>224.07080921920999</v>
      </c>
      <c r="L315" s="10">
        <f t="shared" si="30"/>
        <v>0.29157989349044544</v>
      </c>
      <c r="M315" s="10">
        <f t="shared" si="46"/>
        <v>0.34879987017191805</v>
      </c>
      <c r="P315" s="8">
        <f t="shared" si="47"/>
        <v>33.729263366165597</v>
      </c>
    </row>
    <row r="316" spans="1:16" x14ac:dyDescent="0.2">
      <c r="A316" s="8">
        <v>157</v>
      </c>
      <c r="B316" s="8">
        <v>314</v>
      </c>
      <c r="D316">
        <v>938.52789115645999</v>
      </c>
      <c r="E316">
        <v>353.13061224490002</v>
      </c>
      <c r="F316">
        <v>162.32360922659001</v>
      </c>
      <c r="G316">
        <v>123.91655359566001</v>
      </c>
      <c r="I316" s="9">
        <f t="shared" si="44"/>
        <v>229.21405864924003</v>
      </c>
      <c r="J316" s="9">
        <f t="shared" si="45"/>
        <v>776.20428192986992</v>
      </c>
      <c r="K316" s="9">
        <f t="shared" si="31"/>
        <v>229.21405864924003</v>
      </c>
      <c r="L316" s="10">
        <f t="shared" si="30"/>
        <v>0.29530120354315376</v>
      </c>
      <c r="M316" s="10">
        <f t="shared" si="46"/>
        <v>0.35270399165172373</v>
      </c>
      <c r="P316" s="8">
        <f t="shared" si="47"/>
        <v>35.226096748956436</v>
      </c>
    </row>
    <row r="317" spans="1:16" x14ac:dyDescent="0.2">
      <c r="A317" s="8">
        <v>157.5</v>
      </c>
      <c r="B317" s="8">
        <v>315</v>
      </c>
      <c r="D317">
        <v>936.62176870747999</v>
      </c>
      <c r="E317">
        <v>348.97142857143001</v>
      </c>
      <c r="F317">
        <v>163.00881953867</v>
      </c>
      <c r="G317">
        <v>123.565807327</v>
      </c>
      <c r="I317" s="9">
        <f t="shared" si="44"/>
        <v>225.40562124442999</v>
      </c>
      <c r="J317" s="9">
        <f t="shared" si="45"/>
        <v>773.61294916881002</v>
      </c>
      <c r="K317" s="9">
        <f t="shared" si="31"/>
        <v>225.40562124442999</v>
      </c>
      <c r="L317" s="10">
        <f t="shared" si="30"/>
        <v>0.291367435726886</v>
      </c>
      <c r="M317" s="10">
        <f t="shared" si="46"/>
        <v>0.34895303526255333</v>
      </c>
      <c r="P317" s="8">
        <f t="shared" si="47"/>
        <v>33.787986595431633</v>
      </c>
    </row>
    <row r="318" spans="1:16" x14ac:dyDescent="0.2">
      <c r="A318" s="8">
        <v>158</v>
      </c>
      <c r="B318" s="8">
        <v>316</v>
      </c>
      <c r="D318">
        <v>936.62040816326999</v>
      </c>
      <c r="E318">
        <v>350.68231292516998</v>
      </c>
      <c r="F318">
        <v>162.40841248304</v>
      </c>
      <c r="G318">
        <v>124.11804613296999</v>
      </c>
      <c r="I318" s="9">
        <f t="shared" si="44"/>
        <v>226.56426679219999</v>
      </c>
      <c r="J318" s="9">
        <f t="shared" si="45"/>
        <v>774.21199568022996</v>
      </c>
      <c r="K318" s="9">
        <f t="shared" si="31"/>
        <v>226.56426679219999</v>
      </c>
      <c r="L318" s="10">
        <f t="shared" si="30"/>
        <v>0.29263853835426368</v>
      </c>
      <c r="M318" s="10">
        <f t="shared" si="46"/>
        <v>0.35040694931702832</v>
      </c>
      <c r="P318" s="8">
        <f t="shared" si="47"/>
        <v>34.345414714332087</v>
      </c>
    </row>
    <row r="319" spans="1:16" x14ac:dyDescent="0.2">
      <c r="A319" s="8">
        <v>158.5</v>
      </c>
      <c r="B319" s="8">
        <v>317</v>
      </c>
      <c r="D319">
        <v>926.38299319728003</v>
      </c>
      <c r="E319">
        <v>346.80680272108998</v>
      </c>
      <c r="F319">
        <v>161.86635006783999</v>
      </c>
      <c r="G319">
        <v>123.97489823609</v>
      </c>
      <c r="I319" s="9">
        <f t="shared" si="44"/>
        <v>222.831904485</v>
      </c>
      <c r="J319" s="9">
        <f t="shared" si="45"/>
        <v>764.51664312944001</v>
      </c>
      <c r="K319" s="9">
        <f t="shared" si="31"/>
        <v>222.831904485</v>
      </c>
      <c r="L319" s="10">
        <f t="shared" si="30"/>
        <v>0.29146769594559685</v>
      </c>
      <c r="M319" s="10">
        <f t="shared" si="46"/>
        <v>0.34941891833545885</v>
      </c>
      <c r="P319" s="8">
        <f t="shared" si="47"/>
        <v>33.966605355019226</v>
      </c>
    </row>
    <row r="320" spans="1:16" x14ac:dyDescent="0.2">
      <c r="A320" s="8">
        <v>159</v>
      </c>
      <c r="B320" s="8">
        <v>318</v>
      </c>
      <c r="D320">
        <v>931.13061224490002</v>
      </c>
      <c r="E320">
        <v>348.90408163264999</v>
      </c>
      <c r="F320">
        <v>162.80936227951</v>
      </c>
      <c r="G320">
        <v>124.14246947082999</v>
      </c>
      <c r="I320" s="9">
        <f>E320-G320</f>
        <v>224.76161216181998</v>
      </c>
      <c r="J320" s="9">
        <f>D320-F320</f>
        <v>768.32124996539005</v>
      </c>
      <c r="K320" s="9">
        <f t="shared" si="31"/>
        <v>224.76161216181998</v>
      </c>
      <c r="L320" s="10">
        <f t="shared" si="30"/>
        <v>0.29253598305649448</v>
      </c>
      <c r="M320" s="10">
        <f>L320+ABS($N$2)*A320</f>
        <v>0.35067001687345384</v>
      </c>
      <c r="O320" s="11"/>
      <c r="P320" s="8">
        <f>(M320-$O$2)/$O$2*100</f>
        <v>34.446274357768829</v>
      </c>
    </row>
    <row r="321" spans="1:16" x14ac:dyDescent="0.2">
      <c r="A321" s="8">
        <v>159.5</v>
      </c>
      <c r="B321" s="8">
        <v>319</v>
      </c>
      <c r="D321">
        <v>934.53401360544001</v>
      </c>
      <c r="E321">
        <v>350.05034013605001</v>
      </c>
      <c r="F321">
        <v>162.45725915874999</v>
      </c>
      <c r="G321">
        <v>123.84464043419</v>
      </c>
      <c r="I321" s="9">
        <f t="shared" ref="I321:I322" si="48">E321-G321</f>
        <v>226.20569970186</v>
      </c>
      <c r="J321" s="9">
        <f t="shared" ref="J321:J322" si="49">D321-F321</f>
        <v>772.07675444669007</v>
      </c>
      <c r="K321" s="9">
        <f t="shared" si="31"/>
        <v>226.20569970186</v>
      </c>
      <c r="L321" s="10">
        <f t="shared" si="30"/>
        <v>0.2929834351300612</v>
      </c>
      <c r="M321" s="10">
        <f t="shared" ref="M321:M322" si="50">L321+ABS($N$2)*A321</f>
        <v>0.35130028037411792</v>
      </c>
      <c r="P321" s="8">
        <f t="shared" ref="P321:P322" si="51">(M321-$O$2)/$O$2*100</f>
        <v>34.687916287362576</v>
      </c>
    </row>
    <row r="322" spans="1:16" x14ac:dyDescent="0.2">
      <c r="A322" s="8">
        <v>160</v>
      </c>
      <c r="B322" s="8">
        <v>320</v>
      </c>
      <c r="D322">
        <v>926.77891156462999</v>
      </c>
      <c r="E322">
        <v>346.72244897959001</v>
      </c>
      <c r="F322">
        <v>161.72455902306999</v>
      </c>
      <c r="G322">
        <v>124.04952510176</v>
      </c>
      <c r="I322" s="9">
        <f t="shared" si="48"/>
        <v>222.67292387783002</v>
      </c>
      <c r="J322" s="9">
        <f t="shared" si="49"/>
        <v>765.05435254155998</v>
      </c>
      <c r="K322" s="9">
        <f t="shared" ref="K322" si="52">I322*1</f>
        <v>222.67292387783002</v>
      </c>
      <c r="L322" s="10">
        <f t="shared" ref="L322" si="53">K322/J322</f>
        <v>0.29105503829642454</v>
      </c>
      <c r="M322" s="10">
        <f t="shared" si="50"/>
        <v>0.34955469496757863</v>
      </c>
      <c r="P322" s="8">
        <f t="shared" si="51"/>
        <v>34.018661879543636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FA94-F5CD-234C-A351-81E254FF4BD0}">
  <dimension ref="A1:Y798"/>
  <sheetViews>
    <sheetView topLeftCell="F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316.46621621622</v>
      </c>
      <c r="E2">
        <v>176.57807807808001</v>
      </c>
      <c r="F2">
        <v>131.56701807229001</v>
      </c>
      <c r="G2">
        <v>111.23719879518001</v>
      </c>
      <c r="H2" s="4"/>
      <c r="I2" s="5">
        <f>E2-G2</f>
        <v>65.340879282900005</v>
      </c>
      <c r="J2" s="5">
        <f>D2-F2</f>
        <v>184.89919814392999</v>
      </c>
      <c r="K2" s="9">
        <f>I2*1</f>
        <v>65.340879282900005</v>
      </c>
      <c r="L2" s="6">
        <f t="shared" ref="L2:L65" si="0">K2/J2</f>
        <v>0.35338649349921514</v>
      </c>
      <c r="M2" s="6">
        <f>L2+ABS($N$2)*A2</f>
        <v>0.35338649349921514</v>
      </c>
      <c r="N2" s="4">
        <f>LINEST(V64:V103,U64:U103)</f>
        <v>-5.7999556088461396E-4</v>
      </c>
      <c r="O2" s="7">
        <f>AVERAGE(M62:M81)</f>
        <v>0.44654159403755223</v>
      </c>
      <c r="P2" s="4">
        <f>(M2-$O$2)/$O$2*100</f>
        <v>-20.861461011066115</v>
      </c>
    </row>
    <row r="3" spans="1:16" x14ac:dyDescent="0.2">
      <c r="A3" s="8">
        <v>0.5</v>
      </c>
      <c r="B3" s="8">
        <v>1</v>
      </c>
      <c r="D3">
        <v>311.94744744744997</v>
      </c>
      <c r="E3">
        <v>175.35210210209999</v>
      </c>
      <c r="F3">
        <v>131.48569277108001</v>
      </c>
      <c r="G3">
        <v>111.20783132530001</v>
      </c>
      <c r="I3" s="9">
        <f t="shared" ref="I3:I66" si="1">E3-G3</f>
        <v>64.144270776799985</v>
      </c>
      <c r="J3" s="9">
        <f t="shared" ref="J3:J66" si="2">D3-F3</f>
        <v>180.46175467636996</v>
      </c>
      <c r="K3" s="9">
        <f t="shared" ref="K3:K66" si="3">I3*1</f>
        <v>64.144270776799985</v>
      </c>
      <c r="L3" s="10">
        <f t="shared" si="0"/>
        <v>0.35544523487446267</v>
      </c>
      <c r="M3" s="10">
        <f t="shared" ref="M3:M66" si="4">L3+ABS($N$2)*A3</f>
        <v>0.35573523265490498</v>
      </c>
      <c r="P3" s="8">
        <f t="shared" ref="P3:P66" si="5">(M3-$O$2)/$O$2*100</f>
        <v>-20.335476604002722</v>
      </c>
    </row>
    <row r="4" spans="1:16" ht="16" x14ac:dyDescent="0.2">
      <c r="A4" s="8">
        <v>1</v>
      </c>
      <c r="B4" s="8">
        <v>2</v>
      </c>
      <c r="D4">
        <v>311.04879879880002</v>
      </c>
      <c r="E4">
        <v>174.97972972973</v>
      </c>
      <c r="F4">
        <v>131.86746987952</v>
      </c>
      <c r="G4">
        <v>111.08584337348999</v>
      </c>
      <c r="I4" s="9">
        <f t="shared" si="1"/>
        <v>63.893886356240003</v>
      </c>
      <c r="J4" s="9">
        <f t="shared" si="2"/>
        <v>179.18132891928002</v>
      </c>
      <c r="K4" s="9">
        <f t="shared" si="3"/>
        <v>63.893886356240003</v>
      </c>
      <c r="L4" s="10">
        <f t="shared" si="0"/>
        <v>0.35658785846500651</v>
      </c>
      <c r="M4" s="10">
        <f t="shared" si="4"/>
        <v>0.35716785402589113</v>
      </c>
      <c r="N4" s="1" t="s">
        <v>7</v>
      </c>
      <c r="P4" s="8">
        <f t="shared" si="5"/>
        <v>-20.014650640617624</v>
      </c>
    </row>
    <row r="5" spans="1:16" x14ac:dyDescent="0.2">
      <c r="A5" s="8">
        <v>1.5</v>
      </c>
      <c r="B5" s="8">
        <v>3</v>
      </c>
      <c r="D5">
        <v>310.72597597598002</v>
      </c>
      <c r="E5">
        <v>175.38588588588999</v>
      </c>
      <c r="F5">
        <v>132.04216867470001</v>
      </c>
      <c r="G5">
        <v>111.00527108434</v>
      </c>
      <c r="I5" s="9">
        <f t="shared" si="1"/>
        <v>64.380614801549996</v>
      </c>
      <c r="J5" s="9">
        <f t="shared" si="2"/>
        <v>178.68380730128001</v>
      </c>
      <c r="K5" s="9">
        <f t="shared" si="3"/>
        <v>64.380614801549996</v>
      </c>
      <c r="L5" s="10">
        <f t="shared" si="0"/>
        <v>0.36030469561798284</v>
      </c>
      <c r="M5" s="10">
        <f t="shared" si="4"/>
        <v>0.36117468895930976</v>
      </c>
      <c r="N5" s="8">
        <f>RSQ(V64:V83,U64:U83)</f>
        <v>3.201824758025952E-5</v>
      </c>
      <c r="P5" s="8">
        <f t="shared" si="5"/>
        <v>-19.117346786526561</v>
      </c>
    </row>
    <row r="6" spans="1:16" x14ac:dyDescent="0.2">
      <c r="A6" s="8">
        <v>2</v>
      </c>
      <c r="B6" s="8">
        <v>4</v>
      </c>
      <c r="D6">
        <v>309.29129129129001</v>
      </c>
      <c r="E6">
        <v>176.12687687688</v>
      </c>
      <c r="F6">
        <v>132.63102409639001</v>
      </c>
      <c r="G6">
        <v>111.34563253012</v>
      </c>
      <c r="I6" s="9">
        <f t="shared" si="1"/>
        <v>64.781244346760005</v>
      </c>
      <c r="J6" s="9">
        <f t="shared" si="2"/>
        <v>176.6602671949</v>
      </c>
      <c r="K6" s="9">
        <f t="shared" si="3"/>
        <v>64.781244346760005</v>
      </c>
      <c r="L6" s="10">
        <f t="shared" si="0"/>
        <v>0.36669957186971908</v>
      </c>
      <c r="M6" s="10">
        <f t="shared" si="4"/>
        <v>0.36785956299148831</v>
      </c>
      <c r="P6" s="8">
        <f t="shared" si="5"/>
        <v>-17.62031400807135</v>
      </c>
    </row>
    <row r="7" spans="1:16" x14ac:dyDescent="0.2">
      <c r="A7" s="8">
        <v>2.5</v>
      </c>
      <c r="B7" s="8">
        <v>5</v>
      </c>
      <c r="D7">
        <v>307.58033033033001</v>
      </c>
      <c r="E7">
        <v>179.82732732733001</v>
      </c>
      <c r="F7">
        <v>132.40737951807</v>
      </c>
      <c r="G7">
        <v>111.65135542169</v>
      </c>
      <c r="I7" s="9">
        <f t="shared" si="1"/>
        <v>68.175971905640012</v>
      </c>
      <c r="J7" s="9">
        <f t="shared" si="2"/>
        <v>175.17295081226001</v>
      </c>
      <c r="K7" s="9">
        <f t="shared" si="3"/>
        <v>68.175971905640012</v>
      </c>
      <c r="L7" s="10">
        <f t="shared" si="0"/>
        <v>0.3891923472745914</v>
      </c>
      <c r="M7" s="10">
        <f t="shared" si="4"/>
        <v>0.39064233617680294</v>
      </c>
      <c r="P7" s="8">
        <f t="shared" si="5"/>
        <v>-12.518264503720205</v>
      </c>
    </row>
    <row r="8" spans="1:16" x14ac:dyDescent="0.2">
      <c r="A8" s="8">
        <v>3</v>
      </c>
      <c r="B8" s="8">
        <v>6</v>
      </c>
      <c r="D8">
        <v>298.00075075075</v>
      </c>
      <c r="E8">
        <v>183.07732732733001</v>
      </c>
      <c r="F8">
        <v>132.78614457831</v>
      </c>
      <c r="G8">
        <v>111.39006024096</v>
      </c>
      <c r="I8" s="9">
        <f t="shared" si="1"/>
        <v>71.687267086370014</v>
      </c>
      <c r="J8" s="9">
        <f t="shared" si="2"/>
        <v>165.21460617244</v>
      </c>
      <c r="K8" s="9">
        <f t="shared" si="3"/>
        <v>71.687267086370014</v>
      </c>
      <c r="L8" s="10">
        <f t="shared" si="0"/>
        <v>0.43390393105769121</v>
      </c>
      <c r="M8" s="10">
        <f t="shared" si="4"/>
        <v>0.43564391774034505</v>
      </c>
      <c r="P8" s="8">
        <f t="shared" si="5"/>
        <v>-2.4404616373297405</v>
      </c>
    </row>
    <row r="9" spans="1:16" x14ac:dyDescent="0.2">
      <c r="A9" s="8">
        <v>3.5</v>
      </c>
      <c r="B9" s="8">
        <v>7</v>
      </c>
      <c r="D9">
        <v>290.66366366365997</v>
      </c>
      <c r="E9">
        <v>190.62987987988001</v>
      </c>
      <c r="F9">
        <v>132.34262048193</v>
      </c>
      <c r="G9">
        <v>111.51581325300999</v>
      </c>
      <c r="I9" s="9">
        <f t="shared" si="1"/>
        <v>79.114066626870013</v>
      </c>
      <c r="J9" s="9">
        <f t="shared" si="2"/>
        <v>158.32104318172998</v>
      </c>
      <c r="K9" s="9">
        <f t="shared" si="3"/>
        <v>79.114066626870013</v>
      </c>
      <c r="L9" s="10">
        <f t="shared" si="0"/>
        <v>0.49970657745135211</v>
      </c>
      <c r="M9" s="10">
        <f t="shared" si="4"/>
        <v>0.50173656191444826</v>
      </c>
      <c r="P9" s="8">
        <f t="shared" si="5"/>
        <v>12.360543477670834</v>
      </c>
    </row>
    <row r="10" spans="1:16" x14ac:dyDescent="0.2">
      <c r="A10" s="8">
        <v>4</v>
      </c>
      <c r="B10" s="8">
        <v>8</v>
      </c>
      <c r="D10">
        <v>302.23723723723998</v>
      </c>
      <c r="E10">
        <v>199.66966966966999</v>
      </c>
      <c r="F10">
        <v>132.79894578312999</v>
      </c>
      <c r="G10">
        <v>111.65512048193</v>
      </c>
      <c r="I10" s="9">
        <f t="shared" si="1"/>
        <v>88.014549187739988</v>
      </c>
      <c r="J10" s="9">
        <f t="shared" si="2"/>
        <v>169.43829145410999</v>
      </c>
      <c r="K10" s="9">
        <f t="shared" si="3"/>
        <v>88.014549187739988</v>
      </c>
      <c r="L10" s="10">
        <f t="shared" si="0"/>
        <v>0.51944898896467873</v>
      </c>
      <c r="M10" s="10">
        <f t="shared" si="4"/>
        <v>0.52176897120821719</v>
      </c>
      <c r="P10" s="8">
        <f t="shared" si="5"/>
        <v>16.846667404590907</v>
      </c>
    </row>
    <row r="11" spans="1:16" x14ac:dyDescent="0.2">
      <c r="A11" s="8">
        <v>4.5</v>
      </c>
      <c r="B11" s="8">
        <v>9</v>
      </c>
      <c r="D11">
        <v>281.36411411411001</v>
      </c>
      <c r="E11">
        <v>194.73573573574001</v>
      </c>
      <c r="F11">
        <v>132.16641566265</v>
      </c>
      <c r="G11">
        <v>111.67168674699001</v>
      </c>
      <c r="I11" s="9">
        <f t="shared" si="1"/>
        <v>83.064048988750002</v>
      </c>
      <c r="J11" s="9">
        <f t="shared" si="2"/>
        <v>149.19769845146001</v>
      </c>
      <c r="K11" s="9">
        <f t="shared" si="3"/>
        <v>83.064048988750002</v>
      </c>
      <c r="L11" s="10">
        <f t="shared" si="0"/>
        <v>0.55673813906569114</v>
      </c>
      <c r="M11" s="10">
        <f t="shared" si="4"/>
        <v>0.55934811908967186</v>
      </c>
      <c r="P11" s="8">
        <f t="shared" si="5"/>
        <v>25.26226594753301</v>
      </c>
    </row>
    <row r="12" spans="1:16" x14ac:dyDescent="0.2">
      <c r="A12" s="8">
        <v>5</v>
      </c>
      <c r="B12" s="8">
        <v>10</v>
      </c>
      <c r="D12">
        <v>278.95120120119998</v>
      </c>
      <c r="E12">
        <v>197.94894894895</v>
      </c>
      <c r="F12">
        <v>132.85843373494001</v>
      </c>
      <c r="G12">
        <v>111.88177710843</v>
      </c>
      <c r="I12" s="9">
        <f t="shared" si="1"/>
        <v>86.067171840520004</v>
      </c>
      <c r="J12" s="9">
        <f t="shared" si="2"/>
        <v>146.09276746625997</v>
      </c>
      <c r="K12" s="9">
        <f t="shared" si="3"/>
        <v>86.067171840520004</v>
      </c>
      <c r="L12" s="10">
        <f t="shared" si="0"/>
        <v>0.58912684955740302</v>
      </c>
      <c r="M12" s="10">
        <f t="shared" si="4"/>
        <v>0.5920268273618261</v>
      </c>
      <c r="P12" s="8">
        <f t="shared" si="5"/>
        <v>32.580443852681547</v>
      </c>
    </row>
    <row r="13" spans="1:16" x14ac:dyDescent="0.2">
      <c r="A13" s="8">
        <v>5.5</v>
      </c>
      <c r="B13" s="8">
        <v>11</v>
      </c>
      <c r="D13">
        <v>302.25375375375</v>
      </c>
      <c r="E13">
        <v>220.97072072072001</v>
      </c>
      <c r="F13">
        <v>132.42846385542001</v>
      </c>
      <c r="G13">
        <v>111.81551204819</v>
      </c>
      <c r="I13" s="9">
        <f t="shared" si="1"/>
        <v>109.15520867253001</v>
      </c>
      <c r="J13" s="9">
        <f t="shared" si="2"/>
        <v>169.82528989833</v>
      </c>
      <c r="K13" s="9">
        <f t="shared" si="3"/>
        <v>109.15520867253001</v>
      </c>
      <c r="L13" s="10">
        <f t="shared" si="0"/>
        <v>0.64275002114160029</v>
      </c>
      <c r="M13" s="10">
        <f t="shared" si="4"/>
        <v>0.64593999672646563</v>
      </c>
      <c r="P13" s="8">
        <f t="shared" si="5"/>
        <v>44.653937136289443</v>
      </c>
    </row>
    <row r="14" spans="1:16" x14ac:dyDescent="0.2">
      <c r="A14" s="8">
        <v>6</v>
      </c>
      <c r="B14" s="8">
        <v>12</v>
      </c>
      <c r="D14">
        <v>328.25225225225</v>
      </c>
      <c r="E14">
        <v>238.89114114114</v>
      </c>
      <c r="F14">
        <v>132.39156626505999</v>
      </c>
      <c r="G14">
        <v>111.7093373494</v>
      </c>
      <c r="I14" s="9">
        <f t="shared" si="1"/>
        <v>127.18180379173999</v>
      </c>
      <c r="J14" s="9">
        <f t="shared" si="2"/>
        <v>195.86068598719001</v>
      </c>
      <c r="K14" s="9">
        <f t="shared" si="3"/>
        <v>127.18180379173999</v>
      </c>
      <c r="L14" s="10">
        <f t="shared" si="0"/>
        <v>0.64934830157828682</v>
      </c>
      <c r="M14" s="10">
        <f t="shared" si="4"/>
        <v>0.65282827494359452</v>
      </c>
      <c r="P14" s="8">
        <f t="shared" si="5"/>
        <v>46.196520919996196</v>
      </c>
    </row>
    <row r="15" spans="1:16" x14ac:dyDescent="0.2">
      <c r="A15" s="8">
        <v>6.5</v>
      </c>
      <c r="B15" s="8">
        <v>13</v>
      </c>
      <c r="D15">
        <v>374.64511278195999</v>
      </c>
      <c r="E15">
        <v>257.00225563909999</v>
      </c>
      <c r="F15">
        <v>133.25376506024</v>
      </c>
      <c r="G15">
        <v>111.7515060241</v>
      </c>
      <c r="I15" s="9">
        <f t="shared" si="1"/>
        <v>145.25074961499999</v>
      </c>
      <c r="J15" s="9">
        <f t="shared" si="2"/>
        <v>241.39134772172</v>
      </c>
      <c r="K15" s="9">
        <f t="shared" si="3"/>
        <v>145.25074961499999</v>
      </c>
      <c r="L15" s="10">
        <f t="shared" si="0"/>
        <v>0.60172309813874314</v>
      </c>
      <c r="M15" s="10">
        <f t="shared" si="4"/>
        <v>0.60549306928449309</v>
      </c>
      <c r="P15" s="8">
        <f t="shared" si="5"/>
        <v>35.596118563050084</v>
      </c>
    </row>
    <row r="16" spans="1:16" x14ac:dyDescent="0.2">
      <c r="A16" s="8">
        <v>7</v>
      </c>
      <c r="B16" s="8">
        <v>14</v>
      </c>
      <c r="D16">
        <v>371.67293233083001</v>
      </c>
      <c r="E16">
        <v>247.05263157895001</v>
      </c>
      <c r="F16">
        <v>132.66490963855</v>
      </c>
      <c r="G16">
        <v>111.40210843374</v>
      </c>
      <c r="I16" s="9">
        <f t="shared" si="1"/>
        <v>135.65052314521</v>
      </c>
      <c r="J16" s="9">
        <f t="shared" si="2"/>
        <v>239.00802269228001</v>
      </c>
      <c r="K16" s="9">
        <f t="shared" si="3"/>
        <v>135.65052314521</v>
      </c>
      <c r="L16" s="10">
        <f t="shared" si="0"/>
        <v>0.56755635905937118</v>
      </c>
      <c r="M16" s="10">
        <f t="shared" si="4"/>
        <v>0.5716163279855635</v>
      </c>
      <c r="P16" s="8">
        <f t="shared" si="5"/>
        <v>28.009649183429264</v>
      </c>
    </row>
    <row r="17" spans="1:16" x14ac:dyDescent="0.2">
      <c r="A17" s="8">
        <v>7.5</v>
      </c>
      <c r="B17" s="8">
        <v>15</v>
      </c>
      <c r="D17">
        <v>383.04644194756997</v>
      </c>
      <c r="E17">
        <v>246.62921348315001</v>
      </c>
      <c r="F17">
        <v>132.87725903615001</v>
      </c>
      <c r="G17">
        <v>111.72439759036</v>
      </c>
      <c r="I17" s="9">
        <f t="shared" si="1"/>
        <v>134.90481589279</v>
      </c>
      <c r="J17" s="9">
        <f t="shared" si="2"/>
        <v>250.16918291141997</v>
      </c>
      <c r="K17" s="9">
        <f t="shared" si="3"/>
        <v>134.90481589279</v>
      </c>
      <c r="L17" s="10">
        <f t="shared" si="0"/>
        <v>0.53925433309888193</v>
      </c>
      <c r="M17" s="10">
        <f t="shared" si="4"/>
        <v>0.5436042998055165</v>
      </c>
      <c r="P17" s="8">
        <f t="shared" si="5"/>
        <v>21.736543037422337</v>
      </c>
    </row>
    <row r="18" spans="1:16" x14ac:dyDescent="0.2">
      <c r="A18" s="8">
        <v>8</v>
      </c>
      <c r="B18" s="8">
        <v>16</v>
      </c>
      <c r="D18">
        <v>369.62058602554998</v>
      </c>
      <c r="E18">
        <v>234.32156273479001</v>
      </c>
      <c r="F18">
        <v>132.75225903615001</v>
      </c>
      <c r="G18">
        <v>111.25451807229</v>
      </c>
      <c r="I18" s="9">
        <f t="shared" si="1"/>
        <v>123.06704466250001</v>
      </c>
      <c r="J18" s="9">
        <f t="shared" si="2"/>
        <v>236.86832698939997</v>
      </c>
      <c r="K18" s="9">
        <f t="shared" si="3"/>
        <v>123.06704466250001</v>
      </c>
      <c r="L18" s="10">
        <f t="shared" si="0"/>
        <v>0.51955888837770758</v>
      </c>
      <c r="M18" s="10">
        <f t="shared" si="4"/>
        <v>0.52419885286478451</v>
      </c>
      <c r="P18" s="8">
        <f t="shared" si="5"/>
        <v>17.39082313140613</v>
      </c>
    </row>
    <row r="19" spans="1:16" x14ac:dyDescent="0.2">
      <c r="A19" s="8">
        <v>8.5</v>
      </c>
      <c r="B19" s="8">
        <v>17</v>
      </c>
      <c r="D19">
        <v>374.72201352367</v>
      </c>
      <c r="E19">
        <v>234.02028549962</v>
      </c>
      <c r="F19">
        <v>132.72665662650999</v>
      </c>
      <c r="G19">
        <v>111.51656626506001</v>
      </c>
      <c r="I19" s="9">
        <f t="shared" si="1"/>
        <v>122.50371923455999</v>
      </c>
      <c r="J19" s="9">
        <f t="shared" si="2"/>
        <v>241.99535689716001</v>
      </c>
      <c r="K19" s="9">
        <f t="shared" si="3"/>
        <v>122.50371923455999</v>
      </c>
      <c r="L19" s="10">
        <f t="shared" si="0"/>
        <v>0.50622342843800927</v>
      </c>
      <c r="M19" s="10">
        <f t="shared" si="4"/>
        <v>0.51115339070552845</v>
      </c>
      <c r="P19" s="8">
        <f t="shared" si="5"/>
        <v>14.469379231566645</v>
      </c>
    </row>
    <row r="20" spans="1:16" x14ac:dyDescent="0.2">
      <c r="A20" s="8">
        <v>9</v>
      </c>
      <c r="B20" s="8">
        <v>18</v>
      </c>
      <c r="D20">
        <v>377.27736131934</v>
      </c>
      <c r="E20">
        <v>236.20614692653999</v>
      </c>
      <c r="F20">
        <v>132.29216867470001</v>
      </c>
      <c r="G20">
        <v>111.50903614457999</v>
      </c>
      <c r="I20" s="9">
        <f t="shared" si="1"/>
        <v>124.69711078195999</v>
      </c>
      <c r="J20" s="9">
        <f t="shared" si="2"/>
        <v>244.98519264463999</v>
      </c>
      <c r="K20" s="9">
        <f t="shared" si="3"/>
        <v>124.69711078195999</v>
      </c>
      <c r="L20" s="10">
        <f t="shared" si="0"/>
        <v>0.508998562059372</v>
      </c>
      <c r="M20" s="10">
        <f t="shared" si="4"/>
        <v>0.51421852210733354</v>
      </c>
      <c r="P20" s="8">
        <f t="shared" si="5"/>
        <v>15.155794885277803</v>
      </c>
    </row>
    <row r="21" spans="1:16" x14ac:dyDescent="0.2">
      <c r="A21" s="8">
        <v>9.5</v>
      </c>
      <c r="B21" s="8">
        <v>19</v>
      </c>
      <c r="D21">
        <v>377.97076461769001</v>
      </c>
      <c r="E21">
        <v>232.80734632683999</v>
      </c>
      <c r="F21">
        <v>132.49397590360999</v>
      </c>
      <c r="G21">
        <v>111.56325301205</v>
      </c>
      <c r="I21" s="9">
        <f t="shared" si="1"/>
        <v>121.24409331478999</v>
      </c>
      <c r="J21" s="9">
        <f t="shared" si="2"/>
        <v>245.47678871408002</v>
      </c>
      <c r="K21" s="9">
        <f t="shared" si="3"/>
        <v>121.24409331478999</v>
      </c>
      <c r="L21" s="10">
        <f t="shared" si="0"/>
        <v>0.4939126585039757</v>
      </c>
      <c r="M21" s="10">
        <f t="shared" si="4"/>
        <v>0.49942261633237955</v>
      </c>
      <c r="P21" s="8">
        <f t="shared" si="5"/>
        <v>11.842350858446629</v>
      </c>
    </row>
    <row r="22" spans="1:16" x14ac:dyDescent="0.2">
      <c r="A22" s="8">
        <v>10</v>
      </c>
      <c r="B22" s="8">
        <v>20</v>
      </c>
      <c r="D22">
        <v>376.68717179294998</v>
      </c>
      <c r="E22">
        <v>227.61290322580999</v>
      </c>
      <c r="F22">
        <v>132.5609939759</v>
      </c>
      <c r="G22">
        <v>111.63253012048</v>
      </c>
      <c r="I22" s="9">
        <f t="shared" si="1"/>
        <v>115.98037310532999</v>
      </c>
      <c r="J22" s="9">
        <f t="shared" si="2"/>
        <v>244.12617781704998</v>
      </c>
      <c r="K22" s="9">
        <f t="shared" si="3"/>
        <v>115.98037310532999</v>
      </c>
      <c r="L22" s="10">
        <f t="shared" si="0"/>
        <v>0.47508372163286217</v>
      </c>
      <c r="M22" s="10">
        <f t="shared" si="4"/>
        <v>0.48088367724170833</v>
      </c>
      <c r="P22" s="8">
        <f t="shared" si="5"/>
        <v>7.6906795834271335</v>
      </c>
    </row>
    <row r="23" spans="1:16" x14ac:dyDescent="0.2">
      <c r="A23" s="8">
        <v>10.5</v>
      </c>
      <c r="B23" s="8">
        <v>21</v>
      </c>
      <c r="D23">
        <v>376.90922730683002</v>
      </c>
      <c r="E23">
        <v>225.23255813954</v>
      </c>
      <c r="F23">
        <v>132.69954819277001</v>
      </c>
      <c r="G23">
        <v>111.65060240964</v>
      </c>
      <c r="I23" s="9">
        <f t="shared" si="1"/>
        <v>113.5819557299</v>
      </c>
      <c r="J23" s="9">
        <f t="shared" si="2"/>
        <v>244.20967911406001</v>
      </c>
      <c r="K23" s="9">
        <f t="shared" si="3"/>
        <v>113.5819557299</v>
      </c>
      <c r="L23" s="10">
        <f t="shared" si="0"/>
        <v>0.46510013911795312</v>
      </c>
      <c r="M23" s="10">
        <f t="shared" si="4"/>
        <v>0.47119009250724159</v>
      </c>
      <c r="P23" s="8">
        <f t="shared" si="5"/>
        <v>5.519866189131875</v>
      </c>
    </row>
    <row r="24" spans="1:16" x14ac:dyDescent="0.2">
      <c r="A24" s="8">
        <v>11</v>
      </c>
      <c r="B24" s="8">
        <v>22</v>
      </c>
      <c r="D24">
        <v>375.39684921230003</v>
      </c>
      <c r="E24">
        <v>223.54163540885</v>
      </c>
      <c r="F24">
        <v>132.83885542169</v>
      </c>
      <c r="G24">
        <v>111.80195783133</v>
      </c>
      <c r="I24" s="9">
        <f t="shared" si="1"/>
        <v>111.73967757752</v>
      </c>
      <c r="J24" s="9">
        <f t="shared" si="2"/>
        <v>242.55799379061003</v>
      </c>
      <c r="K24" s="9">
        <f t="shared" si="3"/>
        <v>111.73967757752</v>
      </c>
      <c r="L24" s="10">
        <f t="shared" si="0"/>
        <v>0.46067200602747438</v>
      </c>
      <c r="M24" s="10">
        <f t="shared" si="4"/>
        <v>0.46705195719720516</v>
      </c>
      <c r="P24" s="8">
        <f t="shared" si="5"/>
        <v>4.5931584948675805</v>
      </c>
    </row>
    <row r="25" spans="1:16" x14ac:dyDescent="0.2">
      <c r="A25" s="8">
        <v>11.5</v>
      </c>
      <c r="B25" s="8">
        <v>23</v>
      </c>
      <c r="D25">
        <v>372.31507876968999</v>
      </c>
      <c r="E25">
        <v>224.23555888972001</v>
      </c>
      <c r="F25">
        <v>132.81551204818999</v>
      </c>
      <c r="G25">
        <v>111.58960843374</v>
      </c>
      <c r="I25" s="9">
        <f t="shared" si="1"/>
        <v>112.64595045598001</v>
      </c>
      <c r="J25" s="9">
        <f t="shared" si="2"/>
        <v>239.4995667215</v>
      </c>
      <c r="K25" s="9">
        <f t="shared" si="3"/>
        <v>112.64595045598001</v>
      </c>
      <c r="L25" s="10">
        <f t="shared" si="0"/>
        <v>0.4703388486166632</v>
      </c>
      <c r="M25" s="10">
        <f t="shared" si="4"/>
        <v>0.47700879756683623</v>
      </c>
      <c r="P25" s="8">
        <f t="shared" si="5"/>
        <v>6.8229262259322354</v>
      </c>
    </row>
    <row r="26" spans="1:16" x14ac:dyDescent="0.2">
      <c r="A26" s="8">
        <v>12</v>
      </c>
      <c r="B26" s="8">
        <v>24</v>
      </c>
      <c r="D26">
        <v>362.69017254314002</v>
      </c>
      <c r="E26">
        <v>221.41035258815</v>
      </c>
      <c r="F26">
        <v>132.50075301205001</v>
      </c>
      <c r="G26">
        <v>111.69201807229</v>
      </c>
      <c r="I26" s="9">
        <f t="shared" si="1"/>
        <v>109.71833451586001</v>
      </c>
      <c r="J26" s="9">
        <f t="shared" si="2"/>
        <v>230.18941953109001</v>
      </c>
      <c r="K26" s="9">
        <f t="shared" si="3"/>
        <v>109.71833451586001</v>
      </c>
      <c r="L26" s="10">
        <f t="shared" si="0"/>
        <v>0.47664369083237185</v>
      </c>
      <c r="M26" s="10">
        <f t="shared" si="4"/>
        <v>0.48360363756298719</v>
      </c>
      <c r="P26" s="8">
        <f t="shared" si="5"/>
        <v>8.2997964848753156</v>
      </c>
    </row>
    <row r="27" spans="1:16" x14ac:dyDescent="0.2">
      <c r="A27" s="8">
        <v>12.5</v>
      </c>
      <c r="B27" s="8">
        <v>25</v>
      </c>
      <c r="D27">
        <v>362.31957989496999</v>
      </c>
      <c r="E27">
        <v>222.48312078020001</v>
      </c>
      <c r="F27">
        <v>132.98343373494001</v>
      </c>
      <c r="G27">
        <v>111.6875</v>
      </c>
      <c r="I27" s="9">
        <f t="shared" si="1"/>
        <v>110.79562078020001</v>
      </c>
      <c r="J27" s="9">
        <f t="shared" si="2"/>
        <v>229.33614616002998</v>
      </c>
      <c r="K27" s="9">
        <f t="shared" si="3"/>
        <v>110.79562078020001</v>
      </c>
      <c r="L27" s="10">
        <f t="shared" si="0"/>
        <v>0.48311451393661775</v>
      </c>
      <c r="M27" s="10">
        <f t="shared" si="4"/>
        <v>0.4903644584476754</v>
      </c>
      <c r="P27" s="8">
        <f t="shared" si="5"/>
        <v>9.8138370524197711</v>
      </c>
    </row>
    <row r="28" spans="1:16" x14ac:dyDescent="0.2">
      <c r="A28" s="8">
        <v>13</v>
      </c>
      <c r="B28" s="8">
        <v>26</v>
      </c>
      <c r="D28">
        <v>357.47522522523002</v>
      </c>
      <c r="E28">
        <v>220.35135135134999</v>
      </c>
      <c r="F28">
        <v>133.03012048193</v>
      </c>
      <c r="G28">
        <v>111.56777108434</v>
      </c>
      <c r="I28" s="9">
        <f t="shared" si="1"/>
        <v>108.78358026701</v>
      </c>
      <c r="J28" s="9">
        <f t="shared" si="2"/>
        <v>224.44510474330002</v>
      </c>
      <c r="K28" s="9">
        <f t="shared" si="3"/>
        <v>108.78358026701</v>
      </c>
      <c r="L28" s="10">
        <f t="shared" si="0"/>
        <v>0.48467789213503587</v>
      </c>
      <c r="M28" s="10">
        <f t="shared" si="4"/>
        <v>0.49221783442653583</v>
      </c>
      <c r="P28" s="8">
        <f t="shared" si="5"/>
        <v>10.228888192919925</v>
      </c>
    </row>
    <row r="29" spans="1:16" x14ac:dyDescent="0.2">
      <c r="A29" s="8">
        <v>13.5</v>
      </c>
      <c r="B29" s="8">
        <v>27</v>
      </c>
      <c r="D29">
        <v>362.16216216215997</v>
      </c>
      <c r="E29">
        <v>229.62612612613</v>
      </c>
      <c r="F29">
        <v>133.12801204818999</v>
      </c>
      <c r="G29">
        <v>111.42093373493999</v>
      </c>
      <c r="I29" s="9">
        <f t="shared" si="1"/>
        <v>118.20519239119001</v>
      </c>
      <c r="J29" s="9">
        <f t="shared" si="2"/>
        <v>229.03415011396999</v>
      </c>
      <c r="K29" s="9">
        <f t="shared" si="3"/>
        <v>118.20519239119001</v>
      </c>
      <c r="L29" s="10">
        <f t="shared" si="0"/>
        <v>0.51610291448838419</v>
      </c>
      <c r="M29" s="10">
        <f t="shared" si="4"/>
        <v>0.52393285456032646</v>
      </c>
      <c r="P29" s="8">
        <f t="shared" si="5"/>
        <v>17.331254592212961</v>
      </c>
    </row>
    <row r="30" spans="1:16" x14ac:dyDescent="0.2">
      <c r="A30" s="8">
        <v>14</v>
      </c>
      <c r="B30" s="8">
        <v>28</v>
      </c>
      <c r="D30">
        <v>364.05263157895001</v>
      </c>
      <c r="E30">
        <v>242.99699248120001</v>
      </c>
      <c r="F30">
        <v>132.72439759036001</v>
      </c>
      <c r="G30">
        <v>111.43222891566</v>
      </c>
      <c r="I30" s="9">
        <f t="shared" si="1"/>
        <v>131.56476356554001</v>
      </c>
      <c r="J30" s="9">
        <f t="shared" si="2"/>
        <v>231.32823398859</v>
      </c>
      <c r="K30" s="9">
        <f t="shared" si="3"/>
        <v>131.56476356554001</v>
      </c>
      <c r="L30" s="10">
        <f t="shared" si="0"/>
        <v>0.56873629862245556</v>
      </c>
      <c r="M30" s="10">
        <f t="shared" si="4"/>
        <v>0.57685623647484019</v>
      </c>
      <c r="P30" s="8">
        <f t="shared" si="5"/>
        <v>29.183091603853832</v>
      </c>
    </row>
    <row r="31" spans="1:16" x14ac:dyDescent="0.2">
      <c r="A31" s="8">
        <v>14.5</v>
      </c>
      <c r="B31" s="8">
        <v>29</v>
      </c>
      <c r="D31">
        <v>362.07142857142998</v>
      </c>
      <c r="E31">
        <v>240.78120300751999</v>
      </c>
      <c r="F31">
        <v>132.73795180722999</v>
      </c>
      <c r="G31">
        <v>111.52786144578</v>
      </c>
      <c r="I31" s="9">
        <f t="shared" si="1"/>
        <v>129.25334156174</v>
      </c>
      <c r="J31" s="9">
        <f t="shared" si="2"/>
        <v>229.33347676419999</v>
      </c>
      <c r="K31" s="9">
        <f t="shared" si="3"/>
        <v>129.25334156174</v>
      </c>
      <c r="L31" s="10">
        <f t="shared" si="0"/>
        <v>0.5636043345500662</v>
      </c>
      <c r="M31" s="10">
        <f t="shared" si="4"/>
        <v>0.57201427018289308</v>
      </c>
      <c r="P31" s="8">
        <f t="shared" si="5"/>
        <v>28.098765673951785</v>
      </c>
    </row>
    <row r="32" spans="1:16" x14ac:dyDescent="0.2">
      <c r="A32" s="8">
        <v>15</v>
      </c>
      <c r="B32" s="8">
        <v>30</v>
      </c>
      <c r="D32">
        <v>364.79473684211001</v>
      </c>
      <c r="E32">
        <v>232.22330827068001</v>
      </c>
      <c r="F32">
        <v>132.77635542169</v>
      </c>
      <c r="G32">
        <v>111.7484939759</v>
      </c>
      <c r="I32" s="9">
        <f t="shared" si="1"/>
        <v>120.47481429478</v>
      </c>
      <c r="J32" s="9">
        <f t="shared" si="2"/>
        <v>232.01838142042001</v>
      </c>
      <c r="K32" s="9">
        <f t="shared" si="3"/>
        <v>120.47481429478</v>
      </c>
      <c r="L32" s="10">
        <f t="shared" si="0"/>
        <v>0.51924685258655534</v>
      </c>
      <c r="M32" s="10">
        <f t="shared" si="4"/>
        <v>0.52794678599982459</v>
      </c>
      <c r="P32" s="8">
        <f t="shared" si="5"/>
        <v>18.230147661323244</v>
      </c>
    </row>
    <row r="33" spans="1:16" x14ac:dyDescent="0.2">
      <c r="A33" s="8">
        <v>15.5</v>
      </c>
      <c r="B33" s="8">
        <v>31</v>
      </c>
      <c r="D33">
        <v>374.71846846847001</v>
      </c>
      <c r="E33">
        <v>232.82957957958001</v>
      </c>
      <c r="F33">
        <v>132.35542168674999</v>
      </c>
      <c r="G33">
        <v>111.46611445783</v>
      </c>
      <c r="I33" s="9">
        <f t="shared" si="1"/>
        <v>121.36346512175001</v>
      </c>
      <c r="J33" s="9">
        <f t="shared" si="2"/>
        <v>242.36304678172002</v>
      </c>
      <c r="K33" s="9">
        <f t="shared" si="3"/>
        <v>121.36346512175001</v>
      </c>
      <c r="L33" s="10">
        <f t="shared" si="0"/>
        <v>0.5007506991404258</v>
      </c>
      <c r="M33" s="10">
        <f t="shared" si="4"/>
        <v>0.5097406303341373</v>
      </c>
      <c r="P33" s="8">
        <f t="shared" si="5"/>
        <v>14.153001006054167</v>
      </c>
    </row>
    <row r="34" spans="1:16" x14ac:dyDescent="0.2">
      <c r="A34" s="8">
        <v>16</v>
      </c>
      <c r="B34" s="8">
        <v>32</v>
      </c>
      <c r="D34">
        <v>382.61227544910003</v>
      </c>
      <c r="E34">
        <v>234.40419161676999</v>
      </c>
      <c r="F34">
        <v>132.53915662650999</v>
      </c>
      <c r="G34">
        <v>111.49096385542001</v>
      </c>
      <c r="I34" s="9">
        <f t="shared" si="1"/>
        <v>122.91322776134999</v>
      </c>
      <c r="J34" s="9">
        <f t="shared" si="2"/>
        <v>250.07311882259003</v>
      </c>
      <c r="K34" s="9">
        <f t="shared" si="3"/>
        <v>122.91322776134999</v>
      </c>
      <c r="L34" s="10">
        <f t="shared" si="0"/>
        <v>0.49150915676206131</v>
      </c>
      <c r="M34" s="10">
        <f t="shared" si="4"/>
        <v>0.50078908573621517</v>
      </c>
      <c r="P34" s="8">
        <f t="shared" si="5"/>
        <v>12.148362531733374</v>
      </c>
    </row>
    <row r="35" spans="1:16" x14ac:dyDescent="0.2">
      <c r="A35" s="8">
        <v>16.5</v>
      </c>
      <c r="B35" s="8">
        <v>33</v>
      </c>
      <c r="D35">
        <v>376.11601796407001</v>
      </c>
      <c r="E35">
        <v>225.41991017964</v>
      </c>
      <c r="F35">
        <v>132.81852409639001</v>
      </c>
      <c r="G35">
        <v>111.77259036145</v>
      </c>
      <c r="I35" s="9">
        <f t="shared" si="1"/>
        <v>113.64731981819</v>
      </c>
      <c r="J35" s="9">
        <f t="shared" si="2"/>
        <v>243.29749386768</v>
      </c>
      <c r="K35" s="9">
        <f t="shared" si="3"/>
        <v>113.64731981819</v>
      </c>
      <c r="L35" s="10">
        <f t="shared" si="0"/>
        <v>0.46711257897296027</v>
      </c>
      <c r="M35" s="10">
        <f t="shared" si="4"/>
        <v>0.47668250572755638</v>
      </c>
      <c r="P35" s="8">
        <f t="shared" si="5"/>
        <v>6.7498553533334311</v>
      </c>
    </row>
    <row r="36" spans="1:16" x14ac:dyDescent="0.2">
      <c r="A36" s="8">
        <v>17</v>
      </c>
      <c r="B36" s="8">
        <v>34</v>
      </c>
      <c r="D36">
        <v>378.47904191616999</v>
      </c>
      <c r="E36">
        <v>226.16616766467001</v>
      </c>
      <c r="F36">
        <v>132.6890060241</v>
      </c>
      <c r="G36">
        <v>111.67545180723</v>
      </c>
      <c r="I36" s="9">
        <f t="shared" si="1"/>
        <v>114.49071585744001</v>
      </c>
      <c r="J36" s="9">
        <f t="shared" si="2"/>
        <v>245.79003589206999</v>
      </c>
      <c r="K36" s="9">
        <f t="shared" si="3"/>
        <v>114.49071585744001</v>
      </c>
      <c r="L36" s="10">
        <f t="shared" si="0"/>
        <v>0.46580698620229893</v>
      </c>
      <c r="M36" s="10">
        <f t="shared" si="4"/>
        <v>0.47566691073733736</v>
      </c>
      <c r="P36" s="8">
        <f t="shared" si="5"/>
        <v>6.522419655566468</v>
      </c>
    </row>
    <row r="37" spans="1:16" x14ac:dyDescent="0.2">
      <c r="A37" s="8">
        <v>17.5</v>
      </c>
      <c r="B37" s="8">
        <v>35</v>
      </c>
      <c r="D37">
        <v>365.70553064274998</v>
      </c>
      <c r="E37">
        <v>219.33109118087</v>
      </c>
      <c r="F37">
        <v>132.67545180722999</v>
      </c>
      <c r="G37">
        <v>111.17846385542001</v>
      </c>
      <c r="I37" s="9">
        <f t="shared" si="1"/>
        <v>108.15262732545</v>
      </c>
      <c r="J37" s="9">
        <f t="shared" si="2"/>
        <v>233.03007883551999</v>
      </c>
      <c r="K37" s="9">
        <f t="shared" si="3"/>
        <v>108.15262732545</v>
      </c>
      <c r="L37" s="10">
        <f t="shared" si="0"/>
        <v>0.46411445194501072</v>
      </c>
      <c r="M37" s="10">
        <f t="shared" si="4"/>
        <v>0.47426437426049145</v>
      </c>
      <c r="P37" s="8">
        <f t="shared" si="5"/>
        <v>6.2083310027795218</v>
      </c>
    </row>
    <row r="38" spans="1:16" x14ac:dyDescent="0.2">
      <c r="A38" s="8">
        <v>18</v>
      </c>
      <c r="B38" s="8">
        <v>36</v>
      </c>
      <c r="D38">
        <v>359.71546546547</v>
      </c>
      <c r="E38">
        <v>215.60585585586</v>
      </c>
      <c r="F38">
        <v>132.56777108434</v>
      </c>
      <c r="G38">
        <v>111.75301204819</v>
      </c>
      <c r="I38" s="9">
        <f t="shared" si="1"/>
        <v>103.85284380767</v>
      </c>
      <c r="J38" s="9">
        <f t="shared" si="2"/>
        <v>227.14769438113001</v>
      </c>
      <c r="K38" s="9">
        <f t="shared" si="3"/>
        <v>103.85284380767</v>
      </c>
      <c r="L38" s="10">
        <f t="shared" si="0"/>
        <v>0.45720404114433061</v>
      </c>
      <c r="M38" s="10">
        <f t="shared" si="4"/>
        <v>0.46764396124025365</v>
      </c>
      <c r="P38" s="8">
        <f t="shared" si="5"/>
        <v>4.7257338363258503</v>
      </c>
    </row>
    <row r="39" spans="1:16" x14ac:dyDescent="0.2">
      <c r="A39" s="8">
        <v>18.5</v>
      </c>
      <c r="B39" s="8">
        <v>37</v>
      </c>
      <c r="D39">
        <v>354.45209580838002</v>
      </c>
      <c r="E39">
        <v>219.27844311377001</v>
      </c>
      <c r="F39">
        <v>132.77183734939999</v>
      </c>
      <c r="G39">
        <v>111.56927710843</v>
      </c>
      <c r="I39" s="9">
        <f t="shared" si="1"/>
        <v>107.70916600534001</v>
      </c>
      <c r="J39" s="9">
        <f t="shared" si="2"/>
        <v>221.68025845898003</v>
      </c>
      <c r="K39" s="9">
        <f t="shared" si="3"/>
        <v>107.70916600534001</v>
      </c>
      <c r="L39" s="10">
        <f t="shared" si="0"/>
        <v>0.48587621989474827</v>
      </c>
      <c r="M39" s="10">
        <f t="shared" si="4"/>
        <v>0.49660613777111362</v>
      </c>
      <c r="P39" s="8">
        <f t="shared" si="5"/>
        <v>11.211619343426984</v>
      </c>
    </row>
    <row r="40" spans="1:16" x14ac:dyDescent="0.2">
      <c r="A40" s="8">
        <v>19</v>
      </c>
      <c r="B40" s="8">
        <v>38</v>
      </c>
      <c r="D40">
        <v>359.27320359280998</v>
      </c>
      <c r="E40">
        <v>233.05089820359001</v>
      </c>
      <c r="F40">
        <v>132.47289156626999</v>
      </c>
      <c r="G40">
        <v>111.46234939759</v>
      </c>
      <c r="I40" s="9">
        <f t="shared" si="1"/>
        <v>121.58854880600001</v>
      </c>
      <c r="J40" s="9">
        <f t="shared" si="2"/>
        <v>226.80031202653998</v>
      </c>
      <c r="K40" s="9">
        <f t="shared" si="3"/>
        <v>121.58854880600001</v>
      </c>
      <c r="L40" s="10">
        <f t="shared" si="0"/>
        <v>0.5361039749882347</v>
      </c>
      <c r="M40" s="10">
        <f t="shared" si="4"/>
        <v>0.54712389064504241</v>
      </c>
      <c r="P40" s="8">
        <f t="shared" si="5"/>
        <v>22.524731839209505</v>
      </c>
    </row>
    <row r="41" spans="1:16" x14ac:dyDescent="0.2">
      <c r="A41" s="8">
        <v>19.5</v>
      </c>
      <c r="B41" s="8">
        <v>39</v>
      </c>
      <c r="D41">
        <v>379.44812030075002</v>
      </c>
      <c r="E41">
        <v>251.10451127819999</v>
      </c>
      <c r="F41">
        <v>132.62801204818999</v>
      </c>
      <c r="G41">
        <v>111.69051204819</v>
      </c>
      <c r="I41" s="9">
        <f t="shared" si="1"/>
        <v>139.41399923001001</v>
      </c>
      <c r="J41" s="9">
        <f t="shared" si="2"/>
        <v>246.82010825256003</v>
      </c>
      <c r="K41" s="9">
        <f t="shared" si="3"/>
        <v>139.41399923001001</v>
      </c>
      <c r="L41" s="10">
        <f t="shared" si="0"/>
        <v>0.56484052380105865</v>
      </c>
      <c r="M41" s="10">
        <f t="shared" si="4"/>
        <v>0.57615043723830861</v>
      </c>
      <c r="P41" s="8">
        <f t="shared" si="5"/>
        <v>29.025032590772909</v>
      </c>
    </row>
    <row r="42" spans="1:16" x14ac:dyDescent="0.2">
      <c r="A42" s="8">
        <v>20</v>
      </c>
      <c r="B42" s="8">
        <v>40</v>
      </c>
      <c r="D42">
        <v>392.14350112697002</v>
      </c>
      <c r="E42">
        <v>255.41096919609001</v>
      </c>
      <c r="F42">
        <v>132.09939759036001</v>
      </c>
      <c r="G42">
        <v>111.50602409638999</v>
      </c>
      <c r="I42" s="9">
        <f t="shared" si="1"/>
        <v>143.9049450997</v>
      </c>
      <c r="J42" s="9">
        <f t="shared" si="2"/>
        <v>260.04410353661001</v>
      </c>
      <c r="K42" s="9">
        <f t="shared" si="3"/>
        <v>143.9049450997</v>
      </c>
      <c r="L42" s="10">
        <f t="shared" si="0"/>
        <v>0.55338668765254473</v>
      </c>
      <c r="M42" s="10">
        <f t="shared" si="4"/>
        <v>0.56498659887023706</v>
      </c>
      <c r="P42" s="8">
        <f t="shared" si="5"/>
        <v>26.524965739859862</v>
      </c>
    </row>
    <row r="43" spans="1:16" x14ac:dyDescent="0.2">
      <c r="A43" s="8">
        <v>20.5</v>
      </c>
      <c r="B43" s="8">
        <v>41</v>
      </c>
      <c r="D43">
        <v>385.35131086142002</v>
      </c>
      <c r="E43">
        <v>236.39026217228999</v>
      </c>
      <c r="F43">
        <v>132.39156626505999</v>
      </c>
      <c r="G43">
        <v>111.72364457831</v>
      </c>
      <c r="I43" s="9">
        <f t="shared" si="1"/>
        <v>124.66661759397999</v>
      </c>
      <c r="J43" s="9">
        <f t="shared" si="2"/>
        <v>252.95974459636003</v>
      </c>
      <c r="K43" s="9">
        <f t="shared" si="3"/>
        <v>124.66661759397999</v>
      </c>
      <c r="L43" s="10">
        <f t="shared" si="0"/>
        <v>0.49283184481746939</v>
      </c>
      <c r="M43" s="10">
        <f t="shared" si="4"/>
        <v>0.50472175381560402</v>
      </c>
      <c r="P43" s="8">
        <f t="shared" si="5"/>
        <v>13.029057215476122</v>
      </c>
    </row>
    <row r="44" spans="1:16" x14ac:dyDescent="0.2">
      <c r="A44" s="8">
        <v>21</v>
      </c>
      <c r="B44" s="8">
        <v>42</v>
      </c>
      <c r="D44">
        <v>373.98727544910003</v>
      </c>
      <c r="E44">
        <v>231.56811377246001</v>
      </c>
      <c r="F44">
        <v>132.55195783132999</v>
      </c>
      <c r="G44">
        <v>111.44277108434</v>
      </c>
      <c r="I44" s="9">
        <f t="shared" si="1"/>
        <v>120.12534268812001</v>
      </c>
      <c r="J44" s="9">
        <f t="shared" si="2"/>
        <v>241.43531761777004</v>
      </c>
      <c r="K44" s="9">
        <f t="shared" si="3"/>
        <v>120.12534268812001</v>
      </c>
      <c r="L44" s="10">
        <f t="shared" si="0"/>
        <v>0.49754668817052383</v>
      </c>
      <c r="M44" s="10">
        <f t="shared" si="4"/>
        <v>0.50972659494910078</v>
      </c>
      <c r="P44" s="8">
        <f t="shared" si="5"/>
        <v>14.149857875554359</v>
      </c>
    </row>
    <row r="45" spans="1:16" x14ac:dyDescent="0.2">
      <c r="A45" s="8">
        <v>21.5</v>
      </c>
      <c r="B45" s="8">
        <v>43</v>
      </c>
      <c r="D45">
        <v>366.09745127436003</v>
      </c>
      <c r="E45">
        <v>229.90404797600999</v>
      </c>
      <c r="F45">
        <v>132.55873493976</v>
      </c>
      <c r="G45">
        <v>111.11596385542001</v>
      </c>
      <c r="I45" s="9">
        <f t="shared" si="1"/>
        <v>118.78808412058999</v>
      </c>
      <c r="J45" s="9">
        <f t="shared" si="2"/>
        <v>233.53871633460002</v>
      </c>
      <c r="K45" s="9">
        <f t="shared" si="3"/>
        <v>118.78808412058999</v>
      </c>
      <c r="L45" s="10">
        <f t="shared" si="0"/>
        <v>0.50864407403180922</v>
      </c>
      <c r="M45" s="10">
        <f t="shared" si="4"/>
        <v>0.52111397859082842</v>
      </c>
      <c r="P45" s="8">
        <f t="shared" si="5"/>
        <v>16.699986193672469</v>
      </c>
    </row>
    <row r="46" spans="1:16" x14ac:dyDescent="0.2">
      <c r="A46" s="8">
        <v>22</v>
      </c>
      <c r="B46" s="8">
        <v>44</v>
      </c>
      <c r="D46">
        <v>371.17916041978998</v>
      </c>
      <c r="E46">
        <v>237.27886056972</v>
      </c>
      <c r="F46">
        <v>132.35316265060001</v>
      </c>
      <c r="G46">
        <v>111.76581325300999</v>
      </c>
      <c r="I46" s="9">
        <f t="shared" si="1"/>
        <v>125.51304731671</v>
      </c>
      <c r="J46" s="9">
        <f t="shared" si="2"/>
        <v>238.82599776918997</v>
      </c>
      <c r="K46" s="9">
        <f t="shared" si="3"/>
        <v>125.51304731671</v>
      </c>
      <c r="L46" s="10">
        <f t="shared" si="0"/>
        <v>0.52554181072870598</v>
      </c>
      <c r="M46" s="10">
        <f t="shared" si="4"/>
        <v>0.53830171306816754</v>
      </c>
      <c r="P46" s="8">
        <f t="shared" si="5"/>
        <v>20.549064243027424</v>
      </c>
    </row>
    <row r="47" spans="1:16" x14ac:dyDescent="0.2">
      <c r="A47" s="8">
        <v>22.5</v>
      </c>
      <c r="B47" s="8">
        <v>45</v>
      </c>
      <c r="D47">
        <v>365.18965517241003</v>
      </c>
      <c r="E47">
        <v>238.49775112443999</v>
      </c>
      <c r="F47">
        <v>132.25677710842999</v>
      </c>
      <c r="G47">
        <v>111.33207831324999</v>
      </c>
      <c r="I47" s="9">
        <f t="shared" si="1"/>
        <v>127.16567281118999</v>
      </c>
      <c r="J47" s="9">
        <f t="shared" si="2"/>
        <v>232.93287806398004</v>
      </c>
      <c r="K47" s="9">
        <f t="shared" si="3"/>
        <v>127.16567281118999</v>
      </c>
      <c r="L47" s="10">
        <f t="shared" si="0"/>
        <v>0.54593269043050763</v>
      </c>
      <c r="M47" s="10">
        <f t="shared" si="4"/>
        <v>0.55898259055041144</v>
      </c>
      <c r="P47" s="8">
        <f t="shared" si="5"/>
        <v>25.180408278697421</v>
      </c>
    </row>
    <row r="48" spans="1:16" x14ac:dyDescent="0.2">
      <c r="A48" s="8">
        <v>23</v>
      </c>
      <c r="B48" s="8">
        <v>46</v>
      </c>
      <c r="D48">
        <v>363.49100449775</v>
      </c>
      <c r="E48">
        <v>237.10569715142</v>
      </c>
      <c r="F48">
        <v>132.23418674698999</v>
      </c>
      <c r="G48">
        <v>111.46762048193</v>
      </c>
      <c r="I48" s="9">
        <f t="shared" si="1"/>
        <v>125.63807666949</v>
      </c>
      <c r="J48" s="9">
        <f t="shared" si="2"/>
        <v>231.25681775076001</v>
      </c>
      <c r="K48" s="9">
        <f t="shared" si="3"/>
        <v>125.63807666949</v>
      </c>
      <c r="L48" s="10">
        <f t="shared" si="0"/>
        <v>0.54328377382109461</v>
      </c>
      <c r="M48" s="10">
        <f t="shared" si="4"/>
        <v>0.55662367172144078</v>
      </c>
      <c r="P48" s="8">
        <f t="shared" si="5"/>
        <v>24.65214420196456</v>
      </c>
    </row>
    <row r="49" spans="1:25" x14ac:dyDescent="0.2">
      <c r="A49" s="8">
        <v>23.5</v>
      </c>
      <c r="B49" s="8">
        <v>47</v>
      </c>
      <c r="D49">
        <v>360.66341829086002</v>
      </c>
      <c r="E49">
        <v>235.79685157421</v>
      </c>
      <c r="F49">
        <v>132.33734939759</v>
      </c>
      <c r="G49">
        <v>111.46234939759</v>
      </c>
      <c r="I49" s="9">
        <f t="shared" si="1"/>
        <v>124.33450217661999</v>
      </c>
      <c r="J49" s="9">
        <f t="shared" si="2"/>
        <v>228.32606889327002</v>
      </c>
      <c r="K49" s="9">
        <f t="shared" si="3"/>
        <v>124.33450217661999</v>
      </c>
      <c r="L49" s="10">
        <f t="shared" si="0"/>
        <v>0.54454799129721621</v>
      </c>
      <c r="M49" s="10">
        <f t="shared" si="4"/>
        <v>0.55817788697800463</v>
      </c>
      <c r="P49" s="8">
        <f t="shared" si="5"/>
        <v>25.000200301847869</v>
      </c>
    </row>
    <row r="50" spans="1:25" x14ac:dyDescent="0.2">
      <c r="A50" s="8">
        <v>24</v>
      </c>
      <c r="B50" s="8">
        <v>48</v>
      </c>
      <c r="D50">
        <v>352.66139954853003</v>
      </c>
      <c r="E50">
        <v>231.65387509406</v>
      </c>
      <c r="F50">
        <v>132.24774096386</v>
      </c>
      <c r="G50">
        <v>111.58132530121</v>
      </c>
      <c r="I50" s="9">
        <f t="shared" si="1"/>
        <v>120.07254979285</v>
      </c>
      <c r="J50" s="9">
        <f t="shared" si="2"/>
        <v>220.41365858467003</v>
      </c>
      <c r="K50" s="9">
        <f t="shared" si="3"/>
        <v>120.07254979285</v>
      </c>
      <c r="L50" s="10">
        <f t="shared" si="0"/>
        <v>0.54476002333006579</v>
      </c>
      <c r="M50" s="10">
        <f t="shared" si="4"/>
        <v>0.55867991679129647</v>
      </c>
      <c r="P50" s="8">
        <f t="shared" si="5"/>
        <v>25.112626517007929</v>
      </c>
    </row>
    <row r="51" spans="1:25" x14ac:dyDescent="0.2">
      <c r="A51" s="8">
        <v>24.5</v>
      </c>
      <c r="B51" s="8">
        <v>49</v>
      </c>
      <c r="D51">
        <v>353.68698269376</v>
      </c>
      <c r="E51">
        <v>227.359668924</v>
      </c>
      <c r="F51">
        <v>132.58283132529999</v>
      </c>
      <c r="G51">
        <v>111.04819277108</v>
      </c>
      <c r="I51" s="9">
        <f t="shared" si="1"/>
        <v>116.31147615292001</v>
      </c>
      <c r="J51" s="9">
        <f t="shared" si="2"/>
        <v>221.10415136846001</v>
      </c>
      <c r="K51" s="9">
        <f t="shared" si="3"/>
        <v>116.31147615292001</v>
      </c>
      <c r="L51" s="10">
        <f t="shared" si="0"/>
        <v>0.52604835971212605</v>
      </c>
      <c r="M51" s="10">
        <f t="shared" si="4"/>
        <v>0.54025825095379909</v>
      </c>
      <c r="P51" s="8">
        <f t="shared" si="5"/>
        <v>20.987217801790194</v>
      </c>
    </row>
    <row r="52" spans="1:25" x14ac:dyDescent="0.2">
      <c r="A52" s="8">
        <v>25</v>
      </c>
      <c r="B52" s="8">
        <v>50</v>
      </c>
      <c r="D52">
        <v>359.98871331828002</v>
      </c>
      <c r="E52">
        <v>226.86004514672999</v>
      </c>
      <c r="F52">
        <v>132.44804216867999</v>
      </c>
      <c r="G52">
        <v>111.66265060241</v>
      </c>
      <c r="I52" s="9">
        <f t="shared" si="1"/>
        <v>115.19739454431999</v>
      </c>
      <c r="J52" s="9">
        <f t="shared" si="2"/>
        <v>227.54067114960003</v>
      </c>
      <c r="K52" s="9">
        <f t="shared" si="3"/>
        <v>115.19739454431999</v>
      </c>
      <c r="L52" s="10">
        <f t="shared" si="0"/>
        <v>0.50627166546670566</v>
      </c>
      <c r="M52" s="10">
        <f t="shared" si="4"/>
        <v>0.52077155448882095</v>
      </c>
      <c r="P52" s="8">
        <f t="shared" si="5"/>
        <v>16.623302608855358</v>
      </c>
    </row>
    <row r="53" spans="1:25" x14ac:dyDescent="0.2">
      <c r="A53" s="8">
        <v>25.5</v>
      </c>
      <c r="B53" s="8">
        <v>51</v>
      </c>
      <c r="D53">
        <v>363.49363295879999</v>
      </c>
      <c r="E53">
        <v>222.32284644194999</v>
      </c>
      <c r="F53">
        <v>132.40813253012001</v>
      </c>
      <c r="G53">
        <v>111.5406626506</v>
      </c>
      <c r="I53" s="9">
        <f t="shared" si="1"/>
        <v>110.78218379134999</v>
      </c>
      <c r="J53" s="9">
        <f t="shared" si="2"/>
        <v>231.08550042867998</v>
      </c>
      <c r="K53" s="9">
        <f t="shared" si="3"/>
        <v>110.78218379134999</v>
      </c>
      <c r="L53" s="10">
        <f t="shared" si="0"/>
        <v>0.47939911238845012</v>
      </c>
      <c r="M53" s="10">
        <f t="shared" si="4"/>
        <v>0.49418899919100778</v>
      </c>
      <c r="P53" s="8">
        <f t="shared" si="5"/>
        <v>10.67031734325932</v>
      </c>
      <c r="S53" s="11"/>
      <c r="U53" s="12"/>
    </row>
    <row r="54" spans="1:25" x14ac:dyDescent="0.2">
      <c r="A54" s="8">
        <v>26</v>
      </c>
      <c r="B54" s="8">
        <v>52</v>
      </c>
      <c r="D54">
        <v>355.87265917603003</v>
      </c>
      <c r="E54">
        <v>207.09812734082001</v>
      </c>
      <c r="F54">
        <v>132.02560240963999</v>
      </c>
      <c r="G54">
        <v>111.41265060241</v>
      </c>
      <c r="I54" s="9">
        <f t="shared" si="1"/>
        <v>95.685476738410017</v>
      </c>
      <c r="J54" s="9">
        <f t="shared" si="2"/>
        <v>223.84705676639004</v>
      </c>
      <c r="K54" s="9">
        <f t="shared" si="3"/>
        <v>95.685476738410017</v>
      </c>
      <c r="L54" s="10">
        <f t="shared" si="0"/>
        <v>0.42745916841903681</v>
      </c>
      <c r="M54" s="10">
        <f t="shared" si="4"/>
        <v>0.44253905300203678</v>
      </c>
      <c r="P54" s="8">
        <f t="shared" si="5"/>
        <v>-0.89634226440703169</v>
      </c>
      <c r="S54" s="11"/>
    </row>
    <row r="55" spans="1:25" x14ac:dyDescent="0.2">
      <c r="A55" s="8">
        <v>26.5</v>
      </c>
      <c r="B55" s="8">
        <v>53</v>
      </c>
      <c r="D55">
        <v>362.09552238805998</v>
      </c>
      <c r="E55">
        <v>207.62835820896001</v>
      </c>
      <c r="F55">
        <v>132.29668674698999</v>
      </c>
      <c r="G55">
        <v>111.3343373494</v>
      </c>
      <c r="I55" s="9">
        <f t="shared" si="1"/>
        <v>96.294020859560007</v>
      </c>
      <c r="J55" s="9">
        <f t="shared" si="2"/>
        <v>229.79883564106999</v>
      </c>
      <c r="K55" s="9">
        <f t="shared" si="3"/>
        <v>96.294020859560007</v>
      </c>
      <c r="L55" s="10">
        <f t="shared" si="0"/>
        <v>0.41903615651893322</v>
      </c>
      <c r="M55" s="10">
        <f t="shared" si="4"/>
        <v>0.4344060388823755</v>
      </c>
      <c r="P55" s="8">
        <f t="shared" si="5"/>
        <v>-2.71767631889543</v>
      </c>
      <c r="S55" s="11"/>
    </row>
    <row r="56" spans="1:25" x14ac:dyDescent="0.2">
      <c r="A56" s="8">
        <v>27</v>
      </c>
      <c r="B56" s="8">
        <v>54</v>
      </c>
      <c r="D56">
        <v>367.63656716418001</v>
      </c>
      <c r="E56">
        <v>204.91343283582</v>
      </c>
      <c r="F56">
        <v>132.24322289157001</v>
      </c>
      <c r="G56">
        <v>111.13027108434</v>
      </c>
      <c r="I56" s="9">
        <f t="shared" si="1"/>
        <v>93.783161751480009</v>
      </c>
      <c r="J56" s="9">
        <f t="shared" si="2"/>
        <v>235.39334427260999</v>
      </c>
      <c r="K56" s="9">
        <f t="shared" si="3"/>
        <v>93.783161751480009</v>
      </c>
      <c r="L56" s="10">
        <f t="shared" si="0"/>
        <v>0.39841042252609038</v>
      </c>
      <c r="M56" s="10">
        <f t="shared" si="4"/>
        <v>0.41407030266997497</v>
      </c>
      <c r="P56" s="8">
        <f t="shared" si="5"/>
        <v>-7.2717282782052699</v>
      </c>
      <c r="S56" s="11"/>
    </row>
    <row r="57" spans="1:25" x14ac:dyDescent="0.2">
      <c r="A57" s="8">
        <v>27.5</v>
      </c>
      <c r="B57" s="8">
        <v>55</v>
      </c>
      <c r="D57">
        <v>364.05318352059999</v>
      </c>
      <c r="E57">
        <v>204.10486891386</v>
      </c>
      <c r="F57">
        <v>132.16942771084001</v>
      </c>
      <c r="G57">
        <v>111.13780120481999</v>
      </c>
      <c r="I57" s="9">
        <f t="shared" si="1"/>
        <v>92.967067709040009</v>
      </c>
      <c r="J57" s="9">
        <f t="shared" si="2"/>
        <v>231.88375580975998</v>
      </c>
      <c r="K57" s="9">
        <f t="shared" si="3"/>
        <v>92.967067709040009</v>
      </c>
      <c r="L57" s="10">
        <f t="shared" si="0"/>
        <v>0.40092100192352942</v>
      </c>
      <c r="M57" s="10">
        <f t="shared" si="4"/>
        <v>0.41687087984785631</v>
      </c>
      <c r="P57" s="8">
        <f t="shared" si="5"/>
        <v>-6.6445577715209954</v>
      </c>
      <c r="S57" s="11"/>
    </row>
    <row r="58" spans="1:25" x14ac:dyDescent="0.2">
      <c r="A58" s="8">
        <v>28</v>
      </c>
      <c r="B58" s="8">
        <v>56</v>
      </c>
      <c r="D58">
        <v>349.67140718563002</v>
      </c>
      <c r="E58">
        <v>198.96631736526999</v>
      </c>
      <c r="F58">
        <v>131.81852409639001</v>
      </c>
      <c r="G58">
        <v>111.49171686747</v>
      </c>
      <c r="I58" s="9">
        <f t="shared" si="1"/>
        <v>87.474600497799983</v>
      </c>
      <c r="J58" s="9">
        <f t="shared" si="2"/>
        <v>217.85288308924001</v>
      </c>
      <c r="K58" s="9">
        <f t="shared" si="3"/>
        <v>87.474600497799983</v>
      </c>
      <c r="L58" s="10">
        <f t="shared" si="0"/>
        <v>0.40153060752456227</v>
      </c>
      <c r="M58" s="10">
        <f t="shared" si="4"/>
        <v>0.41777048322933147</v>
      </c>
      <c r="P58" s="8">
        <f t="shared" si="5"/>
        <v>-6.4430976178674255</v>
      </c>
      <c r="S58" s="11"/>
    </row>
    <row r="59" spans="1:25" x14ac:dyDescent="0.2">
      <c r="A59" s="8">
        <v>28.5</v>
      </c>
      <c r="B59" s="8">
        <v>57</v>
      </c>
      <c r="D59">
        <v>346.53148425786998</v>
      </c>
      <c r="E59">
        <v>195.05172413792999</v>
      </c>
      <c r="F59">
        <v>131.88855421687001</v>
      </c>
      <c r="G59">
        <v>111.1890060241</v>
      </c>
      <c r="I59" s="9">
        <f t="shared" si="1"/>
        <v>83.862718113829999</v>
      </c>
      <c r="J59" s="9">
        <f t="shared" si="2"/>
        <v>214.64293004099997</v>
      </c>
      <c r="K59" s="9">
        <f t="shared" si="3"/>
        <v>83.862718113829999</v>
      </c>
      <c r="L59" s="10">
        <f t="shared" si="0"/>
        <v>0.3907080382186871</v>
      </c>
      <c r="M59" s="10">
        <f t="shared" si="4"/>
        <v>0.40723791170389861</v>
      </c>
      <c r="P59" s="8">
        <f t="shared" si="5"/>
        <v>-8.8017964862525968</v>
      </c>
      <c r="R59" s="1"/>
      <c r="S59" s="11"/>
    </row>
    <row r="60" spans="1:25" x14ac:dyDescent="0.2">
      <c r="A60" s="8">
        <v>29</v>
      </c>
      <c r="B60" s="8">
        <v>58</v>
      </c>
      <c r="D60">
        <v>344.93333333332998</v>
      </c>
      <c r="E60">
        <v>204.73183520599</v>
      </c>
      <c r="F60">
        <v>132.09864457831</v>
      </c>
      <c r="G60">
        <v>111.21686746988</v>
      </c>
      <c r="I60" s="9">
        <f t="shared" si="1"/>
        <v>93.514967736109995</v>
      </c>
      <c r="J60" s="9">
        <f t="shared" si="2"/>
        <v>212.83468875501998</v>
      </c>
      <c r="K60" s="9">
        <f t="shared" si="3"/>
        <v>93.514967736109995</v>
      </c>
      <c r="L60" s="10">
        <f t="shared" si="0"/>
        <v>0.4393784128100891</v>
      </c>
      <c r="M60" s="10">
        <f t="shared" si="4"/>
        <v>0.45619828407574292</v>
      </c>
      <c r="P60" s="8">
        <f t="shared" si="5"/>
        <v>2.1625510741063487</v>
      </c>
      <c r="S60" s="11"/>
    </row>
    <row r="61" spans="1:25" x14ac:dyDescent="0.2">
      <c r="A61" s="8">
        <v>29.5</v>
      </c>
      <c r="B61" s="8">
        <v>59</v>
      </c>
      <c r="C61" s="2"/>
      <c r="D61">
        <v>350.10112359550999</v>
      </c>
      <c r="E61">
        <v>213.88389513108999</v>
      </c>
      <c r="F61">
        <v>132.10768072289</v>
      </c>
      <c r="G61">
        <v>111.45481927711</v>
      </c>
      <c r="I61" s="9">
        <f t="shared" si="1"/>
        <v>102.42907585397998</v>
      </c>
      <c r="J61" s="9">
        <f t="shared" si="2"/>
        <v>217.99344287261999</v>
      </c>
      <c r="K61" s="9">
        <f t="shared" si="3"/>
        <v>102.42907585397998</v>
      </c>
      <c r="L61" s="10">
        <f t="shared" si="0"/>
        <v>0.46987227920351859</v>
      </c>
      <c r="M61" s="10">
        <f t="shared" si="4"/>
        <v>0.48698214824961472</v>
      </c>
      <c r="P61" s="8">
        <f t="shared" si="5"/>
        <v>9.0563913310753357</v>
      </c>
      <c r="S61" s="11"/>
    </row>
    <row r="62" spans="1:25" x14ac:dyDescent="0.2">
      <c r="A62" s="8">
        <v>30</v>
      </c>
      <c r="B62" s="8">
        <v>60</v>
      </c>
      <c r="D62">
        <v>366.51084517576999</v>
      </c>
      <c r="E62">
        <v>227.88631264023999</v>
      </c>
      <c r="F62">
        <v>131.9186746988</v>
      </c>
      <c r="G62">
        <v>111.06927710843</v>
      </c>
      <c r="I62" s="9">
        <f t="shared" si="1"/>
        <v>116.81703553180999</v>
      </c>
      <c r="J62" s="9">
        <f t="shared" si="2"/>
        <v>234.59217047696998</v>
      </c>
      <c r="K62" s="9">
        <f t="shared" si="3"/>
        <v>116.81703553180999</v>
      </c>
      <c r="L62" s="10">
        <f t="shared" si="0"/>
        <v>0.49795794673922406</v>
      </c>
      <c r="M62" s="10">
        <f t="shared" si="4"/>
        <v>0.51535781356576249</v>
      </c>
      <c r="P62" s="8">
        <f t="shared" si="5"/>
        <v>15.410931578844842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373.81578947368001</v>
      </c>
      <c r="E63">
        <v>232.42481203008001</v>
      </c>
      <c r="F63">
        <v>131.88253012048</v>
      </c>
      <c r="G63">
        <v>111.04819277108</v>
      </c>
      <c r="I63" s="9">
        <f t="shared" si="1"/>
        <v>121.37661925900001</v>
      </c>
      <c r="J63" s="9">
        <f t="shared" si="2"/>
        <v>241.93325935320001</v>
      </c>
      <c r="K63" s="9">
        <f t="shared" si="3"/>
        <v>121.37661925900001</v>
      </c>
      <c r="L63" s="10">
        <f t="shared" si="0"/>
        <v>0.50169463918890733</v>
      </c>
      <c r="M63" s="10">
        <f t="shared" si="4"/>
        <v>0.51938450379588808</v>
      </c>
      <c r="P63" s="8">
        <f t="shared" si="5"/>
        <v>16.312681893684928</v>
      </c>
    </row>
    <row r="64" spans="1:25" x14ac:dyDescent="0.2">
      <c r="A64" s="8">
        <v>31</v>
      </c>
      <c r="B64" s="8">
        <v>62</v>
      </c>
      <c r="D64">
        <v>363.66240601504001</v>
      </c>
      <c r="E64">
        <v>217.84436090226001</v>
      </c>
      <c r="F64">
        <v>132.01506024096</v>
      </c>
      <c r="G64">
        <v>111.09036144578</v>
      </c>
      <c r="I64" s="9">
        <f t="shared" si="1"/>
        <v>106.75399945648</v>
      </c>
      <c r="J64" s="9">
        <f t="shared" si="2"/>
        <v>231.64734577408001</v>
      </c>
      <c r="K64" s="9">
        <f t="shared" si="3"/>
        <v>106.75399945648</v>
      </c>
      <c r="L64" s="10">
        <f t="shared" si="0"/>
        <v>0.46084706517895768</v>
      </c>
      <c r="M64" s="10">
        <f t="shared" si="4"/>
        <v>0.47882692756638073</v>
      </c>
      <c r="P64" s="8">
        <f t="shared" si="5"/>
        <v>7.2300842653671022</v>
      </c>
      <c r="U64" s="8">
        <v>30.5</v>
      </c>
      <c r="V64" s="10">
        <f>L62</f>
        <v>0.49795794673922406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366.34360902255997</v>
      </c>
      <c r="E65">
        <v>214.82406015038001</v>
      </c>
      <c r="F65">
        <v>131.82605421687001</v>
      </c>
      <c r="G65">
        <v>111.29743975904</v>
      </c>
      <c r="I65" s="9">
        <f t="shared" si="1"/>
        <v>103.52662039134</v>
      </c>
      <c r="J65" s="9">
        <f t="shared" si="2"/>
        <v>234.51755480568997</v>
      </c>
      <c r="K65" s="9">
        <f t="shared" si="3"/>
        <v>103.52662039134</v>
      </c>
      <c r="L65" s="10">
        <f t="shared" si="0"/>
        <v>0.44144507850219233</v>
      </c>
      <c r="M65" s="10">
        <f t="shared" si="4"/>
        <v>0.45971493867005769</v>
      </c>
      <c r="P65" s="8">
        <f t="shared" si="5"/>
        <v>2.9500823234392017</v>
      </c>
      <c r="U65" s="8">
        <v>31</v>
      </c>
      <c r="V65" s="10">
        <f t="shared" ref="V65:V83" si="6">L63</f>
        <v>0.50169463918890733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362.84060150376001</v>
      </c>
      <c r="E66">
        <v>209.68270676692001</v>
      </c>
      <c r="F66">
        <v>131.96837349398001</v>
      </c>
      <c r="G66">
        <v>111.23644578312999</v>
      </c>
      <c r="I66" s="9">
        <f t="shared" si="1"/>
        <v>98.446260983790012</v>
      </c>
      <c r="J66" s="9">
        <f t="shared" si="2"/>
        <v>230.87222800978</v>
      </c>
      <c r="K66" s="9">
        <f t="shared" si="3"/>
        <v>98.446260983790012</v>
      </c>
      <c r="L66" s="10">
        <f t="shared" ref="L66:L129" si="7">K66/J66</f>
        <v>0.42641014829908308</v>
      </c>
      <c r="M66" s="10">
        <f t="shared" si="4"/>
        <v>0.44497000624739075</v>
      </c>
      <c r="P66" s="8">
        <f t="shared" si="5"/>
        <v>-0.35194656245825856</v>
      </c>
      <c r="U66" s="8">
        <v>31.5</v>
      </c>
      <c r="V66" s="10">
        <f t="shared" si="6"/>
        <v>0.46084706517895768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369.69236526946003</v>
      </c>
      <c r="E67">
        <v>209.05089820359001</v>
      </c>
      <c r="F67">
        <v>131.94728915663001</v>
      </c>
      <c r="G67">
        <v>110.99322289157</v>
      </c>
      <c r="I67" s="9">
        <f t="shared" ref="I67:I130" si="8">E67-G67</f>
        <v>98.05767531202001</v>
      </c>
      <c r="J67" s="9">
        <f t="shared" ref="J67:J130" si="9">D67-F67</f>
        <v>237.74507611283002</v>
      </c>
      <c r="K67" s="9">
        <f t="shared" ref="K67:K130" si="10">I67*1</f>
        <v>98.05767531202001</v>
      </c>
      <c r="L67" s="10">
        <f t="shared" si="7"/>
        <v>0.41244881667069061</v>
      </c>
      <c r="M67" s="10">
        <f t="shared" ref="M67:M130" si="11">L67+ABS($N$2)*A67</f>
        <v>0.43129867239944059</v>
      </c>
      <c r="P67" s="8">
        <f t="shared" ref="P67:P130" si="12">(M67-$O$2)/$O$2*100</f>
        <v>-3.4135502362249763</v>
      </c>
      <c r="U67" s="8">
        <v>32</v>
      </c>
      <c r="V67" s="10">
        <f t="shared" si="6"/>
        <v>0.44144507850219233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367.31511976048</v>
      </c>
      <c r="E68">
        <v>201.82559880240001</v>
      </c>
      <c r="F68">
        <v>132.02108433735</v>
      </c>
      <c r="G68">
        <v>111.05798192771</v>
      </c>
      <c r="I68" s="9">
        <f t="shared" si="8"/>
        <v>90.767616874690006</v>
      </c>
      <c r="J68" s="9">
        <f t="shared" si="9"/>
        <v>235.29403542313</v>
      </c>
      <c r="K68" s="9">
        <f t="shared" si="10"/>
        <v>90.767616874690006</v>
      </c>
      <c r="L68" s="10">
        <f t="shared" si="7"/>
        <v>0.38576250652279526</v>
      </c>
      <c r="M68" s="10">
        <f t="shared" si="11"/>
        <v>0.40490236003198754</v>
      </c>
      <c r="P68" s="8">
        <f t="shared" si="12"/>
        <v>-9.3248276446254188</v>
      </c>
      <c r="U68" s="8">
        <v>32.5</v>
      </c>
      <c r="V68" s="10">
        <f t="shared" si="6"/>
        <v>0.42641014829908308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363.94835329340998</v>
      </c>
      <c r="E69">
        <v>196.39221556886</v>
      </c>
      <c r="F69">
        <v>131.34939759036001</v>
      </c>
      <c r="G69">
        <v>110.78313253012</v>
      </c>
      <c r="I69" s="9">
        <f t="shared" si="8"/>
        <v>85.609083038739996</v>
      </c>
      <c r="J69" s="9">
        <f t="shared" si="9"/>
        <v>232.59895570304997</v>
      </c>
      <c r="K69" s="9">
        <f t="shared" si="10"/>
        <v>85.609083038739996</v>
      </c>
      <c r="L69" s="10">
        <f t="shared" si="7"/>
        <v>0.36805446000382641</v>
      </c>
      <c r="M69" s="10">
        <f t="shared" si="11"/>
        <v>0.387484311293461</v>
      </c>
      <c r="P69" s="8">
        <f t="shared" si="12"/>
        <v>-13.225483030618815</v>
      </c>
      <c r="U69" s="8">
        <v>33</v>
      </c>
      <c r="V69" s="10">
        <f t="shared" si="6"/>
        <v>0.41244881667069061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365.78368263472998</v>
      </c>
      <c r="E70">
        <v>197.25523952096</v>
      </c>
      <c r="F70">
        <v>131.59487951807</v>
      </c>
      <c r="G70">
        <v>111.25527108434</v>
      </c>
      <c r="I70" s="9">
        <f t="shared" si="8"/>
        <v>85.999968436620009</v>
      </c>
      <c r="J70" s="9">
        <f t="shared" si="9"/>
        <v>234.18880311665998</v>
      </c>
      <c r="K70" s="9">
        <f t="shared" si="10"/>
        <v>85.999968436620009</v>
      </c>
      <c r="L70" s="10">
        <f t="shared" si="7"/>
        <v>0.36722493685481433</v>
      </c>
      <c r="M70" s="10">
        <f t="shared" si="11"/>
        <v>0.38694478592489123</v>
      </c>
      <c r="P70" s="8">
        <f t="shared" si="12"/>
        <v>-13.346306124317985</v>
      </c>
      <c r="U70" s="8">
        <v>33.5</v>
      </c>
      <c r="V70" s="10">
        <f t="shared" si="6"/>
        <v>0.38576250652279526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371.98650674663003</v>
      </c>
      <c r="E71">
        <v>196.39730134933001</v>
      </c>
      <c r="F71">
        <v>131.42018072289</v>
      </c>
      <c r="G71">
        <v>111.1468373494</v>
      </c>
      <c r="I71" s="9">
        <f t="shared" si="8"/>
        <v>85.250463999930005</v>
      </c>
      <c r="J71" s="9">
        <f t="shared" si="9"/>
        <v>240.56632602374003</v>
      </c>
      <c r="K71" s="9">
        <f t="shared" si="10"/>
        <v>85.250463999930005</v>
      </c>
      <c r="L71" s="10">
        <f t="shared" si="7"/>
        <v>0.35437405313126474</v>
      </c>
      <c r="M71" s="10">
        <f t="shared" si="11"/>
        <v>0.3743838999817839</v>
      </c>
      <c r="P71" s="8">
        <f t="shared" si="12"/>
        <v>-16.159232425210579</v>
      </c>
      <c r="U71" s="8">
        <v>34</v>
      </c>
      <c r="V71" s="10">
        <f t="shared" si="6"/>
        <v>0.36805446000382641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369.10869565217001</v>
      </c>
      <c r="E72">
        <v>196.50899550225</v>
      </c>
      <c r="F72">
        <v>131.59111445783</v>
      </c>
      <c r="G72">
        <v>110.86746987952</v>
      </c>
      <c r="I72" s="9">
        <f t="shared" si="8"/>
        <v>85.641525622730001</v>
      </c>
      <c r="J72" s="9">
        <f t="shared" si="9"/>
        <v>237.51758119434001</v>
      </c>
      <c r="K72" s="9">
        <f t="shared" si="10"/>
        <v>85.641525622730001</v>
      </c>
      <c r="L72" s="10">
        <f t="shared" si="7"/>
        <v>0.36056920583347041</v>
      </c>
      <c r="M72" s="10">
        <f t="shared" si="11"/>
        <v>0.38086905046443187</v>
      </c>
      <c r="P72" s="8">
        <f t="shared" si="12"/>
        <v>-14.70692639834971</v>
      </c>
      <c r="U72" s="8">
        <v>34.5</v>
      </c>
      <c r="V72" s="10">
        <f t="shared" si="6"/>
        <v>0.36722493685481433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347.02479338843</v>
      </c>
      <c r="E73">
        <v>192.29451540195001</v>
      </c>
      <c r="F73">
        <v>131.76054216867999</v>
      </c>
      <c r="G73">
        <v>111.2906626506</v>
      </c>
      <c r="I73" s="9">
        <f t="shared" si="8"/>
        <v>81.00385275135001</v>
      </c>
      <c r="J73" s="9">
        <f t="shared" si="9"/>
        <v>215.26425121975001</v>
      </c>
      <c r="K73" s="9">
        <f t="shared" si="10"/>
        <v>81.00385275135001</v>
      </c>
      <c r="L73" s="10">
        <f t="shared" si="7"/>
        <v>0.37629960521711603</v>
      </c>
      <c r="M73" s="10">
        <f t="shared" si="11"/>
        <v>0.39688944762851985</v>
      </c>
      <c r="P73" s="8">
        <f t="shared" si="12"/>
        <v>-11.11926572395781</v>
      </c>
      <c r="U73" s="8">
        <v>35</v>
      </c>
      <c r="V73" s="10">
        <f t="shared" si="6"/>
        <v>0.35437405313126474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353.36739293763998</v>
      </c>
      <c r="E74">
        <v>200.86701728023999</v>
      </c>
      <c r="F74">
        <v>131.5640060241</v>
      </c>
      <c r="G74">
        <v>110.92545180723</v>
      </c>
      <c r="I74" s="9">
        <f t="shared" si="8"/>
        <v>89.941565473009987</v>
      </c>
      <c r="J74" s="9">
        <f t="shared" si="9"/>
        <v>221.80338691353998</v>
      </c>
      <c r="K74" s="9">
        <f t="shared" si="10"/>
        <v>89.941565473009987</v>
      </c>
      <c r="L74" s="10">
        <f t="shared" si="7"/>
        <v>0.40550131683998875</v>
      </c>
      <c r="M74" s="10">
        <f t="shared" si="11"/>
        <v>0.42638115703183482</v>
      </c>
      <c r="P74" s="8">
        <f t="shared" si="12"/>
        <v>-4.5147948757539478</v>
      </c>
      <c r="U74" s="8">
        <v>35.5</v>
      </c>
      <c r="V74" s="10">
        <f t="shared" si="6"/>
        <v>0.36056920583347041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359.37340345605003</v>
      </c>
      <c r="E75">
        <v>214.98647633357999</v>
      </c>
      <c r="F75">
        <v>131.15587349398001</v>
      </c>
      <c r="G75">
        <v>111.12123493976</v>
      </c>
      <c r="I75" s="9">
        <f t="shared" si="8"/>
        <v>103.86524139381999</v>
      </c>
      <c r="J75" s="9">
        <f t="shared" si="9"/>
        <v>228.21752996207002</v>
      </c>
      <c r="K75" s="9">
        <f t="shared" si="10"/>
        <v>103.86524139381999</v>
      </c>
      <c r="L75" s="10">
        <f t="shared" si="7"/>
        <v>0.4551150887098046</v>
      </c>
      <c r="M75" s="10">
        <f t="shared" si="11"/>
        <v>0.47628492668209299</v>
      </c>
      <c r="P75" s="8">
        <f t="shared" si="12"/>
        <v>6.6608201882397271</v>
      </c>
      <c r="U75" s="8">
        <v>36</v>
      </c>
      <c r="V75" s="10">
        <f t="shared" si="6"/>
        <v>0.37629960521711603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357.63248502994003</v>
      </c>
      <c r="E76">
        <v>210.94011976048</v>
      </c>
      <c r="F76">
        <v>130.86069277108001</v>
      </c>
      <c r="G76">
        <v>111.05346385542001</v>
      </c>
      <c r="I76" s="9">
        <f t="shared" si="8"/>
        <v>99.886655905059996</v>
      </c>
      <c r="J76" s="9">
        <f t="shared" si="9"/>
        <v>226.77179225886002</v>
      </c>
      <c r="K76" s="9">
        <f t="shared" si="10"/>
        <v>99.886655905059996</v>
      </c>
      <c r="L76" s="10">
        <f t="shared" si="7"/>
        <v>0.44047213681249814</v>
      </c>
      <c r="M76" s="10">
        <f t="shared" si="11"/>
        <v>0.46193197256522883</v>
      </c>
      <c r="P76" s="8">
        <f t="shared" si="12"/>
        <v>3.4465722192908061</v>
      </c>
      <c r="U76" s="8">
        <v>36.5</v>
      </c>
      <c r="V76" s="10">
        <f t="shared" si="6"/>
        <v>0.40550131683998875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360.90494011976</v>
      </c>
      <c r="E77">
        <v>212.71332335329001</v>
      </c>
      <c r="F77">
        <v>131.11295180722999</v>
      </c>
      <c r="G77">
        <v>111.26882530121</v>
      </c>
      <c r="I77" s="9">
        <f t="shared" si="8"/>
        <v>101.44449805208001</v>
      </c>
      <c r="J77" s="9">
        <f t="shared" si="9"/>
        <v>229.79198831253001</v>
      </c>
      <c r="K77" s="9">
        <f t="shared" si="10"/>
        <v>101.44449805208001</v>
      </c>
      <c r="L77" s="10">
        <f t="shared" si="7"/>
        <v>0.441462292906878</v>
      </c>
      <c r="M77" s="10">
        <f t="shared" si="11"/>
        <v>0.463212126440051</v>
      </c>
      <c r="P77" s="8">
        <f t="shared" si="12"/>
        <v>3.7332541078125976</v>
      </c>
      <c r="U77" s="8">
        <v>37</v>
      </c>
      <c r="V77" s="10">
        <f t="shared" si="6"/>
        <v>0.4551150887098046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355.82185628743002</v>
      </c>
      <c r="E78">
        <v>210.67140718562999</v>
      </c>
      <c r="F78">
        <v>131.37123493976</v>
      </c>
      <c r="G78">
        <v>111.03915662651001</v>
      </c>
      <c r="I78" s="9">
        <f t="shared" si="8"/>
        <v>99.632250559119981</v>
      </c>
      <c r="J78" s="9">
        <f t="shared" si="9"/>
        <v>224.45062134767002</v>
      </c>
      <c r="K78" s="9">
        <f t="shared" si="10"/>
        <v>99.632250559119981</v>
      </c>
      <c r="L78" s="10">
        <f t="shared" si="7"/>
        <v>0.44389385050884489</v>
      </c>
      <c r="M78" s="10">
        <f t="shared" si="11"/>
        <v>0.4659336818224602</v>
      </c>
      <c r="P78" s="8">
        <f t="shared" si="12"/>
        <v>4.3427282125205977</v>
      </c>
      <c r="U78" s="8">
        <v>37.5</v>
      </c>
      <c r="V78" s="10">
        <f t="shared" si="6"/>
        <v>0.44047213681249814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353.91541916168001</v>
      </c>
      <c r="E79">
        <v>209.37425149700999</v>
      </c>
      <c r="F79">
        <v>131.34186746987999</v>
      </c>
      <c r="G79">
        <v>110.93448795181</v>
      </c>
      <c r="I79" s="9">
        <f t="shared" si="8"/>
        <v>98.439763545199995</v>
      </c>
      <c r="J79" s="9">
        <f t="shared" si="9"/>
        <v>222.57355169180002</v>
      </c>
      <c r="K79" s="9">
        <f t="shared" si="10"/>
        <v>98.439763545199995</v>
      </c>
      <c r="L79" s="10">
        <f t="shared" si="7"/>
        <v>0.44227969943846063</v>
      </c>
      <c r="M79" s="10">
        <f t="shared" si="11"/>
        <v>0.46460952853251825</v>
      </c>
      <c r="P79" s="8">
        <f t="shared" si="12"/>
        <v>4.0461929495971178</v>
      </c>
      <c r="U79" s="8">
        <v>38</v>
      </c>
      <c r="V79" s="10">
        <f t="shared" si="6"/>
        <v>0.441462292906878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362.50898203592999</v>
      </c>
      <c r="E80">
        <v>217.04191616767</v>
      </c>
      <c r="F80">
        <v>131.67469879518001</v>
      </c>
      <c r="G80">
        <v>111.08057228916</v>
      </c>
      <c r="I80" s="9">
        <f t="shared" si="8"/>
        <v>105.96134387850999</v>
      </c>
      <c r="J80" s="9">
        <f t="shared" si="9"/>
        <v>230.83428324074998</v>
      </c>
      <c r="K80" s="9">
        <f t="shared" si="10"/>
        <v>105.96134387850999</v>
      </c>
      <c r="L80" s="10">
        <f t="shared" si="7"/>
        <v>0.45903642384002807</v>
      </c>
      <c r="M80" s="10">
        <f t="shared" si="11"/>
        <v>0.481656250714528</v>
      </c>
      <c r="P80" s="8">
        <f t="shared" si="12"/>
        <v>7.8636922396131332</v>
      </c>
      <c r="U80" s="8">
        <v>38.5</v>
      </c>
      <c r="V80" s="10">
        <f t="shared" si="6"/>
        <v>0.44389385050884489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362.58907185628999</v>
      </c>
      <c r="E81">
        <v>223.50523952096</v>
      </c>
      <c r="F81">
        <v>131.38027108434</v>
      </c>
      <c r="G81">
        <v>110.93298192771</v>
      </c>
      <c r="I81" s="9">
        <f t="shared" si="8"/>
        <v>112.57225759325</v>
      </c>
      <c r="J81" s="9">
        <f t="shared" si="9"/>
        <v>231.20880077195</v>
      </c>
      <c r="K81" s="9">
        <f t="shared" si="10"/>
        <v>112.57225759325</v>
      </c>
      <c r="L81" s="10">
        <f t="shared" si="7"/>
        <v>0.48688569473739146</v>
      </c>
      <c r="M81" s="10">
        <f t="shared" si="11"/>
        <v>0.5097955193923337</v>
      </c>
      <c r="P81" s="8">
        <f t="shared" si="12"/>
        <v>14.165293043107219</v>
      </c>
      <c r="U81" s="8">
        <v>39</v>
      </c>
      <c r="V81" s="10">
        <f t="shared" si="6"/>
        <v>0.44227969943846063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365.08083832335001</v>
      </c>
      <c r="E82">
        <v>224.32035928144001</v>
      </c>
      <c r="F82">
        <v>131.73644578312999</v>
      </c>
      <c r="G82">
        <v>111.08810240964</v>
      </c>
      <c r="H82" s="13"/>
      <c r="I82" s="14">
        <f t="shared" si="8"/>
        <v>113.2322568718</v>
      </c>
      <c r="J82" s="14">
        <f t="shared" si="9"/>
        <v>233.34439254022001</v>
      </c>
      <c r="K82" s="9">
        <f t="shared" si="10"/>
        <v>113.2322568718</v>
      </c>
      <c r="L82" s="15">
        <f t="shared" si="7"/>
        <v>0.48525810129456148</v>
      </c>
      <c r="M82" s="15">
        <f t="shared" si="11"/>
        <v>0.50845792372994603</v>
      </c>
      <c r="N82" s="13"/>
      <c r="O82" s="13"/>
      <c r="P82" s="13">
        <f t="shared" si="12"/>
        <v>13.865747450882909</v>
      </c>
      <c r="U82" s="8">
        <v>39.5</v>
      </c>
      <c r="V82" s="10">
        <f t="shared" si="6"/>
        <v>0.45903642384002807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377.22113943029001</v>
      </c>
      <c r="E83">
        <v>234.21589205397001</v>
      </c>
      <c r="F83">
        <v>131.20105421687001</v>
      </c>
      <c r="G83">
        <v>110.91942771084</v>
      </c>
      <c r="I83" s="9">
        <f t="shared" si="8"/>
        <v>123.29646434313001</v>
      </c>
      <c r="J83" s="9">
        <f t="shared" si="9"/>
        <v>246.02008521342</v>
      </c>
      <c r="K83" s="9">
        <f t="shared" si="10"/>
        <v>123.29646434313001</v>
      </c>
      <c r="L83" s="10">
        <f t="shared" si="7"/>
        <v>0.50116422094631641</v>
      </c>
      <c r="M83" s="10">
        <f t="shared" si="11"/>
        <v>0.52465404116214331</v>
      </c>
      <c r="P83" s="8">
        <f t="shared" si="12"/>
        <v>17.492759502717718</v>
      </c>
      <c r="U83" s="8">
        <v>40</v>
      </c>
      <c r="V83" s="10">
        <f t="shared" si="6"/>
        <v>0.48688569473739146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376.38905547226</v>
      </c>
      <c r="E84">
        <v>236.20014992503999</v>
      </c>
      <c r="F84">
        <v>131.08132530121</v>
      </c>
      <c r="G84">
        <v>110.8343373494</v>
      </c>
      <c r="I84" s="9">
        <f t="shared" si="8"/>
        <v>125.36581257563999</v>
      </c>
      <c r="J84" s="9">
        <f t="shared" si="9"/>
        <v>245.30773017105</v>
      </c>
      <c r="K84" s="9">
        <f t="shared" si="10"/>
        <v>125.36581257563999</v>
      </c>
      <c r="L84" s="10">
        <f t="shared" si="7"/>
        <v>0.5110552875289498</v>
      </c>
      <c r="M84" s="10">
        <f t="shared" si="11"/>
        <v>0.53483510552521896</v>
      </c>
      <c r="P84" s="8">
        <f t="shared" si="12"/>
        <v>19.772740695739451</v>
      </c>
      <c r="U84" s="8">
        <v>150.5</v>
      </c>
      <c r="V84" s="10">
        <f>L302</f>
        <v>0.36592954627478941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373.18140929535002</v>
      </c>
      <c r="E85">
        <v>233.74137931035</v>
      </c>
      <c r="F85">
        <v>130.70481927711</v>
      </c>
      <c r="G85">
        <v>111.07831325300999</v>
      </c>
      <c r="I85" s="9">
        <f t="shared" si="8"/>
        <v>122.66306605734</v>
      </c>
      <c r="J85" s="9">
        <f t="shared" si="9"/>
        <v>242.47659001824002</v>
      </c>
      <c r="K85" s="9">
        <f t="shared" si="10"/>
        <v>122.66306605734</v>
      </c>
      <c r="L85" s="10">
        <f t="shared" si="7"/>
        <v>0.50587591176580315</v>
      </c>
      <c r="M85" s="10">
        <f t="shared" si="11"/>
        <v>0.52994572754251468</v>
      </c>
      <c r="P85" s="8">
        <f t="shared" si="12"/>
        <v>18.677797235154877</v>
      </c>
      <c r="U85" s="8">
        <v>151</v>
      </c>
      <c r="V85" s="10">
        <f t="shared" ref="V85:V103" si="13">L303</f>
        <v>0.36963135263467828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369.78935532233999</v>
      </c>
      <c r="E86">
        <v>223.74362818591001</v>
      </c>
      <c r="F86">
        <v>131.62725903615001</v>
      </c>
      <c r="G86">
        <v>110.51430722892</v>
      </c>
      <c r="I86" s="9">
        <f t="shared" si="8"/>
        <v>113.22932095699001</v>
      </c>
      <c r="J86" s="9">
        <f t="shared" si="9"/>
        <v>238.16209628618998</v>
      </c>
      <c r="K86" s="9">
        <f t="shared" si="10"/>
        <v>113.22932095699001</v>
      </c>
      <c r="L86" s="10">
        <f t="shared" si="7"/>
        <v>0.4754296452821225</v>
      </c>
      <c r="M86" s="10">
        <f t="shared" si="11"/>
        <v>0.49978945883927628</v>
      </c>
      <c r="P86" s="8">
        <f t="shared" si="12"/>
        <v>11.924502781536212</v>
      </c>
      <c r="U86" s="8">
        <v>151.5</v>
      </c>
      <c r="V86" s="10">
        <f t="shared" si="13"/>
        <v>0.37059107713483169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378.68590704648</v>
      </c>
      <c r="E87">
        <v>222.23388305847001</v>
      </c>
      <c r="F87">
        <v>131.26731927711</v>
      </c>
      <c r="G87">
        <v>110.81551204819</v>
      </c>
      <c r="I87" s="9">
        <f t="shared" si="8"/>
        <v>111.41837101028001</v>
      </c>
      <c r="J87" s="9">
        <f t="shared" si="9"/>
        <v>247.41858776936999</v>
      </c>
      <c r="K87" s="9">
        <f t="shared" si="10"/>
        <v>111.41837101028001</v>
      </c>
      <c r="L87" s="10">
        <f t="shared" si="7"/>
        <v>0.45032336500981929</v>
      </c>
      <c r="M87" s="10">
        <f t="shared" si="11"/>
        <v>0.47497317634741537</v>
      </c>
      <c r="P87" s="8">
        <f t="shared" si="12"/>
        <v>6.3670624840991117</v>
      </c>
      <c r="U87" s="8">
        <v>152</v>
      </c>
      <c r="V87" s="10">
        <f t="shared" si="13"/>
        <v>0.36216976660708194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371.04647676162</v>
      </c>
      <c r="E88">
        <v>213.70764617691</v>
      </c>
      <c r="F88">
        <v>131.53087349398001</v>
      </c>
      <c r="G88">
        <v>110.8140060241</v>
      </c>
      <c r="I88" s="9">
        <f t="shared" si="8"/>
        <v>102.89364015281001</v>
      </c>
      <c r="J88" s="9">
        <f t="shared" si="9"/>
        <v>239.51560326763999</v>
      </c>
      <c r="K88" s="9">
        <f t="shared" si="10"/>
        <v>102.89364015281001</v>
      </c>
      <c r="L88" s="10">
        <f t="shared" si="7"/>
        <v>0.42959055171797889</v>
      </c>
      <c r="M88" s="10">
        <f t="shared" si="11"/>
        <v>0.45453036083601728</v>
      </c>
      <c r="P88" s="8">
        <f t="shared" si="12"/>
        <v>1.7890308327678948</v>
      </c>
      <c r="U88" s="8">
        <v>152.5</v>
      </c>
      <c r="V88" s="10">
        <f t="shared" si="13"/>
        <v>0.35731795681489265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376.32608695651999</v>
      </c>
      <c r="E89">
        <v>207.84707646177</v>
      </c>
      <c r="F89">
        <v>130.64156626505999</v>
      </c>
      <c r="G89">
        <v>110.67168674699001</v>
      </c>
      <c r="I89" s="9">
        <f t="shared" si="8"/>
        <v>97.175389714779996</v>
      </c>
      <c r="J89" s="9">
        <f t="shared" si="9"/>
        <v>245.68452069145999</v>
      </c>
      <c r="K89" s="9">
        <f t="shared" si="10"/>
        <v>97.175389714779996</v>
      </c>
      <c r="L89" s="10">
        <f t="shared" si="7"/>
        <v>0.3955291503155649</v>
      </c>
      <c r="M89" s="10">
        <f t="shared" si="11"/>
        <v>0.4207589572140456</v>
      </c>
      <c r="P89" s="8">
        <f t="shared" si="12"/>
        <v>-5.7738488794256453</v>
      </c>
      <c r="U89" s="8">
        <v>153</v>
      </c>
      <c r="V89" s="10">
        <f t="shared" si="13"/>
        <v>0.34922588420446626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375.71964017991002</v>
      </c>
      <c r="E90">
        <v>206.22263868066</v>
      </c>
      <c r="F90">
        <v>130.98945783132999</v>
      </c>
      <c r="G90">
        <v>111.0406626506</v>
      </c>
      <c r="I90" s="9">
        <f t="shared" si="8"/>
        <v>95.18197603006</v>
      </c>
      <c r="J90" s="9">
        <f t="shared" si="9"/>
        <v>244.73018234858003</v>
      </c>
      <c r="K90" s="9">
        <f t="shared" si="10"/>
        <v>95.18197603006</v>
      </c>
      <c r="L90" s="10">
        <f t="shared" si="7"/>
        <v>0.38892618440698951</v>
      </c>
      <c r="M90" s="10">
        <f t="shared" si="11"/>
        <v>0.41444598908591251</v>
      </c>
      <c r="P90" s="8">
        <f t="shared" si="12"/>
        <v>-7.187595820903665</v>
      </c>
      <c r="U90" s="8">
        <v>153.5</v>
      </c>
      <c r="V90" s="10">
        <f t="shared" si="13"/>
        <v>0.34865482486002325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371.57981927711</v>
      </c>
      <c r="E91">
        <v>205.08057228915999</v>
      </c>
      <c r="F91">
        <v>131.08960843374001</v>
      </c>
      <c r="G91">
        <v>110.71009036145</v>
      </c>
      <c r="I91" s="9">
        <f t="shared" si="8"/>
        <v>94.370481927709989</v>
      </c>
      <c r="J91" s="9">
        <f t="shared" si="9"/>
        <v>240.49021084336999</v>
      </c>
      <c r="K91" s="9">
        <f t="shared" si="10"/>
        <v>94.370481927709989</v>
      </c>
      <c r="L91" s="10">
        <f t="shared" si="7"/>
        <v>0.39240882860372633</v>
      </c>
      <c r="M91" s="10">
        <f t="shared" si="11"/>
        <v>0.41821863106309165</v>
      </c>
      <c r="P91" s="8">
        <f t="shared" si="12"/>
        <v>-6.3427379112367159</v>
      </c>
      <c r="U91" s="8">
        <v>154</v>
      </c>
      <c r="V91" s="10">
        <f t="shared" si="13"/>
        <v>0.34891026966505873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376.27861445782997</v>
      </c>
      <c r="E92">
        <v>201.67771084336999</v>
      </c>
      <c r="F92">
        <v>130.67018072289</v>
      </c>
      <c r="G92">
        <v>111.0436746988</v>
      </c>
      <c r="I92" s="9">
        <f t="shared" si="8"/>
        <v>90.63403614456999</v>
      </c>
      <c r="J92" s="9">
        <f t="shared" si="9"/>
        <v>245.60843373493998</v>
      </c>
      <c r="K92" s="9">
        <f t="shared" si="10"/>
        <v>90.63403614456999</v>
      </c>
      <c r="L92" s="10">
        <f t="shared" si="7"/>
        <v>0.36901841995532619</v>
      </c>
      <c r="M92" s="10">
        <f t="shared" si="11"/>
        <v>0.39511822019513382</v>
      </c>
      <c r="P92" s="8">
        <f t="shared" si="12"/>
        <v>-11.515920247754998</v>
      </c>
      <c r="U92" s="8">
        <v>154.5</v>
      </c>
      <c r="V92" s="10">
        <f t="shared" si="13"/>
        <v>0.35092898222230595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381.87969924812</v>
      </c>
      <c r="E93">
        <v>201.06992481203</v>
      </c>
      <c r="F93">
        <v>131.0015060241</v>
      </c>
      <c r="G93">
        <v>110.78990963855</v>
      </c>
      <c r="I93" s="9">
        <f t="shared" si="8"/>
        <v>90.280015173479995</v>
      </c>
      <c r="J93" s="9">
        <f t="shared" si="9"/>
        <v>250.87819322402001</v>
      </c>
      <c r="K93" s="9">
        <f t="shared" si="10"/>
        <v>90.280015173479995</v>
      </c>
      <c r="L93" s="10">
        <f t="shared" si="7"/>
        <v>0.35985596840162609</v>
      </c>
      <c r="M93" s="10">
        <f t="shared" si="11"/>
        <v>0.38624576642187602</v>
      </c>
      <c r="P93" s="8">
        <f t="shared" si="12"/>
        <v>-13.502846861474135</v>
      </c>
      <c r="U93" s="8">
        <v>155</v>
      </c>
      <c r="V93" s="10">
        <f t="shared" si="13"/>
        <v>0.35632141261084788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374.14736842104998</v>
      </c>
      <c r="E94">
        <v>195.67669172932</v>
      </c>
      <c r="F94">
        <v>131.05271084336999</v>
      </c>
      <c r="G94">
        <v>110.74472891566</v>
      </c>
      <c r="I94" s="9">
        <f t="shared" si="8"/>
        <v>84.931962813659993</v>
      </c>
      <c r="J94" s="9">
        <f t="shared" si="9"/>
        <v>243.09465757767998</v>
      </c>
      <c r="K94" s="9">
        <f t="shared" si="10"/>
        <v>84.931962813659993</v>
      </c>
      <c r="L94" s="10">
        <f t="shared" si="7"/>
        <v>0.34937815441921138</v>
      </c>
      <c r="M94" s="10">
        <f t="shared" si="11"/>
        <v>0.37605795021990363</v>
      </c>
      <c r="P94" s="8">
        <f t="shared" si="12"/>
        <v>-15.78434008360736</v>
      </c>
      <c r="U94" s="8">
        <v>155.5</v>
      </c>
      <c r="V94" s="10">
        <f t="shared" si="13"/>
        <v>0.35079284992791882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342.45742275809999</v>
      </c>
      <c r="E95">
        <v>185.44913338357</v>
      </c>
      <c r="F95">
        <v>131.18072289157001</v>
      </c>
      <c r="G95">
        <v>110.74397590361001</v>
      </c>
      <c r="I95" s="9">
        <f t="shared" si="8"/>
        <v>74.705157479959993</v>
      </c>
      <c r="J95" s="9">
        <f t="shared" si="9"/>
        <v>211.27669986652998</v>
      </c>
      <c r="K95" s="9">
        <f t="shared" si="10"/>
        <v>74.705157479959993</v>
      </c>
      <c r="L95" s="10">
        <f t="shared" si="7"/>
        <v>0.35358919145913181</v>
      </c>
      <c r="M95" s="10">
        <f t="shared" si="11"/>
        <v>0.38055898504026636</v>
      </c>
      <c r="P95" s="8">
        <f t="shared" si="12"/>
        <v>-14.776363473933632</v>
      </c>
      <c r="U95" s="8">
        <v>156</v>
      </c>
      <c r="V95" s="10">
        <f t="shared" si="13"/>
        <v>0.34738307398681095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355.44069069069002</v>
      </c>
      <c r="E96">
        <v>201.26051051050999</v>
      </c>
      <c r="F96">
        <v>130.81626506024</v>
      </c>
      <c r="G96">
        <v>110.85542168675001</v>
      </c>
      <c r="I96" s="9">
        <f t="shared" si="8"/>
        <v>90.405088823759982</v>
      </c>
      <c r="J96" s="9">
        <f t="shared" si="9"/>
        <v>224.62442563045002</v>
      </c>
      <c r="K96" s="9">
        <f t="shared" si="10"/>
        <v>90.405088823759982</v>
      </c>
      <c r="L96" s="10">
        <f t="shared" si="7"/>
        <v>0.40247220919996285</v>
      </c>
      <c r="M96" s="10">
        <f t="shared" si="11"/>
        <v>0.42973200056153971</v>
      </c>
      <c r="P96" s="8">
        <f t="shared" si="12"/>
        <v>-3.7643959040910544</v>
      </c>
      <c r="U96" s="8">
        <v>156.5</v>
      </c>
      <c r="V96" s="10">
        <f t="shared" si="13"/>
        <v>0.34957320875036735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360.76576576577003</v>
      </c>
      <c r="E97">
        <v>203.24324324323999</v>
      </c>
      <c r="F97">
        <v>130.56701807229001</v>
      </c>
      <c r="G97">
        <v>110.68072289157</v>
      </c>
      <c r="I97" s="9">
        <f t="shared" si="8"/>
        <v>92.562520351669988</v>
      </c>
      <c r="J97" s="9">
        <f t="shared" si="9"/>
        <v>230.19874769348002</v>
      </c>
      <c r="K97" s="9">
        <f t="shared" si="10"/>
        <v>92.562520351669988</v>
      </c>
      <c r="L97" s="10">
        <f t="shared" si="7"/>
        <v>0.40209827933087261</v>
      </c>
      <c r="M97" s="10">
        <f t="shared" si="11"/>
        <v>0.42964806847289178</v>
      </c>
      <c r="P97" s="8">
        <f t="shared" si="12"/>
        <v>-3.7831919333453574</v>
      </c>
      <c r="U97" s="8">
        <v>157</v>
      </c>
      <c r="V97" s="10">
        <f t="shared" si="13"/>
        <v>0.34823272727451149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362.49549549549999</v>
      </c>
      <c r="E98">
        <v>206.43393393393001</v>
      </c>
      <c r="F98">
        <v>130.82831325301001</v>
      </c>
      <c r="G98">
        <v>110.53237951807</v>
      </c>
      <c r="I98" s="9">
        <f t="shared" si="8"/>
        <v>95.901554415860005</v>
      </c>
      <c r="J98" s="9">
        <f t="shared" si="9"/>
        <v>231.66718224248999</v>
      </c>
      <c r="K98" s="9">
        <f t="shared" si="10"/>
        <v>95.901554415860005</v>
      </c>
      <c r="L98" s="10">
        <f t="shared" si="7"/>
        <v>0.41396262296434466</v>
      </c>
      <c r="M98" s="10">
        <f t="shared" si="11"/>
        <v>0.44180240988680614</v>
      </c>
      <c r="P98" s="8">
        <f t="shared" si="12"/>
        <v>-1.0613085575959906</v>
      </c>
      <c r="U98" s="8">
        <v>157.5</v>
      </c>
      <c r="V98" s="10">
        <f t="shared" si="13"/>
        <v>0.34880776670760244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359.47897897898002</v>
      </c>
      <c r="E99">
        <v>203.02627627627999</v>
      </c>
      <c r="F99">
        <v>130.87575301205001</v>
      </c>
      <c r="G99">
        <v>110.70105421687001</v>
      </c>
      <c r="I99" s="9">
        <f t="shared" si="8"/>
        <v>92.325222059409981</v>
      </c>
      <c r="J99" s="9">
        <f t="shared" si="9"/>
        <v>228.60322596693001</v>
      </c>
      <c r="K99" s="9">
        <f t="shared" si="10"/>
        <v>92.325222059409981</v>
      </c>
      <c r="L99" s="10">
        <f t="shared" si="7"/>
        <v>0.4038666631623381</v>
      </c>
      <c r="M99" s="10">
        <f t="shared" si="11"/>
        <v>0.43199644786524188</v>
      </c>
      <c r="P99" s="8">
        <f t="shared" si="12"/>
        <v>-3.2572880928729697</v>
      </c>
      <c r="U99" s="8">
        <v>158</v>
      </c>
      <c r="V99" s="10">
        <f t="shared" si="13"/>
        <v>0.35234829215430458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360.05180180180002</v>
      </c>
      <c r="E100">
        <v>205.19594594595</v>
      </c>
      <c r="F100">
        <v>130.69728915663001</v>
      </c>
      <c r="G100">
        <v>110.55798192771</v>
      </c>
      <c r="I100" s="9">
        <f t="shared" si="8"/>
        <v>94.637964018239998</v>
      </c>
      <c r="J100" s="9">
        <f t="shared" si="9"/>
        <v>229.35451264517002</v>
      </c>
      <c r="K100" s="9">
        <f t="shared" si="10"/>
        <v>94.637964018239998</v>
      </c>
      <c r="L100" s="10">
        <f t="shared" si="7"/>
        <v>0.41262743395266255</v>
      </c>
      <c r="M100" s="10">
        <f t="shared" si="11"/>
        <v>0.44104721643600864</v>
      </c>
      <c r="P100" s="8">
        <f t="shared" si="12"/>
        <v>-1.2304290742245019</v>
      </c>
      <c r="U100" s="8">
        <v>158.5</v>
      </c>
      <c r="V100" s="10">
        <f t="shared" si="13"/>
        <v>0.35026623415482072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357.95331325300998</v>
      </c>
      <c r="E101">
        <v>204.26204819277001</v>
      </c>
      <c r="F101">
        <v>130.74246987952</v>
      </c>
      <c r="G101">
        <v>110.7515060241</v>
      </c>
      <c r="I101" s="9">
        <f t="shared" si="8"/>
        <v>93.510542168670014</v>
      </c>
      <c r="J101" s="9">
        <f t="shared" si="9"/>
        <v>227.21084337348998</v>
      </c>
      <c r="K101" s="9">
        <f t="shared" si="10"/>
        <v>93.510542168670014</v>
      </c>
      <c r="L101" s="10">
        <f t="shared" si="7"/>
        <v>0.4115584484449849</v>
      </c>
      <c r="M101" s="10">
        <f t="shared" si="11"/>
        <v>0.4402682287087733</v>
      </c>
      <c r="P101" s="8">
        <f t="shared" si="12"/>
        <v>-1.4048781597378723</v>
      </c>
      <c r="U101" s="8">
        <v>159</v>
      </c>
      <c r="V101" s="10">
        <f t="shared" si="13"/>
        <v>0.36115964799961453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377.11746987952</v>
      </c>
      <c r="E102">
        <v>208.61972891566</v>
      </c>
      <c r="F102">
        <v>131.21084337349001</v>
      </c>
      <c r="G102">
        <v>110.48870481928</v>
      </c>
      <c r="I102" s="9">
        <f t="shared" si="8"/>
        <v>98.131024096380003</v>
      </c>
      <c r="J102" s="9">
        <f t="shared" si="9"/>
        <v>245.90662650602999</v>
      </c>
      <c r="K102" s="9">
        <f t="shared" si="10"/>
        <v>98.131024096380003</v>
      </c>
      <c r="L102" s="10">
        <f t="shared" si="7"/>
        <v>0.39905807131217624</v>
      </c>
      <c r="M102" s="10">
        <f t="shared" si="11"/>
        <v>0.42805784935640695</v>
      </c>
      <c r="P102" s="8">
        <f t="shared" si="12"/>
        <v>-4.1393108565807806</v>
      </c>
      <c r="U102" s="8">
        <v>159.5</v>
      </c>
      <c r="V102" s="10">
        <f t="shared" si="13"/>
        <v>0.35827015785846367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390.37725903615001</v>
      </c>
      <c r="E103">
        <v>207.65737951807</v>
      </c>
      <c r="F103">
        <v>130.88102409639001</v>
      </c>
      <c r="G103">
        <v>110.57756024096</v>
      </c>
      <c r="I103" s="9">
        <f t="shared" si="8"/>
        <v>97.079819277110005</v>
      </c>
      <c r="J103" s="9">
        <f t="shared" si="9"/>
        <v>259.49623493976003</v>
      </c>
      <c r="K103" s="9">
        <f t="shared" si="10"/>
        <v>97.079819277110005</v>
      </c>
      <c r="L103" s="10">
        <f t="shared" si="7"/>
        <v>0.3741087777232926</v>
      </c>
      <c r="M103" s="10">
        <f t="shared" si="11"/>
        <v>0.40339855354796561</v>
      </c>
      <c r="P103" s="8">
        <f t="shared" si="12"/>
        <v>-9.6615950374285795</v>
      </c>
      <c r="U103" s="8">
        <v>160</v>
      </c>
      <c r="V103" s="10">
        <f t="shared" si="13"/>
        <v>0.38694415297157708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409.50940556810002</v>
      </c>
      <c r="E104">
        <v>210.58916478555</v>
      </c>
      <c r="F104">
        <v>130.66039156626999</v>
      </c>
      <c r="G104">
        <v>110.57831325300999</v>
      </c>
      <c r="I104" s="9">
        <f t="shared" si="8"/>
        <v>100.01085153254</v>
      </c>
      <c r="J104" s="9">
        <f t="shared" si="9"/>
        <v>278.84901400183003</v>
      </c>
      <c r="K104" s="9">
        <f t="shared" si="10"/>
        <v>100.01085153254</v>
      </c>
      <c r="L104" s="10">
        <f t="shared" si="7"/>
        <v>0.35865592672270896</v>
      </c>
      <c r="M104" s="10">
        <f t="shared" si="11"/>
        <v>0.38823570032782428</v>
      </c>
      <c r="P104" s="8">
        <f t="shared" si="12"/>
        <v>-13.057214487576866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399.84048156508999</v>
      </c>
      <c r="E105">
        <v>204.92249811888999</v>
      </c>
      <c r="F105">
        <v>131.14382530121</v>
      </c>
      <c r="G105">
        <v>110.65662650602</v>
      </c>
      <c r="I105" s="9">
        <f t="shared" si="8"/>
        <v>94.265871612869987</v>
      </c>
      <c r="J105" s="9">
        <f t="shared" si="9"/>
        <v>268.69665626387996</v>
      </c>
      <c r="K105" s="9">
        <f t="shared" si="10"/>
        <v>94.265871612869987</v>
      </c>
      <c r="L105" s="10">
        <f t="shared" si="7"/>
        <v>0.35082636651903082</v>
      </c>
      <c r="M105" s="10">
        <f t="shared" si="11"/>
        <v>0.38069613790458845</v>
      </c>
      <c r="P105" s="8">
        <f t="shared" si="12"/>
        <v>-14.745649008326525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375.57003745318002</v>
      </c>
      <c r="E106">
        <v>194.65917602996001</v>
      </c>
      <c r="F106">
        <v>130.74924698794999</v>
      </c>
      <c r="G106">
        <v>110.73569277108</v>
      </c>
      <c r="I106" s="9">
        <f t="shared" si="8"/>
        <v>83.923483258880012</v>
      </c>
      <c r="J106" s="9">
        <f t="shared" si="9"/>
        <v>244.82079046523003</v>
      </c>
      <c r="K106" s="9">
        <f t="shared" si="10"/>
        <v>83.923483258880012</v>
      </c>
      <c r="L106" s="10">
        <f t="shared" si="7"/>
        <v>0.34279557344538109</v>
      </c>
      <c r="M106" s="10">
        <f t="shared" si="11"/>
        <v>0.37295534261138102</v>
      </c>
      <c r="P106" s="8">
        <f t="shared" si="12"/>
        <v>-16.479148282877073</v>
      </c>
      <c r="X106" s="8">
        <v>-13</v>
      </c>
    </row>
    <row r="107" spans="1:25" x14ac:dyDescent="0.2">
      <c r="A107" s="8">
        <v>52.5</v>
      </c>
      <c r="B107" s="8">
        <v>105</v>
      </c>
      <c r="D107">
        <v>372.98127340823999</v>
      </c>
      <c r="E107">
        <v>195.77528089888</v>
      </c>
      <c r="F107">
        <v>131.00602409639001</v>
      </c>
      <c r="G107">
        <v>110.84262048193</v>
      </c>
      <c r="I107" s="9">
        <f t="shared" si="8"/>
        <v>84.93266041695</v>
      </c>
      <c r="J107" s="9">
        <f t="shared" si="9"/>
        <v>241.97524931184998</v>
      </c>
      <c r="K107" s="9">
        <f t="shared" si="10"/>
        <v>84.93266041695</v>
      </c>
      <c r="L107" s="10">
        <f t="shared" si="7"/>
        <v>0.35099730513136695</v>
      </c>
      <c r="M107" s="10">
        <f t="shared" si="11"/>
        <v>0.3814470720778092</v>
      </c>
      <c r="P107" s="8">
        <f t="shared" si="12"/>
        <v>-14.577482328391756</v>
      </c>
      <c r="X107" s="8">
        <v>-13</v>
      </c>
    </row>
    <row r="108" spans="1:25" x14ac:dyDescent="0.2">
      <c r="A108" s="8">
        <v>53</v>
      </c>
      <c r="B108" s="8">
        <v>106</v>
      </c>
      <c r="D108">
        <v>367.58540255832003</v>
      </c>
      <c r="E108">
        <v>193.56508653123001</v>
      </c>
      <c r="F108">
        <v>130.30271084336999</v>
      </c>
      <c r="G108">
        <v>110.69653614457999</v>
      </c>
      <c r="I108" s="9">
        <f t="shared" si="8"/>
        <v>82.868550386650014</v>
      </c>
      <c r="J108" s="9">
        <f t="shared" si="9"/>
        <v>237.28269171495003</v>
      </c>
      <c r="K108" s="9">
        <f t="shared" si="10"/>
        <v>82.868550386650014</v>
      </c>
      <c r="L108" s="10">
        <f t="shared" si="7"/>
        <v>0.34923976033701098</v>
      </c>
      <c r="M108" s="10">
        <f t="shared" si="11"/>
        <v>0.37997952506389554</v>
      </c>
      <c r="P108" s="8">
        <f t="shared" si="12"/>
        <v>-14.906129655652883</v>
      </c>
      <c r="X108" s="8">
        <v>-13</v>
      </c>
    </row>
    <row r="109" spans="1:25" x14ac:dyDescent="0.2">
      <c r="A109" s="8">
        <v>53.5</v>
      </c>
      <c r="B109" s="8">
        <v>107</v>
      </c>
      <c r="D109">
        <v>369.86531226485999</v>
      </c>
      <c r="E109">
        <v>194.00300978179001</v>
      </c>
      <c r="F109">
        <v>131.17695783132999</v>
      </c>
      <c r="G109">
        <v>110.38177710843</v>
      </c>
      <c r="I109" s="9">
        <f t="shared" si="8"/>
        <v>83.621232673360012</v>
      </c>
      <c r="J109" s="9">
        <f t="shared" si="9"/>
        <v>238.68835443353001</v>
      </c>
      <c r="K109" s="9">
        <f t="shared" si="10"/>
        <v>83.621232673360012</v>
      </c>
      <c r="L109" s="10">
        <f t="shared" si="7"/>
        <v>0.3503364580639684</v>
      </c>
      <c r="M109" s="10">
        <f t="shared" si="11"/>
        <v>0.38136622057129527</v>
      </c>
      <c r="P109" s="8">
        <f t="shared" si="12"/>
        <v>-14.595588481904329</v>
      </c>
      <c r="X109" s="8">
        <v>-13</v>
      </c>
    </row>
    <row r="110" spans="1:25" x14ac:dyDescent="0.2">
      <c r="A110" s="8">
        <v>54</v>
      </c>
      <c r="B110" s="8">
        <v>108</v>
      </c>
      <c r="D110">
        <v>367.32881866064997</v>
      </c>
      <c r="E110">
        <v>192.67494356659</v>
      </c>
      <c r="F110">
        <v>130.65135542169</v>
      </c>
      <c r="G110">
        <v>110.61822289157</v>
      </c>
      <c r="I110" s="9">
        <f t="shared" si="8"/>
        <v>82.056720675020003</v>
      </c>
      <c r="J110" s="9">
        <f t="shared" si="9"/>
        <v>236.67746323895997</v>
      </c>
      <c r="K110" s="9">
        <f t="shared" si="10"/>
        <v>82.056720675020003</v>
      </c>
      <c r="L110" s="10">
        <f t="shared" si="7"/>
        <v>0.34670272172121402</v>
      </c>
      <c r="M110" s="10">
        <f t="shared" si="11"/>
        <v>0.3780224820089832</v>
      </c>
      <c r="P110" s="8">
        <f t="shared" si="12"/>
        <v>-15.344396343693543</v>
      </c>
      <c r="X110" s="8">
        <v>-13</v>
      </c>
    </row>
    <row r="111" spans="1:25" x14ac:dyDescent="0.2">
      <c r="A111" s="8">
        <v>54.5</v>
      </c>
      <c r="B111" s="8">
        <v>109</v>
      </c>
      <c r="D111">
        <v>355.48081264107998</v>
      </c>
      <c r="E111">
        <v>186.29495861550001</v>
      </c>
      <c r="F111">
        <v>130.77635542169</v>
      </c>
      <c r="G111">
        <v>110.74698795181</v>
      </c>
      <c r="I111" s="9">
        <f t="shared" si="8"/>
        <v>75.547970663690009</v>
      </c>
      <c r="J111" s="9">
        <f t="shared" si="9"/>
        <v>224.70445721938998</v>
      </c>
      <c r="K111" s="9">
        <f t="shared" si="10"/>
        <v>75.547970663690009</v>
      </c>
      <c r="L111" s="10">
        <f t="shared" si="7"/>
        <v>0.3362103787283971</v>
      </c>
      <c r="M111" s="10">
        <f t="shared" si="11"/>
        <v>0.36782013679660858</v>
      </c>
      <c r="P111" s="8">
        <f t="shared" si="12"/>
        <v>-17.629143240421968</v>
      </c>
      <c r="X111" s="8">
        <v>-13</v>
      </c>
    </row>
    <row r="112" spans="1:25" x14ac:dyDescent="0.2">
      <c r="A112" s="8">
        <v>55</v>
      </c>
      <c r="B112" s="8">
        <v>110</v>
      </c>
      <c r="D112">
        <v>347.97065462754</v>
      </c>
      <c r="E112">
        <v>182.23626787058001</v>
      </c>
      <c r="F112">
        <v>131.03915662650999</v>
      </c>
      <c r="G112">
        <v>110.44277108434</v>
      </c>
      <c r="I112" s="9">
        <f t="shared" si="8"/>
        <v>71.793496786240013</v>
      </c>
      <c r="J112" s="9">
        <f t="shared" si="9"/>
        <v>216.93149800103001</v>
      </c>
      <c r="K112" s="9">
        <f t="shared" si="10"/>
        <v>71.793496786240013</v>
      </c>
      <c r="L112" s="10">
        <f t="shared" si="7"/>
        <v>0.33095008077572546</v>
      </c>
      <c r="M112" s="10">
        <f t="shared" si="11"/>
        <v>0.36284983662437925</v>
      </c>
      <c r="P112" s="8">
        <f t="shared" si="12"/>
        <v>-18.742208683506167</v>
      </c>
      <c r="X112" s="8">
        <v>-13</v>
      </c>
    </row>
    <row r="113" spans="1:24" x14ac:dyDescent="0.2">
      <c r="A113" s="8">
        <v>55.5</v>
      </c>
      <c r="B113" s="8">
        <v>111</v>
      </c>
      <c r="D113">
        <v>346.85468164794003</v>
      </c>
      <c r="E113">
        <v>180.27116104869</v>
      </c>
      <c r="F113">
        <v>130.31174698794999</v>
      </c>
      <c r="G113">
        <v>110.52861445783</v>
      </c>
      <c r="I113" s="9">
        <f t="shared" si="8"/>
        <v>69.742546590860002</v>
      </c>
      <c r="J113" s="9">
        <f t="shared" si="9"/>
        <v>216.54293465999004</v>
      </c>
      <c r="K113" s="9">
        <f t="shared" si="10"/>
        <v>69.742546590860002</v>
      </c>
      <c r="L113" s="10">
        <f t="shared" si="7"/>
        <v>0.32207260283217226</v>
      </c>
      <c r="M113" s="10">
        <f t="shared" si="11"/>
        <v>0.35426235646126836</v>
      </c>
      <c r="P113" s="8">
        <f t="shared" si="12"/>
        <v>-20.665317365379313</v>
      </c>
      <c r="X113" s="8">
        <v>-13</v>
      </c>
    </row>
    <row r="114" spans="1:24" x14ac:dyDescent="0.2">
      <c r="A114" s="8">
        <v>56</v>
      </c>
      <c r="B114" s="8">
        <v>112</v>
      </c>
      <c r="D114">
        <v>341.33932584270002</v>
      </c>
      <c r="E114">
        <v>178.03820224718999</v>
      </c>
      <c r="F114">
        <v>130.42243975904</v>
      </c>
      <c r="G114">
        <v>110.61972891566</v>
      </c>
      <c r="I114" s="9">
        <f t="shared" si="8"/>
        <v>67.418473331529981</v>
      </c>
      <c r="J114" s="9">
        <f t="shared" si="9"/>
        <v>210.91688608366002</v>
      </c>
      <c r="K114" s="9">
        <f t="shared" si="10"/>
        <v>67.418473331529981</v>
      </c>
      <c r="L114" s="10">
        <f t="shared" si="7"/>
        <v>0.31964474055808173</v>
      </c>
      <c r="M114" s="10">
        <f t="shared" si="11"/>
        <v>0.35212449196762013</v>
      </c>
      <c r="P114" s="8">
        <f t="shared" si="12"/>
        <v>-21.144077803867923</v>
      </c>
      <c r="X114" s="8">
        <v>-13</v>
      </c>
    </row>
    <row r="115" spans="1:24" x14ac:dyDescent="0.2">
      <c r="A115" s="8">
        <v>56.5</v>
      </c>
      <c r="B115" s="8">
        <v>113</v>
      </c>
      <c r="D115">
        <v>343.55154251316998</v>
      </c>
      <c r="E115">
        <v>177.73890142965001</v>
      </c>
      <c r="F115">
        <v>130.96310240963999</v>
      </c>
      <c r="G115">
        <v>110.24322289157</v>
      </c>
      <c r="I115" s="9">
        <f t="shared" si="8"/>
        <v>67.495678538080014</v>
      </c>
      <c r="J115" s="9">
        <f t="shared" si="9"/>
        <v>212.58844010352999</v>
      </c>
      <c r="K115" s="9">
        <f t="shared" si="10"/>
        <v>67.495678538080014</v>
      </c>
      <c r="L115" s="10">
        <f t="shared" si="7"/>
        <v>0.31749458486646687</v>
      </c>
      <c r="M115" s="10">
        <f t="shared" si="11"/>
        <v>0.35026433405644758</v>
      </c>
      <c r="P115" s="8">
        <f t="shared" si="12"/>
        <v>-21.56064771269844</v>
      </c>
      <c r="X115" s="8">
        <v>-13</v>
      </c>
    </row>
    <row r="116" spans="1:24" x14ac:dyDescent="0.2">
      <c r="A116" s="8">
        <v>57</v>
      </c>
      <c r="B116" s="8">
        <v>114</v>
      </c>
      <c r="D116">
        <v>349.87659894657997</v>
      </c>
      <c r="E116">
        <v>179.63656884875999</v>
      </c>
      <c r="F116">
        <v>130.43072289157001</v>
      </c>
      <c r="G116">
        <v>110.61746987952</v>
      </c>
      <c r="I116" s="9">
        <f t="shared" si="8"/>
        <v>69.019098969239991</v>
      </c>
      <c r="J116" s="9">
        <f t="shared" si="9"/>
        <v>219.44587605500996</v>
      </c>
      <c r="K116" s="9">
        <f t="shared" si="10"/>
        <v>69.019098969239991</v>
      </c>
      <c r="L116" s="10">
        <f t="shared" si="7"/>
        <v>0.31451536119064966</v>
      </c>
      <c r="M116" s="10">
        <f t="shared" si="11"/>
        <v>0.34757510816107262</v>
      </c>
      <c r="P116" s="8">
        <f t="shared" si="12"/>
        <v>-22.162881845259179</v>
      </c>
      <c r="X116" s="8">
        <v>-13</v>
      </c>
    </row>
    <row r="117" spans="1:24" x14ac:dyDescent="0.2">
      <c r="A117" s="8">
        <v>57.5</v>
      </c>
      <c r="B117" s="8">
        <v>115</v>
      </c>
      <c r="D117">
        <v>359.19638826185002</v>
      </c>
      <c r="E117">
        <v>185.82468021068999</v>
      </c>
      <c r="F117">
        <v>130.51129518072</v>
      </c>
      <c r="G117">
        <v>110.29518072289</v>
      </c>
      <c r="I117" s="9">
        <f t="shared" si="8"/>
        <v>75.529499487799995</v>
      </c>
      <c r="J117" s="9">
        <f t="shared" si="9"/>
        <v>228.68509308113002</v>
      </c>
      <c r="K117" s="9">
        <f t="shared" si="10"/>
        <v>75.529499487799995</v>
      </c>
      <c r="L117" s="10">
        <f t="shared" si="7"/>
        <v>0.33027731921732473</v>
      </c>
      <c r="M117" s="10">
        <f t="shared" si="11"/>
        <v>0.36362706396819</v>
      </c>
      <c r="P117" s="8">
        <f t="shared" si="12"/>
        <v>-18.568153824073434</v>
      </c>
      <c r="X117" s="8">
        <v>-13</v>
      </c>
    </row>
    <row r="118" spans="1:24" x14ac:dyDescent="0.2">
      <c r="A118" s="8">
        <v>58</v>
      </c>
      <c r="B118" s="8">
        <v>116</v>
      </c>
      <c r="D118">
        <v>357.15620328849002</v>
      </c>
      <c r="E118">
        <v>185.76756352765</v>
      </c>
      <c r="F118">
        <v>130.80798192770999</v>
      </c>
      <c r="G118">
        <v>110.46385542169</v>
      </c>
      <c r="I118" s="9">
        <f t="shared" si="8"/>
        <v>75.303708105959998</v>
      </c>
      <c r="J118" s="9">
        <f t="shared" si="9"/>
        <v>226.34822136078003</v>
      </c>
      <c r="K118" s="9">
        <f t="shared" si="10"/>
        <v>75.303708105959998</v>
      </c>
      <c r="L118" s="10">
        <f t="shared" si="7"/>
        <v>0.3326896392348152</v>
      </c>
      <c r="M118" s="10">
        <f t="shared" si="11"/>
        <v>0.36632938176612284</v>
      </c>
      <c r="P118" s="8">
        <f t="shared" si="12"/>
        <v>-17.962987847596541</v>
      </c>
      <c r="X118" s="8">
        <v>-13</v>
      </c>
    </row>
    <row r="119" spans="1:24" x14ac:dyDescent="0.2">
      <c r="A119" s="8">
        <v>58.5</v>
      </c>
      <c r="B119" s="8">
        <v>117</v>
      </c>
      <c r="D119">
        <v>364.08669656203</v>
      </c>
      <c r="E119">
        <v>188.61808669656</v>
      </c>
      <c r="F119">
        <v>131.05647590360999</v>
      </c>
      <c r="G119">
        <v>110.53012048193</v>
      </c>
      <c r="I119" s="9">
        <f t="shared" si="8"/>
        <v>78.087966214630001</v>
      </c>
      <c r="J119" s="9">
        <f t="shared" si="9"/>
        <v>233.03022065842001</v>
      </c>
      <c r="K119" s="9">
        <f t="shared" si="10"/>
        <v>78.087966214630001</v>
      </c>
      <c r="L119" s="10">
        <f t="shared" si="7"/>
        <v>0.33509802288301815</v>
      </c>
      <c r="M119" s="10">
        <f t="shared" si="11"/>
        <v>0.36902776319476804</v>
      </c>
      <c r="P119" s="8">
        <f t="shared" si="12"/>
        <v>-17.358703394664193</v>
      </c>
      <c r="X119" s="8">
        <v>-13</v>
      </c>
    </row>
    <row r="120" spans="1:24" x14ac:dyDescent="0.2">
      <c r="A120" s="8">
        <v>59</v>
      </c>
      <c r="B120" s="8">
        <v>118</v>
      </c>
      <c r="D120">
        <v>363.46412556054003</v>
      </c>
      <c r="E120">
        <v>187.26382660688</v>
      </c>
      <c r="F120">
        <v>130.42996987952</v>
      </c>
      <c r="G120">
        <v>110.49021084336999</v>
      </c>
      <c r="I120" s="9">
        <f t="shared" si="8"/>
        <v>76.773615763510008</v>
      </c>
      <c r="J120" s="9">
        <f t="shared" si="9"/>
        <v>233.03415568102002</v>
      </c>
      <c r="K120" s="9">
        <f t="shared" si="10"/>
        <v>76.773615763510008</v>
      </c>
      <c r="L120" s="10">
        <f t="shared" si="7"/>
        <v>0.32945220214241328</v>
      </c>
      <c r="M120" s="10">
        <f t="shared" si="11"/>
        <v>0.36367194023460547</v>
      </c>
      <c r="P120" s="8">
        <f t="shared" si="12"/>
        <v>-18.558104084695358</v>
      </c>
      <c r="X120" s="8">
        <v>-13</v>
      </c>
    </row>
    <row r="121" spans="1:24" x14ac:dyDescent="0.2">
      <c r="A121" s="8">
        <v>59.5</v>
      </c>
      <c r="B121" s="8">
        <v>119</v>
      </c>
      <c r="D121">
        <v>364.12481315396002</v>
      </c>
      <c r="E121">
        <v>187.36995515695</v>
      </c>
      <c r="F121">
        <v>130.83433734939999</v>
      </c>
      <c r="G121">
        <v>110.41340361445999</v>
      </c>
      <c r="I121" s="9">
        <f t="shared" si="8"/>
        <v>76.956551542490004</v>
      </c>
      <c r="J121" s="9">
        <f t="shared" si="9"/>
        <v>233.29047580456003</v>
      </c>
      <c r="K121" s="9">
        <f t="shared" si="10"/>
        <v>76.956551542490004</v>
      </c>
      <c r="L121" s="10">
        <f t="shared" si="7"/>
        <v>0.32987438204275704</v>
      </c>
      <c r="M121" s="10">
        <f t="shared" si="11"/>
        <v>0.3643841179153916</v>
      </c>
      <c r="P121" s="8">
        <f t="shared" si="12"/>
        <v>-18.398616661732866</v>
      </c>
      <c r="X121" s="8">
        <v>-13</v>
      </c>
    </row>
    <row r="122" spans="1:24" x14ac:dyDescent="0.2">
      <c r="A122" s="8">
        <v>60</v>
      </c>
      <c r="B122" s="8">
        <v>120</v>
      </c>
      <c r="D122">
        <v>351.79744936233999</v>
      </c>
      <c r="E122">
        <v>186.27981995498999</v>
      </c>
      <c r="F122">
        <v>130.44954819277001</v>
      </c>
      <c r="G122">
        <v>110.37274096386</v>
      </c>
      <c r="I122" s="9">
        <f t="shared" si="8"/>
        <v>75.907078991129993</v>
      </c>
      <c r="J122" s="9">
        <f t="shared" si="9"/>
        <v>221.34790116956998</v>
      </c>
      <c r="K122" s="9">
        <f t="shared" si="10"/>
        <v>75.907078991129993</v>
      </c>
      <c r="L122" s="10">
        <f t="shared" si="7"/>
        <v>0.34293109891735168</v>
      </c>
      <c r="M122" s="10">
        <f t="shared" si="11"/>
        <v>0.3777308325704285</v>
      </c>
      <c r="P122" s="8">
        <f t="shared" si="12"/>
        <v>-15.409709282610981</v>
      </c>
      <c r="X122" s="8">
        <v>-13</v>
      </c>
    </row>
    <row r="123" spans="1:24" x14ac:dyDescent="0.2">
      <c r="A123" s="8">
        <v>60.5</v>
      </c>
      <c r="B123" s="8">
        <v>121</v>
      </c>
      <c r="D123">
        <v>354.91822955739002</v>
      </c>
      <c r="E123">
        <v>189.88522130532999</v>
      </c>
      <c r="F123">
        <v>130.6859939759</v>
      </c>
      <c r="G123">
        <v>110.36521084336999</v>
      </c>
      <c r="I123" s="9">
        <f t="shared" si="8"/>
        <v>79.520010461959998</v>
      </c>
      <c r="J123" s="9">
        <f t="shared" si="9"/>
        <v>224.23223558149002</v>
      </c>
      <c r="K123" s="9">
        <f t="shared" si="10"/>
        <v>79.520010461959998</v>
      </c>
      <c r="L123" s="10">
        <f t="shared" si="7"/>
        <v>0.35463237591929997</v>
      </c>
      <c r="M123" s="10">
        <f t="shared" si="11"/>
        <v>0.38972210735281909</v>
      </c>
      <c r="P123" s="8">
        <f t="shared" si="12"/>
        <v>-12.724343587118305</v>
      </c>
      <c r="X123" s="8">
        <v>-13</v>
      </c>
    </row>
    <row r="124" spans="1:24" x14ac:dyDescent="0.2">
      <c r="A124" s="8">
        <v>61</v>
      </c>
      <c r="B124" s="8">
        <v>122</v>
      </c>
      <c r="D124">
        <v>352.50487621906001</v>
      </c>
      <c r="E124">
        <v>188.21605401350001</v>
      </c>
      <c r="F124">
        <v>130.81325301205001</v>
      </c>
      <c r="G124">
        <v>110.56325301205</v>
      </c>
      <c r="I124" s="9">
        <f t="shared" si="8"/>
        <v>77.652801001450015</v>
      </c>
      <c r="J124" s="9">
        <f t="shared" si="9"/>
        <v>221.69162320701</v>
      </c>
      <c r="K124" s="9">
        <f t="shared" si="10"/>
        <v>77.652801001450015</v>
      </c>
      <c r="L124" s="10">
        <f t="shared" si="7"/>
        <v>0.35027395206962691</v>
      </c>
      <c r="M124" s="10">
        <f t="shared" si="11"/>
        <v>0.38565368128358835</v>
      </c>
      <c r="P124" s="8">
        <f t="shared" si="12"/>
        <v>-13.63544036366822</v>
      </c>
      <c r="X124" s="8">
        <v>-13</v>
      </c>
    </row>
    <row r="125" spans="1:24" x14ac:dyDescent="0.2">
      <c r="A125" s="8">
        <v>61.5</v>
      </c>
      <c r="B125" s="8">
        <v>123</v>
      </c>
      <c r="D125">
        <v>371.34184823441001</v>
      </c>
      <c r="E125">
        <v>195.26897069872001</v>
      </c>
      <c r="F125">
        <v>130.49246987952</v>
      </c>
      <c r="G125">
        <v>110.30722891566</v>
      </c>
      <c r="I125" s="9">
        <f t="shared" si="8"/>
        <v>84.961741783060006</v>
      </c>
      <c r="J125" s="9">
        <f t="shared" si="9"/>
        <v>240.84937835489001</v>
      </c>
      <c r="K125" s="9">
        <f t="shared" si="10"/>
        <v>84.961741783060006</v>
      </c>
      <c r="L125" s="10">
        <f t="shared" si="7"/>
        <v>0.35275881699752376</v>
      </c>
      <c r="M125" s="10">
        <f t="shared" si="11"/>
        <v>0.3884285439919275</v>
      </c>
      <c r="P125" s="8">
        <f t="shared" si="12"/>
        <v>-13.01402844025716</v>
      </c>
      <c r="X125" s="8">
        <v>-13</v>
      </c>
    </row>
    <row r="126" spans="1:24" x14ac:dyDescent="0.2">
      <c r="A126" s="8">
        <v>62</v>
      </c>
      <c r="B126" s="8">
        <v>124</v>
      </c>
      <c r="D126">
        <v>376.53042824943998</v>
      </c>
      <c r="E126">
        <v>195.166040571</v>
      </c>
      <c r="F126">
        <v>130.42545180722999</v>
      </c>
      <c r="G126">
        <v>110.46159638554001</v>
      </c>
      <c r="I126" s="9">
        <f t="shared" si="8"/>
        <v>84.704444185459991</v>
      </c>
      <c r="J126" s="9">
        <f t="shared" si="9"/>
        <v>246.10497644220999</v>
      </c>
      <c r="K126" s="9">
        <f t="shared" si="10"/>
        <v>84.704444185459991</v>
      </c>
      <c r="L126" s="10">
        <f t="shared" si="7"/>
        <v>0.34418013568835804</v>
      </c>
      <c r="M126" s="10">
        <f t="shared" si="11"/>
        <v>0.38013986046320408</v>
      </c>
      <c r="P126" s="8">
        <f t="shared" si="12"/>
        <v>-14.870223616562816</v>
      </c>
      <c r="X126" s="8">
        <v>-13</v>
      </c>
    </row>
    <row r="127" spans="1:24" x14ac:dyDescent="0.2">
      <c r="A127" s="8">
        <v>62.5</v>
      </c>
      <c r="B127" s="8">
        <v>125</v>
      </c>
      <c r="D127">
        <v>379.17505634860998</v>
      </c>
      <c r="E127">
        <v>197.42524417730999</v>
      </c>
      <c r="F127">
        <v>130.14683734939999</v>
      </c>
      <c r="G127">
        <v>110.67168674699001</v>
      </c>
      <c r="I127" s="9">
        <f t="shared" si="8"/>
        <v>86.753557430319987</v>
      </c>
      <c r="J127" s="9">
        <f t="shared" si="9"/>
        <v>249.02821899921</v>
      </c>
      <c r="K127" s="9">
        <f t="shared" si="10"/>
        <v>86.753557430319987</v>
      </c>
      <c r="L127" s="10">
        <f t="shared" si="7"/>
        <v>0.34836838081629296</v>
      </c>
      <c r="M127" s="10">
        <f t="shared" si="11"/>
        <v>0.38461810337158131</v>
      </c>
      <c r="P127" s="8">
        <f t="shared" si="12"/>
        <v>-13.867351102966548</v>
      </c>
      <c r="X127" s="8">
        <v>-13</v>
      </c>
    </row>
    <row r="128" spans="1:24" x14ac:dyDescent="0.2">
      <c r="A128" s="8">
        <v>63</v>
      </c>
      <c r="B128" s="8">
        <v>126</v>
      </c>
      <c r="D128">
        <v>392.69805680119998</v>
      </c>
      <c r="E128">
        <v>199.12556053812</v>
      </c>
      <c r="F128">
        <v>130.35391566265</v>
      </c>
      <c r="G128">
        <v>110.45858433735</v>
      </c>
      <c r="I128" s="9">
        <f t="shared" si="8"/>
        <v>88.666976200769994</v>
      </c>
      <c r="J128" s="9">
        <f t="shared" si="9"/>
        <v>262.34414113854996</v>
      </c>
      <c r="K128" s="9">
        <f t="shared" si="10"/>
        <v>88.666976200769994</v>
      </c>
      <c r="L128" s="10">
        <f t="shared" si="7"/>
        <v>0.3379796317004195</v>
      </c>
      <c r="M128" s="10">
        <f t="shared" si="11"/>
        <v>0.37451935203615017</v>
      </c>
      <c r="P128" s="8">
        <f t="shared" si="12"/>
        <v>-16.128898844604674</v>
      </c>
      <c r="X128" s="8">
        <v>-13</v>
      </c>
    </row>
    <row r="129" spans="1:24" x14ac:dyDescent="0.2">
      <c r="A129" s="8">
        <v>63.5</v>
      </c>
      <c r="B129" s="8">
        <v>127</v>
      </c>
      <c r="D129">
        <v>396.49402092676002</v>
      </c>
      <c r="E129">
        <v>199.96786248132</v>
      </c>
      <c r="F129">
        <v>130.55421686746999</v>
      </c>
      <c r="G129">
        <v>110.57228915663001</v>
      </c>
      <c r="I129" s="9">
        <f t="shared" si="8"/>
        <v>89.395573324689991</v>
      </c>
      <c r="J129" s="9">
        <f t="shared" si="9"/>
        <v>265.93980405929005</v>
      </c>
      <c r="K129" s="9">
        <f t="shared" si="10"/>
        <v>89.395573324689991</v>
      </c>
      <c r="L129" s="10">
        <f t="shared" si="7"/>
        <v>0.33614965477209896</v>
      </c>
      <c r="M129" s="10">
        <f t="shared" si="11"/>
        <v>0.37297937288827193</v>
      </c>
      <c r="P129" s="8">
        <f t="shared" si="12"/>
        <v>-16.473766863270978</v>
      </c>
      <c r="X129" s="8">
        <v>-13</v>
      </c>
    </row>
    <row r="130" spans="1:24" x14ac:dyDescent="0.2">
      <c r="A130" s="8">
        <v>64</v>
      </c>
      <c r="B130" s="8">
        <v>128</v>
      </c>
      <c r="D130">
        <v>374.39013452914998</v>
      </c>
      <c r="E130">
        <v>190.60014947683001</v>
      </c>
      <c r="F130">
        <v>130.34789156626999</v>
      </c>
      <c r="G130">
        <v>110.10993975904</v>
      </c>
      <c r="I130" s="9">
        <f t="shared" si="8"/>
        <v>80.490209717790009</v>
      </c>
      <c r="J130" s="9">
        <f t="shared" si="9"/>
        <v>244.04224296287998</v>
      </c>
      <c r="K130" s="9">
        <f t="shared" si="10"/>
        <v>80.490209717790009</v>
      </c>
      <c r="L130" s="10">
        <f t="shared" ref="L130:L193" si="14">K130/J130</f>
        <v>0.32982080782642603</v>
      </c>
      <c r="M130" s="10">
        <f t="shared" si="11"/>
        <v>0.36694052372304131</v>
      </c>
      <c r="P130" s="8">
        <f t="shared" si="12"/>
        <v>-17.826126698472081</v>
      </c>
      <c r="X130" s="8">
        <v>-13</v>
      </c>
    </row>
    <row r="131" spans="1:24" x14ac:dyDescent="0.2">
      <c r="A131" s="8">
        <v>64.5</v>
      </c>
      <c r="B131" s="8">
        <v>129</v>
      </c>
      <c r="D131">
        <v>348.10994764397998</v>
      </c>
      <c r="E131">
        <v>183.07329842932</v>
      </c>
      <c r="F131">
        <v>130.37725903615001</v>
      </c>
      <c r="G131">
        <v>110.57304216868</v>
      </c>
      <c r="I131" s="9">
        <f t="shared" ref="I131:I194" si="15">E131-G131</f>
        <v>72.500256260640001</v>
      </c>
      <c r="J131" s="9">
        <f t="shared" ref="J131:J194" si="16">D131-F131</f>
        <v>217.73268860782997</v>
      </c>
      <c r="K131" s="9">
        <f t="shared" ref="K131:K194" si="17">I131*1</f>
        <v>72.500256260640001</v>
      </c>
      <c r="L131" s="10">
        <f t="shared" si="14"/>
        <v>0.33297828049707368</v>
      </c>
      <c r="M131" s="10">
        <f t="shared" ref="M131:M181" si="18">L131+ABS($N$2)*A131</f>
        <v>0.37038799417413126</v>
      </c>
      <c r="P131" s="8">
        <f t="shared" ref="P131:P194" si="19">(M131-$O$2)/$O$2*100</f>
        <v>-17.05408877476636</v>
      </c>
      <c r="X131" s="8">
        <v>-13</v>
      </c>
    </row>
    <row r="132" spans="1:24" x14ac:dyDescent="0.2">
      <c r="A132" s="8">
        <v>65</v>
      </c>
      <c r="B132" s="8">
        <v>130</v>
      </c>
      <c r="D132">
        <v>370.87434554973999</v>
      </c>
      <c r="E132">
        <v>197.75168287209999</v>
      </c>
      <c r="F132">
        <v>130.07756024096</v>
      </c>
      <c r="G132">
        <v>110.64382530121</v>
      </c>
      <c r="I132" s="9">
        <f t="shared" si="15"/>
        <v>87.10785757088999</v>
      </c>
      <c r="J132" s="9">
        <f t="shared" si="16"/>
        <v>240.79678530877999</v>
      </c>
      <c r="K132" s="9">
        <f t="shared" si="17"/>
        <v>87.10785757088999</v>
      </c>
      <c r="L132" s="10">
        <f t="shared" si="14"/>
        <v>0.36174842392181156</v>
      </c>
      <c r="M132" s="10">
        <f t="shared" si="18"/>
        <v>0.39944813537931145</v>
      </c>
      <c r="P132" s="8">
        <f t="shared" si="19"/>
        <v>-10.546264734809993</v>
      </c>
      <c r="X132" s="8">
        <v>-13</v>
      </c>
    </row>
    <row r="133" spans="1:24" x14ac:dyDescent="0.2">
      <c r="A133" s="8">
        <v>65.5</v>
      </c>
      <c r="B133" s="8">
        <v>131</v>
      </c>
      <c r="D133">
        <v>376.98045112782</v>
      </c>
      <c r="E133">
        <v>197.45639097744001</v>
      </c>
      <c r="F133">
        <v>130.34789156626999</v>
      </c>
      <c r="G133">
        <v>110.23945783133</v>
      </c>
      <c r="I133" s="9">
        <f t="shared" si="15"/>
        <v>87.216933146110009</v>
      </c>
      <c r="J133" s="9">
        <f t="shared" si="16"/>
        <v>246.63255956155001</v>
      </c>
      <c r="K133" s="9">
        <f t="shared" si="17"/>
        <v>87.216933146110009</v>
      </c>
      <c r="L133" s="10">
        <f t="shared" si="14"/>
        <v>0.35363105869378941</v>
      </c>
      <c r="M133" s="10">
        <f t="shared" si="18"/>
        <v>0.39162076793173162</v>
      </c>
      <c r="P133" s="8">
        <f t="shared" si="19"/>
        <v>-12.299151263656304</v>
      </c>
      <c r="X133" s="8">
        <v>-13</v>
      </c>
    </row>
    <row r="134" spans="1:24" x14ac:dyDescent="0.2">
      <c r="A134" s="8">
        <v>66</v>
      </c>
      <c r="B134" s="8">
        <v>132</v>
      </c>
      <c r="D134">
        <v>366.0969924812</v>
      </c>
      <c r="E134">
        <v>193.89097744361001</v>
      </c>
      <c r="F134">
        <v>130.23192771084001</v>
      </c>
      <c r="G134">
        <v>110.34036144578</v>
      </c>
      <c r="I134" s="9">
        <f t="shared" si="15"/>
        <v>83.550615997830008</v>
      </c>
      <c r="J134" s="9">
        <f t="shared" si="16"/>
        <v>235.86506477035999</v>
      </c>
      <c r="K134" s="9">
        <f t="shared" si="17"/>
        <v>83.550615997830008</v>
      </c>
      <c r="L134" s="10">
        <f t="shared" si="14"/>
        <v>0.35423056856332463</v>
      </c>
      <c r="M134" s="10">
        <f t="shared" si="18"/>
        <v>0.39251027558170914</v>
      </c>
      <c r="P134" s="8">
        <f t="shared" si="19"/>
        <v>-12.099951981471916</v>
      </c>
      <c r="X134" s="8">
        <v>-13</v>
      </c>
    </row>
    <row r="135" spans="1:24" x14ac:dyDescent="0.2">
      <c r="A135" s="8">
        <v>66.5</v>
      </c>
      <c r="B135" s="8">
        <v>133</v>
      </c>
      <c r="D135">
        <v>373.75413533835001</v>
      </c>
      <c r="E135">
        <v>195.86315789474</v>
      </c>
      <c r="F135">
        <v>130.40587349398001</v>
      </c>
      <c r="G135">
        <v>110.37274096386</v>
      </c>
      <c r="I135" s="9">
        <f t="shared" si="15"/>
        <v>85.490416930880002</v>
      </c>
      <c r="J135" s="9">
        <f t="shared" si="16"/>
        <v>243.34826184437</v>
      </c>
      <c r="K135" s="9">
        <f t="shared" si="17"/>
        <v>85.490416930880002</v>
      </c>
      <c r="L135" s="10">
        <f t="shared" si="14"/>
        <v>0.3513089277192134</v>
      </c>
      <c r="M135" s="10">
        <f t="shared" si="18"/>
        <v>0.38987863251804022</v>
      </c>
      <c r="P135" s="8">
        <f t="shared" si="19"/>
        <v>-12.689290824439277</v>
      </c>
      <c r="X135" s="8">
        <v>-13</v>
      </c>
    </row>
    <row r="136" spans="1:24" x14ac:dyDescent="0.2">
      <c r="A136" s="8">
        <v>67</v>
      </c>
      <c r="B136" s="8">
        <v>134</v>
      </c>
      <c r="D136">
        <v>373.25338345864998</v>
      </c>
      <c r="E136">
        <v>193.48947368421</v>
      </c>
      <c r="F136">
        <v>129.82304216867999</v>
      </c>
      <c r="G136">
        <v>110.30271084336999</v>
      </c>
      <c r="I136" s="9">
        <f t="shared" si="15"/>
        <v>83.186762840840004</v>
      </c>
      <c r="J136" s="9">
        <f t="shared" si="16"/>
        <v>243.43034128996999</v>
      </c>
      <c r="K136" s="9">
        <f t="shared" si="17"/>
        <v>83.186762840840004</v>
      </c>
      <c r="L136" s="10">
        <f t="shared" si="14"/>
        <v>0.34172717501040423</v>
      </c>
      <c r="M136" s="10">
        <f t="shared" si="18"/>
        <v>0.38058687758967336</v>
      </c>
      <c r="P136" s="8">
        <f t="shared" si="19"/>
        <v>-14.770117124258835</v>
      </c>
      <c r="X136" s="8">
        <v>-13</v>
      </c>
    </row>
    <row r="137" spans="1:24" x14ac:dyDescent="0.2">
      <c r="A137" s="8">
        <v>67.5</v>
      </c>
      <c r="B137" s="8">
        <v>135</v>
      </c>
      <c r="D137">
        <v>371.17142857143</v>
      </c>
      <c r="E137">
        <v>192.47819548871999</v>
      </c>
      <c r="F137">
        <v>130.16942771084001</v>
      </c>
      <c r="G137">
        <v>110.48418674699001</v>
      </c>
      <c r="I137" s="9">
        <f t="shared" si="15"/>
        <v>81.994008741729985</v>
      </c>
      <c r="J137" s="9">
        <f t="shared" si="16"/>
        <v>241.00200086058999</v>
      </c>
      <c r="K137" s="9">
        <f t="shared" si="17"/>
        <v>81.994008741729985</v>
      </c>
      <c r="L137" s="10">
        <f t="shared" si="14"/>
        <v>0.3402212780347838</v>
      </c>
      <c r="M137" s="10">
        <f t="shared" si="18"/>
        <v>0.37937097839449524</v>
      </c>
      <c r="P137" s="8">
        <f t="shared" si="19"/>
        <v>-15.042409607515358</v>
      </c>
      <c r="X137" s="8">
        <v>-13</v>
      </c>
    </row>
    <row r="138" spans="1:24" x14ac:dyDescent="0.2">
      <c r="A138" s="8">
        <v>68</v>
      </c>
      <c r="B138" s="8">
        <v>136</v>
      </c>
      <c r="D138">
        <v>351.54511278195997</v>
      </c>
      <c r="E138">
        <v>184.61052631579</v>
      </c>
      <c r="F138">
        <v>129.93298192770999</v>
      </c>
      <c r="G138">
        <v>110.55948795181</v>
      </c>
      <c r="I138" s="9">
        <f t="shared" si="15"/>
        <v>74.051038363979998</v>
      </c>
      <c r="J138" s="9">
        <f t="shared" si="16"/>
        <v>221.61213085424998</v>
      </c>
      <c r="K138" s="9">
        <f t="shared" si="17"/>
        <v>74.051038363979998</v>
      </c>
      <c r="L138" s="10">
        <f t="shared" si="14"/>
        <v>0.33414704365927483</v>
      </c>
      <c r="M138" s="10">
        <f t="shared" si="18"/>
        <v>0.37358674179942858</v>
      </c>
      <c r="P138" s="8">
        <f t="shared" si="19"/>
        <v>-16.337750662481053</v>
      </c>
      <c r="X138" s="8">
        <v>-13</v>
      </c>
    </row>
    <row r="139" spans="1:24" x14ac:dyDescent="0.2">
      <c r="A139" s="8">
        <v>68.5</v>
      </c>
      <c r="B139" s="8">
        <v>137</v>
      </c>
      <c r="D139">
        <v>354.82919488337001</v>
      </c>
      <c r="E139">
        <v>184.00451467268999</v>
      </c>
      <c r="F139">
        <v>130.20331325301001</v>
      </c>
      <c r="G139">
        <v>110.46460843374</v>
      </c>
      <c r="I139" s="9">
        <f t="shared" si="15"/>
        <v>73.539906238949996</v>
      </c>
      <c r="J139" s="9">
        <f t="shared" si="16"/>
        <v>224.62588163036</v>
      </c>
      <c r="K139" s="9">
        <f t="shared" si="17"/>
        <v>73.539906238949996</v>
      </c>
      <c r="L139" s="10">
        <f t="shared" si="14"/>
        <v>0.32738839222439131</v>
      </c>
      <c r="M139" s="10">
        <f t="shared" si="18"/>
        <v>0.36711808814498736</v>
      </c>
      <c r="P139" s="8">
        <f t="shared" si="19"/>
        <v>-17.786362335125645</v>
      </c>
      <c r="X139" s="8">
        <v>-13</v>
      </c>
    </row>
    <row r="140" spans="1:24" x14ac:dyDescent="0.2">
      <c r="A140" s="8">
        <v>69</v>
      </c>
      <c r="B140" s="8">
        <v>138</v>
      </c>
      <c r="D140">
        <v>341.47855530473998</v>
      </c>
      <c r="E140">
        <v>178.84574868321999</v>
      </c>
      <c r="F140">
        <v>130.14984939759</v>
      </c>
      <c r="G140">
        <v>110.25225903614999</v>
      </c>
      <c r="I140" s="9">
        <f t="shared" si="15"/>
        <v>68.593489647070001</v>
      </c>
      <c r="J140" s="9">
        <f t="shared" si="16"/>
        <v>211.32870590714998</v>
      </c>
      <c r="K140" s="9">
        <f t="shared" si="17"/>
        <v>68.593489647070001</v>
      </c>
      <c r="L140" s="10">
        <f t="shared" si="14"/>
        <v>0.32458197930387861</v>
      </c>
      <c r="M140" s="10">
        <f t="shared" si="18"/>
        <v>0.36460167300491697</v>
      </c>
      <c r="P140" s="8">
        <f t="shared" si="19"/>
        <v>-18.349896656154378</v>
      </c>
      <c r="X140" s="8">
        <v>-13</v>
      </c>
    </row>
    <row r="141" spans="1:24" x14ac:dyDescent="0.2">
      <c r="A141" s="8">
        <v>69.5</v>
      </c>
      <c r="B141" s="8">
        <v>139</v>
      </c>
      <c r="D141">
        <v>347.31235955056002</v>
      </c>
      <c r="E141">
        <v>179.96554307116</v>
      </c>
      <c r="F141">
        <v>130.10768072289</v>
      </c>
      <c r="G141">
        <v>110.33960843374</v>
      </c>
      <c r="I141" s="9">
        <f t="shared" si="15"/>
        <v>69.625934637420002</v>
      </c>
      <c r="J141" s="9">
        <f t="shared" si="16"/>
        <v>217.20467882767002</v>
      </c>
      <c r="K141" s="9">
        <f t="shared" si="17"/>
        <v>69.625934637420002</v>
      </c>
      <c r="L141" s="10">
        <f t="shared" si="14"/>
        <v>0.32055448811331155</v>
      </c>
      <c r="M141" s="10">
        <f t="shared" si="18"/>
        <v>0.36086417959479222</v>
      </c>
      <c r="P141" s="8">
        <f t="shared" si="19"/>
        <v>-19.186883279579753</v>
      </c>
      <c r="X141" s="8">
        <v>-13</v>
      </c>
    </row>
    <row r="142" spans="1:24" x14ac:dyDescent="0.2">
      <c r="A142" s="8">
        <v>70</v>
      </c>
      <c r="B142" s="8">
        <v>140</v>
      </c>
      <c r="D142">
        <v>344.24269662921</v>
      </c>
      <c r="E142">
        <v>177.07116104868999</v>
      </c>
      <c r="F142">
        <v>129.86144578312999</v>
      </c>
      <c r="G142">
        <v>110.20481927711</v>
      </c>
      <c r="I142" s="9">
        <f t="shared" si="15"/>
        <v>66.866341771579982</v>
      </c>
      <c r="J142" s="9">
        <f t="shared" si="16"/>
        <v>214.38125084608001</v>
      </c>
      <c r="K142" s="9">
        <f t="shared" si="17"/>
        <v>66.866341771579982</v>
      </c>
      <c r="L142" s="10">
        <f t="shared" si="14"/>
        <v>0.31190386989386598</v>
      </c>
      <c r="M142" s="10">
        <f t="shared" si="18"/>
        <v>0.35250355915578896</v>
      </c>
      <c r="P142" s="8">
        <f t="shared" si="19"/>
        <v>-21.059188245262337</v>
      </c>
      <c r="X142" s="8">
        <v>-13</v>
      </c>
    </row>
    <row r="143" spans="1:24" x14ac:dyDescent="0.2">
      <c r="A143" s="8">
        <v>70.5</v>
      </c>
      <c r="B143" s="8">
        <v>141</v>
      </c>
      <c r="D143">
        <v>346.02846441947997</v>
      </c>
      <c r="E143">
        <v>178.06292134832</v>
      </c>
      <c r="F143">
        <v>130.33659638553999</v>
      </c>
      <c r="G143">
        <v>110.21912650602</v>
      </c>
      <c r="I143" s="9">
        <f t="shared" si="15"/>
        <v>67.843794842299999</v>
      </c>
      <c r="J143" s="9">
        <f t="shared" si="16"/>
        <v>215.69186803393998</v>
      </c>
      <c r="K143" s="9">
        <f t="shared" si="17"/>
        <v>67.843794842299999</v>
      </c>
      <c r="L143" s="10">
        <f t="shared" si="14"/>
        <v>0.31454034619248838</v>
      </c>
      <c r="M143" s="10">
        <f t="shared" si="18"/>
        <v>0.35543003323485367</v>
      </c>
      <c r="P143" s="8">
        <f t="shared" si="19"/>
        <v>-20.403823970547403</v>
      </c>
      <c r="X143" s="8">
        <v>-13</v>
      </c>
    </row>
    <row r="144" spans="1:24" x14ac:dyDescent="0.2">
      <c r="A144" s="8">
        <v>71</v>
      </c>
      <c r="B144" s="8">
        <v>142</v>
      </c>
      <c r="D144">
        <v>347.36179775280999</v>
      </c>
      <c r="E144">
        <v>178.30112359551001</v>
      </c>
      <c r="F144">
        <v>129.84563253012001</v>
      </c>
      <c r="G144">
        <v>110.25301204819</v>
      </c>
      <c r="I144" s="9">
        <f t="shared" si="15"/>
        <v>68.048111547320005</v>
      </c>
      <c r="J144" s="9">
        <f t="shared" si="16"/>
        <v>217.51616522268998</v>
      </c>
      <c r="K144" s="9">
        <f t="shared" si="17"/>
        <v>68.048111547320005</v>
      </c>
      <c r="L144" s="10">
        <f t="shared" si="14"/>
        <v>0.31284162939178939</v>
      </c>
      <c r="M144" s="10">
        <f t="shared" si="18"/>
        <v>0.35402131421459698</v>
      </c>
      <c r="P144" s="8">
        <f t="shared" si="19"/>
        <v>-20.719297162533685</v>
      </c>
    </row>
    <row r="145" spans="1:16" x14ac:dyDescent="0.2">
      <c r="A145" s="8">
        <v>71.5</v>
      </c>
      <c r="B145" s="8">
        <v>143</v>
      </c>
      <c r="D145">
        <v>361.92174567344</v>
      </c>
      <c r="E145">
        <v>183.82317531979001</v>
      </c>
      <c r="F145">
        <v>129.77259036145</v>
      </c>
      <c r="G145">
        <v>110.00978915663001</v>
      </c>
      <c r="I145" s="9">
        <f t="shared" si="15"/>
        <v>73.813386163160004</v>
      </c>
      <c r="J145" s="9">
        <f t="shared" si="16"/>
        <v>232.14915531199</v>
      </c>
      <c r="K145" s="9">
        <f t="shared" si="17"/>
        <v>73.813386163160004</v>
      </c>
      <c r="L145" s="10">
        <f t="shared" si="14"/>
        <v>0.31795672943095865</v>
      </c>
      <c r="M145" s="10">
        <f t="shared" si="18"/>
        <v>0.35942641203420855</v>
      </c>
      <c r="P145" s="8">
        <f t="shared" si="19"/>
        <v>-19.508861697666998</v>
      </c>
    </row>
    <row r="146" spans="1:16" x14ac:dyDescent="0.2">
      <c r="A146" s="8">
        <v>72</v>
      </c>
      <c r="B146" s="8">
        <v>144</v>
      </c>
      <c r="D146">
        <v>354.97592174567001</v>
      </c>
      <c r="E146">
        <v>180.52595936795001</v>
      </c>
      <c r="F146">
        <v>130.21310240963999</v>
      </c>
      <c r="G146">
        <v>110.03313253012</v>
      </c>
      <c r="I146" s="9">
        <f t="shared" si="15"/>
        <v>70.492826837830009</v>
      </c>
      <c r="J146" s="9">
        <f t="shared" si="16"/>
        <v>224.76281933603002</v>
      </c>
      <c r="K146" s="9">
        <f t="shared" si="17"/>
        <v>70.492826837830009</v>
      </c>
      <c r="L146" s="10">
        <f t="shared" si="14"/>
        <v>0.31363206355068995</v>
      </c>
      <c r="M146" s="10">
        <f t="shared" si="18"/>
        <v>0.35539174393438216</v>
      </c>
      <c r="P146" s="8">
        <f t="shared" si="19"/>
        <v>-20.412398603007798</v>
      </c>
    </row>
    <row r="147" spans="1:16" x14ac:dyDescent="0.2">
      <c r="A147" s="8">
        <v>72.5</v>
      </c>
      <c r="B147" s="8">
        <v>145</v>
      </c>
      <c r="D147">
        <v>328.51047904192001</v>
      </c>
      <c r="E147">
        <v>174.03817365270001</v>
      </c>
      <c r="F147">
        <v>129.72816265060001</v>
      </c>
      <c r="G147">
        <v>110.23945783133</v>
      </c>
      <c r="I147" s="9">
        <f t="shared" si="15"/>
        <v>63.79871582137001</v>
      </c>
      <c r="J147" s="9">
        <f t="shared" si="16"/>
        <v>198.78231639131999</v>
      </c>
      <c r="K147" s="9">
        <f t="shared" si="17"/>
        <v>63.79871582137001</v>
      </c>
      <c r="L147" s="10">
        <f t="shared" si="14"/>
        <v>0.32094764252458341</v>
      </c>
      <c r="M147" s="10">
        <f t="shared" si="18"/>
        <v>0.36299732068871793</v>
      </c>
      <c r="P147" s="8">
        <f t="shared" si="19"/>
        <v>-18.709180614831723</v>
      </c>
    </row>
    <row r="148" spans="1:16" x14ac:dyDescent="0.2">
      <c r="A148" s="8">
        <v>73</v>
      </c>
      <c r="B148" s="8">
        <v>146</v>
      </c>
      <c r="D148">
        <v>326.43380703066998</v>
      </c>
      <c r="E148">
        <v>174.88332086761</v>
      </c>
      <c r="F148">
        <v>130.58207831325001</v>
      </c>
      <c r="G148">
        <v>110.21611445783</v>
      </c>
      <c r="I148" s="9">
        <f t="shared" si="15"/>
        <v>64.667206409779993</v>
      </c>
      <c r="J148" s="9">
        <f t="shared" si="16"/>
        <v>195.85172871741997</v>
      </c>
      <c r="K148" s="9">
        <f t="shared" si="17"/>
        <v>64.667206409779993</v>
      </c>
      <c r="L148" s="10">
        <f t="shared" si="14"/>
        <v>0.33018450658193343</v>
      </c>
      <c r="M148" s="10">
        <f t="shared" si="18"/>
        <v>0.37252418252651026</v>
      </c>
      <c r="P148" s="8">
        <f t="shared" si="19"/>
        <v>-16.575703696891768</v>
      </c>
    </row>
    <row r="149" spans="1:16" x14ac:dyDescent="0.2">
      <c r="A149" s="8">
        <v>73.5</v>
      </c>
      <c r="B149" s="8">
        <v>147</v>
      </c>
      <c r="D149">
        <v>358.75862068966001</v>
      </c>
      <c r="E149">
        <v>186.86656671663999</v>
      </c>
      <c r="F149">
        <v>130.02560240963999</v>
      </c>
      <c r="G149">
        <v>110.2906626506</v>
      </c>
      <c r="I149" s="9">
        <f t="shared" si="15"/>
        <v>76.575904066039996</v>
      </c>
      <c r="J149" s="9">
        <f t="shared" si="16"/>
        <v>228.73301828002002</v>
      </c>
      <c r="K149" s="9">
        <f t="shared" si="17"/>
        <v>76.575904066039996</v>
      </c>
      <c r="L149" s="10">
        <f t="shared" si="14"/>
        <v>0.33478290384947434</v>
      </c>
      <c r="M149" s="10">
        <f t="shared" si="18"/>
        <v>0.37741257757449348</v>
      </c>
      <c r="P149" s="8">
        <f t="shared" si="19"/>
        <v>-15.480980357956373</v>
      </c>
    </row>
    <row r="150" spans="1:16" x14ac:dyDescent="0.2">
      <c r="A150" s="8">
        <v>74</v>
      </c>
      <c r="B150" s="8">
        <v>148</v>
      </c>
      <c r="D150">
        <v>357.12743628186001</v>
      </c>
      <c r="E150">
        <v>185.52998500749999</v>
      </c>
      <c r="F150">
        <v>129.94201807229001</v>
      </c>
      <c r="G150">
        <v>110.01957831324999</v>
      </c>
      <c r="I150" s="9">
        <f t="shared" si="15"/>
        <v>75.510406694249994</v>
      </c>
      <c r="J150" s="9">
        <f t="shared" si="16"/>
        <v>227.18541820957</v>
      </c>
      <c r="K150" s="9">
        <f t="shared" si="17"/>
        <v>75.510406694249994</v>
      </c>
      <c r="L150" s="10">
        <f t="shared" si="14"/>
        <v>0.33237347400788936</v>
      </c>
      <c r="M150" s="10">
        <f t="shared" si="18"/>
        <v>0.3752931455133508</v>
      </c>
      <c r="P150" s="8">
        <f t="shared" si="19"/>
        <v>-15.955612976606551</v>
      </c>
    </row>
    <row r="151" spans="1:16" x14ac:dyDescent="0.2">
      <c r="A151" s="8">
        <v>74.5</v>
      </c>
      <c r="B151" s="8">
        <v>149</v>
      </c>
      <c r="D151">
        <v>359.34379671150998</v>
      </c>
      <c r="E151">
        <v>185.29073243646999</v>
      </c>
      <c r="F151">
        <v>130.17695783132999</v>
      </c>
      <c r="G151">
        <v>110.62198795181</v>
      </c>
      <c r="I151" s="9">
        <f t="shared" si="15"/>
        <v>74.668744484659996</v>
      </c>
      <c r="J151" s="9">
        <f t="shared" si="16"/>
        <v>229.16683888017999</v>
      </c>
      <c r="K151" s="9">
        <f t="shared" si="17"/>
        <v>74.668744484659996</v>
      </c>
      <c r="L151" s="10">
        <f t="shared" si="14"/>
        <v>0.3258270038087866</v>
      </c>
      <c r="M151" s="10">
        <f t="shared" si="18"/>
        <v>0.36903667309469035</v>
      </c>
      <c r="P151" s="8">
        <f t="shared" si="19"/>
        <v>-17.356708082236132</v>
      </c>
    </row>
    <row r="152" spans="1:16" x14ac:dyDescent="0.2">
      <c r="A152" s="8">
        <v>75</v>
      </c>
      <c r="B152" s="8">
        <v>150</v>
      </c>
      <c r="D152">
        <v>370.16279069767</v>
      </c>
      <c r="E152">
        <v>188.10352588147001</v>
      </c>
      <c r="F152">
        <v>129.94879518072</v>
      </c>
      <c r="G152">
        <v>109.72665662651001</v>
      </c>
      <c r="I152" s="9">
        <f t="shared" si="15"/>
        <v>78.376869254959999</v>
      </c>
      <c r="J152" s="9">
        <f t="shared" si="16"/>
        <v>240.21399551695001</v>
      </c>
      <c r="K152" s="9">
        <f t="shared" si="17"/>
        <v>78.376869254959999</v>
      </c>
      <c r="L152" s="10">
        <f t="shared" si="14"/>
        <v>0.32627936222570997</v>
      </c>
      <c r="M152" s="10">
        <f t="shared" si="18"/>
        <v>0.36977902929205603</v>
      </c>
      <c r="P152" s="8">
        <f t="shared" si="19"/>
        <v>-17.190462382557087</v>
      </c>
    </row>
    <row r="153" spans="1:16" x14ac:dyDescent="0.2">
      <c r="A153" s="8">
        <v>75.5</v>
      </c>
      <c r="B153" s="8">
        <v>151</v>
      </c>
      <c r="D153">
        <v>383.56469708302001</v>
      </c>
      <c r="E153">
        <v>193.49962602842001</v>
      </c>
      <c r="F153">
        <v>129.84713855422001</v>
      </c>
      <c r="G153">
        <v>110.16415662651001</v>
      </c>
      <c r="I153" s="9">
        <f t="shared" si="15"/>
        <v>83.335469401910004</v>
      </c>
      <c r="J153" s="9">
        <f t="shared" si="16"/>
        <v>253.7175585288</v>
      </c>
      <c r="K153" s="9">
        <f t="shared" si="17"/>
        <v>83.335469401910004</v>
      </c>
      <c r="L153" s="10">
        <f t="shared" si="14"/>
        <v>0.32845763566832692</v>
      </c>
      <c r="M153" s="10">
        <f t="shared" si="18"/>
        <v>0.37224730051511529</v>
      </c>
      <c r="P153" s="8">
        <f t="shared" si="19"/>
        <v>-16.637709569377563</v>
      </c>
    </row>
    <row r="154" spans="1:16" x14ac:dyDescent="0.2">
      <c r="A154" s="8">
        <v>76</v>
      </c>
      <c r="B154" s="8">
        <v>152</v>
      </c>
      <c r="D154">
        <v>386.70605833957001</v>
      </c>
      <c r="E154">
        <v>194.70306656694001</v>
      </c>
      <c r="F154">
        <v>129.98569277108001</v>
      </c>
      <c r="G154">
        <v>109.86295180723</v>
      </c>
      <c r="I154" s="9">
        <f t="shared" si="15"/>
        <v>84.840114759710005</v>
      </c>
      <c r="J154" s="9">
        <f t="shared" si="16"/>
        <v>256.72036556849002</v>
      </c>
      <c r="K154" s="9">
        <f t="shared" si="17"/>
        <v>84.840114759710005</v>
      </c>
      <c r="L154" s="10">
        <f t="shared" si="14"/>
        <v>0.3304767604698492</v>
      </c>
      <c r="M154" s="10">
        <f t="shared" si="18"/>
        <v>0.37455642309707987</v>
      </c>
      <c r="P154" s="8">
        <f t="shared" si="19"/>
        <v>-16.12059702873249</v>
      </c>
    </row>
    <row r="155" spans="1:16" x14ac:dyDescent="0.2">
      <c r="A155" s="8">
        <v>76.5</v>
      </c>
      <c r="B155" s="8">
        <v>153</v>
      </c>
      <c r="D155">
        <v>389.24382946895997</v>
      </c>
      <c r="E155">
        <v>195.34106207927999</v>
      </c>
      <c r="F155">
        <v>130.20707831325001</v>
      </c>
      <c r="G155">
        <v>110.26656626506001</v>
      </c>
      <c r="I155" s="9">
        <f t="shared" si="15"/>
        <v>85.074495814219986</v>
      </c>
      <c r="J155" s="9">
        <f t="shared" si="16"/>
        <v>259.03675115570996</v>
      </c>
      <c r="K155" s="9">
        <f t="shared" si="17"/>
        <v>85.074495814219986</v>
      </c>
      <c r="L155" s="10">
        <f t="shared" si="14"/>
        <v>0.32842635430939576</v>
      </c>
      <c r="M155" s="10">
        <f t="shared" si="18"/>
        <v>0.37279601471706875</v>
      </c>
      <c r="P155" s="8">
        <f t="shared" si="19"/>
        <v>-16.514828697969353</v>
      </c>
    </row>
    <row r="156" spans="1:16" x14ac:dyDescent="0.2">
      <c r="A156" s="8">
        <v>77</v>
      </c>
      <c r="B156" s="8">
        <v>154</v>
      </c>
      <c r="D156">
        <v>381.01795063575003</v>
      </c>
      <c r="E156">
        <v>192.24457741212001</v>
      </c>
      <c r="F156">
        <v>130.18975903615001</v>
      </c>
      <c r="G156">
        <v>109.93298192771</v>
      </c>
      <c r="I156" s="9">
        <f t="shared" si="15"/>
        <v>82.311595484410006</v>
      </c>
      <c r="J156" s="9">
        <f t="shared" si="16"/>
        <v>250.82819159960002</v>
      </c>
      <c r="K156" s="9">
        <f t="shared" si="17"/>
        <v>82.311595484410006</v>
      </c>
      <c r="L156" s="10">
        <f t="shared" si="14"/>
        <v>0.32815926694478176</v>
      </c>
      <c r="M156" s="10">
        <f t="shared" si="18"/>
        <v>0.37281892513289705</v>
      </c>
      <c r="P156" s="8">
        <f t="shared" si="19"/>
        <v>-16.509698063749784</v>
      </c>
    </row>
    <row r="157" spans="1:16" x14ac:dyDescent="0.2">
      <c r="A157" s="8">
        <v>77.5</v>
      </c>
      <c r="B157" s="8">
        <v>155</v>
      </c>
      <c r="D157">
        <v>352.52395209580999</v>
      </c>
      <c r="E157">
        <v>184.38323353293001</v>
      </c>
      <c r="F157">
        <v>129.9811746988</v>
      </c>
      <c r="G157">
        <v>110.17168674699001</v>
      </c>
      <c r="I157" s="9">
        <f t="shared" si="15"/>
        <v>74.211546785940001</v>
      </c>
      <c r="J157" s="9">
        <f t="shared" si="16"/>
        <v>222.54277739700998</v>
      </c>
      <c r="K157" s="9">
        <f t="shared" si="17"/>
        <v>74.211546785940001</v>
      </c>
      <c r="L157" s="10">
        <f t="shared" si="14"/>
        <v>0.33347092929261285</v>
      </c>
      <c r="M157" s="10">
        <f t="shared" si="18"/>
        <v>0.37842058526117045</v>
      </c>
      <c r="P157" s="8">
        <f t="shared" si="19"/>
        <v>-15.25524378601405</v>
      </c>
    </row>
    <row r="158" spans="1:16" x14ac:dyDescent="0.2">
      <c r="A158" s="8">
        <v>78</v>
      </c>
      <c r="B158" s="8">
        <v>156</v>
      </c>
      <c r="D158">
        <v>346.66467958270999</v>
      </c>
      <c r="E158">
        <v>187.31594634872999</v>
      </c>
      <c r="F158">
        <v>129.63554216867999</v>
      </c>
      <c r="G158">
        <v>110.16792168675001</v>
      </c>
      <c r="I158" s="9">
        <f t="shared" si="15"/>
        <v>77.148024661979989</v>
      </c>
      <c r="J158" s="9">
        <f t="shared" si="16"/>
        <v>217.02913741403</v>
      </c>
      <c r="K158" s="9">
        <f t="shared" si="17"/>
        <v>77.148024661979989</v>
      </c>
      <c r="L158" s="10">
        <f t="shared" si="14"/>
        <v>0.35547312025114608</v>
      </c>
      <c r="M158" s="10">
        <f t="shared" si="18"/>
        <v>0.40071277400014599</v>
      </c>
      <c r="P158" s="8">
        <f t="shared" si="19"/>
        <v>-10.263057383530599</v>
      </c>
    </row>
    <row r="159" spans="1:16" x14ac:dyDescent="0.2">
      <c r="A159" s="8">
        <v>78.5</v>
      </c>
      <c r="B159" s="8">
        <v>157</v>
      </c>
      <c r="D159">
        <v>350.71460506706001</v>
      </c>
      <c r="E159">
        <v>191.3956780924</v>
      </c>
      <c r="F159">
        <v>129.43674698794999</v>
      </c>
      <c r="G159">
        <v>110.17243975904</v>
      </c>
      <c r="I159" s="9">
        <f t="shared" si="15"/>
        <v>81.223238333360001</v>
      </c>
      <c r="J159" s="9">
        <f t="shared" si="16"/>
        <v>221.27785807911002</v>
      </c>
      <c r="K159" s="9">
        <f t="shared" si="17"/>
        <v>81.223238333360001</v>
      </c>
      <c r="L159" s="10">
        <f t="shared" si="14"/>
        <v>0.36706446383045488</v>
      </c>
      <c r="M159" s="10">
        <f t="shared" si="18"/>
        <v>0.4125941153598971</v>
      </c>
      <c r="P159" s="8">
        <f t="shared" si="19"/>
        <v>-7.6023105419380688</v>
      </c>
    </row>
    <row r="160" spans="1:16" x14ac:dyDescent="0.2">
      <c r="A160" s="8">
        <v>79</v>
      </c>
      <c r="B160" s="8">
        <v>158</v>
      </c>
      <c r="D160">
        <v>350.69597615498998</v>
      </c>
      <c r="E160">
        <v>191.44783904619999</v>
      </c>
      <c r="F160">
        <v>129.67319277108001</v>
      </c>
      <c r="G160">
        <v>110.06927710843</v>
      </c>
      <c r="I160" s="9">
        <f t="shared" si="15"/>
        <v>81.378561937769987</v>
      </c>
      <c r="J160" s="9">
        <f t="shared" si="16"/>
        <v>221.02278338390997</v>
      </c>
      <c r="K160" s="9">
        <f t="shared" si="17"/>
        <v>81.378561937769987</v>
      </c>
      <c r="L160" s="10">
        <f t="shared" si="14"/>
        <v>0.36819082943326192</v>
      </c>
      <c r="M160" s="10">
        <f t="shared" si="18"/>
        <v>0.41401047874314645</v>
      </c>
      <c r="P160" s="8">
        <f t="shared" si="19"/>
        <v>-7.2851254460452459</v>
      </c>
    </row>
    <row r="161" spans="1:16" x14ac:dyDescent="0.2">
      <c r="A161" s="8">
        <v>79.5</v>
      </c>
      <c r="B161" s="8">
        <v>159</v>
      </c>
      <c r="D161">
        <v>354.07824143070002</v>
      </c>
      <c r="E161">
        <v>192.60059612519001</v>
      </c>
      <c r="F161">
        <v>129.92996987952</v>
      </c>
      <c r="G161">
        <v>110.35466867469999</v>
      </c>
      <c r="I161" s="9">
        <f t="shared" si="15"/>
        <v>82.245927450490015</v>
      </c>
      <c r="J161" s="9">
        <f t="shared" si="16"/>
        <v>224.14827155118002</v>
      </c>
      <c r="K161" s="9">
        <f t="shared" si="17"/>
        <v>82.245927450490015</v>
      </c>
      <c r="L161" s="10">
        <f t="shared" si="14"/>
        <v>0.36692644061594165</v>
      </c>
      <c r="M161" s="10">
        <f t="shared" si="18"/>
        <v>0.41303608770626848</v>
      </c>
      <c r="P161" s="8">
        <f t="shared" si="19"/>
        <v>-7.5033337943578156</v>
      </c>
    </row>
    <row r="162" spans="1:16" x14ac:dyDescent="0.2">
      <c r="A162" s="8">
        <v>80</v>
      </c>
      <c r="B162" s="4">
        <v>160</v>
      </c>
      <c r="C162" s="4" t="s">
        <v>6</v>
      </c>
      <c r="D162">
        <v>353.50074515647998</v>
      </c>
      <c r="E162">
        <v>192.84873323398</v>
      </c>
      <c r="F162">
        <v>129.90737951807</v>
      </c>
      <c r="G162">
        <v>110.26807228916</v>
      </c>
      <c r="H162" s="4"/>
      <c r="I162" s="5">
        <f t="shared" si="15"/>
        <v>82.580660944819996</v>
      </c>
      <c r="J162" s="5">
        <f t="shared" si="16"/>
        <v>223.59336563840998</v>
      </c>
      <c r="K162" s="9">
        <f t="shared" si="17"/>
        <v>82.580660944819996</v>
      </c>
      <c r="L162" s="6">
        <f t="shared" si="14"/>
        <v>0.3693341289847013</v>
      </c>
      <c r="M162" s="6">
        <f t="shared" si="18"/>
        <v>0.41573377385547039</v>
      </c>
      <c r="N162" s="4"/>
      <c r="O162" s="4"/>
      <c r="P162" s="4">
        <f t="shared" si="19"/>
        <v>-6.8992050446012945</v>
      </c>
    </row>
    <row r="163" spans="1:16" x14ac:dyDescent="0.2">
      <c r="A163" s="8">
        <v>80.5</v>
      </c>
      <c r="B163" s="8">
        <v>161</v>
      </c>
      <c r="D163">
        <v>372.38760268856998</v>
      </c>
      <c r="E163">
        <v>196.17998506347999</v>
      </c>
      <c r="F163">
        <v>129.98418674698999</v>
      </c>
      <c r="G163">
        <v>110.08358433735</v>
      </c>
      <c r="I163" s="9">
        <f t="shared" si="15"/>
        <v>86.096400726129986</v>
      </c>
      <c r="J163" s="9">
        <f t="shared" si="16"/>
        <v>242.40341594157999</v>
      </c>
      <c r="K163" s="9">
        <f t="shared" si="17"/>
        <v>86.096400726129986</v>
      </c>
      <c r="L163" s="10">
        <f t="shared" si="14"/>
        <v>0.35517816608194785</v>
      </c>
      <c r="M163" s="10">
        <f t="shared" si="18"/>
        <v>0.4018678087331593</v>
      </c>
      <c r="P163" s="8">
        <f t="shared" si="19"/>
        <v>-10.004395089035324</v>
      </c>
    </row>
    <row r="164" spans="1:16" x14ac:dyDescent="0.2">
      <c r="A164" s="8">
        <v>81</v>
      </c>
      <c r="B164" s="8">
        <v>162</v>
      </c>
      <c r="D164">
        <v>385.34283570893001</v>
      </c>
      <c r="E164">
        <v>198.33533383346</v>
      </c>
      <c r="F164">
        <v>129.28990963855</v>
      </c>
      <c r="G164">
        <v>110.07981927711</v>
      </c>
      <c r="I164" s="9">
        <f t="shared" si="15"/>
        <v>88.255514556349993</v>
      </c>
      <c r="J164" s="9">
        <f t="shared" si="16"/>
        <v>256.05292607038001</v>
      </c>
      <c r="K164" s="9">
        <f t="shared" si="17"/>
        <v>88.255514556349993</v>
      </c>
      <c r="L164" s="10">
        <f t="shared" si="14"/>
        <v>0.34467684439619189</v>
      </c>
      <c r="M164" s="10">
        <f t="shared" si="18"/>
        <v>0.39165648482784565</v>
      </c>
      <c r="P164" s="8">
        <f t="shared" si="19"/>
        <v>-12.291152703927279</v>
      </c>
    </row>
    <row r="165" spans="1:16" x14ac:dyDescent="0.2">
      <c r="A165" s="8">
        <v>81.5</v>
      </c>
      <c r="B165" s="8">
        <v>163</v>
      </c>
      <c r="D165">
        <v>386.19714070729998</v>
      </c>
      <c r="E165">
        <v>196.57110609481001</v>
      </c>
      <c r="F165">
        <v>129.60015060241</v>
      </c>
      <c r="G165">
        <v>110.11671686747</v>
      </c>
      <c r="I165" s="9">
        <f t="shared" si="15"/>
        <v>86.454389227340002</v>
      </c>
      <c r="J165" s="9">
        <f t="shared" si="16"/>
        <v>256.59699010488998</v>
      </c>
      <c r="K165" s="9">
        <f t="shared" si="17"/>
        <v>86.454389227340002</v>
      </c>
      <c r="L165" s="10">
        <f t="shared" si="14"/>
        <v>0.33692674723892813</v>
      </c>
      <c r="M165" s="10">
        <f t="shared" si="18"/>
        <v>0.38419638545102419</v>
      </c>
      <c r="P165" s="8">
        <f t="shared" si="19"/>
        <v>-13.961792007506713</v>
      </c>
    </row>
    <row r="166" spans="1:16" x14ac:dyDescent="0.2">
      <c r="A166" s="8">
        <v>82</v>
      </c>
      <c r="B166" s="8">
        <v>164</v>
      </c>
      <c r="D166">
        <v>376.51467268623003</v>
      </c>
      <c r="E166">
        <v>192.92174567344</v>
      </c>
      <c r="F166">
        <v>130.23870481928</v>
      </c>
      <c r="G166">
        <v>109.98945783133</v>
      </c>
      <c r="I166" s="9">
        <f t="shared" si="15"/>
        <v>82.93228784211</v>
      </c>
      <c r="J166" s="9">
        <f t="shared" si="16"/>
        <v>246.27596786695003</v>
      </c>
      <c r="K166" s="9">
        <f t="shared" si="17"/>
        <v>82.93228784211</v>
      </c>
      <c r="L166" s="10">
        <f t="shared" si="14"/>
        <v>0.33674535343584139</v>
      </c>
      <c r="M166" s="10">
        <f t="shared" si="18"/>
        <v>0.38430498942837976</v>
      </c>
      <c r="P166" s="8">
        <f t="shared" si="19"/>
        <v>-13.937470873976105</v>
      </c>
    </row>
    <row r="167" spans="1:16" x14ac:dyDescent="0.2">
      <c r="A167" s="8">
        <v>82.5</v>
      </c>
      <c r="B167" s="8">
        <v>165</v>
      </c>
      <c r="D167">
        <v>365.02320359280998</v>
      </c>
      <c r="E167">
        <v>191.40344311377001</v>
      </c>
      <c r="F167">
        <v>130.03614457831</v>
      </c>
      <c r="G167">
        <v>109.98192771084</v>
      </c>
      <c r="I167" s="9">
        <f t="shared" si="15"/>
        <v>81.421515402930012</v>
      </c>
      <c r="J167" s="9">
        <f t="shared" si="16"/>
        <v>234.98705901449998</v>
      </c>
      <c r="K167" s="9">
        <f t="shared" si="17"/>
        <v>81.421515402930012</v>
      </c>
      <c r="L167" s="10">
        <f t="shared" si="14"/>
        <v>0.34649361434795378</v>
      </c>
      <c r="M167" s="10">
        <f t="shared" si="18"/>
        <v>0.39434324812093446</v>
      </c>
      <c r="P167" s="8">
        <f t="shared" si="19"/>
        <v>-11.689470054659253</v>
      </c>
    </row>
    <row r="168" spans="1:16" x14ac:dyDescent="0.2">
      <c r="A168" s="8">
        <v>83</v>
      </c>
      <c r="B168" s="8">
        <v>166</v>
      </c>
      <c r="D168">
        <v>368.99101796407001</v>
      </c>
      <c r="E168">
        <v>192.48353293413001</v>
      </c>
      <c r="F168">
        <v>130.04292168674999</v>
      </c>
      <c r="G168">
        <v>110.03765060241</v>
      </c>
      <c r="I168" s="9">
        <f t="shared" si="15"/>
        <v>82.445882331720014</v>
      </c>
      <c r="J168" s="9">
        <f t="shared" si="16"/>
        <v>238.94809627732002</v>
      </c>
      <c r="K168" s="9">
        <f t="shared" si="17"/>
        <v>82.445882331720014</v>
      </c>
      <c r="L168" s="10">
        <f t="shared" si="14"/>
        <v>0.3450367825321965</v>
      </c>
      <c r="M168" s="10">
        <f t="shared" si="18"/>
        <v>0.39317641408561943</v>
      </c>
      <c r="P168" s="8">
        <f t="shared" si="19"/>
        <v>-11.9507747238984</v>
      </c>
    </row>
    <row r="169" spans="1:16" x14ac:dyDescent="0.2">
      <c r="A169" s="8">
        <v>83.5</v>
      </c>
      <c r="B169" s="8">
        <v>167</v>
      </c>
      <c r="D169">
        <v>351.60179640719002</v>
      </c>
      <c r="E169">
        <v>188.58008982036</v>
      </c>
      <c r="F169">
        <v>129.99246987952</v>
      </c>
      <c r="G169">
        <v>110.35391566265</v>
      </c>
      <c r="I169" s="9">
        <f t="shared" si="15"/>
        <v>78.226174157710005</v>
      </c>
      <c r="J169" s="9">
        <f t="shared" si="16"/>
        <v>221.60932652767002</v>
      </c>
      <c r="K169" s="9">
        <f t="shared" si="17"/>
        <v>78.226174157710005</v>
      </c>
      <c r="L169" s="10">
        <f t="shared" si="14"/>
        <v>0.35299134464876741</v>
      </c>
      <c r="M169" s="10">
        <f t="shared" si="18"/>
        <v>0.40142097398263266</v>
      </c>
      <c r="P169" s="8">
        <f t="shared" si="19"/>
        <v>-10.104460739468117</v>
      </c>
    </row>
    <row r="170" spans="1:16" x14ac:dyDescent="0.2">
      <c r="A170" s="8">
        <v>84</v>
      </c>
      <c r="B170" s="8">
        <v>168</v>
      </c>
      <c r="D170">
        <v>359.88622754491001</v>
      </c>
      <c r="E170">
        <v>197.69311377246001</v>
      </c>
      <c r="F170">
        <v>129.81024096386</v>
      </c>
      <c r="G170">
        <v>110.33659638554001</v>
      </c>
      <c r="I170" s="9">
        <f t="shared" si="15"/>
        <v>87.356517386920004</v>
      </c>
      <c r="J170" s="9">
        <f t="shared" si="16"/>
        <v>230.07598658105002</v>
      </c>
      <c r="K170" s="9">
        <f t="shared" si="17"/>
        <v>87.356517386920004</v>
      </c>
      <c r="L170" s="10">
        <f t="shared" si="14"/>
        <v>0.37968550601497253</v>
      </c>
      <c r="M170" s="10">
        <f t="shared" si="18"/>
        <v>0.42840513312928008</v>
      </c>
      <c r="P170" s="8">
        <f t="shared" si="19"/>
        <v>-4.0615389810130313</v>
      </c>
    </row>
    <row r="171" spans="1:16" x14ac:dyDescent="0.2">
      <c r="A171" s="8">
        <v>84.5</v>
      </c>
      <c r="B171" s="8">
        <v>169</v>
      </c>
      <c r="D171">
        <v>348.71428571428999</v>
      </c>
      <c r="E171">
        <v>195.55048616305001</v>
      </c>
      <c r="F171">
        <v>129.97439759036001</v>
      </c>
      <c r="G171">
        <v>110.25376506024</v>
      </c>
      <c r="I171" s="9">
        <f t="shared" si="15"/>
        <v>85.296721102810011</v>
      </c>
      <c r="J171" s="9">
        <f t="shared" si="16"/>
        <v>218.73988812392997</v>
      </c>
      <c r="K171" s="9">
        <f t="shared" si="17"/>
        <v>85.296721102810011</v>
      </c>
      <c r="L171" s="10">
        <f t="shared" si="14"/>
        <v>0.38994589342792396</v>
      </c>
      <c r="M171" s="10">
        <f t="shared" si="18"/>
        <v>0.43895551832267382</v>
      </c>
      <c r="P171" s="8">
        <f t="shared" si="19"/>
        <v>-1.6988508609660331</v>
      </c>
    </row>
    <row r="172" spans="1:16" x14ac:dyDescent="0.2">
      <c r="A172" s="8">
        <v>85</v>
      </c>
      <c r="B172" s="8">
        <v>170</v>
      </c>
      <c r="D172">
        <v>346.78459237098002</v>
      </c>
      <c r="E172">
        <v>195.48092744951001</v>
      </c>
      <c r="F172">
        <v>130.15813253012001</v>
      </c>
      <c r="G172">
        <v>110.20105421687001</v>
      </c>
      <c r="I172" s="9">
        <f t="shared" si="15"/>
        <v>85.27987323264</v>
      </c>
      <c r="J172" s="9">
        <f t="shared" si="16"/>
        <v>216.62645984086001</v>
      </c>
      <c r="K172" s="9">
        <f t="shared" si="17"/>
        <v>85.27987323264</v>
      </c>
      <c r="L172" s="10">
        <f t="shared" si="14"/>
        <v>0.39367246870621914</v>
      </c>
      <c r="M172" s="10">
        <f t="shared" si="18"/>
        <v>0.4429720913814113</v>
      </c>
      <c r="P172" s="8">
        <f t="shared" si="19"/>
        <v>-0.79936621891503834</v>
      </c>
    </row>
    <row r="173" spans="1:16" x14ac:dyDescent="0.2">
      <c r="A173" s="8">
        <v>85.5</v>
      </c>
      <c r="B173" s="8">
        <v>171</v>
      </c>
      <c r="D173">
        <v>343.92146596858998</v>
      </c>
      <c r="E173">
        <v>195.94091249064999</v>
      </c>
      <c r="F173">
        <v>129.75451807229001</v>
      </c>
      <c r="G173">
        <v>110.14834337348999</v>
      </c>
      <c r="I173" s="9">
        <f t="shared" si="15"/>
        <v>85.792569117159999</v>
      </c>
      <c r="J173" s="9">
        <f t="shared" si="16"/>
        <v>214.16694789629997</v>
      </c>
      <c r="K173" s="9">
        <f t="shared" si="17"/>
        <v>85.792569117159999</v>
      </c>
      <c r="L173" s="10">
        <f t="shared" si="14"/>
        <v>0.40058734533911794</v>
      </c>
      <c r="M173" s="10">
        <f t="shared" si="18"/>
        <v>0.45017696579475242</v>
      </c>
      <c r="P173" s="8">
        <f t="shared" si="19"/>
        <v>0.81411716304628734</v>
      </c>
    </row>
    <row r="174" spans="1:16" x14ac:dyDescent="0.2">
      <c r="A174" s="8">
        <v>86</v>
      </c>
      <c r="B174" s="8">
        <v>172</v>
      </c>
      <c r="D174">
        <v>345.56320119671</v>
      </c>
      <c r="E174">
        <v>194.91623036649</v>
      </c>
      <c r="F174">
        <v>130.24397590360999</v>
      </c>
      <c r="G174">
        <v>110.27259036145</v>
      </c>
      <c r="I174" s="9">
        <f t="shared" si="15"/>
        <v>84.643640005039998</v>
      </c>
      <c r="J174" s="9">
        <f t="shared" si="16"/>
        <v>215.3192252931</v>
      </c>
      <c r="K174" s="9">
        <f t="shared" si="17"/>
        <v>84.643640005039998</v>
      </c>
      <c r="L174" s="10">
        <f t="shared" si="14"/>
        <v>0.39310767484798509</v>
      </c>
      <c r="M174" s="10">
        <f t="shared" si="18"/>
        <v>0.44298729308406187</v>
      </c>
      <c r="P174" s="8">
        <f t="shared" si="19"/>
        <v>-0.79596189939507656</v>
      </c>
    </row>
    <row r="175" spans="1:16" x14ac:dyDescent="0.2">
      <c r="A175" s="8">
        <v>86.5</v>
      </c>
      <c r="B175" s="8">
        <v>173</v>
      </c>
      <c r="D175">
        <v>362.63295880150002</v>
      </c>
      <c r="E175">
        <v>202.25692883894999</v>
      </c>
      <c r="F175">
        <v>129.96611445783</v>
      </c>
      <c r="G175">
        <v>110.01656626506001</v>
      </c>
      <c r="I175" s="9">
        <f t="shared" si="15"/>
        <v>92.240362573889982</v>
      </c>
      <c r="J175" s="9">
        <f t="shared" si="16"/>
        <v>232.66684434367002</v>
      </c>
      <c r="K175" s="9">
        <f t="shared" si="17"/>
        <v>92.240362573889982</v>
      </c>
      <c r="L175" s="10">
        <f t="shared" si="14"/>
        <v>0.39644824699492898</v>
      </c>
      <c r="M175" s="10">
        <f t="shared" si="18"/>
        <v>0.44661786301144807</v>
      </c>
      <c r="P175" s="8">
        <f t="shared" si="19"/>
        <v>1.7079926016797756E-2</v>
      </c>
    </row>
    <row r="176" spans="1:16" x14ac:dyDescent="0.2">
      <c r="A176" s="8">
        <v>87</v>
      </c>
      <c r="B176" s="8">
        <v>174</v>
      </c>
      <c r="D176">
        <v>379.85201793722001</v>
      </c>
      <c r="E176">
        <v>205.54633781763999</v>
      </c>
      <c r="F176">
        <v>130.15436746987999</v>
      </c>
      <c r="G176">
        <v>110.16490963855</v>
      </c>
      <c r="I176" s="9">
        <f t="shared" si="15"/>
        <v>95.381428179089994</v>
      </c>
      <c r="J176" s="9">
        <f t="shared" si="16"/>
        <v>249.69765046734003</v>
      </c>
      <c r="K176" s="9">
        <f t="shared" si="17"/>
        <v>95.381428179089994</v>
      </c>
      <c r="L176" s="10">
        <f t="shared" si="14"/>
        <v>0.38198768791204829</v>
      </c>
      <c r="M176" s="10">
        <f t="shared" si="18"/>
        <v>0.43244730170900969</v>
      </c>
      <c r="P176" s="8">
        <f t="shared" si="19"/>
        <v>-3.1563223934201448</v>
      </c>
    </row>
    <row r="177" spans="1:16" x14ac:dyDescent="0.2">
      <c r="A177" s="8">
        <v>87.5</v>
      </c>
      <c r="B177" s="8">
        <v>175</v>
      </c>
      <c r="D177">
        <v>376.41554559042999</v>
      </c>
      <c r="E177">
        <v>202.07698056800999</v>
      </c>
      <c r="F177">
        <v>130.09939759036001</v>
      </c>
      <c r="G177">
        <v>110.2936746988</v>
      </c>
      <c r="I177" s="9">
        <f t="shared" si="15"/>
        <v>91.783305869209983</v>
      </c>
      <c r="J177" s="9">
        <f t="shared" si="16"/>
        <v>246.31614800006997</v>
      </c>
      <c r="K177" s="9">
        <f t="shared" si="17"/>
        <v>91.783305869209983</v>
      </c>
      <c r="L177" s="10">
        <f t="shared" si="14"/>
        <v>0.37262398999997315</v>
      </c>
      <c r="M177" s="10">
        <f t="shared" si="18"/>
        <v>0.42337360157737686</v>
      </c>
      <c r="P177" s="8">
        <f t="shared" si="19"/>
        <v>-5.1883167815778082</v>
      </c>
    </row>
    <row r="178" spans="1:16" x14ac:dyDescent="0.2">
      <c r="A178" s="8">
        <v>88</v>
      </c>
      <c r="B178" s="8">
        <v>176</v>
      </c>
      <c r="D178">
        <v>351.45400149589</v>
      </c>
      <c r="E178">
        <v>190.32685115931</v>
      </c>
      <c r="F178">
        <v>129.64533132529999</v>
      </c>
      <c r="G178">
        <v>109.9359939759</v>
      </c>
      <c r="I178" s="9">
        <f t="shared" si="15"/>
        <v>80.390857183409992</v>
      </c>
      <c r="J178" s="9">
        <f t="shared" si="16"/>
        <v>221.80867017059001</v>
      </c>
      <c r="K178" s="9">
        <f t="shared" si="17"/>
        <v>80.390857183409992</v>
      </c>
      <c r="L178" s="10">
        <f t="shared" si="14"/>
        <v>0.36243334005646616</v>
      </c>
      <c r="M178" s="10">
        <f t="shared" si="18"/>
        <v>0.41347294941431217</v>
      </c>
      <c r="P178" s="8">
        <f t="shared" si="19"/>
        <v>-7.4055015400108779</v>
      </c>
    </row>
    <row r="179" spans="1:16" x14ac:dyDescent="0.2">
      <c r="A179" s="8">
        <v>88.5</v>
      </c>
      <c r="B179" s="8">
        <v>177</v>
      </c>
      <c r="D179">
        <v>350.27150336573999</v>
      </c>
      <c r="E179">
        <v>188.82348541511001</v>
      </c>
      <c r="F179">
        <v>130.02334337349001</v>
      </c>
      <c r="G179">
        <v>110.32454819277</v>
      </c>
      <c r="I179" s="9">
        <f t="shared" si="15"/>
        <v>78.498937222340018</v>
      </c>
      <c r="J179" s="9">
        <f t="shared" si="16"/>
        <v>220.24815999224998</v>
      </c>
      <c r="K179" s="9">
        <f t="shared" si="17"/>
        <v>78.498937222340018</v>
      </c>
      <c r="L179" s="10">
        <f t="shared" si="14"/>
        <v>0.35641131905529749</v>
      </c>
      <c r="M179" s="10">
        <f t="shared" si="18"/>
        <v>0.40774092619358582</v>
      </c>
      <c r="P179" s="8">
        <f t="shared" si="19"/>
        <v>-8.6891497594070568</v>
      </c>
    </row>
    <row r="180" spans="1:16" x14ac:dyDescent="0.2">
      <c r="A180" s="8">
        <v>89</v>
      </c>
      <c r="B180" s="8">
        <v>178</v>
      </c>
      <c r="D180">
        <v>357.61023325808998</v>
      </c>
      <c r="E180">
        <v>189.87057938300001</v>
      </c>
      <c r="F180">
        <v>129.8561746988</v>
      </c>
      <c r="G180">
        <v>110.22740963855</v>
      </c>
      <c r="I180" s="9">
        <f t="shared" si="15"/>
        <v>79.643169744450006</v>
      </c>
      <c r="J180" s="9">
        <f t="shared" si="16"/>
        <v>227.75405855928997</v>
      </c>
      <c r="K180" s="9">
        <f t="shared" si="17"/>
        <v>79.643169744450006</v>
      </c>
      <c r="L180" s="10">
        <f t="shared" si="14"/>
        <v>0.34968935459702</v>
      </c>
      <c r="M180" s="10">
        <f t="shared" si="18"/>
        <v>0.40130895951575063</v>
      </c>
      <c r="P180" s="8">
        <f t="shared" si="19"/>
        <v>-10.129545629291977</v>
      </c>
    </row>
    <row r="181" spans="1:16" x14ac:dyDescent="0.2">
      <c r="A181" s="8">
        <v>89.5</v>
      </c>
      <c r="B181" s="8">
        <v>179</v>
      </c>
      <c r="D181">
        <v>347.79683972911999</v>
      </c>
      <c r="E181">
        <v>186.08276899924999</v>
      </c>
      <c r="F181">
        <v>129.60466867470001</v>
      </c>
      <c r="G181">
        <v>110.22740963855</v>
      </c>
      <c r="I181" s="9">
        <f t="shared" si="15"/>
        <v>75.855359360699993</v>
      </c>
      <c r="J181" s="9">
        <f t="shared" si="16"/>
        <v>218.19217105441999</v>
      </c>
      <c r="K181" s="9">
        <f t="shared" si="17"/>
        <v>75.855359360699993</v>
      </c>
      <c r="L181" s="10">
        <f t="shared" si="14"/>
        <v>0.34765390066071927</v>
      </c>
      <c r="M181" s="10">
        <f t="shared" si="18"/>
        <v>0.39956350335989221</v>
      </c>
      <c r="P181" s="8">
        <f t="shared" si="19"/>
        <v>-10.520428848047995</v>
      </c>
    </row>
    <row r="182" spans="1:16" x14ac:dyDescent="0.2">
      <c r="A182" s="8">
        <v>90</v>
      </c>
      <c r="B182" s="8">
        <v>180</v>
      </c>
      <c r="D182">
        <v>350.27408513815999</v>
      </c>
      <c r="E182">
        <v>184.32337565347001</v>
      </c>
      <c r="F182">
        <v>129.61671686746999</v>
      </c>
      <c r="G182">
        <v>110.04216867469999</v>
      </c>
      <c r="I182" s="9">
        <f t="shared" si="15"/>
        <v>74.281206978770015</v>
      </c>
      <c r="J182" s="9">
        <f t="shared" si="16"/>
        <v>220.65736827069</v>
      </c>
      <c r="K182" s="9">
        <f t="shared" si="17"/>
        <v>74.281206978770015</v>
      </c>
      <c r="L182" s="10">
        <f t="shared" si="14"/>
        <v>0.3366359689727017</v>
      </c>
      <c r="M182" s="10">
        <f>L182+ABS($N$2)*A182</f>
        <v>0.38883556945231695</v>
      </c>
      <c r="P182" s="8">
        <f t="shared" si="19"/>
        <v>-12.922877813792738</v>
      </c>
    </row>
    <row r="183" spans="1:16" x14ac:dyDescent="0.2">
      <c r="A183" s="8">
        <v>90.5</v>
      </c>
      <c r="B183" s="8">
        <v>181</v>
      </c>
      <c r="D183">
        <v>347.38461538462002</v>
      </c>
      <c r="E183">
        <v>182.04779686333001</v>
      </c>
      <c r="F183">
        <v>130.07981927711</v>
      </c>
      <c r="G183">
        <v>110.22289156626999</v>
      </c>
      <c r="I183" s="9">
        <f t="shared" si="15"/>
        <v>71.824905297060013</v>
      </c>
      <c r="J183" s="9">
        <f t="shared" si="16"/>
        <v>217.30479610751001</v>
      </c>
      <c r="K183" s="9">
        <f t="shared" si="17"/>
        <v>71.824905297060013</v>
      </c>
      <c r="L183" s="10">
        <f t="shared" si="14"/>
        <v>0.33052609322771298</v>
      </c>
      <c r="M183" s="10">
        <f t="shared" ref="M183:M241" si="20">L183+ABS($N$2)*A183</f>
        <v>0.38301569148777054</v>
      </c>
      <c r="P183" s="8">
        <f t="shared" si="19"/>
        <v>-14.226200514803427</v>
      </c>
    </row>
    <row r="184" spans="1:16" x14ac:dyDescent="0.2">
      <c r="A184" s="8">
        <v>91</v>
      </c>
      <c r="B184" s="8">
        <v>182</v>
      </c>
      <c r="D184">
        <v>348.3286034354</v>
      </c>
      <c r="E184">
        <v>182.75802837939</v>
      </c>
      <c r="F184">
        <v>129.70632530121</v>
      </c>
      <c r="G184">
        <v>110.15286144578</v>
      </c>
      <c r="I184" s="9">
        <f t="shared" si="15"/>
        <v>72.605166933609993</v>
      </c>
      <c r="J184" s="9">
        <f t="shared" si="16"/>
        <v>218.62227813419</v>
      </c>
      <c r="K184" s="9">
        <f t="shared" si="17"/>
        <v>72.605166933609993</v>
      </c>
      <c r="L184" s="10">
        <f t="shared" si="14"/>
        <v>0.33210324013294318</v>
      </c>
      <c r="M184" s="10">
        <f t="shared" si="20"/>
        <v>0.38488283617344304</v>
      </c>
      <c r="P184" s="8">
        <f t="shared" si="19"/>
        <v>-13.808065964606186</v>
      </c>
    </row>
    <row r="185" spans="1:16" x14ac:dyDescent="0.2">
      <c r="A185" s="8">
        <v>91.5</v>
      </c>
      <c r="B185" s="8">
        <v>183</v>
      </c>
      <c r="D185">
        <v>353.95519044063002</v>
      </c>
      <c r="E185">
        <v>183.97460791635999</v>
      </c>
      <c r="F185">
        <v>129.74623493976</v>
      </c>
      <c r="G185">
        <v>110.15436746988</v>
      </c>
      <c r="I185" s="9">
        <f t="shared" si="15"/>
        <v>73.820240446479986</v>
      </c>
      <c r="J185" s="9">
        <f t="shared" si="16"/>
        <v>224.20895550087002</v>
      </c>
      <c r="K185" s="9">
        <f t="shared" si="17"/>
        <v>73.820240446479986</v>
      </c>
      <c r="L185" s="10">
        <f t="shared" si="14"/>
        <v>0.3292475105714211</v>
      </c>
      <c r="M185" s="10">
        <f t="shared" si="20"/>
        <v>0.38231710439236327</v>
      </c>
      <c r="P185" s="8">
        <f t="shared" si="19"/>
        <v>-14.382644417171125</v>
      </c>
    </row>
    <row r="186" spans="1:16" x14ac:dyDescent="0.2">
      <c r="A186" s="8">
        <v>92</v>
      </c>
      <c r="B186" s="8">
        <v>184</v>
      </c>
      <c r="D186">
        <v>354.90365944734998</v>
      </c>
      <c r="E186">
        <v>184.25616131441001</v>
      </c>
      <c r="F186">
        <v>129.95406626505999</v>
      </c>
      <c r="G186">
        <v>110.28990963855</v>
      </c>
      <c r="I186" s="9">
        <f t="shared" si="15"/>
        <v>73.966251675860008</v>
      </c>
      <c r="J186" s="9">
        <f t="shared" si="16"/>
        <v>224.94959318228999</v>
      </c>
      <c r="K186" s="9">
        <f t="shared" si="17"/>
        <v>73.966251675860008</v>
      </c>
      <c r="L186" s="10">
        <f t="shared" si="14"/>
        <v>0.32881256031399342</v>
      </c>
      <c r="M186" s="10">
        <f t="shared" si="20"/>
        <v>0.3821721519153779</v>
      </c>
      <c r="P186" s="8">
        <f t="shared" si="19"/>
        <v>-14.415105553808976</v>
      </c>
    </row>
    <row r="187" spans="1:16" x14ac:dyDescent="0.2">
      <c r="A187" s="8">
        <v>92.5</v>
      </c>
      <c r="B187" s="8">
        <v>185</v>
      </c>
      <c r="D187">
        <v>348.40029873039998</v>
      </c>
      <c r="E187">
        <v>181.11127707244</v>
      </c>
      <c r="F187">
        <v>130.02560240963999</v>
      </c>
      <c r="G187">
        <v>110.16641566265</v>
      </c>
      <c r="I187" s="9">
        <f t="shared" si="15"/>
        <v>70.944861409790008</v>
      </c>
      <c r="J187" s="9">
        <f t="shared" si="16"/>
        <v>218.37469632075999</v>
      </c>
      <c r="K187" s="9">
        <f t="shared" si="17"/>
        <v>70.944861409790008</v>
      </c>
      <c r="L187" s="10">
        <f t="shared" si="14"/>
        <v>0.324876749023992</v>
      </c>
      <c r="M187" s="10">
        <f t="shared" si="20"/>
        <v>0.37852633840581879</v>
      </c>
      <c r="P187" s="8">
        <f t="shared" si="19"/>
        <v>-15.231561077379425</v>
      </c>
    </row>
    <row r="188" spans="1:16" x14ac:dyDescent="0.2">
      <c r="A188" s="8">
        <v>93</v>
      </c>
      <c r="B188" s="8">
        <v>186</v>
      </c>
      <c r="D188">
        <v>344.86183719193002</v>
      </c>
      <c r="E188">
        <v>178.47722180732001</v>
      </c>
      <c r="F188">
        <v>130.01355421687001</v>
      </c>
      <c r="G188">
        <v>110.44653614457999</v>
      </c>
      <c r="I188" s="9">
        <f t="shared" si="15"/>
        <v>68.030685662740012</v>
      </c>
      <c r="J188" s="9">
        <f t="shared" si="16"/>
        <v>214.84828297506002</v>
      </c>
      <c r="K188" s="9">
        <f t="shared" si="17"/>
        <v>68.030685662740012</v>
      </c>
      <c r="L188" s="10">
        <f t="shared" si="14"/>
        <v>0.31664523784272991</v>
      </c>
      <c r="M188" s="10">
        <f t="shared" si="20"/>
        <v>0.37058482500499901</v>
      </c>
      <c r="P188" s="8">
        <f t="shared" si="19"/>
        <v>-17.010009828147293</v>
      </c>
    </row>
    <row r="189" spans="1:16" x14ac:dyDescent="0.2">
      <c r="A189" s="8">
        <v>93.5</v>
      </c>
      <c r="B189" s="8">
        <v>187</v>
      </c>
      <c r="D189">
        <v>341.05231689087998</v>
      </c>
      <c r="E189">
        <v>179.71001494768001</v>
      </c>
      <c r="F189">
        <v>129.69427710842999</v>
      </c>
      <c r="G189">
        <v>109.87801204819</v>
      </c>
      <c r="I189" s="9">
        <f t="shared" si="15"/>
        <v>69.832002899490007</v>
      </c>
      <c r="J189" s="9">
        <f t="shared" si="16"/>
        <v>211.35803978244999</v>
      </c>
      <c r="K189" s="9">
        <f t="shared" si="17"/>
        <v>69.832002899490007</v>
      </c>
      <c r="L189" s="10">
        <f t="shared" si="14"/>
        <v>0.33039671909981666</v>
      </c>
      <c r="M189" s="10">
        <f t="shared" si="20"/>
        <v>0.38462630404252807</v>
      </c>
      <c r="P189" s="8">
        <f t="shared" si="19"/>
        <v>-13.865514617618654</v>
      </c>
    </row>
    <row r="190" spans="1:16" x14ac:dyDescent="0.2">
      <c r="A190" s="8">
        <v>94</v>
      </c>
      <c r="B190" s="8">
        <v>188</v>
      </c>
      <c r="D190">
        <v>344.13901345291998</v>
      </c>
      <c r="E190">
        <v>184.75560538117</v>
      </c>
      <c r="F190">
        <v>130.00903614457999</v>
      </c>
      <c r="G190">
        <v>109.99623493976</v>
      </c>
      <c r="I190" s="9">
        <f t="shared" si="15"/>
        <v>74.759370441409999</v>
      </c>
      <c r="J190" s="9">
        <f t="shared" si="16"/>
        <v>214.12997730833999</v>
      </c>
      <c r="K190" s="9">
        <f t="shared" si="17"/>
        <v>74.759370441409999</v>
      </c>
      <c r="L190" s="10">
        <f t="shared" si="14"/>
        <v>0.34913080074612352</v>
      </c>
      <c r="M190" s="10">
        <f t="shared" si="20"/>
        <v>0.40365038346927723</v>
      </c>
      <c r="P190" s="8">
        <f t="shared" si="19"/>
        <v>-9.6051994127713947</v>
      </c>
    </row>
    <row r="191" spans="1:16" x14ac:dyDescent="0.2">
      <c r="A191" s="8">
        <v>94.5</v>
      </c>
      <c r="B191" s="8">
        <v>189</v>
      </c>
      <c r="D191">
        <v>344.17488789238001</v>
      </c>
      <c r="E191">
        <v>188.06801195815001</v>
      </c>
      <c r="F191">
        <v>129.52183734939999</v>
      </c>
      <c r="G191">
        <v>110.03463855422</v>
      </c>
      <c r="I191" s="9">
        <f t="shared" si="15"/>
        <v>78.033373403930014</v>
      </c>
      <c r="J191" s="9">
        <f t="shared" si="16"/>
        <v>214.65305054298003</v>
      </c>
      <c r="K191" s="9">
        <f t="shared" si="17"/>
        <v>78.033373403930014</v>
      </c>
      <c r="L191" s="10">
        <f t="shared" si="14"/>
        <v>0.3635325619949919</v>
      </c>
      <c r="M191" s="10">
        <f t="shared" si="20"/>
        <v>0.41834214249858792</v>
      </c>
      <c r="P191" s="8">
        <f t="shared" si="19"/>
        <v>-6.3150783522739102</v>
      </c>
    </row>
    <row r="192" spans="1:16" x14ac:dyDescent="0.2">
      <c r="A192" s="8">
        <v>95</v>
      </c>
      <c r="B192" s="8">
        <v>190</v>
      </c>
      <c r="D192">
        <v>337.34005979072998</v>
      </c>
      <c r="E192">
        <v>186.87518684604001</v>
      </c>
      <c r="F192">
        <v>129.53689759036001</v>
      </c>
      <c r="G192">
        <v>109.97966867469999</v>
      </c>
      <c r="I192" s="9">
        <f t="shared" si="15"/>
        <v>76.895518171340015</v>
      </c>
      <c r="J192" s="9">
        <f t="shared" si="16"/>
        <v>207.80316220036997</v>
      </c>
      <c r="K192" s="9">
        <f t="shared" si="17"/>
        <v>76.895518171340015</v>
      </c>
      <c r="L192" s="10">
        <f t="shared" si="14"/>
        <v>0.37004017338867573</v>
      </c>
      <c r="M192" s="10">
        <f t="shared" si="20"/>
        <v>0.42513975167271406</v>
      </c>
      <c r="P192" s="8">
        <f t="shared" si="19"/>
        <v>-4.7927992936394546</v>
      </c>
    </row>
    <row r="193" spans="1:16" x14ac:dyDescent="0.2">
      <c r="A193" s="8">
        <v>95.5</v>
      </c>
      <c r="B193" s="8">
        <v>191</v>
      </c>
      <c r="D193">
        <v>339.21823617338998</v>
      </c>
      <c r="E193">
        <v>190.60388639761001</v>
      </c>
      <c r="F193">
        <v>129.54141566265</v>
      </c>
      <c r="G193">
        <v>109.78614457831</v>
      </c>
      <c r="I193" s="9">
        <f t="shared" si="15"/>
        <v>80.817741819300011</v>
      </c>
      <c r="J193" s="9">
        <f t="shared" si="16"/>
        <v>209.67682051073999</v>
      </c>
      <c r="K193" s="9">
        <f t="shared" si="17"/>
        <v>80.817741819300011</v>
      </c>
      <c r="L193" s="10">
        <f t="shared" si="14"/>
        <v>0.38543956180964883</v>
      </c>
      <c r="M193" s="10">
        <f t="shared" si="20"/>
        <v>0.44082913787412947</v>
      </c>
      <c r="P193" s="8">
        <f t="shared" si="19"/>
        <v>-1.2792663079315203</v>
      </c>
    </row>
    <row r="194" spans="1:16" x14ac:dyDescent="0.2">
      <c r="A194" s="8">
        <v>96</v>
      </c>
      <c r="B194" s="8">
        <v>192</v>
      </c>
      <c r="D194">
        <v>340.44843049327</v>
      </c>
      <c r="E194">
        <v>186.68161434978001</v>
      </c>
      <c r="F194">
        <v>129.63930722891999</v>
      </c>
      <c r="G194">
        <v>110.03463855422</v>
      </c>
      <c r="I194" s="9">
        <f t="shared" si="15"/>
        <v>76.64697579556001</v>
      </c>
      <c r="J194" s="9">
        <f t="shared" si="16"/>
        <v>210.80912326435001</v>
      </c>
      <c r="K194" s="9">
        <f t="shared" si="17"/>
        <v>76.64697579556001</v>
      </c>
      <c r="L194" s="10">
        <f t="shared" ref="L194:L257" si="21">K194/J194</f>
        <v>0.3635847187668742</v>
      </c>
      <c r="M194" s="10">
        <f t="shared" si="20"/>
        <v>0.41926429261179715</v>
      </c>
      <c r="P194" s="8">
        <f t="shared" si="19"/>
        <v>-6.108569009018491</v>
      </c>
    </row>
    <row r="195" spans="1:16" x14ac:dyDescent="0.2">
      <c r="A195" s="8">
        <v>96.5</v>
      </c>
      <c r="B195" s="8">
        <v>193</v>
      </c>
      <c r="D195">
        <v>337.30642750374</v>
      </c>
      <c r="E195">
        <v>183.27877428999</v>
      </c>
      <c r="F195">
        <v>129.49774096386</v>
      </c>
      <c r="G195">
        <v>109.8125</v>
      </c>
      <c r="I195" s="9">
        <f t="shared" ref="I195:I241" si="22">E195-G195</f>
        <v>73.466274289989997</v>
      </c>
      <c r="J195" s="9">
        <f t="shared" ref="J195:J241" si="23">D195-F195</f>
        <v>207.80868653988</v>
      </c>
      <c r="K195" s="9">
        <f t="shared" ref="K195:K258" si="24">I195*1</f>
        <v>73.466274289989997</v>
      </c>
      <c r="L195" s="10">
        <f t="shared" si="21"/>
        <v>0.35352840881312864</v>
      </c>
      <c r="M195" s="10">
        <f t="shared" si="20"/>
        <v>0.40949798043849389</v>
      </c>
      <c r="P195" s="8">
        <f t="shared" ref="P195:P241" si="25">(M195-$O$2)/$O$2*100</f>
        <v>-8.2956692262676714</v>
      </c>
    </row>
    <row r="196" spans="1:16" x14ac:dyDescent="0.2">
      <c r="A196" s="8">
        <v>97</v>
      </c>
      <c r="B196" s="8">
        <v>194</v>
      </c>
      <c r="D196">
        <v>358.12134831460997</v>
      </c>
      <c r="E196">
        <v>191.99625468164999</v>
      </c>
      <c r="F196">
        <v>129.45256024096</v>
      </c>
      <c r="G196">
        <v>110.02560240964</v>
      </c>
      <c r="I196" s="9">
        <f t="shared" si="22"/>
        <v>81.970652272009985</v>
      </c>
      <c r="J196" s="9">
        <f t="shared" si="23"/>
        <v>228.66878807364998</v>
      </c>
      <c r="K196" s="9">
        <f t="shared" si="24"/>
        <v>81.970652272009985</v>
      </c>
      <c r="L196" s="10">
        <f t="shared" si="21"/>
        <v>0.3584689146365212</v>
      </c>
      <c r="M196" s="10">
        <f t="shared" si="20"/>
        <v>0.41472848404232876</v>
      </c>
      <c r="P196" s="8">
        <f t="shared" si="25"/>
        <v>-7.1243329669639062</v>
      </c>
    </row>
    <row r="197" spans="1:16" x14ac:dyDescent="0.2">
      <c r="A197" s="8">
        <v>97.5</v>
      </c>
      <c r="B197" s="8">
        <v>195</v>
      </c>
      <c r="D197">
        <v>385.50598802395001</v>
      </c>
      <c r="E197">
        <v>201.57410179640999</v>
      </c>
      <c r="F197">
        <v>129.2936746988</v>
      </c>
      <c r="G197">
        <v>110.25602409638999</v>
      </c>
      <c r="I197" s="9">
        <f t="shared" si="22"/>
        <v>91.318077700019998</v>
      </c>
      <c r="J197" s="9">
        <f t="shared" si="23"/>
        <v>256.21231332515003</v>
      </c>
      <c r="K197" s="9">
        <f t="shared" si="24"/>
        <v>91.318077700019998</v>
      </c>
      <c r="L197" s="10">
        <f t="shared" si="21"/>
        <v>0.35641564808062692</v>
      </c>
      <c r="M197" s="10">
        <f t="shared" si="20"/>
        <v>0.4129652152668768</v>
      </c>
      <c r="P197" s="8">
        <f t="shared" si="25"/>
        <v>-7.5192052026069049</v>
      </c>
    </row>
    <row r="198" spans="1:16" x14ac:dyDescent="0.2">
      <c r="A198" s="8">
        <v>98</v>
      </c>
      <c r="B198" s="8">
        <v>196</v>
      </c>
      <c r="D198">
        <v>397.09955089819999</v>
      </c>
      <c r="E198">
        <v>205.61152694610999</v>
      </c>
      <c r="F198">
        <v>129.72816265060001</v>
      </c>
      <c r="G198">
        <v>110.08659638554001</v>
      </c>
      <c r="I198" s="9">
        <f t="shared" si="22"/>
        <v>95.524930560569985</v>
      </c>
      <c r="J198" s="9">
        <f t="shared" si="23"/>
        <v>267.37138824759995</v>
      </c>
      <c r="K198" s="9">
        <f t="shared" si="24"/>
        <v>95.524930560569985</v>
      </c>
      <c r="L198" s="10">
        <f t="shared" si="21"/>
        <v>0.35727431864216108</v>
      </c>
      <c r="M198" s="10">
        <f t="shared" si="20"/>
        <v>0.41411388360885326</v>
      </c>
      <c r="P198" s="8">
        <f t="shared" si="25"/>
        <v>-7.2619686187557999</v>
      </c>
    </row>
    <row r="199" spans="1:16" x14ac:dyDescent="0.2">
      <c r="A199" s="8">
        <v>98.5</v>
      </c>
      <c r="B199" s="8">
        <v>197</v>
      </c>
      <c r="D199">
        <v>381.98727544910003</v>
      </c>
      <c r="E199">
        <v>198.05314371258001</v>
      </c>
      <c r="F199">
        <v>129.78012048193</v>
      </c>
      <c r="G199">
        <v>110.06325301205</v>
      </c>
      <c r="I199" s="9">
        <f t="shared" si="22"/>
        <v>87.989890700530012</v>
      </c>
      <c r="J199" s="9">
        <f t="shared" si="23"/>
        <v>252.20715496717003</v>
      </c>
      <c r="K199" s="9">
        <f t="shared" si="24"/>
        <v>87.989890700530012</v>
      </c>
      <c r="L199" s="10">
        <f t="shared" si="21"/>
        <v>0.34887943885645795</v>
      </c>
      <c r="M199" s="10">
        <f t="shared" si="20"/>
        <v>0.40600900160359243</v>
      </c>
      <c r="P199" s="8">
        <f t="shared" si="25"/>
        <v>-9.0770026745932153</v>
      </c>
    </row>
    <row r="200" spans="1:16" x14ac:dyDescent="0.2">
      <c r="A200" s="8">
        <v>99</v>
      </c>
      <c r="B200" s="8">
        <v>198</v>
      </c>
      <c r="D200">
        <v>372.18488023952</v>
      </c>
      <c r="E200">
        <v>193.09281437126</v>
      </c>
      <c r="F200">
        <v>129.35240963855</v>
      </c>
      <c r="G200">
        <v>110.01807228916</v>
      </c>
      <c r="I200" s="9">
        <f t="shared" si="22"/>
        <v>83.074742082100002</v>
      </c>
      <c r="J200" s="9">
        <f t="shared" si="23"/>
        <v>242.83247060097</v>
      </c>
      <c r="K200" s="9">
        <f t="shared" si="24"/>
        <v>83.074742082100002</v>
      </c>
      <c r="L200" s="10">
        <f t="shared" si="21"/>
        <v>0.34210722263173382</v>
      </c>
      <c r="M200" s="10">
        <f t="shared" si="20"/>
        <v>0.39952678315931062</v>
      </c>
      <c r="P200" s="8">
        <f t="shared" si="25"/>
        <v>-10.528652091094534</v>
      </c>
    </row>
    <row r="201" spans="1:16" x14ac:dyDescent="0.2">
      <c r="A201" s="8">
        <v>99.5</v>
      </c>
      <c r="B201" s="8">
        <v>199</v>
      </c>
      <c r="D201">
        <v>344.41273408239999</v>
      </c>
      <c r="E201">
        <v>184.65617977528001</v>
      </c>
      <c r="F201">
        <v>129.03388554217</v>
      </c>
      <c r="G201">
        <v>109.95707831324999</v>
      </c>
      <c r="I201" s="9">
        <f t="shared" si="22"/>
        <v>74.699101462030015</v>
      </c>
      <c r="J201" s="9">
        <f t="shared" si="23"/>
        <v>215.37884854023</v>
      </c>
      <c r="K201" s="9">
        <f t="shared" si="24"/>
        <v>74.699101462030015</v>
      </c>
      <c r="L201" s="10">
        <f t="shared" si="21"/>
        <v>0.34682654294196946</v>
      </c>
      <c r="M201" s="10">
        <f t="shared" si="20"/>
        <v>0.40453610124998857</v>
      </c>
      <c r="P201" s="8">
        <f t="shared" si="25"/>
        <v>-9.4068488464326965</v>
      </c>
    </row>
    <row r="202" spans="1:16" x14ac:dyDescent="0.2">
      <c r="A202" s="8">
        <v>100</v>
      </c>
      <c r="B202" s="8">
        <v>200</v>
      </c>
      <c r="D202">
        <v>342.63473053892</v>
      </c>
      <c r="E202">
        <v>189.41467065868</v>
      </c>
      <c r="F202">
        <v>129.12048192770999</v>
      </c>
      <c r="G202">
        <v>110.01882530121</v>
      </c>
      <c r="I202" s="9">
        <f t="shared" si="22"/>
        <v>79.395845357469994</v>
      </c>
      <c r="J202" s="9">
        <f t="shared" si="23"/>
        <v>213.51424861121001</v>
      </c>
      <c r="K202" s="9">
        <f t="shared" si="24"/>
        <v>79.395845357469994</v>
      </c>
      <c r="L202" s="10">
        <f t="shared" si="21"/>
        <v>0.37185267903147107</v>
      </c>
      <c r="M202" s="10">
        <f t="shared" si="20"/>
        <v>0.42985223511993248</v>
      </c>
      <c r="P202" s="8">
        <f t="shared" si="25"/>
        <v>-3.7374701798140313</v>
      </c>
    </row>
    <row r="203" spans="1:16" x14ac:dyDescent="0.2">
      <c r="A203" s="8">
        <v>100.5</v>
      </c>
      <c r="B203" s="8">
        <v>201</v>
      </c>
      <c r="D203">
        <v>345.28742514970003</v>
      </c>
      <c r="E203">
        <v>195.19610778443001</v>
      </c>
      <c r="F203">
        <v>129.73870481928</v>
      </c>
      <c r="G203">
        <v>110.11897590361001</v>
      </c>
      <c r="I203" s="9">
        <f t="shared" si="22"/>
        <v>85.077131880820005</v>
      </c>
      <c r="J203" s="9">
        <f t="shared" si="23"/>
        <v>215.54872033042002</v>
      </c>
      <c r="K203" s="9">
        <f t="shared" si="24"/>
        <v>85.077131880820005</v>
      </c>
      <c r="L203" s="10">
        <f t="shared" si="21"/>
        <v>0.39470024108889695</v>
      </c>
      <c r="M203" s="10">
        <f t="shared" si="20"/>
        <v>0.45298979495780067</v>
      </c>
      <c r="P203" s="8">
        <f t="shared" si="25"/>
        <v>1.4440314197709838</v>
      </c>
    </row>
    <row r="204" spans="1:16" x14ac:dyDescent="0.2">
      <c r="A204" s="8">
        <v>101</v>
      </c>
      <c r="B204" s="8">
        <v>202</v>
      </c>
      <c r="D204">
        <v>349.90718562874002</v>
      </c>
      <c r="E204">
        <v>197.57335329341001</v>
      </c>
      <c r="F204">
        <v>129.36822289157001</v>
      </c>
      <c r="G204">
        <v>109.72213855422</v>
      </c>
      <c r="I204" s="9">
        <f t="shared" si="22"/>
        <v>87.851214739190013</v>
      </c>
      <c r="J204" s="9">
        <f t="shared" si="23"/>
        <v>220.53896273717001</v>
      </c>
      <c r="K204" s="9">
        <f t="shared" si="24"/>
        <v>87.851214739190013</v>
      </c>
      <c r="L204" s="10">
        <f t="shared" si="21"/>
        <v>0.39834781867496022</v>
      </c>
      <c r="M204" s="10">
        <f t="shared" si="20"/>
        <v>0.45692737032430625</v>
      </c>
      <c r="P204" s="8">
        <f t="shared" si="25"/>
        <v>2.3258250576049639</v>
      </c>
    </row>
    <row r="205" spans="1:16" x14ac:dyDescent="0.2">
      <c r="A205" s="8">
        <v>101.5</v>
      </c>
      <c r="B205" s="8">
        <v>203</v>
      </c>
      <c r="D205">
        <v>363.43909774436003</v>
      </c>
      <c r="E205">
        <v>206.10977443608999</v>
      </c>
      <c r="F205">
        <v>129.33734939759</v>
      </c>
      <c r="G205">
        <v>110.1468373494</v>
      </c>
      <c r="I205" s="9">
        <f t="shared" si="22"/>
        <v>95.96293708668999</v>
      </c>
      <c r="J205" s="9">
        <f t="shared" si="23"/>
        <v>234.10174834677002</v>
      </c>
      <c r="K205" s="9">
        <f t="shared" si="24"/>
        <v>95.96293708668999</v>
      </c>
      <c r="L205" s="10">
        <f t="shared" si="21"/>
        <v>0.40991977960174009</v>
      </c>
      <c r="M205" s="10">
        <f t="shared" si="20"/>
        <v>0.46878932903152842</v>
      </c>
      <c r="P205" s="8">
        <f t="shared" si="25"/>
        <v>4.982231283947371</v>
      </c>
    </row>
    <row r="206" spans="1:16" x14ac:dyDescent="0.2">
      <c r="A206" s="8">
        <v>102</v>
      </c>
      <c r="B206" s="8">
        <v>204</v>
      </c>
      <c r="D206">
        <v>377.84701492536999</v>
      </c>
      <c r="E206">
        <v>212.53208955224</v>
      </c>
      <c r="F206">
        <v>128.53915662650999</v>
      </c>
      <c r="G206">
        <v>109.78388554217</v>
      </c>
      <c r="I206" s="9">
        <f t="shared" si="22"/>
        <v>102.74820401007</v>
      </c>
      <c r="J206" s="9">
        <f t="shared" si="23"/>
        <v>249.30785829886</v>
      </c>
      <c r="K206" s="9">
        <f t="shared" si="24"/>
        <v>102.74820401007</v>
      </c>
      <c r="L206" s="10">
        <f t="shared" si="21"/>
        <v>0.41213383609793669</v>
      </c>
      <c r="M206" s="10">
        <f t="shared" si="20"/>
        <v>0.47129338330816734</v>
      </c>
      <c r="P206" s="8">
        <f t="shared" si="25"/>
        <v>5.5429974723773636</v>
      </c>
    </row>
    <row r="207" spans="1:16" x14ac:dyDescent="0.2">
      <c r="A207" s="8">
        <v>102.5</v>
      </c>
      <c r="B207" s="8">
        <v>205</v>
      </c>
      <c r="D207">
        <v>384.89556724267999</v>
      </c>
      <c r="E207">
        <v>211.65589782119</v>
      </c>
      <c r="F207">
        <v>129.21460843374001</v>
      </c>
      <c r="G207">
        <v>110.03463855422</v>
      </c>
      <c r="I207" s="9">
        <f t="shared" si="22"/>
        <v>101.62125926697</v>
      </c>
      <c r="J207" s="9">
        <f t="shared" si="23"/>
        <v>255.68095880893998</v>
      </c>
      <c r="K207" s="9">
        <f t="shared" si="24"/>
        <v>101.62125926697</v>
      </c>
      <c r="L207" s="10">
        <f t="shared" si="21"/>
        <v>0.39745337212579623</v>
      </c>
      <c r="M207" s="10">
        <f t="shared" si="20"/>
        <v>0.45690291711646919</v>
      </c>
      <c r="P207" s="8">
        <f t="shared" si="25"/>
        <v>2.3203489254453684</v>
      </c>
    </row>
    <row r="208" spans="1:16" x14ac:dyDescent="0.2">
      <c r="A208" s="8">
        <v>103</v>
      </c>
      <c r="B208" s="8">
        <v>206</v>
      </c>
      <c r="D208">
        <v>374.20886551464997</v>
      </c>
      <c r="E208">
        <v>203.54169797144999</v>
      </c>
      <c r="F208">
        <v>129.05195783132999</v>
      </c>
      <c r="G208">
        <v>109.81701807229</v>
      </c>
      <c r="I208" s="9">
        <f t="shared" si="22"/>
        <v>93.724679899159995</v>
      </c>
      <c r="J208" s="9">
        <f t="shared" si="23"/>
        <v>245.15690768331999</v>
      </c>
      <c r="K208" s="9">
        <f t="shared" si="24"/>
        <v>93.724679899159995</v>
      </c>
      <c r="L208" s="10">
        <f t="shared" si="21"/>
        <v>0.38230487072478619</v>
      </c>
      <c r="M208" s="10">
        <f t="shared" si="20"/>
        <v>0.44204441349590146</v>
      </c>
      <c r="P208" s="8">
        <f t="shared" si="25"/>
        <v>-1.0071134697639332</v>
      </c>
    </row>
    <row r="209" spans="1:16" x14ac:dyDescent="0.2">
      <c r="A209" s="8">
        <v>103.5</v>
      </c>
      <c r="B209" s="8">
        <v>207</v>
      </c>
      <c r="D209">
        <v>380.48835462058997</v>
      </c>
      <c r="E209">
        <v>202.52817430503001</v>
      </c>
      <c r="F209">
        <v>129.29442771084001</v>
      </c>
      <c r="G209">
        <v>109.98418674699001</v>
      </c>
      <c r="I209" s="9">
        <f t="shared" si="22"/>
        <v>92.543987558040001</v>
      </c>
      <c r="J209" s="9">
        <f t="shared" si="23"/>
        <v>251.19392690974996</v>
      </c>
      <c r="K209" s="9">
        <f t="shared" si="24"/>
        <v>92.543987558040001</v>
      </c>
      <c r="L209" s="10">
        <f t="shared" si="21"/>
        <v>0.368416500735265</v>
      </c>
      <c r="M209" s="10">
        <f t="shared" si="20"/>
        <v>0.42844604128682251</v>
      </c>
      <c r="P209" s="8">
        <f t="shared" si="25"/>
        <v>-4.0523778730471314</v>
      </c>
    </row>
    <row r="210" spans="1:16" x14ac:dyDescent="0.2">
      <c r="A210" s="8">
        <v>104</v>
      </c>
      <c r="B210" s="8">
        <v>208</v>
      </c>
      <c r="D210">
        <v>387.37874251496999</v>
      </c>
      <c r="E210">
        <v>202.9498502994</v>
      </c>
      <c r="F210">
        <v>128.8109939759</v>
      </c>
      <c r="G210">
        <v>109.97063253012</v>
      </c>
      <c r="I210" s="9">
        <f t="shared" si="22"/>
        <v>92.979217769279998</v>
      </c>
      <c r="J210" s="9">
        <f t="shared" si="23"/>
        <v>258.56774853906995</v>
      </c>
      <c r="K210" s="9">
        <f t="shared" si="24"/>
        <v>92.979217769279998</v>
      </c>
      <c r="L210" s="10">
        <f t="shared" si="21"/>
        <v>0.35959325281138343</v>
      </c>
      <c r="M210" s="10">
        <f t="shared" si="20"/>
        <v>0.41991279114338331</v>
      </c>
      <c r="P210" s="8">
        <f t="shared" si="25"/>
        <v>-5.9633421051319901</v>
      </c>
    </row>
    <row r="211" spans="1:16" x14ac:dyDescent="0.2">
      <c r="A211" s="8">
        <v>104.5</v>
      </c>
      <c r="B211" s="8">
        <v>209</v>
      </c>
      <c r="D211">
        <v>389.09431137724999</v>
      </c>
      <c r="E211">
        <v>201.83907185628999</v>
      </c>
      <c r="F211">
        <v>129.05722891566</v>
      </c>
      <c r="G211">
        <v>109.84638554217</v>
      </c>
      <c r="I211" s="9">
        <f t="shared" si="22"/>
        <v>91.992686314119993</v>
      </c>
      <c r="J211" s="9">
        <f t="shared" si="23"/>
        <v>260.03708246158999</v>
      </c>
      <c r="K211" s="9">
        <f t="shared" si="24"/>
        <v>91.992686314119993</v>
      </c>
      <c r="L211" s="10">
        <f t="shared" si="21"/>
        <v>0.35376756823791933</v>
      </c>
      <c r="M211" s="10">
        <f t="shared" si="20"/>
        <v>0.41437710435036146</v>
      </c>
      <c r="P211" s="8">
        <f t="shared" si="25"/>
        <v>-7.2030220961870501</v>
      </c>
    </row>
    <row r="212" spans="1:16" x14ac:dyDescent="0.2">
      <c r="A212" s="8">
        <v>105</v>
      </c>
      <c r="B212" s="8">
        <v>210</v>
      </c>
      <c r="D212">
        <v>385.09131736527002</v>
      </c>
      <c r="E212">
        <v>198.57185628742999</v>
      </c>
      <c r="F212">
        <v>128.98569277108001</v>
      </c>
      <c r="G212">
        <v>109.77635542169</v>
      </c>
      <c r="I212" s="9">
        <f t="shared" si="22"/>
        <v>88.795500865739996</v>
      </c>
      <c r="J212" s="9">
        <f t="shared" si="23"/>
        <v>256.10562459418998</v>
      </c>
      <c r="K212" s="9">
        <f t="shared" si="24"/>
        <v>88.795500865739996</v>
      </c>
      <c r="L212" s="10">
        <f t="shared" si="21"/>
        <v>0.34671437226902052</v>
      </c>
      <c r="M212" s="10">
        <f t="shared" si="20"/>
        <v>0.40761390616190496</v>
      </c>
      <c r="P212" s="8">
        <f t="shared" si="25"/>
        <v>-8.7175950449922954</v>
      </c>
    </row>
    <row r="213" spans="1:16" x14ac:dyDescent="0.2">
      <c r="A213" s="8">
        <v>105.5</v>
      </c>
      <c r="B213" s="8">
        <v>211</v>
      </c>
      <c r="D213">
        <v>385.51422155688999</v>
      </c>
      <c r="E213">
        <v>198.58008982036</v>
      </c>
      <c r="F213">
        <v>129.14156626505999</v>
      </c>
      <c r="G213">
        <v>110.19879518072</v>
      </c>
      <c r="I213" s="9">
        <f t="shared" si="22"/>
        <v>88.381294639640004</v>
      </c>
      <c r="J213" s="9">
        <f t="shared" si="23"/>
        <v>256.37265529183003</v>
      </c>
      <c r="K213" s="9">
        <f t="shared" si="24"/>
        <v>88.381294639640004</v>
      </c>
      <c r="L213" s="10">
        <f t="shared" si="21"/>
        <v>0.34473760292038641</v>
      </c>
      <c r="M213" s="10">
        <f t="shared" si="20"/>
        <v>0.40592713459371321</v>
      </c>
      <c r="P213" s="8">
        <f t="shared" si="25"/>
        <v>-9.0953362432847662</v>
      </c>
    </row>
    <row r="214" spans="1:16" x14ac:dyDescent="0.2">
      <c r="A214" s="8">
        <v>106</v>
      </c>
      <c r="B214" s="8">
        <v>212</v>
      </c>
      <c r="D214">
        <v>354.33183520598999</v>
      </c>
      <c r="E214">
        <v>187.35805243446001</v>
      </c>
      <c r="F214">
        <v>128.98493975904</v>
      </c>
      <c r="G214">
        <v>109.85240963855</v>
      </c>
      <c r="I214" s="9">
        <f t="shared" si="22"/>
        <v>77.505642795910006</v>
      </c>
      <c r="J214" s="9">
        <f t="shared" si="23"/>
        <v>225.34689544694999</v>
      </c>
      <c r="K214" s="9">
        <f t="shared" si="24"/>
        <v>77.505642795910006</v>
      </c>
      <c r="L214" s="10">
        <f t="shared" si="21"/>
        <v>0.34393925260069086</v>
      </c>
      <c r="M214" s="10">
        <f t="shared" si="20"/>
        <v>0.40541878205445991</v>
      </c>
      <c r="P214" s="8">
        <f t="shared" si="25"/>
        <v>-9.2091783905877431</v>
      </c>
    </row>
    <row r="215" spans="1:16" x14ac:dyDescent="0.2">
      <c r="A215" s="8">
        <v>106.5</v>
      </c>
      <c r="B215" s="8">
        <v>213</v>
      </c>
      <c r="D215">
        <v>345.52086438152003</v>
      </c>
      <c r="E215">
        <v>193.93219076006</v>
      </c>
      <c r="F215">
        <v>128.95481927711</v>
      </c>
      <c r="G215">
        <v>109.64382530121</v>
      </c>
      <c r="I215" s="9">
        <f t="shared" si="22"/>
        <v>84.288365458849995</v>
      </c>
      <c r="J215" s="9">
        <f t="shared" si="23"/>
        <v>216.56604510441002</v>
      </c>
      <c r="K215" s="9">
        <f t="shared" si="24"/>
        <v>84.288365458849995</v>
      </c>
      <c r="L215" s="10">
        <f t="shared" si="21"/>
        <v>0.3892039743266919</v>
      </c>
      <c r="M215" s="10">
        <f t="shared" si="20"/>
        <v>0.45097350156090327</v>
      </c>
      <c r="P215" s="8">
        <f t="shared" si="25"/>
        <v>0.99249601437539048</v>
      </c>
    </row>
    <row r="216" spans="1:16" x14ac:dyDescent="0.2">
      <c r="A216" s="8">
        <v>107</v>
      </c>
      <c r="B216" s="8">
        <v>214</v>
      </c>
      <c r="D216">
        <v>347.77049180327998</v>
      </c>
      <c r="E216">
        <v>201.08271236959999</v>
      </c>
      <c r="F216">
        <v>129.03388554217</v>
      </c>
      <c r="G216">
        <v>110.04141566265</v>
      </c>
      <c r="I216" s="9">
        <f t="shared" si="22"/>
        <v>91.041296706949993</v>
      </c>
      <c r="J216" s="9">
        <f t="shared" si="23"/>
        <v>218.73660626110998</v>
      </c>
      <c r="K216" s="9">
        <f t="shared" si="24"/>
        <v>91.041296706949993</v>
      </c>
      <c r="L216" s="10">
        <f t="shared" si="21"/>
        <v>0.41621426913002524</v>
      </c>
      <c r="M216" s="10">
        <f t="shared" si="20"/>
        <v>0.47827379414467891</v>
      </c>
      <c r="P216" s="8">
        <f t="shared" si="25"/>
        <v>7.106213739286769</v>
      </c>
    </row>
    <row r="217" spans="1:16" x14ac:dyDescent="0.2">
      <c r="A217" s="8">
        <v>107.5</v>
      </c>
      <c r="B217" s="8">
        <v>215</v>
      </c>
      <c r="D217">
        <v>349.27123695976002</v>
      </c>
      <c r="E217">
        <v>203.39716840537</v>
      </c>
      <c r="F217">
        <v>128.9811746988</v>
      </c>
      <c r="G217">
        <v>110.05045180723</v>
      </c>
      <c r="I217" s="9">
        <f t="shared" si="22"/>
        <v>93.346716598139992</v>
      </c>
      <c r="J217" s="9">
        <f t="shared" si="23"/>
        <v>220.29006226096001</v>
      </c>
      <c r="K217" s="9">
        <f t="shared" si="24"/>
        <v>93.346716598139992</v>
      </c>
      <c r="L217" s="10">
        <f t="shared" si="21"/>
        <v>0.42374456496162594</v>
      </c>
      <c r="M217" s="10">
        <f t="shared" si="20"/>
        <v>0.48609408775672192</v>
      </c>
      <c r="P217" s="8">
        <f t="shared" si="25"/>
        <v>8.8575161300300937</v>
      </c>
    </row>
    <row r="218" spans="1:16" x14ac:dyDescent="0.2">
      <c r="A218" s="8">
        <v>108</v>
      </c>
      <c r="B218" s="8">
        <v>216</v>
      </c>
      <c r="D218">
        <v>348.83233979136003</v>
      </c>
      <c r="E218">
        <v>204.34351713859999</v>
      </c>
      <c r="F218">
        <v>128.9390060241</v>
      </c>
      <c r="G218">
        <v>109.98870481928</v>
      </c>
      <c r="I218" s="9">
        <f t="shared" si="22"/>
        <v>94.35481231931999</v>
      </c>
      <c r="J218" s="9">
        <f t="shared" si="23"/>
        <v>219.89333376726003</v>
      </c>
      <c r="K218" s="9">
        <f t="shared" si="24"/>
        <v>94.35481231931999</v>
      </c>
      <c r="L218" s="10">
        <f t="shared" si="21"/>
        <v>0.42909355505604918</v>
      </c>
      <c r="M218" s="10">
        <f t="shared" si="20"/>
        <v>0.49173307563158747</v>
      </c>
      <c r="P218" s="8">
        <f t="shared" si="25"/>
        <v>10.120329706673379</v>
      </c>
    </row>
    <row r="219" spans="1:16" x14ac:dyDescent="0.2">
      <c r="A219" s="8">
        <v>108.5</v>
      </c>
      <c r="B219" s="8">
        <v>217</v>
      </c>
      <c r="D219">
        <v>349.02160953800001</v>
      </c>
      <c r="E219">
        <v>205.02235469448999</v>
      </c>
      <c r="F219">
        <v>128.89608433735</v>
      </c>
      <c r="G219">
        <v>109.67243975904</v>
      </c>
      <c r="I219" s="9">
        <f t="shared" si="22"/>
        <v>95.349914935449988</v>
      </c>
      <c r="J219" s="9">
        <f t="shared" si="23"/>
        <v>220.12552520065</v>
      </c>
      <c r="K219" s="9">
        <f t="shared" si="24"/>
        <v>95.349914935449988</v>
      </c>
      <c r="L219" s="10">
        <f t="shared" si="21"/>
        <v>0.43316155565573833</v>
      </c>
      <c r="M219" s="10">
        <f t="shared" si="20"/>
        <v>0.49609107401171892</v>
      </c>
      <c r="P219" s="8">
        <f t="shared" si="25"/>
        <v>11.0962742633108</v>
      </c>
    </row>
    <row r="220" spans="1:16" x14ac:dyDescent="0.2">
      <c r="A220" s="8">
        <v>109</v>
      </c>
      <c r="B220" s="8">
        <v>218</v>
      </c>
      <c r="D220">
        <v>366.63173652695002</v>
      </c>
      <c r="E220">
        <v>209.53517964072</v>
      </c>
      <c r="F220">
        <v>128.89683734939999</v>
      </c>
      <c r="G220">
        <v>109.58810240964</v>
      </c>
      <c r="I220" s="9">
        <f t="shared" si="22"/>
        <v>99.947077231080002</v>
      </c>
      <c r="J220" s="9">
        <f t="shared" si="23"/>
        <v>237.73489917755003</v>
      </c>
      <c r="K220" s="9">
        <f t="shared" si="24"/>
        <v>99.947077231080002</v>
      </c>
      <c r="L220" s="10">
        <f t="shared" si="21"/>
        <v>0.42041398876163943</v>
      </c>
      <c r="M220" s="10">
        <f t="shared" si="20"/>
        <v>0.48363350489806234</v>
      </c>
      <c r="P220" s="8">
        <f t="shared" si="25"/>
        <v>8.3064850745775871</v>
      </c>
    </row>
    <row r="221" spans="1:16" x14ac:dyDescent="0.2">
      <c r="A221" s="8">
        <v>109.5</v>
      </c>
      <c r="B221" s="8">
        <v>219</v>
      </c>
      <c r="D221">
        <v>383.53012048193</v>
      </c>
      <c r="E221">
        <v>211.65737951807</v>
      </c>
      <c r="F221">
        <v>129.1265060241</v>
      </c>
      <c r="G221">
        <v>109.84412650602</v>
      </c>
      <c r="I221" s="9">
        <f t="shared" si="22"/>
        <v>101.81325301205</v>
      </c>
      <c r="J221" s="9">
        <f t="shared" si="23"/>
        <v>254.40361445783</v>
      </c>
      <c r="K221" s="9">
        <f t="shared" si="24"/>
        <v>101.81325301205</v>
      </c>
      <c r="L221" s="10">
        <f t="shared" si="21"/>
        <v>0.40020364187446161</v>
      </c>
      <c r="M221" s="10">
        <f t="shared" si="20"/>
        <v>0.46371315579132683</v>
      </c>
      <c r="P221" s="8">
        <f t="shared" si="25"/>
        <v>3.8454562762031399</v>
      </c>
    </row>
    <row r="222" spans="1:16" x14ac:dyDescent="0.2">
      <c r="A222" s="8">
        <v>110</v>
      </c>
      <c r="B222" s="8">
        <v>220</v>
      </c>
      <c r="D222">
        <v>387.16641566265002</v>
      </c>
      <c r="E222">
        <v>208.07003012048</v>
      </c>
      <c r="F222">
        <v>129.17469879518001</v>
      </c>
      <c r="G222">
        <v>109.68524096386</v>
      </c>
      <c r="I222" s="9">
        <f t="shared" si="22"/>
        <v>98.384789156620002</v>
      </c>
      <c r="J222" s="9">
        <f t="shared" si="23"/>
        <v>257.99171686747002</v>
      </c>
      <c r="K222" s="9">
        <f t="shared" si="24"/>
        <v>98.384789156620002</v>
      </c>
      <c r="L222" s="10">
        <f t="shared" si="21"/>
        <v>0.3813486353407235</v>
      </c>
      <c r="M222" s="10">
        <f t="shared" si="20"/>
        <v>0.44514814703803102</v>
      </c>
      <c r="P222" s="8">
        <f t="shared" si="25"/>
        <v>-0.31205312520204453</v>
      </c>
    </row>
    <row r="223" spans="1:16" x14ac:dyDescent="0.2">
      <c r="A223" s="8">
        <v>110.5</v>
      </c>
      <c r="B223" s="8">
        <v>221</v>
      </c>
      <c r="D223">
        <v>392.48573573573998</v>
      </c>
      <c r="E223">
        <v>207.24924924925</v>
      </c>
      <c r="F223">
        <v>129.28539156626999</v>
      </c>
      <c r="G223">
        <v>109.9811746988</v>
      </c>
      <c r="I223" s="9">
        <f t="shared" si="22"/>
        <v>97.268074550449995</v>
      </c>
      <c r="J223" s="9">
        <f t="shared" si="23"/>
        <v>263.20034416946999</v>
      </c>
      <c r="K223" s="9">
        <f t="shared" si="24"/>
        <v>97.268074550449995</v>
      </c>
      <c r="L223" s="10">
        <f t="shared" si="21"/>
        <v>0.36955907051481979</v>
      </c>
      <c r="M223" s="10">
        <f t="shared" si="20"/>
        <v>0.43364857999256962</v>
      </c>
      <c r="P223" s="8">
        <f t="shared" si="25"/>
        <v>-2.8873041654207832</v>
      </c>
    </row>
    <row r="224" spans="1:16" x14ac:dyDescent="0.2">
      <c r="A224" s="8">
        <v>111</v>
      </c>
      <c r="B224" s="8">
        <v>222</v>
      </c>
      <c r="D224">
        <v>386.89639639640001</v>
      </c>
      <c r="E224">
        <v>200.74249249248999</v>
      </c>
      <c r="F224">
        <v>128.87801204818999</v>
      </c>
      <c r="G224">
        <v>109.67168674699001</v>
      </c>
      <c r="I224" s="9">
        <f t="shared" si="22"/>
        <v>91.070805745499982</v>
      </c>
      <c r="J224" s="9">
        <f t="shared" si="23"/>
        <v>258.01838434821002</v>
      </c>
      <c r="K224" s="9">
        <f t="shared" si="24"/>
        <v>91.070805745499982</v>
      </c>
      <c r="L224" s="10">
        <f t="shared" si="21"/>
        <v>0.3529624680642714</v>
      </c>
      <c r="M224" s="10">
        <f t="shared" si="20"/>
        <v>0.41734197532246353</v>
      </c>
      <c r="P224" s="8">
        <f t="shared" si="25"/>
        <v>-6.5390590943770253</v>
      </c>
    </row>
    <row r="225" spans="1:16" x14ac:dyDescent="0.2">
      <c r="A225" s="8">
        <v>111.5</v>
      </c>
      <c r="B225" s="8">
        <v>223</v>
      </c>
      <c r="D225">
        <v>388.73948948948998</v>
      </c>
      <c r="E225">
        <v>200.52402402402001</v>
      </c>
      <c r="F225">
        <v>129.02861445783</v>
      </c>
      <c r="G225">
        <v>109.80346385542001</v>
      </c>
      <c r="I225" s="9">
        <f t="shared" si="22"/>
        <v>90.720560168600002</v>
      </c>
      <c r="J225" s="9">
        <f t="shared" si="23"/>
        <v>259.71087503165995</v>
      </c>
      <c r="K225" s="9">
        <f t="shared" si="24"/>
        <v>90.720560168600002</v>
      </c>
      <c r="L225" s="10">
        <f t="shared" si="21"/>
        <v>0.34931367489921533</v>
      </c>
      <c r="M225" s="10">
        <f t="shared" si="20"/>
        <v>0.41398317993784978</v>
      </c>
      <c r="P225" s="8">
        <f t="shared" si="25"/>
        <v>-7.2912388307021692</v>
      </c>
    </row>
    <row r="226" spans="1:16" x14ac:dyDescent="0.2">
      <c r="A226" s="8">
        <v>112</v>
      </c>
      <c r="B226" s="8">
        <v>224</v>
      </c>
      <c r="D226">
        <v>336.29693343306002</v>
      </c>
      <c r="E226">
        <v>181.99775617053001</v>
      </c>
      <c r="F226">
        <v>129.01355421687001</v>
      </c>
      <c r="G226">
        <v>109.82831325300999</v>
      </c>
      <c r="I226" s="9">
        <f t="shared" si="22"/>
        <v>72.169442917520016</v>
      </c>
      <c r="J226" s="9">
        <f t="shared" si="23"/>
        <v>207.28337921619001</v>
      </c>
      <c r="K226" s="9">
        <f t="shared" si="24"/>
        <v>72.169442917520016</v>
      </c>
      <c r="L226" s="10">
        <f t="shared" si="21"/>
        <v>0.34816801612564202</v>
      </c>
      <c r="M226" s="10">
        <f t="shared" si="20"/>
        <v>0.41312751894471877</v>
      </c>
      <c r="P226" s="8">
        <f t="shared" si="25"/>
        <v>-7.4828583807186098</v>
      </c>
    </row>
    <row r="227" spans="1:16" x14ac:dyDescent="0.2">
      <c r="A227" s="8">
        <v>112.5</v>
      </c>
      <c r="B227" s="8">
        <v>225</v>
      </c>
      <c r="D227">
        <v>360.64547494390001</v>
      </c>
      <c r="E227">
        <v>196.37696335078999</v>
      </c>
      <c r="F227">
        <v>128.84638554217</v>
      </c>
      <c r="G227">
        <v>109.86144578312999</v>
      </c>
      <c r="I227" s="9">
        <f t="shared" si="22"/>
        <v>86.515517567659998</v>
      </c>
      <c r="J227" s="9">
        <f t="shared" si="23"/>
        <v>231.79908940173001</v>
      </c>
      <c r="K227" s="9">
        <f t="shared" si="24"/>
        <v>86.515517567659998</v>
      </c>
      <c r="L227" s="10">
        <f t="shared" si="21"/>
        <v>0.37323493285049247</v>
      </c>
      <c r="M227" s="10">
        <f t="shared" si="20"/>
        <v>0.43848443345001153</v>
      </c>
      <c r="P227" s="8">
        <f t="shared" si="25"/>
        <v>-1.8043471638754256</v>
      </c>
    </row>
    <row r="228" spans="1:16" x14ac:dyDescent="0.2">
      <c r="A228" s="8">
        <v>113</v>
      </c>
      <c r="B228" s="8">
        <v>226</v>
      </c>
      <c r="D228">
        <v>370.75582268970999</v>
      </c>
      <c r="E228">
        <v>202.20285499624001</v>
      </c>
      <c r="F228">
        <v>128.81626506024</v>
      </c>
      <c r="G228">
        <v>109.61370481928</v>
      </c>
      <c r="I228" s="9">
        <f t="shared" si="22"/>
        <v>92.589150176960004</v>
      </c>
      <c r="J228" s="9">
        <f t="shared" si="23"/>
        <v>241.93955762946999</v>
      </c>
      <c r="K228" s="9">
        <f t="shared" si="24"/>
        <v>92.589150176960004</v>
      </c>
      <c r="L228" s="10">
        <f t="shared" si="21"/>
        <v>0.38269537682944815</v>
      </c>
      <c r="M228" s="10">
        <f t="shared" si="20"/>
        <v>0.44823487520940952</v>
      </c>
      <c r="P228" s="8">
        <f t="shared" si="25"/>
        <v>0.37919898044590655</v>
      </c>
    </row>
    <row r="229" spans="1:16" x14ac:dyDescent="0.2">
      <c r="A229" s="8">
        <v>113.5</v>
      </c>
      <c r="B229" s="8">
        <v>227</v>
      </c>
      <c r="D229">
        <v>369.19008264463002</v>
      </c>
      <c r="E229">
        <v>202.10067618331999</v>
      </c>
      <c r="F229">
        <v>129.24698795181001</v>
      </c>
      <c r="G229">
        <v>109.80572289157</v>
      </c>
      <c r="I229" s="9">
        <f t="shared" si="22"/>
        <v>92.294953291749991</v>
      </c>
      <c r="J229" s="9">
        <f t="shared" si="23"/>
        <v>239.94309469282001</v>
      </c>
      <c r="K229" s="9">
        <f t="shared" si="24"/>
        <v>92.294953291749991</v>
      </c>
      <c r="L229" s="10">
        <f t="shared" si="21"/>
        <v>0.38465350882428123</v>
      </c>
      <c r="M229" s="10">
        <f t="shared" si="20"/>
        <v>0.45048300498468491</v>
      </c>
      <c r="P229" s="8">
        <f t="shared" si="25"/>
        <v>0.88265259043286992</v>
      </c>
    </row>
    <row r="230" spans="1:16" x14ac:dyDescent="0.2">
      <c r="A230" s="8">
        <v>114</v>
      </c>
      <c r="B230" s="8">
        <v>228</v>
      </c>
      <c r="D230">
        <v>378.18120300752003</v>
      </c>
      <c r="E230">
        <v>207.63909774435999</v>
      </c>
      <c r="F230">
        <v>128.71460843374001</v>
      </c>
      <c r="G230">
        <v>109.72289156626999</v>
      </c>
      <c r="I230" s="9">
        <f t="shared" si="22"/>
        <v>97.916206178089993</v>
      </c>
      <c r="J230" s="9">
        <f t="shared" si="23"/>
        <v>249.46659457378001</v>
      </c>
      <c r="K230" s="9">
        <f t="shared" si="24"/>
        <v>97.916206178089993</v>
      </c>
      <c r="L230" s="10">
        <f t="shared" si="21"/>
        <v>0.39250227608783578</v>
      </c>
      <c r="M230" s="10">
        <f t="shared" si="20"/>
        <v>0.45862177002868176</v>
      </c>
      <c r="P230" s="8">
        <f t="shared" si="25"/>
        <v>2.7052745259187763</v>
      </c>
    </row>
    <row r="231" spans="1:16" x14ac:dyDescent="0.2">
      <c r="A231" s="8">
        <v>114.5</v>
      </c>
      <c r="B231" s="8">
        <v>229</v>
      </c>
      <c r="D231">
        <v>368.02932330827002</v>
      </c>
      <c r="E231">
        <v>200.71127819549</v>
      </c>
      <c r="F231">
        <v>128.33885542169</v>
      </c>
      <c r="G231">
        <v>109.8765060241</v>
      </c>
      <c r="I231" s="9">
        <f t="shared" si="22"/>
        <v>90.83477217139</v>
      </c>
      <c r="J231" s="9">
        <f t="shared" si="23"/>
        <v>239.69046788658002</v>
      </c>
      <c r="K231" s="9">
        <f t="shared" si="24"/>
        <v>90.83477217139</v>
      </c>
      <c r="L231" s="10">
        <f t="shared" si="21"/>
        <v>0.37896697758699532</v>
      </c>
      <c r="M231" s="10">
        <f t="shared" si="20"/>
        <v>0.44537646930828362</v>
      </c>
      <c r="P231" s="8">
        <f t="shared" si="25"/>
        <v>-0.26092188159534035</v>
      </c>
    </row>
    <row r="232" spans="1:16" x14ac:dyDescent="0.2">
      <c r="A232" s="8">
        <v>115</v>
      </c>
      <c r="B232" s="8">
        <v>230</v>
      </c>
      <c r="D232">
        <v>370.46466165414</v>
      </c>
      <c r="E232">
        <v>203.87744360901999</v>
      </c>
      <c r="F232">
        <v>128.95632530121</v>
      </c>
      <c r="G232">
        <v>109.70256024096</v>
      </c>
      <c r="I232" s="9">
        <f t="shared" si="22"/>
        <v>94.174883368059994</v>
      </c>
      <c r="J232" s="9">
        <f t="shared" si="23"/>
        <v>241.50833635293</v>
      </c>
      <c r="K232" s="9">
        <f t="shared" si="24"/>
        <v>94.174883368059994</v>
      </c>
      <c r="L232" s="10">
        <f t="shared" si="21"/>
        <v>0.38994464866188649</v>
      </c>
      <c r="M232" s="10">
        <f t="shared" si="20"/>
        <v>0.4566441381636171</v>
      </c>
      <c r="P232" s="8">
        <f t="shared" si="25"/>
        <v>2.2623971117045127</v>
      </c>
    </row>
    <row r="233" spans="1:16" x14ac:dyDescent="0.2">
      <c r="A233" s="8">
        <v>115.5</v>
      </c>
      <c r="B233" s="8">
        <v>231</v>
      </c>
      <c r="D233">
        <v>370.46165413533998</v>
      </c>
      <c r="E233">
        <v>204.36992481203001</v>
      </c>
      <c r="F233">
        <v>128.74924698794999</v>
      </c>
      <c r="G233">
        <v>109.84864457831</v>
      </c>
      <c r="I233" s="9">
        <f t="shared" si="22"/>
        <v>94.521280233720006</v>
      </c>
      <c r="J233" s="9">
        <f t="shared" si="23"/>
        <v>241.71240714739</v>
      </c>
      <c r="K233" s="9">
        <f t="shared" si="24"/>
        <v>94.521280233720006</v>
      </c>
      <c r="L233" s="10">
        <f t="shared" si="21"/>
        <v>0.39104852477052765</v>
      </c>
      <c r="M233" s="10">
        <f t="shared" si="20"/>
        <v>0.45803801205270056</v>
      </c>
      <c r="P233" s="8">
        <f t="shared" si="25"/>
        <v>2.574545835965627</v>
      </c>
    </row>
    <row r="234" spans="1:16" x14ac:dyDescent="0.2">
      <c r="A234" s="8">
        <v>116</v>
      </c>
      <c r="B234" s="8">
        <v>232</v>
      </c>
      <c r="D234">
        <v>362.45789473683999</v>
      </c>
      <c r="E234">
        <v>202.38120300752001</v>
      </c>
      <c r="F234">
        <v>128.90813253012001</v>
      </c>
      <c r="G234">
        <v>109.74698795181</v>
      </c>
      <c r="I234" s="9">
        <f t="shared" si="22"/>
        <v>92.634215055710015</v>
      </c>
      <c r="J234" s="9">
        <f t="shared" si="23"/>
        <v>233.54976220671998</v>
      </c>
      <c r="K234" s="9">
        <f t="shared" si="24"/>
        <v>92.634215055710015</v>
      </c>
      <c r="L234" s="10">
        <f t="shared" si="21"/>
        <v>0.3966358782832648</v>
      </c>
      <c r="M234" s="10">
        <f t="shared" si="20"/>
        <v>0.46391536334588002</v>
      </c>
      <c r="P234" s="8">
        <f t="shared" si="25"/>
        <v>3.8907393040897174</v>
      </c>
    </row>
    <row r="235" spans="1:16" x14ac:dyDescent="0.2">
      <c r="A235" s="8">
        <v>116.5</v>
      </c>
      <c r="B235" s="8">
        <v>233</v>
      </c>
      <c r="D235">
        <v>369.99548872180998</v>
      </c>
      <c r="E235">
        <v>204.20375939850001</v>
      </c>
      <c r="F235">
        <v>128.78087349398001</v>
      </c>
      <c r="G235">
        <v>109.71009036145</v>
      </c>
      <c r="I235" s="9">
        <f t="shared" si="22"/>
        <v>94.493669037050012</v>
      </c>
      <c r="J235" s="9">
        <f t="shared" si="23"/>
        <v>241.21461522782997</v>
      </c>
      <c r="K235" s="9">
        <f t="shared" si="24"/>
        <v>94.493669037050012</v>
      </c>
      <c r="L235" s="10">
        <f t="shared" si="21"/>
        <v>0.39174105991794761</v>
      </c>
      <c r="M235" s="10">
        <f t="shared" si="20"/>
        <v>0.45931054276100514</v>
      </c>
      <c r="P235" s="8">
        <f t="shared" si="25"/>
        <v>2.8595205673895405</v>
      </c>
    </row>
    <row r="236" spans="1:16" x14ac:dyDescent="0.2">
      <c r="A236" s="8">
        <v>117</v>
      </c>
      <c r="B236" s="8">
        <v>234</v>
      </c>
      <c r="D236">
        <v>383.22816265059998</v>
      </c>
      <c r="E236">
        <v>206.04066265060001</v>
      </c>
      <c r="F236">
        <v>128.92921686746999</v>
      </c>
      <c r="G236">
        <v>109.61897590361001</v>
      </c>
      <c r="I236" s="9">
        <f t="shared" si="22"/>
        <v>96.421686746990005</v>
      </c>
      <c r="J236" s="9">
        <f t="shared" si="23"/>
        <v>254.29894578312999</v>
      </c>
      <c r="K236" s="9">
        <f t="shared" si="24"/>
        <v>96.421686746990005</v>
      </c>
      <c r="L236" s="10">
        <f t="shared" si="21"/>
        <v>0.37916667900471707</v>
      </c>
      <c r="M236" s="10">
        <f t="shared" si="20"/>
        <v>0.4470261596282169</v>
      </c>
      <c r="P236" s="8">
        <f t="shared" si="25"/>
        <v>0.10851521944088513</v>
      </c>
    </row>
    <row r="237" spans="1:16" x14ac:dyDescent="0.2">
      <c r="A237" s="8">
        <v>117.5</v>
      </c>
      <c r="B237" s="8">
        <v>235</v>
      </c>
      <c r="D237">
        <v>381.98795180722999</v>
      </c>
      <c r="E237">
        <v>204.69201807229001</v>
      </c>
      <c r="F237">
        <v>128.40361445783</v>
      </c>
      <c r="G237">
        <v>109.61445783133</v>
      </c>
      <c r="I237" s="9">
        <f t="shared" si="22"/>
        <v>95.077560240960011</v>
      </c>
      <c r="J237" s="9">
        <f t="shared" si="23"/>
        <v>253.58433734939999</v>
      </c>
      <c r="K237" s="9">
        <f t="shared" si="24"/>
        <v>95.077560240960011</v>
      </c>
      <c r="L237" s="10">
        <f t="shared" si="21"/>
        <v>0.37493467157617799</v>
      </c>
      <c r="M237" s="10">
        <f t="shared" si="20"/>
        <v>0.44308414998012013</v>
      </c>
      <c r="P237" s="8">
        <f t="shared" si="25"/>
        <v>-0.77427144606406695</v>
      </c>
    </row>
    <row r="238" spans="1:16" x14ac:dyDescent="0.2">
      <c r="A238" s="8">
        <v>118</v>
      </c>
      <c r="B238" s="8">
        <v>236</v>
      </c>
      <c r="D238">
        <v>351.43501126972001</v>
      </c>
      <c r="E238">
        <v>192.80315552216001</v>
      </c>
      <c r="F238">
        <v>128.33207831325001</v>
      </c>
      <c r="G238">
        <v>109.47213855422</v>
      </c>
      <c r="I238" s="9">
        <f t="shared" si="22"/>
        <v>83.331016967940016</v>
      </c>
      <c r="J238" s="9">
        <f t="shared" si="23"/>
        <v>223.10293295647</v>
      </c>
      <c r="K238" s="9">
        <f t="shared" si="24"/>
        <v>83.331016967940016</v>
      </c>
      <c r="L238" s="10">
        <f t="shared" si="21"/>
        <v>0.37350928499088298</v>
      </c>
      <c r="M238" s="10">
        <f t="shared" si="20"/>
        <v>0.44194876117526743</v>
      </c>
      <c r="P238" s="8">
        <f t="shared" si="25"/>
        <v>-1.0285341664943655</v>
      </c>
    </row>
    <row r="239" spans="1:16" x14ac:dyDescent="0.2">
      <c r="A239" s="8">
        <v>118.5</v>
      </c>
      <c r="B239" s="8">
        <v>237</v>
      </c>
      <c r="D239">
        <v>353.02704733283002</v>
      </c>
      <c r="E239">
        <v>193.45830202855001</v>
      </c>
      <c r="F239">
        <v>128.84487951807</v>
      </c>
      <c r="G239">
        <v>109.61521084336999</v>
      </c>
      <c r="I239" s="9">
        <f t="shared" si="22"/>
        <v>83.843091185180015</v>
      </c>
      <c r="J239" s="9">
        <f t="shared" si="23"/>
        <v>224.18216781476002</v>
      </c>
      <c r="K239" s="9">
        <f t="shared" si="24"/>
        <v>83.843091185180015</v>
      </c>
      <c r="L239" s="10">
        <f t="shared" si="21"/>
        <v>0.37399536280003726</v>
      </c>
      <c r="M239" s="10">
        <f t="shared" si="20"/>
        <v>0.44272483676486402</v>
      </c>
      <c r="P239" s="8">
        <f t="shared" si="25"/>
        <v>-0.85473723470589769</v>
      </c>
    </row>
    <row r="240" spans="1:16" x14ac:dyDescent="0.2">
      <c r="A240" s="8">
        <v>119</v>
      </c>
      <c r="B240" s="8">
        <v>238</v>
      </c>
      <c r="D240">
        <v>352.49586776860002</v>
      </c>
      <c r="E240">
        <v>194.47933884298001</v>
      </c>
      <c r="F240">
        <v>128.32003012048</v>
      </c>
      <c r="G240">
        <v>109.79743975904</v>
      </c>
      <c r="I240" s="9">
        <f t="shared" si="22"/>
        <v>84.68189908394001</v>
      </c>
      <c r="J240" s="9">
        <f t="shared" si="23"/>
        <v>224.17583764812002</v>
      </c>
      <c r="K240" s="9">
        <f t="shared" si="24"/>
        <v>84.68189908394001</v>
      </c>
      <c r="L240" s="10">
        <f t="shared" si="21"/>
        <v>0.3777476643886209</v>
      </c>
      <c r="M240" s="10">
        <f t="shared" si="20"/>
        <v>0.44676713613388996</v>
      </c>
      <c r="P240" s="8">
        <f t="shared" si="25"/>
        <v>5.050864227415542E-2</v>
      </c>
    </row>
    <row r="241" spans="1:16" x14ac:dyDescent="0.2">
      <c r="A241" s="8">
        <v>119.5</v>
      </c>
      <c r="B241" s="8">
        <v>239</v>
      </c>
      <c r="D241">
        <v>345.53719008265</v>
      </c>
      <c r="E241">
        <v>190.91284748309999</v>
      </c>
      <c r="F241">
        <v>128.42243975904</v>
      </c>
      <c r="G241">
        <v>109.67771084336999</v>
      </c>
      <c r="I241" s="9">
        <f t="shared" si="22"/>
        <v>81.235136639730001</v>
      </c>
      <c r="J241" s="9">
        <f t="shared" si="23"/>
        <v>217.11475032361</v>
      </c>
      <c r="K241" s="9">
        <f t="shared" si="24"/>
        <v>81.235136639730001</v>
      </c>
      <c r="L241" s="10">
        <f t="shared" si="21"/>
        <v>0.37415761259264446</v>
      </c>
      <c r="M241" s="10">
        <f t="shared" si="20"/>
        <v>0.44346708211835584</v>
      </c>
      <c r="P241" s="8">
        <f t="shared" si="25"/>
        <v>-0.68851635777020903</v>
      </c>
    </row>
    <row r="242" spans="1:16" x14ac:dyDescent="0.2">
      <c r="A242" s="8">
        <v>120</v>
      </c>
      <c r="B242" s="8">
        <v>240</v>
      </c>
      <c r="D242">
        <v>366.25263157895</v>
      </c>
      <c r="E242">
        <v>195.42857142857</v>
      </c>
      <c r="F242">
        <v>128.52710843374001</v>
      </c>
      <c r="G242">
        <v>109.77710843374</v>
      </c>
      <c r="I242" s="9">
        <f>E242-G242</f>
        <v>85.651462994829998</v>
      </c>
      <c r="J242" s="9">
        <f>D242-F242</f>
        <v>237.72552314520999</v>
      </c>
      <c r="K242" s="9">
        <f t="shared" si="24"/>
        <v>85.651462994829998</v>
      </c>
      <c r="L242" s="10">
        <f t="shared" si="21"/>
        <v>0.36029561261081533</v>
      </c>
      <c r="M242" s="10">
        <f>L242+ABS($N$2)*A242</f>
        <v>0.42989507991696901</v>
      </c>
      <c r="O242" s="11"/>
      <c r="P242" s="8">
        <f>(M242-$O$2)/$O$2*100</f>
        <v>-3.7278753744009143</v>
      </c>
    </row>
    <row r="243" spans="1:16" x14ac:dyDescent="0.2">
      <c r="A243" s="8">
        <v>120.5</v>
      </c>
      <c r="B243" s="8">
        <v>241</v>
      </c>
      <c r="D243">
        <v>356.76351351351002</v>
      </c>
      <c r="E243">
        <v>189.88663663663999</v>
      </c>
      <c r="F243">
        <v>128.72891566265</v>
      </c>
      <c r="G243">
        <v>109.55271084336999</v>
      </c>
      <c r="I243" s="9">
        <f t="shared" ref="I243:I274" si="26">E243-G243</f>
        <v>80.333925793269998</v>
      </c>
      <c r="J243" s="9">
        <f t="shared" ref="J243:J274" si="27">D243-F243</f>
        <v>228.03459785086002</v>
      </c>
      <c r="K243" s="9">
        <f t="shared" si="24"/>
        <v>80.333925793269998</v>
      </c>
      <c r="L243" s="10">
        <f t="shared" si="21"/>
        <v>0.35228832181777203</v>
      </c>
      <c r="M243" s="10">
        <f t="shared" ref="M243:M274" si="28">L243+ABS($N$2)*A243</f>
        <v>0.42217778690436802</v>
      </c>
      <c r="P243" s="8">
        <f t="shared" ref="P243:P274" si="29">(M243-$O$2)/$O$2*100</f>
        <v>-5.4561114705778806</v>
      </c>
    </row>
    <row r="244" spans="1:16" x14ac:dyDescent="0.2">
      <c r="A244" s="8">
        <v>121</v>
      </c>
      <c r="B244" s="8">
        <v>242</v>
      </c>
      <c r="D244">
        <v>359.03228228227999</v>
      </c>
      <c r="E244">
        <v>189.64489489490001</v>
      </c>
      <c r="F244">
        <v>129.48719879518001</v>
      </c>
      <c r="G244">
        <v>109.45256024096</v>
      </c>
      <c r="I244" s="9">
        <f t="shared" si="26"/>
        <v>80.192334653940009</v>
      </c>
      <c r="J244" s="9">
        <f t="shared" si="27"/>
        <v>229.54508348709999</v>
      </c>
      <c r="K244" s="9">
        <f t="shared" si="24"/>
        <v>80.192334653940009</v>
      </c>
      <c r="L244" s="10">
        <f t="shared" si="21"/>
        <v>0.34935330975384044</v>
      </c>
      <c r="M244" s="10">
        <f t="shared" si="28"/>
        <v>0.41953277262087874</v>
      </c>
      <c r="N244" s="1"/>
      <c r="P244" s="8">
        <f t="shared" si="29"/>
        <v>-6.0484447086920561</v>
      </c>
    </row>
    <row r="245" spans="1:16" x14ac:dyDescent="0.2">
      <c r="A245" s="8">
        <v>121.5</v>
      </c>
      <c r="B245" s="8">
        <v>243</v>
      </c>
      <c r="D245">
        <v>359.36261261261001</v>
      </c>
      <c r="E245">
        <v>188.09309309309</v>
      </c>
      <c r="F245">
        <v>128.05421686746999</v>
      </c>
      <c r="G245">
        <v>109.41114457831</v>
      </c>
      <c r="I245" s="9">
        <f t="shared" si="26"/>
        <v>78.681948514780004</v>
      </c>
      <c r="J245" s="9">
        <f t="shared" si="27"/>
        <v>231.30839574514002</v>
      </c>
      <c r="K245" s="9">
        <f t="shared" si="24"/>
        <v>78.681948514780004</v>
      </c>
      <c r="L245" s="10">
        <f t="shared" si="21"/>
        <v>0.3401603658237865</v>
      </c>
      <c r="M245" s="10">
        <f t="shared" si="28"/>
        <v>0.41062982647126711</v>
      </c>
      <c r="P245" s="8">
        <f t="shared" si="29"/>
        <v>-8.0421998859226278</v>
      </c>
    </row>
    <row r="246" spans="1:16" x14ac:dyDescent="0.2">
      <c r="A246" s="8">
        <v>122</v>
      </c>
      <c r="B246" s="8">
        <v>244</v>
      </c>
      <c r="D246">
        <v>355.37387387387002</v>
      </c>
      <c r="E246">
        <v>185.36336336336001</v>
      </c>
      <c r="F246">
        <v>129.11069277108001</v>
      </c>
      <c r="G246">
        <v>109.74774096386</v>
      </c>
      <c r="I246" s="9">
        <f t="shared" si="26"/>
        <v>75.615622399500012</v>
      </c>
      <c r="J246" s="9">
        <f t="shared" si="27"/>
        <v>226.26318110279001</v>
      </c>
      <c r="K246" s="9">
        <f t="shared" si="24"/>
        <v>75.615622399500012</v>
      </c>
      <c r="L246" s="10">
        <f t="shared" si="21"/>
        <v>0.33419322591928152</v>
      </c>
      <c r="M246" s="10">
        <f t="shared" si="28"/>
        <v>0.40495268434720444</v>
      </c>
      <c r="P246" s="8">
        <f t="shared" si="29"/>
        <v>-9.3135578511976966</v>
      </c>
    </row>
    <row r="247" spans="1:16" x14ac:dyDescent="0.2">
      <c r="A247" s="8">
        <v>122.5</v>
      </c>
      <c r="B247" s="8">
        <v>245</v>
      </c>
      <c r="D247">
        <v>364.34612490593997</v>
      </c>
      <c r="E247">
        <v>188.8532731377</v>
      </c>
      <c r="F247">
        <v>128.76430722891999</v>
      </c>
      <c r="G247">
        <v>109.77409638554001</v>
      </c>
      <c r="I247" s="9">
        <f t="shared" si="26"/>
        <v>79.079176752159995</v>
      </c>
      <c r="J247" s="9">
        <f t="shared" si="27"/>
        <v>235.58181767701998</v>
      </c>
      <c r="K247" s="9">
        <f t="shared" si="24"/>
        <v>79.079176752159995</v>
      </c>
      <c r="L247" s="10">
        <f t="shared" si="21"/>
        <v>0.33567606164146613</v>
      </c>
      <c r="M247" s="10">
        <f t="shared" si="28"/>
        <v>0.40672551784983135</v>
      </c>
      <c r="P247" s="8">
        <f t="shared" si="29"/>
        <v>-8.9165436589480418</v>
      </c>
    </row>
    <row r="248" spans="1:16" x14ac:dyDescent="0.2">
      <c r="A248" s="8">
        <v>123</v>
      </c>
      <c r="B248" s="8">
        <v>246</v>
      </c>
      <c r="D248">
        <v>372.15274642588003</v>
      </c>
      <c r="E248">
        <v>192.88562829195001</v>
      </c>
      <c r="F248">
        <v>128.32981927711</v>
      </c>
      <c r="G248">
        <v>109.38704819277</v>
      </c>
      <c r="I248" s="9">
        <f t="shared" si="26"/>
        <v>83.498580099180018</v>
      </c>
      <c r="J248" s="9">
        <f t="shared" si="27"/>
        <v>243.82292714877002</v>
      </c>
      <c r="K248" s="9">
        <f t="shared" si="24"/>
        <v>83.498580099180018</v>
      </c>
      <c r="L248" s="10">
        <f t="shared" si="21"/>
        <v>0.34245581855488455</v>
      </c>
      <c r="M248" s="10">
        <f t="shared" si="28"/>
        <v>0.41379527254369208</v>
      </c>
      <c r="P248" s="8">
        <f t="shared" si="29"/>
        <v>-7.3333194334201979</v>
      </c>
    </row>
    <row r="249" spans="1:16" x14ac:dyDescent="0.2">
      <c r="A249" s="8">
        <v>123.5</v>
      </c>
      <c r="B249" s="8">
        <v>247</v>
      </c>
      <c r="D249">
        <v>370.23024830700001</v>
      </c>
      <c r="E249">
        <v>190.69601203913001</v>
      </c>
      <c r="F249">
        <v>128.21234939759</v>
      </c>
      <c r="G249">
        <v>109.45331325300999</v>
      </c>
      <c r="I249" s="9">
        <f t="shared" si="26"/>
        <v>81.242698786120016</v>
      </c>
      <c r="J249" s="9">
        <f t="shared" si="27"/>
        <v>242.01789890941001</v>
      </c>
      <c r="K249" s="9">
        <f t="shared" si="24"/>
        <v>81.242698786120016</v>
      </c>
      <c r="L249" s="10">
        <f t="shared" si="21"/>
        <v>0.33568880298613807</v>
      </c>
      <c r="M249" s="10">
        <f t="shared" si="28"/>
        <v>0.40731825475538791</v>
      </c>
      <c r="P249" s="8">
        <f t="shared" si="29"/>
        <v>-8.7838041978382417</v>
      </c>
    </row>
    <row r="250" spans="1:16" x14ac:dyDescent="0.2">
      <c r="A250" s="8">
        <v>124</v>
      </c>
      <c r="B250" s="8">
        <v>248</v>
      </c>
      <c r="D250">
        <v>369.75451807229001</v>
      </c>
      <c r="E250">
        <v>190.40361445783</v>
      </c>
      <c r="F250">
        <v>128.02484939759</v>
      </c>
      <c r="G250">
        <v>109.6031626506</v>
      </c>
      <c r="I250" s="9">
        <f t="shared" si="26"/>
        <v>80.800451807230004</v>
      </c>
      <c r="J250" s="9">
        <f t="shared" si="27"/>
        <v>241.72966867470001</v>
      </c>
      <c r="K250" s="9">
        <f t="shared" si="24"/>
        <v>80.800451807230004</v>
      </c>
      <c r="L250" s="10">
        <f t="shared" si="21"/>
        <v>0.334259556347486</v>
      </c>
      <c r="M250" s="10">
        <f t="shared" si="28"/>
        <v>0.40617900589717815</v>
      </c>
      <c r="P250" s="8">
        <f t="shared" si="29"/>
        <v>-9.0389313513714384</v>
      </c>
    </row>
    <row r="251" spans="1:16" x14ac:dyDescent="0.2">
      <c r="A251" s="8">
        <v>124.5</v>
      </c>
      <c r="B251" s="8">
        <v>249</v>
      </c>
      <c r="D251">
        <v>380.30798192770999</v>
      </c>
      <c r="E251">
        <v>193.16792168674999</v>
      </c>
      <c r="F251">
        <v>128.61370481928</v>
      </c>
      <c r="G251">
        <v>109.47289156626999</v>
      </c>
      <c r="I251" s="9">
        <f t="shared" si="26"/>
        <v>83.695030120479998</v>
      </c>
      <c r="J251" s="9">
        <f t="shared" si="27"/>
        <v>251.69427710842999</v>
      </c>
      <c r="K251" s="9">
        <f t="shared" si="24"/>
        <v>83.695030120479998</v>
      </c>
      <c r="L251" s="10">
        <f t="shared" si="21"/>
        <v>0.33252655198204667</v>
      </c>
      <c r="M251" s="10">
        <f t="shared" si="28"/>
        <v>0.40473599931218113</v>
      </c>
      <c r="P251" s="8">
        <f t="shared" si="29"/>
        <v>-9.3620830138962212</v>
      </c>
    </row>
    <row r="252" spans="1:16" x14ac:dyDescent="0.2">
      <c r="A252" s="8">
        <v>125</v>
      </c>
      <c r="B252" s="8">
        <v>250</v>
      </c>
      <c r="D252">
        <v>378.38780120481999</v>
      </c>
      <c r="E252">
        <v>193.73870481928</v>
      </c>
      <c r="F252">
        <v>128.19503012048</v>
      </c>
      <c r="G252">
        <v>109.58358433735</v>
      </c>
      <c r="I252" s="9">
        <f t="shared" si="26"/>
        <v>84.155120481929998</v>
      </c>
      <c r="J252" s="9">
        <f t="shared" si="27"/>
        <v>250.19277108434</v>
      </c>
      <c r="K252" s="9">
        <f t="shared" si="24"/>
        <v>84.155120481929998</v>
      </c>
      <c r="L252" s="10">
        <f t="shared" si="21"/>
        <v>0.33636111913705652</v>
      </c>
      <c r="M252" s="10">
        <f t="shared" si="28"/>
        <v>0.40886056424763328</v>
      </c>
      <c r="P252" s="8">
        <f t="shared" si="29"/>
        <v>-8.4384143141546026</v>
      </c>
    </row>
    <row r="253" spans="1:16" x14ac:dyDescent="0.2">
      <c r="A253" s="8">
        <v>125.5</v>
      </c>
      <c r="B253" s="8">
        <v>251</v>
      </c>
      <c r="D253">
        <v>367.6875</v>
      </c>
      <c r="E253">
        <v>188.64909638553999</v>
      </c>
      <c r="F253">
        <v>129.00376506024</v>
      </c>
      <c r="G253">
        <v>109.50451807229</v>
      </c>
      <c r="I253" s="9">
        <f t="shared" si="26"/>
        <v>79.144578313249994</v>
      </c>
      <c r="J253" s="9">
        <f t="shared" si="27"/>
        <v>238.68373493976</v>
      </c>
      <c r="K253" s="9">
        <f t="shared" si="24"/>
        <v>79.144578313249994</v>
      </c>
      <c r="L253" s="10">
        <f t="shared" si="21"/>
        <v>0.33158764812032471</v>
      </c>
      <c r="M253" s="10">
        <f t="shared" si="28"/>
        <v>0.40437709101134378</v>
      </c>
      <c r="P253" s="8">
        <f t="shared" si="29"/>
        <v>-9.4424581246652224</v>
      </c>
    </row>
    <row r="254" spans="1:16" x14ac:dyDescent="0.2">
      <c r="A254" s="8">
        <v>126</v>
      </c>
      <c r="B254" s="8">
        <v>252</v>
      </c>
      <c r="D254">
        <v>368.61295180722999</v>
      </c>
      <c r="E254">
        <v>191.10542168674999</v>
      </c>
      <c r="F254">
        <v>128.14683734939999</v>
      </c>
      <c r="G254">
        <v>109.46234939759</v>
      </c>
      <c r="I254" s="9">
        <f t="shared" si="26"/>
        <v>81.643072289159988</v>
      </c>
      <c r="J254" s="9">
        <f t="shared" si="27"/>
        <v>240.46611445783</v>
      </c>
      <c r="K254" s="9">
        <f t="shared" si="24"/>
        <v>81.643072289159988</v>
      </c>
      <c r="L254" s="10">
        <f t="shared" si="21"/>
        <v>0.3395200711469788</v>
      </c>
      <c r="M254" s="10">
        <f t="shared" si="28"/>
        <v>0.41259951181844012</v>
      </c>
      <c r="P254" s="8">
        <f t="shared" si="29"/>
        <v>-7.6011020411813455</v>
      </c>
    </row>
    <row r="255" spans="1:16" x14ac:dyDescent="0.2">
      <c r="A255" s="8">
        <v>126.5</v>
      </c>
      <c r="B255" s="8">
        <v>253</v>
      </c>
      <c r="D255">
        <v>363.11219879518001</v>
      </c>
      <c r="E255">
        <v>193.80873493976</v>
      </c>
      <c r="F255">
        <v>128.19804216867999</v>
      </c>
      <c r="G255">
        <v>109.82605421687001</v>
      </c>
      <c r="I255" s="9">
        <f t="shared" si="26"/>
        <v>83.982680722889995</v>
      </c>
      <c r="J255" s="9">
        <f t="shared" si="27"/>
        <v>234.91415662650002</v>
      </c>
      <c r="K255" s="9">
        <f t="shared" si="24"/>
        <v>83.982680722889995</v>
      </c>
      <c r="L255" s="10">
        <f t="shared" si="21"/>
        <v>0.35750370232653805</v>
      </c>
      <c r="M255" s="10">
        <f t="shared" si="28"/>
        <v>0.43087314077844174</v>
      </c>
      <c r="P255" s="8">
        <f t="shared" si="29"/>
        <v>-3.5088451934430172</v>
      </c>
    </row>
    <row r="256" spans="1:16" x14ac:dyDescent="0.2">
      <c r="A256" s="8">
        <v>127</v>
      </c>
      <c r="B256" s="8">
        <v>254</v>
      </c>
      <c r="D256">
        <v>359.85391566265002</v>
      </c>
      <c r="E256">
        <v>193.97816265060001</v>
      </c>
      <c r="F256">
        <v>128.42771084336999</v>
      </c>
      <c r="G256">
        <v>109.625</v>
      </c>
      <c r="I256" s="9">
        <f t="shared" si="26"/>
        <v>84.353162650600012</v>
      </c>
      <c r="J256" s="9">
        <f t="shared" si="27"/>
        <v>231.42620481928003</v>
      </c>
      <c r="K256" s="9">
        <f t="shared" si="24"/>
        <v>84.353162650600012</v>
      </c>
      <c r="L256" s="10">
        <f t="shared" si="21"/>
        <v>0.36449270175117432</v>
      </c>
      <c r="M256" s="10">
        <f t="shared" si="28"/>
        <v>0.43815213798352026</v>
      </c>
      <c r="P256" s="8">
        <f t="shared" si="29"/>
        <v>-1.8787625085887174</v>
      </c>
    </row>
    <row r="257" spans="1:16" x14ac:dyDescent="0.2">
      <c r="A257" s="8">
        <v>127.5</v>
      </c>
      <c r="B257" s="8">
        <v>255</v>
      </c>
      <c r="D257">
        <v>364.99472891566</v>
      </c>
      <c r="E257">
        <v>194.16114457831</v>
      </c>
      <c r="F257">
        <v>128.11295180722999</v>
      </c>
      <c r="G257">
        <v>109.49472891566</v>
      </c>
      <c r="I257" s="9">
        <f t="shared" si="26"/>
        <v>84.666415662649996</v>
      </c>
      <c r="J257" s="9">
        <f t="shared" si="27"/>
        <v>236.88177710843001</v>
      </c>
      <c r="K257" s="9">
        <f t="shared" si="24"/>
        <v>84.666415662649996</v>
      </c>
      <c r="L257" s="10">
        <f t="shared" si="21"/>
        <v>0.35742055254801164</v>
      </c>
      <c r="M257" s="10">
        <f t="shared" si="28"/>
        <v>0.43136998656079995</v>
      </c>
      <c r="P257" s="8">
        <f t="shared" si="29"/>
        <v>-3.3975799072989408</v>
      </c>
    </row>
    <row r="258" spans="1:16" x14ac:dyDescent="0.2">
      <c r="A258" s="8">
        <v>128</v>
      </c>
      <c r="B258" s="8">
        <v>256</v>
      </c>
      <c r="D258">
        <v>382.29699248119999</v>
      </c>
      <c r="E258">
        <v>199.87368421053</v>
      </c>
      <c r="F258">
        <v>128.31777108434</v>
      </c>
      <c r="G258">
        <v>109.38780120481999</v>
      </c>
      <c r="I258" s="9">
        <f t="shared" si="26"/>
        <v>90.485883005710008</v>
      </c>
      <c r="J258" s="9">
        <f t="shared" si="27"/>
        <v>253.97922139686</v>
      </c>
      <c r="K258" s="9">
        <f t="shared" si="24"/>
        <v>90.485883005710008</v>
      </c>
      <c r="L258" s="10">
        <f t="shared" ref="L258:L321" si="30">K258/J258</f>
        <v>0.35627277896217974</v>
      </c>
      <c r="M258" s="10">
        <f t="shared" si="28"/>
        <v>0.43051221075541035</v>
      </c>
      <c r="P258" s="8">
        <f t="shared" si="29"/>
        <v>-3.5896730553601848</v>
      </c>
    </row>
    <row r="259" spans="1:16" x14ac:dyDescent="0.2">
      <c r="A259" s="8">
        <v>128.5</v>
      </c>
      <c r="B259" s="8">
        <v>257</v>
      </c>
      <c r="D259">
        <v>399.00075187969998</v>
      </c>
      <c r="E259">
        <v>203.47744360902001</v>
      </c>
      <c r="F259">
        <v>128.10466867470001</v>
      </c>
      <c r="G259">
        <v>109.79819277108</v>
      </c>
      <c r="I259" s="9">
        <f t="shared" si="26"/>
        <v>93.679250837940018</v>
      </c>
      <c r="J259" s="9">
        <f t="shared" si="27"/>
        <v>270.89608320499997</v>
      </c>
      <c r="K259" s="9">
        <f t="shared" ref="K259:K321" si="31">I259*1</f>
        <v>93.679250837940018</v>
      </c>
      <c r="L259" s="10">
        <f t="shared" si="30"/>
        <v>0.34581249654705587</v>
      </c>
      <c r="M259" s="10">
        <f t="shared" si="28"/>
        <v>0.42034192612072874</v>
      </c>
      <c r="P259" s="8">
        <f t="shared" si="29"/>
        <v>-5.86724020038774</v>
      </c>
    </row>
    <row r="260" spans="1:16" x14ac:dyDescent="0.2">
      <c r="A260" s="8">
        <v>129</v>
      </c>
      <c r="B260" s="8">
        <v>258</v>
      </c>
      <c r="D260">
        <v>391.42846385541998</v>
      </c>
      <c r="E260">
        <v>199.09638554217</v>
      </c>
      <c r="F260">
        <v>128.16792168674999</v>
      </c>
      <c r="G260">
        <v>109.45858433735</v>
      </c>
      <c r="I260" s="9">
        <f t="shared" si="26"/>
        <v>89.637801204819993</v>
      </c>
      <c r="J260" s="9">
        <f t="shared" si="27"/>
        <v>263.26054216866999</v>
      </c>
      <c r="K260" s="9">
        <f t="shared" si="31"/>
        <v>89.637801204819993</v>
      </c>
      <c r="L260" s="10">
        <f t="shared" si="30"/>
        <v>0.34049083264209573</v>
      </c>
      <c r="M260" s="10">
        <f t="shared" si="28"/>
        <v>0.41531025999621096</v>
      </c>
      <c r="P260" s="8">
        <f t="shared" si="29"/>
        <v>-6.9940481375884644</v>
      </c>
    </row>
    <row r="261" spans="1:16" x14ac:dyDescent="0.2">
      <c r="A261" s="8">
        <v>129.5</v>
      </c>
      <c r="B261" s="8">
        <v>259</v>
      </c>
      <c r="D261">
        <v>382.10768072289</v>
      </c>
      <c r="E261">
        <v>194.83584337349001</v>
      </c>
      <c r="F261">
        <v>128.28915662650999</v>
      </c>
      <c r="G261">
        <v>109.77484939759</v>
      </c>
      <c r="I261" s="9">
        <f t="shared" si="26"/>
        <v>85.060993975900004</v>
      </c>
      <c r="J261" s="9">
        <f t="shared" si="27"/>
        <v>253.81852409638</v>
      </c>
      <c r="K261" s="9">
        <f t="shared" si="31"/>
        <v>85.060993975900004</v>
      </c>
      <c r="L261" s="10">
        <f t="shared" si="30"/>
        <v>0.33512524067628979</v>
      </c>
      <c r="M261" s="10">
        <f t="shared" si="28"/>
        <v>0.41023466581084733</v>
      </c>
      <c r="P261" s="8">
        <f t="shared" si="29"/>
        <v>-8.1306934698790094</v>
      </c>
    </row>
    <row r="262" spans="1:16" x14ac:dyDescent="0.2">
      <c r="A262" s="8">
        <v>130</v>
      </c>
      <c r="B262" s="8">
        <v>260</v>
      </c>
      <c r="D262">
        <v>346.27873779113003</v>
      </c>
      <c r="E262">
        <v>179.83921863261</v>
      </c>
      <c r="F262">
        <v>128.34487951807</v>
      </c>
      <c r="G262">
        <v>109.40210843374</v>
      </c>
      <c r="I262" s="9">
        <f t="shared" si="26"/>
        <v>70.437110198870002</v>
      </c>
      <c r="J262" s="9">
        <f t="shared" si="27"/>
        <v>217.93385827306003</v>
      </c>
      <c r="K262" s="9">
        <f t="shared" si="31"/>
        <v>70.437110198870002</v>
      </c>
      <c r="L262" s="10">
        <f t="shared" si="30"/>
        <v>0.32320407098293047</v>
      </c>
      <c r="M262" s="10">
        <f t="shared" si="28"/>
        <v>0.39860349389793026</v>
      </c>
      <c r="P262" s="8">
        <f t="shared" si="29"/>
        <v>-10.735416538955288</v>
      </c>
    </row>
    <row r="263" spans="1:16" x14ac:dyDescent="0.2">
      <c r="A263" s="8">
        <v>130.5</v>
      </c>
      <c r="B263" s="8">
        <v>261</v>
      </c>
      <c r="D263">
        <v>328.35730337079002</v>
      </c>
      <c r="E263">
        <v>176.91011235955</v>
      </c>
      <c r="F263">
        <v>128.71762048193</v>
      </c>
      <c r="G263">
        <v>109.39608433735</v>
      </c>
      <c r="I263" s="9">
        <f t="shared" si="26"/>
        <v>67.514028022199994</v>
      </c>
      <c r="J263" s="9">
        <f t="shared" si="27"/>
        <v>199.63968288886002</v>
      </c>
      <c r="K263" s="9">
        <f t="shared" si="31"/>
        <v>67.514028022199994</v>
      </c>
      <c r="L263" s="10">
        <f t="shared" si="30"/>
        <v>0.33817939923189139</v>
      </c>
      <c r="M263" s="10">
        <f t="shared" si="28"/>
        <v>0.41386881992733349</v>
      </c>
      <c r="P263" s="8">
        <f t="shared" si="29"/>
        <v>-7.3168489893174646</v>
      </c>
    </row>
    <row r="264" spans="1:16" x14ac:dyDescent="0.2">
      <c r="A264" s="8">
        <v>131</v>
      </c>
      <c r="B264" s="8">
        <v>262</v>
      </c>
      <c r="D264">
        <v>338.91310861423</v>
      </c>
      <c r="E264">
        <v>187.40449438202</v>
      </c>
      <c r="F264">
        <v>128.10918674698999</v>
      </c>
      <c r="G264">
        <v>109.26882530121</v>
      </c>
      <c r="I264" s="9">
        <f t="shared" si="26"/>
        <v>78.135669080810004</v>
      </c>
      <c r="J264" s="9">
        <f t="shared" si="27"/>
        <v>210.80392186724001</v>
      </c>
      <c r="K264" s="9">
        <f t="shared" si="31"/>
        <v>78.135669080810004</v>
      </c>
      <c r="L264" s="10">
        <f t="shared" si="30"/>
        <v>0.37065567086564094</v>
      </c>
      <c r="M264" s="10">
        <f t="shared" si="28"/>
        <v>0.44663508934152535</v>
      </c>
      <c r="P264" s="8">
        <f t="shared" si="29"/>
        <v>2.093764729232836E-2</v>
      </c>
    </row>
    <row r="265" spans="1:16" x14ac:dyDescent="0.2">
      <c r="A265" s="8">
        <v>131.5</v>
      </c>
      <c r="B265" s="8">
        <v>263</v>
      </c>
      <c r="D265">
        <v>332.8</v>
      </c>
      <c r="E265">
        <v>182.08764044943999</v>
      </c>
      <c r="F265">
        <v>128.11219879518001</v>
      </c>
      <c r="G265">
        <v>109.43072289157</v>
      </c>
      <c r="I265" s="9">
        <f t="shared" si="26"/>
        <v>72.656917557869988</v>
      </c>
      <c r="J265" s="9">
        <f t="shared" si="27"/>
        <v>204.68780120482</v>
      </c>
      <c r="K265" s="9">
        <f t="shared" si="31"/>
        <v>72.656917557869988</v>
      </c>
      <c r="L265" s="10">
        <f t="shared" si="30"/>
        <v>0.35496457106970503</v>
      </c>
      <c r="M265" s="10">
        <f t="shared" si="28"/>
        <v>0.43123398732603174</v>
      </c>
      <c r="P265" s="8">
        <f t="shared" si="29"/>
        <v>-3.428036025292009</v>
      </c>
    </row>
    <row r="266" spans="1:16" x14ac:dyDescent="0.2">
      <c r="A266" s="8">
        <v>132</v>
      </c>
      <c r="B266" s="8">
        <v>264</v>
      </c>
      <c r="D266">
        <v>338.81428571429001</v>
      </c>
      <c r="E266">
        <v>182.33759398495999</v>
      </c>
      <c r="F266">
        <v>128.27033132529999</v>
      </c>
      <c r="G266">
        <v>109.36144578312999</v>
      </c>
      <c r="I266" s="9">
        <f t="shared" si="26"/>
        <v>72.97614820183</v>
      </c>
      <c r="J266" s="9">
        <f t="shared" si="27"/>
        <v>210.54395438899002</v>
      </c>
      <c r="K266" s="9">
        <f t="shared" si="31"/>
        <v>72.97614820183</v>
      </c>
      <c r="L266" s="10">
        <f t="shared" si="30"/>
        <v>0.34660766400826254</v>
      </c>
      <c r="M266" s="10">
        <f t="shared" si="28"/>
        <v>0.42316707804503156</v>
      </c>
      <c r="P266" s="8">
        <f t="shared" si="29"/>
        <v>-5.2345663437916974</v>
      </c>
    </row>
    <row r="267" spans="1:16" x14ac:dyDescent="0.2">
      <c r="A267" s="8">
        <v>132.5</v>
      </c>
      <c r="B267" s="8">
        <v>265</v>
      </c>
      <c r="D267">
        <v>343.23458646617001</v>
      </c>
      <c r="E267">
        <v>182.89774436089999</v>
      </c>
      <c r="F267">
        <v>127.58584337348999</v>
      </c>
      <c r="G267">
        <v>109.4375</v>
      </c>
      <c r="I267" s="9">
        <f t="shared" si="26"/>
        <v>73.460244360899992</v>
      </c>
      <c r="J267" s="9">
        <f t="shared" si="27"/>
        <v>215.64874309268004</v>
      </c>
      <c r="K267" s="9">
        <f t="shared" si="31"/>
        <v>73.460244360899992</v>
      </c>
      <c r="L267" s="10">
        <f t="shared" si="30"/>
        <v>0.34064768153704822</v>
      </c>
      <c r="M267" s="10">
        <f t="shared" si="28"/>
        <v>0.41749709335425955</v>
      </c>
      <c r="P267" s="8">
        <f t="shared" si="29"/>
        <v>-6.5043214498065671</v>
      </c>
    </row>
    <row r="268" spans="1:16" x14ac:dyDescent="0.2">
      <c r="A268" s="8">
        <v>133</v>
      </c>
      <c r="B268" s="8">
        <v>266</v>
      </c>
      <c r="D268">
        <v>341.67894736841998</v>
      </c>
      <c r="E268">
        <v>182.07142857143</v>
      </c>
      <c r="F268">
        <v>128.22213855422001</v>
      </c>
      <c r="G268">
        <v>109.40512048193</v>
      </c>
      <c r="I268" s="9">
        <f t="shared" si="26"/>
        <v>72.666308089500006</v>
      </c>
      <c r="J268" s="9">
        <f t="shared" si="27"/>
        <v>213.45680881419997</v>
      </c>
      <c r="K268" s="9">
        <f t="shared" si="31"/>
        <v>72.666308089500006</v>
      </c>
      <c r="L268" s="10">
        <f t="shared" si="30"/>
        <v>0.34042628339277392</v>
      </c>
      <c r="M268" s="10">
        <f t="shared" si="28"/>
        <v>0.41756569299042756</v>
      </c>
      <c r="P268" s="8">
        <f t="shared" si="29"/>
        <v>-6.4889590206210253</v>
      </c>
    </row>
    <row r="269" spans="1:16" x14ac:dyDescent="0.2">
      <c r="A269" s="8">
        <v>133.5</v>
      </c>
      <c r="B269" s="8">
        <v>267</v>
      </c>
      <c r="D269">
        <v>355.76333583771998</v>
      </c>
      <c r="E269">
        <v>187.19609316303999</v>
      </c>
      <c r="F269">
        <v>127.80873493976</v>
      </c>
      <c r="G269">
        <v>109.44201807229</v>
      </c>
      <c r="I269" s="9">
        <f t="shared" si="26"/>
        <v>77.754075090749993</v>
      </c>
      <c r="J269" s="9">
        <f t="shared" si="27"/>
        <v>227.95460089795998</v>
      </c>
      <c r="K269" s="9">
        <f t="shared" si="31"/>
        <v>77.754075090749993</v>
      </c>
      <c r="L269" s="10">
        <f t="shared" si="30"/>
        <v>0.34109456349843664</v>
      </c>
      <c r="M269" s="10">
        <f t="shared" si="28"/>
        <v>0.41852397087653259</v>
      </c>
      <c r="P269" s="8">
        <f t="shared" si="29"/>
        <v>-6.2743591045324827</v>
      </c>
    </row>
    <row r="270" spans="1:16" x14ac:dyDescent="0.2">
      <c r="A270" s="8">
        <v>134</v>
      </c>
      <c r="B270" s="8">
        <v>268</v>
      </c>
      <c r="D270">
        <v>351.65965439518999</v>
      </c>
      <c r="E270">
        <v>183.99549211120001</v>
      </c>
      <c r="F270">
        <v>128.52560240963999</v>
      </c>
      <c r="G270">
        <v>109.21009036145</v>
      </c>
      <c r="I270" s="9">
        <f t="shared" si="26"/>
        <v>74.785401749750008</v>
      </c>
      <c r="J270" s="9">
        <f t="shared" si="27"/>
        <v>223.13405198555</v>
      </c>
      <c r="K270" s="9">
        <f t="shared" si="31"/>
        <v>74.785401749750008</v>
      </c>
      <c r="L270" s="10">
        <f t="shared" si="30"/>
        <v>0.33515907179686344</v>
      </c>
      <c r="M270" s="10">
        <f t="shared" si="28"/>
        <v>0.4128784769554017</v>
      </c>
      <c r="P270" s="8">
        <f t="shared" si="29"/>
        <v>-7.5386296666732484</v>
      </c>
    </row>
    <row r="271" spans="1:16" x14ac:dyDescent="0.2">
      <c r="A271" s="8">
        <v>134.5</v>
      </c>
      <c r="B271" s="8">
        <v>269</v>
      </c>
      <c r="D271">
        <v>362.72326103216</v>
      </c>
      <c r="E271">
        <v>186.86237845924001</v>
      </c>
      <c r="F271">
        <v>128.20406626505999</v>
      </c>
      <c r="G271">
        <v>109.33207831324999</v>
      </c>
      <c r="I271" s="9">
        <f t="shared" si="26"/>
        <v>77.530300145990012</v>
      </c>
      <c r="J271" s="9">
        <f t="shared" si="27"/>
        <v>234.5191947671</v>
      </c>
      <c r="K271" s="9">
        <f t="shared" si="31"/>
        <v>77.530300145990012</v>
      </c>
      <c r="L271" s="10">
        <f t="shared" si="30"/>
        <v>0.33059255649834979</v>
      </c>
      <c r="M271" s="10">
        <f t="shared" si="28"/>
        <v>0.40860195943733035</v>
      </c>
      <c r="P271" s="8">
        <f t="shared" si="29"/>
        <v>-8.49632712983761</v>
      </c>
    </row>
    <row r="272" spans="1:16" x14ac:dyDescent="0.2">
      <c r="A272" s="8">
        <v>135</v>
      </c>
      <c r="B272" s="8">
        <v>270</v>
      </c>
      <c r="D272">
        <v>358.02842183993999</v>
      </c>
      <c r="E272">
        <v>185.50411368735999</v>
      </c>
      <c r="F272">
        <v>127.92996987952</v>
      </c>
      <c r="G272">
        <v>109.6265060241</v>
      </c>
      <c r="I272" s="9">
        <f t="shared" si="26"/>
        <v>75.877607663259994</v>
      </c>
      <c r="J272" s="9">
        <f t="shared" si="27"/>
        <v>230.09845196041999</v>
      </c>
      <c r="K272" s="9">
        <f t="shared" si="31"/>
        <v>75.877607663259994</v>
      </c>
      <c r="L272" s="10">
        <f t="shared" si="30"/>
        <v>0.32976148694955998</v>
      </c>
      <c r="M272" s="10">
        <f t="shared" si="28"/>
        <v>0.40806088766898285</v>
      </c>
      <c r="P272" s="8">
        <f t="shared" si="29"/>
        <v>-8.6174965294125112</v>
      </c>
    </row>
    <row r="273" spans="1:16" x14ac:dyDescent="0.2">
      <c r="A273" s="8">
        <v>135.5</v>
      </c>
      <c r="B273" s="8">
        <v>271</v>
      </c>
      <c r="D273">
        <v>351.83171278983002</v>
      </c>
      <c r="E273">
        <v>182.77038145101</v>
      </c>
      <c r="F273">
        <v>128.10692771084001</v>
      </c>
      <c r="G273">
        <v>109.4811746988</v>
      </c>
      <c r="I273" s="9">
        <f t="shared" si="26"/>
        <v>73.289206752209992</v>
      </c>
      <c r="J273" s="9">
        <f t="shared" si="27"/>
        <v>223.72478507899001</v>
      </c>
      <c r="K273" s="9">
        <f t="shared" si="31"/>
        <v>73.289206752209992</v>
      </c>
      <c r="L273" s="10">
        <f t="shared" si="30"/>
        <v>0.3275864438816376</v>
      </c>
      <c r="M273" s="10">
        <f t="shared" si="28"/>
        <v>0.40617584238150278</v>
      </c>
      <c r="P273" s="8">
        <f t="shared" si="29"/>
        <v>-9.0396397995244442</v>
      </c>
    </row>
    <row r="274" spans="1:16" x14ac:dyDescent="0.2">
      <c r="A274" s="8">
        <v>136</v>
      </c>
      <c r="B274" s="8">
        <v>272</v>
      </c>
      <c r="D274">
        <v>343.61244377810999</v>
      </c>
      <c r="E274">
        <v>180.19640179909999</v>
      </c>
      <c r="F274">
        <v>128.20858433735</v>
      </c>
      <c r="G274">
        <v>109.31325301205</v>
      </c>
      <c r="I274" s="9">
        <f t="shared" si="26"/>
        <v>70.88314878704999</v>
      </c>
      <c r="J274" s="9">
        <f t="shared" si="27"/>
        <v>215.40385944075999</v>
      </c>
      <c r="K274" s="9">
        <f t="shared" si="31"/>
        <v>70.88314878704999</v>
      </c>
      <c r="L274" s="10">
        <f t="shared" si="30"/>
        <v>0.32907093202080789</v>
      </c>
      <c r="M274" s="10">
        <f t="shared" si="28"/>
        <v>0.40795032830111538</v>
      </c>
      <c r="P274" s="8">
        <f t="shared" si="29"/>
        <v>-8.6422555595552168</v>
      </c>
    </row>
    <row r="275" spans="1:16" x14ac:dyDescent="0.2">
      <c r="A275" s="8">
        <v>136.5</v>
      </c>
      <c r="B275" s="8">
        <v>273</v>
      </c>
      <c r="D275">
        <v>345.31334332834001</v>
      </c>
      <c r="E275">
        <v>181.8095952024</v>
      </c>
      <c r="F275">
        <v>128.49322289157001</v>
      </c>
      <c r="G275">
        <v>109.52259036145</v>
      </c>
      <c r="I275" s="9">
        <f>E275-G275</f>
        <v>72.287004840950004</v>
      </c>
      <c r="J275" s="9">
        <f>D275-F275</f>
        <v>216.82012043677</v>
      </c>
      <c r="K275" s="9">
        <f t="shared" si="31"/>
        <v>72.287004840950004</v>
      </c>
      <c r="L275" s="10">
        <f t="shared" si="30"/>
        <v>0.33339620278474408</v>
      </c>
      <c r="M275" s="10">
        <f>L275+ABS($N$2)*A275</f>
        <v>0.41256559684549388</v>
      </c>
      <c r="O275" s="11"/>
      <c r="P275" s="8">
        <f>(M275-$O$2)/$O$2*100</f>
        <v>-7.6086970722823901</v>
      </c>
    </row>
    <row r="276" spans="1:16" x14ac:dyDescent="0.2">
      <c r="A276" s="8">
        <v>137</v>
      </c>
      <c r="B276" s="8">
        <v>274</v>
      </c>
      <c r="D276">
        <v>347.8988005997</v>
      </c>
      <c r="E276">
        <v>183.06596701648999</v>
      </c>
      <c r="F276">
        <v>128.30647590360999</v>
      </c>
      <c r="G276">
        <v>109.54668674699001</v>
      </c>
      <c r="I276" s="9">
        <f t="shared" ref="I276:I291" si="32">E276-G276</f>
        <v>73.519280269499987</v>
      </c>
      <c r="J276" s="9">
        <f t="shared" ref="J276:J291" si="33">D276-F276</f>
        <v>219.59232469609</v>
      </c>
      <c r="K276" s="9">
        <f t="shared" si="31"/>
        <v>73.519280269499987</v>
      </c>
      <c r="L276" s="10">
        <f t="shared" si="30"/>
        <v>0.33479895242809027</v>
      </c>
      <c r="M276" s="10">
        <f t="shared" ref="M276:M291" si="34">L276+ABS($N$2)*A276</f>
        <v>0.41425834426928237</v>
      </c>
      <c r="P276" s="8">
        <f t="shared" ref="P276:P291" si="35">(M276-$O$2)/$O$2*100</f>
        <v>-7.2296176211425829</v>
      </c>
    </row>
    <row r="277" spans="1:16" x14ac:dyDescent="0.2">
      <c r="A277" s="8">
        <v>137.5</v>
      </c>
      <c r="B277" s="8">
        <v>275</v>
      </c>
      <c r="D277">
        <v>342.79235382309002</v>
      </c>
      <c r="E277">
        <v>182.95652173913001</v>
      </c>
      <c r="F277">
        <v>128.01280120481999</v>
      </c>
      <c r="G277">
        <v>109.43975903614999</v>
      </c>
      <c r="I277" s="9">
        <f t="shared" si="32"/>
        <v>73.516762702980017</v>
      </c>
      <c r="J277" s="9">
        <f t="shared" si="33"/>
        <v>214.77955261827003</v>
      </c>
      <c r="K277" s="9">
        <f t="shared" si="31"/>
        <v>73.516762702980017</v>
      </c>
      <c r="L277" s="10">
        <f t="shared" si="30"/>
        <v>0.34228939303939299</v>
      </c>
      <c r="M277" s="10">
        <f t="shared" si="34"/>
        <v>0.4220387826610274</v>
      </c>
      <c r="N277" s="1"/>
      <c r="P277" s="8">
        <f t="shared" si="35"/>
        <v>-5.4872405401195934</v>
      </c>
    </row>
    <row r="278" spans="1:16" x14ac:dyDescent="0.2">
      <c r="A278" s="8">
        <v>138</v>
      </c>
      <c r="B278" s="8">
        <v>276</v>
      </c>
      <c r="D278">
        <v>344.55622188906</v>
      </c>
      <c r="E278">
        <v>185.14692653673001</v>
      </c>
      <c r="F278">
        <v>128.16942771084001</v>
      </c>
      <c r="G278">
        <v>109.31475903614999</v>
      </c>
      <c r="I278" s="9">
        <f t="shared" si="32"/>
        <v>75.832167500580013</v>
      </c>
      <c r="J278" s="9">
        <f t="shared" si="33"/>
        <v>216.38679417821999</v>
      </c>
      <c r="K278" s="9">
        <f t="shared" si="31"/>
        <v>75.832167500580013</v>
      </c>
      <c r="L278" s="10">
        <f t="shared" si="30"/>
        <v>0.35044729872989983</v>
      </c>
      <c r="M278" s="10">
        <f t="shared" si="34"/>
        <v>0.43048668613197655</v>
      </c>
      <c r="P278" s="8">
        <f t="shared" si="35"/>
        <v>-3.5953891238686109</v>
      </c>
    </row>
    <row r="279" spans="1:16" x14ac:dyDescent="0.2">
      <c r="A279" s="8">
        <v>138.5</v>
      </c>
      <c r="B279" s="8">
        <v>277</v>
      </c>
      <c r="D279">
        <v>342.03523238381001</v>
      </c>
      <c r="E279">
        <v>185.90254872564</v>
      </c>
      <c r="F279">
        <v>128</v>
      </c>
      <c r="G279">
        <v>109.37123493976</v>
      </c>
      <c r="I279" s="9">
        <f t="shared" si="32"/>
        <v>76.531313785880002</v>
      </c>
      <c r="J279" s="9">
        <f t="shared" si="33"/>
        <v>214.03523238381001</v>
      </c>
      <c r="K279" s="9">
        <f t="shared" si="31"/>
        <v>76.531313785880002</v>
      </c>
      <c r="L279" s="10">
        <f t="shared" si="30"/>
        <v>0.35756409322668581</v>
      </c>
      <c r="M279" s="10">
        <f t="shared" si="34"/>
        <v>0.43789347840920484</v>
      </c>
      <c r="P279" s="8">
        <f t="shared" si="35"/>
        <v>-1.9366875883056296</v>
      </c>
    </row>
    <row r="280" spans="1:16" x14ac:dyDescent="0.2">
      <c r="A280" s="8">
        <v>139</v>
      </c>
      <c r="B280" s="8">
        <v>278</v>
      </c>
      <c r="D280">
        <v>340.63193403297998</v>
      </c>
      <c r="E280">
        <v>185.44377811095001</v>
      </c>
      <c r="F280">
        <v>127.84713855422</v>
      </c>
      <c r="G280">
        <v>109.38177710843</v>
      </c>
      <c r="I280" s="9">
        <f t="shared" si="32"/>
        <v>76.062001002520006</v>
      </c>
      <c r="J280" s="9">
        <f t="shared" si="33"/>
        <v>212.78479547875997</v>
      </c>
      <c r="K280" s="9">
        <f t="shared" si="31"/>
        <v>76.062001002520006</v>
      </c>
      <c r="L280" s="10">
        <f t="shared" si="30"/>
        <v>0.35745975567184007</v>
      </c>
      <c r="M280" s="10">
        <f t="shared" si="34"/>
        <v>0.43807913863480141</v>
      </c>
      <c r="P280" s="8">
        <f t="shared" si="35"/>
        <v>-1.8951102239401145</v>
      </c>
    </row>
    <row r="281" spans="1:16" x14ac:dyDescent="0.2">
      <c r="A281" s="8">
        <v>139.5</v>
      </c>
      <c r="B281" s="8">
        <v>279</v>
      </c>
      <c r="D281">
        <v>335.28785607195999</v>
      </c>
      <c r="E281">
        <v>182.00974512744</v>
      </c>
      <c r="F281">
        <v>128.16114457831</v>
      </c>
      <c r="G281">
        <v>109.59789156626999</v>
      </c>
      <c r="I281" s="9">
        <f t="shared" si="32"/>
        <v>72.411853561170005</v>
      </c>
      <c r="J281" s="9">
        <f t="shared" si="33"/>
        <v>207.12671149364999</v>
      </c>
      <c r="K281" s="9">
        <f t="shared" si="31"/>
        <v>72.411853561170005</v>
      </c>
      <c r="L281" s="10">
        <f t="shared" si="30"/>
        <v>0.34960171500328185</v>
      </c>
      <c r="M281" s="10">
        <f t="shared" si="34"/>
        <v>0.4305110957466855</v>
      </c>
      <c r="P281" s="8">
        <f t="shared" si="35"/>
        <v>-3.5899227540981604</v>
      </c>
    </row>
    <row r="282" spans="1:16" x14ac:dyDescent="0.2">
      <c r="A282" s="8">
        <v>140</v>
      </c>
      <c r="B282" s="8">
        <v>280</v>
      </c>
      <c r="D282">
        <v>333.70914542729003</v>
      </c>
      <c r="E282">
        <v>181.42353823088999</v>
      </c>
      <c r="F282">
        <v>128.15512048193</v>
      </c>
      <c r="G282">
        <v>109.31174698795</v>
      </c>
      <c r="I282" s="9">
        <f t="shared" si="32"/>
        <v>72.111791242939987</v>
      </c>
      <c r="J282" s="9">
        <f t="shared" si="33"/>
        <v>205.55402494536003</v>
      </c>
      <c r="K282" s="9">
        <f t="shared" si="31"/>
        <v>72.111791242939987</v>
      </c>
      <c r="L282" s="10">
        <f t="shared" si="30"/>
        <v>0.35081673181592332</v>
      </c>
      <c r="M282" s="10">
        <f t="shared" si="34"/>
        <v>0.43201611033976928</v>
      </c>
      <c r="P282" s="8">
        <f t="shared" si="35"/>
        <v>-3.2528848133599437</v>
      </c>
    </row>
    <row r="283" spans="1:16" x14ac:dyDescent="0.2">
      <c r="A283" s="8">
        <v>140.5</v>
      </c>
      <c r="B283" s="8">
        <v>281</v>
      </c>
      <c r="D283">
        <v>366.57634730539002</v>
      </c>
      <c r="E283">
        <v>194.35553892216001</v>
      </c>
      <c r="F283">
        <v>128.04593373494001</v>
      </c>
      <c r="G283">
        <v>109.40587349398</v>
      </c>
      <c r="I283" s="9">
        <f t="shared" si="32"/>
        <v>84.949665428180012</v>
      </c>
      <c r="J283" s="9">
        <f t="shared" si="33"/>
        <v>238.53041357045001</v>
      </c>
      <c r="K283" s="9">
        <f t="shared" si="31"/>
        <v>84.949665428180012</v>
      </c>
      <c r="L283" s="10">
        <f t="shared" si="30"/>
        <v>0.35613766880545028</v>
      </c>
      <c r="M283" s="10">
        <f t="shared" si="34"/>
        <v>0.43762704510973854</v>
      </c>
      <c r="P283" s="8">
        <f t="shared" si="35"/>
        <v>-1.9963535417182228</v>
      </c>
    </row>
    <row r="284" spans="1:16" x14ac:dyDescent="0.2">
      <c r="A284" s="8">
        <v>141</v>
      </c>
      <c r="B284" s="8">
        <v>282</v>
      </c>
      <c r="D284">
        <v>364.72952667167999</v>
      </c>
      <c r="E284">
        <v>195.1630353118</v>
      </c>
      <c r="F284">
        <v>127.57530120481999</v>
      </c>
      <c r="G284">
        <v>109.5406626506</v>
      </c>
      <c r="I284" s="9">
        <f t="shared" si="32"/>
        <v>85.622372661200004</v>
      </c>
      <c r="J284" s="9">
        <f t="shared" si="33"/>
        <v>237.15422546686</v>
      </c>
      <c r="K284" s="9">
        <f t="shared" si="31"/>
        <v>85.622372661200004</v>
      </c>
      <c r="L284" s="10">
        <f t="shared" si="30"/>
        <v>0.3610408901323367</v>
      </c>
      <c r="M284" s="10">
        <f t="shared" si="34"/>
        <v>0.44282026421706727</v>
      </c>
      <c r="P284" s="8">
        <f t="shared" si="35"/>
        <v>-0.83336689575484546</v>
      </c>
    </row>
    <row r="285" spans="1:16" x14ac:dyDescent="0.2">
      <c r="A285" s="8">
        <v>141.5</v>
      </c>
      <c r="B285" s="8">
        <v>283</v>
      </c>
      <c r="D285">
        <v>370.87677371172998</v>
      </c>
      <c r="E285">
        <v>196.15758028379</v>
      </c>
      <c r="F285">
        <v>127.99623493976</v>
      </c>
      <c r="G285">
        <v>109.26581325300999</v>
      </c>
      <c r="I285" s="9">
        <f t="shared" si="32"/>
        <v>86.891767030780002</v>
      </c>
      <c r="J285" s="9">
        <f t="shared" si="33"/>
        <v>242.88053877196998</v>
      </c>
      <c r="K285" s="9">
        <f t="shared" si="31"/>
        <v>86.891767030780002</v>
      </c>
      <c r="L285" s="10">
        <f t="shared" si="30"/>
        <v>0.35775516420588527</v>
      </c>
      <c r="M285" s="10">
        <f t="shared" si="34"/>
        <v>0.43982453607105815</v>
      </c>
      <c r="P285" s="8">
        <f t="shared" si="35"/>
        <v>-1.5042401550457138</v>
      </c>
    </row>
    <row r="286" spans="1:16" x14ac:dyDescent="0.2">
      <c r="A286" s="8">
        <v>142</v>
      </c>
      <c r="B286" s="8">
        <v>284</v>
      </c>
      <c r="D286">
        <v>353.72038980510001</v>
      </c>
      <c r="E286">
        <v>194.41379310344999</v>
      </c>
      <c r="F286">
        <v>128.14909638553999</v>
      </c>
      <c r="G286">
        <v>109.39984939759</v>
      </c>
      <c r="I286" s="9">
        <f t="shared" si="32"/>
        <v>85.013943705859987</v>
      </c>
      <c r="J286" s="9">
        <f t="shared" si="33"/>
        <v>225.57129341956002</v>
      </c>
      <c r="K286" s="9">
        <f t="shared" si="31"/>
        <v>85.013943705859987</v>
      </c>
      <c r="L286" s="10">
        <f t="shared" si="30"/>
        <v>0.37688281348697605</v>
      </c>
      <c r="M286" s="10">
        <f t="shared" si="34"/>
        <v>0.45924218313259124</v>
      </c>
      <c r="P286" s="8">
        <f t="shared" si="35"/>
        <v>2.8442118863334716</v>
      </c>
    </row>
    <row r="287" spans="1:16" x14ac:dyDescent="0.2">
      <c r="A287" s="8">
        <v>142.5</v>
      </c>
      <c r="B287" s="8">
        <v>285</v>
      </c>
      <c r="D287">
        <v>344.58270676692001</v>
      </c>
      <c r="E287">
        <v>195.30526315789999</v>
      </c>
      <c r="F287">
        <v>127.83885542169</v>
      </c>
      <c r="G287">
        <v>109.25225903614999</v>
      </c>
      <c r="I287" s="9">
        <f t="shared" si="32"/>
        <v>86.053004121749993</v>
      </c>
      <c r="J287" s="9">
        <f t="shared" si="33"/>
        <v>216.74385134523001</v>
      </c>
      <c r="K287" s="9">
        <f t="shared" si="31"/>
        <v>86.053004121749993</v>
      </c>
      <c r="L287" s="10">
        <f t="shared" si="30"/>
        <v>0.39702627589045009</v>
      </c>
      <c r="M287" s="10">
        <f t="shared" si="34"/>
        <v>0.47967564331650758</v>
      </c>
      <c r="P287" s="8">
        <f t="shared" si="35"/>
        <v>7.4201484747172124</v>
      </c>
    </row>
    <row r="288" spans="1:16" x14ac:dyDescent="0.2">
      <c r="A288" s="8">
        <v>143</v>
      </c>
      <c r="B288" s="8">
        <v>286</v>
      </c>
      <c r="D288">
        <v>342.52030075187997</v>
      </c>
      <c r="E288">
        <v>196.29248120301</v>
      </c>
      <c r="F288">
        <v>128.14608433735</v>
      </c>
      <c r="G288">
        <v>109.09186746988</v>
      </c>
      <c r="I288" s="9">
        <f t="shared" si="32"/>
        <v>87.200613733129998</v>
      </c>
      <c r="J288" s="9">
        <f t="shared" si="33"/>
        <v>214.37421641452997</v>
      </c>
      <c r="K288" s="9">
        <f t="shared" si="31"/>
        <v>87.200613733129998</v>
      </c>
      <c r="L288" s="10">
        <f t="shared" si="30"/>
        <v>0.40676819811442433</v>
      </c>
      <c r="M288" s="10">
        <f t="shared" si="34"/>
        <v>0.48970756332092413</v>
      </c>
      <c r="P288" s="8">
        <f t="shared" si="35"/>
        <v>9.6667297872685598</v>
      </c>
    </row>
    <row r="289" spans="1:16" x14ac:dyDescent="0.2">
      <c r="A289" s="8">
        <v>143.5</v>
      </c>
      <c r="B289" s="8">
        <v>287</v>
      </c>
      <c r="D289">
        <v>346.78646616540999</v>
      </c>
      <c r="E289">
        <v>201.07518796993</v>
      </c>
      <c r="F289">
        <v>127.28840361445999</v>
      </c>
      <c r="G289">
        <v>109.59638554217</v>
      </c>
      <c r="I289" s="9">
        <f t="shared" si="32"/>
        <v>91.478802427760002</v>
      </c>
      <c r="J289" s="9">
        <f t="shared" si="33"/>
        <v>219.49806255095001</v>
      </c>
      <c r="K289" s="9">
        <f t="shared" si="31"/>
        <v>91.478802427760002</v>
      </c>
      <c r="L289" s="10">
        <f t="shared" si="30"/>
        <v>0.41676359856946754</v>
      </c>
      <c r="M289" s="10">
        <f t="shared" si="34"/>
        <v>0.49999296155640965</v>
      </c>
      <c r="P289" s="8">
        <f t="shared" si="35"/>
        <v>11.97007585241038</v>
      </c>
    </row>
    <row r="290" spans="1:16" x14ac:dyDescent="0.2">
      <c r="A290" s="8">
        <v>144</v>
      </c>
      <c r="B290" s="8">
        <v>288</v>
      </c>
      <c r="D290">
        <v>377.67766116941999</v>
      </c>
      <c r="E290">
        <v>211.90104947526001</v>
      </c>
      <c r="F290">
        <v>127.82605421687001</v>
      </c>
      <c r="G290">
        <v>109.26204819277</v>
      </c>
      <c r="I290" s="9">
        <f t="shared" si="32"/>
        <v>102.63900128249001</v>
      </c>
      <c r="J290" s="9">
        <f t="shared" si="33"/>
        <v>249.85160695254999</v>
      </c>
      <c r="K290" s="9">
        <f t="shared" si="31"/>
        <v>102.63900128249001</v>
      </c>
      <c r="L290" s="10">
        <f t="shared" si="30"/>
        <v>0.41079984449322543</v>
      </c>
      <c r="M290" s="10">
        <f t="shared" si="34"/>
        <v>0.49431920526060985</v>
      </c>
      <c r="P290" s="8">
        <f t="shared" si="35"/>
        <v>10.699476120703716</v>
      </c>
    </row>
    <row r="291" spans="1:16" x14ac:dyDescent="0.2">
      <c r="A291" s="8">
        <v>144.5</v>
      </c>
      <c r="B291" s="8">
        <v>289</v>
      </c>
      <c r="D291">
        <v>374.05547226387</v>
      </c>
      <c r="E291">
        <v>207.34782608696</v>
      </c>
      <c r="F291">
        <v>127.87048192771</v>
      </c>
      <c r="G291">
        <v>109.25677710843</v>
      </c>
      <c r="I291" s="9">
        <f t="shared" si="32"/>
        <v>98.091048978529997</v>
      </c>
      <c r="J291" s="9">
        <f t="shared" si="33"/>
        <v>246.18499033616001</v>
      </c>
      <c r="K291" s="9">
        <f t="shared" si="31"/>
        <v>98.091048978529997</v>
      </c>
      <c r="L291" s="10">
        <f t="shared" si="30"/>
        <v>0.3984444739892099</v>
      </c>
      <c r="M291" s="10">
        <f t="shared" si="34"/>
        <v>0.48225383253703663</v>
      </c>
      <c r="P291" s="8">
        <f t="shared" si="35"/>
        <v>7.9975166874334134</v>
      </c>
    </row>
    <row r="292" spans="1:16" x14ac:dyDescent="0.2">
      <c r="A292" s="8">
        <v>145</v>
      </c>
      <c r="B292" s="8">
        <v>290</v>
      </c>
      <c r="D292">
        <v>369.12293853073999</v>
      </c>
      <c r="E292">
        <v>204.68365817092001</v>
      </c>
      <c r="F292">
        <v>127.58132530121</v>
      </c>
      <c r="G292">
        <v>108.96460843374</v>
      </c>
      <c r="I292" s="9">
        <f>E292-G292</f>
        <v>95.719049737180015</v>
      </c>
      <c r="J292" s="9">
        <f>D292-F292</f>
        <v>241.54161322952999</v>
      </c>
      <c r="K292" s="9">
        <f t="shared" si="31"/>
        <v>95.719049737180015</v>
      </c>
      <c r="L292" s="10">
        <f t="shared" si="30"/>
        <v>0.39628388854975882</v>
      </c>
      <c r="M292" s="10">
        <f>L292+ABS($N$2)*A292</f>
        <v>0.48038324487802786</v>
      </c>
      <c r="O292" s="11"/>
      <c r="P292" s="8">
        <f>(M292-$O$2)/$O$2*100</f>
        <v>7.5786111064112207</v>
      </c>
    </row>
    <row r="293" spans="1:16" x14ac:dyDescent="0.2">
      <c r="A293" s="8">
        <v>145.5</v>
      </c>
      <c r="B293" s="8">
        <v>291</v>
      </c>
      <c r="D293">
        <v>350.73368342086002</v>
      </c>
      <c r="E293">
        <v>195.78319579895</v>
      </c>
      <c r="F293">
        <v>127.9390060241</v>
      </c>
      <c r="G293">
        <v>109.30572289157</v>
      </c>
      <c r="I293" s="9">
        <f t="shared" ref="I293:I301" si="36">E293-G293</f>
        <v>86.477472907380005</v>
      </c>
      <c r="J293" s="9">
        <f t="shared" ref="J293:J301" si="37">D293-F293</f>
        <v>222.79467739676002</v>
      </c>
      <c r="K293" s="9">
        <f t="shared" si="31"/>
        <v>86.477472907380005</v>
      </c>
      <c r="L293" s="10">
        <f t="shared" si="30"/>
        <v>0.38814873819170331</v>
      </c>
      <c r="M293" s="10">
        <f t="shared" ref="M293:M301" si="38">L293+ABS($N$2)*A293</f>
        <v>0.47253809230041466</v>
      </c>
      <c r="P293" s="8">
        <f t="shared" ref="P293:P301" si="39">(M293-$O$2)/$O$2*100</f>
        <v>5.8217417167808652</v>
      </c>
    </row>
    <row r="294" spans="1:16" x14ac:dyDescent="0.2">
      <c r="A294" s="8">
        <v>146</v>
      </c>
      <c r="B294" s="8">
        <v>292</v>
      </c>
      <c r="D294">
        <v>345.50487621906001</v>
      </c>
      <c r="E294">
        <v>194.50562640659999</v>
      </c>
      <c r="F294">
        <v>127.78313253012</v>
      </c>
      <c r="G294">
        <v>109.10015060241</v>
      </c>
      <c r="I294" s="9">
        <f t="shared" si="36"/>
        <v>85.40547580418999</v>
      </c>
      <c r="J294" s="9">
        <f t="shared" si="37"/>
        <v>217.72174368894002</v>
      </c>
      <c r="K294" s="9">
        <f t="shared" si="31"/>
        <v>85.40547580418999</v>
      </c>
      <c r="L294" s="10">
        <f t="shared" si="30"/>
        <v>0.39226893169755778</v>
      </c>
      <c r="M294" s="10">
        <f t="shared" si="38"/>
        <v>0.47694828358671143</v>
      </c>
      <c r="N294" s="1"/>
      <c r="P294" s="8">
        <f t="shared" si="39"/>
        <v>6.8093745252770637</v>
      </c>
    </row>
    <row r="295" spans="1:16" x14ac:dyDescent="0.2">
      <c r="A295" s="8">
        <v>146.5</v>
      </c>
      <c r="B295" s="8">
        <v>293</v>
      </c>
      <c r="D295">
        <v>345.27231807952001</v>
      </c>
      <c r="E295">
        <v>193.37584396099001</v>
      </c>
      <c r="F295">
        <v>127.91641566265</v>
      </c>
      <c r="G295">
        <v>109.30120481928</v>
      </c>
      <c r="I295" s="9">
        <f t="shared" si="36"/>
        <v>84.074639141710009</v>
      </c>
      <c r="J295" s="9">
        <f t="shared" si="37"/>
        <v>217.35590241687001</v>
      </c>
      <c r="K295" s="9">
        <f t="shared" si="31"/>
        <v>84.074639141710009</v>
      </c>
      <c r="L295" s="10">
        <f t="shared" si="30"/>
        <v>0.38680633103057882</v>
      </c>
      <c r="M295" s="10">
        <f t="shared" si="38"/>
        <v>0.47177568070017478</v>
      </c>
      <c r="P295" s="8">
        <f t="shared" si="39"/>
        <v>5.6510047439165279</v>
      </c>
    </row>
    <row r="296" spans="1:16" x14ac:dyDescent="0.2">
      <c r="A296" s="8">
        <v>147</v>
      </c>
      <c r="B296" s="8">
        <v>294</v>
      </c>
      <c r="D296">
        <v>342.79894973743001</v>
      </c>
      <c r="E296">
        <v>192.90547636909</v>
      </c>
      <c r="F296">
        <v>127.30722891566</v>
      </c>
      <c r="G296">
        <v>109.28689759036</v>
      </c>
      <c r="I296" s="9">
        <f t="shared" si="36"/>
        <v>83.618578778729997</v>
      </c>
      <c r="J296" s="9">
        <f t="shared" si="37"/>
        <v>215.49172082177</v>
      </c>
      <c r="K296" s="9">
        <f t="shared" si="31"/>
        <v>83.618578778729997</v>
      </c>
      <c r="L296" s="10">
        <f t="shared" si="30"/>
        <v>0.38803615498476474</v>
      </c>
      <c r="M296" s="10">
        <f t="shared" si="38"/>
        <v>0.47329550243480301</v>
      </c>
      <c r="P296" s="8">
        <f t="shared" si="39"/>
        <v>5.9913586448569207</v>
      </c>
    </row>
    <row r="297" spans="1:16" x14ac:dyDescent="0.2">
      <c r="A297" s="8">
        <v>147.5</v>
      </c>
      <c r="B297" s="8">
        <v>295</v>
      </c>
      <c r="D297">
        <v>342.33608402100998</v>
      </c>
      <c r="E297">
        <v>191.25131282820999</v>
      </c>
      <c r="F297">
        <v>127.83358433735</v>
      </c>
      <c r="G297">
        <v>109.42243975904</v>
      </c>
      <c r="I297" s="9">
        <f t="shared" si="36"/>
        <v>81.828873069169987</v>
      </c>
      <c r="J297" s="9">
        <f t="shared" si="37"/>
        <v>214.50249968365998</v>
      </c>
      <c r="K297" s="9">
        <f t="shared" si="31"/>
        <v>81.828873069169987</v>
      </c>
      <c r="L297" s="10">
        <f t="shared" si="30"/>
        <v>0.38148214211884734</v>
      </c>
      <c r="M297" s="10">
        <f t="shared" si="38"/>
        <v>0.46703148734932792</v>
      </c>
      <c r="P297" s="8">
        <f t="shared" si="39"/>
        <v>4.5885744094989249</v>
      </c>
    </row>
    <row r="298" spans="1:16" x14ac:dyDescent="0.2">
      <c r="A298" s="8">
        <v>148</v>
      </c>
      <c r="B298" s="8">
        <v>296</v>
      </c>
      <c r="D298">
        <v>336.03300825205997</v>
      </c>
      <c r="E298">
        <v>187.70667666917001</v>
      </c>
      <c r="F298">
        <v>127.78689759036</v>
      </c>
      <c r="G298">
        <v>109.53237951807</v>
      </c>
      <c r="I298" s="9">
        <f t="shared" si="36"/>
        <v>78.174297151100006</v>
      </c>
      <c r="J298" s="9">
        <f t="shared" si="37"/>
        <v>208.24611066169996</v>
      </c>
      <c r="K298" s="9">
        <f t="shared" si="31"/>
        <v>78.174297151100006</v>
      </c>
      <c r="L298" s="10">
        <f t="shared" si="30"/>
        <v>0.37539379200265471</v>
      </c>
      <c r="M298" s="10">
        <f t="shared" si="38"/>
        <v>0.4612331350135776</v>
      </c>
      <c r="P298" s="8">
        <f t="shared" si="39"/>
        <v>3.2900722289242958</v>
      </c>
    </row>
    <row r="299" spans="1:16" x14ac:dyDescent="0.2">
      <c r="A299" s="8">
        <v>148.5</v>
      </c>
      <c r="B299" s="8">
        <v>297</v>
      </c>
      <c r="D299">
        <v>375.30059970014997</v>
      </c>
      <c r="E299">
        <v>200.63943028486</v>
      </c>
      <c r="F299">
        <v>127.58584337348999</v>
      </c>
      <c r="G299">
        <v>109.36596385542001</v>
      </c>
      <c r="I299" s="9">
        <f t="shared" si="36"/>
        <v>91.273466429439992</v>
      </c>
      <c r="J299" s="9">
        <f t="shared" si="37"/>
        <v>247.71475632665999</v>
      </c>
      <c r="K299" s="9">
        <f t="shared" si="31"/>
        <v>91.273466429439992</v>
      </c>
      <c r="L299" s="10">
        <f t="shared" si="30"/>
        <v>0.36846196723572738</v>
      </c>
      <c r="M299" s="10">
        <f t="shared" si="38"/>
        <v>0.45459130802709258</v>
      </c>
      <c r="P299" s="8">
        <f t="shared" si="39"/>
        <v>1.8026795481147062</v>
      </c>
    </row>
    <row r="300" spans="1:16" x14ac:dyDescent="0.2">
      <c r="A300" s="8">
        <v>149</v>
      </c>
      <c r="B300" s="8">
        <v>298</v>
      </c>
      <c r="D300">
        <v>388.75037481259</v>
      </c>
      <c r="E300">
        <v>204.8928035982</v>
      </c>
      <c r="F300">
        <v>127.26807228916</v>
      </c>
      <c r="G300">
        <v>109.42921686747</v>
      </c>
      <c r="I300" s="9">
        <f t="shared" si="36"/>
        <v>95.46358673073</v>
      </c>
      <c r="J300" s="9">
        <f t="shared" si="37"/>
        <v>261.48230252343001</v>
      </c>
      <c r="K300" s="9">
        <f t="shared" si="31"/>
        <v>95.46358673073</v>
      </c>
      <c r="L300" s="10">
        <f t="shared" si="30"/>
        <v>0.36508622499289806</v>
      </c>
      <c r="M300" s="10">
        <f t="shared" si="38"/>
        <v>0.4515055635647055</v>
      </c>
      <c r="P300" s="8">
        <f t="shared" si="39"/>
        <v>1.111647737508598</v>
      </c>
    </row>
    <row r="301" spans="1:16" x14ac:dyDescent="0.2">
      <c r="A301" s="8">
        <v>149.5</v>
      </c>
      <c r="B301" s="8">
        <v>299</v>
      </c>
      <c r="D301">
        <v>390.08770614692997</v>
      </c>
      <c r="E301">
        <v>204.79835082458999</v>
      </c>
      <c r="F301">
        <v>127.88930722892</v>
      </c>
      <c r="G301">
        <v>109.21912650602</v>
      </c>
      <c r="I301" s="9">
        <f t="shared" si="36"/>
        <v>95.579224318569985</v>
      </c>
      <c r="J301" s="9">
        <f t="shared" si="37"/>
        <v>262.19839891800996</v>
      </c>
      <c r="K301" s="9">
        <f t="shared" si="31"/>
        <v>95.579224318569985</v>
      </c>
      <c r="L301" s="10">
        <f t="shared" si="30"/>
        <v>0.36453016003525568</v>
      </c>
      <c r="M301" s="10">
        <f t="shared" si="38"/>
        <v>0.45123949638750549</v>
      </c>
      <c r="P301" s="8">
        <f t="shared" si="39"/>
        <v>1.0520637747260317</v>
      </c>
    </row>
    <row r="302" spans="1:16" x14ac:dyDescent="0.2">
      <c r="A302" s="8">
        <v>150</v>
      </c>
      <c r="B302" s="8">
        <v>300</v>
      </c>
      <c r="D302">
        <v>389.08245877062001</v>
      </c>
      <c r="E302">
        <v>204.81034482759</v>
      </c>
      <c r="F302">
        <v>127.68524096386</v>
      </c>
      <c r="G302">
        <v>109.15737951807</v>
      </c>
      <c r="I302" s="9">
        <f>E302-G302</f>
        <v>95.652965309519999</v>
      </c>
      <c r="J302" s="9">
        <f>D302-F302</f>
        <v>261.39721780676001</v>
      </c>
      <c r="K302" s="9">
        <f t="shared" si="31"/>
        <v>95.652965309519999</v>
      </c>
      <c r="L302" s="10">
        <f t="shared" si="30"/>
        <v>0.36592954627478941</v>
      </c>
      <c r="M302" s="10">
        <f>L302+ABS($N$2)*A302</f>
        <v>0.45292888040748147</v>
      </c>
      <c r="O302" s="11"/>
      <c r="P302" s="8">
        <f>(M302-$O$2)/$O$2*100</f>
        <v>1.4303900141029422</v>
      </c>
    </row>
    <row r="303" spans="1:16" x14ac:dyDescent="0.2">
      <c r="A303" s="8">
        <v>150.5</v>
      </c>
      <c r="B303" s="8">
        <v>301</v>
      </c>
      <c r="D303">
        <v>386.05022488755998</v>
      </c>
      <c r="E303">
        <v>204.82833583208</v>
      </c>
      <c r="F303">
        <v>127.76204819277</v>
      </c>
      <c r="G303">
        <v>109.35692771084</v>
      </c>
      <c r="I303" s="9">
        <f t="shared" ref="I303:I309" si="40">E303-G303</f>
        <v>95.471408121240003</v>
      </c>
      <c r="J303" s="9">
        <f t="shared" ref="J303:J309" si="41">D303-F303</f>
        <v>258.28817669478997</v>
      </c>
      <c r="K303" s="9">
        <f t="shared" si="31"/>
        <v>95.471408121240003</v>
      </c>
      <c r="L303" s="10">
        <f t="shared" si="30"/>
        <v>0.36963135263467828</v>
      </c>
      <c r="M303" s="10">
        <f t="shared" ref="M303:M309" si="42">L303+ABS($N$2)*A303</f>
        <v>0.45692068454781265</v>
      </c>
      <c r="P303" s="8">
        <f t="shared" ref="P303:P309" si="43">(M303-$O$2)/$O$2*100</f>
        <v>2.3243278227263167</v>
      </c>
    </row>
    <row r="304" spans="1:16" x14ac:dyDescent="0.2">
      <c r="A304" s="8">
        <v>151</v>
      </c>
      <c r="B304" s="8">
        <v>302</v>
      </c>
      <c r="D304">
        <v>389.8335832084</v>
      </c>
      <c r="E304">
        <v>206.43703148425999</v>
      </c>
      <c r="F304">
        <v>127.47515060241</v>
      </c>
      <c r="G304">
        <v>109.2093373494</v>
      </c>
      <c r="I304" s="9">
        <f t="shared" si="40"/>
        <v>97.227694134859988</v>
      </c>
      <c r="J304" s="9">
        <f t="shared" si="41"/>
        <v>262.35843260599</v>
      </c>
      <c r="K304" s="9">
        <f t="shared" si="31"/>
        <v>97.227694134859988</v>
      </c>
      <c r="L304" s="10">
        <f t="shared" si="30"/>
        <v>0.37059107713483169</v>
      </c>
      <c r="M304" s="10">
        <f t="shared" si="42"/>
        <v>0.45817040682840837</v>
      </c>
      <c r="N304" s="1"/>
      <c r="P304" s="8">
        <f t="shared" si="43"/>
        <v>2.6041947594871115</v>
      </c>
    </row>
    <row r="305" spans="1:16" x14ac:dyDescent="0.2">
      <c r="A305" s="8">
        <v>151.5</v>
      </c>
      <c r="B305" s="8">
        <v>303</v>
      </c>
      <c r="D305">
        <v>397.39581777446</v>
      </c>
      <c r="E305">
        <v>206.81030619865999</v>
      </c>
      <c r="F305">
        <v>127.76280120481999</v>
      </c>
      <c r="G305">
        <v>109.15737951807</v>
      </c>
      <c r="I305" s="9">
        <f t="shared" si="40"/>
        <v>97.652926680589985</v>
      </c>
      <c r="J305" s="9">
        <f t="shared" si="41"/>
        <v>269.63301656964001</v>
      </c>
      <c r="K305" s="9">
        <f t="shared" si="31"/>
        <v>97.652926680589985</v>
      </c>
      <c r="L305" s="10">
        <f t="shared" si="30"/>
        <v>0.36216976660708194</v>
      </c>
      <c r="M305" s="10">
        <f t="shared" si="42"/>
        <v>0.45003909408110099</v>
      </c>
      <c r="P305" s="8">
        <f t="shared" si="43"/>
        <v>0.78324171594519776</v>
      </c>
    </row>
    <row r="306" spans="1:16" x14ac:dyDescent="0.2">
      <c r="A306" s="8">
        <v>152</v>
      </c>
      <c r="B306" s="8">
        <v>304</v>
      </c>
      <c r="D306">
        <v>395.02930127723999</v>
      </c>
      <c r="E306">
        <v>204.50713749061001</v>
      </c>
      <c r="F306">
        <v>127.74246987952</v>
      </c>
      <c r="G306">
        <v>109.00075301205</v>
      </c>
      <c r="I306" s="9">
        <f t="shared" si="40"/>
        <v>95.506384478560008</v>
      </c>
      <c r="J306" s="9">
        <f t="shared" si="41"/>
        <v>267.28683139771999</v>
      </c>
      <c r="K306" s="9">
        <f t="shared" si="31"/>
        <v>95.506384478560008</v>
      </c>
      <c r="L306" s="10">
        <f t="shared" si="30"/>
        <v>0.35731795681489265</v>
      </c>
      <c r="M306" s="10">
        <f t="shared" si="42"/>
        <v>0.445477282069354</v>
      </c>
      <c r="P306" s="8">
        <f t="shared" si="43"/>
        <v>-0.23834553878282708</v>
      </c>
    </row>
    <row r="307" spans="1:16" x14ac:dyDescent="0.2">
      <c r="A307" s="8">
        <v>152.5</v>
      </c>
      <c r="B307" s="8">
        <v>305</v>
      </c>
      <c r="D307">
        <v>410.43501126972001</v>
      </c>
      <c r="E307">
        <v>207.97069872277001</v>
      </c>
      <c r="F307">
        <v>127.6061746988</v>
      </c>
      <c r="G307">
        <v>109.19954819277</v>
      </c>
      <c r="I307" s="9">
        <f t="shared" si="40"/>
        <v>98.771150530000014</v>
      </c>
      <c r="J307" s="9">
        <f t="shared" si="41"/>
        <v>282.82883657091998</v>
      </c>
      <c r="K307" s="9">
        <f t="shared" si="31"/>
        <v>98.771150530000014</v>
      </c>
      <c r="L307" s="10">
        <f t="shared" si="30"/>
        <v>0.34922588420446626</v>
      </c>
      <c r="M307" s="10">
        <f t="shared" si="42"/>
        <v>0.43767520723936992</v>
      </c>
      <c r="P307" s="8">
        <f t="shared" si="43"/>
        <v>-1.9855679552746606</v>
      </c>
    </row>
    <row r="308" spans="1:16" x14ac:dyDescent="0.2">
      <c r="A308" s="8">
        <v>153</v>
      </c>
      <c r="B308" s="8">
        <v>306</v>
      </c>
      <c r="D308">
        <v>413.27150336573999</v>
      </c>
      <c r="E308">
        <v>208.92894540015001</v>
      </c>
      <c r="F308">
        <v>127.63704819277</v>
      </c>
      <c r="G308">
        <v>109.34111445783</v>
      </c>
      <c r="I308" s="9">
        <f t="shared" si="40"/>
        <v>99.587830942320011</v>
      </c>
      <c r="J308" s="9">
        <f t="shared" si="41"/>
        <v>285.63445517296998</v>
      </c>
      <c r="K308" s="9">
        <f t="shared" si="31"/>
        <v>99.587830942320011</v>
      </c>
      <c r="L308" s="10">
        <f t="shared" si="30"/>
        <v>0.34865482486002325</v>
      </c>
      <c r="M308" s="10">
        <f t="shared" si="42"/>
        <v>0.43739414567536916</v>
      </c>
      <c r="P308" s="8">
        <f t="shared" si="43"/>
        <v>-2.0485098105807817</v>
      </c>
    </row>
    <row r="309" spans="1:16" x14ac:dyDescent="0.2">
      <c r="A309" s="8">
        <v>153.5</v>
      </c>
      <c r="B309" s="8">
        <v>307</v>
      </c>
      <c r="D309">
        <v>407.58937920718</v>
      </c>
      <c r="E309">
        <v>206.86985789080001</v>
      </c>
      <c r="F309">
        <v>127.6468373494</v>
      </c>
      <c r="G309">
        <v>109.19503012048</v>
      </c>
      <c r="I309" s="9">
        <f t="shared" si="40"/>
        <v>97.674827770320007</v>
      </c>
      <c r="J309" s="9">
        <f t="shared" si="41"/>
        <v>279.94254185777999</v>
      </c>
      <c r="K309" s="9">
        <f t="shared" si="31"/>
        <v>97.674827770320007</v>
      </c>
      <c r="L309" s="10">
        <f t="shared" si="30"/>
        <v>0.34891026966505873</v>
      </c>
      <c r="M309" s="10">
        <f t="shared" si="42"/>
        <v>0.437939588260847</v>
      </c>
      <c r="P309" s="8">
        <f t="shared" si="43"/>
        <v>-1.9263615957759654</v>
      </c>
    </row>
    <row r="310" spans="1:16" x14ac:dyDescent="0.2">
      <c r="A310" s="8">
        <v>154</v>
      </c>
      <c r="B310" s="8">
        <v>308</v>
      </c>
      <c r="D310">
        <v>400.20269259536002</v>
      </c>
      <c r="E310">
        <v>205.23186237845999</v>
      </c>
      <c r="F310">
        <v>127.88780120481999</v>
      </c>
      <c r="G310">
        <v>109.6686746988</v>
      </c>
      <c r="I310" s="9">
        <f>E310-G310</f>
        <v>95.56318767965999</v>
      </c>
      <c r="J310" s="9">
        <f>D310-F310</f>
        <v>272.31489139054003</v>
      </c>
      <c r="K310" s="9">
        <f t="shared" si="31"/>
        <v>95.56318767965999</v>
      </c>
      <c r="L310" s="10">
        <f t="shared" si="30"/>
        <v>0.35092898222230595</v>
      </c>
      <c r="M310" s="10">
        <f>L310+ABS($N$2)*A310</f>
        <v>0.44024829859853654</v>
      </c>
      <c r="O310" s="11"/>
      <c r="P310" s="8">
        <f>(M310-$O$2)/$O$2*100</f>
        <v>-1.4093413744759575</v>
      </c>
    </row>
    <row r="311" spans="1:16" x14ac:dyDescent="0.2">
      <c r="A311" s="8">
        <v>154.5</v>
      </c>
      <c r="B311" s="8">
        <v>309</v>
      </c>
      <c r="D311">
        <v>398.64141035259001</v>
      </c>
      <c r="E311">
        <v>205.70292573143001</v>
      </c>
      <c r="F311">
        <v>127.61671686747</v>
      </c>
      <c r="G311">
        <v>109.13102409638999</v>
      </c>
      <c r="I311" s="9">
        <f t="shared" ref="I311:I319" si="44">E311-G311</f>
        <v>96.571901635040021</v>
      </c>
      <c r="J311" s="9">
        <f t="shared" ref="J311:J319" si="45">D311-F311</f>
        <v>271.02469348512</v>
      </c>
      <c r="K311" s="9">
        <f t="shared" si="31"/>
        <v>96.571901635040021</v>
      </c>
      <c r="L311" s="10">
        <f t="shared" si="30"/>
        <v>0.35632141261084788</v>
      </c>
      <c r="M311" s="10">
        <f t="shared" ref="M311:M319" si="46">L311+ABS($N$2)*A311</f>
        <v>0.44593072676752071</v>
      </c>
      <c r="P311" s="8">
        <f t="shared" ref="P311:P319" si="47">(M311-$O$2)/$O$2*100</f>
        <v>-0.13679963483539248</v>
      </c>
    </row>
    <row r="312" spans="1:16" x14ac:dyDescent="0.2">
      <c r="A312" s="8">
        <v>155</v>
      </c>
      <c r="B312" s="8">
        <v>310</v>
      </c>
      <c r="D312">
        <v>398.18079519880001</v>
      </c>
      <c r="E312">
        <v>204.0832708177</v>
      </c>
      <c r="F312">
        <v>127.26355421687001</v>
      </c>
      <c r="G312">
        <v>109.04743975904</v>
      </c>
      <c r="I312" s="9">
        <f t="shared" si="44"/>
        <v>95.035831058659994</v>
      </c>
      <c r="J312" s="9">
        <f t="shared" si="45"/>
        <v>270.91724098193004</v>
      </c>
      <c r="K312" s="9">
        <f t="shared" si="31"/>
        <v>95.035831058659994</v>
      </c>
      <c r="L312" s="10">
        <f t="shared" si="30"/>
        <v>0.35079284992791882</v>
      </c>
      <c r="M312" s="10">
        <f t="shared" si="46"/>
        <v>0.44069216186503396</v>
      </c>
      <c r="N312" s="1"/>
      <c r="P312" s="8">
        <f t="shared" si="47"/>
        <v>-1.3099411679948347</v>
      </c>
    </row>
    <row r="313" spans="1:16" x14ac:dyDescent="0.2">
      <c r="A313" s="8">
        <v>155.5</v>
      </c>
      <c r="B313" s="8">
        <v>311</v>
      </c>
      <c r="D313">
        <v>404.12810851544998</v>
      </c>
      <c r="E313">
        <v>205.45064054258</v>
      </c>
      <c r="F313">
        <v>127.38930722892</v>
      </c>
      <c r="G313">
        <v>109.31626506024</v>
      </c>
      <c r="I313" s="9">
        <f t="shared" si="44"/>
        <v>96.134375482340005</v>
      </c>
      <c r="J313" s="9">
        <f t="shared" si="45"/>
        <v>276.73880128652996</v>
      </c>
      <c r="K313" s="9">
        <f t="shared" si="31"/>
        <v>96.134375482340005</v>
      </c>
      <c r="L313" s="10">
        <f t="shared" si="30"/>
        <v>0.34738307398681095</v>
      </c>
      <c r="M313" s="10">
        <f t="shared" si="46"/>
        <v>0.43757238370436841</v>
      </c>
      <c r="P313" s="8">
        <f t="shared" si="47"/>
        <v>-2.0085945974451702</v>
      </c>
    </row>
    <row r="314" spans="1:16" x14ac:dyDescent="0.2">
      <c r="A314" s="8">
        <v>156</v>
      </c>
      <c r="B314" s="8">
        <v>312</v>
      </c>
      <c r="D314">
        <v>397.30595327806998</v>
      </c>
      <c r="E314">
        <v>203.44687264506001</v>
      </c>
      <c r="F314">
        <v>127.16490963855</v>
      </c>
      <c r="G314">
        <v>109.01280120481999</v>
      </c>
      <c r="I314" s="9">
        <f t="shared" si="44"/>
        <v>94.434071440240018</v>
      </c>
      <c r="J314" s="9">
        <f t="shared" si="45"/>
        <v>270.14104363951998</v>
      </c>
      <c r="K314" s="9">
        <f t="shared" si="31"/>
        <v>94.434071440240018</v>
      </c>
      <c r="L314" s="10">
        <f t="shared" si="30"/>
        <v>0.34957320875036735</v>
      </c>
      <c r="M314" s="10">
        <f t="shared" si="46"/>
        <v>0.44005251624836711</v>
      </c>
      <c r="P314" s="8">
        <f t="shared" si="47"/>
        <v>-1.4531855208631275</v>
      </c>
    </row>
    <row r="315" spans="1:16" x14ac:dyDescent="0.2">
      <c r="A315" s="8">
        <v>156.5</v>
      </c>
      <c r="B315" s="8">
        <v>313</v>
      </c>
      <c r="D315">
        <v>401.00376789750999</v>
      </c>
      <c r="E315">
        <v>204.75885455916</v>
      </c>
      <c r="F315">
        <v>127.62951807229</v>
      </c>
      <c r="G315">
        <v>109.5609939759</v>
      </c>
      <c r="I315" s="9">
        <f t="shared" si="44"/>
        <v>95.197860583259995</v>
      </c>
      <c r="J315" s="9">
        <f t="shared" si="45"/>
        <v>273.37424982521998</v>
      </c>
      <c r="K315" s="9">
        <f t="shared" si="31"/>
        <v>95.197860583259995</v>
      </c>
      <c r="L315" s="10">
        <f t="shared" si="30"/>
        <v>0.34823272727451149</v>
      </c>
      <c r="M315" s="10">
        <f t="shared" si="46"/>
        <v>0.43900203255295356</v>
      </c>
      <c r="P315" s="8">
        <f t="shared" si="47"/>
        <v>-1.6884343105481507</v>
      </c>
    </row>
    <row r="316" spans="1:16" x14ac:dyDescent="0.2">
      <c r="A316" s="8">
        <v>157</v>
      </c>
      <c r="B316" s="8">
        <v>314</v>
      </c>
      <c r="D316">
        <v>391.32054176072</v>
      </c>
      <c r="E316">
        <v>201.51542513167999</v>
      </c>
      <c r="F316">
        <v>127.02635542169</v>
      </c>
      <c r="G316">
        <v>109.32756024096</v>
      </c>
      <c r="I316" s="9">
        <f t="shared" si="44"/>
        <v>92.187864890719993</v>
      </c>
      <c r="J316" s="9">
        <f t="shared" si="45"/>
        <v>264.29418633903003</v>
      </c>
      <c r="K316" s="9">
        <f t="shared" si="31"/>
        <v>92.187864890719993</v>
      </c>
      <c r="L316" s="10">
        <f t="shared" si="30"/>
        <v>0.34880776670760244</v>
      </c>
      <c r="M316" s="10">
        <f t="shared" si="46"/>
        <v>0.43986706976648682</v>
      </c>
      <c r="P316" s="8">
        <f t="shared" si="47"/>
        <v>-1.4947150187545819</v>
      </c>
    </row>
    <row r="317" spans="1:16" x14ac:dyDescent="0.2">
      <c r="A317" s="8">
        <v>157.5</v>
      </c>
      <c r="B317" s="8">
        <v>315</v>
      </c>
      <c r="D317">
        <v>393.51015801353998</v>
      </c>
      <c r="E317">
        <v>202.88713318283999</v>
      </c>
      <c r="F317">
        <v>127.53840361445999</v>
      </c>
      <c r="G317">
        <v>109.17243975904</v>
      </c>
      <c r="I317" s="9">
        <f t="shared" si="44"/>
        <v>93.714693423799986</v>
      </c>
      <c r="J317" s="9">
        <f t="shared" si="45"/>
        <v>265.97175439908</v>
      </c>
      <c r="K317" s="9">
        <f t="shared" si="31"/>
        <v>93.714693423799986</v>
      </c>
      <c r="L317" s="10">
        <f t="shared" si="30"/>
        <v>0.35234829215430458</v>
      </c>
      <c r="M317" s="10">
        <f t="shared" si="46"/>
        <v>0.44369759299363126</v>
      </c>
      <c r="P317" s="8">
        <f t="shared" si="47"/>
        <v>-0.63689499072325939</v>
      </c>
    </row>
    <row r="318" spans="1:16" x14ac:dyDescent="0.2">
      <c r="A318" s="8">
        <v>158</v>
      </c>
      <c r="B318" s="8">
        <v>316</v>
      </c>
      <c r="D318">
        <v>369.84147257700999</v>
      </c>
      <c r="E318">
        <v>194.10743801653001</v>
      </c>
      <c r="F318">
        <v>127.55873493976</v>
      </c>
      <c r="G318">
        <v>109.24397590361001</v>
      </c>
      <c r="I318" s="9">
        <f t="shared" si="44"/>
        <v>84.863462112920004</v>
      </c>
      <c r="J318" s="9">
        <f t="shared" si="45"/>
        <v>242.28273763724999</v>
      </c>
      <c r="K318" s="9">
        <f t="shared" si="31"/>
        <v>84.863462112920004</v>
      </c>
      <c r="L318" s="10">
        <f t="shared" si="30"/>
        <v>0.35026623415482072</v>
      </c>
      <c r="M318" s="10">
        <f t="shared" si="46"/>
        <v>0.44190553277458972</v>
      </c>
      <c r="P318" s="8">
        <f t="shared" si="47"/>
        <v>-1.0382148773743656</v>
      </c>
    </row>
    <row r="319" spans="1:16" x14ac:dyDescent="0.2">
      <c r="A319" s="8">
        <v>158.5</v>
      </c>
      <c r="B319" s="8">
        <v>317</v>
      </c>
      <c r="D319">
        <v>372.21637866266002</v>
      </c>
      <c r="E319">
        <v>197.36438767844001</v>
      </c>
      <c r="F319">
        <v>127.39984939759</v>
      </c>
      <c r="G319">
        <v>108.94653614457999</v>
      </c>
      <c r="I319" s="9">
        <f t="shared" si="44"/>
        <v>88.417851533860016</v>
      </c>
      <c r="J319" s="9">
        <f t="shared" si="45"/>
        <v>244.81652926507002</v>
      </c>
      <c r="K319" s="9">
        <f t="shared" si="31"/>
        <v>88.417851533860016</v>
      </c>
      <c r="L319" s="10">
        <f t="shared" si="30"/>
        <v>0.36115964799961453</v>
      </c>
      <c r="M319" s="10">
        <f t="shared" si="46"/>
        <v>0.45308894439982583</v>
      </c>
      <c r="P319" s="8">
        <f t="shared" si="47"/>
        <v>1.4662352734206892</v>
      </c>
    </row>
    <row r="320" spans="1:16" x14ac:dyDescent="0.2">
      <c r="A320" s="8">
        <v>159</v>
      </c>
      <c r="B320" s="8">
        <v>318</v>
      </c>
      <c r="D320">
        <v>361.77610818932999</v>
      </c>
      <c r="E320">
        <v>193.07062359129</v>
      </c>
      <c r="F320">
        <v>127.33132530121</v>
      </c>
      <c r="G320">
        <v>109.07605421687001</v>
      </c>
      <c r="I320" s="9">
        <f>E320-G320</f>
        <v>83.994569374419996</v>
      </c>
      <c r="J320" s="9">
        <f>D320-F320</f>
        <v>234.44478288811999</v>
      </c>
      <c r="K320" s="9">
        <f t="shared" si="31"/>
        <v>83.994569374419996</v>
      </c>
      <c r="L320" s="10">
        <f t="shared" si="30"/>
        <v>0.35827015785846367</v>
      </c>
      <c r="M320" s="10">
        <f>L320+ABS($N$2)*A320</f>
        <v>0.45048945203911728</v>
      </c>
      <c r="O320" s="11"/>
      <c r="P320" s="8">
        <f>(M320-$O$2)/$O$2*100</f>
        <v>0.88409636510435663</v>
      </c>
    </row>
    <row r="321" spans="1:16" x14ac:dyDescent="0.2">
      <c r="A321" s="8">
        <v>159.5</v>
      </c>
      <c r="B321" s="8">
        <v>319</v>
      </c>
      <c r="D321">
        <v>344.05112781955</v>
      </c>
      <c r="E321">
        <v>193.26090225563999</v>
      </c>
      <c r="F321">
        <v>127.28765060241</v>
      </c>
      <c r="G321">
        <v>109.38554216868</v>
      </c>
      <c r="I321" s="9">
        <f t="shared" ref="I321" si="48">E321-G321</f>
        <v>83.875360086959986</v>
      </c>
      <c r="J321" s="9">
        <f t="shared" ref="J321" si="49">D321-F321</f>
        <v>216.76347721714001</v>
      </c>
      <c r="K321" s="9">
        <f t="shared" si="31"/>
        <v>83.875360086959986</v>
      </c>
      <c r="L321" s="10">
        <f t="shared" si="30"/>
        <v>0.38694415297157708</v>
      </c>
      <c r="M321" s="10">
        <f t="shared" ref="M321" si="50">L321+ABS($N$2)*A321</f>
        <v>0.479453444932673</v>
      </c>
      <c r="P321" s="8">
        <f t="shared" ref="P321" si="51">(M321-$O$2)/$O$2*100</f>
        <v>7.370388634469073</v>
      </c>
    </row>
    <row r="322" spans="1:16" x14ac:dyDescent="0.2">
      <c r="A322" s="8">
        <v>160</v>
      </c>
      <c r="D322">
        <v>336.98646616540998</v>
      </c>
      <c r="E322">
        <v>189.53684210526001</v>
      </c>
      <c r="F322">
        <v>127.1656626506</v>
      </c>
      <c r="G322">
        <v>109.22515060241</v>
      </c>
      <c r="I322" s="9">
        <f t="shared" ref="I322" si="52">E322-G322</f>
        <v>80.31169150285001</v>
      </c>
      <c r="J322" s="9">
        <f t="shared" ref="J322" si="53">D322-F322</f>
        <v>209.82080351481</v>
      </c>
      <c r="K322" s="9">
        <f t="shared" ref="K322" si="54">I322*1</f>
        <v>80.31169150285001</v>
      </c>
      <c r="L322" s="10">
        <f t="shared" ref="L322" si="55">K322/J322</f>
        <v>0.38276324443291576</v>
      </c>
      <c r="M322" s="10">
        <f t="shared" ref="M322" si="56">L322+ABS($N$2)*A322</f>
        <v>0.47556253417445399</v>
      </c>
      <c r="P322" s="8">
        <f t="shared" ref="P322" si="57">(M322-$O$2)/$O$2*100</f>
        <v>6.4990452232006914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FFF5-28DE-444B-BB66-E226CACA11C0}">
  <dimension ref="A1:Y798"/>
  <sheetViews>
    <sheetView topLeftCell="F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1140.9236200257001</v>
      </c>
      <c r="E2">
        <v>395.86521181001001</v>
      </c>
      <c r="F2">
        <v>131.87032258065</v>
      </c>
      <c r="G2">
        <v>110.75741935484</v>
      </c>
      <c r="H2" s="4"/>
      <c r="I2" s="5">
        <f>E2-G2</f>
        <v>285.10779245517</v>
      </c>
      <c r="J2" s="5">
        <f>D2-F2</f>
        <v>1009.05329744505</v>
      </c>
      <c r="K2" s="9">
        <f>I2*1</f>
        <v>285.10779245517</v>
      </c>
      <c r="L2" s="6">
        <f t="shared" ref="L2:L65" si="0">K2/J2</f>
        <v>0.28254978520665913</v>
      </c>
      <c r="M2" s="6">
        <f>L2+ABS($N$2)*A2</f>
        <v>0.28254978520665913</v>
      </c>
      <c r="N2" s="4">
        <f>LINEST(V64:V103,U64:U103)</f>
        <v>9.8046011368041643E-5</v>
      </c>
      <c r="O2" s="7">
        <f>AVERAGE(M62:M81)</f>
        <v>0.21267880960965546</v>
      </c>
      <c r="P2" s="4">
        <f>(M2-$O$2)/$O$2*100</f>
        <v>32.852814873866762</v>
      </c>
    </row>
    <row r="3" spans="1:16" x14ac:dyDescent="0.2">
      <c r="A3" s="8">
        <v>0.5</v>
      </c>
      <c r="B3" s="8">
        <v>1</v>
      </c>
      <c r="D3">
        <v>1095.9743260590999</v>
      </c>
      <c r="E3">
        <v>389.82862644416002</v>
      </c>
      <c r="F3">
        <v>131.22903225806999</v>
      </c>
      <c r="G3">
        <v>110.66064516129001</v>
      </c>
      <c r="I3" s="9">
        <f t="shared" ref="I3:I66" si="1">E3-G3</f>
        <v>279.16798128287002</v>
      </c>
      <c r="J3" s="9">
        <f t="shared" ref="J3:J66" si="2">D3-F3</f>
        <v>964.7452938010299</v>
      </c>
      <c r="K3" s="9">
        <f t="shared" ref="K3:K66" si="3">I3*1</f>
        <v>279.16798128287002</v>
      </c>
      <c r="L3" s="10">
        <f t="shared" si="0"/>
        <v>0.2893696222999621</v>
      </c>
      <c r="M3" s="10">
        <f t="shared" ref="M3:M66" si="4">L3+ABS($N$2)*A3</f>
        <v>0.28941864530564615</v>
      </c>
      <c r="P3" s="8">
        <f t="shared" ref="P3:P66" si="5">(M3-$O$2)/$O$2*100</f>
        <v>36.082501983548227</v>
      </c>
    </row>
    <row r="4" spans="1:16" ht="16" x14ac:dyDescent="0.2">
      <c r="A4" s="8">
        <v>1</v>
      </c>
      <c r="B4" s="8">
        <v>2</v>
      </c>
      <c r="D4">
        <v>1131.8061617458</v>
      </c>
      <c r="E4">
        <v>393.95571245185999</v>
      </c>
      <c r="F4">
        <v>131.39612903226001</v>
      </c>
      <c r="G4">
        <v>111.2464516129</v>
      </c>
      <c r="I4" s="9">
        <f t="shared" si="1"/>
        <v>282.70926083896001</v>
      </c>
      <c r="J4" s="9">
        <f t="shared" si="2"/>
        <v>1000.41003271354</v>
      </c>
      <c r="K4" s="9">
        <f t="shared" si="3"/>
        <v>282.70926083896001</v>
      </c>
      <c r="L4" s="10">
        <f t="shared" si="0"/>
        <v>0.28259338830512482</v>
      </c>
      <c r="M4" s="10">
        <f t="shared" si="4"/>
        <v>0.28269143431649285</v>
      </c>
      <c r="N4" s="1" t="s">
        <v>7</v>
      </c>
      <c r="P4" s="8">
        <f t="shared" si="5"/>
        <v>32.919417235471897</v>
      </c>
    </row>
    <row r="5" spans="1:16" x14ac:dyDescent="0.2">
      <c r="A5" s="8">
        <v>1.5</v>
      </c>
      <c r="B5" s="8">
        <v>3</v>
      </c>
      <c r="D5">
        <v>1031.3626444158999</v>
      </c>
      <c r="E5">
        <v>362.06097560976002</v>
      </c>
      <c r="F5">
        <v>131.12580645161</v>
      </c>
      <c r="G5">
        <v>111.05741935483999</v>
      </c>
      <c r="I5" s="9">
        <f t="shared" si="1"/>
        <v>251.00355625492003</v>
      </c>
      <c r="J5" s="9">
        <f t="shared" si="2"/>
        <v>900.23683796428986</v>
      </c>
      <c r="K5" s="9">
        <f t="shared" si="3"/>
        <v>251.00355625492003</v>
      </c>
      <c r="L5" s="10">
        <f t="shared" si="0"/>
        <v>0.27881946802189927</v>
      </c>
      <c r="M5" s="10">
        <f t="shared" si="4"/>
        <v>0.27896653703895136</v>
      </c>
      <c r="N5" s="8">
        <f>RSQ(V64:V83,U64:U83)</f>
        <v>3.9445877438617216E-2</v>
      </c>
      <c r="P5" s="8">
        <f t="shared" si="5"/>
        <v>31.16799814281379</v>
      </c>
    </row>
    <row r="6" spans="1:16" x14ac:dyDescent="0.2">
      <c r="A6" s="8">
        <v>2</v>
      </c>
      <c r="B6" s="8">
        <v>4</v>
      </c>
      <c r="D6">
        <v>1153.6931964057001</v>
      </c>
      <c r="E6">
        <v>382.4242618742</v>
      </c>
      <c r="F6">
        <v>131.79741935484</v>
      </c>
      <c r="G6">
        <v>110.90774193548</v>
      </c>
      <c r="I6" s="9">
        <f t="shared" si="1"/>
        <v>271.51651993871997</v>
      </c>
      <c r="J6" s="9">
        <f t="shared" si="2"/>
        <v>1021.89577705086</v>
      </c>
      <c r="K6" s="9">
        <f t="shared" si="3"/>
        <v>271.51651993871997</v>
      </c>
      <c r="L6" s="10">
        <f t="shared" si="0"/>
        <v>0.26569883743164396</v>
      </c>
      <c r="M6" s="10">
        <f t="shared" si="4"/>
        <v>0.26589492945438004</v>
      </c>
      <c r="P6" s="8">
        <f t="shared" si="5"/>
        <v>25.021825137349555</v>
      </c>
    </row>
    <row r="7" spans="1:16" x14ac:dyDescent="0.2">
      <c r="A7" s="8">
        <v>2.5</v>
      </c>
      <c r="B7" s="8">
        <v>5</v>
      </c>
      <c r="D7">
        <v>1077.6559691913001</v>
      </c>
      <c r="E7">
        <v>372.50385109114001</v>
      </c>
      <c r="F7">
        <v>131.34516129031999</v>
      </c>
      <c r="G7">
        <v>111.13161290323001</v>
      </c>
      <c r="I7" s="9">
        <f t="shared" si="1"/>
        <v>261.37223818791</v>
      </c>
      <c r="J7" s="9">
        <f t="shared" si="2"/>
        <v>946.31080790098008</v>
      </c>
      <c r="K7" s="9">
        <f t="shared" si="3"/>
        <v>261.37223818791</v>
      </c>
      <c r="L7" s="10">
        <f t="shared" si="0"/>
        <v>0.27620126073341794</v>
      </c>
      <c r="M7" s="10">
        <f t="shared" si="4"/>
        <v>0.27644637576183806</v>
      </c>
      <c r="P7" s="8">
        <f t="shared" si="5"/>
        <v>29.983036988602553</v>
      </c>
    </row>
    <row r="8" spans="1:16" x14ac:dyDescent="0.2">
      <c r="A8" s="8">
        <v>3</v>
      </c>
      <c r="B8" s="8">
        <v>6</v>
      </c>
      <c r="D8">
        <v>1050.8440308086999</v>
      </c>
      <c r="E8">
        <v>375.33376123235001</v>
      </c>
      <c r="F8">
        <v>131.73290322580999</v>
      </c>
      <c r="G8">
        <v>110.91677419355</v>
      </c>
      <c r="I8" s="9">
        <f t="shared" si="1"/>
        <v>264.41698703880002</v>
      </c>
      <c r="J8" s="9">
        <f t="shared" si="2"/>
        <v>919.11112758288994</v>
      </c>
      <c r="K8" s="9">
        <f t="shared" si="3"/>
        <v>264.41698703880002</v>
      </c>
      <c r="L8" s="10">
        <f t="shared" si="0"/>
        <v>0.28768772252183794</v>
      </c>
      <c r="M8" s="10">
        <f t="shared" si="4"/>
        <v>0.28798186055594205</v>
      </c>
      <c r="P8" s="8">
        <f t="shared" si="5"/>
        <v>35.406936443031455</v>
      </c>
    </row>
    <row r="9" spans="1:16" x14ac:dyDescent="0.2">
      <c r="A9" s="8">
        <v>3.5</v>
      </c>
      <c r="B9" s="8">
        <v>7</v>
      </c>
      <c r="D9">
        <v>1061.9261874198</v>
      </c>
      <c r="E9">
        <v>368.02182284981001</v>
      </c>
      <c r="F9">
        <v>131.73548387097</v>
      </c>
      <c r="G9">
        <v>110.96580645161001</v>
      </c>
      <c r="I9" s="9">
        <f t="shared" si="1"/>
        <v>257.05601639819997</v>
      </c>
      <c r="J9" s="9">
        <f t="shared" si="2"/>
        <v>930.19070354883002</v>
      </c>
      <c r="K9" s="9">
        <f t="shared" si="3"/>
        <v>257.05601639819997</v>
      </c>
      <c r="L9" s="10">
        <f t="shared" si="0"/>
        <v>0.27634765152725044</v>
      </c>
      <c r="M9" s="10">
        <f t="shared" si="4"/>
        <v>0.27669081256703859</v>
      </c>
      <c r="P9" s="8">
        <f t="shared" si="5"/>
        <v>30.097969362753584</v>
      </c>
    </row>
    <row r="10" spans="1:16" x14ac:dyDescent="0.2">
      <c r="A10" s="8">
        <v>4</v>
      </c>
      <c r="B10" s="8">
        <v>8</v>
      </c>
      <c r="D10">
        <v>1090.0847240051</v>
      </c>
      <c r="E10">
        <v>381.51861360718999</v>
      </c>
      <c r="F10">
        <v>131.44903225806999</v>
      </c>
      <c r="G10">
        <v>110.82322580645</v>
      </c>
      <c r="I10" s="9">
        <f t="shared" si="1"/>
        <v>270.69538780073998</v>
      </c>
      <c r="J10" s="9">
        <f t="shared" si="2"/>
        <v>958.63569174703002</v>
      </c>
      <c r="K10" s="9">
        <f t="shared" si="3"/>
        <v>270.69538780073998</v>
      </c>
      <c r="L10" s="10">
        <f t="shared" si="0"/>
        <v>0.28237566171505801</v>
      </c>
      <c r="M10" s="10">
        <f t="shared" si="4"/>
        <v>0.28276784576053016</v>
      </c>
      <c r="P10" s="8">
        <f t="shared" si="5"/>
        <v>32.955345330131422</v>
      </c>
    </row>
    <row r="11" spans="1:16" x14ac:dyDescent="0.2">
      <c r="A11" s="8">
        <v>4.5</v>
      </c>
      <c r="B11" s="8">
        <v>9</v>
      </c>
      <c r="D11">
        <v>1034.1155327342999</v>
      </c>
      <c r="E11">
        <v>359.55263157895001</v>
      </c>
      <c r="F11">
        <v>131.26193548386999</v>
      </c>
      <c r="G11">
        <v>110.91806451613</v>
      </c>
      <c r="I11" s="9">
        <f t="shared" si="1"/>
        <v>248.63456706282</v>
      </c>
      <c r="J11" s="9">
        <f t="shared" si="2"/>
        <v>902.85359725042986</v>
      </c>
      <c r="K11" s="9">
        <f t="shared" si="3"/>
        <v>248.63456706282</v>
      </c>
      <c r="L11" s="10">
        <f t="shared" si="0"/>
        <v>0.27538746904261907</v>
      </c>
      <c r="M11" s="10">
        <f t="shared" si="4"/>
        <v>0.27582867609377526</v>
      </c>
      <c r="P11" s="8">
        <f t="shared" si="5"/>
        <v>29.692599182787998</v>
      </c>
    </row>
    <row r="12" spans="1:16" x14ac:dyDescent="0.2">
      <c r="A12" s="8">
        <v>5</v>
      </c>
      <c r="B12" s="8">
        <v>10</v>
      </c>
      <c r="D12">
        <v>886.74069319641001</v>
      </c>
      <c r="E12">
        <v>325.36970474968001</v>
      </c>
      <c r="F12">
        <v>131.14774193548001</v>
      </c>
      <c r="G12">
        <v>110.96903225807</v>
      </c>
      <c r="I12" s="9">
        <f t="shared" si="1"/>
        <v>214.40067249161001</v>
      </c>
      <c r="J12" s="9">
        <f t="shared" si="2"/>
        <v>755.59295126093002</v>
      </c>
      <c r="K12" s="9">
        <f t="shared" si="3"/>
        <v>214.40067249161001</v>
      </c>
      <c r="L12" s="10">
        <f t="shared" si="0"/>
        <v>0.28375155185582285</v>
      </c>
      <c r="M12" s="10">
        <f t="shared" si="4"/>
        <v>0.28424178191266308</v>
      </c>
      <c r="P12" s="8">
        <f t="shared" si="5"/>
        <v>33.648379184720959</v>
      </c>
    </row>
    <row r="13" spans="1:16" x14ac:dyDescent="0.2">
      <c r="A13" s="8">
        <v>5.5</v>
      </c>
      <c r="B13" s="8">
        <v>11</v>
      </c>
      <c r="D13">
        <v>1428.8664971392</v>
      </c>
      <c r="E13">
        <v>404.28289891925999</v>
      </c>
      <c r="F13">
        <v>131.48709677419001</v>
      </c>
      <c r="G13">
        <v>110.99741935484001</v>
      </c>
      <c r="I13" s="9">
        <f t="shared" si="1"/>
        <v>293.28547956441997</v>
      </c>
      <c r="J13" s="9">
        <f t="shared" si="2"/>
        <v>1297.37940036501</v>
      </c>
      <c r="K13" s="9">
        <f t="shared" si="3"/>
        <v>293.28547956441997</v>
      </c>
      <c r="L13" s="10">
        <f t="shared" si="0"/>
        <v>0.22605991700030525</v>
      </c>
      <c r="M13" s="10">
        <f t="shared" si="4"/>
        <v>0.22659917006282948</v>
      </c>
      <c r="P13" s="8">
        <f t="shared" si="5"/>
        <v>6.5452503137115761</v>
      </c>
    </row>
    <row r="14" spans="1:16" x14ac:dyDescent="0.2">
      <c r="A14" s="8">
        <v>6</v>
      </c>
      <c r="B14" s="8">
        <v>12</v>
      </c>
      <c r="D14">
        <v>1409.2803560075999</v>
      </c>
      <c r="E14">
        <v>391.07183725366002</v>
      </c>
      <c r="F14">
        <v>131.42322580645001</v>
      </c>
      <c r="G14">
        <v>111.00580645161</v>
      </c>
      <c r="I14" s="9">
        <f t="shared" si="1"/>
        <v>280.06603080205002</v>
      </c>
      <c r="J14" s="9">
        <f t="shared" si="2"/>
        <v>1277.8571302011499</v>
      </c>
      <c r="K14" s="9">
        <f t="shared" si="3"/>
        <v>280.06603080205002</v>
      </c>
      <c r="L14" s="10">
        <f t="shared" si="0"/>
        <v>0.21916850028294188</v>
      </c>
      <c r="M14" s="10">
        <f t="shared" si="4"/>
        <v>0.21975677635115012</v>
      </c>
      <c r="P14" s="8">
        <f t="shared" si="5"/>
        <v>3.3280075031853706</v>
      </c>
    </row>
    <row r="15" spans="1:16" x14ac:dyDescent="0.2">
      <c r="A15" s="8">
        <v>6.5</v>
      </c>
      <c r="B15" s="8">
        <v>13</v>
      </c>
      <c r="D15">
        <v>1115.8982835347001</v>
      </c>
      <c r="E15">
        <v>325.68404322949999</v>
      </c>
      <c r="F15">
        <v>131.31161290323001</v>
      </c>
      <c r="G15">
        <v>110.78322580645001</v>
      </c>
      <c r="I15" s="9">
        <f t="shared" si="1"/>
        <v>214.90081742305</v>
      </c>
      <c r="J15" s="9">
        <f t="shared" si="2"/>
        <v>984.58667063147004</v>
      </c>
      <c r="K15" s="9">
        <f t="shared" si="3"/>
        <v>214.90081742305</v>
      </c>
      <c r="L15" s="10">
        <f t="shared" si="0"/>
        <v>0.2182650078791156</v>
      </c>
      <c r="M15" s="10">
        <f t="shared" si="4"/>
        <v>0.21890230695300786</v>
      </c>
      <c r="P15" s="8">
        <f t="shared" si="5"/>
        <v>2.9262423251168386</v>
      </c>
    </row>
    <row r="16" spans="1:16" x14ac:dyDescent="0.2">
      <c r="A16" s="8">
        <v>7</v>
      </c>
      <c r="B16" s="8">
        <v>14</v>
      </c>
      <c r="D16">
        <v>1005.7285441831</v>
      </c>
      <c r="E16">
        <v>307.30387794024</v>
      </c>
      <c r="F16">
        <v>131.22</v>
      </c>
      <c r="G16">
        <v>110.66516129032</v>
      </c>
      <c r="I16" s="9">
        <f t="shared" si="1"/>
        <v>196.63871664992001</v>
      </c>
      <c r="J16" s="9">
        <f t="shared" si="2"/>
        <v>874.50854418309996</v>
      </c>
      <c r="K16" s="9">
        <f t="shared" si="3"/>
        <v>196.63871664992001</v>
      </c>
      <c r="L16" s="10">
        <f t="shared" si="0"/>
        <v>0.22485625550246063</v>
      </c>
      <c r="M16" s="10">
        <f t="shared" si="4"/>
        <v>0.22554257758203691</v>
      </c>
      <c r="P16" s="8">
        <f t="shared" si="5"/>
        <v>6.048448360225092</v>
      </c>
    </row>
    <row r="17" spans="1:16" x14ac:dyDescent="0.2">
      <c r="A17" s="8">
        <v>7.5</v>
      </c>
      <c r="B17" s="8">
        <v>15</v>
      </c>
      <c r="D17">
        <v>1144.3886743887001</v>
      </c>
      <c r="E17">
        <v>332.05855855855998</v>
      </c>
      <c r="F17">
        <v>131.19612903225999</v>
      </c>
      <c r="G17">
        <v>110.74516129032</v>
      </c>
      <c r="I17" s="9">
        <f t="shared" si="1"/>
        <v>221.31339726823998</v>
      </c>
      <c r="J17" s="9">
        <f t="shared" si="2"/>
        <v>1013.1925453564402</v>
      </c>
      <c r="K17" s="9">
        <f t="shared" si="3"/>
        <v>221.31339726823998</v>
      </c>
      <c r="L17" s="10">
        <f t="shared" si="0"/>
        <v>0.21843172680507844</v>
      </c>
      <c r="M17" s="10">
        <f t="shared" si="4"/>
        <v>0.21916707189033877</v>
      </c>
      <c r="P17" s="8">
        <f t="shared" si="5"/>
        <v>3.0507328363327186</v>
      </c>
    </row>
    <row r="18" spans="1:16" x14ac:dyDescent="0.2">
      <c r="A18" s="8">
        <v>8</v>
      </c>
      <c r="B18" s="8">
        <v>16</v>
      </c>
      <c r="D18">
        <v>1025.9337194336999</v>
      </c>
      <c r="E18">
        <v>306.27477477477998</v>
      </c>
      <c r="F18">
        <v>131.06193548387</v>
      </c>
      <c r="G18">
        <v>110.68451612903</v>
      </c>
      <c r="I18" s="9">
        <f t="shared" si="1"/>
        <v>195.59025864575</v>
      </c>
      <c r="J18" s="9">
        <f t="shared" si="2"/>
        <v>894.87178394982993</v>
      </c>
      <c r="K18" s="9">
        <f t="shared" si="3"/>
        <v>195.59025864575</v>
      </c>
      <c r="L18" s="10">
        <f t="shared" si="0"/>
        <v>0.21856791347520638</v>
      </c>
      <c r="M18" s="10">
        <f t="shared" si="4"/>
        <v>0.21935228156615072</v>
      </c>
      <c r="P18" s="8">
        <f t="shared" si="5"/>
        <v>3.1378170532097469</v>
      </c>
    </row>
    <row r="19" spans="1:16" x14ac:dyDescent="0.2">
      <c r="A19" s="8">
        <v>8.5</v>
      </c>
      <c r="B19" s="8">
        <v>17</v>
      </c>
      <c r="D19">
        <v>1089.1130378933999</v>
      </c>
      <c r="E19">
        <v>313.22607578677002</v>
      </c>
      <c r="F19">
        <v>131.30903225807</v>
      </c>
      <c r="G19">
        <v>110.88967741936</v>
      </c>
      <c r="I19" s="9">
        <f t="shared" si="1"/>
        <v>202.33639836741003</v>
      </c>
      <c r="J19" s="9">
        <f t="shared" si="2"/>
        <v>957.80400563532987</v>
      </c>
      <c r="K19" s="9">
        <f t="shared" si="3"/>
        <v>202.33639836741003</v>
      </c>
      <c r="L19" s="10">
        <f t="shared" si="0"/>
        <v>0.21125031548933271</v>
      </c>
      <c r="M19" s="10">
        <f t="shared" si="4"/>
        <v>0.21208370658596107</v>
      </c>
      <c r="P19" s="8">
        <f t="shared" si="5"/>
        <v>-0.27981303110856609</v>
      </c>
    </row>
    <row r="20" spans="1:16" x14ac:dyDescent="0.2">
      <c r="A20" s="8">
        <v>9</v>
      </c>
      <c r="B20" s="8">
        <v>18</v>
      </c>
      <c r="D20">
        <v>1093.0102761721</v>
      </c>
      <c r="E20">
        <v>309.98651252409002</v>
      </c>
      <c r="F20">
        <v>130.67032258065001</v>
      </c>
      <c r="G20">
        <v>110.66516129032</v>
      </c>
      <c r="I20" s="9">
        <f t="shared" si="1"/>
        <v>199.32135123377003</v>
      </c>
      <c r="J20" s="9">
        <f t="shared" si="2"/>
        <v>962.33995359145001</v>
      </c>
      <c r="K20" s="9">
        <f t="shared" si="3"/>
        <v>199.32135123377003</v>
      </c>
      <c r="L20" s="10">
        <f t="shared" si="0"/>
        <v>0.20712155874844779</v>
      </c>
      <c r="M20" s="10">
        <f t="shared" si="4"/>
        <v>0.20800397285076017</v>
      </c>
      <c r="P20" s="8">
        <f t="shared" si="5"/>
        <v>-2.1980735962719349</v>
      </c>
    </row>
    <row r="21" spans="1:16" x14ac:dyDescent="0.2">
      <c r="A21" s="8">
        <v>9.5</v>
      </c>
      <c r="B21" s="8">
        <v>19</v>
      </c>
      <c r="D21">
        <v>1069.1104688503999</v>
      </c>
      <c r="E21">
        <v>304.32947976879001</v>
      </c>
      <c r="F21">
        <v>131.26322580645001</v>
      </c>
      <c r="G21">
        <v>110.67483870968</v>
      </c>
      <c r="I21" s="9">
        <f t="shared" si="1"/>
        <v>193.65464105911002</v>
      </c>
      <c r="J21" s="9">
        <f t="shared" si="2"/>
        <v>937.8472430439499</v>
      </c>
      <c r="K21" s="9">
        <f t="shared" si="3"/>
        <v>193.65464105911002</v>
      </c>
      <c r="L21" s="10">
        <f t="shared" si="0"/>
        <v>0.20648846866635709</v>
      </c>
      <c r="M21" s="10">
        <f t="shared" si="4"/>
        <v>0.20741990577435349</v>
      </c>
      <c r="P21" s="8">
        <f t="shared" si="5"/>
        <v>-2.4726976067592328</v>
      </c>
    </row>
    <row r="22" spans="1:16" x14ac:dyDescent="0.2">
      <c r="A22" s="8">
        <v>10</v>
      </c>
      <c r="B22" s="8">
        <v>20</v>
      </c>
      <c r="D22">
        <v>1060.1721258831001</v>
      </c>
      <c r="E22">
        <v>302.13872832369998</v>
      </c>
      <c r="F22">
        <v>131.07806451613001</v>
      </c>
      <c r="G22">
        <v>110.80129032258</v>
      </c>
      <c r="I22" s="9">
        <f t="shared" si="1"/>
        <v>191.33743800111998</v>
      </c>
      <c r="J22" s="9">
        <f t="shared" si="2"/>
        <v>929.0940613669701</v>
      </c>
      <c r="K22" s="9">
        <f t="shared" si="3"/>
        <v>191.33743800111998</v>
      </c>
      <c r="L22" s="10">
        <f t="shared" si="0"/>
        <v>0.20593979227421436</v>
      </c>
      <c r="M22" s="10">
        <f t="shared" si="4"/>
        <v>0.20692025238789477</v>
      </c>
      <c r="P22" s="8">
        <f t="shared" si="5"/>
        <v>-2.7076309258688163</v>
      </c>
    </row>
    <row r="23" spans="1:16" x14ac:dyDescent="0.2">
      <c r="A23" s="8">
        <v>10.5</v>
      </c>
      <c r="B23" s="8">
        <v>21</v>
      </c>
      <c r="D23">
        <v>1015.6272493573</v>
      </c>
      <c r="E23">
        <v>304.03213367608998</v>
      </c>
      <c r="F23">
        <v>130.95806451613001</v>
      </c>
      <c r="G23">
        <v>110.61225806452001</v>
      </c>
      <c r="I23" s="9">
        <f t="shared" si="1"/>
        <v>193.41987561156998</v>
      </c>
      <c r="J23" s="9">
        <f t="shared" si="2"/>
        <v>884.66918484117002</v>
      </c>
      <c r="K23" s="9">
        <f t="shared" si="3"/>
        <v>193.41987561156998</v>
      </c>
      <c r="L23" s="10">
        <f t="shared" si="0"/>
        <v>0.21863525815731427</v>
      </c>
      <c r="M23" s="10">
        <f t="shared" si="4"/>
        <v>0.2196647412766787</v>
      </c>
      <c r="P23" s="8">
        <f t="shared" si="5"/>
        <v>3.2847332932909583</v>
      </c>
    </row>
    <row r="24" spans="1:16" x14ac:dyDescent="0.2">
      <c r="A24" s="8">
        <v>11</v>
      </c>
      <c r="B24" s="8">
        <v>22</v>
      </c>
      <c r="D24">
        <v>1048.9093830334</v>
      </c>
      <c r="E24">
        <v>319.34061696658</v>
      </c>
      <c r="F24">
        <v>131.03870967742</v>
      </c>
      <c r="G24">
        <v>110.6064516129</v>
      </c>
      <c r="I24" s="9">
        <f t="shared" si="1"/>
        <v>208.73416535368</v>
      </c>
      <c r="J24" s="9">
        <f t="shared" si="2"/>
        <v>917.87067335597999</v>
      </c>
      <c r="K24" s="9">
        <f t="shared" si="3"/>
        <v>208.73416535368</v>
      </c>
      <c r="L24" s="10">
        <f t="shared" si="0"/>
        <v>0.22741130249917696</v>
      </c>
      <c r="M24" s="10">
        <f t="shared" si="4"/>
        <v>0.22848980862422541</v>
      </c>
      <c r="P24" s="8">
        <f t="shared" si="5"/>
        <v>7.4342145527281245</v>
      </c>
    </row>
    <row r="25" spans="1:16" x14ac:dyDescent="0.2">
      <c r="A25" s="8">
        <v>11.5</v>
      </c>
      <c r="B25" s="8">
        <v>23</v>
      </c>
      <c r="D25">
        <v>1048.6001291990001</v>
      </c>
      <c r="E25">
        <v>309.46963824289003</v>
      </c>
      <c r="F25">
        <v>131.03935483871001</v>
      </c>
      <c r="G25">
        <v>110.84129032257999</v>
      </c>
      <c r="I25" s="9">
        <f t="shared" si="1"/>
        <v>198.62834792031003</v>
      </c>
      <c r="J25" s="9">
        <f t="shared" si="2"/>
        <v>917.56077436029011</v>
      </c>
      <c r="K25" s="9">
        <f t="shared" si="3"/>
        <v>198.62834792031003</v>
      </c>
      <c r="L25" s="10">
        <f t="shared" si="0"/>
        <v>0.21647432352237464</v>
      </c>
      <c r="M25" s="10">
        <f t="shared" si="4"/>
        <v>0.21760185265310711</v>
      </c>
      <c r="P25" s="8">
        <f t="shared" si="5"/>
        <v>2.3147783516784104</v>
      </c>
    </row>
    <row r="26" spans="1:16" x14ac:dyDescent="0.2">
      <c r="A26" s="8">
        <v>12</v>
      </c>
      <c r="B26" s="8">
        <v>24</v>
      </c>
      <c r="D26">
        <v>1024.5012919896999</v>
      </c>
      <c r="E26">
        <v>302.31653746770002</v>
      </c>
      <c r="F26">
        <v>130.86064516128999</v>
      </c>
      <c r="G26">
        <v>110.62322580644999</v>
      </c>
      <c r="I26" s="9">
        <f t="shared" si="1"/>
        <v>191.69331166125002</v>
      </c>
      <c r="J26" s="9">
        <f t="shared" si="2"/>
        <v>893.6406468284099</v>
      </c>
      <c r="K26" s="9">
        <f t="shared" si="3"/>
        <v>191.69331166125002</v>
      </c>
      <c r="L26" s="10">
        <f t="shared" si="0"/>
        <v>0.21450827280695248</v>
      </c>
      <c r="M26" s="10">
        <f t="shared" si="4"/>
        <v>0.21568482494336896</v>
      </c>
      <c r="P26" s="8">
        <f t="shared" si="5"/>
        <v>1.4134061306956982</v>
      </c>
    </row>
    <row r="27" spans="1:16" x14ac:dyDescent="0.2">
      <c r="A27" s="8">
        <v>12.5</v>
      </c>
      <c r="B27" s="8">
        <v>25</v>
      </c>
      <c r="D27">
        <v>1001.8830749354</v>
      </c>
      <c r="E27">
        <v>295.74935400517001</v>
      </c>
      <c r="F27">
        <v>130.98387096773999</v>
      </c>
      <c r="G27">
        <v>110.76</v>
      </c>
      <c r="I27" s="9">
        <f t="shared" si="1"/>
        <v>184.98935400517001</v>
      </c>
      <c r="J27" s="9">
        <f t="shared" si="2"/>
        <v>870.89920396766001</v>
      </c>
      <c r="K27" s="9">
        <f t="shared" si="3"/>
        <v>184.98935400517001</v>
      </c>
      <c r="L27" s="10">
        <f t="shared" si="0"/>
        <v>0.21241189929028734</v>
      </c>
      <c r="M27" s="10">
        <f t="shared" si="4"/>
        <v>0.21363747443238787</v>
      </c>
      <c r="P27" s="8">
        <f t="shared" si="5"/>
        <v>0.4507570944617913</v>
      </c>
    </row>
    <row r="28" spans="1:16" x14ac:dyDescent="0.2">
      <c r="A28" s="8">
        <v>13</v>
      </c>
      <c r="B28" s="8">
        <v>26</v>
      </c>
      <c r="D28">
        <v>993.46511627907</v>
      </c>
      <c r="E28">
        <v>294.64987080102998</v>
      </c>
      <c r="F28">
        <v>130.91806451612999</v>
      </c>
      <c r="G28">
        <v>110.77935483871001</v>
      </c>
      <c r="I28" s="9">
        <f t="shared" si="1"/>
        <v>183.87051596231998</v>
      </c>
      <c r="J28" s="9">
        <f t="shared" si="2"/>
        <v>862.54705176293999</v>
      </c>
      <c r="K28" s="9">
        <f t="shared" si="3"/>
        <v>183.87051596231998</v>
      </c>
      <c r="L28" s="10">
        <f t="shared" si="0"/>
        <v>0.21317157781307267</v>
      </c>
      <c r="M28" s="10">
        <f t="shared" si="4"/>
        <v>0.21444617596085722</v>
      </c>
      <c r="P28" s="8">
        <f t="shared" si="5"/>
        <v>0.83100255942071877</v>
      </c>
    </row>
    <row r="29" spans="1:16" x14ac:dyDescent="0.2">
      <c r="A29" s="8">
        <v>13.5</v>
      </c>
      <c r="B29" s="8">
        <v>27</v>
      </c>
      <c r="D29">
        <v>1032.3107235141999</v>
      </c>
      <c r="E29">
        <v>299.69573643411002</v>
      </c>
      <c r="F29">
        <v>131.29806451613001</v>
      </c>
      <c r="G29">
        <v>111.01483870968001</v>
      </c>
      <c r="I29" s="9">
        <f t="shared" si="1"/>
        <v>188.68089772443</v>
      </c>
      <c r="J29" s="9">
        <f t="shared" si="2"/>
        <v>901.01265899806992</v>
      </c>
      <c r="K29" s="9">
        <f t="shared" si="3"/>
        <v>188.68089772443</v>
      </c>
      <c r="L29" s="10">
        <f t="shared" si="0"/>
        <v>0.20940981887451393</v>
      </c>
      <c r="M29" s="10">
        <f t="shared" si="4"/>
        <v>0.2107334400279825</v>
      </c>
      <c r="P29" s="8">
        <f t="shared" si="5"/>
        <v>-0.9146983591094181</v>
      </c>
    </row>
    <row r="30" spans="1:16" x14ac:dyDescent="0.2">
      <c r="A30" s="8">
        <v>14</v>
      </c>
      <c r="B30" s="8">
        <v>28</v>
      </c>
      <c r="D30">
        <v>981.28443305573001</v>
      </c>
      <c r="E30">
        <v>288.20755925689002</v>
      </c>
      <c r="F30">
        <v>131.40258064515999</v>
      </c>
      <c r="G30">
        <v>110.67870967742</v>
      </c>
      <c r="I30" s="9">
        <f t="shared" si="1"/>
        <v>177.52884957947003</v>
      </c>
      <c r="J30" s="9">
        <f t="shared" si="2"/>
        <v>849.88185241056999</v>
      </c>
      <c r="K30" s="9">
        <f t="shared" si="3"/>
        <v>177.52884957947003</v>
      </c>
      <c r="L30" s="10">
        <f t="shared" si="0"/>
        <v>0.20888650472525622</v>
      </c>
      <c r="M30" s="10">
        <f t="shared" si="4"/>
        <v>0.2102591488844088</v>
      </c>
      <c r="P30" s="8">
        <f t="shared" si="5"/>
        <v>-1.1377065395878574</v>
      </c>
    </row>
    <row r="31" spans="1:16" x14ac:dyDescent="0.2">
      <c r="A31" s="8">
        <v>14.5</v>
      </c>
      <c r="B31" s="8">
        <v>29</v>
      </c>
      <c r="D31">
        <v>991.94618834080995</v>
      </c>
      <c r="E31">
        <v>291.36643177449997</v>
      </c>
      <c r="F31">
        <v>130.71741935483999</v>
      </c>
      <c r="G31">
        <v>110.57806451613</v>
      </c>
      <c r="I31" s="9">
        <f t="shared" si="1"/>
        <v>180.78836725836999</v>
      </c>
      <c r="J31" s="9">
        <f t="shared" si="2"/>
        <v>861.22876898596996</v>
      </c>
      <c r="K31" s="9">
        <f t="shared" si="3"/>
        <v>180.78836725836999</v>
      </c>
      <c r="L31" s="10">
        <f t="shared" si="0"/>
        <v>0.20991909904639422</v>
      </c>
      <c r="M31" s="10">
        <f t="shared" si="4"/>
        <v>0.21134076621123082</v>
      </c>
      <c r="P31" s="8">
        <f t="shared" si="5"/>
        <v>-0.62913808897108447</v>
      </c>
    </row>
    <row r="32" spans="1:16" x14ac:dyDescent="0.2">
      <c r="A32" s="8">
        <v>15</v>
      </c>
      <c r="B32" s="8">
        <v>30</v>
      </c>
      <c r="D32">
        <v>981.74119154387995</v>
      </c>
      <c r="E32">
        <v>296.28635490071002</v>
      </c>
      <c r="F32">
        <v>130.98387096773999</v>
      </c>
      <c r="G32">
        <v>110.75548387097</v>
      </c>
      <c r="I32" s="9">
        <f t="shared" si="1"/>
        <v>185.53087102974001</v>
      </c>
      <c r="J32" s="9">
        <f t="shared" si="2"/>
        <v>850.75732057613993</v>
      </c>
      <c r="K32" s="9">
        <f t="shared" si="3"/>
        <v>185.53087102974001</v>
      </c>
      <c r="L32" s="10">
        <f t="shared" si="0"/>
        <v>0.21807731363874361</v>
      </c>
      <c r="M32" s="10">
        <f t="shared" si="4"/>
        <v>0.21954800380926423</v>
      </c>
      <c r="P32" s="8">
        <f t="shared" si="5"/>
        <v>3.2298442013176061</v>
      </c>
    </row>
    <row r="33" spans="1:16" x14ac:dyDescent="0.2">
      <c r="A33" s="8">
        <v>15.5</v>
      </c>
      <c r="B33" s="8">
        <v>31</v>
      </c>
      <c r="D33">
        <v>974.39077514413998</v>
      </c>
      <c r="E33">
        <v>294.90006406150002</v>
      </c>
      <c r="F33">
        <v>131.3335483871</v>
      </c>
      <c r="G33">
        <v>110.77806451613</v>
      </c>
      <c r="I33" s="9">
        <f t="shared" si="1"/>
        <v>184.12199954537002</v>
      </c>
      <c r="J33" s="9">
        <f t="shared" si="2"/>
        <v>843.05722675703998</v>
      </c>
      <c r="K33" s="9">
        <f t="shared" si="3"/>
        <v>184.12199954537002</v>
      </c>
      <c r="L33" s="10">
        <f t="shared" si="0"/>
        <v>0.21839798497858318</v>
      </c>
      <c r="M33" s="10">
        <f t="shared" si="4"/>
        <v>0.21991769815478782</v>
      </c>
      <c r="P33" s="8">
        <f t="shared" si="5"/>
        <v>3.403671742576706</v>
      </c>
    </row>
    <row r="34" spans="1:16" x14ac:dyDescent="0.2">
      <c r="A34" s="8">
        <v>16</v>
      </c>
      <c r="B34" s="8">
        <v>32</v>
      </c>
      <c r="D34">
        <v>928.17552850737002</v>
      </c>
      <c r="E34">
        <v>289.63228699552002</v>
      </c>
      <c r="F34">
        <v>131.25677419355</v>
      </c>
      <c r="G34">
        <v>110.53677419355</v>
      </c>
      <c r="I34" s="9">
        <f t="shared" si="1"/>
        <v>179.09551280197002</v>
      </c>
      <c r="J34" s="9">
        <f t="shared" si="2"/>
        <v>796.91875431382005</v>
      </c>
      <c r="K34" s="9">
        <f t="shared" si="3"/>
        <v>179.09551280197002</v>
      </c>
      <c r="L34" s="10">
        <f t="shared" si="0"/>
        <v>0.22473497057573785</v>
      </c>
      <c r="M34" s="10">
        <f t="shared" si="4"/>
        <v>0.22630370675762651</v>
      </c>
      <c r="P34" s="8">
        <f t="shared" si="5"/>
        <v>6.4063256574445715</v>
      </c>
    </row>
    <row r="35" spans="1:16" x14ac:dyDescent="0.2">
      <c r="A35" s="8">
        <v>16.5</v>
      </c>
      <c r="B35" s="8">
        <v>33</v>
      </c>
      <c r="D35">
        <v>938.67799871712998</v>
      </c>
      <c r="E35">
        <v>289.18088518281002</v>
      </c>
      <c r="F35">
        <v>130.73870967741999</v>
      </c>
      <c r="G35">
        <v>110.43483870967999</v>
      </c>
      <c r="I35" s="9">
        <f t="shared" si="1"/>
        <v>178.74604647313004</v>
      </c>
      <c r="J35" s="9">
        <f t="shared" si="2"/>
        <v>807.93928903971005</v>
      </c>
      <c r="K35" s="9">
        <f t="shared" si="3"/>
        <v>178.74604647313004</v>
      </c>
      <c r="L35" s="10">
        <f t="shared" si="0"/>
        <v>0.22123697770111128</v>
      </c>
      <c r="M35" s="10">
        <f t="shared" si="4"/>
        <v>0.22285473688868396</v>
      </c>
      <c r="P35" s="8">
        <f t="shared" si="5"/>
        <v>4.7846455872614202</v>
      </c>
    </row>
    <row r="36" spans="1:16" x14ac:dyDescent="0.2">
      <c r="A36" s="8">
        <v>17</v>
      </c>
      <c r="B36" s="8">
        <v>34</v>
      </c>
      <c r="D36">
        <v>929.86016677356997</v>
      </c>
      <c r="E36">
        <v>285.83194355356</v>
      </c>
      <c r="F36">
        <v>130.86709677419</v>
      </c>
      <c r="G36">
        <v>110.53806451613001</v>
      </c>
      <c r="I36" s="9">
        <f t="shared" si="1"/>
        <v>175.29387903742997</v>
      </c>
      <c r="J36" s="9">
        <f t="shared" si="2"/>
        <v>798.99306999937994</v>
      </c>
      <c r="K36" s="9">
        <f t="shared" si="3"/>
        <v>175.29387903742997</v>
      </c>
      <c r="L36" s="10">
        <f t="shared" si="0"/>
        <v>0.21939349115702095</v>
      </c>
      <c r="M36" s="10">
        <f t="shared" si="4"/>
        <v>0.22106027335027767</v>
      </c>
      <c r="P36" s="8">
        <f t="shared" si="5"/>
        <v>3.9409021312491377</v>
      </c>
    </row>
    <row r="37" spans="1:16" x14ac:dyDescent="0.2">
      <c r="A37" s="8">
        <v>17.5</v>
      </c>
      <c r="B37" s="8">
        <v>35</v>
      </c>
      <c r="D37">
        <v>939.81654906992003</v>
      </c>
      <c r="E37">
        <v>286.98460551635998</v>
      </c>
      <c r="F37">
        <v>130.44516129031999</v>
      </c>
      <c r="G37">
        <v>110.28774193548</v>
      </c>
      <c r="I37" s="9">
        <f t="shared" si="1"/>
        <v>176.69686358087998</v>
      </c>
      <c r="J37" s="9">
        <f t="shared" si="2"/>
        <v>809.37138777960001</v>
      </c>
      <c r="K37" s="9">
        <f t="shared" si="3"/>
        <v>176.69686358087998</v>
      </c>
      <c r="L37" s="10">
        <f t="shared" si="0"/>
        <v>0.21831370153277066</v>
      </c>
      <c r="M37" s="10">
        <f t="shared" si="4"/>
        <v>0.2200295067317114</v>
      </c>
      <c r="P37" s="8">
        <f t="shared" si="5"/>
        <v>3.456243306771932</v>
      </c>
    </row>
    <row r="38" spans="1:16" x14ac:dyDescent="0.2">
      <c r="A38" s="8">
        <v>18</v>
      </c>
      <c r="B38" s="8">
        <v>36</v>
      </c>
      <c r="D38">
        <v>947.00192431046003</v>
      </c>
      <c r="E38">
        <v>287.60808210391002</v>
      </c>
      <c r="F38">
        <v>130.8264516129</v>
      </c>
      <c r="G38">
        <v>110.57483870967999</v>
      </c>
      <c r="I38" s="9">
        <f t="shared" si="1"/>
        <v>177.03324339423003</v>
      </c>
      <c r="J38" s="9">
        <f t="shared" si="2"/>
        <v>816.17547269756005</v>
      </c>
      <c r="K38" s="9">
        <f t="shared" si="3"/>
        <v>177.03324339423003</v>
      </c>
      <c r="L38" s="10">
        <f t="shared" si="0"/>
        <v>0.21690586070800857</v>
      </c>
      <c r="M38" s="10">
        <f t="shared" si="4"/>
        <v>0.21867068891263333</v>
      </c>
      <c r="P38" s="8">
        <f t="shared" si="5"/>
        <v>2.8173372391801479</v>
      </c>
    </row>
    <row r="39" spans="1:16" x14ac:dyDescent="0.2">
      <c r="A39" s="8">
        <v>18.5</v>
      </c>
      <c r="B39" s="8">
        <v>37</v>
      </c>
      <c r="D39">
        <v>980.96788696211001</v>
      </c>
      <c r="E39">
        <v>291.57996146436</v>
      </c>
      <c r="F39">
        <v>130.99806451613</v>
      </c>
      <c r="G39">
        <v>110.43935483871</v>
      </c>
      <c r="I39" s="9">
        <f t="shared" si="1"/>
        <v>181.14060662564998</v>
      </c>
      <c r="J39" s="9">
        <f t="shared" si="2"/>
        <v>849.96982244598007</v>
      </c>
      <c r="K39" s="9">
        <f t="shared" si="3"/>
        <v>181.14060662564998</v>
      </c>
      <c r="L39" s="10">
        <f t="shared" si="0"/>
        <v>0.21311416222328575</v>
      </c>
      <c r="M39" s="10">
        <f t="shared" si="4"/>
        <v>0.21492801343359452</v>
      </c>
      <c r="P39" s="8">
        <f t="shared" si="5"/>
        <v>1.057558967941933</v>
      </c>
    </row>
    <row r="40" spans="1:16" x14ac:dyDescent="0.2">
      <c r="A40" s="8">
        <v>19</v>
      </c>
      <c r="B40" s="8">
        <v>38</v>
      </c>
      <c r="D40">
        <v>980.16827231855996</v>
      </c>
      <c r="E40">
        <v>288.73859987154998</v>
      </c>
      <c r="F40">
        <v>130.92387096773999</v>
      </c>
      <c r="G40">
        <v>110.6135483871</v>
      </c>
      <c r="I40" s="9">
        <f t="shared" si="1"/>
        <v>178.12505148444998</v>
      </c>
      <c r="J40" s="9">
        <f t="shared" si="2"/>
        <v>849.24440135082</v>
      </c>
      <c r="K40" s="9">
        <f t="shared" si="3"/>
        <v>178.12505148444998</v>
      </c>
      <c r="L40" s="10">
        <f t="shared" si="0"/>
        <v>0.20974533503090723</v>
      </c>
      <c r="M40" s="10">
        <f t="shared" si="4"/>
        <v>0.21160820924690002</v>
      </c>
      <c r="P40" s="8">
        <f t="shared" si="5"/>
        <v>-0.50338835576538665</v>
      </c>
    </row>
    <row r="41" spans="1:16" x14ac:dyDescent="0.2">
      <c r="A41" s="8">
        <v>19.5</v>
      </c>
      <c r="B41" s="8">
        <v>39</v>
      </c>
      <c r="D41">
        <v>999.10597302505005</v>
      </c>
      <c r="E41">
        <v>289.84007707129001</v>
      </c>
      <c r="F41">
        <v>130.54322580645001</v>
      </c>
      <c r="G41">
        <v>110.68903225807</v>
      </c>
      <c r="I41" s="9">
        <f t="shared" si="1"/>
        <v>179.15104481322001</v>
      </c>
      <c r="J41" s="9">
        <f t="shared" si="2"/>
        <v>868.56274721860007</v>
      </c>
      <c r="K41" s="9">
        <f t="shared" si="3"/>
        <v>179.15104481322001</v>
      </c>
      <c r="L41" s="10">
        <f t="shared" si="0"/>
        <v>0.20626148817332507</v>
      </c>
      <c r="M41" s="10">
        <f t="shared" si="4"/>
        <v>0.20817338539500188</v>
      </c>
      <c r="P41" s="8">
        <f t="shared" si="5"/>
        <v>-2.1184170735780898</v>
      </c>
    </row>
    <row r="42" spans="1:16" x14ac:dyDescent="0.2">
      <c r="A42" s="8">
        <v>20</v>
      </c>
      <c r="B42" s="8">
        <v>40</v>
      </c>
      <c r="D42">
        <v>998.42646114321997</v>
      </c>
      <c r="E42">
        <v>290.99165061014997</v>
      </c>
      <c r="F42">
        <v>130.82</v>
      </c>
      <c r="G42">
        <v>110.31870967742</v>
      </c>
      <c r="I42" s="9">
        <f t="shared" si="1"/>
        <v>180.67294093272997</v>
      </c>
      <c r="J42" s="9">
        <f t="shared" si="2"/>
        <v>867.60646114322003</v>
      </c>
      <c r="K42" s="9">
        <f t="shared" si="3"/>
        <v>180.67294093272997</v>
      </c>
      <c r="L42" s="10">
        <f t="shared" si="0"/>
        <v>0.20824296386020735</v>
      </c>
      <c r="M42" s="10">
        <f t="shared" si="4"/>
        <v>0.21020388408756818</v>
      </c>
      <c r="P42" s="8">
        <f t="shared" si="5"/>
        <v>-1.1636916374648163</v>
      </c>
    </row>
    <row r="43" spans="1:16" x14ac:dyDescent="0.2">
      <c r="A43" s="8">
        <v>20.5</v>
      </c>
      <c r="B43" s="8">
        <v>41</v>
      </c>
      <c r="D43">
        <v>990.92806679512</v>
      </c>
      <c r="E43">
        <v>288.13937058445998</v>
      </c>
      <c r="F43">
        <v>130.44903225806999</v>
      </c>
      <c r="G43">
        <v>110.55870967742</v>
      </c>
      <c r="I43" s="9">
        <f t="shared" si="1"/>
        <v>177.58066090704</v>
      </c>
      <c r="J43" s="9">
        <f t="shared" si="2"/>
        <v>860.47903453704998</v>
      </c>
      <c r="K43" s="9">
        <f t="shared" si="3"/>
        <v>177.58066090704</v>
      </c>
      <c r="L43" s="10">
        <f t="shared" si="0"/>
        <v>0.20637418667914545</v>
      </c>
      <c r="M43" s="10">
        <f t="shared" si="4"/>
        <v>0.2083841299121903</v>
      </c>
      <c r="P43" s="8">
        <f t="shared" si="5"/>
        <v>-2.0193265635384621</v>
      </c>
    </row>
    <row r="44" spans="1:16" x14ac:dyDescent="0.2">
      <c r="A44" s="8">
        <v>21</v>
      </c>
      <c r="B44" s="8">
        <v>42</v>
      </c>
      <c r="D44">
        <v>948.47943444730004</v>
      </c>
      <c r="E44">
        <v>280.77956298201002</v>
      </c>
      <c r="F44">
        <v>130.7064516129</v>
      </c>
      <c r="G44">
        <v>110.33806451613</v>
      </c>
      <c r="I44" s="9">
        <f t="shared" si="1"/>
        <v>170.44149846588002</v>
      </c>
      <c r="J44" s="9">
        <f t="shared" si="2"/>
        <v>817.77298283440007</v>
      </c>
      <c r="K44" s="9">
        <f t="shared" si="3"/>
        <v>170.44149846588002</v>
      </c>
      <c r="L44" s="10">
        <f t="shared" si="0"/>
        <v>0.20842153267906946</v>
      </c>
      <c r="M44" s="10">
        <f t="shared" si="4"/>
        <v>0.21048049891779833</v>
      </c>
      <c r="P44" s="8">
        <f t="shared" si="5"/>
        <v>-1.0336293944337247</v>
      </c>
    </row>
    <row r="45" spans="1:16" x14ac:dyDescent="0.2">
      <c r="A45" s="8">
        <v>21.5</v>
      </c>
      <c r="B45" s="8">
        <v>43</v>
      </c>
      <c r="D45">
        <v>953.82647814910001</v>
      </c>
      <c r="E45">
        <v>283.23650385603997</v>
      </c>
      <c r="F45">
        <v>130.99032258065</v>
      </c>
      <c r="G45">
        <v>110.56258064516</v>
      </c>
      <c r="I45" s="9">
        <f t="shared" si="1"/>
        <v>172.67392321087999</v>
      </c>
      <c r="J45" s="9">
        <f t="shared" si="2"/>
        <v>822.83615556845007</v>
      </c>
      <c r="K45" s="9">
        <f t="shared" si="3"/>
        <v>172.67392321087999</v>
      </c>
      <c r="L45" s="10">
        <f t="shared" si="0"/>
        <v>0.20985213403947903</v>
      </c>
      <c r="M45" s="10">
        <f t="shared" si="4"/>
        <v>0.21196012328389191</v>
      </c>
      <c r="P45" s="8">
        <f t="shared" si="5"/>
        <v>-0.33792098379834234</v>
      </c>
    </row>
    <row r="46" spans="1:16" x14ac:dyDescent="0.2">
      <c r="A46" s="8">
        <v>22</v>
      </c>
      <c r="B46" s="8">
        <v>44</v>
      </c>
      <c r="D46">
        <v>948.28213367608998</v>
      </c>
      <c r="E46">
        <v>282.63560411310999</v>
      </c>
      <c r="F46">
        <v>130.52967741936001</v>
      </c>
      <c r="G46">
        <v>110.51612903226</v>
      </c>
      <c r="I46" s="9">
        <f t="shared" si="1"/>
        <v>172.11947508085001</v>
      </c>
      <c r="J46" s="9">
        <f t="shared" si="2"/>
        <v>817.75245625672994</v>
      </c>
      <c r="K46" s="9">
        <f t="shared" si="3"/>
        <v>172.11947508085001</v>
      </c>
      <c r="L46" s="10">
        <f t="shared" si="0"/>
        <v>0.21047870142601421</v>
      </c>
      <c r="M46" s="10">
        <f t="shared" si="4"/>
        <v>0.21263571367611114</v>
      </c>
      <c r="P46" s="8">
        <f t="shared" si="5"/>
        <v>-2.0263388545109503E-2</v>
      </c>
    </row>
    <row r="47" spans="1:16" x14ac:dyDescent="0.2">
      <c r="A47" s="8">
        <v>22.5</v>
      </c>
      <c r="B47" s="8">
        <v>45</v>
      </c>
      <c r="D47">
        <v>977.96401028278001</v>
      </c>
      <c r="E47">
        <v>287.00128534703998</v>
      </c>
      <c r="F47">
        <v>130.48322580645001</v>
      </c>
      <c r="G47">
        <v>110.52903225807</v>
      </c>
      <c r="I47" s="9">
        <f t="shared" si="1"/>
        <v>176.47225308896998</v>
      </c>
      <c r="J47" s="9">
        <f t="shared" si="2"/>
        <v>847.48078447632997</v>
      </c>
      <c r="K47" s="9">
        <f t="shared" si="3"/>
        <v>176.47225308896998</v>
      </c>
      <c r="L47" s="10">
        <f t="shared" si="0"/>
        <v>0.20823156857534489</v>
      </c>
      <c r="M47" s="10">
        <f t="shared" si="4"/>
        <v>0.21043760383112584</v>
      </c>
      <c r="P47" s="8">
        <f t="shared" si="5"/>
        <v>-1.0537983462682861</v>
      </c>
    </row>
    <row r="48" spans="1:16" x14ac:dyDescent="0.2">
      <c r="A48" s="8">
        <v>23</v>
      </c>
      <c r="B48" s="8">
        <v>46</v>
      </c>
      <c r="D48">
        <v>981.92480719794003</v>
      </c>
      <c r="E48">
        <v>286.32326478149002</v>
      </c>
      <c r="F48">
        <v>130.50258064516001</v>
      </c>
      <c r="G48">
        <v>110.27741935484001</v>
      </c>
      <c r="I48" s="9">
        <f t="shared" si="1"/>
        <v>176.04584542665003</v>
      </c>
      <c r="J48" s="9">
        <f t="shared" si="2"/>
        <v>851.42222655277999</v>
      </c>
      <c r="K48" s="9">
        <f t="shared" si="3"/>
        <v>176.04584542665003</v>
      </c>
      <c r="L48" s="10">
        <f t="shared" si="0"/>
        <v>0.20676679552919433</v>
      </c>
      <c r="M48" s="10">
        <f t="shared" si="4"/>
        <v>0.2090218537906593</v>
      </c>
      <c r="P48" s="8">
        <f t="shared" si="5"/>
        <v>-1.7194735224012385</v>
      </c>
    </row>
    <row r="49" spans="1:25" x14ac:dyDescent="0.2">
      <c r="A49" s="8">
        <v>23.5</v>
      </c>
      <c r="B49" s="8">
        <v>47</v>
      </c>
      <c r="D49">
        <v>973.88174807198004</v>
      </c>
      <c r="E49">
        <v>284.53020565552998</v>
      </c>
      <c r="F49">
        <v>130.56451612903001</v>
      </c>
      <c r="G49">
        <v>110.19806451613</v>
      </c>
      <c r="I49" s="9">
        <f t="shared" si="1"/>
        <v>174.33214113939999</v>
      </c>
      <c r="J49" s="9">
        <f t="shared" si="2"/>
        <v>843.31723194295</v>
      </c>
      <c r="K49" s="9">
        <f t="shared" si="3"/>
        <v>174.33214113939999</v>
      </c>
      <c r="L49" s="10">
        <f t="shared" si="0"/>
        <v>0.20672190077006927</v>
      </c>
      <c r="M49" s="10">
        <f t="shared" si="4"/>
        <v>0.20902598203721826</v>
      </c>
      <c r="P49" s="8">
        <f t="shared" si="5"/>
        <v>-1.7175324514658985</v>
      </c>
    </row>
    <row r="50" spans="1:25" x14ac:dyDescent="0.2">
      <c r="A50" s="8">
        <v>24</v>
      </c>
      <c r="B50" s="8">
        <v>48</v>
      </c>
      <c r="D50">
        <v>1005.1439588689</v>
      </c>
      <c r="E50">
        <v>286.58676092544999</v>
      </c>
      <c r="F50">
        <v>130.13225806451999</v>
      </c>
      <c r="G50">
        <v>110.45483870968</v>
      </c>
      <c r="I50" s="9">
        <f t="shared" si="1"/>
        <v>176.13192221576998</v>
      </c>
      <c r="J50" s="9">
        <f t="shared" si="2"/>
        <v>875.01170080437998</v>
      </c>
      <c r="K50" s="9">
        <f t="shared" si="3"/>
        <v>176.13192221576998</v>
      </c>
      <c r="L50" s="10">
        <f t="shared" si="0"/>
        <v>0.20129093365706491</v>
      </c>
      <c r="M50" s="10">
        <f t="shared" si="4"/>
        <v>0.20364403792989791</v>
      </c>
      <c r="P50" s="8">
        <f t="shared" si="5"/>
        <v>-4.2480826822097191</v>
      </c>
    </row>
    <row r="51" spans="1:25" x14ac:dyDescent="0.2">
      <c r="A51" s="8">
        <v>24.5</v>
      </c>
      <c r="B51" s="8">
        <v>49</v>
      </c>
      <c r="D51">
        <v>1000.1593830334</v>
      </c>
      <c r="E51">
        <v>286.00706940873999</v>
      </c>
      <c r="F51">
        <v>130.02580645161001</v>
      </c>
      <c r="G51">
        <v>110.57612903226</v>
      </c>
      <c r="I51" s="9">
        <f t="shared" si="1"/>
        <v>175.43094037648001</v>
      </c>
      <c r="J51" s="9">
        <f t="shared" si="2"/>
        <v>870.13357658178995</v>
      </c>
      <c r="K51" s="9">
        <f t="shared" si="3"/>
        <v>175.43094037648001</v>
      </c>
      <c r="L51" s="10">
        <f t="shared" si="0"/>
        <v>0.20161380401574472</v>
      </c>
      <c r="M51" s="10">
        <f t="shared" si="4"/>
        <v>0.20401593129426174</v>
      </c>
      <c r="P51" s="8">
        <f t="shared" si="5"/>
        <v>-4.0732211785900629</v>
      </c>
    </row>
    <row r="52" spans="1:25" x14ac:dyDescent="0.2">
      <c r="A52" s="8">
        <v>25</v>
      </c>
      <c r="B52" s="8">
        <v>50</v>
      </c>
      <c r="D52">
        <v>1002.6407455013</v>
      </c>
      <c r="E52">
        <v>286.12017994859002</v>
      </c>
      <c r="F52">
        <v>130.16258064516001</v>
      </c>
      <c r="G52">
        <v>110.49741935484001</v>
      </c>
      <c r="I52" s="9">
        <f t="shared" si="1"/>
        <v>175.62276059375</v>
      </c>
      <c r="J52" s="9">
        <f t="shared" si="2"/>
        <v>872.47816485613998</v>
      </c>
      <c r="K52" s="9">
        <f t="shared" si="3"/>
        <v>175.62276059375</v>
      </c>
      <c r="L52" s="10">
        <f t="shared" si="0"/>
        <v>0.20129186914690048</v>
      </c>
      <c r="M52" s="10">
        <f t="shared" si="4"/>
        <v>0.20374301943110151</v>
      </c>
      <c r="P52" s="8">
        <f t="shared" si="5"/>
        <v>-4.2015423139495844</v>
      </c>
    </row>
    <row r="53" spans="1:25" x14ac:dyDescent="0.2">
      <c r="A53" s="8">
        <v>25.5</v>
      </c>
      <c r="B53" s="8">
        <v>51</v>
      </c>
      <c r="D53">
        <v>1001.5899742931</v>
      </c>
      <c r="E53">
        <v>285.88946015424</v>
      </c>
      <c r="F53">
        <v>130.11225806452001</v>
      </c>
      <c r="G53">
        <v>110.58193548387</v>
      </c>
      <c r="I53" s="9">
        <f t="shared" si="1"/>
        <v>175.30752467037001</v>
      </c>
      <c r="J53" s="9">
        <f t="shared" si="2"/>
        <v>871.47771622857999</v>
      </c>
      <c r="K53" s="9">
        <f t="shared" si="3"/>
        <v>175.30752467037001</v>
      </c>
      <c r="L53" s="10">
        <f t="shared" si="0"/>
        <v>0.20116122467139319</v>
      </c>
      <c r="M53" s="10">
        <f t="shared" si="4"/>
        <v>0.20366139796127825</v>
      </c>
      <c r="P53" s="8">
        <f t="shared" si="5"/>
        <v>-4.2399201241193296</v>
      </c>
      <c r="S53" s="11"/>
      <c r="U53" s="12"/>
    </row>
    <row r="54" spans="1:25" x14ac:dyDescent="0.2">
      <c r="A54" s="8">
        <v>26</v>
      </c>
      <c r="B54" s="8">
        <v>52</v>
      </c>
      <c r="D54">
        <v>995.68123393316</v>
      </c>
      <c r="E54">
        <v>284.93251928020999</v>
      </c>
      <c r="F54">
        <v>130.41677419355</v>
      </c>
      <c r="G54">
        <v>110.46258064516</v>
      </c>
      <c r="I54" s="9">
        <f t="shared" si="1"/>
        <v>174.46993863504997</v>
      </c>
      <c r="J54" s="9">
        <f t="shared" si="2"/>
        <v>865.26445973960995</v>
      </c>
      <c r="K54" s="9">
        <f t="shared" si="3"/>
        <v>174.46993863504997</v>
      </c>
      <c r="L54" s="10">
        <f t="shared" si="0"/>
        <v>0.2016377035612377</v>
      </c>
      <c r="M54" s="10">
        <f t="shared" si="4"/>
        <v>0.20418689985680677</v>
      </c>
      <c r="P54" s="8">
        <f t="shared" si="5"/>
        <v>-3.9928330276224973</v>
      </c>
      <c r="S54" s="11"/>
    </row>
    <row r="55" spans="1:25" x14ac:dyDescent="0.2">
      <c r="A55" s="8">
        <v>26.5</v>
      </c>
      <c r="B55" s="8">
        <v>53</v>
      </c>
      <c r="D55">
        <v>1000.4582262210999</v>
      </c>
      <c r="E55">
        <v>285.22236503855999</v>
      </c>
      <c r="F55">
        <v>130.23161290323</v>
      </c>
      <c r="G55">
        <v>110.55290322581</v>
      </c>
      <c r="I55" s="9">
        <f t="shared" si="1"/>
        <v>174.66946181275</v>
      </c>
      <c r="J55" s="9">
        <f t="shared" si="2"/>
        <v>870.22661331786992</v>
      </c>
      <c r="K55" s="9">
        <f t="shared" si="3"/>
        <v>174.66946181275</v>
      </c>
      <c r="L55" s="10">
        <f t="shared" si="0"/>
        <v>0.20071721450438798</v>
      </c>
      <c r="M55" s="10">
        <f t="shared" si="4"/>
        <v>0.20331543380564107</v>
      </c>
      <c r="P55" s="8">
        <f t="shared" si="5"/>
        <v>-4.4025899059711966</v>
      </c>
      <c r="S55" s="11"/>
    </row>
    <row r="56" spans="1:25" x14ac:dyDescent="0.2">
      <c r="A56" s="8">
        <v>27</v>
      </c>
      <c r="B56" s="8">
        <v>54</v>
      </c>
      <c r="D56">
        <v>989.80976863753006</v>
      </c>
      <c r="E56">
        <v>285.34704370179998</v>
      </c>
      <c r="F56">
        <v>130.25354838710001</v>
      </c>
      <c r="G56">
        <v>110.28064516129</v>
      </c>
      <c r="I56" s="9">
        <f t="shared" si="1"/>
        <v>175.06639854050997</v>
      </c>
      <c r="J56" s="9">
        <f t="shared" si="2"/>
        <v>859.55622025042999</v>
      </c>
      <c r="K56" s="9">
        <f t="shared" si="3"/>
        <v>175.06639854050997</v>
      </c>
      <c r="L56" s="10">
        <f t="shared" si="0"/>
        <v>0.2036706784455643</v>
      </c>
      <c r="M56" s="10">
        <f t="shared" si="4"/>
        <v>0.20631792075250144</v>
      </c>
      <c r="P56" s="8">
        <f t="shared" si="5"/>
        <v>-2.990842796623046</v>
      </c>
      <c r="S56" s="11"/>
    </row>
    <row r="57" spans="1:25" x14ac:dyDescent="0.2">
      <c r="A57" s="8">
        <v>27.5</v>
      </c>
      <c r="B57" s="8">
        <v>55</v>
      </c>
      <c r="D57">
        <v>1005.7859897172</v>
      </c>
      <c r="E57">
        <v>291.10796915166998</v>
      </c>
      <c r="F57">
        <v>130.14903225807001</v>
      </c>
      <c r="G57">
        <v>110.27548387097001</v>
      </c>
      <c r="I57" s="9">
        <f t="shared" si="1"/>
        <v>180.83248528069998</v>
      </c>
      <c r="J57" s="9">
        <f t="shared" si="2"/>
        <v>875.63695745912992</v>
      </c>
      <c r="K57" s="9">
        <f t="shared" si="3"/>
        <v>180.83248528069998</v>
      </c>
      <c r="L57" s="10">
        <f t="shared" si="0"/>
        <v>0.20651536431882533</v>
      </c>
      <c r="M57" s="10">
        <f t="shared" si="4"/>
        <v>0.20921162963144649</v>
      </c>
      <c r="P57" s="8">
        <f t="shared" si="5"/>
        <v>-1.6302423285951877</v>
      </c>
      <c r="S57" s="11"/>
    </row>
    <row r="58" spans="1:25" x14ac:dyDescent="0.2">
      <c r="A58" s="8">
        <v>28</v>
      </c>
      <c r="B58" s="8">
        <v>56</v>
      </c>
      <c r="D58">
        <v>992.45308483291001</v>
      </c>
      <c r="E58">
        <v>289.23264781491002</v>
      </c>
      <c r="F58">
        <v>130.27290322581001</v>
      </c>
      <c r="G58">
        <v>110.45870967742</v>
      </c>
      <c r="I58" s="9">
        <f t="shared" si="1"/>
        <v>178.77393813749001</v>
      </c>
      <c r="J58" s="9">
        <f t="shared" si="2"/>
        <v>862.18018160709994</v>
      </c>
      <c r="K58" s="9">
        <f t="shared" si="3"/>
        <v>178.77393813749001</v>
      </c>
      <c r="L58" s="10">
        <f t="shared" si="0"/>
        <v>0.20735101774695888</v>
      </c>
      <c r="M58" s="10">
        <f t="shared" si="4"/>
        <v>0.21009630606526405</v>
      </c>
      <c r="P58" s="8">
        <f t="shared" si="5"/>
        <v>-1.2142740262329188</v>
      </c>
      <c r="S58" s="11"/>
    </row>
    <row r="59" spans="1:25" x14ac:dyDescent="0.2">
      <c r="A59" s="8">
        <v>28.5</v>
      </c>
      <c r="B59" s="8">
        <v>57</v>
      </c>
      <c r="D59">
        <v>994.16709511568001</v>
      </c>
      <c r="E59">
        <v>288.81233933162002</v>
      </c>
      <c r="F59">
        <v>130.51935483871</v>
      </c>
      <c r="G59">
        <v>110.23612903226</v>
      </c>
      <c r="I59" s="9">
        <f t="shared" si="1"/>
        <v>178.57621029936001</v>
      </c>
      <c r="J59" s="9">
        <f t="shared" si="2"/>
        <v>863.64774027697001</v>
      </c>
      <c r="K59" s="9">
        <f t="shared" si="3"/>
        <v>178.57621029936001</v>
      </c>
      <c r="L59" s="10">
        <f t="shared" si="0"/>
        <v>0.20676973026304798</v>
      </c>
      <c r="M59" s="10">
        <f t="shared" si="4"/>
        <v>0.20956404158703718</v>
      </c>
      <c r="P59" s="8">
        <f t="shared" si="5"/>
        <v>-1.4645408389933352</v>
      </c>
      <c r="R59" s="1"/>
      <c r="S59" s="11"/>
    </row>
    <row r="60" spans="1:25" x14ac:dyDescent="0.2">
      <c r="A60" s="8">
        <v>29</v>
      </c>
      <c r="B60" s="8">
        <v>58</v>
      </c>
      <c r="D60">
        <v>1003.9492287918</v>
      </c>
      <c r="E60">
        <v>290.24807197942999</v>
      </c>
      <c r="F60">
        <v>130.58258064515999</v>
      </c>
      <c r="G60">
        <v>110.46129032258</v>
      </c>
      <c r="I60" s="9">
        <f t="shared" si="1"/>
        <v>179.78678165685</v>
      </c>
      <c r="J60" s="9">
        <f t="shared" si="2"/>
        <v>873.36664814664005</v>
      </c>
      <c r="K60" s="9">
        <f t="shared" si="3"/>
        <v>179.78678165685</v>
      </c>
      <c r="L60" s="10">
        <f t="shared" si="0"/>
        <v>0.20585487439710823</v>
      </c>
      <c r="M60" s="10">
        <f t="shared" si="4"/>
        <v>0.20869820872678144</v>
      </c>
      <c r="P60" s="8">
        <f t="shared" si="5"/>
        <v>-1.8716490327268167</v>
      </c>
      <c r="S60" s="11"/>
    </row>
    <row r="61" spans="1:25" x14ac:dyDescent="0.2">
      <c r="A61" s="8">
        <v>29.5</v>
      </c>
      <c r="B61" s="8">
        <v>59</v>
      </c>
      <c r="C61" s="2"/>
      <c r="D61">
        <v>984.12339331620001</v>
      </c>
      <c r="E61">
        <v>285.68123393316</v>
      </c>
      <c r="F61">
        <v>130.33612903226</v>
      </c>
      <c r="G61">
        <v>109.92709677419001</v>
      </c>
      <c r="I61" s="9">
        <f t="shared" si="1"/>
        <v>175.75413715897</v>
      </c>
      <c r="J61" s="9">
        <f t="shared" si="2"/>
        <v>853.78726428393998</v>
      </c>
      <c r="K61" s="9">
        <f t="shared" si="3"/>
        <v>175.75413715897</v>
      </c>
      <c r="L61" s="10">
        <f t="shared" si="0"/>
        <v>0.20585237624312966</v>
      </c>
      <c r="M61" s="10">
        <f t="shared" si="4"/>
        <v>0.20874473357848689</v>
      </c>
      <c r="P61" s="8">
        <f t="shared" si="5"/>
        <v>-1.8497733922759232</v>
      </c>
      <c r="S61" s="11"/>
    </row>
    <row r="62" spans="1:25" x14ac:dyDescent="0.2">
      <c r="A62" s="8">
        <v>30</v>
      </c>
      <c r="B62" s="8">
        <v>60</v>
      </c>
      <c r="D62">
        <v>988.28534704369997</v>
      </c>
      <c r="E62">
        <v>287.2969151671</v>
      </c>
      <c r="F62">
        <v>130.27677419355001</v>
      </c>
      <c r="G62">
        <v>110.56903225807</v>
      </c>
      <c r="I62" s="9">
        <f t="shared" si="1"/>
        <v>176.72788290903</v>
      </c>
      <c r="J62" s="9">
        <f t="shared" si="2"/>
        <v>858.0085728501499</v>
      </c>
      <c r="K62" s="9">
        <f t="shared" si="3"/>
        <v>176.72788290903</v>
      </c>
      <c r="L62" s="10">
        <f t="shared" si="0"/>
        <v>0.20597449547849134</v>
      </c>
      <c r="M62" s="10">
        <f t="shared" si="4"/>
        <v>0.20891587581953258</v>
      </c>
      <c r="P62" s="8">
        <f t="shared" si="5"/>
        <v>-1.769303578964571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987.64203084833002</v>
      </c>
      <c r="E63">
        <v>289.96722365039</v>
      </c>
      <c r="F63">
        <v>130.10516129032001</v>
      </c>
      <c r="G63">
        <v>110.03548387097</v>
      </c>
      <c r="I63" s="9">
        <f t="shared" si="1"/>
        <v>179.93173977942001</v>
      </c>
      <c r="J63" s="9">
        <f t="shared" si="2"/>
        <v>857.53686955801004</v>
      </c>
      <c r="K63" s="9">
        <f t="shared" si="3"/>
        <v>179.93173977942001</v>
      </c>
      <c r="L63" s="10">
        <f t="shared" si="0"/>
        <v>0.20982391097908137</v>
      </c>
      <c r="M63" s="10">
        <f t="shared" si="4"/>
        <v>0.21281431432580664</v>
      </c>
      <c r="P63" s="8">
        <f t="shared" si="5"/>
        <v>6.371331323504964E-2</v>
      </c>
    </row>
    <row r="64" spans="1:25" x14ac:dyDescent="0.2">
      <c r="A64" s="8">
        <v>31</v>
      </c>
      <c r="B64" s="8">
        <v>62</v>
      </c>
      <c r="D64">
        <v>985.93573264782003</v>
      </c>
      <c r="E64">
        <v>288.99293059126001</v>
      </c>
      <c r="F64">
        <v>130.02967741936001</v>
      </c>
      <c r="G64">
        <v>110.11548387097</v>
      </c>
      <c r="I64" s="9">
        <f t="shared" si="1"/>
        <v>178.87744672029001</v>
      </c>
      <c r="J64" s="9">
        <f t="shared" si="2"/>
        <v>855.90605522845999</v>
      </c>
      <c r="K64" s="9">
        <f t="shared" si="3"/>
        <v>178.87744672029001</v>
      </c>
      <c r="L64" s="10">
        <f t="shared" si="0"/>
        <v>0.20899191637631739</v>
      </c>
      <c r="M64" s="10">
        <f t="shared" si="4"/>
        <v>0.21203134272872667</v>
      </c>
      <c r="P64" s="8">
        <f t="shared" si="5"/>
        <v>-0.30443412868312059</v>
      </c>
      <c r="U64" s="8">
        <v>30.5</v>
      </c>
      <c r="V64" s="10">
        <f>L62</f>
        <v>0.20597449547849134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996.80077120823</v>
      </c>
      <c r="E65">
        <v>294.89717223650001</v>
      </c>
      <c r="F65">
        <v>130.16774193548</v>
      </c>
      <c r="G65">
        <v>110.04967741935999</v>
      </c>
      <c r="I65" s="9">
        <f t="shared" si="1"/>
        <v>184.84749481714002</v>
      </c>
      <c r="J65" s="9">
        <f t="shared" si="2"/>
        <v>866.63302927275004</v>
      </c>
      <c r="K65" s="9">
        <f t="shared" si="3"/>
        <v>184.84749481714002</v>
      </c>
      <c r="L65" s="10">
        <f t="shared" si="0"/>
        <v>0.21329384938427509</v>
      </c>
      <c r="M65" s="10">
        <f t="shared" si="4"/>
        <v>0.21638229874236839</v>
      </c>
      <c r="P65" s="8">
        <f t="shared" si="5"/>
        <v>1.7413531416271351</v>
      </c>
      <c r="U65" s="8">
        <v>31</v>
      </c>
      <c r="V65" s="10">
        <f t="shared" ref="V65:V83" si="6">L63</f>
        <v>0.20982391097908137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994.99871465295996</v>
      </c>
      <c r="E66">
        <v>291.35604113110998</v>
      </c>
      <c r="F66">
        <v>130.21419354839</v>
      </c>
      <c r="G66">
        <v>110.27806451613</v>
      </c>
      <c r="I66" s="9">
        <f t="shared" si="1"/>
        <v>181.07797661497997</v>
      </c>
      <c r="J66" s="9">
        <f t="shared" si="2"/>
        <v>864.78452110456999</v>
      </c>
      <c r="K66" s="9">
        <f t="shared" si="3"/>
        <v>181.07797661497997</v>
      </c>
      <c r="L66" s="10">
        <f t="shared" ref="L66:L129" si="7">K66/J66</f>
        <v>0.20939086234301824</v>
      </c>
      <c r="M66" s="10">
        <f t="shared" si="4"/>
        <v>0.21252833470679558</v>
      </c>
      <c r="P66" s="8">
        <f t="shared" si="5"/>
        <v>-7.0752184073278879E-2</v>
      </c>
      <c r="U66" s="8">
        <v>31.5</v>
      </c>
      <c r="V66" s="10">
        <f t="shared" si="6"/>
        <v>0.20899191637631739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988.48071979434997</v>
      </c>
      <c r="E67">
        <v>288.69537275063999</v>
      </c>
      <c r="F67">
        <v>130.11225806452001</v>
      </c>
      <c r="G67">
        <v>110.0735483871</v>
      </c>
      <c r="I67" s="9">
        <f t="shared" ref="I67:I130" si="8">E67-G67</f>
        <v>178.62182436353999</v>
      </c>
      <c r="J67" s="9">
        <f t="shared" ref="J67:J130" si="9">D67-F67</f>
        <v>858.36846172982996</v>
      </c>
      <c r="K67" s="9">
        <f t="shared" ref="K67:K130" si="10">I67*1</f>
        <v>178.62182436353999</v>
      </c>
      <c r="L67" s="10">
        <f t="shared" si="7"/>
        <v>0.20809457980733792</v>
      </c>
      <c r="M67" s="10">
        <f t="shared" ref="M67:M130" si="11">L67+ABS($N$2)*A67</f>
        <v>0.21128107517679928</v>
      </c>
      <c r="P67" s="8">
        <f t="shared" ref="P67:P130" si="12">(M67-$O$2)/$O$2*100</f>
        <v>-0.65720437095803785</v>
      </c>
      <c r="U67" s="8">
        <v>32</v>
      </c>
      <c r="V67" s="10">
        <f t="shared" si="6"/>
        <v>0.21329384938427509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991.94151670950998</v>
      </c>
      <c r="E68">
        <v>290.54434447301003</v>
      </c>
      <c r="F68">
        <v>130.43161290322999</v>
      </c>
      <c r="G68">
        <v>110.18774193548001</v>
      </c>
      <c r="I68" s="9">
        <f t="shared" si="8"/>
        <v>180.35660253753002</v>
      </c>
      <c r="J68" s="9">
        <f t="shared" si="9"/>
        <v>861.50990380628002</v>
      </c>
      <c r="K68" s="9">
        <f t="shared" si="10"/>
        <v>180.35660253753002</v>
      </c>
      <c r="L68" s="10">
        <f t="shared" si="7"/>
        <v>0.20934942447055743</v>
      </c>
      <c r="M68" s="10">
        <f t="shared" si="11"/>
        <v>0.21258494284570281</v>
      </c>
      <c r="P68" s="8">
        <f t="shared" si="12"/>
        <v>-4.4135456712838243E-2</v>
      </c>
      <c r="U68" s="8">
        <v>32.5</v>
      </c>
      <c r="V68" s="10">
        <f t="shared" si="6"/>
        <v>0.20939086234301824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990.71915167095005</v>
      </c>
      <c r="E69">
        <v>291.55462724936001</v>
      </c>
      <c r="F69">
        <v>129.7664516129</v>
      </c>
      <c r="G69">
        <v>110.20064516129</v>
      </c>
      <c r="I69" s="9">
        <f t="shared" si="8"/>
        <v>181.35398208807001</v>
      </c>
      <c r="J69" s="9">
        <f t="shared" si="9"/>
        <v>860.95270005805003</v>
      </c>
      <c r="K69" s="9">
        <f t="shared" si="10"/>
        <v>181.35398208807001</v>
      </c>
      <c r="L69" s="10">
        <f t="shared" si="7"/>
        <v>0.21064337457312365</v>
      </c>
      <c r="M69" s="10">
        <f t="shared" si="11"/>
        <v>0.21392791595395305</v>
      </c>
      <c r="P69" s="8">
        <f t="shared" si="12"/>
        <v>0.58732054528148048</v>
      </c>
      <c r="U69" s="8">
        <v>33</v>
      </c>
      <c r="V69" s="10">
        <f t="shared" si="6"/>
        <v>0.20809457980733792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998.19794344472996</v>
      </c>
      <c r="E70">
        <v>292.20629820050999</v>
      </c>
      <c r="F70">
        <v>129.66516129031999</v>
      </c>
      <c r="G70">
        <v>110.31870967742</v>
      </c>
      <c r="I70" s="9">
        <f t="shared" si="8"/>
        <v>181.88758852308999</v>
      </c>
      <c r="J70" s="9">
        <f t="shared" si="9"/>
        <v>868.53278215440992</v>
      </c>
      <c r="K70" s="9">
        <f t="shared" si="10"/>
        <v>181.88758852308999</v>
      </c>
      <c r="L70" s="10">
        <f t="shared" si="7"/>
        <v>0.20941937052958995</v>
      </c>
      <c r="M70" s="10">
        <f t="shared" si="11"/>
        <v>0.21275293491610336</v>
      </c>
      <c r="P70" s="8">
        <f t="shared" si="12"/>
        <v>3.4853169708797267E-2</v>
      </c>
      <c r="U70" s="8">
        <v>33.5</v>
      </c>
      <c r="V70" s="10">
        <f t="shared" si="6"/>
        <v>0.20934942447055743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976.83547557840996</v>
      </c>
      <c r="E71">
        <v>287.15359897171999</v>
      </c>
      <c r="F71">
        <v>129.66129032257999</v>
      </c>
      <c r="G71">
        <v>110.20580645161</v>
      </c>
      <c r="I71" s="9">
        <f t="shared" si="8"/>
        <v>176.94779252011</v>
      </c>
      <c r="J71" s="9">
        <f t="shared" si="9"/>
        <v>847.17418525583003</v>
      </c>
      <c r="K71" s="9">
        <f t="shared" si="10"/>
        <v>176.94779252011</v>
      </c>
      <c r="L71" s="10">
        <f t="shared" si="7"/>
        <v>0.20886825354183242</v>
      </c>
      <c r="M71" s="10">
        <f t="shared" si="11"/>
        <v>0.21225084093402985</v>
      </c>
      <c r="P71" s="8">
        <f t="shared" si="12"/>
        <v>-0.20122769937028195</v>
      </c>
      <c r="U71" s="8">
        <v>34</v>
      </c>
      <c r="V71" s="10">
        <f t="shared" si="6"/>
        <v>0.21064337457312365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975.99871465295996</v>
      </c>
      <c r="E72">
        <v>286.04177377892</v>
      </c>
      <c r="F72">
        <v>130.17419354839001</v>
      </c>
      <c r="G72">
        <v>110.21161290323001</v>
      </c>
      <c r="I72" s="9">
        <f t="shared" si="8"/>
        <v>175.83016087569001</v>
      </c>
      <c r="J72" s="9">
        <f t="shared" si="9"/>
        <v>845.82452110456995</v>
      </c>
      <c r="K72" s="9">
        <f t="shared" si="10"/>
        <v>175.83016087569001</v>
      </c>
      <c r="L72" s="10">
        <f t="shared" si="7"/>
        <v>0.20788018848882722</v>
      </c>
      <c r="M72" s="10">
        <f t="shared" si="11"/>
        <v>0.21131179888670867</v>
      </c>
      <c r="P72" s="8">
        <f t="shared" si="12"/>
        <v>-0.64275831026878494</v>
      </c>
      <c r="U72" s="8">
        <v>34.5</v>
      </c>
      <c r="V72" s="10">
        <f t="shared" si="6"/>
        <v>0.20941937052958995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969.40231362468</v>
      </c>
      <c r="E73">
        <v>283.13946015424</v>
      </c>
      <c r="F73">
        <v>129.83225806452</v>
      </c>
      <c r="G73">
        <v>110.23161290323</v>
      </c>
      <c r="I73" s="9">
        <f t="shared" si="8"/>
        <v>172.90784725101</v>
      </c>
      <c r="J73" s="9">
        <f t="shared" si="9"/>
        <v>839.57005556015997</v>
      </c>
      <c r="K73" s="9">
        <f t="shared" si="10"/>
        <v>172.90784725101</v>
      </c>
      <c r="L73" s="10">
        <f t="shared" si="7"/>
        <v>0.20594808748347523</v>
      </c>
      <c r="M73" s="10">
        <f t="shared" si="11"/>
        <v>0.2094287208870407</v>
      </c>
      <c r="P73" s="8">
        <f t="shared" si="12"/>
        <v>-1.5281676291962876</v>
      </c>
      <c r="U73" s="8">
        <v>35</v>
      </c>
      <c r="V73" s="10">
        <f t="shared" si="6"/>
        <v>0.20886825354183242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976.85347043701995</v>
      </c>
      <c r="E74">
        <v>286.93380462725003</v>
      </c>
      <c r="F74">
        <v>130.15096774194001</v>
      </c>
      <c r="G74">
        <v>110.13483870968</v>
      </c>
      <c r="I74" s="9">
        <f t="shared" si="8"/>
        <v>176.79896591757003</v>
      </c>
      <c r="J74" s="9">
        <f t="shared" si="9"/>
        <v>846.70250269507994</v>
      </c>
      <c r="K74" s="9">
        <f t="shared" si="10"/>
        <v>176.79896591757003</v>
      </c>
      <c r="L74" s="10">
        <f t="shared" si="7"/>
        <v>0.20880883823398835</v>
      </c>
      <c r="M74" s="10">
        <f t="shared" si="11"/>
        <v>0.21233849464323784</v>
      </c>
      <c r="P74" s="8">
        <f t="shared" si="12"/>
        <v>-0.16001357495005031</v>
      </c>
      <c r="U74" s="8">
        <v>35.5</v>
      </c>
      <c r="V74" s="10">
        <f t="shared" si="6"/>
        <v>0.20788018848882722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974.78341902314003</v>
      </c>
      <c r="E75">
        <v>285.72493573265001</v>
      </c>
      <c r="F75">
        <v>129.77225806452</v>
      </c>
      <c r="G75">
        <v>109.92193548387</v>
      </c>
      <c r="I75" s="9">
        <f t="shared" si="8"/>
        <v>175.80300024877999</v>
      </c>
      <c r="J75" s="9">
        <f t="shared" si="9"/>
        <v>845.01116095862005</v>
      </c>
      <c r="K75" s="9">
        <f t="shared" si="10"/>
        <v>175.80300024877999</v>
      </c>
      <c r="L75" s="10">
        <f t="shared" si="7"/>
        <v>0.20804813991964421</v>
      </c>
      <c r="M75" s="10">
        <f t="shared" si="11"/>
        <v>0.21162681933457775</v>
      </c>
      <c r="P75" s="8">
        <f t="shared" si="12"/>
        <v>-0.4946380304688115</v>
      </c>
      <c r="U75" s="8">
        <v>36</v>
      </c>
      <c r="V75" s="10">
        <f t="shared" si="6"/>
        <v>0.20594808748347523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973.01606683805005</v>
      </c>
      <c r="E76">
        <v>286.23650385603997</v>
      </c>
      <c r="F76">
        <v>129.57677419354999</v>
      </c>
      <c r="G76">
        <v>109.98322580644999</v>
      </c>
      <c r="I76" s="9">
        <f t="shared" si="8"/>
        <v>176.25327804958999</v>
      </c>
      <c r="J76" s="9">
        <f t="shared" si="9"/>
        <v>843.43929264450003</v>
      </c>
      <c r="K76" s="9">
        <f t="shared" si="10"/>
        <v>176.25327804958999</v>
      </c>
      <c r="L76" s="10">
        <f t="shared" si="7"/>
        <v>0.20896972619922596</v>
      </c>
      <c r="M76" s="10">
        <f t="shared" si="11"/>
        <v>0.21259742861984351</v>
      </c>
      <c r="P76" s="8">
        <f t="shared" si="12"/>
        <v>-3.8264738250750482E-2</v>
      </c>
      <c r="U76" s="8">
        <v>36.5</v>
      </c>
      <c r="V76" s="10">
        <f t="shared" si="6"/>
        <v>0.20880883823398835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978.83419023136003</v>
      </c>
      <c r="E77">
        <v>285.88560411310999</v>
      </c>
      <c r="F77">
        <v>129.95870967741999</v>
      </c>
      <c r="G77">
        <v>110.23677419355</v>
      </c>
      <c r="I77" s="9">
        <f t="shared" si="8"/>
        <v>175.64882991956</v>
      </c>
      <c r="J77" s="9">
        <f t="shared" si="9"/>
        <v>848.87548055394006</v>
      </c>
      <c r="K77" s="9">
        <f t="shared" si="10"/>
        <v>175.64882991956</v>
      </c>
      <c r="L77" s="10">
        <f t="shared" si="7"/>
        <v>0.20691942922528406</v>
      </c>
      <c r="M77" s="10">
        <f t="shared" si="11"/>
        <v>0.21059615465158563</v>
      </c>
      <c r="P77" s="8">
        <f t="shared" si="12"/>
        <v>-0.97924892559455246</v>
      </c>
      <c r="U77" s="8">
        <v>37</v>
      </c>
      <c r="V77" s="10">
        <f t="shared" si="6"/>
        <v>0.20804813991964421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976.05655526991995</v>
      </c>
      <c r="E78">
        <v>286.00899742931</v>
      </c>
      <c r="F78">
        <v>129.80645161289999</v>
      </c>
      <c r="G78">
        <v>110.39483870968</v>
      </c>
      <c r="I78" s="9">
        <f t="shared" si="8"/>
        <v>175.61415871962998</v>
      </c>
      <c r="J78" s="9">
        <f t="shared" si="9"/>
        <v>846.25010365701996</v>
      </c>
      <c r="K78" s="9">
        <f t="shared" si="10"/>
        <v>175.61415871962998</v>
      </c>
      <c r="L78" s="10">
        <f t="shared" si="7"/>
        <v>0.20752039847407255</v>
      </c>
      <c r="M78" s="10">
        <f t="shared" si="11"/>
        <v>0.21124614690605814</v>
      </c>
      <c r="P78" s="8">
        <f t="shared" si="12"/>
        <v>-0.67362738498808994</v>
      </c>
      <c r="U78" s="8">
        <v>37.5</v>
      </c>
      <c r="V78" s="10">
        <f t="shared" si="6"/>
        <v>0.20896972619922596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977.39074550128998</v>
      </c>
      <c r="E79">
        <v>286.15488431876997</v>
      </c>
      <c r="F79">
        <v>129.04903225807001</v>
      </c>
      <c r="G79">
        <v>110.1535483871</v>
      </c>
      <c r="I79" s="9">
        <f t="shared" si="8"/>
        <v>176.00133593166998</v>
      </c>
      <c r="J79" s="9">
        <f t="shared" si="9"/>
        <v>848.34171324321994</v>
      </c>
      <c r="K79" s="9">
        <f t="shared" si="10"/>
        <v>176.00133593166998</v>
      </c>
      <c r="L79" s="10">
        <f t="shared" si="7"/>
        <v>0.20746514427401536</v>
      </c>
      <c r="M79" s="10">
        <f t="shared" si="11"/>
        <v>0.21123991571168496</v>
      </c>
      <c r="P79" s="8">
        <f t="shared" si="12"/>
        <v>-0.67655724639958459</v>
      </c>
      <c r="U79" s="8">
        <v>38</v>
      </c>
      <c r="V79" s="10">
        <f t="shared" si="6"/>
        <v>0.20691942922528406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982.36311053985003</v>
      </c>
      <c r="E80">
        <v>291.91388174807003</v>
      </c>
      <c r="F80">
        <v>129.76580645160999</v>
      </c>
      <c r="G80">
        <v>109.97161290323</v>
      </c>
      <c r="I80" s="9">
        <f t="shared" si="8"/>
        <v>181.94226884484004</v>
      </c>
      <c r="J80" s="9">
        <f t="shared" si="9"/>
        <v>852.59730408823998</v>
      </c>
      <c r="K80" s="9">
        <f t="shared" si="10"/>
        <v>181.94226884484004</v>
      </c>
      <c r="L80" s="10">
        <f t="shared" si="7"/>
        <v>0.21339765909699596</v>
      </c>
      <c r="M80" s="10">
        <f t="shared" si="11"/>
        <v>0.21722145354034958</v>
      </c>
      <c r="P80" s="8">
        <f t="shared" si="12"/>
        <v>2.1359175082047694</v>
      </c>
      <c r="U80" s="8">
        <v>38.5</v>
      </c>
      <c r="V80" s="10">
        <f t="shared" si="6"/>
        <v>0.20752039847407255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987.98007712082006</v>
      </c>
      <c r="E81">
        <v>295.92223650386001</v>
      </c>
      <c r="F81">
        <v>129.78709677418999</v>
      </c>
      <c r="G81">
        <v>110.01483870968001</v>
      </c>
      <c r="I81" s="9">
        <f t="shared" si="8"/>
        <v>185.90739779417999</v>
      </c>
      <c r="J81" s="9">
        <f t="shared" si="9"/>
        <v>858.19298034663007</v>
      </c>
      <c r="K81" s="9">
        <f t="shared" si="10"/>
        <v>185.90739779417999</v>
      </c>
      <c r="L81" s="10">
        <f t="shared" si="7"/>
        <v>0.21662656541316699</v>
      </c>
      <c r="M81" s="10">
        <f t="shared" si="11"/>
        <v>0.22049938286220463</v>
      </c>
      <c r="P81" s="8">
        <f t="shared" si="12"/>
        <v>3.6771755808220044</v>
      </c>
      <c r="U81" s="8">
        <v>39</v>
      </c>
      <c r="V81" s="10">
        <f t="shared" si="6"/>
        <v>0.20746514427401536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1003.1542416452</v>
      </c>
      <c r="E82">
        <v>294.28084832905</v>
      </c>
      <c r="F82">
        <v>129.30903225807</v>
      </c>
      <c r="G82">
        <v>109.9264516129</v>
      </c>
      <c r="H82" s="13"/>
      <c r="I82" s="14">
        <f t="shared" si="8"/>
        <v>184.35439671615001</v>
      </c>
      <c r="J82" s="14">
        <f t="shared" si="9"/>
        <v>873.84520938713001</v>
      </c>
      <c r="K82" s="9">
        <f t="shared" si="10"/>
        <v>184.35439671615001</v>
      </c>
      <c r="L82" s="15">
        <f t="shared" si="7"/>
        <v>0.21096916792099446</v>
      </c>
      <c r="M82" s="15">
        <f t="shared" si="11"/>
        <v>0.21489100837571612</v>
      </c>
      <c r="N82" s="13"/>
      <c r="O82" s="13"/>
      <c r="P82" s="13">
        <f t="shared" si="12"/>
        <v>1.0401594639921408</v>
      </c>
      <c r="U82" s="8">
        <v>39.5</v>
      </c>
      <c r="V82" s="10">
        <f t="shared" si="6"/>
        <v>0.21339765909699596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985.83933161953996</v>
      </c>
      <c r="E83">
        <v>292.12724935733002</v>
      </c>
      <c r="F83">
        <v>129.38064516129</v>
      </c>
      <c r="G83">
        <v>110.1735483871</v>
      </c>
      <c r="I83" s="9">
        <f t="shared" si="8"/>
        <v>181.95370097023002</v>
      </c>
      <c r="J83" s="9">
        <f t="shared" si="9"/>
        <v>856.45868645824999</v>
      </c>
      <c r="K83" s="9">
        <f t="shared" si="10"/>
        <v>181.95370097023002</v>
      </c>
      <c r="L83" s="10">
        <f t="shared" si="7"/>
        <v>0.21244889432165245</v>
      </c>
      <c r="M83" s="10">
        <f t="shared" si="11"/>
        <v>0.21641975778205813</v>
      </c>
      <c r="P83" s="8">
        <f t="shared" si="12"/>
        <v>1.7589661044599119</v>
      </c>
      <c r="U83" s="8">
        <v>40</v>
      </c>
      <c r="V83" s="10">
        <f t="shared" si="6"/>
        <v>0.21662656541316699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935.04113110540004</v>
      </c>
      <c r="E84">
        <v>281.27056555270002</v>
      </c>
      <c r="F84">
        <v>129.62967741936001</v>
      </c>
      <c r="G84">
        <v>109.99806451613</v>
      </c>
      <c r="I84" s="9">
        <f t="shared" si="8"/>
        <v>171.27250103657002</v>
      </c>
      <c r="J84" s="9">
        <f t="shared" si="9"/>
        <v>805.41145368603998</v>
      </c>
      <c r="K84" s="9">
        <f t="shared" si="10"/>
        <v>171.27250103657002</v>
      </c>
      <c r="L84" s="10">
        <f t="shared" si="7"/>
        <v>0.21265217951982876</v>
      </c>
      <c r="M84" s="10">
        <f t="shared" si="11"/>
        <v>0.21667206598591846</v>
      </c>
      <c r="P84" s="8">
        <f t="shared" si="12"/>
        <v>1.8775995519215578</v>
      </c>
      <c r="U84" s="8">
        <v>150.5</v>
      </c>
      <c r="V84" s="10">
        <f>L302</f>
        <v>0.22069789744884222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949.43511943189003</v>
      </c>
      <c r="E85">
        <v>285.15881213685998</v>
      </c>
      <c r="F85">
        <v>129.92193548386999</v>
      </c>
      <c r="G85">
        <v>110.22580645161</v>
      </c>
      <c r="I85" s="9">
        <f t="shared" si="8"/>
        <v>174.93300568524998</v>
      </c>
      <c r="J85" s="9">
        <f t="shared" si="9"/>
        <v>819.51318394802001</v>
      </c>
      <c r="K85" s="9">
        <f t="shared" si="10"/>
        <v>174.93300568524998</v>
      </c>
      <c r="L85" s="10">
        <f t="shared" si="7"/>
        <v>0.21345966009052714</v>
      </c>
      <c r="M85" s="10">
        <f t="shared" si="11"/>
        <v>0.21752856956230088</v>
      </c>
      <c r="P85" s="8">
        <f t="shared" si="12"/>
        <v>2.2803211855222085</v>
      </c>
      <c r="U85" s="8">
        <v>151</v>
      </c>
      <c r="V85" s="10">
        <f t="shared" ref="V85:V103" si="13">L303</f>
        <v>0.21965403727522756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929.99225306649998</v>
      </c>
      <c r="E86">
        <v>280.95158166559003</v>
      </c>
      <c r="F86">
        <v>129.75870967742</v>
      </c>
      <c r="G86">
        <v>110.05741935483999</v>
      </c>
      <c r="I86" s="9">
        <f t="shared" si="8"/>
        <v>170.89416231075003</v>
      </c>
      <c r="J86" s="9">
        <f t="shared" si="9"/>
        <v>800.23354338907995</v>
      </c>
      <c r="K86" s="9">
        <f t="shared" si="10"/>
        <v>170.89416231075003</v>
      </c>
      <c r="L86" s="10">
        <f t="shared" si="7"/>
        <v>0.21355535983532237</v>
      </c>
      <c r="M86" s="10">
        <f t="shared" si="11"/>
        <v>0.21767329231278013</v>
      </c>
      <c r="P86" s="8">
        <f t="shared" si="12"/>
        <v>2.3483687501784467</v>
      </c>
      <c r="U86" s="8">
        <v>151.5</v>
      </c>
      <c r="V86" s="10">
        <f t="shared" si="13"/>
        <v>0.22222501805047865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941.14654615881</v>
      </c>
      <c r="E87">
        <v>282.22530664944998</v>
      </c>
      <c r="F87">
        <v>129.25225806451999</v>
      </c>
      <c r="G87">
        <v>110.08451612903001</v>
      </c>
      <c r="I87" s="9">
        <f t="shared" si="8"/>
        <v>172.14079052041996</v>
      </c>
      <c r="J87" s="9">
        <f t="shared" si="9"/>
        <v>811.89428809429</v>
      </c>
      <c r="K87" s="9">
        <f t="shared" si="10"/>
        <v>172.14079052041996</v>
      </c>
      <c r="L87" s="10">
        <f t="shared" si="7"/>
        <v>0.21202365017799982</v>
      </c>
      <c r="M87" s="10">
        <f t="shared" si="11"/>
        <v>0.21619060566114159</v>
      </c>
      <c r="P87" s="8">
        <f t="shared" si="12"/>
        <v>1.651220475576096</v>
      </c>
      <c r="U87" s="8">
        <v>152</v>
      </c>
      <c r="V87" s="10">
        <f t="shared" si="13"/>
        <v>0.22030107824851605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953.85603615236005</v>
      </c>
      <c r="E88">
        <v>283.00581020012999</v>
      </c>
      <c r="F88">
        <v>129.06967741936</v>
      </c>
      <c r="G88">
        <v>109.8464516129</v>
      </c>
      <c r="I88" s="9">
        <f t="shared" si="8"/>
        <v>173.15935858722997</v>
      </c>
      <c r="J88" s="9">
        <f t="shared" si="9"/>
        <v>824.78635873300004</v>
      </c>
      <c r="K88" s="9">
        <f t="shared" si="10"/>
        <v>173.15935858722997</v>
      </c>
      <c r="L88" s="10">
        <f t="shared" si="7"/>
        <v>0.20994449866172574</v>
      </c>
      <c r="M88" s="10">
        <f t="shared" si="11"/>
        <v>0.21416047715055153</v>
      </c>
      <c r="P88" s="8">
        <f t="shared" si="12"/>
        <v>0.69666909628442997</v>
      </c>
      <c r="U88" s="8">
        <v>152.5</v>
      </c>
      <c r="V88" s="10">
        <f t="shared" si="13"/>
        <v>0.21989074419392823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965.47658755612997</v>
      </c>
      <c r="E89">
        <v>285.56510583708001</v>
      </c>
      <c r="F89">
        <v>129.28451612903001</v>
      </c>
      <c r="G89">
        <v>110.05612903226</v>
      </c>
      <c r="I89" s="9">
        <f t="shared" si="8"/>
        <v>175.50897680482001</v>
      </c>
      <c r="J89" s="9">
        <f t="shared" si="9"/>
        <v>836.19207142710002</v>
      </c>
      <c r="K89" s="9">
        <f t="shared" si="10"/>
        <v>175.50897680482001</v>
      </c>
      <c r="L89" s="10">
        <f t="shared" si="7"/>
        <v>0.20989074496399485</v>
      </c>
      <c r="M89" s="10">
        <f t="shared" si="11"/>
        <v>0.21415574645850466</v>
      </c>
      <c r="P89" s="8">
        <f t="shared" si="12"/>
        <v>0.69444475994572497</v>
      </c>
      <c r="U89" s="8">
        <v>153</v>
      </c>
      <c r="V89" s="10">
        <f t="shared" si="13"/>
        <v>0.22224209421971827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977.07055805002994</v>
      </c>
      <c r="E90">
        <v>288.20974983963998</v>
      </c>
      <c r="F90">
        <v>129.42903225807001</v>
      </c>
      <c r="G90">
        <v>109.95419354838999</v>
      </c>
      <c r="I90" s="9">
        <f t="shared" si="8"/>
        <v>178.25555629125</v>
      </c>
      <c r="J90" s="9">
        <f t="shared" si="9"/>
        <v>847.64152579195991</v>
      </c>
      <c r="K90" s="9">
        <f t="shared" si="10"/>
        <v>178.25555629125</v>
      </c>
      <c r="L90" s="10">
        <f t="shared" si="7"/>
        <v>0.21029592211719933</v>
      </c>
      <c r="M90" s="10">
        <f t="shared" si="11"/>
        <v>0.21460994661739316</v>
      </c>
      <c r="P90" s="8">
        <f t="shared" si="12"/>
        <v>0.90800630833041229</v>
      </c>
      <c r="U90" s="8">
        <v>153.5</v>
      </c>
      <c r="V90" s="10">
        <f t="shared" si="13"/>
        <v>0.22297644685599227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970.17382937780997</v>
      </c>
      <c r="E91">
        <v>287.90057729313997</v>
      </c>
      <c r="F91">
        <v>129.48451612903</v>
      </c>
      <c r="G91">
        <v>109.96193548386999</v>
      </c>
      <c r="I91" s="9">
        <f t="shared" si="8"/>
        <v>177.93864180927</v>
      </c>
      <c r="J91" s="9">
        <f t="shared" si="9"/>
        <v>840.68931324877997</v>
      </c>
      <c r="K91" s="9">
        <f t="shared" si="10"/>
        <v>177.93864180927</v>
      </c>
      <c r="L91" s="10">
        <f t="shared" si="7"/>
        <v>0.21165802753176394</v>
      </c>
      <c r="M91" s="10">
        <f t="shared" si="11"/>
        <v>0.21602107503764179</v>
      </c>
      <c r="P91" s="8">
        <f t="shared" si="12"/>
        <v>1.5715084328902447</v>
      </c>
      <c r="U91" s="8">
        <v>154</v>
      </c>
      <c r="V91" s="10">
        <f t="shared" si="13"/>
        <v>0.22311782824010015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955.91019884541004</v>
      </c>
      <c r="E92">
        <v>285.19307248235998</v>
      </c>
      <c r="F92">
        <v>129.09354838709999</v>
      </c>
      <c r="G92">
        <v>109.79677419354999</v>
      </c>
      <c r="I92" s="9">
        <f t="shared" si="8"/>
        <v>175.39629828880999</v>
      </c>
      <c r="J92" s="9">
        <f t="shared" si="9"/>
        <v>826.81665045831005</v>
      </c>
      <c r="K92" s="9">
        <f t="shared" si="10"/>
        <v>175.39629828880999</v>
      </c>
      <c r="L92" s="10">
        <f t="shared" si="7"/>
        <v>0.21213445349895485</v>
      </c>
      <c r="M92" s="10">
        <f t="shared" si="11"/>
        <v>0.21654652401051672</v>
      </c>
      <c r="P92" s="8">
        <f t="shared" si="12"/>
        <v>1.8185706455475965</v>
      </c>
      <c r="U92" s="8">
        <v>154.5</v>
      </c>
      <c r="V92" s="10">
        <f t="shared" si="13"/>
        <v>0.2233072311580199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946.60282776350004</v>
      </c>
      <c r="E93">
        <v>281.99807197942999</v>
      </c>
      <c r="F93">
        <v>129.35032258064999</v>
      </c>
      <c r="G93">
        <v>110.13032258065</v>
      </c>
      <c r="I93" s="9">
        <f t="shared" si="8"/>
        <v>171.86774939878001</v>
      </c>
      <c r="J93" s="9">
        <f t="shared" si="9"/>
        <v>817.25250518285009</v>
      </c>
      <c r="K93" s="9">
        <f t="shared" si="10"/>
        <v>171.86774939878001</v>
      </c>
      <c r="L93" s="10">
        <f t="shared" si="7"/>
        <v>0.21029944638753567</v>
      </c>
      <c r="M93" s="10">
        <f t="shared" si="11"/>
        <v>0.21476053990478156</v>
      </c>
      <c r="P93" s="8">
        <f t="shared" si="12"/>
        <v>0.97881415593158616</v>
      </c>
      <c r="U93" s="8">
        <v>155</v>
      </c>
      <c r="V93" s="10">
        <f t="shared" si="13"/>
        <v>0.22256404453486045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941.52956298201002</v>
      </c>
      <c r="E94">
        <v>280.62275064266998</v>
      </c>
      <c r="F94">
        <v>129.40903225807</v>
      </c>
      <c r="G94">
        <v>110.12129032257999</v>
      </c>
      <c r="I94" s="9">
        <f t="shared" si="8"/>
        <v>170.50146032008999</v>
      </c>
      <c r="J94" s="9">
        <f t="shared" si="9"/>
        <v>812.12053072393996</v>
      </c>
      <c r="K94" s="9">
        <f t="shared" si="10"/>
        <v>170.50146032008999</v>
      </c>
      <c r="L94" s="10">
        <f t="shared" si="7"/>
        <v>0.20994600415790707</v>
      </c>
      <c r="M94" s="10">
        <f t="shared" si="11"/>
        <v>0.21445612068083697</v>
      </c>
      <c r="P94" s="8">
        <f t="shared" si="12"/>
        <v>0.83567849304946451</v>
      </c>
      <c r="U94" s="8">
        <v>155.5</v>
      </c>
      <c r="V94" s="10">
        <f t="shared" si="13"/>
        <v>0.22408875801377873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956.85732647814996</v>
      </c>
      <c r="E95">
        <v>283.81041131105002</v>
      </c>
      <c r="F95">
        <v>129.3935483871</v>
      </c>
      <c r="G95">
        <v>109.74451612903</v>
      </c>
      <c r="I95" s="9">
        <f t="shared" si="8"/>
        <v>174.06589518202003</v>
      </c>
      <c r="J95" s="9">
        <f t="shared" si="9"/>
        <v>827.46377809105002</v>
      </c>
      <c r="K95" s="9">
        <f t="shared" si="10"/>
        <v>174.06589518202003</v>
      </c>
      <c r="L95" s="10">
        <f t="shared" si="7"/>
        <v>0.21036074302078595</v>
      </c>
      <c r="M95" s="10">
        <f t="shared" si="11"/>
        <v>0.21491988254939989</v>
      </c>
      <c r="P95" s="8">
        <f t="shared" si="12"/>
        <v>1.0537358864560282</v>
      </c>
      <c r="U95" s="8">
        <v>156</v>
      </c>
      <c r="V95" s="10">
        <f t="shared" si="13"/>
        <v>0.22192189739483636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957.82904884318998</v>
      </c>
      <c r="E96">
        <v>282.94023136247</v>
      </c>
      <c r="F96">
        <v>129.15096774194001</v>
      </c>
      <c r="G96">
        <v>109.64645161289999</v>
      </c>
      <c r="I96" s="9">
        <f t="shared" si="8"/>
        <v>173.29377974957001</v>
      </c>
      <c r="J96" s="9">
        <f t="shared" si="9"/>
        <v>828.67808110124997</v>
      </c>
      <c r="K96" s="9">
        <f t="shared" si="10"/>
        <v>173.29377974957001</v>
      </c>
      <c r="L96" s="10">
        <f t="shared" si="7"/>
        <v>0.20912074749132473</v>
      </c>
      <c r="M96" s="10">
        <f t="shared" si="11"/>
        <v>0.21372891002562269</v>
      </c>
      <c r="P96" s="8">
        <f t="shared" si="12"/>
        <v>0.49374943272183769</v>
      </c>
      <c r="U96" s="8">
        <v>156.5</v>
      </c>
      <c r="V96" s="10">
        <f t="shared" si="13"/>
        <v>0.221012620913379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932.51156812339002</v>
      </c>
      <c r="E97">
        <v>277.34640102828001</v>
      </c>
      <c r="F97">
        <v>129.38516129032001</v>
      </c>
      <c r="G97">
        <v>109.98580645161</v>
      </c>
      <c r="I97" s="9">
        <f t="shared" si="8"/>
        <v>167.36059457667</v>
      </c>
      <c r="J97" s="9">
        <f t="shared" si="9"/>
        <v>803.12640683306995</v>
      </c>
      <c r="K97" s="9">
        <f t="shared" si="10"/>
        <v>167.36059457667</v>
      </c>
      <c r="L97" s="10">
        <f t="shared" si="7"/>
        <v>0.20838636751668402</v>
      </c>
      <c r="M97" s="10">
        <f t="shared" si="11"/>
        <v>0.213043553056666</v>
      </c>
      <c r="P97" s="8">
        <f t="shared" si="12"/>
        <v>0.1714996654720703</v>
      </c>
      <c r="U97" s="8">
        <v>157</v>
      </c>
      <c r="V97" s="10">
        <f t="shared" si="13"/>
        <v>0.22130951682168251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922.43958868895004</v>
      </c>
      <c r="E98">
        <v>275.32840616967002</v>
      </c>
      <c r="F98">
        <v>129.79677419354999</v>
      </c>
      <c r="G98">
        <v>109.48709677418999</v>
      </c>
      <c r="I98" s="9">
        <f t="shared" si="8"/>
        <v>165.84130939548004</v>
      </c>
      <c r="J98" s="9">
        <f t="shared" si="9"/>
        <v>792.64281449539999</v>
      </c>
      <c r="K98" s="9">
        <f t="shared" si="10"/>
        <v>165.84130939548004</v>
      </c>
      <c r="L98" s="10">
        <f t="shared" si="7"/>
        <v>0.20922577781904875</v>
      </c>
      <c r="M98" s="10">
        <f t="shared" si="11"/>
        <v>0.21393198636471475</v>
      </c>
      <c r="P98" s="8">
        <f t="shared" si="12"/>
        <v>0.58923442225360012</v>
      </c>
      <c r="U98" s="8">
        <v>157.5</v>
      </c>
      <c r="V98" s="10">
        <f t="shared" si="13"/>
        <v>0.22110986675475408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937.45717965229005</v>
      </c>
      <c r="E99">
        <v>276.48164842240999</v>
      </c>
      <c r="F99">
        <v>129.28709677418999</v>
      </c>
      <c r="G99">
        <v>109.89806451613001</v>
      </c>
      <c r="I99" s="9">
        <f t="shared" si="8"/>
        <v>166.58358390627998</v>
      </c>
      <c r="J99" s="9">
        <f t="shared" si="9"/>
        <v>808.17008287810006</v>
      </c>
      <c r="K99" s="9">
        <f t="shared" si="10"/>
        <v>166.58358390627998</v>
      </c>
      <c r="L99" s="10">
        <f t="shared" si="7"/>
        <v>0.20612441296148121</v>
      </c>
      <c r="M99" s="10">
        <f t="shared" si="11"/>
        <v>0.21087964451283123</v>
      </c>
      <c r="P99" s="8">
        <f t="shared" si="12"/>
        <v>-0.84595409393459098</v>
      </c>
      <c r="U99" s="8">
        <v>158</v>
      </c>
      <c r="V99" s="10">
        <f t="shared" si="13"/>
        <v>0.21915558183689246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957.29684481647996</v>
      </c>
      <c r="E100">
        <v>280.49130714746002</v>
      </c>
      <c r="F100">
        <v>129.16387096774</v>
      </c>
      <c r="G100">
        <v>109.82709677419</v>
      </c>
      <c r="I100" s="9">
        <f t="shared" si="8"/>
        <v>170.66421037327001</v>
      </c>
      <c r="J100" s="9">
        <f t="shared" si="9"/>
        <v>828.13297384873999</v>
      </c>
      <c r="K100" s="9">
        <f t="shared" si="10"/>
        <v>170.66421037327001</v>
      </c>
      <c r="L100" s="10">
        <f t="shared" si="7"/>
        <v>0.20608309989168738</v>
      </c>
      <c r="M100" s="10">
        <f t="shared" si="11"/>
        <v>0.21088735444872142</v>
      </c>
      <c r="P100" s="8">
        <f t="shared" si="12"/>
        <v>-0.84232893922155483</v>
      </c>
      <c r="U100" s="8">
        <v>158.5</v>
      </c>
      <c r="V100" s="10">
        <f t="shared" si="13"/>
        <v>0.21913513767818421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952.10367031552005</v>
      </c>
      <c r="E101">
        <v>280.54732775273999</v>
      </c>
      <c r="F101">
        <v>128.73032258065001</v>
      </c>
      <c r="G101">
        <v>109.67096774194</v>
      </c>
      <c r="I101" s="9">
        <f t="shared" si="8"/>
        <v>170.8763600108</v>
      </c>
      <c r="J101" s="9">
        <f t="shared" si="9"/>
        <v>823.37334773487009</v>
      </c>
      <c r="K101" s="9">
        <f t="shared" si="10"/>
        <v>170.8763600108</v>
      </c>
      <c r="L101" s="10">
        <f t="shared" si="7"/>
        <v>0.20753205150602344</v>
      </c>
      <c r="M101" s="10">
        <f t="shared" si="11"/>
        <v>0.2123853290687415</v>
      </c>
      <c r="P101" s="8">
        <f t="shared" si="12"/>
        <v>-0.13799237519365981</v>
      </c>
      <c r="U101" s="8">
        <v>159</v>
      </c>
      <c r="V101" s="10">
        <f t="shared" si="13"/>
        <v>0.21822254051556306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951.39074550128998</v>
      </c>
      <c r="E102">
        <v>280.06748071979001</v>
      </c>
      <c r="F102">
        <v>129.37225806452</v>
      </c>
      <c r="G102">
        <v>109.98322580644999</v>
      </c>
      <c r="I102" s="9">
        <f t="shared" si="8"/>
        <v>170.08425491334003</v>
      </c>
      <c r="J102" s="9">
        <f t="shared" si="9"/>
        <v>822.01848743676999</v>
      </c>
      <c r="K102" s="9">
        <f t="shared" si="10"/>
        <v>170.08425491334003</v>
      </c>
      <c r="L102" s="10">
        <f t="shared" si="7"/>
        <v>0.20691049838027273</v>
      </c>
      <c r="M102" s="10">
        <f t="shared" si="11"/>
        <v>0.2118127989486748</v>
      </c>
      <c r="P102" s="8">
        <f t="shared" si="12"/>
        <v>-0.40719179431656138</v>
      </c>
      <c r="U102" s="8">
        <v>159.5</v>
      </c>
      <c r="V102" s="10">
        <f t="shared" si="13"/>
        <v>0.21988343992600873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949.61889460153998</v>
      </c>
      <c r="E103">
        <v>279.89138817481</v>
      </c>
      <c r="F103">
        <v>129.29225806452001</v>
      </c>
      <c r="G103">
        <v>109.88129032258</v>
      </c>
      <c r="I103" s="9">
        <f t="shared" si="8"/>
        <v>170.01009785222999</v>
      </c>
      <c r="J103" s="9">
        <f t="shared" si="9"/>
        <v>820.32663653702002</v>
      </c>
      <c r="K103" s="9">
        <f t="shared" si="10"/>
        <v>170.01009785222999</v>
      </c>
      <c r="L103" s="10">
        <f t="shared" si="7"/>
        <v>0.20724683349296277</v>
      </c>
      <c r="M103" s="10">
        <f t="shared" si="11"/>
        <v>0.21219815706704886</v>
      </c>
      <c r="P103" s="8">
        <f t="shared" si="12"/>
        <v>-0.22599926315591684</v>
      </c>
      <c r="U103" s="8">
        <v>160</v>
      </c>
      <c r="V103" s="10">
        <f t="shared" si="13"/>
        <v>0.21862853918803057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890.13560411311005</v>
      </c>
      <c r="E104">
        <v>271.7969151671</v>
      </c>
      <c r="F104">
        <v>129.14064516129</v>
      </c>
      <c r="G104">
        <v>109.65806451613</v>
      </c>
      <c r="I104" s="9">
        <f t="shared" si="8"/>
        <v>162.13885065097</v>
      </c>
      <c r="J104" s="9">
        <f t="shared" si="9"/>
        <v>760.99495895182008</v>
      </c>
      <c r="K104" s="9">
        <f t="shared" si="10"/>
        <v>162.13885065097</v>
      </c>
      <c r="L104" s="10">
        <f t="shared" si="7"/>
        <v>0.21306166189891318</v>
      </c>
      <c r="M104" s="10">
        <f t="shared" si="11"/>
        <v>0.21806200847868329</v>
      </c>
      <c r="P104" s="8">
        <f t="shared" si="12"/>
        <v>2.5311402103989558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931.82875399361001</v>
      </c>
      <c r="E105">
        <v>277.48881789136999</v>
      </c>
      <c r="F105">
        <v>128.9864516129</v>
      </c>
      <c r="G105">
        <v>109.68516129032</v>
      </c>
      <c r="I105" s="9">
        <f t="shared" si="8"/>
        <v>167.80365660104999</v>
      </c>
      <c r="J105" s="9">
        <f t="shared" si="9"/>
        <v>802.84230238070995</v>
      </c>
      <c r="K105" s="9">
        <f t="shared" si="10"/>
        <v>167.80365660104999</v>
      </c>
      <c r="L105" s="10">
        <f t="shared" si="7"/>
        <v>0.20901197670258917</v>
      </c>
      <c r="M105" s="10">
        <f t="shared" si="11"/>
        <v>0.21406134628804332</v>
      </c>
      <c r="P105" s="8">
        <f t="shared" si="12"/>
        <v>0.65005849944586924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940.27603833865999</v>
      </c>
      <c r="E106">
        <v>278.65175718850003</v>
      </c>
      <c r="F106">
        <v>129.08451612902999</v>
      </c>
      <c r="G106">
        <v>109.78</v>
      </c>
      <c r="I106" s="9">
        <f t="shared" si="8"/>
        <v>168.87175718850003</v>
      </c>
      <c r="J106" s="9">
        <f t="shared" si="9"/>
        <v>811.19152220962997</v>
      </c>
      <c r="K106" s="9">
        <f t="shared" si="10"/>
        <v>168.87175718850003</v>
      </c>
      <c r="L106" s="10">
        <f t="shared" si="7"/>
        <v>0.20817741872906284</v>
      </c>
      <c r="M106" s="10">
        <f t="shared" si="11"/>
        <v>0.21327581132020101</v>
      </c>
      <c r="P106" s="8">
        <f t="shared" si="12"/>
        <v>0.28070577959377918</v>
      </c>
      <c r="X106" s="8">
        <v>-13</v>
      </c>
    </row>
    <row r="107" spans="1:25" x14ac:dyDescent="0.2">
      <c r="A107" s="8">
        <v>52.5</v>
      </c>
      <c r="B107" s="8">
        <v>105</v>
      </c>
      <c r="D107">
        <v>937.31629392971001</v>
      </c>
      <c r="E107">
        <v>278.49137380192002</v>
      </c>
      <c r="F107">
        <v>129.37677419355001</v>
      </c>
      <c r="G107">
        <v>109.85161290323001</v>
      </c>
      <c r="I107" s="9">
        <f t="shared" si="8"/>
        <v>168.63976089869001</v>
      </c>
      <c r="J107" s="9">
        <f t="shared" si="9"/>
        <v>807.93951973616004</v>
      </c>
      <c r="K107" s="9">
        <f t="shared" si="10"/>
        <v>168.63976089869001</v>
      </c>
      <c r="L107" s="10">
        <f t="shared" si="7"/>
        <v>0.20872819905351436</v>
      </c>
      <c r="M107" s="10">
        <f t="shared" si="11"/>
        <v>0.21387561465033655</v>
      </c>
      <c r="P107" s="8">
        <f t="shared" si="12"/>
        <v>0.56272885995444211</v>
      </c>
      <c r="X107" s="8">
        <v>-13</v>
      </c>
    </row>
    <row r="108" spans="1:25" x14ac:dyDescent="0.2">
      <c r="A108" s="8">
        <v>53</v>
      </c>
      <c r="B108" s="8">
        <v>106</v>
      </c>
      <c r="D108">
        <v>950.44281150159998</v>
      </c>
      <c r="E108">
        <v>279.82875399361001</v>
      </c>
      <c r="F108">
        <v>129.19161290323001</v>
      </c>
      <c r="G108">
        <v>109.9264516129</v>
      </c>
      <c r="I108" s="9">
        <f t="shared" si="8"/>
        <v>169.90230238071001</v>
      </c>
      <c r="J108" s="9">
        <f t="shared" si="9"/>
        <v>821.25119859836991</v>
      </c>
      <c r="K108" s="9">
        <f t="shared" si="10"/>
        <v>169.90230238071001</v>
      </c>
      <c r="L108" s="10">
        <f t="shared" si="7"/>
        <v>0.2068822580358877</v>
      </c>
      <c r="M108" s="10">
        <f t="shared" si="11"/>
        <v>0.2120786966383939</v>
      </c>
      <c r="P108" s="8">
        <f t="shared" si="12"/>
        <v>-0.28216867132319723</v>
      </c>
      <c r="X108" s="8">
        <v>-13</v>
      </c>
    </row>
    <row r="109" spans="1:25" x14ac:dyDescent="0.2">
      <c r="A109" s="8">
        <v>53.5</v>
      </c>
      <c r="B109" s="8">
        <v>107</v>
      </c>
      <c r="D109">
        <v>945.15079872205001</v>
      </c>
      <c r="E109">
        <v>280.11757188498001</v>
      </c>
      <c r="F109">
        <v>129.34903225807</v>
      </c>
      <c r="G109">
        <v>109.82322580645</v>
      </c>
      <c r="I109" s="9">
        <f t="shared" si="8"/>
        <v>170.29434607853</v>
      </c>
      <c r="J109" s="9">
        <f t="shared" si="9"/>
        <v>815.80176646398002</v>
      </c>
      <c r="K109" s="9">
        <f t="shared" si="10"/>
        <v>170.29434607853</v>
      </c>
      <c r="L109" s="10">
        <f t="shared" si="7"/>
        <v>0.20874476261145603</v>
      </c>
      <c r="M109" s="10">
        <f t="shared" si="11"/>
        <v>0.21399022421964625</v>
      </c>
      <c r="P109" s="8">
        <f t="shared" si="12"/>
        <v>0.61661743000994007</v>
      </c>
      <c r="X109" s="8">
        <v>-13</v>
      </c>
    </row>
    <row r="110" spans="1:25" x14ac:dyDescent="0.2">
      <c r="A110" s="8">
        <v>54</v>
      </c>
      <c r="B110" s="8">
        <v>108</v>
      </c>
      <c r="D110">
        <v>966.58322663252</v>
      </c>
      <c r="E110">
        <v>283.56017925736001</v>
      </c>
      <c r="F110">
        <v>129.30967741936001</v>
      </c>
      <c r="G110">
        <v>109.62193548387</v>
      </c>
      <c r="I110" s="9">
        <f t="shared" si="8"/>
        <v>173.93824377349</v>
      </c>
      <c r="J110" s="9">
        <f t="shared" si="9"/>
        <v>837.27354921315998</v>
      </c>
      <c r="K110" s="9">
        <f t="shared" si="10"/>
        <v>173.93824377349</v>
      </c>
      <c r="L110" s="10">
        <f t="shared" si="7"/>
        <v>0.20774362684328318</v>
      </c>
      <c r="M110" s="10">
        <f t="shared" si="11"/>
        <v>0.21303811145715743</v>
      </c>
      <c r="P110" s="8">
        <f t="shared" si="12"/>
        <v>0.16894106571379444</v>
      </c>
      <c r="X110" s="8">
        <v>-13</v>
      </c>
    </row>
    <row r="111" spans="1:25" x14ac:dyDescent="0.2">
      <c r="A111" s="8">
        <v>54.5</v>
      </c>
      <c r="B111" s="8">
        <v>109</v>
      </c>
      <c r="D111">
        <v>972.2099871959</v>
      </c>
      <c r="E111">
        <v>283.68245838668003</v>
      </c>
      <c r="F111">
        <v>129.09161290322999</v>
      </c>
      <c r="G111">
        <v>109.65806451613</v>
      </c>
      <c r="I111" s="9">
        <f t="shared" si="8"/>
        <v>174.02439387055003</v>
      </c>
      <c r="J111" s="9">
        <f t="shared" si="9"/>
        <v>843.11837429267007</v>
      </c>
      <c r="K111" s="9">
        <f t="shared" si="10"/>
        <v>174.02439387055003</v>
      </c>
      <c r="L111" s="10">
        <f t="shared" si="7"/>
        <v>0.2064056473879447</v>
      </c>
      <c r="M111" s="10">
        <f t="shared" si="11"/>
        <v>0.21174915500750296</v>
      </c>
      <c r="P111" s="8">
        <f t="shared" si="12"/>
        <v>-0.43711670375565753</v>
      </c>
      <c r="X111" s="8">
        <v>-13</v>
      </c>
    </row>
    <row r="112" spans="1:25" x14ac:dyDescent="0.2">
      <c r="A112" s="8">
        <v>55</v>
      </c>
      <c r="B112" s="8">
        <v>110</v>
      </c>
      <c r="D112">
        <v>969.49551856593996</v>
      </c>
      <c r="E112">
        <v>283.77144686299999</v>
      </c>
      <c r="F112">
        <v>129.02322580645</v>
      </c>
      <c r="G112">
        <v>109.58774193548</v>
      </c>
      <c r="I112" s="9">
        <f t="shared" si="8"/>
        <v>174.18370492752001</v>
      </c>
      <c r="J112" s="9">
        <f t="shared" si="9"/>
        <v>840.47229275948996</v>
      </c>
      <c r="K112" s="9">
        <f t="shared" si="10"/>
        <v>174.18370492752001</v>
      </c>
      <c r="L112" s="10">
        <f t="shared" si="7"/>
        <v>0.20724502928660435</v>
      </c>
      <c r="M112" s="10">
        <f t="shared" si="11"/>
        <v>0.21263755991184663</v>
      </c>
      <c r="P112" s="8">
        <f t="shared" si="12"/>
        <v>-1.939530218574206E-2</v>
      </c>
      <c r="X112" s="8">
        <v>-13</v>
      </c>
    </row>
    <row r="113" spans="1:24" x14ac:dyDescent="0.2">
      <c r="A113" s="8">
        <v>55.5</v>
      </c>
      <c r="B113" s="8">
        <v>111</v>
      </c>
      <c r="D113">
        <v>968.04033290653001</v>
      </c>
      <c r="E113">
        <v>283.88540332907002</v>
      </c>
      <c r="F113">
        <v>129.17483870967999</v>
      </c>
      <c r="G113">
        <v>109.63870967742</v>
      </c>
      <c r="I113" s="9">
        <f t="shared" si="8"/>
        <v>174.24669365165002</v>
      </c>
      <c r="J113" s="9">
        <f t="shared" si="9"/>
        <v>838.86549419685002</v>
      </c>
      <c r="K113" s="9">
        <f t="shared" si="10"/>
        <v>174.24669365165002</v>
      </c>
      <c r="L113" s="10">
        <f t="shared" si="7"/>
        <v>0.20771708319994495</v>
      </c>
      <c r="M113" s="10">
        <f t="shared" si="11"/>
        <v>0.21315863683087125</v>
      </c>
      <c r="P113" s="8">
        <f t="shared" si="12"/>
        <v>0.22561120315486294</v>
      </c>
      <c r="X113" s="8">
        <v>-13</v>
      </c>
    </row>
    <row r="114" spans="1:24" x14ac:dyDescent="0.2">
      <c r="A114" s="8">
        <v>56</v>
      </c>
      <c r="B114" s="8">
        <v>112</v>
      </c>
      <c r="D114">
        <v>945.24250159540998</v>
      </c>
      <c r="E114">
        <v>280.35609444799002</v>
      </c>
      <c r="F114">
        <v>128.53612903225999</v>
      </c>
      <c r="G114">
        <v>109.68387096774001</v>
      </c>
      <c r="I114" s="9">
        <f t="shared" si="8"/>
        <v>170.67222348025001</v>
      </c>
      <c r="J114" s="9">
        <f t="shared" si="9"/>
        <v>816.70637256315001</v>
      </c>
      <c r="K114" s="9">
        <f t="shared" si="10"/>
        <v>170.67222348025001</v>
      </c>
      <c r="L114" s="10">
        <f t="shared" si="7"/>
        <v>0.20897623578546665</v>
      </c>
      <c r="M114" s="10">
        <f t="shared" si="11"/>
        <v>0.21446681242207699</v>
      </c>
      <c r="P114" s="8">
        <f t="shared" si="12"/>
        <v>0.84070567053820666</v>
      </c>
      <c r="X114" s="8">
        <v>-13</v>
      </c>
    </row>
    <row r="115" spans="1:24" x14ac:dyDescent="0.2">
      <c r="A115" s="8">
        <v>56.5</v>
      </c>
      <c r="B115" s="8">
        <v>113</v>
      </c>
      <c r="D115">
        <v>947.75686024250001</v>
      </c>
      <c r="E115">
        <v>279.99936183790999</v>
      </c>
      <c r="F115">
        <v>129.62387096774</v>
      </c>
      <c r="G115">
        <v>109.63806451613</v>
      </c>
      <c r="I115" s="9">
        <f t="shared" si="8"/>
        <v>170.36129732178</v>
      </c>
      <c r="J115" s="9">
        <f t="shared" si="9"/>
        <v>818.13298927476001</v>
      </c>
      <c r="K115" s="9">
        <f t="shared" si="10"/>
        <v>170.36129732178</v>
      </c>
      <c r="L115" s="10">
        <f t="shared" si="7"/>
        <v>0.20823179061975977</v>
      </c>
      <c r="M115" s="10">
        <f t="shared" si="11"/>
        <v>0.21377139026205413</v>
      </c>
      <c r="P115" s="8">
        <f t="shared" si="12"/>
        <v>0.5137233250477391</v>
      </c>
      <c r="X115" s="8">
        <v>-13</v>
      </c>
    </row>
    <row r="116" spans="1:24" x14ac:dyDescent="0.2">
      <c r="A116" s="8">
        <v>57</v>
      </c>
      <c r="B116" s="8">
        <v>114</v>
      </c>
      <c r="D116">
        <v>947.9342693044</v>
      </c>
      <c r="E116">
        <v>280.08232291002003</v>
      </c>
      <c r="F116">
        <v>129.18838709676999</v>
      </c>
      <c r="G116">
        <v>109.47806451613</v>
      </c>
      <c r="I116" s="9">
        <f t="shared" si="8"/>
        <v>170.60425839389001</v>
      </c>
      <c r="J116" s="9">
        <f t="shared" si="9"/>
        <v>818.74588220763007</v>
      </c>
      <c r="K116" s="9">
        <f t="shared" si="10"/>
        <v>170.60425839389001</v>
      </c>
      <c r="L116" s="10">
        <f t="shared" si="7"/>
        <v>0.20837266128762719</v>
      </c>
      <c r="M116" s="10">
        <f t="shared" si="11"/>
        <v>0.21396128393560557</v>
      </c>
      <c r="P116" s="8">
        <f t="shared" si="12"/>
        <v>0.60300992294621281</v>
      </c>
      <c r="X116" s="8">
        <v>-13</v>
      </c>
    </row>
    <row r="117" spans="1:24" x14ac:dyDescent="0.2">
      <c r="A117" s="8">
        <v>57.5</v>
      </c>
      <c r="B117" s="8">
        <v>115</v>
      </c>
      <c r="D117">
        <v>960.30320512821004</v>
      </c>
      <c r="E117">
        <v>281.15384615385</v>
      </c>
      <c r="F117">
        <v>128.87870967742001</v>
      </c>
      <c r="G117">
        <v>109.58129032258</v>
      </c>
      <c r="I117" s="9">
        <f t="shared" si="8"/>
        <v>171.57255583126999</v>
      </c>
      <c r="J117" s="9">
        <f t="shared" si="9"/>
        <v>831.42449545079</v>
      </c>
      <c r="K117" s="9">
        <f t="shared" si="10"/>
        <v>171.57255583126999</v>
      </c>
      <c r="L117" s="10">
        <f t="shared" si="7"/>
        <v>0.20635975578064378</v>
      </c>
      <c r="M117" s="10">
        <f t="shared" si="11"/>
        <v>0.21199740143430618</v>
      </c>
      <c r="P117" s="8">
        <f t="shared" si="12"/>
        <v>-0.32039307376222481</v>
      </c>
      <c r="X117" s="8">
        <v>-13</v>
      </c>
    </row>
    <row r="118" spans="1:24" x14ac:dyDescent="0.2">
      <c r="A118" s="8">
        <v>58</v>
      </c>
      <c r="B118" s="8">
        <v>116</v>
      </c>
      <c r="D118">
        <v>967.16666666667004</v>
      </c>
      <c r="E118">
        <v>283.04423076923001</v>
      </c>
      <c r="F118">
        <v>128.94387096774</v>
      </c>
      <c r="G118">
        <v>109.66387096774</v>
      </c>
      <c r="I118" s="9">
        <f t="shared" si="8"/>
        <v>173.38035980149002</v>
      </c>
      <c r="J118" s="9">
        <f t="shared" si="9"/>
        <v>838.22279569892999</v>
      </c>
      <c r="K118" s="9">
        <f t="shared" si="10"/>
        <v>173.38035980149002</v>
      </c>
      <c r="L118" s="10">
        <f t="shared" si="7"/>
        <v>0.20684281159034976</v>
      </c>
      <c r="M118" s="10">
        <f t="shared" si="11"/>
        <v>0.21252948024969617</v>
      </c>
      <c r="P118" s="8">
        <f t="shared" si="12"/>
        <v>-7.0213558291661954E-2</v>
      </c>
      <c r="X118" s="8">
        <v>-13</v>
      </c>
    </row>
    <row r="119" spans="1:24" x14ac:dyDescent="0.2">
      <c r="A119" s="8">
        <v>58.5</v>
      </c>
      <c r="B119" s="8">
        <v>117</v>
      </c>
      <c r="D119">
        <v>969.40128205127996</v>
      </c>
      <c r="E119">
        <v>284.61410256409999</v>
      </c>
      <c r="F119">
        <v>128.75612903225999</v>
      </c>
      <c r="G119">
        <v>109.71483870968</v>
      </c>
      <c r="I119" s="9">
        <f t="shared" si="8"/>
        <v>174.89926385441998</v>
      </c>
      <c r="J119" s="9">
        <f t="shared" si="9"/>
        <v>840.64515301901997</v>
      </c>
      <c r="K119" s="9">
        <f t="shared" si="10"/>
        <v>174.89926385441998</v>
      </c>
      <c r="L119" s="10">
        <f t="shared" si="7"/>
        <v>0.20805361599516986</v>
      </c>
      <c r="M119" s="10">
        <f t="shared" si="11"/>
        <v>0.2137893076602003</v>
      </c>
      <c r="P119" s="8">
        <f t="shared" si="12"/>
        <v>0.52214795286047055</v>
      </c>
      <c r="X119" s="8">
        <v>-13</v>
      </c>
    </row>
    <row r="120" spans="1:24" x14ac:dyDescent="0.2">
      <c r="A120" s="8">
        <v>59</v>
      </c>
      <c r="B120" s="8">
        <v>118</v>
      </c>
      <c r="D120">
        <v>952.24551282051004</v>
      </c>
      <c r="E120">
        <v>283.52628205128002</v>
      </c>
      <c r="F120">
        <v>128.41741935484001</v>
      </c>
      <c r="G120">
        <v>109.73741935484</v>
      </c>
      <c r="I120" s="9">
        <f t="shared" si="8"/>
        <v>173.78886269644002</v>
      </c>
      <c r="J120" s="9">
        <f t="shared" si="9"/>
        <v>823.82809346567001</v>
      </c>
      <c r="K120" s="9">
        <f t="shared" si="10"/>
        <v>173.78886269644002</v>
      </c>
      <c r="L120" s="10">
        <f t="shared" si="7"/>
        <v>0.21095282386565278</v>
      </c>
      <c r="M120" s="10">
        <f t="shared" si="11"/>
        <v>0.21673753853636724</v>
      </c>
      <c r="P120" s="8">
        <f t="shared" si="12"/>
        <v>1.9083842598898535</v>
      </c>
      <c r="X120" s="8">
        <v>-13</v>
      </c>
    </row>
    <row r="121" spans="1:24" x14ac:dyDescent="0.2">
      <c r="A121" s="8">
        <v>59.5</v>
      </c>
      <c r="B121" s="8">
        <v>119</v>
      </c>
      <c r="D121">
        <v>954.85256410256</v>
      </c>
      <c r="E121">
        <v>281.49871794872001</v>
      </c>
      <c r="F121">
        <v>129.06129032257999</v>
      </c>
      <c r="G121">
        <v>109.67935483871</v>
      </c>
      <c r="I121" s="9">
        <f t="shared" si="8"/>
        <v>171.81936311001002</v>
      </c>
      <c r="J121" s="9">
        <f t="shared" si="9"/>
        <v>825.79127377997997</v>
      </c>
      <c r="K121" s="9">
        <f t="shared" si="10"/>
        <v>171.81936311001002</v>
      </c>
      <c r="L121" s="10">
        <f t="shared" si="7"/>
        <v>0.20806633415187767</v>
      </c>
      <c r="M121" s="10">
        <f t="shared" si="11"/>
        <v>0.21390007182827614</v>
      </c>
      <c r="P121" s="8">
        <f t="shared" si="12"/>
        <v>0.57422844375617255</v>
      </c>
      <c r="X121" s="8">
        <v>-13</v>
      </c>
    </row>
    <row r="122" spans="1:24" x14ac:dyDescent="0.2">
      <c r="A122" s="8">
        <v>60</v>
      </c>
      <c r="B122" s="8">
        <v>120</v>
      </c>
      <c r="D122">
        <v>969.51410256409997</v>
      </c>
      <c r="E122">
        <v>283.55961538461997</v>
      </c>
      <c r="F122">
        <v>128.83870967742001</v>
      </c>
      <c r="G122">
        <v>109.53741935484</v>
      </c>
      <c r="I122" s="9">
        <f t="shared" si="8"/>
        <v>174.02219602977999</v>
      </c>
      <c r="J122" s="9">
        <f t="shared" si="9"/>
        <v>840.6753928866799</v>
      </c>
      <c r="K122" s="9">
        <f t="shared" si="10"/>
        <v>174.02219602977999</v>
      </c>
      <c r="L122" s="10">
        <f t="shared" si="7"/>
        <v>0.20700284259805565</v>
      </c>
      <c r="M122" s="10">
        <f t="shared" si="11"/>
        <v>0.21288560328013814</v>
      </c>
      <c r="P122" s="8">
        <f t="shared" si="12"/>
        <v>9.7232851200466652E-2</v>
      </c>
      <c r="X122" s="8">
        <v>-13</v>
      </c>
    </row>
    <row r="123" spans="1:24" x14ac:dyDescent="0.2">
      <c r="A123" s="8">
        <v>60.5</v>
      </c>
      <c r="B123" s="8">
        <v>121</v>
      </c>
      <c r="D123">
        <v>946.06346153846005</v>
      </c>
      <c r="E123">
        <v>282.23974358973999</v>
      </c>
      <c r="F123">
        <v>128.52838709676999</v>
      </c>
      <c r="G123">
        <v>109.60580645160999</v>
      </c>
      <c r="I123" s="9">
        <f t="shared" si="8"/>
        <v>172.63393713812999</v>
      </c>
      <c r="J123" s="9">
        <f t="shared" si="9"/>
        <v>817.53507444169009</v>
      </c>
      <c r="K123" s="9">
        <f t="shared" si="10"/>
        <v>172.63393713812999</v>
      </c>
      <c r="L123" s="10">
        <f t="shared" si="7"/>
        <v>0.21116395190264456</v>
      </c>
      <c r="M123" s="10">
        <f t="shared" si="11"/>
        <v>0.21709573559041107</v>
      </c>
      <c r="P123" s="8">
        <f t="shared" si="12"/>
        <v>2.0768058599078589</v>
      </c>
      <c r="X123" s="8">
        <v>-13</v>
      </c>
    </row>
    <row r="124" spans="1:24" x14ac:dyDescent="0.2">
      <c r="A124" s="8">
        <v>61</v>
      </c>
      <c r="B124" s="8">
        <v>122</v>
      </c>
      <c r="D124">
        <v>960.17179487179999</v>
      </c>
      <c r="E124">
        <v>284.37051282050999</v>
      </c>
      <c r="F124">
        <v>128.34967741936001</v>
      </c>
      <c r="G124">
        <v>109.80645161290001</v>
      </c>
      <c r="I124" s="9">
        <f t="shared" si="8"/>
        <v>174.56406120761</v>
      </c>
      <c r="J124" s="9">
        <f t="shared" si="9"/>
        <v>831.82211745244001</v>
      </c>
      <c r="K124" s="9">
        <f t="shared" si="10"/>
        <v>174.56406120761</v>
      </c>
      <c r="L124" s="10">
        <f t="shared" si="7"/>
        <v>0.20985744132680004</v>
      </c>
      <c r="M124" s="10">
        <f t="shared" si="11"/>
        <v>0.21583824802025059</v>
      </c>
      <c r="P124" s="8">
        <f t="shared" si="12"/>
        <v>1.4855445243434784</v>
      </c>
      <c r="X124" s="8">
        <v>-13</v>
      </c>
    </row>
    <row r="125" spans="1:24" x14ac:dyDescent="0.2">
      <c r="A125" s="8">
        <v>61.5</v>
      </c>
      <c r="B125" s="8">
        <v>123</v>
      </c>
      <c r="D125">
        <v>947.83012820512999</v>
      </c>
      <c r="E125">
        <v>282.94487179486998</v>
      </c>
      <c r="F125">
        <v>129.00516129031999</v>
      </c>
      <c r="G125">
        <v>109.8135483871</v>
      </c>
      <c r="I125" s="9">
        <f t="shared" si="8"/>
        <v>173.13132340776997</v>
      </c>
      <c r="J125" s="9">
        <f t="shared" si="9"/>
        <v>818.82496691481003</v>
      </c>
      <c r="K125" s="9">
        <f t="shared" si="10"/>
        <v>173.13132340776997</v>
      </c>
      <c r="L125" s="10">
        <f t="shared" si="7"/>
        <v>0.21143874503497209</v>
      </c>
      <c r="M125" s="10">
        <f t="shared" si="11"/>
        <v>0.21746857473410666</v>
      </c>
      <c r="P125" s="8">
        <f t="shared" si="12"/>
        <v>2.2521120619596271</v>
      </c>
      <c r="X125" s="8">
        <v>-13</v>
      </c>
    </row>
    <row r="126" spans="1:24" x14ac:dyDescent="0.2">
      <c r="A126" s="8">
        <v>62</v>
      </c>
      <c r="B126" s="8">
        <v>124</v>
      </c>
      <c r="D126">
        <v>977.97628205128001</v>
      </c>
      <c r="E126">
        <v>286.31794871795</v>
      </c>
      <c r="F126">
        <v>128.69677419355</v>
      </c>
      <c r="G126">
        <v>109.7935483871</v>
      </c>
      <c r="I126" s="9">
        <f t="shared" si="8"/>
        <v>176.52440033085</v>
      </c>
      <c r="J126" s="9">
        <f t="shared" si="9"/>
        <v>849.27950785772998</v>
      </c>
      <c r="K126" s="9">
        <f t="shared" si="10"/>
        <v>176.52440033085</v>
      </c>
      <c r="L126" s="10">
        <f t="shared" si="7"/>
        <v>0.20785194826627218</v>
      </c>
      <c r="M126" s="10">
        <f t="shared" si="11"/>
        <v>0.21393080097109077</v>
      </c>
      <c r="P126" s="8">
        <f t="shared" si="12"/>
        <v>0.58867705895720168</v>
      </c>
      <c r="X126" s="8">
        <v>-13</v>
      </c>
    </row>
    <row r="127" spans="1:24" x14ac:dyDescent="0.2">
      <c r="A127" s="8">
        <v>62.5</v>
      </c>
      <c r="B127" s="8">
        <v>125</v>
      </c>
      <c r="D127">
        <v>992.15512820513004</v>
      </c>
      <c r="E127">
        <v>286.94551282050998</v>
      </c>
      <c r="F127">
        <v>128.72258064516001</v>
      </c>
      <c r="G127">
        <v>109.56322580645001</v>
      </c>
      <c r="I127" s="9">
        <f t="shared" si="8"/>
        <v>177.38228701405995</v>
      </c>
      <c r="J127" s="9">
        <f t="shared" si="9"/>
        <v>863.43254755997009</v>
      </c>
      <c r="K127" s="9">
        <f t="shared" si="10"/>
        <v>177.38228701405995</v>
      </c>
      <c r="L127" s="10">
        <f t="shared" si="7"/>
        <v>0.20543849952765394</v>
      </c>
      <c r="M127" s="10">
        <f t="shared" si="11"/>
        <v>0.21156637523815655</v>
      </c>
      <c r="P127" s="8">
        <f t="shared" si="12"/>
        <v>-0.52305839662194853</v>
      </c>
      <c r="X127" s="8">
        <v>-13</v>
      </c>
    </row>
    <row r="128" spans="1:24" x14ac:dyDescent="0.2">
      <c r="A128" s="8">
        <v>63</v>
      </c>
      <c r="B128" s="8">
        <v>126</v>
      </c>
      <c r="D128">
        <v>994.64358974359004</v>
      </c>
      <c r="E128">
        <v>286.78141025641003</v>
      </c>
      <c r="F128">
        <v>128.83612903226</v>
      </c>
      <c r="G128">
        <v>109.67741935484</v>
      </c>
      <c r="I128" s="9">
        <f t="shared" si="8"/>
        <v>177.10399090157003</v>
      </c>
      <c r="J128" s="9">
        <f t="shared" si="9"/>
        <v>865.80746071133001</v>
      </c>
      <c r="K128" s="9">
        <f t="shared" si="10"/>
        <v>177.10399090157003</v>
      </c>
      <c r="L128" s="10">
        <f t="shared" si="7"/>
        <v>0.20455355138204162</v>
      </c>
      <c r="M128" s="10">
        <f t="shared" si="11"/>
        <v>0.21073045009822824</v>
      </c>
      <c r="P128" s="8">
        <f t="shared" si="12"/>
        <v>-0.9161042019198713</v>
      </c>
      <c r="X128" s="8">
        <v>-13</v>
      </c>
    </row>
    <row r="129" spans="1:24" x14ac:dyDescent="0.2">
      <c r="A129" s="8">
        <v>63.5</v>
      </c>
      <c r="B129" s="8">
        <v>127</v>
      </c>
      <c r="D129">
        <v>986.18717948717995</v>
      </c>
      <c r="E129">
        <v>285.64551282051002</v>
      </c>
      <c r="F129">
        <v>128.90451612902999</v>
      </c>
      <c r="G129">
        <v>109.65548387097</v>
      </c>
      <c r="I129" s="9">
        <f t="shared" si="8"/>
        <v>175.99002894954003</v>
      </c>
      <c r="J129" s="9">
        <f t="shared" si="9"/>
        <v>857.28266335814999</v>
      </c>
      <c r="K129" s="9">
        <f t="shared" si="10"/>
        <v>175.99002894954003</v>
      </c>
      <c r="L129" s="10">
        <f t="shared" si="7"/>
        <v>0.20528821644444717</v>
      </c>
      <c r="M129" s="10">
        <f t="shared" si="11"/>
        <v>0.21151413816631781</v>
      </c>
      <c r="P129" s="8">
        <f t="shared" si="12"/>
        <v>-0.54761988064314193</v>
      </c>
      <c r="X129" s="8">
        <v>-13</v>
      </c>
    </row>
    <row r="130" spans="1:24" x14ac:dyDescent="0.2">
      <c r="A130" s="8">
        <v>64</v>
      </c>
      <c r="B130" s="8">
        <v>128</v>
      </c>
      <c r="D130">
        <v>965.66153846153998</v>
      </c>
      <c r="E130">
        <v>282.40576923076998</v>
      </c>
      <c r="F130">
        <v>128.71161290322999</v>
      </c>
      <c r="G130">
        <v>109.45548387097</v>
      </c>
      <c r="I130" s="9">
        <f t="shared" si="8"/>
        <v>172.95028535979998</v>
      </c>
      <c r="J130" s="9">
        <f t="shared" si="9"/>
        <v>836.94992555831004</v>
      </c>
      <c r="K130" s="9">
        <f t="shared" si="10"/>
        <v>172.95028535979998</v>
      </c>
      <c r="L130" s="10">
        <f t="shared" ref="L130:L193" si="14">K130/J130</f>
        <v>0.20664352797979976</v>
      </c>
      <c r="M130" s="10">
        <f t="shared" si="11"/>
        <v>0.21291847270735442</v>
      </c>
      <c r="P130" s="8">
        <f t="shared" si="12"/>
        <v>0.11268781226433974</v>
      </c>
      <c r="X130" s="8">
        <v>-13</v>
      </c>
    </row>
    <row r="131" spans="1:24" x14ac:dyDescent="0.2">
      <c r="A131" s="8">
        <v>64.5</v>
      </c>
      <c r="B131" s="8">
        <v>129</v>
      </c>
      <c r="D131">
        <v>970.37820512820997</v>
      </c>
      <c r="E131">
        <v>283.56858974359</v>
      </c>
      <c r="F131">
        <v>128.86322580645</v>
      </c>
      <c r="G131">
        <v>109.49935483871</v>
      </c>
      <c r="I131" s="9">
        <f t="shared" ref="I131:I194" si="15">E131-G131</f>
        <v>174.06923490487998</v>
      </c>
      <c r="J131" s="9">
        <f t="shared" ref="J131:J194" si="16">D131-F131</f>
        <v>841.51497932175994</v>
      </c>
      <c r="K131" s="9">
        <f t="shared" ref="K131:K194" si="17">I131*1</f>
        <v>174.06923490487998</v>
      </c>
      <c r="L131" s="10">
        <f t="shared" si="14"/>
        <v>0.20685221200123549</v>
      </c>
      <c r="M131" s="10">
        <f t="shared" ref="M131:M181" si="18">L131+ABS($N$2)*A131</f>
        <v>0.21317617973447417</v>
      </c>
      <c r="P131" s="8">
        <f t="shared" ref="P131:P194" si="19">(M131-$O$2)/$O$2*100</f>
        <v>0.23385974640894722</v>
      </c>
      <c r="X131" s="8">
        <v>-13</v>
      </c>
    </row>
    <row r="132" spans="1:24" x14ac:dyDescent="0.2">
      <c r="A132" s="8">
        <v>65</v>
      </c>
      <c r="B132" s="8">
        <v>130</v>
      </c>
      <c r="D132">
        <v>939.98205128204995</v>
      </c>
      <c r="E132">
        <v>278.89038461539002</v>
      </c>
      <c r="F132">
        <v>128.75677419355</v>
      </c>
      <c r="G132">
        <v>109.50258064515999</v>
      </c>
      <c r="I132" s="9">
        <f t="shared" si="15"/>
        <v>169.38780397023004</v>
      </c>
      <c r="J132" s="9">
        <f t="shared" si="16"/>
        <v>811.22527708849998</v>
      </c>
      <c r="K132" s="9">
        <f t="shared" si="17"/>
        <v>169.38780397023004</v>
      </c>
      <c r="L132" s="10">
        <f t="shared" si="14"/>
        <v>0.2088048890416303</v>
      </c>
      <c r="M132" s="10">
        <f t="shared" si="18"/>
        <v>0.215177879780553</v>
      </c>
      <c r="P132" s="8">
        <f t="shared" si="19"/>
        <v>1.1750442723862613</v>
      </c>
      <c r="X132" s="8">
        <v>-13</v>
      </c>
    </row>
    <row r="133" spans="1:24" x14ac:dyDescent="0.2">
      <c r="A133" s="8">
        <v>65.5</v>
      </c>
      <c r="B133" s="8">
        <v>131</v>
      </c>
      <c r="D133">
        <v>922.17073170731999</v>
      </c>
      <c r="E133">
        <v>273.49101412067</v>
      </c>
      <c r="F133">
        <v>128.48258064516</v>
      </c>
      <c r="G133">
        <v>109.29032258065</v>
      </c>
      <c r="I133" s="9">
        <f t="shared" si="15"/>
        <v>164.20069154001999</v>
      </c>
      <c r="J133" s="9">
        <f t="shared" si="16"/>
        <v>793.68815106215993</v>
      </c>
      <c r="K133" s="9">
        <f t="shared" si="17"/>
        <v>164.20069154001999</v>
      </c>
      <c r="L133" s="10">
        <f t="shared" si="14"/>
        <v>0.20688313328134861</v>
      </c>
      <c r="M133" s="10">
        <f t="shared" si="18"/>
        <v>0.21330514702595532</v>
      </c>
      <c r="P133" s="8">
        <f t="shared" si="19"/>
        <v>0.29449921101656618</v>
      </c>
      <c r="X133" s="8">
        <v>-13</v>
      </c>
    </row>
    <row r="134" spans="1:24" x14ac:dyDescent="0.2">
      <c r="A134" s="8">
        <v>66</v>
      </c>
      <c r="B134" s="8">
        <v>132</v>
      </c>
      <c r="D134">
        <v>938.35237483953995</v>
      </c>
      <c r="E134">
        <v>276.88061617457998</v>
      </c>
      <c r="F134">
        <v>128.72709677418999</v>
      </c>
      <c r="G134">
        <v>109.44838709677001</v>
      </c>
      <c r="I134" s="9">
        <f t="shared" si="15"/>
        <v>167.43222907780998</v>
      </c>
      <c r="J134" s="9">
        <f t="shared" si="16"/>
        <v>809.6252780653499</v>
      </c>
      <c r="K134" s="9">
        <f t="shared" si="17"/>
        <v>167.43222907780998</v>
      </c>
      <c r="L134" s="10">
        <f t="shared" si="14"/>
        <v>0.20680212638357801</v>
      </c>
      <c r="M134" s="10">
        <f t="shared" si="18"/>
        <v>0.21327316313386877</v>
      </c>
      <c r="P134" s="8">
        <f t="shared" si="19"/>
        <v>0.27946062200750643</v>
      </c>
      <c r="X134" s="8">
        <v>-13</v>
      </c>
    </row>
    <row r="135" spans="1:24" x14ac:dyDescent="0.2">
      <c r="A135" s="8">
        <v>66.5</v>
      </c>
      <c r="B135" s="8">
        <v>133</v>
      </c>
      <c r="D135">
        <v>924.70410783055002</v>
      </c>
      <c r="E135">
        <v>275.83311938383002</v>
      </c>
      <c r="F135">
        <v>128.89096774193999</v>
      </c>
      <c r="G135">
        <v>109.63548387097001</v>
      </c>
      <c r="I135" s="9">
        <f t="shared" si="15"/>
        <v>166.19763551286002</v>
      </c>
      <c r="J135" s="9">
        <f t="shared" si="16"/>
        <v>795.81314008861</v>
      </c>
      <c r="K135" s="9">
        <f t="shared" si="17"/>
        <v>166.19763551286002</v>
      </c>
      <c r="L135" s="10">
        <f t="shared" si="14"/>
        <v>0.20884002429810936</v>
      </c>
      <c r="M135" s="10">
        <f t="shared" si="18"/>
        <v>0.21536008405408413</v>
      </c>
      <c r="P135" s="8">
        <f t="shared" si="19"/>
        <v>1.2607153713855206</v>
      </c>
      <c r="X135" s="8">
        <v>-13</v>
      </c>
    </row>
    <row r="136" spans="1:24" x14ac:dyDescent="0.2">
      <c r="A136" s="8">
        <v>67</v>
      </c>
      <c r="B136" s="8">
        <v>134</v>
      </c>
      <c r="D136">
        <v>980.03007037748</v>
      </c>
      <c r="E136">
        <v>284.27063339731001</v>
      </c>
      <c r="F136">
        <v>128.50129032257999</v>
      </c>
      <c r="G136">
        <v>109.33741935483999</v>
      </c>
      <c r="I136" s="9">
        <f t="shared" si="15"/>
        <v>174.93321404247001</v>
      </c>
      <c r="J136" s="9">
        <f t="shared" si="16"/>
        <v>851.52878005490004</v>
      </c>
      <c r="K136" s="9">
        <f t="shared" si="17"/>
        <v>174.93321404247001</v>
      </c>
      <c r="L136" s="10">
        <f t="shared" si="14"/>
        <v>0.20543429434198532</v>
      </c>
      <c r="M136" s="10">
        <f t="shared" si="18"/>
        <v>0.21200337710364411</v>
      </c>
      <c r="P136" s="8">
        <f t="shared" si="19"/>
        <v>-0.31758335832846574</v>
      </c>
      <c r="X136" s="8">
        <v>-13</v>
      </c>
    </row>
    <row r="137" spans="1:24" x14ac:dyDescent="0.2">
      <c r="A137" s="8">
        <v>67.5</v>
      </c>
      <c r="B137" s="8">
        <v>135</v>
      </c>
      <c r="D137">
        <v>969.57517594369995</v>
      </c>
      <c r="E137">
        <v>282.23416506718002</v>
      </c>
      <c r="F137">
        <v>128.26967741935999</v>
      </c>
      <c r="G137">
        <v>109.27935483871001</v>
      </c>
      <c r="I137" s="9">
        <f t="shared" si="15"/>
        <v>172.95481022847002</v>
      </c>
      <c r="J137" s="9">
        <f t="shared" si="16"/>
        <v>841.30549852434001</v>
      </c>
      <c r="K137" s="9">
        <f t="shared" si="17"/>
        <v>172.95481022847002</v>
      </c>
      <c r="L137" s="10">
        <f t="shared" si="14"/>
        <v>0.20557907981326029</v>
      </c>
      <c r="M137" s="10">
        <f t="shared" si="18"/>
        <v>0.2121971855806031</v>
      </c>
      <c r="P137" s="8">
        <f t="shared" si="19"/>
        <v>-0.22645604888249868</v>
      </c>
      <c r="X137" s="8">
        <v>-13</v>
      </c>
    </row>
    <row r="138" spans="1:24" x14ac:dyDescent="0.2">
      <c r="A138" s="8">
        <v>68</v>
      </c>
      <c r="B138" s="8">
        <v>136</v>
      </c>
      <c r="D138">
        <v>951.65515035189003</v>
      </c>
      <c r="E138">
        <v>282.29430582214002</v>
      </c>
      <c r="F138">
        <v>128.55096774194001</v>
      </c>
      <c r="G138">
        <v>109.33290322581</v>
      </c>
      <c r="I138" s="9">
        <f t="shared" si="15"/>
        <v>172.96140259633</v>
      </c>
      <c r="J138" s="9">
        <f t="shared" si="16"/>
        <v>823.10418260995004</v>
      </c>
      <c r="K138" s="9">
        <f t="shared" si="17"/>
        <v>172.96140259633</v>
      </c>
      <c r="L138" s="10">
        <f t="shared" si="14"/>
        <v>0.210133062436754</v>
      </c>
      <c r="M138" s="10">
        <f t="shared" si="18"/>
        <v>0.21680019120978083</v>
      </c>
      <c r="P138" s="8">
        <f t="shared" si="19"/>
        <v>1.9378430825758513</v>
      </c>
      <c r="X138" s="8">
        <v>-13</v>
      </c>
    </row>
    <row r="139" spans="1:24" x14ac:dyDescent="0.2">
      <c r="A139" s="8">
        <v>68.5</v>
      </c>
      <c r="B139" s="8">
        <v>137</v>
      </c>
      <c r="D139">
        <v>959.49385908209001</v>
      </c>
      <c r="E139">
        <v>282.65223012282001</v>
      </c>
      <c r="F139">
        <v>128.79806451613001</v>
      </c>
      <c r="G139">
        <v>109.58967741936</v>
      </c>
      <c r="I139" s="9">
        <f t="shared" si="15"/>
        <v>173.06255270346003</v>
      </c>
      <c r="J139" s="9">
        <f t="shared" si="16"/>
        <v>830.69579456596</v>
      </c>
      <c r="K139" s="9">
        <f t="shared" si="17"/>
        <v>173.06255270346003</v>
      </c>
      <c r="L139" s="10">
        <f t="shared" si="14"/>
        <v>0.20833445147496565</v>
      </c>
      <c r="M139" s="10">
        <f t="shared" si="18"/>
        <v>0.2150506032536765</v>
      </c>
      <c r="P139" s="8">
        <f t="shared" si="19"/>
        <v>1.1151997927645745</v>
      </c>
      <c r="X139" s="8">
        <v>-13</v>
      </c>
    </row>
    <row r="140" spans="1:24" x14ac:dyDescent="0.2">
      <c r="A140" s="8">
        <v>69</v>
      </c>
      <c r="B140" s="8">
        <v>138</v>
      </c>
      <c r="D140">
        <v>952.22559793148002</v>
      </c>
      <c r="E140">
        <v>280.47446670976001</v>
      </c>
      <c r="F140">
        <v>128.35161290323001</v>
      </c>
      <c r="G140">
        <v>109.20709677419001</v>
      </c>
      <c r="I140" s="9">
        <f t="shared" si="15"/>
        <v>171.26736993557</v>
      </c>
      <c r="J140" s="9">
        <f t="shared" si="16"/>
        <v>823.87398502824999</v>
      </c>
      <c r="K140" s="9">
        <f t="shared" si="17"/>
        <v>171.26736993557</v>
      </c>
      <c r="L140" s="10">
        <f t="shared" si="14"/>
        <v>0.20788054125740768</v>
      </c>
      <c r="M140" s="10">
        <f t="shared" si="18"/>
        <v>0.21464571604180255</v>
      </c>
      <c r="P140" s="8">
        <f t="shared" si="19"/>
        <v>0.92482482658102594</v>
      </c>
      <c r="X140" s="8">
        <v>-13</v>
      </c>
    </row>
    <row r="141" spans="1:24" x14ac:dyDescent="0.2">
      <c r="A141" s="8">
        <v>69.5</v>
      </c>
      <c r="B141" s="8">
        <v>139</v>
      </c>
      <c r="D141">
        <v>947.75113122172002</v>
      </c>
      <c r="E141">
        <v>279.21331609567</v>
      </c>
      <c r="F141">
        <v>128.74967741936001</v>
      </c>
      <c r="G141">
        <v>109.36516129032</v>
      </c>
      <c r="I141" s="9">
        <f t="shared" si="15"/>
        <v>169.84815480534999</v>
      </c>
      <c r="J141" s="9">
        <f t="shared" si="16"/>
        <v>819.00145380235995</v>
      </c>
      <c r="K141" s="9">
        <f t="shared" si="17"/>
        <v>169.84815480534999</v>
      </c>
      <c r="L141" s="10">
        <f t="shared" si="14"/>
        <v>0.20738443627517353</v>
      </c>
      <c r="M141" s="10">
        <f t="shared" si="18"/>
        <v>0.21419863406525241</v>
      </c>
      <c r="P141" s="8">
        <f t="shared" si="19"/>
        <v>0.71461019477511367</v>
      </c>
      <c r="X141" s="8">
        <v>-13</v>
      </c>
    </row>
    <row r="142" spans="1:24" x14ac:dyDescent="0.2">
      <c r="A142" s="8">
        <v>70</v>
      </c>
      <c r="B142" s="8">
        <v>140</v>
      </c>
      <c r="D142">
        <v>967.5054945055</v>
      </c>
      <c r="E142">
        <v>281.85972850679002</v>
      </c>
      <c r="F142">
        <v>128.44129032257999</v>
      </c>
      <c r="G142">
        <v>109.45032258065</v>
      </c>
      <c r="I142" s="9">
        <f t="shared" si="15"/>
        <v>172.40940592614004</v>
      </c>
      <c r="J142" s="9">
        <f t="shared" si="16"/>
        <v>839.06420418291998</v>
      </c>
      <c r="K142" s="9">
        <f t="shared" si="17"/>
        <v>172.40940592614004</v>
      </c>
      <c r="L142" s="10">
        <f t="shared" si="14"/>
        <v>0.20547820425021252</v>
      </c>
      <c r="M142" s="10">
        <f t="shared" si="18"/>
        <v>0.21234142504597542</v>
      </c>
      <c r="P142" s="8">
        <f t="shared" si="19"/>
        <v>-0.15863572130165157</v>
      </c>
      <c r="X142" s="8">
        <v>-13</v>
      </c>
    </row>
    <row r="143" spans="1:24" x14ac:dyDescent="0.2">
      <c r="A143" s="8">
        <v>70.5</v>
      </c>
      <c r="B143" s="8">
        <v>141</v>
      </c>
      <c r="D143">
        <v>975.30316742081004</v>
      </c>
      <c r="E143">
        <v>283.53975436328</v>
      </c>
      <c r="F143">
        <v>128.02000000000001</v>
      </c>
      <c r="G143">
        <v>109.84709677419001</v>
      </c>
      <c r="I143" s="9">
        <f t="shared" si="15"/>
        <v>173.69265758909</v>
      </c>
      <c r="J143" s="9">
        <f t="shared" si="16"/>
        <v>847.28316742081006</v>
      </c>
      <c r="K143" s="9">
        <f t="shared" si="17"/>
        <v>173.69265758909</v>
      </c>
      <c r="L143" s="10">
        <f t="shared" si="14"/>
        <v>0.20499953766085399</v>
      </c>
      <c r="M143" s="10">
        <f t="shared" si="18"/>
        <v>0.21191178146230094</v>
      </c>
      <c r="P143" s="8">
        <f t="shared" si="19"/>
        <v>-0.36065095002285452</v>
      </c>
      <c r="X143" s="8">
        <v>-13</v>
      </c>
    </row>
    <row r="144" spans="1:24" x14ac:dyDescent="0.2">
      <c r="A144" s="8">
        <v>71</v>
      </c>
      <c r="B144" s="8">
        <v>142</v>
      </c>
      <c r="D144">
        <v>953.14608920491003</v>
      </c>
      <c r="E144">
        <v>280.64447317388999</v>
      </c>
      <c r="F144">
        <v>128.99096774194001</v>
      </c>
      <c r="G144">
        <v>109.04516129032</v>
      </c>
      <c r="I144" s="9">
        <f t="shared" si="15"/>
        <v>171.59931188357001</v>
      </c>
      <c r="J144" s="9">
        <f t="shared" si="16"/>
        <v>824.15512146296999</v>
      </c>
      <c r="K144" s="9">
        <f t="shared" si="17"/>
        <v>171.59931188357001</v>
      </c>
      <c r="L144" s="10">
        <f t="shared" si="14"/>
        <v>0.20821239523326812</v>
      </c>
      <c r="M144" s="10">
        <f t="shared" si="18"/>
        <v>0.21517366204039909</v>
      </c>
      <c r="P144" s="8">
        <f t="shared" si="19"/>
        <v>1.1730611222258613</v>
      </c>
    </row>
    <row r="145" spans="1:16" x14ac:dyDescent="0.2">
      <c r="A145" s="8">
        <v>71.5</v>
      </c>
      <c r="B145" s="8">
        <v>143</v>
      </c>
      <c r="D145">
        <v>923.74014221073003</v>
      </c>
      <c r="E145">
        <v>275.60310277957001</v>
      </c>
      <c r="F145">
        <v>128.67677419354999</v>
      </c>
      <c r="G145">
        <v>109.15870967742001</v>
      </c>
      <c r="I145" s="9">
        <f t="shared" si="15"/>
        <v>166.44439310215</v>
      </c>
      <c r="J145" s="9">
        <f t="shared" si="16"/>
        <v>795.06336801717998</v>
      </c>
      <c r="K145" s="9">
        <f t="shared" si="17"/>
        <v>166.44439310215</v>
      </c>
      <c r="L145" s="10">
        <f t="shared" si="14"/>
        <v>0.20934732978233933</v>
      </c>
      <c r="M145" s="10">
        <f t="shared" si="18"/>
        <v>0.21635761959515432</v>
      </c>
      <c r="P145" s="8">
        <f t="shared" si="19"/>
        <v>1.7297491895176751</v>
      </c>
    </row>
    <row r="146" spans="1:16" x14ac:dyDescent="0.2">
      <c r="A146" s="8">
        <v>72</v>
      </c>
      <c r="B146" s="8">
        <v>144</v>
      </c>
      <c r="D146">
        <v>966.53139158576005</v>
      </c>
      <c r="E146">
        <v>281.06343042071001</v>
      </c>
      <c r="F146">
        <v>128.80322580645</v>
      </c>
      <c r="G146">
        <v>109.39935483871</v>
      </c>
      <c r="I146" s="9">
        <f t="shared" si="15"/>
        <v>171.66407558200001</v>
      </c>
      <c r="J146" s="9">
        <f t="shared" si="16"/>
        <v>837.72816577931007</v>
      </c>
      <c r="K146" s="9">
        <f t="shared" si="17"/>
        <v>171.66407558200001</v>
      </c>
      <c r="L146" s="10">
        <f t="shared" si="14"/>
        <v>0.20491620384078496</v>
      </c>
      <c r="M146" s="10">
        <f t="shared" si="18"/>
        <v>0.21197551665928396</v>
      </c>
      <c r="P146" s="8">
        <f t="shared" si="19"/>
        <v>-0.33068313277768552</v>
      </c>
    </row>
    <row r="147" spans="1:16" x14ac:dyDescent="0.2">
      <c r="A147" s="8">
        <v>72.5</v>
      </c>
      <c r="B147" s="8">
        <v>145</v>
      </c>
      <c r="D147">
        <v>972.39795265514999</v>
      </c>
      <c r="E147">
        <v>282.01151631478001</v>
      </c>
      <c r="F147">
        <v>128.53225806451999</v>
      </c>
      <c r="G147">
        <v>109.48580645161</v>
      </c>
      <c r="I147" s="9">
        <f t="shared" si="15"/>
        <v>172.52570986316999</v>
      </c>
      <c r="J147" s="9">
        <f t="shared" si="16"/>
        <v>843.86569459063003</v>
      </c>
      <c r="K147" s="9">
        <f t="shared" si="17"/>
        <v>172.52570986316999</v>
      </c>
      <c r="L147" s="10">
        <f t="shared" si="14"/>
        <v>0.20444688173615638</v>
      </c>
      <c r="M147" s="10">
        <f t="shared" si="18"/>
        <v>0.2115552175603394</v>
      </c>
      <c r="P147" s="8">
        <f t="shared" si="19"/>
        <v>-0.52830465403594562</v>
      </c>
    </row>
    <row r="148" spans="1:16" x14ac:dyDescent="0.2">
      <c r="A148" s="8">
        <v>73</v>
      </c>
      <c r="B148" s="8">
        <v>146</v>
      </c>
      <c r="D148">
        <v>946.97184900831996</v>
      </c>
      <c r="E148">
        <v>279.52271273193003</v>
      </c>
      <c r="F148">
        <v>128.3335483871</v>
      </c>
      <c r="G148">
        <v>109.45290322581</v>
      </c>
      <c r="I148" s="9">
        <f t="shared" si="15"/>
        <v>170.06980950612001</v>
      </c>
      <c r="J148" s="9">
        <f t="shared" si="16"/>
        <v>818.63830062121997</v>
      </c>
      <c r="K148" s="9">
        <f t="shared" si="17"/>
        <v>170.06980950612001</v>
      </c>
      <c r="L148" s="10">
        <f t="shared" si="14"/>
        <v>0.20774719357384488</v>
      </c>
      <c r="M148" s="10">
        <f t="shared" si="18"/>
        <v>0.21490455240371192</v>
      </c>
      <c r="P148" s="8">
        <f t="shared" si="19"/>
        <v>1.0465277655736021</v>
      </c>
    </row>
    <row r="149" spans="1:16" x14ac:dyDescent="0.2">
      <c r="A149" s="8">
        <v>73.5</v>
      </c>
      <c r="B149" s="8">
        <v>147</v>
      </c>
      <c r="D149">
        <v>905.41458733205002</v>
      </c>
      <c r="E149">
        <v>271.19065898911998</v>
      </c>
      <c r="F149">
        <v>128.04967741935999</v>
      </c>
      <c r="G149">
        <v>109.57870967741999</v>
      </c>
      <c r="I149" s="9">
        <f t="shared" si="15"/>
        <v>161.61194931169999</v>
      </c>
      <c r="J149" s="9">
        <f t="shared" si="16"/>
        <v>777.36490991269</v>
      </c>
      <c r="K149" s="9">
        <f t="shared" si="17"/>
        <v>161.61194931169999</v>
      </c>
      <c r="L149" s="10">
        <f t="shared" si="14"/>
        <v>0.2078971500396789</v>
      </c>
      <c r="M149" s="10">
        <f t="shared" si="18"/>
        <v>0.21510353187522996</v>
      </c>
      <c r="P149" s="8">
        <f t="shared" si="19"/>
        <v>1.1400864383361757</v>
      </c>
    </row>
    <row r="150" spans="1:16" x14ac:dyDescent="0.2">
      <c r="A150" s="8">
        <v>74</v>
      </c>
      <c r="B150" s="8">
        <v>148</v>
      </c>
      <c r="D150">
        <v>912.49264235445003</v>
      </c>
      <c r="E150">
        <v>271.70633397312997</v>
      </c>
      <c r="F150">
        <v>128.10129032258001</v>
      </c>
      <c r="G150">
        <v>109.41032258065</v>
      </c>
      <c r="I150" s="9">
        <f t="shared" si="15"/>
        <v>162.29601139247995</v>
      </c>
      <c r="J150" s="9">
        <f t="shared" si="16"/>
        <v>784.39135203187004</v>
      </c>
      <c r="K150" s="9">
        <f t="shared" si="17"/>
        <v>162.29601139247995</v>
      </c>
      <c r="L150" s="10">
        <f t="shared" si="14"/>
        <v>0.20690693615128716</v>
      </c>
      <c r="M150" s="10">
        <f t="shared" si="18"/>
        <v>0.21416234099252224</v>
      </c>
      <c r="P150" s="8">
        <f t="shared" si="19"/>
        <v>0.69754546096510828</v>
      </c>
    </row>
    <row r="151" spans="1:16" x14ac:dyDescent="0.2">
      <c r="A151" s="8">
        <v>74.5</v>
      </c>
      <c r="B151" s="8">
        <v>149</v>
      </c>
      <c r="D151">
        <v>851.71050934880998</v>
      </c>
      <c r="E151">
        <v>261.48936170213</v>
      </c>
      <c r="F151">
        <v>128.46</v>
      </c>
      <c r="G151">
        <v>109.35548387097001</v>
      </c>
      <c r="I151" s="9">
        <f t="shared" si="15"/>
        <v>152.13387783115999</v>
      </c>
      <c r="J151" s="9">
        <f t="shared" si="16"/>
        <v>723.25050934880994</v>
      </c>
      <c r="K151" s="9">
        <f t="shared" si="17"/>
        <v>152.13387783115999</v>
      </c>
      <c r="L151" s="10">
        <f t="shared" si="14"/>
        <v>0.2103474188606326</v>
      </c>
      <c r="M151" s="10">
        <f t="shared" si="18"/>
        <v>0.21765184670755169</v>
      </c>
      <c r="P151" s="8">
        <f t="shared" si="19"/>
        <v>2.3382851855450952</v>
      </c>
    </row>
    <row r="152" spans="1:16" x14ac:dyDescent="0.2">
      <c r="A152" s="8">
        <v>75</v>
      </c>
      <c r="B152" s="8">
        <v>150</v>
      </c>
      <c r="D152">
        <v>879.55869146888995</v>
      </c>
      <c r="E152">
        <v>268.90378447722998</v>
      </c>
      <c r="F152">
        <v>128.49161290322999</v>
      </c>
      <c r="G152">
        <v>109.38903225807</v>
      </c>
      <c r="I152" s="9">
        <f t="shared" si="15"/>
        <v>159.51475221915996</v>
      </c>
      <c r="J152" s="9">
        <f t="shared" si="16"/>
        <v>751.06707856565993</v>
      </c>
      <c r="K152" s="9">
        <f t="shared" si="17"/>
        <v>159.51475221915996</v>
      </c>
      <c r="L152" s="10">
        <f t="shared" si="14"/>
        <v>0.21238416217602171</v>
      </c>
      <c r="M152" s="10">
        <f t="shared" si="18"/>
        <v>0.21973761302862482</v>
      </c>
      <c r="P152" s="8">
        <f t="shared" si="19"/>
        <v>3.3189970509637914</v>
      </c>
    </row>
    <row r="153" spans="1:16" x14ac:dyDescent="0.2">
      <c r="A153" s="8">
        <v>75.5</v>
      </c>
      <c r="B153" s="8">
        <v>151</v>
      </c>
      <c r="D153">
        <v>866.19336311423001</v>
      </c>
      <c r="E153">
        <v>266.13273771538002</v>
      </c>
      <c r="F153">
        <v>128.59935483871001</v>
      </c>
      <c r="G153">
        <v>109.22322580645</v>
      </c>
      <c r="I153" s="9">
        <f t="shared" si="15"/>
        <v>156.90951190893003</v>
      </c>
      <c r="J153" s="9">
        <f t="shared" si="16"/>
        <v>737.59400827551997</v>
      </c>
      <c r="K153" s="9">
        <f t="shared" si="17"/>
        <v>156.90951190893003</v>
      </c>
      <c r="L153" s="10">
        <f t="shared" si="14"/>
        <v>0.21273154357067153</v>
      </c>
      <c r="M153" s="10">
        <f t="shared" si="18"/>
        <v>0.22013401742895869</v>
      </c>
      <c r="P153" s="8">
        <f t="shared" si="19"/>
        <v>3.5053834620319253</v>
      </c>
    </row>
    <row r="154" spans="1:16" x14ac:dyDescent="0.2">
      <c r="A154" s="8">
        <v>76</v>
      </c>
      <c r="B154" s="8">
        <v>152</v>
      </c>
      <c r="D154">
        <v>890.59653624118005</v>
      </c>
      <c r="E154">
        <v>270.82168056446</v>
      </c>
      <c r="F154">
        <v>128.29096774193999</v>
      </c>
      <c r="G154">
        <v>109.46387096773999</v>
      </c>
      <c r="I154" s="9">
        <f t="shared" si="15"/>
        <v>161.35780959672002</v>
      </c>
      <c r="J154" s="9">
        <f t="shared" si="16"/>
        <v>762.30556849924005</v>
      </c>
      <c r="K154" s="9">
        <f t="shared" si="17"/>
        <v>161.35780959672002</v>
      </c>
      <c r="L154" s="10">
        <f t="shared" si="14"/>
        <v>0.21167077385304561</v>
      </c>
      <c r="M154" s="10">
        <f t="shared" si="18"/>
        <v>0.21912227071701679</v>
      </c>
      <c r="P154" s="8">
        <f t="shared" si="19"/>
        <v>3.0296676566826135</v>
      </c>
    </row>
    <row r="155" spans="1:16" x14ac:dyDescent="0.2">
      <c r="A155" s="8">
        <v>76.5</v>
      </c>
      <c r="B155" s="8">
        <v>153</v>
      </c>
      <c r="D155">
        <v>865.52277100705999</v>
      </c>
      <c r="E155">
        <v>264.75497113533999</v>
      </c>
      <c r="F155">
        <v>128.34903225807</v>
      </c>
      <c r="G155">
        <v>109.22709677419</v>
      </c>
      <c r="I155" s="9">
        <f t="shared" si="15"/>
        <v>155.52787436115</v>
      </c>
      <c r="J155" s="9">
        <f t="shared" si="16"/>
        <v>737.17373874898999</v>
      </c>
      <c r="K155" s="9">
        <f t="shared" si="17"/>
        <v>155.52787436115</v>
      </c>
      <c r="L155" s="10">
        <f t="shared" si="14"/>
        <v>0.21097858779544471</v>
      </c>
      <c r="M155" s="10">
        <f t="shared" si="18"/>
        <v>0.2184791076650999</v>
      </c>
      <c r="P155" s="8">
        <f t="shared" si="19"/>
        <v>2.7272571565028674</v>
      </c>
    </row>
    <row r="156" spans="1:16" x14ac:dyDescent="0.2">
      <c r="A156" s="8">
        <v>77</v>
      </c>
      <c r="B156" s="8">
        <v>154</v>
      </c>
      <c r="D156">
        <v>834.61962796665</v>
      </c>
      <c r="E156">
        <v>258.44002565747002</v>
      </c>
      <c r="F156">
        <v>128.45870967741999</v>
      </c>
      <c r="G156">
        <v>109.37225806452</v>
      </c>
      <c r="I156" s="9">
        <f t="shared" si="15"/>
        <v>149.06776759295002</v>
      </c>
      <c r="J156" s="9">
        <f t="shared" si="16"/>
        <v>706.16091828923004</v>
      </c>
      <c r="K156" s="9">
        <f t="shared" si="17"/>
        <v>149.06776759295002</v>
      </c>
      <c r="L156" s="10">
        <f t="shared" si="14"/>
        <v>0.21109603170065935</v>
      </c>
      <c r="M156" s="10">
        <f t="shared" si="18"/>
        <v>0.21864557457599856</v>
      </c>
      <c r="P156" s="8">
        <f t="shared" si="19"/>
        <v>2.8055286642305033</v>
      </c>
    </row>
    <row r="157" spans="1:16" x14ac:dyDescent="0.2">
      <c r="A157" s="8">
        <v>77.5</v>
      </c>
      <c r="B157" s="8">
        <v>155</v>
      </c>
      <c r="D157">
        <v>945.78070739550003</v>
      </c>
      <c r="E157">
        <v>275.65273311896999</v>
      </c>
      <c r="F157">
        <v>128.38903225806999</v>
      </c>
      <c r="G157">
        <v>109.38580645160999</v>
      </c>
      <c r="I157" s="9">
        <f t="shared" si="15"/>
        <v>166.26692666736</v>
      </c>
      <c r="J157" s="9">
        <f t="shared" si="16"/>
        <v>817.39167513743007</v>
      </c>
      <c r="K157" s="9">
        <f t="shared" si="17"/>
        <v>166.26692666736</v>
      </c>
      <c r="L157" s="10">
        <f t="shared" si="14"/>
        <v>0.2034115733309923</v>
      </c>
      <c r="M157" s="10">
        <f t="shared" si="18"/>
        <v>0.21101013921201553</v>
      </c>
      <c r="P157" s="8">
        <f t="shared" si="19"/>
        <v>-0.78459645354540075</v>
      </c>
    </row>
    <row r="158" spans="1:16" x14ac:dyDescent="0.2">
      <c r="A158" s="8">
        <v>78</v>
      </c>
      <c r="B158" s="8">
        <v>156</v>
      </c>
      <c r="D158">
        <v>958.76356589146997</v>
      </c>
      <c r="E158">
        <v>277.87209302325999</v>
      </c>
      <c r="F158">
        <v>128.12193548387</v>
      </c>
      <c r="G158">
        <v>109.47612903226</v>
      </c>
      <c r="I158" s="9">
        <f t="shared" si="15"/>
        <v>168.39596399099997</v>
      </c>
      <c r="J158" s="9">
        <f t="shared" si="16"/>
        <v>830.64163040759991</v>
      </c>
      <c r="K158" s="9">
        <f t="shared" si="17"/>
        <v>168.39596399099997</v>
      </c>
      <c r="L158" s="10">
        <f t="shared" si="14"/>
        <v>0.20272998345672519</v>
      </c>
      <c r="M158" s="10">
        <f t="shared" si="18"/>
        <v>0.21037757234343243</v>
      </c>
      <c r="P158" s="8">
        <f t="shared" si="19"/>
        <v>-1.0820247068556814</v>
      </c>
    </row>
    <row r="159" spans="1:16" x14ac:dyDescent="0.2">
      <c r="A159" s="8">
        <v>78.5</v>
      </c>
      <c r="B159" s="8">
        <v>157</v>
      </c>
      <c r="D159">
        <v>928.76744186046994</v>
      </c>
      <c r="E159">
        <v>275.72674418604998</v>
      </c>
      <c r="F159">
        <v>128.33612903226</v>
      </c>
      <c r="G159">
        <v>109.26193548387</v>
      </c>
      <c r="I159" s="9">
        <f t="shared" si="15"/>
        <v>166.46480870217999</v>
      </c>
      <c r="J159" s="9">
        <f t="shared" si="16"/>
        <v>800.43131282820991</v>
      </c>
      <c r="K159" s="9">
        <f t="shared" si="17"/>
        <v>166.46480870217999</v>
      </c>
      <c r="L159" s="10">
        <f t="shared" si="14"/>
        <v>0.20796888631705365</v>
      </c>
      <c r="M159" s="10">
        <f t="shared" si="18"/>
        <v>0.21566549820944492</v>
      </c>
      <c r="P159" s="8">
        <f t="shared" si="19"/>
        <v>1.4043188436455598</v>
      </c>
    </row>
    <row r="160" spans="1:16" x14ac:dyDescent="0.2">
      <c r="A160" s="8">
        <v>79</v>
      </c>
      <c r="B160" s="8">
        <v>158</v>
      </c>
      <c r="D160">
        <v>942.55874840358001</v>
      </c>
      <c r="E160">
        <v>275.76692209450999</v>
      </c>
      <c r="F160">
        <v>128.11612903226001</v>
      </c>
      <c r="G160">
        <v>109.29290322580999</v>
      </c>
      <c r="I160" s="9">
        <f t="shared" si="15"/>
        <v>166.4740188687</v>
      </c>
      <c r="J160" s="9">
        <f t="shared" si="16"/>
        <v>814.44261937132001</v>
      </c>
      <c r="K160" s="9">
        <f t="shared" si="17"/>
        <v>166.4740188687</v>
      </c>
      <c r="L160" s="10">
        <f t="shared" si="14"/>
        <v>0.20440239116808953</v>
      </c>
      <c r="M160" s="10">
        <f t="shared" si="18"/>
        <v>0.21214802606616481</v>
      </c>
      <c r="P160" s="8">
        <f t="shared" si="19"/>
        <v>-0.24957048822345443</v>
      </c>
    </row>
    <row r="161" spans="1:16" x14ac:dyDescent="0.2">
      <c r="A161" s="8">
        <v>79.5</v>
      </c>
      <c r="B161" s="8">
        <v>159</v>
      </c>
      <c r="D161">
        <v>926.64240102171004</v>
      </c>
      <c r="E161">
        <v>271.24074074074002</v>
      </c>
      <c r="F161">
        <v>128.25483870968</v>
      </c>
      <c r="G161">
        <v>109.26451612903</v>
      </c>
      <c r="I161" s="9">
        <f t="shared" si="15"/>
        <v>161.97622461171002</v>
      </c>
      <c r="J161" s="9">
        <f t="shared" si="16"/>
        <v>798.38756231203001</v>
      </c>
      <c r="K161" s="9">
        <f t="shared" si="17"/>
        <v>161.97622461171002</v>
      </c>
      <c r="L161" s="10">
        <f t="shared" si="14"/>
        <v>0.20287919333643831</v>
      </c>
      <c r="M161" s="10">
        <f t="shared" si="18"/>
        <v>0.21067385124019761</v>
      </c>
      <c r="P161" s="8">
        <f t="shared" si="19"/>
        <v>-0.94271656548092253</v>
      </c>
    </row>
    <row r="162" spans="1:16" x14ac:dyDescent="0.2">
      <c r="A162" s="8">
        <v>80</v>
      </c>
      <c r="B162" s="4">
        <v>160</v>
      </c>
      <c r="C162" s="4" t="s">
        <v>6</v>
      </c>
      <c r="D162">
        <v>928.90555201021004</v>
      </c>
      <c r="E162">
        <v>271.74345883855</v>
      </c>
      <c r="F162">
        <v>128.01870967741999</v>
      </c>
      <c r="G162">
        <v>109.40709677418999</v>
      </c>
      <c r="H162" s="4"/>
      <c r="I162" s="5">
        <f t="shared" si="15"/>
        <v>162.33636206436</v>
      </c>
      <c r="J162" s="5">
        <f t="shared" si="16"/>
        <v>800.88684233279002</v>
      </c>
      <c r="K162" s="9">
        <f t="shared" si="17"/>
        <v>162.33636206436</v>
      </c>
      <c r="L162" s="6">
        <f t="shared" si="14"/>
        <v>0.20269575361172543</v>
      </c>
      <c r="M162" s="6">
        <f t="shared" si="18"/>
        <v>0.21053943452116874</v>
      </c>
      <c r="N162" s="4"/>
      <c r="O162" s="4"/>
      <c r="P162" s="4">
        <f t="shared" si="19"/>
        <v>-1.0059183105328</v>
      </c>
    </row>
    <row r="163" spans="1:16" x14ac:dyDescent="0.2">
      <c r="A163" s="8">
        <v>80.5</v>
      </c>
      <c r="B163" s="8">
        <v>161</v>
      </c>
      <c r="D163">
        <v>926.17038927887995</v>
      </c>
      <c r="E163">
        <v>270.96043395022002</v>
      </c>
      <c r="F163">
        <v>128.39290322580999</v>
      </c>
      <c r="G163">
        <v>109.35096774194</v>
      </c>
      <c r="I163" s="9">
        <f t="shared" si="15"/>
        <v>161.60946620828003</v>
      </c>
      <c r="J163" s="9">
        <f t="shared" si="16"/>
        <v>797.77748605306999</v>
      </c>
      <c r="K163" s="9">
        <f t="shared" si="17"/>
        <v>161.60946620828003</v>
      </c>
      <c r="L163" s="10">
        <f t="shared" si="14"/>
        <v>0.20257461389118392</v>
      </c>
      <c r="M163" s="10">
        <f t="shared" si="18"/>
        <v>0.21046731780631128</v>
      </c>
      <c r="P163" s="8">
        <f t="shared" si="19"/>
        <v>-1.0398270553625379</v>
      </c>
    </row>
    <row r="164" spans="1:16" x14ac:dyDescent="0.2">
      <c r="A164" s="8">
        <v>81</v>
      </c>
      <c r="B164" s="8">
        <v>162</v>
      </c>
      <c r="D164">
        <v>921.24058710913005</v>
      </c>
      <c r="E164">
        <v>270.88576898532</v>
      </c>
      <c r="F164">
        <v>128.2935483871</v>
      </c>
      <c r="G164">
        <v>109.4535483871</v>
      </c>
      <c r="I164" s="9">
        <f t="shared" si="15"/>
        <v>161.43222059822</v>
      </c>
      <c r="J164" s="9">
        <f t="shared" si="16"/>
        <v>792.94703872203002</v>
      </c>
      <c r="K164" s="9">
        <f t="shared" si="17"/>
        <v>161.43222059822</v>
      </c>
      <c r="L164" s="10">
        <f t="shared" si="14"/>
        <v>0.20358512323647199</v>
      </c>
      <c r="M164" s="10">
        <f t="shared" si="18"/>
        <v>0.21152685015728337</v>
      </c>
      <c r="P164" s="8">
        <f t="shared" si="19"/>
        <v>-0.54164279670662319</v>
      </c>
    </row>
    <row r="165" spans="1:16" x14ac:dyDescent="0.2">
      <c r="A165" s="8">
        <v>81.5</v>
      </c>
      <c r="B165" s="8">
        <v>163</v>
      </c>
      <c r="D165">
        <v>890.69240587109005</v>
      </c>
      <c r="E165">
        <v>263.99234205488</v>
      </c>
      <c r="F165">
        <v>128.43096774194001</v>
      </c>
      <c r="G165">
        <v>109.33419354839</v>
      </c>
      <c r="I165" s="9">
        <f t="shared" si="15"/>
        <v>154.65814850648999</v>
      </c>
      <c r="J165" s="9">
        <f t="shared" si="16"/>
        <v>762.26143812915006</v>
      </c>
      <c r="K165" s="9">
        <f t="shared" si="17"/>
        <v>154.65814850648999</v>
      </c>
      <c r="L165" s="10">
        <f t="shared" si="14"/>
        <v>0.20289383769179498</v>
      </c>
      <c r="M165" s="10">
        <f t="shared" si="18"/>
        <v>0.21088458761829038</v>
      </c>
      <c r="P165" s="8">
        <f t="shared" si="19"/>
        <v>-0.84362988238374537</v>
      </c>
    </row>
    <row r="166" spans="1:16" x14ac:dyDescent="0.2">
      <c r="A166" s="8">
        <v>82</v>
      </c>
      <c r="B166" s="8">
        <v>164</v>
      </c>
      <c r="D166">
        <v>925.50478621570005</v>
      </c>
      <c r="E166">
        <v>270.85449904275998</v>
      </c>
      <c r="F166">
        <v>128.68</v>
      </c>
      <c r="G166">
        <v>109.15935483871</v>
      </c>
      <c r="I166" s="9">
        <f t="shared" si="15"/>
        <v>161.69514420405</v>
      </c>
      <c r="J166" s="9">
        <f t="shared" si="16"/>
        <v>796.82478621569999</v>
      </c>
      <c r="K166" s="9">
        <f t="shared" si="17"/>
        <v>161.69514420405</v>
      </c>
      <c r="L166" s="10">
        <f t="shared" si="14"/>
        <v>0.20292434045880597</v>
      </c>
      <c r="M166" s="10">
        <f t="shared" si="18"/>
        <v>0.21096411339098539</v>
      </c>
      <c r="P166" s="8">
        <f t="shared" si="19"/>
        <v>-0.80623745347135134</v>
      </c>
    </row>
    <row r="167" spans="1:16" x14ac:dyDescent="0.2">
      <c r="A167" s="8">
        <v>82.5</v>
      </c>
      <c r="B167" s="8">
        <v>165</v>
      </c>
      <c r="D167">
        <v>936.67708998086005</v>
      </c>
      <c r="E167">
        <v>274.35290363752</v>
      </c>
      <c r="F167">
        <v>128.48258064516</v>
      </c>
      <c r="G167">
        <v>109.24838709677</v>
      </c>
      <c r="I167" s="9">
        <f t="shared" si="15"/>
        <v>165.10451654075001</v>
      </c>
      <c r="J167" s="9">
        <f t="shared" si="16"/>
        <v>808.1945093357001</v>
      </c>
      <c r="K167" s="9">
        <f t="shared" si="17"/>
        <v>165.10451654075001</v>
      </c>
      <c r="L167" s="10">
        <f t="shared" si="14"/>
        <v>0.20428809480091442</v>
      </c>
      <c r="M167" s="10">
        <f t="shared" si="18"/>
        <v>0.21237689073877786</v>
      </c>
      <c r="P167" s="8">
        <f t="shared" si="19"/>
        <v>-0.14196001540150499</v>
      </c>
    </row>
    <row r="168" spans="1:16" x14ac:dyDescent="0.2">
      <c r="A168" s="8">
        <v>83</v>
      </c>
      <c r="B168" s="8">
        <v>166</v>
      </c>
      <c r="D168">
        <v>943.00510529675</v>
      </c>
      <c r="E168">
        <v>277.08423739630001</v>
      </c>
      <c r="F168">
        <v>128.12967741936001</v>
      </c>
      <c r="G168">
        <v>109.63419354839</v>
      </c>
      <c r="I168" s="9">
        <f t="shared" si="15"/>
        <v>167.45004384791002</v>
      </c>
      <c r="J168" s="9">
        <f t="shared" si="16"/>
        <v>814.87542787738994</v>
      </c>
      <c r="K168" s="9">
        <f t="shared" si="17"/>
        <v>167.45004384791002</v>
      </c>
      <c r="L168" s="10">
        <f t="shared" si="14"/>
        <v>0.20549158573119394</v>
      </c>
      <c r="M168" s="10">
        <f t="shared" si="18"/>
        <v>0.2136294046747414</v>
      </c>
      <c r="P168" s="8">
        <f t="shared" si="19"/>
        <v>0.44696275422578763</v>
      </c>
    </row>
    <row r="169" spans="1:16" x14ac:dyDescent="0.2">
      <c r="A169" s="8">
        <v>83.5</v>
      </c>
      <c r="B169" s="8">
        <v>167</v>
      </c>
      <c r="D169">
        <v>965.17635658915003</v>
      </c>
      <c r="E169">
        <v>283.33333333333002</v>
      </c>
      <c r="F169">
        <v>128.43354838709999</v>
      </c>
      <c r="G169">
        <v>109.48774193548</v>
      </c>
      <c r="I169" s="9">
        <f t="shared" si="15"/>
        <v>173.84559139785</v>
      </c>
      <c r="J169" s="9">
        <f t="shared" si="16"/>
        <v>836.74280820205001</v>
      </c>
      <c r="K169" s="9">
        <f t="shared" si="17"/>
        <v>173.84559139785</v>
      </c>
      <c r="L169" s="10">
        <f t="shared" si="14"/>
        <v>0.20776466758214568</v>
      </c>
      <c r="M169" s="10">
        <f t="shared" si="18"/>
        <v>0.21595150953137715</v>
      </c>
      <c r="P169" s="8">
        <f t="shared" si="19"/>
        <v>1.5387992474324583</v>
      </c>
    </row>
    <row r="170" spans="1:16" x14ac:dyDescent="0.2">
      <c r="A170" s="8">
        <v>84</v>
      </c>
      <c r="B170" s="8">
        <v>168</v>
      </c>
      <c r="D170">
        <v>959.49677002583996</v>
      </c>
      <c r="E170">
        <v>286.13501291990002</v>
      </c>
      <c r="F170">
        <v>128.2064516129</v>
      </c>
      <c r="G170">
        <v>109.35483870968</v>
      </c>
      <c r="I170" s="9">
        <f t="shared" si="15"/>
        <v>176.78017421022003</v>
      </c>
      <c r="J170" s="9">
        <f t="shared" si="16"/>
        <v>831.29031841294</v>
      </c>
      <c r="K170" s="9">
        <f t="shared" si="17"/>
        <v>176.78017421022003</v>
      </c>
      <c r="L170" s="10">
        <f t="shared" si="14"/>
        <v>0.21265756414404097</v>
      </c>
      <c r="M170" s="10">
        <f t="shared" si="18"/>
        <v>0.22089342909895646</v>
      </c>
      <c r="P170" s="8">
        <f t="shared" si="19"/>
        <v>3.8624532008514958</v>
      </c>
    </row>
    <row r="171" spans="1:16" x14ac:dyDescent="0.2">
      <c r="A171" s="8">
        <v>84.5</v>
      </c>
      <c r="B171" s="8">
        <v>169</v>
      </c>
      <c r="D171">
        <v>952.05555555555998</v>
      </c>
      <c r="E171">
        <v>284.61369509043999</v>
      </c>
      <c r="F171">
        <v>128.69870967742</v>
      </c>
      <c r="G171">
        <v>109.46580645161001</v>
      </c>
      <c r="I171" s="9">
        <f t="shared" si="15"/>
        <v>175.14788863882998</v>
      </c>
      <c r="J171" s="9">
        <f t="shared" si="16"/>
        <v>823.35684587814001</v>
      </c>
      <c r="K171" s="9">
        <f t="shared" si="17"/>
        <v>175.14788863882998</v>
      </c>
      <c r="L171" s="10">
        <f t="shared" si="14"/>
        <v>0.21272415419346929</v>
      </c>
      <c r="M171" s="10">
        <f t="shared" si="18"/>
        <v>0.2210090421540688</v>
      </c>
      <c r="P171" s="8">
        <f t="shared" si="19"/>
        <v>3.9168136024940181</v>
      </c>
    </row>
    <row r="172" spans="1:16" x14ac:dyDescent="0.2">
      <c r="A172" s="8">
        <v>85</v>
      </c>
      <c r="B172" s="8">
        <v>170</v>
      </c>
      <c r="D172">
        <v>930.13191763192003</v>
      </c>
      <c r="E172">
        <v>277.83268983268999</v>
      </c>
      <c r="F172">
        <v>128.05290322581001</v>
      </c>
      <c r="G172">
        <v>109.38774193547999</v>
      </c>
      <c r="I172" s="9">
        <f t="shared" si="15"/>
        <v>168.44494789721</v>
      </c>
      <c r="J172" s="9">
        <f t="shared" si="16"/>
        <v>802.07901440610999</v>
      </c>
      <c r="K172" s="9">
        <f t="shared" si="17"/>
        <v>168.44494789721</v>
      </c>
      <c r="L172" s="10">
        <f t="shared" si="14"/>
        <v>0.21001041651979024</v>
      </c>
      <c r="M172" s="10">
        <f t="shared" si="18"/>
        <v>0.2183443274860738</v>
      </c>
      <c r="P172" s="8">
        <f t="shared" si="19"/>
        <v>2.6638845152540882</v>
      </c>
    </row>
    <row r="173" spans="1:16" x14ac:dyDescent="0.2">
      <c r="A173" s="8">
        <v>85.5</v>
      </c>
      <c r="B173" s="8">
        <v>171</v>
      </c>
      <c r="D173">
        <v>917.42985842986002</v>
      </c>
      <c r="E173">
        <v>277.01287001287</v>
      </c>
      <c r="F173">
        <v>128.22387096774</v>
      </c>
      <c r="G173">
        <v>109.5464516129</v>
      </c>
      <c r="I173" s="9">
        <f t="shared" si="15"/>
        <v>167.46641839997</v>
      </c>
      <c r="J173" s="9">
        <f t="shared" si="16"/>
        <v>789.20598746211999</v>
      </c>
      <c r="K173" s="9">
        <f t="shared" si="17"/>
        <v>167.46641839997</v>
      </c>
      <c r="L173" s="10">
        <f t="shared" si="14"/>
        <v>0.21219608196143847</v>
      </c>
      <c r="M173" s="10">
        <f t="shared" si="18"/>
        <v>0.22057901593340604</v>
      </c>
      <c r="P173" s="8">
        <f t="shared" si="19"/>
        <v>3.7146184606968529</v>
      </c>
    </row>
    <row r="174" spans="1:16" x14ac:dyDescent="0.2">
      <c r="A174" s="8">
        <v>86</v>
      </c>
      <c r="B174" s="8">
        <v>172</v>
      </c>
      <c r="D174">
        <v>899.08558558559002</v>
      </c>
      <c r="E174">
        <v>275</v>
      </c>
      <c r="F174">
        <v>128.30258064515999</v>
      </c>
      <c r="G174">
        <v>109.40193548387001</v>
      </c>
      <c r="I174" s="9">
        <f t="shared" si="15"/>
        <v>165.59806451612999</v>
      </c>
      <c r="J174" s="9">
        <f t="shared" si="16"/>
        <v>770.78300494043003</v>
      </c>
      <c r="K174" s="9">
        <f t="shared" si="17"/>
        <v>165.59806451612999</v>
      </c>
      <c r="L174" s="10">
        <f t="shared" si="14"/>
        <v>0.21484394888666264</v>
      </c>
      <c r="M174" s="10">
        <f t="shared" si="18"/>
        <v>0.22327590586431423</v>
      </c>
      <c r="P174" s="8">
        <f t="shared" si="19"/>
        <v>4.9826761180901711</v>
      </c>
    </row>
    <row r="175" spans="1:16" x14ac:dyDescent="0.2">
      <c r="A175" s="8">
        <v>86.5</v>
      </c>
      <c r="B175" s="8">
        <v>173</v>
      </c>
      <c r="D175">
        <v>905.33719433719</v>
      </c>
      <c r="E175">
        <v>274.03861003860999</v>
      </c>
      <c r="F175">
        <v>128.05677419355001</v>
      </c>
      <c r="G175">
        <v>109.48258064516</v>
      </c>
      <c r="I175" s="9">
        <f t="shared" si="15"/>
        <v>164.55602939344999</v>
      </c>
      <c r="J175" s="9">
        <f t="shared" si="16"/>
        <v>777.28042014363996</v>
      </c>
      <c r="K175" s="9">
        <f t="shared" si="17"/>
        <v>164.55602939344999</v>
      </c>
      <c r="L175" s="10">
        <f t="shared" si="14"/>
        <v>0.21170741617682887</v>
      </c>
      <c r="M175" s="10">
        <f t="shared" si="18"/>
        <v>0.22018839616016447</v>
      </c>
      <c r="P175" s="8">
        <f t="shared" si="19"/>
        <v>3.5309519384144989</v>
      </c>
    </row>
    <row r="176" spans="1:16" x14ac:dyDescent="0.2">
      <c r="A176" s="8">
        <v>87</v>
      </c>
      <c r="B176" s="8">
        <v>174</v>
      </c>
      <c r="D176">
        <v>889.70077220076996</v>
      </c>
      <c r="E176">
        <v>271.25225225225</v>
      </c>
      <c r="F176">
        <v>128.43548387096999</v>
      </c>
      <c r="G176">
        <v>109.2335483871</v>
      </c>
      <c r="I176" s="9">
        <f t="shared" si="15"/>
        <v>162.01870386515</v>
      </c>
      <c r="J176" s="9">
        <f t="shared" si="16"/>
        <v>761.2652883298</v>
      </c>
      <c r="K176" s="9">
        <f t="shared" si="17"/>
        <v>162.01870386515</v>
      </c>
      <c r="L176" s="10">
        <f t="shared" si="14"/>
        <v>0.21282817744207885</v>
      </c>
      <c r="M176" s="10">
        <f t="shared" si="18"/>
        <v>0.22135818043109848</v>
      </c>
      <c r="P176" s="8">
        <f t="shared" si="19"/>
        <v>4.0809758326994983</v>
      </c>
    </row>
    <row r="177" spans="1:16" x14ac:dyDescent="0.2">
      <c r="A177" s="8">
        <v>87.5</v>
      </c>
      <c r="B177" s="8">
        <v>175</v>
      </c>
      <c r="D177">
        <v>902.37323037322994</v>
      </c>
      <c r="E177">
        <v>273.63577863578001</v>
      </c>
      <c r="F177">
        <v>129.03612903225999</v>
      </c>
      <c r="G177">
        <v>109.35096774194</v>
      </c>
      <c r="I177" s="9">
        <f t="shared" si="15"/>
        <v>164.28481089384002</v>
      </c>
      <c r="J177" s="9">
        <f t="shared" si="16"/>
        <v>773.33710134096998</v>
      </c>
      <c r="K177" s="9">
        <f t="shared" si="17"/>
        <v>164.28481089384002</v>
      </c>
      <c r="L177" s="10">
        <f t="shared" si="14"/>
        <v>0.21243622038690427</v>
      </c>
      <c r="M177" s="10">
        <f t="shared" si="18"/>
        <v>0.22101524638160791</v>
      </c>
      <c r="P177" s="8">
        <f t="shared" si="19"/>
        <v>3.9197307842999991</v>
      </c>
    </row>
    <row r="178" spans="1:16" x14ac:dyDescent="0.2">
      <c r="A178" s="8">
        <v>88</v>
      </c>
      <c r="B178" s="8">
        <v>176</v>
      </c>
      <c r="D178">
        <v>898.52574002573999</v>
      </c>
      <c r="E178">
        <v>272.30888030888002</v>
      </c>
      <c r="F178">
        <v>128.73741935484</v>
      </c>
      <c r="G178">
        <v>109.41548387096999</v>
      </c>
      <c r="I178" s="9">
        <f t="shared" si="15"/>
        <v>162.89339643791004</v>
      </c>
      <c r="J178" s="9">
        <f t="shared" si="16"/>
        <v>769.78832067090002</v>
      </c>
      <c r="K178" s="9">
        <f t="shared" si="17"/>
        <v>162.89339643791004</v>
      </c>
      <c r="L178" s="10">
        <f t="shared" si="14"/>
        <v>0.21160803829284161</v>
      </c>
      <c r="M178" s="10">
        <f t="shared" si="18"/>
        <v>0.22023608729322927</v>
      </c>
      <c r="P178" s="8">
        <f t="shared" si="19"/>
        <v>3.5533759557166125</v>
      </c>
    </row>
    <row r="179" spans="1:16" x14ac:dyDescent="0.2">
      <c r="A179" s="8">
        <v>88.5</v>
      </c>
      <c r="B179" s="8">
        <v>177</v>
      </c>
      <c r="D179">
        <v>906.55920205919995</v>
      </c>
      <c r="E179">
        <v>275.39897039896999</v>
      </c>
      <c r="F179">
        <v>128.31483870968</v>
      </c>
      <c r="G179">
        <v>109.59032258065</v>
      </c>
      <c r="I179" s="9">
        <f t="shared" si="15"/>
        <v>165.80864781832</v>
      </c>
      <c r="J179" s="9">
        <f t="shared" si="16"/>
        <v>778.24436334951997</v>
      </c>
      <c r="K179" s="9">
        <f t="shared" si="17"/>
        <v>165.80864781832</v>
      </c>
      <c r="L179" s="10">
        <f t="shared" si="14"/>
        <v>0.21305473656717397</v>
      </c>
      <c r="M179" s="10">
        <f t="shared" si="18"/>
        <v>0.22173180857324565</v>
      </c>
      <c r="P179" s="8">
        <f t="shared" si="19"/>
        <v>4.2566530159754983</v>
      </c>
    </row>
    <row r="180" spans="1:16" x14ac:dyDescent="0.2">
      <c r="A180" s="8">
        <v>89</v>
      </c>
      <c r="B180" s="8">
        <v>178</v>
      </c>
      <c r="D180">
        <v>918.24259974259996</v>
      </c>
      <c r="E180">
        <v>277.16344916345003</v>
      </c>
      <c r="F180">
        <v>128.6135483871</v>
      </c>
      <c r="G180">
        <v>109.6735483871</v>
      </c>
      <c r="I180" s="9">
        <f t="shared" si="15"/>
        <v>167.48990077635003</v>
      </c>
      <c r="J180" s="9">
        <f t="shared" si="16"/>
        <v>789.6290513555</v>
      </c>
      <c r="K180" s="9">
        <f t="shared" si="17"/>
        <v>167.48990077635003</v>
      </c>
      <c r="L180" s="10">
        <f t="shared" si="14"/>
        <v>0.21211213099218176</v>
      </c>
      <c r="M180" s="10">
        <f t="shared" si="18"/>
        <v>0.22083822600393746</v>
      </c>
      <c r="P180" s="8">
        <f t="shared" si="19"/>
        <v>3.8364971147137577</v>
      </c>
    </row>
    <row r="181" spans="1:16" x14ac:dyDescent="0.2">
      <c r="A181" s="8">
        <v>89.5</v>
      </c>
      <c r="B181" s="8">
        <v>179</v>
      </c>
      <c r="D181">
        <v>900.90733590733998</v>
      </c>
      <c r="E181">
        <v>273.16409266408999</v>
      </c>
      <c r="F181">
        <v>128.17161290323</v>
      </c>
      <c r="G181">
        <v>109.30387096774</v>
      </c>
      <c r="I181" s="9">
        <f t="shared" si="15"/>
        <v>163.86022169634998</v>
      </c>
      <c r="J181" s="9">
        <f t="shared" si="16"/>
        <v>772.73572300411001</v>
      </c>
      <c r="K181" s="9">
        <f t="shared" si="17"/>
        <v>163.86022169634998</v>
      </c>
      <c r="L181" s="10">
        <f t="shared" si="14"/>
        <v>0.21205208562032332</v>
      </c>
      <c r="M181" s="10">
        <f t="shared" si="18"/>
        <v>0.22082720363776304</v>
      </c>
      <c r="P181" s="8">
        <f t="shared" si="19"/>
        <v>3.8313144798313012</v>
      </c>
    </row>
    <row r="182" spans="1:16" x14ac:dyDescent="0.2">
      <c r="A182" s="8">
        <v>90</v>
      </c>
      <c r="B182" s="8">
        <v>180</v>
      </c>
      <c r="D182">
        <v>933.95945945946005</v>
      </c>
      <c r="E182">
        <v>279.22844272843997</v>
      </c>
      <c r="F182">
        <v>128.18516129032</v>
      </c>
      <c r="G182">
        <v>109.44258064516001</v>
      </c>
      <c r="I182" s="9">
        <f t="shared" si="15"/>
        <v>169.78586208327997</v>
      </c>
      <c r="J182" s="9">
        <f t="shared" si="16"/>
        <v>805.77429816914002</v>
      </c>
      <c r="K182" s="9">
        <f t="shared" si="17"/>
        <v>169.78586208327997</v>
      </c>
      <c r="L182" s="10">
        <f t="shared" si="14"/>
        <v>0.21071143925670391</v>
      </c>
      <c r="M182" s="10">
        <f>L182+ABS($N$2)*A182</f>
        <v>0.21953558027982767</v>
      </c>
      <c r="P182" s="8">
        <f t="shared" si="19"/>
        <v>3.2240027498540762</v>
      </c>
    </row>
    <row r="183" spans="1:16" x14ac:dyDescent="0.2">
      <c r="A183" s="8">
        <v>90.5</v>
      </c>
      <c r="B183" s="8">
        <v>181</v>
      </c>
      <c r="D183">
        <v>949.07850707851003</v>
      </c>
      <c r="E183">
        <v>282.10231660232</v>
      </c>
      <c r="F183">
        <v>128.45741935484</v>
      </c>
      <c r="G183">
        <v>109.28580645161</v>
      </c>
      <c r="I183" s="9">
        <f t="shared" si="15"/>
        <v>172.81651015071</v>
      </c>
      <c r="J183" s="9">
        <f t="shared" si="16"/>
        <v>820.62108772367003</v>
      </c>
      <c r="K183" s="9">
        <f t="shared" si="17"/>
        <v>172.81651015071</v>
      </c>
      <c r="L183" s="10">
        <f t="shared" si="14"/>
        <v>0.21059233394804372</v>
      </c>
      <c r="M183" s="10">
        <f t="shared" ref="M183:M241" si="20">L183+ABS($N$2)*A183</f>
        <v>0.2194654979768515</v>
      </c>
      <c r="P183" s="8">
        <f t="shared" si="19"/>
        <v>3.1910505704127874</v>
      </c>
    </row>
    <row r="184" spans="1:16" x14ac:dyDescent="0.2">
      <c r="A184" s="8">
        <v>91</v>
      </c>
      <c r="B184" s="8">
        <v>182</v>
      </c>
      <c r="D184">
        <v>909.82689832690005</v>
      </c>
      <c r="E184">
        <v>277.20012870012999</v>
      </c>
      <c r="F184">
        <v>128.5135483871</v>
      </c>
      <c r="G184">
        <v>109.49419354839</v>
      </c>
      <c r="I184" s="9">
        <f t="shared" si="15"/>
        <v>167.70593515173999</v>
      </c>
      <c r="J184" s="9">
        <f t="shared" si="16"/>
        <v>781.31334993979999</v>
      </c>
      <c r="K184" s="9">
        <f t="shared" si="17"/>
        <v>167.70593515173999</v>
      </c>
      <c r="L184" s="10">
        <f t="shared" si="14"/>
        <v>0.2146461917803679</v>
      </c>
      <c r="M184" s="10">
        <f t="shared" si="20"/>
        <v>0.22356837881485969</v>
      </c>
      <c r="P184" s="8">
        <f t="shared" si="19"/>
        <v>5.1201947317603622</v>
      </c>
    </row>
    <row r="185" spans="1:16" x14ac:dyDescent="0.2">
      <c r="A185" s="8">
        <v>91.5</v>
      </c>
      <c r="B185" s="8">
        <v>183</v>
      </c>
      <c r="D185">
        <v>912.41505791505995</v>
      </c>
      <c r="E185">
        <v>276.48455598456002</v>
      </c>
      <c r="F185">
        <v>128.36129032258</v>
      </c>
      <c r="G185">
        <v>109.66580645161</v>
      </c>
      <c r="I185" s="9">
        <f t="shared" si="15"/>
        <v>166.81874953295002</v>
      </c>
      <c r="J185" s="9">
        <f t="shared" si="16"/>
        <v>784.05376759247997</v>
      </c>
      <c r="K185" s="9">
        <f t="shared" si="17"/>
        <v>166.81874953295002</v>
      </c>
      <c r="L185" s="10">
        <f t="shared" si="14"/>
        <v>0.21276442564032902</v>
      </c>
      <c r="M185" s="10">
        <f t="shared" si="20"/>
        <v>0.22173563568050483</v>
      </c>
      <c r="P185" s="8">
        <f t="shared" si="19"/>
        <v>4.2584524934439916</v>
      </c>
    </row>
    <row r="186" spans="1:16" x14ac:dyDescent="0.2">
      <c r="A186" s="8">
        <v>92</v>
      </c>
      <c r="B186" s="8">
        <v>184</v>
      </c>
      <c r="D186">
        <v>896.67245817245998</v>
      </c>
      <c r="E186">
        <v>272.38481338481</v>
      </c>
      <c r="F186">
        <v>128.35096774194</v>
      </c>
      <c r="G186">
        <v>108.91741935484001</v>
      </c>
      <c r="I186" s="9">
        <f t="shared" si="15"/>
        <v>163.46739402997</v>
      </c>
      <c r="J186" s="9">
        <f t="shared" si="16"/>
        <v>768.32149043052004</v>
      </c>
      <c r="K186" s="9">
        <f t="shared" si="17"/>
        <v>163.46739402997</v>
      </c>
      <c r="L186" s="10">
        <f t="shared" si="14"/>
        <v>0.21275910678793189</v>
      </c>
      <c r="M186" s="10">
        <f t="shared" si="20"/>
        <v>0.22177933983379172</v>
      </c>
      <c r="P186" s="8">
        <f t="shared" si="19"/>
        <v>4.2790018624042094</v>
      </c>
    </row>
    <row r="187" spans="1:16" x14ac:dyDescent="0.2">
      <c r="A187" s="8">
        <v>92.5</v>
      </c>
      <c r="B187" s="8">
        <v>185</v>
      </c>
      <c r="D187">
        <v>882.78893178892997</v>
      </c>
      <c r="E187">
        <v>273.19047619048001</v>
      </c>
      <c r="F187">
        <v>128.32774193547999</v>
      </c>
      <c r="G187">
        <v>109.14064516129</v>
      </c>
      <c r="I187" s="9">
        <f t="shared" si="15"/>
        <v>164.04983102919002</v>
      </c>
      <c r="J187" s="9">
        <f t="shared" si="16"/>
        <v>754.46118985344992</v>
      </c>
      <c r="K187" s="9">
        <f t="shared" si="17"/>
        <v>164.04983102919002</v>
      </c>
      <c r="L187" s="10">
        <f t="shared" si="14"/>
        <v>0.21743972153300004</v>
      </c>
      <c r="M187" s="10">
        <f t="shared" si="20"/>
        <v>0.22650897758454389</v>
      </c>
      <c r="P187" s="8">
        <f t="shared" si="19"/>
        <v>6.5028424788872554</v>
      </c>
    </row>
    <row r="188" spans="1:16" x14ac:dyDescent="0.2">
      <c r="A188" s="8">
        <v>93</v>
      </c>
      <c r="B188" s="8">
        <v>186</v>
      </c>
      <c r="D188">
        <v>894.43617703656003</v>
      </c>
      <c r="E188">
        <v>271.78383579217001</v>
      </c>
      <c r="F188">
        <v>128.08193548387001</v>
      </c>
      <c r="G188">
        <v>109.22322580645</v>
      </c>
      <c r="I188" s="9">
        <f t="shared" si="15"/>
        <v>162.56060998572002</v>
      </c>
      <c r="J188" s="9">
        <f t="shared" si="16"/>
        <v>766.35424155269004</v>
      </c>
      <c r="K188" s="9">
        <f t="shared" si="17"/>
        <v>162.56060998572002</v>
      </c>
      <c r="L188" s="10">
        <f t="shared" si="14"/>
        <v>0.21212202030272614</v>
      </c>
      <c r="M188" s="10">
        <f t="shared" si="20"/>
        <v>0.22124029935995401</v>
      </c>
      <c r="P188" s="8">
        <f t="shared" si="19"/>
        <v>4.0255490267281733</v>
      </c>
    </row>
    <row r="189" spans="1:16" x14ac:dyDescent="0.2">
      <c r="A189" s="8">
        <v>93.5</v>
      </c>
      <c r="B189" s="8">
        <v>187</v>
      </c>
      <c r="D189">
        <v>852.62219371391996</v>
      </c>
      <c r="E189">
        <v>264.20205259782</v>
      </c>
      <c r="F189">
        <v>128.24709677419</v>
      </c>
      <c r="G189">
        <v>109.22903225807001</v>
      </c>
      <c r="I189" s="9">
        <f t="shared" si="15"/>
        <v>154.97302033975001</v>
      </c>
      <c r="J189" s="9">
        <f t="shared" si="16"/>
        <v>724.37509693972993</v>
      </c>
      <c r="K189" s="9">
        <f t="shared" si="17"/>
        <v>154.97302033975001</v>
      </c>
      <c r="L189" s="10">
        <f t="shared" si="14"/>
        <v>0.21394029280474314</v>
      </c>
      <c r="M189" s="10">
        <f t="shared" si="20"/>
        <v>0.22310759486765502</v>
      </c>
      <c r="P189" s="8">
        <f t="shared" si="19"/>
        <v>4.9035375349054533</v>
      </c>
    </row>
    <row r="190" spans="1:16" x14ac:dyDescent="0.2">
      <c r="A190" s="8">
        <v>94</v>
      </c>
      <c r="B190" s="8">
        <v>188</v>
      </c>
      <c r="D190">
        <v>916.47631241996999</v>
      </c>
      <c r="E190">
        <v>275.61907810499002</v>
      </c>
      <c r="F190">
        <v>127.67806451612999</v>
      </c>
      <c r="G190">
        <v>109.39483870968</v>
      </c>
      <c r="I190" s="9">
        <f t="shared" si="15"/>
        <v>166.22423939531001</v>
      </c>
      <c r="J190" s="9">
        <f t="shared" si="16"/>
        <v>788.79824790383998</v>
      </c>
      <c r="K190" s="9">
        <f t="shared" si="17"/>
        <v>166.22423939531001</v>
      </c>
      <c r="L190" s="10">
        <f t="shared" si="14"/>
        <v>0.21073099469609105</v>
      </c>
      <c r="M190" s="10">
        <f t="shared" si="20"/>
        <v>0.21994731976468695</v>
      </c>
      <c r="P190" s="8">
        <f t="shared" si="19"/>
        <v>3.4175996040094012</v>
      </c>
    </row>
    <row r="191" spans="1:16" x14ac:dyDescent="0.2">
      <c r="A191" s="8">
        <v>94.5</v>
      </c>
      <c r="B191" s="8">
        <v>189</v>
      </c>
      <c r="D191">
        <v>889.08834827144995</v>
      </c>
      <c r="E191">
        <v>271.26120358514999</v>
      </c>
      <c r="F191">
        <v>128.41677419355</v>
      </c>
      <c r="G191">
        <v>109.2664516129</v>
      </c>
      <c r="I191" s="9">
        <f t="shared" si="15"/>
        <v>161.99475197224999</v>
      </c>
      <c r="J191" s="9">
        <f t="shared" si="16"/>
        <v>760.6715740779</v>
      </c>
      <c r="K191" s="9">
        <f t="shared" si="17"/>
        <v>161.99475197224999</v>
      </c>
      <c r="L191" s="10">
        <f t="shared" si="14"/>
        <v>0.21296280483285179</v>
      </c>
      <c r="M191" s="10">
        <f t="shared" si="20"/>
        <v>0.22222815290713172</v>
      </c>
      <c r="P191" s="8">
        <f t="shared" si="19"/>
        <v>4.4900304430906122</v>
      </c>
    </row>
    <row r="192" spans="1:16" x14ac:dyDescent="0.2">
      <c r="A192" s="8">
        <v>95</v>
      </c>
      <c r="B192" s="8">
        <v>190</v>
      </c>
      <c r="D192">
        <v>906.96094750320003</v>
      </c>
      <c r="E192">
        <v>273.25288092189999</v>
      </c>
      <c r="F192">
        <v>127.83806451613</v>
      </c>
      <c r="G192">
        <v>109.49935483871</v>
      </c>
      <c r="I192" s="9">
        <f t="shared" si="15"/>
        <v>163.75352608318997</v>
      </c>
      <c r="J192" s="9">
        <f t="shared" si="16"/>
        <v>779.12288298707006</v>
      </c>
      <c r="K192" s="9">
        <f t="shared" si="17"/>
        <v>163.75352608318997</v>
      </c>
      <c r="L192" s="10">
        <f t="shared" si="14"/>
        <v>0.21017676371585603</v>
      </c>
      <c r="M192" s="10">
        <f t="shared" si="20"/>
        <v>0.21949113479582</v>
      </c>
      <c r="P192" s="8">
        <f t="shared" si="19"/>
        <v>3.2031048126833515</v>
      </c>
    </row>
    <row r="193" spans="1:16" x14ac:dyDescent="0.2">
      <c r="A193" s="8">
        <v>95.5</v>
      </c>
      <c r="B193" s="8">
        <v>191</v>
      </c>
      <c r="D193">
        <v>836.93405889885003</v>
      </c>
      <c r="E193">
        <v>261.81754161331997</v>
      </c>
      <c r="F193">
        <v>127.80774193548</v>
      </c>
      <c r="G193">
        <v>109.20258064516</v>
      </c>
      <c r="I193" s="9">
        <f t="shared" si="15"/>
        <v>152.61496096815998</v>
      </c>
      <c r="J193" s="9">
        <f t="shared" si="16"/>
        <v>709.12631696337007</v>
      </c>
      <c r="K193" s="9">
        <f t="shared" si="17"/>
        <v>152.61496096815998</v>
      </c>
      <c r="L193" s="10">
        <f t="shared" si="14"/>
        <v>0.21521548039803365</v>
      </c>
      <c r="M193" s="10">
        <f t="shared" si="20"/>
        <v>0.22457887448368163</v>
      </c>
      <c r="P193" s="8">
        <f t="shared" si="19"/>
        <v>5.5953223059068309</v>
      </c>
    </row>
    <row r="194" spans="1:16" x14ac:dyDescent="0.2">
      <c r="A194" s="8">
        <v>96</v>
      </c>
      <c r="B194" s="8">
        <v>192</v>
      </c>
      <c r="D194">
        <v>813.71382842510002</v>
      </c>
      <c r="E194">
        <v>257.17029449424001</v>
      </c>
      <c r="F194">
        <v>127.88967741936</v>
      </c>
      <c r="G194">
        <v>109.41870967742</v>
      </c>
      <c r="I194" s="9">
        <f t="shared" si="15"/>
        <v>147.75158481682001</v>
      </c>
      <c r="J194" s="9">
        <f t="shared" si="16"/>
        <v>685.82415100574008</v>
      </c>
      <c r="K194" s="9">
        <f t="shared" si="17"/>
        <v>147.75158481682001</v>
      </c>
      <c r="L194" s="10">
        <f t="shared" ref="L194:L257" si="21">K194/J194</f>
        <v>0.21543654390144595</v>
      </c>
      <c r="M194" s="10">
        <f t="shared" si="20"/>
        <v>0.22484896099277796</v>
      </c>
      <c r="P194" s="8">
        <f t="shared" si="19"/>
        <v>5.7223149807257432</v>
      </c>
    </row>
    <row r="195" spans="1:16" x14ac:dyDescent="0.2">
      <c r="A195" s="8">
        <v>96.5</v>
      </c>
      <c r="B195" s="8">
        <v>193</v>
      </c>
      <c r="D195">
        <v>914.74791533033999</v>
      </c>
      <c r="E195">
        <v>273.44900577292998</v>
      </c>
      <c r="F195">
        <v>128.17225806452001</v>
      </c>
      <c r="G195">
        <v>109.42</v>
      </c>
      <c r="I195" s="9">
        <f t="shared" ref="I195:I241" si="22">E195-G195</f>
        <v>164.02900577292996</v>
      </c>
      <c r="J195" s="9">
        <f t="shared" ref="J195:J241" si="23">D195-F195</f>
        <v>786.57565726581993</v>
      </c>
      <c r="K195" s="9">
        <f t="shared" ref="K195:K258" si="24">I195*1</f>
        <v>164.02900577292996</v>
      </c>
      <c r="L195" s="10">
        <f t="shared" si="21"/>
        <v>0.20853557347948418</v>
      </c>
      <c r="M195" s="10">
        <f t="shared" si="20"/>
        <v>0.2179970135765002</v>
      </c>
      <c r="P195" s="8">
        <f t="shared" ref="P195:P241" si="25">(M195-$O$2)/$O$2*100</f>
        <v>2.5005800891050756</v>
      </c>
    </row>
    <row r="196" spans="1:16" x14ac:dyDescent="0.2">
      <c r="A196" s="8">
        <v>97</v>
      </c>
      <c r="B196" s="8">
        <v>194</v>
      </c>
      <c r="D196">
        <v>954.03143040410998</v>
      </c>
      <c r="E196">
        <v>282.55997434252998</v>
      </c>
      <c r="F196">
        <v>127.54</v>
      </c>
      <c r="G196">
        <v>109.16967741936</v>
      </c>
      <c r="I196" s="9">
        <f t="shared" si="22"/>
        <v>173.39029692316998</v>
      </c>
      <c r="J196" s="9">
        <f t="shared" si="23"/>
        <v>826.49143040411002</v>
      </c>
      <c r="K196" s="9">
        <f t="shared" si="24"/>
        <v>173.39029692316998</v>
      </c>
      <c r="L196" s="10">
        <f t="shared" si="21"/>
        <v>0.20979079824020852</v>
      </c>
      <c r="M196" s="10">
        <f t="shared" si="20"/>
        <v>0.21930126134290856</v>
      </c>
      <c r="P196" s="8">
        <f t="shared" si="25"/>
        <v>3.1138277223799378</v>
      </c>
    </row>
    <row r="197" spans="1:16" x14ac:dyDescent="0.2">
      <c r="A197" s="8">
        <v>97.5</v>
      </c>
      <c r="B197" s="8">
        <v>195</v>
      </c>
      <c r="D197">
        <v>937.56454720617</v>
      </c>
      <c r="E197">
        <v>280.03789338471</v>
      </c>
      <c r="F197">
        <v>127.95225806452</v>
      </c>
      <c r="G197">
        <v>109.10064516129</v>
      </c>
      <c r="I197" s="9">
        <f t="shared" si="22"/>
        <v>170.93724822342</v>
      </c>
      <c r="J197" s="9">
        <f t="shared" si="23"/>
        <v>809.61228914164997</v>
      </c>
      <c r="K197" s="9">
        <f t="shared" si="24"/>
        <v>170.93724822342</v>
      </c>
      <c r="L197" s="10">
        <f t="shared" si="21"/>
        <v>0.21113470054246272</v>
      </c>
      <c r="M197" s="10">
        <f t="shared" si="20"/>
        <v>0.22069418665084678</v>
      </c>
      <c r="P197" s="8">
        <f t="shared" si="25"/>
        <v>3.7687708784445948</v>
      </c>
    </row>
    <row r="198" spans="1:16" x14ac:dyDescent="0.2">
      <c r="A198" s="8">
        <v>98</v>
      </c>
      <c r="B198" s="8">
        <v>196</v>
      </c>
      <c r="D198">
        <v>958.96146435452999</v>
      </c>
      <c r="E198">
        <v>283.41746949261</v>
      </c>
      <c r="F198">
        <v>127.90129032258</v>
      </c>
      <c r="G198">
        <v>109.38709677419</v>
      </c>
      <c r="I198" s="9">
        <f t="shared" si="22"/>
        <v>174.03037271841998</v>
      </c>
      <c r="J198" s="9">
        <f t="shared" si="23"/>
        <v>831.06017403195005</v>
      </c>
      <c r="K198" s="9">
        <f t="shared" si="24"/>
        <v>174.03037271841998</v>
      </c>
      <c r="L198" s="10">
        <f t="shared" si="21"/>
        <v>0.20940766764709554</v>
      </c>
      <c r="M198" s="10">
        <f t="shared" si="20"/>
        <v>0.21901617676116361</v>
      </c>
      <c r="P198" s="8">
        <f t="shared" si="25"/>
        <v>2.9797830649605244</v>
      </c>
    </row>
    <row r="199" spans="1:16" x14ac:dyDescent="0.2">
      <c r="A199" s="8">
        <v>98.5</v>
      </c>
      <c r="B199" s="8">
        <v>197</v>
      </c>
      <c r="D199">
        <v>936.90751445087005</v>
      </c>
      <c r="E199">
        <v>278.39177906229997</v>
      </c>
      <c r="F199">
        <v>128.26838709677</v>
      </c>
      <c r="G199">
        <v>109.24</v>
      </c>
      <c r="I199" s="9">
        <f t="shared" si="22"/>
        <v>169.15177906229997</v>
      </c>
      <c r="J199" s="9">
        <f t="shared" si="23"/>
        <v>808.63912735410008</v>
      </c>
      <c r="K199" s="9">
        <f t="shared" si="24"/>
        <v>169.15177906229997</v>
      </c>
      <c r="L199" s="10">
        <f t="shared" si="21"/>
        <v>0.20918079937063078</v>
      </c>
      <c r="M199" s="10">
        <f t="shared" si="20"/>
        <v>0.21883833149038287</v>
      </c>
      <c r="P199" s="8">
        <f t="shared" si="25"/>
        <v>2.8961615367475568</v>
      </c>
    </row>
    <row r="200" spans="1:16" x14ac:dyDescent="0.2">
      <c r="A200" s="8">
        <v>99</v>
      </c>
      <c r="B200" s="8">
        <v>198</v>
      </c>
      <c r="D200">
        <v>975.73859987155004</v>
      </c>
      <c r="E200">
        <v>285.15221579962002</v>
      </c>
      <c r="F200">
        <v>127.84709677419001</v>
      </c>
      <c r="G200">
        <v>109.19419354839</v>
      </c>
      <c r="I200" s="9">
        <f t="shared" si="22"/>
        <v>175.95802225123003</v>
      </c>
      <c r="J200" s="9">
        <f t="shared" si="23"/>
        <v>847.89150309735999</v>
      </c>
      <c r="K200" s="9">
        <f t="shared" si="24"/>
        <v>175.95802225123003</v>
      </c>
      <c r="L200" s="10">
        <f t="shared" si="21"/>
        <v>0.20752421932340731</v>
      </c>
      <c r="M200" s="10">
        <f t="shared" si="20"/>
        <v>0.21723077444884342</v>
      </c>
      <c r="P200" s="8">
        <f t="shared" si="25"/>
        <v>2.1403001302962457</v>
      </c>
    </row>
    <row r="201" spans="1:16" x14ac:dyDescent="0.2">
      <c r="A201" s="8">
        <v>99.5</v>
      </c>
      <c r="B201" s="8">
        <v>199</v>
      </c>
      <c r="D201">
        <v>973.22671804752997</v>
      </c>
      <c r="E201">
        <v>284.84007707129001</v>
      </c>
      <c r="F201">
        <v>127.62064516129</v>
      </c>
      <c r="G201">
        <v>109.2864516129</v>
      </c>
      <c r="I201" s="9">
        <f t="shared" si="22"/>
        <v>175.55362545839</v>
      </c>
      <c r="J201" s="9">
        <f t="shared" si="23"/>
        <v>845.60607288623999</v>
      </c>
      <c r="K201" s="9">
        <f t="shared" si="24"/>
        <v>175.55362545839</v>
      </c>
      <c r="L201" s="10">
        <f t="shared" si="21"/>
        <v>0.20760686457606289</v>
      </c>
      <c r="M201" s="10">
        <f t="shared" si="20"/>
        <v>0.21736244270718302</v>
      </c>
      <c r="P201" s="8">
        <f t="shared" si="25"/>
        <v>2.2022095695023713</v>
      </c>
    </row>
    <row r="202" spans="1:16" x14ac:dyDescent="0.2">
      <c r="A202" s="8">
        <v>100</v>
      </c>
      <c r="B202" s="8">
        <v>200</v>
      </c>
      <c r="D202">
        <v>969.72832369942</v>
      </c>
      <c r="E202">
        <v>284.36416184971</v>
      </c>
      <c r="F202">
        <v>127.75935483871</v>
      </c>
      <c r="G202">
        <v>109.03419354838999</v>
      </c>
      <c r="I202" s="9">
        <f t="shared" si="22"/>
        <v>175.32996830132001</v>
      </c>
      <c r="J202" s="9">
        <f t="shared" si="23"/>
        <v>841.96896886070999</v>
      </c>
      <c r="K202" s="9">
        <f t="shared" si="24"/>
        <v>175.32996830132001</v>
      </c>
      <c r="L202" s="10">
        <f t="shared" si="21"/>
        <v>0.20823804057596509</v>
      </c>
      <c r="M202" s="10">
        <f t="shared" si="20"/>
        <v>0.21804264171276927</v>
      </c>
      <c r="P202" s="8">
        <f t="shared" si="25"/>
        <v>2.5220341006038307</v>
      </c>
    </row>
    <row r="203" spans="1:16" x14ac:dyDescent="0.2">
      <c r="A203" s="8">
        <v>100.5</v>
      </c>
      <c r="B203" s="8">
        <v>201</v>
      </c>
      <c r="D203">
        <v>951.21708413616</v>
      </c>
      <c r="E203">
        <v>280.48426461142998</v>
      </c>
      <c r="F203">
        <v>127.67290322581</v>
      </c>
      <c r="G203">
        <v>109.02774193547999</v>
      </c>
      <c r="I203" s="9">
        <f t="shared" si="22"/>
        <v>171.45652267595</v>
      </c>
      <c r="J203" s="9">
        <f t="shared" si="23"/>
        <v>823.54418091034995</v>
      </c>
      <c r="K203" s="9">
        <f t="shared" si="24"/>
        <v>171.45652267595</v>
      </c>
      <c r="L203" s="10">
        <f t="shared" si="21"/>
        <v>0.20819347237257033</v>
      </c>
      <c r="M203" s="10">
        <f t="shared" si="20"/>
        <v>0.21804709651505852</v>
      </c>
      <c r="P203" s="8">
        <f t="shared" si="25"/>
        <v>2.524128715623271</v>
      </c>
    </row>
    <row r="204" spans="1:16" x14ac:dyDescent="0.2">
      <c r="A204" s="8">
        <v>101</v>
      </c>
      <c r="B204" s="8">
        <v>202</v>
      </c>
      <c r="D204">
        <v>1006.5819935691</v>
      </c>
      <c r="E204">
        <v>290.46045016076999</v>
      </c>
      <c r="F204">
        <v>128.00129032257999</v>
      </c>
      <c r="G204">
        <v>109.31935483871</v>
      </c>
      <c r="I204" s="9">
        <f t="shared" si="22"/>
        <v>181.14109532205998</v>
      </c>
      <c r="J204" s="9">
        <f t="shared" si="23"/>
        <v>878.58070324651999</v>
      </c>
      <c r="K204" s="9">
        <f t="shared" si="24"/>
        <v>181.14109532205998</v>
      </c>
      <c r="L204" s="10">
        <f t="shared" si="21"/>
        <v>0.20617467997272165</v>
      </c>
      <c r="M204" s="10">
        <f t="shared" si="20"/>
        <v>0.21607732712089386</v>
      </c>
      <c r="P204" s="8">
        <f t="shared" si="25"/>
        <v>1.5979577455205545</v>
      </c>
    </row>
    <row r="205" spans="1:16" x14ac:dyDescent="0.2">
      <c r="A205" s="8">
        <v>101.5</v>
      </c>
      <c r="B205" s="8">
        <v>203</v>
      </c>
      <c r="D205">
        <v>985.75691318327995</v>
      </c>
      <c r="E205">
        <v>288.30160771703999</v>
      </c>
      <c r="F205">
        <v>127.66709677419</v>
      </c>
      <c r="G205">
        <v>108.99806451613</v>
      </c>
      <c r="I205" s="9">
        <f t="shared" si="22"/>
        <v>179.30354320090998</v>
      </c>
      <c r="J205" s="9">
        <f t="shared" si="23"/>
        <v>858.08981640908996</v>
      </c>
      <c r="K205" s="9">
        <f t="shared" si="24"/>
        <v>179.30354320090998</v>
      </c>
      <c r="L205" s="10">
        <f t="shared" si="21"/>
        <v>0.20895661476470423</v>
      </c>
      <c r="M205" s="10">
        <f t="shared" si="20"/>
        <v>0.21890828491856046</v>
      </c>
      <c r="P205" s="8">
        <f t="shared" si="25"/>
        <v>2.9290531202137138</v>
      </c>
    </row>
    <row r="206" spans="1:16" x14ac:dyDescent="0.2">
      <c r="A206" s="8">
        <v>102</v>
      </c>
      <c r="B206" s="8">
        <v>204</v>
      </c>
      <c r="D206">
        <v>967.35562700964999</v>
      </c>
      <c r="E206">
        <v>285.32475884244002</v>
      </c>
      <c r="F206">
        <v>127.64322580645</v>
      </c>
      <c r="G206">
        <v>109.13935483871001</v>
      </c>
      <c r="I206" s="9">
        <f t="shared" si="22"/>
        <v>176.18540400373001</v>
      </c>
      <c r="J206" s="9">
        <f t="shared" si="23"/>
        <v>839.71240120319999</v>
      </c>
      <c r="K206" s="9">
        <f t="shared" si="24"/>
        <v>176.18540400373001</v>
      </c>
      <c r="L206" s="10">
        <f t="shared" si="21"/>
        <v>0.20981636540234366</v>
      </c>
      <c r="M206" s="10">
        <f t="shared" si="20"/>
        <v>0.21981705856188391</v>
      </c>
      <c r="P206" s="8">
        <f t="shared" si="25"/>
        <v>3.3563517518881101</v>
      </c>
    </row>
    <row r="207" spans="1:16" x14ac:dyDescent="0.2">
      <c r="A207" s="8">
        <v>102.5</v>
      </c>
      <c r="B207" s="8">
        <v>205</v>
      </c>
      <c r="D207">
        <v>948.38070739550005</v>
      </c>
      <c r="E207">
        <v>280.32990353698</v>
      </c>
      <c r="F207">
        <v>127.31161290323</v>
      </c>
      <c r="G207">
        <v>109.23741935484</v>
      </c>
      <c r="I207" s="9">
        <f t="shared" si="22"/>
        <v>171.09248418214</v>
      </c>
      <c r="J207" s="9">
        <f t="shared" si="23"/>
        <v>821.0690944922701</v>
      </c>
      <c r="K207" s="9">
        <f t="shared" si="24"/>
        <v>171.09248418214</v>
      </c>
      <c r="L207" s="10">
        <f t="shared" si="21"/>
        <v>0.20837769358246225</v>
      </c>
      <c r="M207" s="10">
        <f t="shared" si="20"/>
        <v>0.21842740974768651</v>
      </c>
      <c r="P207" s="8">
        <f t="shared" si="25"/>
        <v>2.7029491788965085</v>
      </c>
    </row>
    <row r="208" spans="1:16" x14ac:dyDescent="0.2">
      <c r="A208" s="8">
        <v>103</v>
      </c>
      <c r="B208" s="8">
        <v>206</v>
      </c>
      <c r="D208">
        <v>934.92540192926003</v>
      </c>
      <c r="E208">
        <v>279.83536977492003</v>
      </c>
      <c r="F208">
        <v>127.49548387097001</v>
      </c>
      <c r="G208">
        <v>109.08387096774</v>
      </c>
      <c r="I208" s="9">
        <f t="shared" si="22"/>
        <v>170.75149880718004</v>
      </c>
      <c r="J208" s="9">
        <f t="shared" si="23"/>
        <v>807.42991805829001</v>
      </c>
      <c r="K208" s="9">
        <f t="shared" si="24"/>
        <v>170.75149880718004</v>
      </c>
      <c r="L208" s="10">
        <f t="shared" si="21"/>
        <v>0.21147531815244569</v>
      </c>
      <c r="M208" s="10">
        <f t="shared" si="20"/>
        <v>0.22157405732335397</v>
      </c>
      <c r="P208" s="8">
        <f t="shared" si="25"/>
        <v>4.1824795474568397</v>
      </c>
    </row>
    <row r="209" spans="1:16" x14ac:dyDescent="0.2">
      <c r="A209" s="8">
        <v>103.5</v>
      </c>
      <c r="B209" s="8">
        <v>207</v>
      </c>
      <c r="D209">
        <v>949.27987220447005</v>
      </c>
      <c r="E209">
        <v>282.26389776358002</v>
      </c>
      <c r="F209">
        <v>127.7464516129</v>
      </c>
      <c r="G209">
        <v>109.23096774194001</v>
      </c>
      <c r="I209" s="9">
        <f t="shared" si="22"/>
        <v>173.03293002164003</v>
      </c>
      <c r="J209" s="9">
        <f t="shared" si="23"/>
        <v>821.53342059157001</v>
      </c>
      <c r="K209" s="9">
        <f t="shared" si="24"/>
        <v>173.03293002164003</v>
      </c>
      <c r="L209" s="10">
        <f t="shared" si="21"/>
        <v>0.21062190007686166</v>
      </c>
      <c r="M209" s="10">
        <f t="shared" si="20"/>
        <v>0.22076966225345396</v>
      </c>
      <c r="P209" s="8">
        <f t="shared" si="25"/>
        <v>3.8042589473997026</v>
      </c>
    </row>
    <row r="210" spans="1:16" x14ac:dyDescent="0.2">
      <c r="A210" s="8">
        <v>104</v>
      </c>
      <c r="B210" s="8">
        <v>208</v>
      </c>
      <c r="D210">
        <v>969.59233226837</v>
      </c>
      <c r="E210">
        <v>286.59552715655002</v>
      </c>
      <c r="F210">
        <v>127.64709677419</v>
      </c>
      <c r="G210">
        <v>109.30387096774</v>
      </c>
      <c r="I210" s="9">
        <f t="shared" si="22"/>
        <v>177.29165618881001</v>
      </c>
      <c r="J210" s="9">
        <f t="shared" si="23"/>
        <v>841.94523549418</v>
      </c>
      <c r="K210" s="9">
        <f t="shared" si="24"/>
        <v>177.29165618881001</v>
      </c>
      <c r="L210" s="10">
        <f t="shared" si="21"/>
        <v>0.21057385767466053</v>
      </c>
      <c r="M210" s="10">
        <f t="shared" si="20"/>
        <v>0.22077064285693684</v>
      </c>
      <c r="P210" s="8">
        <f t="shared" si="25"/>
        <v>3.8047200198895696</v>
      </c>
    </row>
    <row r="211" spans="1:16" x14ac:dyDescent="0.2">
      <c r="A211" s="8">
        <v>104.5</v>
      </c>
      <c r="B211" s="8">
        <v>209</v>
      </c>
      <c r="D211">
        <v>955.32843450479004</v>
      </c>
      <c r="E211">
        <v>287.82364217252001</v>
      </c>
      <c r="F211">
        <v>127.62774193548</v>
      </c>
      <c r="G211">
        <v>109.10580645160999</v>
      </c>
      <c r="I211" s="9">
        <f t="shared" si="22"/>
        <v>178.71783572091002</v>
      </c>
      <c r="J211" s="9">
        <f t="shared" si="23"/>
        <v>827.70069256931004</v>
      </c>
      <c r="K211" s="9">
        <f t="shared" si="24"/>
        <v>178.71783572091002</v>
      </c>
      <c r="L211" s="10">
        <f t="shared" si="21"/>
        <v>0.21592084835176639</v>
      </c>
      <c r="M211" s="10">
        <f t="shared" si="20"/>
        <v>0.22616665653972676</v>
      </c>
      <c r="P211" s="8">
        <f t="shared" si="25"/>
        <v>6.3418856607418954</v>
      </c>
    </row>
    <row r="212" spans="1:16" x14ac:dyDescent="0.2">
      <c r="A212" s="8">
        <v>105</v>
      </c>
      <c r="B212" s="8">
        <v>210</v>
      </c>
      <c r="D212">
        <v>971.07329509242004</v>
      </c>
      <c r="E212">
        <v>289.20395156149999</v>
      </c>
      <c r="F212">
        <v>127.58838709677001</v>
      </c>
      <c r="G212">
        <v>109.23096774194001</v>
      </c>
      <c r="I212" s="9">
        <f t="shared" si="22"/>
        <v>179.97298381956</v>
      </c>
      <c r="J212" s="9">
        <f t="shared" si="23"/>
        <v>843.48490799565002</v>
      </c>
      <c r="K212" s="9">
        <f t="shared" si="24"/>
        <v>179.97298381956</v>
      </c>
      <c r="L212" s="10">
        <f t="shared" si="21"/>
        <v>0.21336835088991082</v>
      </c>
      <c r="M212" s="10">
        <f t="shared" si="20"/>
        <v>0.22366318208355521</v>
      </c>
      <c r="P212" s="8">
        <f t="shared" si="25"/>
        <v>5.16477052606235</v>
      </c>
    </row>
    <row r="213" spans="1:16" x14ac:dyDescent="0.2">
      <c r="A213" s="8">
        <v>105.5</v>
      </c>
      <c r="B213" s="8">
        <v>211</v>
      </c>
      <c r="D213">
        <v>984.70554493307998</v>
      </c>
      <c r="E213">
        <v>290.04333970682001</v>
      </c>
      <c r="F213">
        <v>128.06451612903001</v>
      </c>
      <c r="G213">
        <v>109.01161290323</v>
      </c>
      <c r="I213" s="9">
        <f t="shared" si="22"/>
        <v>181.03172680359</v>
      </c>
      <c r="J213" s="9">
        <f t="shared" si="23"/>
        <v>856.64102880404994</v>
      </c>
      <c r="K213" s="9">
        <f t="shared" si="24"/>
        <v>181.03172680359</v>
      </c>
      <c r="L213" s="10">
        <f t="shared" si="21"/>
        <v>0.21132740636568276</v>
      </c>
      <c r="M213" s="10">
        <f t="shared" si="20"/>
        <v>0.22167126056501116</v>
      </c>
      <c r="P213" s="8">
        <f t="shared" si="25"/>
        <v>4.2281837912578979</v>
      </c>
    </row>
    <row r="214" spans="1:16" x14ac:dyDescent="0.2">
      <c r="A214" s="8">
        <v>106</v>
      </c>
      <c r="B214" s="8">
        <v>212</v>
      </c>
      <c r="D214">
        <v>972.38495857234</v>
      </c>
      <c r="E214">
        <v>293.77437858509001</v>
      </c>
      <c r="F214">
        <v>127.58129032258</v>
      </c>
      <c r="G214">
        <v>109.03483870968</v>
      </c>
      <c r="I214" s="9">
        <f t="shared" si="22"/>
        <v>184.73953987541</v>
      </c>
      <c r="J214" s="9">
        <f t="shared" si="23"/>
        <v>844.80366824975999</v>
      </c>
      <c r="K214" s="9">
        <f t="shared" si="24"/>
        <v>184.73953987541</v>
      </c>
      <c r="L214" s="10">
        <f t="shared" si="21"/>
        <v>0.21867748308686691</v>
      </c>
      <c r="M214" s="10">
        <f t="shared" si="20"/>
        <v>0.22907036029187933</v>
      </c>
      <c r="P214" s="8">
        <f t="shared" si="25"/>
        <v>7.7071856440744826</v>
      </c>
    </row>
    <row r="215" spans="1:16" x14ac:dyDescent="0.2">
      <c r="A215" s="8">
        <v>106.5</v>
      </c>
      <c r="B215" s="8">
        <v>213</v>
      </c>
      <c r="D215">
        <v>981.90445448676996</v>
      </c>
      <c r="E215">
        <v>294.72369270497001</v>
      </c>
      <c r="F215">
        <v>127.02193548387</v>
      </c>
      <c r="G215">
        <v>109.09483870968</v>
      </c>
      <c r="I215" s="9">
        <f t="shared" si="22"/>
        <v>185.62885399529</v>
      </c>
      <c r="J215" s="9">
        <f t="shared" si="23"/>
        <v>854.88251900289993</v>
      </c>
      <c r="K215" s="9">
        <f t="shared" si="24"/>
        <v>185.62885399529</v>
      </c>
      <c r="L215" s="10">
        <f t="shared" si="21"/>
        <v>0.21713960675181418</v>
      </c>
      <c r="M215" s="10">
        <f t="shared" si="20"/>
        <v>0.22758150696251062</v>
      </c>
      <c r="P215" s="8">
        <f t="shared" si="25"/>
        <v>7.0071378433080076</v>
      </c>
    </row>
    <row r="216" spans="1:16" x14ac:dyDescent="0.2">
      <c r="A216" s="8">
        <v>107</v>
      </c>
      <c r="B216" s="8">
        <v>214</v>
      </c>
      <c r="D216">
        <v>971.88960619755005</v>
      </c>
      <c r="E216">
        <v>290.48095545513002</v>
      </c>
      <c r="F216">
        <v>127.56387096774</v>
      </c>
      <c r="G216">
        <v>108.98516129031999</v>
      </c>
      <c r="I216" s="9">
        <f t="shared" si="22"/>
        <v>181.49579416481004</v>
      </c>
      <c r="J216" s="9">
        <f t="shared" si="23"/>
        <v>844.32573522981011</v>
      </c>
      <c r="K216" s="9">
        <f t="shared" si="24"/>
        <v>181.49579416481004</v>
      </c>
      <c r="L216" s="10">
        <f t="shared" si="21"/>
        <v>0.21495944822220797</v>
      </c>
      <c r="M216" s="10">
        <f t="shared" si="20"/>
        <v>0.22545037143858843</v>
      </c>
      <c r="P216" s="8">
        <f t="shared" si="25"/>
        <v>6.0050937149655486</v>
      </c>
    </row>
    <row r="217" spans="1:16" x14ac:dyDescent="0.2">
      <c r="A217" s="8">
        <v>107.5</v>
      </c>
      <c r="B217" s="8">
        <v>215</v>
      </c>
      <c r="D217">
        <v>986.75855390574998</v>
      </c>
      <c r="E217">
        <v>293.32601678501999</v>
      </c>
      <c r="F217">
        <v>127.88258064516</v>
      </c>
      <c r="G217">
        <v>108.86</v>
      </c>
      <c r="I217" s="9">
        <f t="shared" si="22"/>
        <v>184.46601678501997</v>
      </c>
      <c r="J217" s="9">
        <f t="shared" si="23"/>
        <v>858.87597326058994</v>
      </c>
      <c r="K217" s="9">
        <f t="shared" si="24"/>
        <v>184.46601678501997</v>
      </c>
      <c r="L217" s="10">
        <f t="shared" si="21"/>
        <v>0.21477608237743948</v>
      </c>
      <c r="M217" s="10">
        <f t="shared" si="20"/>
        <v>0.22531602859950395</v>
      </c>
      <c r="P217" s="8">
        <f t="shared" si="25"/>
        <v>5.9419267077159565</v>
      </c>
    </row>
    <row r="218" spans="1:16" x14ac:dyDescent="0.2">
      <c r="A218" s="8">
        <v>108</v>
      </c>
      <c r="B218" s="8">
        <v>216</v>
      </c>
      <c r="D218">
        <v>1025.934796643</v>
      </c>
      <c r="E218">
        <v>298.88315041963</v>
      </c>
      <c r="F218">
        <v>127.46580645161001</v>
      </c>
      <c r="G218">
        <v>109.20193548387</v>
      </c>
      <c r="I218" s="9">
        <f t="shared" si="22"/>
        <v>189.68121493576001</v>
      </c>
      <c r="J218" s="9">
        <f t="shared" si="23"/>
        <v>898.46899019139005</v>
      </c>
      <c r="K218" s="9">
        <f t="shared" si="24"/>
        <v>189.68121493576001</v>
      </c>
      <c r="L218" s="10">
        <f t="shared" si="21"/>
        <v>0.2111160396257577</v>
      </c>
      <c r="M218" s="10">
        <f t="shared" si="20"/>
        <v>0.22170500885350619</v>
      </c>
      <c r="P218" s="8">
        <f t="shared" si="25"/>
        <v>4.2440519863813204</v>
      </c>
    </row>
    <row r="219" spans="1:16" x14ac:dyDescent="0.2">
      <c r="A219" s="8">
        <v>108.5</v>
      </c>
      <c r="B219" s="8">
        <v>217</v>
      </c>
      <c r="D219">
        <v>1032.3234344739001</v>
      </c>
      <c r="E219">
        <v>300.60361523564001</v>
      </c>
      <c r="F219">
        <v>127.62</v>
      </c>
      <c r="G219">
        <v>109.32709677419</v>
      </c>
      <c r="I219" s="9">
        <f t="shared" si="22"/>
        <v>191.27651846145</v>
      </c>
      <c r="J219" s="9">
        <f t="shared" si="23"/>
        <v>904.70343447390007</v>
      </c>
      <c r="K219" s="9">
        <f t="shared" si="24"/>
        <v>191.27651846145</v>
      </c>
      <c r="L219" s="10">
        <f t="shared" si="21"/>
        <v>0.21142455214915862</v>
      </c>
      <c r="M219" s="10">
        <f t="shared" si="20"/>
        <v>0.22206254438259113</v>
      </c>
      <c r="P219" s="8">
        <f t="shared" si="25"/>
        <v>4.4121625422665751</v>
      </c>
    </row>
    <row r="220" spans="1:16" x14ac:dyDescent="0.2">
      <c r="A220" s="8">
        <v>109</v>
      </c>
      <c r="B220" s="8">
        <v>218</v>
      </c>
      <c r="D220">
        <v>1047.6081342801999</v>
      </c>
      <c r="E220">
        <v>302.04002582311</v>
      </c>
      <c r="F220">
        <v>127.52064516129001</v>
      </c>
      <c r="G220">
        <v>109.10451612903</v>
      </c>
      <c r="I220" s="9">
        <f t="shared" si="22"/>
        <v>192.93550969408</v>
      </c>
      <c r="J220" s="9">
        <f t="shared" si="23"/>
        <v>920.08748911890996</v>
      </c>
      <c r="K220" s="9">
        <f t="shared" si="24"/>
        <v>192.93550969408</v>
      </c>
      <c r="L220" s="10">
        <f t="shared" si="21"/>
        <v>0.20969256943036801</v>
      </c>
      <c r="M220" s="10">
        <f t="shared" si="20"/>
        <v>0.22037958466948454</v>
      </c>
      <c r="P220" s="8">
        <f t="shared" si="25"/>
        <v>3.6208473584946521</v>
      </c>
    </row>
    <row r="221" spans="1:16" x14ac:dyDescent="0.2">
      <c r="A221" s="8">
        <v>109.5</v>
      </c>
      <c r="B221" s="8">
        <v>219</v>
      </c>
      <c r="D221">
        <v>1086.2704970949001</v>
      </c>
      <c r="E221">
        <v>310.38863783085998</v>
      </c>
      <c r="F221">
        <v>127.56451612903</v>
      </c>
      <c r="G221">
        <v>109.04516129032</v>
      </c>
      <c r="I221" s="9">
        <f t="shared" si="22"/>
        <v>201.34347654054</v>
      </c>
      <c r="J221" s="9">
        <f t="shared" si="23"/>
        <v>958.70598096587003</v>
      </c>
      <c r="K221" s="9">
        <f t="shared" si="24"/>
        <v>201.34347654054</v>
      </c>
      <c r="L221" s="10">
        <f t="shared" si="21"/>
        <v>0.2100158761267891</v>
      </c>
      <c r="M221" s="10">
        <f t="shared" si="20"/>
        <v>0.22075191437158967</v>
      </c>
      <c r="P221" s="8">
        <f t="shared" si="25"/>
        <v>3.7959140248863301</v>
      </c>
    </row>
    <row r="222" spans="1:16" x14ac:dyDescent="0.2">
      <c r="A222" s="8">
        <v>110</v>
      </c>
      <c r="B222" s="8">
        <v>220</v>
      </c>
      <c r="D222">
        <v>1079.8405422854</v>
      </c>
      <c r="E222">
        <v>310.67140090381002</v>
      </c>
      <c r="F222">
        <v>127.38580645160999</v>
      </c>
      <c r="G222">
        <v>108.92451612903</v>
      </c>
      <c r="I222" s="9">
        <f t="shared" si="22"/>
        <v>201.74688477478003</v>
      </c>
      <c r="J222" s="9">
        <f t="shared" si="23"/>
        <v>952.45473583378998</v>
      </c>
      <c r="K222" s="9">
        <f t="shared" si="24"/>
        <v>201.74688477478003</v>
      </c>
      <c r="L222" s="10">
        <f t="shared" si="21"/>
        <v>0.2118178189309631</v>
      </c>
      <c r="M222" s="10">
        <f t="shared" si="20"/>
        <v>0.22260288018144769</v>
      </c>
      <c r="P222" s="8">
        <f t="shared" si="25"/>
        <v>4.6662244301661193</v>
      </c>
    </row>
    <row r="223" spans="1:16" x14ac:dyDescent="0.2">
      <c r="A223" s="8">
        <v>110.5</v>
      </c>
      <c r="B223" s="8">
        <v>221</v>
      </c>
      <c r="D223">
        <v>1082.0484183343999</v>
      </c>
      <c r="E223">
        <v>309.45965138798999</v>
      </c>
      <c r="F223">
        <v>127.36129032258</v>
      </c>
      <c r="G223">
        <v>108.94064516129001</v>
      </c>
      <c r="I223" s="9">
        <f t="shared" si="22"/>
        <v>200.51900622669999</v>
      </c>
      <c r="J223" s="9">
        <f t="shared" si="23"/>
        <v>954.68712801181994</v>
      </c>
      <c r="K223" s="9">
        <f t="shared" si="24"/>
        <v>200.51900622669999</v>
      </c>
      <c r="L223" s="10">
        <f t="shared" si="21"/>
        <v>0.21003635677406701</v>
      </c>
      <c r="M223" s="10">
        <f t="shared" si="20"/>
        <v>0.22087044103023562</v>
      </c>
      <c r="P223" s="8">
        <f t="shared" si="25"/>
        <v>3.8516443813160524</v>
      </c>
    </row>
    <row r="224" spans="1:16" x14ac:dyDescent="0.2">
      <c r="A224" s="8">
        <v>111</v>
      </c>
      <c r="B224" s="8">
        <v>222</v>
      </c>
      <c r="D224">
        <v>1105.7805035506999</v>
      </c>
      <c r="E224">
        <v>314.229825694</v>
      </c>
      <c r="F224">
        <v>127.15032258065</v>
      </c>
      <c r="G224">
        <v>109.0464516129</v>
      </c>
      <c r="I224" s="9">
        <f t="shared" si="22"/>
        <v>205.1833740811</v>
      </c>
      <c r="J224" s="9">
        <f t="shared" si="23"/>
        <v>978.63018097004988</v>
      </c>
      <c r="K224" s="9">
        <f t="shared" si="24"/>
        <v>205.1833740811</v>
      </c>
      <c r="L224" s="10">
        <f t="shared" si="21"/>
        <v>0.20966385266977522</v>
      </c>
      <c r="M224" s="10">
        <f t="shared" si="20"/>
        <v>0.22054695993162785</v>
      </c>
      <c r="P224" s="8">
        <f t="shared" si="25"/>
        <v>3.699545966245231</v>
      </c>
    </row>
    <row r="225" spans="1:16" x14ac:dyDescent="0.2">
      <c r="A225" s="8">
        <v>111.5</v>
      </c>
      <c r="B225" s="8">
        <v>223</v>
      </c>
      <c r="D225">
        <v>1109.7727566172</v>
      </c>
      <c r="E225">
        <v>316.35054874112001</v>
      </c>
      <c r="F225">
        <v>127.55354838709999</v>
      </c>
      <c r="G225">
        <v>109.04774193548</v>
      </c>
      <c r="I225" s="9">
        <f t="shared" si="22"/>
        <v>207.30280680563999</v>
      </c>
      <c r="J225" s="9">
        <f t="shared" si="23"/>
        <v>982.21920823009998</v>
      </c>
      <c r="K225" s="9">
        <f t="shared" si="24"/>
        <v>207.30280680563999</v>
      </c>
      <c r="L225" s="10">
        <f t="shared" si="21"/>
        <v>0.21105554143986574</v>
      </c>
      <c r="M225" s="10">
        <f t="shared" si="20"/>
        <v>0.22198767170740238</v>
      </c>
      <c r="P225" s="8">
        <f t="shared" si="25"/>
        <v>4.3769579653149924</v>
      </c>
    </row>
    <row r="226" spans="1:16" x14ac:dyDescent="0.2">
      <c r="A226" s="8">
        <v>112</v>
      </c>
      <c r="B226" s="8">
        <v>224</v>
      </c>
      <c r="D226">
        <v>1099.6326662363001</v>
      </c>
      <c r="E226">
        <v>315.43641058748</v>
      </c>
      <c r="F226">
        <v>127.21870967741999</v>
      </c>
      <c r="G226">
        <v>108.89548387097</v>
      </c>
      <c r="I226" s="9">
        <f t="shared" si="22"/>
        <v>206.54092671651</v>
      </c>
      <c r="J226" s="9">
        <f t="shared" si="23"/>
        <v>972.41395655888016</v>
      </c>
      <c r="K226" s="9">
        <f t="shared" si="24"/>
        <v>206.54092671651</v>
      </c>
      <c r="L226" s="10">
        <f t="shared" si="21"/>
        <v>0.21240020808360729</v>
      </c>
      <c r="M226" s="10">
        <f t="shared" si="20"/>
        <v>0.22338136135682796</v>
      </c>
      <c r="P226" s="8">
        <f t="shared" si="25"/>
        <v>5.032260509082052</v>
      </c>
    </row>
    <row r="227" spans="1:16" x14ac:dyDescent="0.2">
      <c r="A227" s="8">
        <v>112.5</v>
      </c>
      <c r="B227" s="8">
        <v>225</v>
      </c>
      <c r="D227">
        <v>1112.425435765</v>
      </c>
      <c r="E227">
        <v>316.65461588121002</v>
      </c>
      <c r="F227">
        <v>127.49225806452</v>
      </c>
      <c r="G227">
        <v>109.04129032258</v>
      </c>
      <c r="I227" s="9">
        <f t="shared" si="22"/>
        <v>207.61332555863004</v>
      </c>
      <c r="J227" s="9">
        <f t="shared" si="23"/>
        <v>984.93317770047997</v>
      </c>
      <c r="K227" s="9">
        <f t="shared" si="24"/>
        <v>207.61332555863004</v>
      </c>
      <c r="L227" s="10">
        <f t="shared" si="21"/>
        <v>0.21078924972691462</v>
      </c>
      <c r="M227" s="10">
        <f t="shared" si="20"/>
        <v>0.2218194260058193</v>
      </c>
      <c r="P227" s="8">
        <f t="shared" si="25"/>
        <v>4.2978500833911308</v>
      </c>
    </row>
    <row r="228" spans="1:16" x14ac:dyDescent="0.2">
      <c r="A228" s="8">
        <v>113</v>
      </c>
      <c r="B228" s="8">
        <v>226</v>
      </c>
      <c r="D228">
        <v>1131.0484183343999</v>
      </c>
      <c r="E228">
        <v>319.74112330536002</v>
      </c>
      <c r="F228">
        <v>127.27483870968</v>
      </c>
      <c r="G228">
        <v>109.21032258065</v>
      </c>
      <c r="I228" s="9">
        <f t="shared" si="22"/>
        <v>210.53080072471002</v>
      </c>
      <c r="J228" s="9">
        <f t="shared" si="23"/>
        <v>1003.7735796247199</v>
      </c>
      <c r="K228" s="9">
        <f t="shared" si="24"/>
        <v>210.53080072471002</v>
      </c>
      <c r="L228" s="10">
        <f t="shared" si="21"/>
        <v>0.20973933265251016</v>
      </c>
      <c r="M228" s="10">
        <f t="shared" si="20"/>
        <v>0.22081853193709886</v>
      </c>
      <c r="P228" s="8">
        <f t="shared" si="25"/>
        <v>3.8272371104496985</v>
      </c>
    </row>
    <row r="229" spans="1:16" x14ac:dyDescent="0.2">
      <c r="A229" s="8">
        <v>113.5</v>
      </c>
      <c r="B229" s="8">
        <v>227</v>
      </c>
      <c r="D229">
        <v>1152.9883795997</v>
      </c>
      <c r="E229">
        <v>325.17624273724999</v>
      </c>
      <c r="F229">
        <v>127.74322580645</v>
      </c>
      <c r="G229">
        <v>109.01096774193999</v>
      </c>
      <c r="I229" s="9">
        <f t="shared" si="22"/>
        <v>216.16527499531</v>
      </c>
      <c r="J229" s="9">
        <f t="shared" si="23"/>
        <v>1025.24515379325</v>
      </c>
      <c r="K229" s="9">
        <f t="shared" si="24"/>
        <v>216.16527499531</v>
      </c>
      <c r="L229" s="10">
        <f t="shared" si="21"/>
        <v>0.2108425230741463</v>
      </c>
      <c r="M229" s="10">
        <f t="shared" si="20"/>
        <v>0.22197074536441902</v>
      </c>
      <c r="P229" s="8">
        <f t="shared" si="25"/>
        <v>4.3689993242945588</v>
      </c>
    </row>
    <row r="230" spans="1:16" x14ac:dyDescent="0.2">
      <c r="A230" s="8">
        <v>114</v>
      </c>
      <c r="B230" s="8">
        <v>228</v>
      </c>
      <c r="D230">
        <v>1116.7520819987001</v>
      </c>
      <c r="E230">
        <v>320.86867392697002</v>
      </c>
      <c r="F230">
        <v>127.77483870968</v>
      </c>
      <c r="G230">
        <v>109.15677419355001</v>
      </c>
      <c r="I230" s="9">
        <f t="shared" si="22"/>
        <v>211.71189973342001</v>
      </c>
      <c r="J230" s="9">
        <f t="shared" si="23"/>
        <v>988.97724328902007</v>
      </c>
      <c r="K230" s="9">
        <f t="shared" si="24"/>
        <v>211.71189973342001</v>
      </c>
      <c r="L230" s="10">
        <f t="shared" si="21"/>
        <v>0.21407155844085388</v>
      </c>
      <c r="M230" s="10">
        <f t="shared" si="20"/>
        <v>0.22524880373681061</v>
      </c>
      <c r="P230" s="8">
        <f t="shared" si="25"/>
        <v>5.9103180755176092</v>
      </c>
    </row>
    <row r="231" spans="1:16" x14ac:dyDescent="0.2">
      <c r="A231" s="8">
        <v>114.5</v>
      </c>
      <c r="B231" s="8">
        <v>229</v>
      </c>
      <c r="D231">
        <v>1109.865470852</v>
      </c>
      <c r="E231">
        <v>319.38629083921001</v>
      </c>
      <c r="F231">
        <v>127.08903225807001</v>
      </c>
      <c r="G231">
        <v>109.16903225807</v>
      </c>
      <c r="I231" s="9">
        <f t="shared" si="22"/>
        <v>210.21725858114002</v>
      </c>
      <c r="J231" s="9">
        <f t="shared" si="23"/>
        <v>982.77643859393004</v>
      </c>
      <c r="K231" s="9">
        <f t="shared" si="24"/>
        <v>210.21725858114002</v>
      </c>
      <c r="L231" s="10">
        <f t="shared" si="21"/>
        <v>0.21390140252232781</v>
      </c>
      <c r="M231" s="10">
        <f t="shared" si="20"/>
        <v>0.22512767082396859</v>
      </c>
      <c r="P231" s="8">
        <f t="shared" si="25"/>
        <v>5.8533622776812644</v>
      </c>
    </row>
    <row r="232" spans="1:16" x14ac:dyDescent="0.2">
      <c r="A232" s="8">
        <v>115</v>
      </c>
      <c r="B232" s="8">
        <v>230</v>
      </c>
      <c r="D232">
        <v>1097.1607943626</v>
      </c>
      <c r="E232">
        <v>316.45547725816999</v>
      </c>
      <c r="F232">
        <v>127.42</v>
      </c>
      <c r="G232">
        <v>109.12387096774</v>
      </c>
      <c r="I232" s="9">
        <f t="shared" si="22"/>
        <v>207.33160629042999</v>
      </c>
      <c r="J232" s="9">
        <f t="shared" si="23"/>
        <v>969.74079436260001</v>
      </c>
      <c r="K232" s="9">
        <f t="shared" si="24"/>
        <v>207.33160629042999</v>
      </c>
      <c r="L232" s="10">
        <f t="shared" si="21"/>
        <v>0.21380105642220279</v>
      </c>
      <c r="M232" s="10">
        <f t="shared" si="20"/>
        <v>0.22507634772952759</v>
      </c>
      <c r="P232" s="8">
        <f t="shared" si="25"/>
        <v>5.8292305390585026</v>
      </c>
    </row>
    <row r="233" spans="1:16" x14ac:dyDescent="0.2">
      <c r="A233" s="8">
        <v>115.5</v>
      </c>
      <c r="B233" s="8">
        <v>231</v>
      </c>
      <c r="D233">
        <v>1109.1595131326001</v>
      </c>
      <c r="E233">
        <v>320.20755925689002</v>
      </c>
      <c r="F233">
        <v>127.49483870968</v>
      </c>
      <c r="G233">
        <v>109.11032258065001</v>
      </c>
      <c r="I233" s="9">
        <f t="shared" si="22"/>
        <v>211.09723667624002</v>
      </c>
      <c r="J233" s="9">
        <f t="shared" si="23"/>
        <v>981.66467442292003</v>
      </c>
      <c r="K233" s="9">
        <f t="shared" si="24"/>
        <v>211.09723667624002</v>
      </c>
      <c r="L233" s="10">
        <f t="shared" si="21"/>
        <v>0.21504006630404149</v>
      </c>
      <c r="M233" s="10">
        <f t="shared" si="20"/>
        <v>0.2263643806170503</v>
      </c>
      <c r="P233" s="8">
        <f t="shared" si="25"/>
        <v>6.4348540564586303</v>
      </c>
    </row>
    <row r="234" spans="1:16" x14ac:dyDescent="0.2">
      <c r="A234" s="8">
        <v>116</v>
      </c>
      <c r="B234" s="8">
        <v>232</v>
      </c>
      <c r="D234">
        <v>1118.6937860346</v>
      </c>
      <c r="E234">
        <v>320.9532351057</v>
      </c>
      <c r="F234">
        <v>127.41483870968</v>
      </c>
      <c r="G234">
        <v>108.97612903226</v>
      </c>
      <c r="I234" s="9">
        <f t="shared" si="22"/>
        <v>211.97710607343998</v>
      </c>
      <c r="J234" s="9">
        <f t="shared" si="23"/>
        <v>991.27894732491995</v>
      </c>
      <c r="K234" s="9">
        <f t="shared" si="24"/>
        <v>211.97710607343998</v>
      </c>
      <c r="L234" s="10">
        <f t="shared" si="21"/>
        <v>0.21384203371360255</v>
      </c>
      <c r="M234" s="10">
        <f t="shared" si="20"/>
        <v>0.22521537103229539</v>
      </c>
      <c r="P234" s="8">
        <f t="shared" si="25"/>
        <v>5.8945982656425278</v>
      </c>
    </row>
    <row r="235" spans="1:16" x14ac:dyDescent="0.2">
      <c r="A235" s="8">
        <v>116.5</v>
      </c>
      <c r="B235" s="8">
        <v>233</v>
      </c>
      <c r="D235">
        <v>1110.9032671365001</v>
      </c>
      <c r="E235">
        <v>319.79500320308</v>
      </c>
      <c r="F235">
        <v>127.52</v>
      </c>
      <c r="G235">
        <v>109.01870967742001</v>
      </c>
      <c r="I235" s="9">
        <f t="shared" si="22"/>
        <v>210.77629352565998</v>
      </c>
      <c r="J235" s="9">
        <f t="shared" si="23"/>
        <v>983.38326713650008</v>
      </c>
      <c r="K235" s="9">
        <f t="shared" si="24"/>
        <v>210.77629352565998</v>
      </c>
      <c r="L235" s="10">
        <f t="shared" si="21"/>
        <v>0.21433788896918748</v>
      </c>
      <c r="M235" s="10">
        <f t="shared" si="20"/>
        <v>0.22576024929356434</v>
      </c>
      <c r="P235" s="8">
        <f t="shared" si="25"/>
        <v>6.1507959857017118</v>
      </c>
    </row>
    <row r="236" spans="1:16" x14ac:dyDescent="0.2">
      <c r="A236" s="8">
        <v>117</v>
      </c>
      <c r="B236" s="8">
        <v>234</v>
      </c>
      <c r="D236">
        <v>1109.9205637412001</v>
      </c>
      <c r="E236">
        <v>320.45483664317999</v>
      </c>
      <c r="F236">
        <v>127.00516129032</v>
      </c>
      <c r="G236">
        <v>109.07225806452</v>
      </c>
      <c r="I236" s="9">
        <f t="shared" si="22"/>
        <v>211.38257857866</v>
      </c>
      <c r="J236" s="9">
        <f t="shared" si="23"/>
        <v>982.91540245088015</v>
      </c>
      <c r="K236" s="9">
        <f t="shared" si="24"/>
        <v>211.38257857866</v>
      </c>
      <c r="L236" s="10">
        <f t="shared" si="21"/>
        <v>0.21505673636976461</v>
      </c>
      <c r="M236" s="10">
        <f t="shared" si="20"/>
        <v>0.22652811969982548</v>
      </c>
      <c r="P236" s="8">
        <f t="shared" si="25"/>
        <v>6.5118429596200196</v>
      </c>
    </row>
    <row r="237" spans="1:16" x14ac:dyDescent="0.2">
      <c r="A237" s="8">
        <v>117.5</v>
      </c>
      <c r="B237" s="8">
        <v>235</v>
      </c>
      <c r="D237">
        <v>1113.8014093530001</v>
      </c>
      <c r="E237">
        <v>319.48430493273997</v>
      </c>
      <c r="F237">
        <v>127.39032258064999</v>
      </c>
      <c r="G237">
        <v>108.88967741936</v>
      </c>
      <c r="I237" s="9">
        <f t="shared" si="22"/>
        <v>210.59462751337998</v>
      </c>
      <c r="J237" s="9">
        <f t="shared" si="23"/>
        <v>986.41108677235002</v>
      </c>
      <c r="K237" s="9">
        <f t="shared" si="24"/>
        <v>210.59462751337998</v>
      </c>
      <c r="L237" s="10">
        <f t="shared" si="21"/>
        <v>0.21349580346108002</v>
      </c>
      <c r="M237" s="10">
        <f t="shared" si="20"/>
        <v>0.22501620979682491</v>
      </c>
      <c r="P237" s="8">
        <f t="shared" si="25"/>
        <v>5.8009541288166666</v>
      </c>
    </row>
    <row r="238" spans="1:16" x14ac:dyDescent="0.2">
      <c r="A238" s="8">
        <v>118</v>
      </c>
      <c r="B238" s="8">
        <v>236</v>
      </c>
      <c r="D238">
        <v>1114.9276105061001</v>
      </c>
      <c r="E238">
        <v>320.61755285074003</v>
      </c>
      <c r="F238">
        <v>127.22967741936</v>
      </c>
      <c r="G238">
        <v>108.95290322581</v>
      </c>
      <c r="I238" s="9">
        <f t="shared" si="22"/>
        <v>211.66464962493001</v>
      </c>
      <c r="J238" s="9">
        <f t="shared" si="23"/>
        <v>987.69793308674014</v>
      </c>
      <c r="K238" s="9">
        <f t="shared" si="24"/>
        <v>211.66464962493001</v>
      </c>
      <c r="L238" s="10">
        <f t="shared" si="21"/>
        <v>0.21430099480256937</v>
      </c>
      <c r="M238" s="10">
        <f t="shared" si="20"/>
        <v>0.22587042414399827</v>
      </c>
      <c r="P238" s="8">
        <f t="shared" si="25"/>
        <v>6.2025993838099422</v>
      </c>
    </row>
    <row r="239" spans="1:16" x14ac:dyDescent="0.2">
      <c r="A239" s="8">
        <v>118.5</v>
      </c>
      <c r="B239" s="8">
        <v>237</v>
      </c>
      <c r="D239">
        <v>1108.2607303011</v>
      </c>
      <c r="E239">
        <v>320.36130685457999</v>
      </c>
      <c r="F239">
        <v>126.66967741936</v>
      </c>
      <c r="G239">
        <v>108.98516129031999</v>
      </c>
      <c r="I239" s="9">
        <f t="shared" si="22"/>
        <v>211.37614556426001</v>
      </c>
      <c r="J239" s="9">
        <f t="shared" si="23"/>
        <v>981.59105288173998</v>
      </c>
      <c r="K239" s="9">
        <f t="shared" si="24"/>
        <v>211.37614556426001</v>
      </c>
      <c r="L239" s="10">
        <f t="shared" si="21"/>
        <v>0.21534033439252034</v>
      </c>
      <c r="M239" s="10">
        <f t="shared" si="20"/>
        <v>0.22695878673963327</v>
      </c>
      <c r="P239" s="8">
        <f t="shared" si="25"/>
        <v>6.7143394098297158</v>
      </c>
    </row>
    <row r="240" spans="1:16" x14ac:dyDescent="0.2">
      <c r="A240" s="8">
        <v>119</v>
      </c>
      <c r="B240" s="8">
        <v>238</v>
      </c>
      <c r="D240">
        <v>1109.6322869955</v>
      </c>
      <c r="E240">
        <v>319.40743113388999</v>
      </c>
      <c r="F240">
        <v>126.77870967742</v>
      </c>
      <c r="G240">
        <v>109.08064516128999</v>
      </c>
      <c r="I240" s="9">
        <f t="shared" si="22"/>
        <v>210.32678597259999</v>
      </c>
      <c r="J240" s="9">
        <f t="shared" si="23"/>
        <v>982.85357731807994</v>
      </c>
      <c r="K240" s="9">
        <f t="shared" si="24"/>
        <v>210.32678597259999</v>
      </c>
      <c r="L240" s="10">
        <f t="shared" si="21"/>
        <v>0.2139960527452322</v>
      </c>
      <c r="M240" s="10">
        <f t="shared" si="20"/>
        <v>0.22566352809802914</v>
      </c>
      <c r="P240" s="8">
        <f t="shared" si="25"/>
        <v>6.1053183964145079</v>
      </c>
    </row>
    <row r="241" spans="1:16" x14ac:dyDescent="0.2">
      <c r="A241" s="8">
        <v>119.5</v>
      </c>
      <c r="B241" s="8">
        <v>239</v>
      </c>
      <c r="D241">
        <v>1115.2344650865</v>
      </c>
      <c r="E241">
        <v>321.22485586162998</v>
      </c>
      <c r="F241">
        <v>127.18709677419</v>
      </c>
      <c r="G241">
        <v>108.84129032257999</v>
      </c>
      <c r="I241" s="9">
        <f t="shared" si="22"/>
        <v>212.38356553904998</v>
      </c>
      <c r="J241" s="9">
        <f t="shared" si="23"/>
        <v>988.04736831231003</v>
      </c>
      <c r="K241" s="9">
        <f t="shared" si="24"/>
        <v>212.38356553904998</v>
      </c>
      <c r="L241" s="10">
        <f t="shared" si="21"/>
        <v>0.21495281739561101</v>
      </c>
      <c r="M241" s="10">
        <f t="shared" si="20"/>
        <v>0.22666931575409199</v>
      </c>
      <c r="P241" s="8">
        <f t="shared" si="25"/>
        <v>6.5782322978552976</v>
      </c>
    </row>
    <row r="242" spans="1:16" x14ac:dyDescent="0.2">
      <c r="A242" s="8">
        <v>120</v>
      </c>
      <c r="B242" s="8">
        <v>240</v>
      </c>
      <c r="D242">
        <v>1113.6040999359</v>
      </c>
      <c r="E242">
        <v>320.89173606662001</v>
      </c>
      <c r="F242">
        <v>127.27677419355</v>
      </c>
      <c r="G242">
        <v>108.8935483871</v>
      </c>
      <c r="I242" s="9">
        <f>E242-G242</f>
        <v>211.99818767952002</v>
      </c>
      <c r="J242" s="9">
        <f>D242-F242</f>
        <v>986.32732574235001</v>
      </c>
      <c r="K242" s="9">
        <f t="shared" si="24"/>
        <v>211.99818767952002</v>
      </c>
      <c r="L242" s="10">
        <f t="shared" si="21"/>
        <v>0.21493695059088175</v>
      </c>
      <c r="M242" s="10">
        <f>L242+ABS($N$2)*A242</f>
        <v>0.22670247195504675</v>
      </c>
      <c r="O242" s="11"/>
      <c r="P242" s="8">
        <f>(M242-$O$2)/$O$2*100</f>
        <v>6.5938220978055666</v>
      </c>
    </row>
    <row r="243" spans="1:16" x14ac:dyDescent="0.2">
      <c r="A243" s="8">
        <v>120.5</v>
      </c>
      <c r="B243" s="8">
        <v>241</v>
      </c>
      <c r="D243">
        <v>1137.3279948751001</v>
      </c>
      <c r="E243">
        <v>325.51761691223999</v>
      </c>
      <c r="F243">
        <v>127.16838709677</v>
      </c>
      <c r="G243">
        <v>109.16129032258</v>
      </c>
      <c r="I243" s="9">
        <f t="shared" ref="I243:I274" si="26">E243-G243</f>
        <v>216.35632658966</v>
      </c>
      <c r="J243" s="9">
        <f t="shared" ref="J243:J274" si="27">D243-F243</f>
        <v>1010.1596077783302</v>
      </c>
      <c r="K243" s="9">
        <f t="shared" si="24"/>
        <v>216.35632658966</v>
      </c>
      <c r="L243" s="10">
        <f t="shared" si="21"/>
        <v>0.21418033835811154</v>
      </c>
      <c r="M243" s="10">
        <f t="shared" ref="M243:M274" si="28">L243+ABS($N$2)*A243</f>
        <v>0.22599488272796056</v>
      </c>
      <c r="P243" s="8">
        <f t="shared" ref="P243:P274" si="29">(M243-$O$2)/$O$2*100</f>
        <v>6.2611188875586778</v>
      </c>
    </row>
    <row r="244" spans="1:16" x14ac:dyDescent="0.2">
      <c r="A244" s="8">
        <v>121</v>
      </c>
      <c r="B244" s="8">
        <v>242</v>
      </c>
      <c r="D244">
        <v>1139.2338244714999</v>
      </c>
      <c r="E244">
        <v>325.75272261370998</v>
      </c>
      <c r="F244">
        <v>127.27225806452</v>
      </c>
      <c r="G244">
        <v>108.92064516129</v>
      </c>
      <c r="I244" s="9">
        <f t="shared" si="26"/>
        <v>216.83207745241998</v>
      </c>
      <c r="J244" s="9">
        <f t="shared" si="27"/>
        <v>1011.96156640698</v>
      </c>
      <c r="K244" s="9">
        <f t="shared" si="24"/>
        <v>216.83207745241998</v>
      </c>
      <c r="L244" s="10">
        <f t="shared" si="21"/>
        <v>0.21426908358021254</v>
      </c>
      <c r="M244" s="10">
        <f t="shared" si="28"/>
        <v>0.22613265095574558</v>
      </c>
      <c r="N244" s="1"/>
      <c r="P244" s="8">
        <f t="shared" si="29"/>
        <v>6.3258964871878458</v>
      </c>
    </row>
    <row r="245" spans="1:16" x14ac:dyDescent="0.2">
      <c r="A245" s="8">
        <v>121.5</v>
      </c>
      <c r="B245" s="8">
        <v>243</v>
      </c>
      <c r="D245">
        <v>1129.0140935298</v>
      </c>
      <c r="E245">
        <v>324.47533632287002</v>
      </c>
      <c r="F245">
        <v>127.17612903225999</v>
      </c>
      <c r="G245">
        <v>108.69354838709999</v>
      </c>
      <c r="I245" s="9">
        <f t="shared" si="26"/>
        <v>215.78178793577001</v>
      </c>
      <c r="J245" s="9">
        <f t="shared" si="27"/>
        <v>1001.83796449754</v>
      </c>
      <c r="K245" s="9">
        <f t="shared" si="24"/>
        <v>215.78178793577001</v>
      </c>
      <c r="L245" s="10">
        <f t="shared" si="21"/>
        <v>0.21538591626839856</v>
      </c>
      <c r="M245" s="10">
        <f t="shared" si="28"/>
        <v>0.22729850664961562</v>
      </c>
      <c r="P245" s="8">
        <f t="shared" si="29"/>
        <v>6.8740731936541914</v>
      </c>
    </row>
    <row r="246" spans="1:16" x14ac:dyDescent="0.2">
      <c r="A246" s="8">
        <v>122</v>
      </c>
      <c r="B246" s="8">
        <v>244</v>
      </c>
      <c r="D246">
        <v>1097.7085201794</v>
      </c>
      <c r="E246">
        <v>317.85650224214999</v>
      </c>
      <c r="F246">
        <v>126.8</v>
      </c>
      <c r="G246">
        <v>108.85935483871</v>
      </c>
      <c r="I246" s="9">
        <f t="shared" si="26"/>
        <v>208.99714740343998</v>
      </c>
      <c r="J246" s="9">
        <f t="shared" si="27"/>
        <v>970.90852017940006</v>
      </c>
      <c r="K246" s="9">
        <f t="shared" si="24"/>
        <v>208.99714740343998</v>
      </c>
      <c r="L246" s="10">
        <f t="shared" si="21"/>
        <v>0.21525936075298055</v>
      </c>
      <c r="M246" s="10">
        <f t="shared" si="28"/>
        <v>0.22722097413988163</v>
      </c>
      <c r="P246" s="8">
        <f t="shared" si="29"/>
        <v>6.8376179822129126</v>
      </c>
    </row>
    <row r="247" spans="1:16" x14ac:dyDescent="0.2">
      <c r="A247" s="8">
        <v>122.5</v>
      </c>
      <c r="B247" s="8">
        <v>245</v>
      </c>
      <c r="D247">
        <v>1097.2351057015001</v>
      </c>
      <c r="E247">
        <v>317.78667520819999</v>
      </c>
      <c r="F247">
        <v>127.12193548387</v>
      </c>
      <c r="G247">
        <v>108.94580645161</v>
      </c>
      <c r="I247" s="9">
        <f t="shared" si="26"/>
        <v>208.84086875659</v>
      </c>
      <c r="J247" s="9">
        <f t="shared" si="27"/>
        <v>970.11317021763011</v>
      </c>
      <c r="K247" s="9">
        <f t="shared" si="24"/>
        <v>208.84086875659</v>
      </c>
      <c r="L247" s="10">
        <f t="shared" si="21"/>
        <v>0.21527474852211287</v>
      </c>
      <c r="M247" s="10">
        <f t="shared" si="28"/>
        <v>0.22728538491469796</v>
      </c>
      <c r="P247" s="8">
        <f t="shared" si="29"/>
        <v>6.86790345114823</v>
      </c>
    </row>
    <row r="248" spans="1:16" x14ac:dyDescent="0.2">
      <c r="A248" s="8">
        <v>123</v>
      </c>
      <c r="B248" s="8">
        <v>246</v>
      </c>
      <c r="D248">
        <v>1090.0736707239</v>
      </c>
      <c r="E248">
        <v>315.97117232543002</v>
      </c>
      <c r="F248">
        <v>127.02387096774</v>
      </c>
      <c r="G248">
        <v>108.89677419355</v>
      </c>
      <c r="I248" s="9">
        <f t="shared" si="26"/>
        <v>207.07439813188</v>
      </c>
      <c r="J248" s="9">
        <f t="shared" si="27"/>
        <v>963.04979975616004</v>
      </c>
      <c r="K248" s="9">
        <f t="shared" si="24"/>
        <v>207.07439813188</v>
      </c>
      <c r="L248" s="10">
        <f t="shared" si="21"/>
        <v>0.21501940832583147</v>
      </c>
      <c r="M248" s="10">
        <f t="shared" si="28"/>
        <v>0.22707906772410058</v>
      </c>
      <c r="P248" s="8">
        <f t="shared" si="29"/>
        <v>6.7708946372583787</v>
      </c>
    </row>
    <row r="249" spans="1:16" x14ac:dyDescent="0.2">
      <c r="A249" s="8">
        <v>123.5</v>
      </c>
      <c r="B249" s="8">
        <v>247</v>
      </c>
      <c r="D249">
        <v>1057.2543241512001</v>
      </c>
      <c r="E249">
        <v>309.85522101216998</v>
      </c>
      <c r="F249">
        <v>126.86064516128999</v>
      </c>
      <c r="G249">
        <v>108.83096774194</v>
      </c>
      <c r="I249" s="9">
        <f t="shared" si="26"/>
        <v>201.02425327022996</v>
      </c>
      <c r="J249" s="9">
        <f t="shared" si="27"/>
        <v>930.39367898991009</v>
      </c>
      <c r="K249" s="9">
        <f t="shared" si="24"/>
        <v>201.02425327022996</v>
      </c>
      <c r="L249" s="10">
        <f t="shared" si="21"/>
        <v>0.21606364897972402</v>
      </c>
      <c r="M249" s="10">
        <f t="shared" si="28"/>
        <v>0.22817233138367715</v>
      </c>
      <c r="P249" s="8">
        <f t="shared" si="29"/>
        <v>7.2849391072190279</v>
      </c>
    </row>
    <row r="250" spans="1:16" x14ac:dyDescent="0.2">
      <c r="A250" s="8">
        <v>124</v>
      </c>
      <c r="B250" s="8">
        <v>248</v>
      </c>
      <c r="D250">
        <v>1060.5573350416</v>
      </c>
      <c r="E250">
        <v>310.47789878282998</v>
      </c>
      <c r="F250">
        <v>126.9735483871</v>
      </c>
      <c r="G250">
        <v>109.03548387097</v>
      </c>
      <c r="I250" s="9">
        <f t="shared" si="26"/>
        <v>201.44241491186</v>
      </c>
      <c r="J250" s="9">
        <f t="shared" si="27"/>
        <v>933.58378665450005</v>
      </c>
      <c r="K250" s="9">
        <f t="shared" si="24"/>
        <v>201.44241491186</v>
      </c>
      <c r="L250" s="10">
        <f t="shared" si="21"/>
        <v>0.21577325762450247</v>
      </c>
      <c r="M250" s="10">
        <f t="shared" si="28"/>
        <v>0.22793096303413965</v>
      </c>
      <c r="P250" s="8">
        <f t="shared" si="29"/>
        <v>7.171449498178756</v>
      </c>
    </row>
    <row r="251" spans="1:16" x14ac:dyDescent="0.2">
      <c r="A251" s="8">
        <v>124.5</v>
      </c>
      <c r="B251" s="8">
        <v>249</v>
      </c>
      <c r="D251">
        <v>1066.0038436898999</v>
      </c>
      <c r="E251">
        <v>312.47597693786003</v>
      </c>
      <c r="F251">
        <v>127.1864516129</v>
      </c>
      <c r="G251">
        <v>108.52322580645</v>
      </c>
      <c r="I251" s="9">
        <f t="shared" si="26"/>
        <v>203.95275113141003</v>
      </c>
      <c r="J251" s="9">
        <f t="shared" si="27"/>
        <v>938.81739207699991</v>
      </c>
      <c r="K251" s="9">
        <f t="shared" si="24"/>
        <v>203.95275113141003</v>
      </c>
      <c r="L251" s="10">
        <f t="shared" si="21"/>
        <v>0.21724432552340511</v>
      </c>
      <c r="M251" s="10">
        <f t="shared" si="28"/>
        <v>0.22945105393872631</v>
      </c>
      <c r="P251" s="8">
        <f t="shared" si="29"/>
        <v>7.8861849752940305</v>
      </c>
    </row>
    <row r="252" spans="1:16" x14ac:dyDescent="0.2">
      <c r="A252" s="8">
        <v>125</v>
      </c>
      <c r="B252" s="8">
        <v>250</v>
      </c>
      <c r="D252">
        <v>1058.1377322229</v>
      </c>
      <c r="E252">
        <v>310.03074951954</v>
      </c>
      <c r="F252">
        <v>127.03612903226001</v>
      </c>
      <c r="G252">
        <v>108.57548387097</v>
      </c>
      <c r="I252" s="9">
        <f t="shared" si="26"/>
        <v>201.45526564856999</v>
      </c>
      <c r="J252" s="9">
        <f t="shared" si="27"/>
        <v>931.10160319064005</v>
      </c>
      <c r="K252" s="9">
        <f t="shared" si="24"/>
        <v>201.45526564856999</v>
      </c>
      <c r="L252" s="10">
        <f t="shared" si="21"/>
        <v>0.21636227986101178</v>
      </c>
      <c r="M252" s="10">
        <f t="shared" si="28"/>
        <v>0.22861803128201699</v>
      </c>
      <c r="P252" s="8">
        <f t="shared" si="29"/>
        <v>7.4945038960937946</v>
      </c>
    </row>
    <row r="253" spans="1:16" x14ac:dyDescent="0.2">
      <c r="A253" s="8">
        <v>125.5</v>
      </c>
      <c r="B253" s="8">
        <v>251</v>
      </c>
      <c r="D253">
        <v>1042.2363869315</v>
      </c>
      <c r="E253">
        <v>308.83215887251998</v>
      </c>
      <c r="F253">
        <v>127.23677419355</v>
      </c>
      <c r="G253">
        <v>108.82129032258</v>
      </c>
      <c r="I253" s="9">
        <f t="shared" si="26"/>
        <v>200.01086854993997</v>
      </c>
      <c r="J253" s="9">
        <f t="shared" si="27"/>
        <v>914.99961273794997</v>
      </c>
      <c r="K253" s="9">
        <f t="shared" si="24"/>
        <v>200.01086854993997</v>
      </c>
      <c r="L253" s="10">
        <f t="shared" si="21"/>
        <v>0.21859120568526602</v>
      </c>
      <c r="M253" s="10">
        <f t="shared" si="28"/>
        <v>0.23089598011195525</v>
      </c>
      <c r="P253" s="8">
        <f t="shared" si="29"/>
        <v>8.5655785528116581</v>
      </c>
    </row>
    <row r="254" spans="1:16" x14ac:dyDescent="0.2">
      <c r="A254" s="8">
        <v>126</v>
      </c>
      <c r="B254" s="8">
        <v>252</v>
      </c>
      <c r="D254">
        <v>1031.0185778347</v>
      </c>
      <c r="E254">
        <v>305.84625240230997</v>
      </c>
      <c r="F254">
        <v>127.41612903226</v>
      </c>
      <c r="G254">
        <v>108.77612903226</v>
      </c>
      <c r="I254" s="9">
        <f t="shared" si="26"/>
        <v>197.07012337004997</v>
      </c>
      <c r="J254" s="9">
        <f t="shared" si="27"/>
        <v>903.60244880243999</v>
      </c>
      <c r="K254" s="9">
        <f t="shared" si="24"/>
        <v>197.07012337004997</v>
      </c>
      <c r="L254" s="10">
        <f t="shared" si="21"/>
        <v>0.21809383499483698</v>
      </c>
      <c r="M254" s="10">
        <f t="shared" si="28"/>
        <v>0.23044763242721023</v>
      </c>
      <c r="P254" s="8">
        <f t="shared" si="29"/>
        <v>8.35476879439336</v>
      </c>
    </row>
    <row r="255" spans="1:16" x14ac:dyDescent="0.2">
      <c r="A255" s="8">
        <v>126.5</v>
      </c>
      <c r="B255" s="8">
        <v>253</v>
      </c>
      <c r="D255">
        <v>1045.9666880205</v>
      </c>
      <c r="E255">
        <v>307.84753363228998</v>
      </c>
      <c r="F255">
        <v>127.09935483871</v>
      </c>
      <c r="G255">
        <v>109.18064516129</v>
      </c>
      <c r="I255" s="9">
        <f t="shared" si="26"/>
        <v>198.66688847099999</v>
      </c>
      <c r="J255" s="9">
        <f t="shared" si="27"/>
        <v>918.86733318178995</v>
      </c>
      <c r="K255" s="9">
        <f t="shared" si="24"/>
        <v>198.66688847099999</v>
      </c>
      <c r="L255" s="10">
        <f t="shared" si="21"/>
        <v>0.21620845719160578</v>
      </c>
      <c r="M255" s="10">
        <f t="shared" si="28"/>
        <v>0.22861127762966305</v>
      </c>
      <c r="P255" s="8">
        <f t="shared" si="29"/>
        <v>7.4913283788119633</v>
      </c>
    </row>
    <row r="256" spans="1:16" x14ac:dyDescent="0.2">
      <c r="A256" s="8">
        <v>127</v>
      </c>
      <c r="B256" s="8">
        <v>254</v>
      </c>
      <c r="D256">
        <v>1023.602818706</v>
      </c>
      <c r="E256">
        <v>304.85842408712</v>
      </c>
      <c r="F256">
        <v>127.08387096774</v>
      </c>
      <c r="G256">
        <v>108.76580645161</v>
      </c>
      <c r="I256" s="9">
        <f t="shared" si="26"/>
        <v>196.09261763551001</v>
      </c>
      <c r="J256" s="9">
        <f t="shared" si="27"/>
        <v>896.51894773825995</v>
      </c>
      <c r="K256" s="9">
        <f t="shared" si="24"/>
        <v>196.09261763551001</v>
      </c>
      <c r="L256" s="10">
        <f t="shared" si="21"/>
        <v>0.21872668517515767</v>
      </c>
      <c r="M256" s="10">
        <f t="shared" si="28"/>
        <v>0.23117852861889895</v>
      </c>
      <c r="P256" s="8">
        <f t="shared" si="29"/>
        <v>8.6984307666557577</v>
      </c>
    </row>
    <row r="257" spans="1:16" x14ac:dyDescent="0.2">
      <c r="A257" s="8">
        <v>127.5</v>
      </c>
      <c r="B257" s="8">
        <v>255</v>
      </c>
      <c r="D257">
        <v>1027.4791800128</v>
      </c>
      <c r="E257">
        <v>304.67905188981001</v>
      </c>
      <c r="F257">
        <v>127.0735483871</v>
      </c>
      <c r="G257">
        <v>108.58709677419</v>
      </c>
      <c r="I257" s="9">
        <f t="shared" si="26"/>
        <v>196.09195511562001</v>
      </c>
      <c r="J257" s="9">
        <f t="shared" si="27"/>
        <v>900.40563162570004</v>
      </c>
      <c r="K257" s="9">
        <f t="shared" si="24"/>
        <v>196.09195511562001</v>
      </c>
      <c r="L257" s="10">
        <f t="shared" si="21"/>
        <v>0.21778179547985738</v>
      </c>
      <c r="M257" s="10">
        <f t="shared" si="28"/>
        <v>0.23028266192928268</v>
      </c>
      <c r="P257" s="8">
        <f t="shared" si="29"/>
        <v>8.277200888954015</v>
      </c>
    </row>
    <row r="258" spans="1:16" x14ac:dyDescent="0.2">
      <c r="A258" s="8">
        <v>128</v>
      </c>
      <c r="B258" s="8">
        <v>256</v>
      </c>
      <c r="D258">
        <v>1037.6108280255</v>
      </c>
      <c r="E258">
        <v>304.61974522293002</v>
      </c>
      <c r="F258">
        <v>126.86129032258</v>
      </c>
      <c r="G258">
        <v>109.00774193548</v>
      </c>
      <c r="I258" s="9">
        <f t="shared" si="26"/>
        <v>195.61200328745002</v>
      </c>
      <c r="J258" s="9">
        <f t="shared" si="27"/>
        <v>910.74953770292007</v>
      </c>
      <c r="K258" s="9">
        <f t="shared" si="24"/>
        <v>195.61200328745002</v>
      </c>
      <c r="L258" s="10">
        <f t="shared" ref="L258:L321" si="30">K258/J258</f>
        <v>0.21478133689841877</v>
      </c>
      <c r="M258" s="10">
        <f t="shared" si="28"/>
        <v>0.22733122635352809</v>
      </c>
      <c r="P258" s="8">
        <f t="shared" si="29"/>
        <v>6.8894577559302936</v>
      </c>
    </row>
    <row r="259" spans="1:16" x14ac:dyDescent="0.2">
      <c r="A259" s="8">
        <v>128.5</v>
      </c>
      <c r="B259" s="8">
        <v>257</v>
      </c>
      <c r="D259">
        <v>1052.4929936306</v>
      </c>
      <c r="E259">
        <v>307.94394904459</v>
      </c>
      <c r="F259">
        <v>127.12580645161</v>
      </c>
      <c r="G259">
        <v>108.76064516129</v>
      </c>
      <c r="I259" s="9">
        <f t="shared" si="26"/>
        <v>199.1833038833</v>
      </c>
      <c r="J259" s="9">
        <f t="shared" si="27"/>
        <v>925.36718717898998</v>
      </c>
      <c r="K259" s="9">
        <f t="shared" ref="K259:K322" si="31">I259*1</f>
        <v>199.1833038833</v>
      </c>
      <c r="L259" s="10">
        <f t="shared" si="30"/>
        <v>0.21524785689723488</v>
      </c>
      <c r="M259" s="10">
        <f t="shared" si="28"/>
        <v>0.22784676935802822</v>
      </c>
      <c r="P259" s="8">
        <f t="shared" si="29"/>
        <v>7.1318622556763396</v>
      </c>
    </row>
    <row r="260" spans="1:16" x14ac:dyDescent="0.2">
      <c r="A260" s="8">
        <v>129</v>
      </c>
      <c r="B260" s="8">
        <v>258</v>
      </c>
      <c r="D260">
        <v>1050.074522293</v>
      </c>
      <c r="E260">
        <v>307.49617834395002</v>
      </c>
      <c r="F260">
        <v>127.05161290322999</v>
      </c>
      <c r="G260">
        <v>108.53677419355</v>
      </c>
      <c r="I260" s="9">
        <f t="shared" si="26"/>
        <v>198.95940415040002</v>
      </c>
      <c r="J260" s="9">
        <f t="shared" si="27"/>
        <v>923.02290938977001</v>
      </c>
      <c r="K260" s="9">
        <f t="shared" si="31"/>
        <v>198.95940415040002</v>
      </c>
      <c r="L260" s="10">
        <f t="shared" si="30"/>
        <v>0.21555196748251493</v>
      </c>
      <c r="M260" s="10">
        <f t="shared" si="28"/>
        <v>0.22819990294899231</v>
      </c>
      <c r="P260" s="8">
        <f t="shared" si="29"/>
        <v>7.297903052882333</v>
      </c>
    </row>
    <row r="261" spans="1:16" x14ac:dyDescent="0.2">
      <c r="A261" s="8">
        <v>129.5</v>
      </c>
      <c r="B261" s="8">
        <v>259</v>
      </c>
      <c r="D261">
        <v>1040.2031847134001</v>
      </c>
      <c r="E261">
        <v>307.46050955414</v>
      </c>
      <c r="F261">
        <v>127.03419354838999</v>
      </c>
      <c r="G261">
        <v>108.64387096774</v>
      </c>
      <c r="I261" s="9">
        <f t="shared" si="26"/>
        <v>198.81663858640002</v>
      </c>
      <c r="J261" s="9">
        <f t="shared" si="27"/>
        <v>913.16899116501008</v>
      </c>
      <c r="K261" s="9">
        <f t="shared" si="31"/>
        <v>198.81663858640002</v>
      </c>
      <c r="L261" s="10">
        <f t="shared" si="30"/>
        <v>0.21772162711389501</v>
      </c>
      <c r="M261" s="10">
        <f t="shared" si="28"/>
        <v>0.23041858558605641</v>
      </c>
      <c r="P261" s="8">
        <f t="shared" si="29"/>
        <v>8.3411111849647916</v>
      </c>
    </row>
    <row r="262" spans="1:16" x14ac:dyDescent="0.2">
      <c r="A262" s="8">
        <v>130</v>
      </c>
      <c r="B262" s="8">
        <v>260</v>
      </c>
      <c r="D262">
        <v>1036.7872611465</v>
      </c>
      <c r="E262">
        <v>303.89999999999998</v>
      </c>
      <c r="F262">
        <v>127.15677419355001</v>
      </c>
      <c r="G262">
        <v>108.60193548386999</v>
      </c>
      <c r="I262" s="9">
        <f t="shared" si="26"/>
        <v>195.29806451612998</v>
      </c>
      <c r="J262" s="9">
        <f t="shared" si="27"/>
        <v>909.63048695294992</v>
      </c>
      <c r="K262" s="9">
        <f t="shared" si="31"/>
        <v>195.29806451612998</v>
      </c>
      <c r="L262" s="10">
        <f t="shared" si="30"/>
        <v>0.21470043860373783</v>
      </c>
      <c r="M262" s="10">
        <f t="shared" si="28"/>
        <v>0.22744642008158325</v>
      </c>
      <c r="P262" s="8">
        <f t="shared" si="29"/>
        <v>6.9436209930983885</v>
      </c>
    </row>
    <row r="263" spans="1:16" x14ac:dyDescent="0.2">
      <c r="A263" s="8">
        <v>130.5</v>
      </c>
      <c r="B263" s="8">
        <v>261</v>
      </c>
      <c r="D263">
        <v>1033.725477707</v>
      </c>
      <c r="E263">
        <v>304.96242038217002</v>
      </c>
      <c r="F263">
        <v>127.12064516129</v>
      </c>
      <c r="G263">
        <v>108.56193548387</v>
      </c>
      <c r="I263" s="9">
        <f t="shared" si="26"/>
        <v>196.40048489830002</v>
      </c>
      <c r="J263" s="9">
        <f t="shared" si="27"/>
        <v>906.60483254571</v>
      </c>
      <c r="K263" s="9">
        <f t="shared" si="31"/>
        <v>196.40048489830002</v>
      </c>
      <c r="L263" s="10">
        <f t="shared" si="30"/>
        <v>0.21663295611034339</v>
      </c>
      <c r="M263" s="10">
        <f t="shared" si="28"/>
        <v>0.22942796059387283</v>
      </c>
      <c r="P263" s="8">
        <f t="shared" si="29"/>
        <v>7.8753266557012775</v>
      </c>
    </row>
    <row r="264" spans="1:16" x14ac:dyDescent="0.2">
      <c r="A264" s="8">
        <v>131</v>
      </c>
      <c r="B264" s="8">
        <v>262</v>
      </c>
      <c r="D264">
        <v>1045.1140127389001</v>
      </c>
      <c r="E264">
        <v>307.87898089172</v>
      </c>
      <c r="F264">
        <v>126.94451612903001</v>
      </c>
      <c r="G264">
        <v>108.77548387097001</v>
      </c>
      <c r="I264" s="9">
        <f t="shared" si="26"/>
        <v>199.10349702075001</v>
      </c>
      <c r="J264" s="9">
        <f t="shared" si="27"/>
        <v>918.16949660987007</v>
      </c>
      <c r="K264" s="9">
        <f t="shared" si="31"/>
        <v>199.10349702075001</v>
      </c>
      <c r="L264" s="10">
        <f t="shared" si="30"/>
        <v>0.21684830279800618</v>
      </c>
      <c r="M264" s="10">
        <f t="shared" si="28"/>
        <v>0.22969233028721964</v>
      </c>
      <c r="P264" s="8">
        <f t="shared" si="29"/>
        <v>7.9996313261252023</v>
      </c>
    </row>
    <row r="265" spans="1:16" x14ac:dyDescent="0.2">
      <c r="A265" s="8">
        <v>131.5</v>
      </c>
      <c r="B265" s="8">
        <v>263</v>
      </c>
      <c r="D265">
        <v>1036.1598726115001</v>
      </c>
      <c r="E265">
        <v>305.55668789808999</v>
      </c>
      <c r="F265">
        <v>127.07290322580999</v>
      </c>
      <c r="G265">
        <v>108.9264516129</v>
      </c>
      <c r="I265" s="9">
        <f t="shared" si="26"/>
        <v>196.63023628518999</v>
      </c>
      <c r="J265" s="9">
        <f t="shared" si="27"/>
        <v>909.08696938569005</v>
      </c>
      <c r="K265" s="9">
        <f t="shared" si="31"/>
        <v>196.63023628518999</v>
      </c>
      <c r="L265" s="10">
        <f t="shared" si="30"/>
        <v>0.21629419726262458</v>
      </c>
      <c r="M265" s="10">
        <f t="shared" si="28"/>
        <v>0.22918724775752206</v>
      </c>
      <c r="P265" s="8">
        <f t="shared" si="29"/>
        <v>7.7621452641030402</v>
      </c>
    </row>
    <row r="266" spans="1:16" x14ac:dyDescent="0.2">
      <c r="A266" s="8">
        <v>132</v>
      </c>
      <c r="B266" s="8">
        <v>264</v>
      </c>
      <c r="D266">
        <v>1026.5280254777001</v>
      </c>
      <c r="E266">
        <v>304.20063694267998</v>
      </c>
      <c r="F266">
        <v>126.92</v>
      </c>
      <c r="G266">
        <v>108.72064516128999</v>
      </c>
      <c r="I266" s="9">
        <f t="shared" si="26"/>
        <v>195.47999178138997</v>
      </c>
      <c r="J266" s="9">
        <f t="shared" si="27"/>
        <v>899.60802547770015</v>
      </c>
      <c r="K266" s="9">
        <f t="shared" si="31"/>
        <v>195.47999178138997</v>
      </c>
      <c r="L266" s="10">
        <f t="shared" si="30"/>
        <v>0.21729462859959292</v>
      </c>
      <c r="M266" s="10">
        <f t="shared" si="28"/>
        <v>0.23023670210017441</v>
      </c>
      <c r="P266" s="8">
        <f t="shared" si="29"/>
        <v>8.2555909179406246</v>
      </c>
    </row>
    <row r="267" spans="1:16" x14ac:dyDescent="0.2">
      <c r="A267" s="8">
        <v>132.5</v>
      </c>
      <c r="B267" s="8">
        <v>265</v>
      </c>
      <c r="D267">
        <v>1026.2764331210001</v>
      </c>
      <c r="E267">
        <v>304.49108280255001</v>
      </c>
      <c r="F267">
        <v>126.79483870967999</v>
      </c>
      <c r="G267">
        <v>109.16774193548</v>
      </c>
      <c r="I267" s="9">
        <f t="shared" si="26"/>
        <v>195.32334086707002</v>
      </c>
      <c r="J267" s="9">
        <f t="shared" si="27"/>
        <v>899.48159441132009</v>
      </c>
      <c r="K267" s="9">
        <f t="shared" si="31"/>
        <v>195.32334086707002</v>
      </c>
      <c r="L267" s="10">
        <f t="shared" si="30"/>
        <v>0.21715101462960168</v>
      </c>
      <c r="M267" s="10">
        <f t="shared" si="28"/>
        <v>0.23014211113586719</v>
      </c>
      <c r="P267" s="8">
        <f t="shared" si="29"/>
        <v>8.211114947588511</v>
      </c>
    </row>
    <row r="268" spans="1:16" x14ac:dyDescent="0.2">
      <c r="A268" s="8">
        <v>133</v>
      </c>
      <c r="B268" s="8">
        <v>266</v>
      </c>
      <c r="D268">
        <v>1030.2121019107999</v>
      </c>
      <c r="E268">
        <v>305.44968152865999</v>
      </c>
      <c r="F268">
        <v>127.23741935484</v>
      </c>
      <c r="G268">
        <v>108.70967741936001</v>
      </c>
      <c r="I268" s="9">
        <f t="shared" si="26"/>
        <v>196.7400041093</v>
      </c>
      <c r="J268" s="9">
        <f t="shared" si="27"/>
        <v>902.97468255595993</v>
      </c>
      <c r="K268" s="9">
        <f t="shared" si="31"/>
        <v>196.7400041093</v>
      </c>
      <c r="L268" s="10">
        <f t="shared" si="30"/>
        <v>0.21787986740935836</v>
      </c>
      <c r="M268" s="10">
        <f t="shared" si="28"/>
        <v>0.23091998692130788</v>
      </c>
      <c r="P268" s="8">
        <f t="shared" si="29"/>
        <v>8.5768663766417319</v>
      </c>
    </row>
    <row r="269" spans="1:16" x14ac:dyDescent="0.2">
      <c r="A269" s="8">
        <v>133.5</v>
      </c>
      <c r="B269" s="8">
        <v>267</v>
      </c>
      <c r="D269">
        <v>1039.1433121018999</v>
      </c>
      <c r="E269">
        <v>306.94713375795999</v>
      </c>
      <c r="F269">
        <v>126.99161290323001</v>
      </c>
      <c r="G269">
        <v>108.80322580645</v>
      </c>
      <c r="I269" s="9">
        <f t="shared" si="26"/>
        <v>198.14390795150999</v>
      </c>
      <c r="J269" s="9">
        <f t="shared" si="27"/>
        <v>912.15169919866992</v>
      </c>
      <c r="K269" s="9">
        <f t="shared" si="31"/>
        <v>198.14390795150999</v>
      </c>
      <c r="L269" s="10">
        <f t="shared" si="30"/>
        <v>0.21722692412411276</v>
      </c>
      <c r="M269" s="10">
        <f t="shared" si="28"/>
        <v>0.23031606664174631</v>
      </c>
      <c r="P269" s="8">
        <f t="shared" si="29"/>
        <v>8.2929075371739014</v>
      </c>
    </row>
    <row r="270" spans="1:16" x14ac:dyDescent="0.2">
      <c r="A270" s="8">
        <v>134</v>
      </c>
      <c r="B270" s="8">
        <v>268</v>
      </c>
      <c r="D270">
        <v>1042.1942675159</v>
      </c>
      <c r="E270">
        <v>307.57834394905001</v>
      </c>
      <c r="F270">
        <v>126.90129032258</v>
      </c>
      <c r="G270">
        <v>108.7864516129</v>
      </c>
      <c r="I270" s="9">
        <f t="shared" si="26"/>
        <v>198.79189233615</v>
      </c>
      <c r="J270" s="9">
        <f t="shared" si="27"/>
        <v>915.29297719331998</v>
      </c>
      <c r="K270" s="9">
        <f t="shared" si="31"/>
        <v>198.79189233615</v>
      </c>
      <c r="L270" s="10">
        <f t="shared" si="30"/>
        <v>0.21718935607452275</v>
      </c>
      <c r="M270" s="10">
        <f t="shared" si="28"/>
        <v>0.23032752159784034</v>
      </c>
      <c r="P270" s="8">
        <f t="shared" si="29"/>
        <v>8.2982935726303975</v>
      </c>
    </row>
    <row r="271" spans="1:16" x14ac:dyDescent="0.2">
      <c r="A271" s="8">
        <v>134.5</v>
      </c>
      <c r="B271" s="8">
        <v>269</v>
      </c>
      <c r="D271">
        <v>1037.5649681529001</v>
      </c>
      <c r="E271">
        <v>307.76050955414001</v>
      </c>
      <c r="F271">
        <v>126.82580645161001</v>
      </c>
      <c r="G271">
        <v>108.92129032258001</v>
      </c>
      <c r="I271" s="9">
        <f t="shared" si="26"/>
        <v>198.83921923156001</v>
      </c>
      <c r="J271" s="9">
        <f t="shared" si="27"/>
        <v>910.73916170129007</v>
      </c>
      <c r="K271" s="9">
        <f t="shared" si="31"/>
        <v>198.83921923156001</v>
      </c>
      <c r="L271" s="10">
        <f t="shared" si="30"/>
        <v>0.21832729676422605</v>
      </c>
      <c r="M271" s="10">
        <f t="shared" si="28"/>
        <v>0.23151448529322766</v>
      </c>
      <c r="P271" s="8">
        <f t="shared" si="29"/>
        <v>8.8563951049672731</v>
      </c>
    </row>
    <row r="272" spans="1:16" x14ac:dyDescent="0.2">
      <c r="A272" s="8">
        <v>135</v>
      </c>
      <c r="B272" s="8">
        <v>270</v>
      </c>
      <c r="D272">
        <v>1055.1350318471</v>
      </c>
      <c r="E272">
        <v>310.26942675159</v>
      </c>
      <c r="F272">
        <v>126.32129032258</v>
      </c>
      <c r="G272">
        <v>108.66322580645</v>
      </c>
      <c r="I272" s="9">
        <f t="shared" si="26"/>
        <v>201.60620094514002</v>
      </c>
      <c r="J272" s="9">
        <f t="shared" si="27"/>
        <v>928.81374152451997</v>
      </c>
      <c r="K272" s="9">
        <f t="shared" si="31"/>
        <v>201.60620094514002</v>
      </c>
      <c r="L272" s="10">
        <f t="shared" si="30"/>
        <v>0.21705772851102653</v>
      </c>
      <c r="M272" s="10">
        <f t="shared" si="28"/>
        <v>0.23029394004571216</v>
      </c>
      <c r="P272" s="8">
        <f t="shared" si="29"/>
        <v>8.282503775710893</v>
      </c>
    </row>
    <row r="273" spans="1:16" x14ac:dyDescent="0.2">
      <c r="A273" s="8">
        <v>135.5</v>
      </c>
      <c r="B273" s="8">
        <v>271</v>
      </c>
      <c r="D273">
        <v>1051.9076433120999</v>
      </c>
      <c r="E273">
        <v>308.98535031847001</v>
      </c>
      <c r="F273">
        <v>126.57741935484</v>
      </c>
      <c r="G273">
        <v>108.86064516128999</v>
      </c>
      <c r="I273" s="9">
        <f t="shared" si="26"/>
        <v>200.12470515718002</v>
      </c>
      <c r="J273" s="9">
        <f t="shared" si="27"/>
        <v>925.33022395725993</v>
      </c>
      <c r="K273" s="9">
        <f t="shared" si="31"/>
        <v>200.12470515718002</v>
      </c>
      <c r="L273" s="10">
        <f t="shared" si="30"/>
        <v>0.21627382309131574</v>
      </c>
      <c r="M273" s="10">
        <f t="shared" si="28"/>
        <v>0.22955905763168538</v>
      </c>
      <c r="P273" s="8">
        <f t="shared" si="29"/>
        <v>7.9369675112492111</v>
      </c>
    </row>
    <row r="274" spans="1:16" x14ac:dyDescent="0.2">
      <c r="A274" s="8">
        <v>136</v>
      </c>
      <c r="B274" s="8">
        <v>272</v>
      </c>
      <c r="D274">
        <v>1044.1394904459</v>
      </c>
      <c r="E274">
        <v>308.40063694268002</v>
      </c>
      <c r="F274">
        <v>126.23806451613</v>
      </c>
      <c r="G274">
        <v>108.93032258065</v>
      </c>
      <c r="I274" s="9">
        <f t="shared" si="26"/>
        <v>199.47031436203002</v>
      </c>
      <c r="J274" s="9">
        <f t="shared" si="27"/>
        <v>917.90142592977008</v>
      </c>
      <c r="K274" s="9">
        <f t="shared" si="31"/>
        <v>199.47031436203002</v>
      </c>
      <c r="L274" s="10">
        <f t="shared" si="30"/>
        <v>0.21731125884239749</v>
      </c>
      <c r="M274" s="10">
        <f t="shared" si="28"/>
        <v>0.23064551638845115</v>
      </c>
      <c r="P274" s="8">
        <f t="shared" si="29"/>
        <v>8.4478123663430633</v>
      </c>
    </row>
    <row r="275" spans="1:16" x14ac:dyDescent="0.2">
      <c r="A275" s="8">
        <v>136.5</v>
      </c>
      <c r="B275" s="8">
        <v>273</v>
      </c>
      <c r="D275">
        <v>1038.801910828</v>
      </c>
      <c r="E275">
        <v>306.62165605095998</v>
      </c>
      <c r="F275">
        <v>126.88709677419</v>
      </c>
      <c r="G275">
        <v>108.80580645161</v>
      </c>
      <c r="I275" s="9">
        <f>E275-G275</f>
        <v>197.81584959934997</v>
      </c>
      <c r="J275" s="9">
        <f>D275-F275</f>
        <v>911.91481405381001</v>
      </c>
      <c r="K275" s="9">
        <f t="shared" si="31"/>
        <v>197.81584959934997</v>
      </c>
      <c r="L275" s="10">
        <f t="shared" si="30"/>
        <v>0.21692360574775937</v>
      </c>
      <c r="M275" s="10">
        <f>L275+ABS($N$2)*A275</f>
        <v>0.23030688629949705</v>
      </c>
      <c r="O275" s="11"/>
      <c r="P275" s="8">
        <f>(M275-$O$2)/$O$2*100</f>
        <v>8.288591008288817</v>
      </c>
    </row>
    <row r="276" spans="1:16" x14ac:dyDescent="0.2">
      <c r="A276" s="8">
        <v>137</v>
      </c>
      <c r="B276" s="8">
        <v>274</v>
      </c>
      <c r="D276">
        <v>1048.0140127389</v>
      </c>
      <c r="E276">
        <v>309.10764331209998</v>
      </c>
      <c r="F276">
        <v>126.62838709677</v>
      </c>
      <c r="G276">
        <v>108.71032258065</v>
      </c>
      <c r="I276" s="9">
        <f t="shared" ref="I276:I291" si="32">E276-G276</f>
        <v>200.39732073144998</v>
      </c>
      <c r="J276" s="9">
        <f t="shared" ref="J276:J291" si="33">D276-F276</f>
        <v>921.38562564212998</v>
      </c>
      <c r="K276" s="9">
        <f t="shared" si="31"/>
        <v>200.39732073144998</v>
      </c>
      <c r="L276" s="10">
        <f t="shared" si="30"/>
        <v>0.21749560135778062</v>
      </c>
      <c r="M276" s="10">
        <f t="shared" ref="M276:M291" si="34">L276+ABS($N$2)*A276</f>
        <v>0.23092790491520232</v>
      </c>
      <c r="P276" s="8">
        <f t="shared" ref="P276:P291" si="35">(M276-$O$2)/$O$2*100</f>
        <v>8.580589358686332</v>
      </c>
    </row>
    <row r="277" spans="1:16" x14ac:dyDescent="0.2">
      <c r="A277" s="8">
        <v>137.5</v>
      </c>
      <c r="B277" s="8">
        <v>275</v>
      </c>
      <c r="D277">
        <v>1046.396178344</v>
      </c>
      <c r="E277">
        <v>310.40509554139999</v>
      </c>
      <c r="F277">
        <v>126.62967741935999</v>
      </c>
      <c r="G277">
        <v>108.64322580645</v>
      </c>
      <c r="I277" s="9">
        <f t="shared" si="32"/>
        <v>201.76186973494998</v>
      </c>
      <c r="J277" s="9">
        <f t="shared" si="33"/>
        <v>919.76650092464001</v>
      </c>
      <c r="K277" s="9">
        <f t="shared" si="31"/>
        <v>201.76186973494998</v>
      </c>
      <c r="L277" s="10">
        <f t="shared" si="30"/>
        <v>0.21936205496951569</v>
      </c>
      <c r="M277" s="10">
        <f t="shared" si="34"/>
        <v>0.23284338153262141</v>
      </c>
      <c r="N277" s="1"/>
      <c r="P277" s="8">
        <f t="shared" si="35"/>
        <v>9.4812322675566119</v>
      </c>
    </row>
    <row r="278" spans="1:16" x14ac:dyDescent="0.2">
      <c r="A278" s="8">
        <v>138</v>
      </c>
      <c r="B278" s="8">
        <v>276</v>
      </c>
      <c r="D278">
        <v>1053.0210191082999</v>
      </c>
      <c r="E278">
        <v>310.65668789809001</v>
      </c>
      <c r="F278">
        <v>126.29741935484</v>
      </c>
      <c r="G278">
        <v>108.64387096774</v>
      </c>
      <c r="I278" s="9">
        <f t="shared" si="32"/>
        <v>202.01281693035003</v>
      </c>
      <c r="J278" s="9">
        <f t="shared" si="33"/>
        <v>926.72359975345989</v>
      </c>
      <c r="K278" s="9">
        <f t="shared" si="31"/>
        <v>202.01281693035003</v>
      </c>
      <c r="L278" s="10">
        <f t="shared" si="30"/>
        <v>0.21798604997659748</v>
      </c>
      <c r="M278" s="10">
        <f t="shared" si="34"/>
        <v>0.23151639954538722</v>
      </c>
      <c r="P278" s="8">
        <f t="shared" si="35"/>
        <v>8.8572951721451361</v>
      </c>
    </row>
    <row r="279" spans="1:16" x14ac:dyDescent="0.2">
      <c r="A279" s="8">
        <v>138.5</v>
      </c>
      <c r="B279" s="8">
        <v>277</v>
      </c>
      <c r="D279">
        <v>1039.5031847134001</v>
      </c>
      <c r="E279">
        <v>308.26050955414001</v>
      </c>
      <c r="F279">
        <v>126.39806451613001</v>
      </c>
      <c r="G279">
        <v>108.5464516129</v>
      </c>
      <c r="I279" s="9">
        <f t="shared" si="32"/>
        <v>199.71405794124001</v>
      </c>
      <c r="J279" s="9">
        <f t="shared" si="33"/>
        <v>913.10512019727003</v>
      </c>
      <c r="K279" s="9">
        <f t="shared" si="31"/>
        <v>199.71405794124001</v>
      </c>
      <c r="L279" s="10">
        <f t="shared" si="30"/>
        <v>0.21871967807835002</v>
      </c>
      <c r="M279" s="10">
        <f t="shared" si="34"/>
        <v>0.2322990506528238</v>
      </c>
      <c r="P279" s="8">
        <f t="shared" si="35"/>
        <v>9.2252919222083118</v>
      </c>
    </row>
    <row r="280" spans="1:16" x14ac:dyDescent="0.2">
      <c r="A280" s="8">
        <v>139</v>
      </c>
      <c r="B280" s="8">
        <v>278</v>
      </c>
      <c r="D280">
        <v>1036.5458598726</v>
      </c>
      <c r="E280">
        <v>308.2949044586</v>
      </c>
      <c r="F280">
        <v>126.62709677418999</v>
      </c>
      <c r="G280">
        <v>108.88838709677</v>
      </c>
      <c r="I280" s="9">
        <f t="shared" si="32"/>
        <v>199.40651736183</v>
      </c>
      <c r="J280" s="9">
        <f t="shared" si="33"/>
        <v>909.91876309840995</v>
      </c>
      <c r="K280" s="9">
        <f t="shared" si="31"/>
        <v>199.40651736183</v>
      </c>
      <c r="L280" s="10">
        <f t="shared" si="30"/>
        <v>0.21914760465299218</v>
      </c>
      <c r="M280" s="10">
        <f t="shared" si="34"/>
        <v>0.23277600023314998</v>
      </c>
      <c r="P280" s="8">
        <f t="shared" si="35"/>
        <v>9.4495500799446468</v>
      </c>
    </row>
    <row r="281" spans="1:16" x14ac:dyDescent="0.2">
      <c r="A281" s="8">
        <v>139.5</v>
      </c>
      <c r="B281" s="8">
        <v>279</v>
      </c>
      <c r="D281">
        <v>1032.8611464968001</v>
      </c>
      <c r="E281">
        <v>307.05031847134001</v>
      </c>
      <c r="F281">
        <v>126.79677419354999</v>
      </c>
      <c r="G281">
        <v>108.67806451612999</v>
      </c>
      <c r="I281" s="9">
        <f t="shared" si="32"/>
        <v>198.37225395521</v>
      </c>
      <c r="J281" s="9">
        <f t="shared" si="33"/>
        <v>906.06437230325014</v>
      </c>
      <c r="K281" s="9">
        <f t="shared" si="31"/>
        <v>198.37225395521</v>
      </c>
      <c r="L281" s="10">
        <f t="shared" si="30"/>
        <v>0.21893836687446408</v>
      </c>
      <c r="M281" s="10">
        <f t="shared" si="34"/>
        <v>0.2326157854603059</v>
      </c>
      <c r="P281" s="8">
        <f t="shared" si="35"/>
        <v>9.3742182811922738</v>
      </c>
    </row>
    <row r="282" spans="1:16" x14ac:dyDescent="0.2">
      <c r="A282" s="8">
        <v>140</v>
      </c>
      <c r="B282" s="8">
        <v>280</v>
      </c>
      <c r="D282">
        <v>1043.1681528662</v>
      </c>
      <c r="E282">
        <v>308.77133757962002</v>
      </c>
      <c r="F282">
        <v>126.40387096774</v>
      </c>
      <c r="G282">
        <v>108.99483870968</v>
      </c>
      <c r="I282" s="9">
        <f t="shared" si="32"/>
        <v>199.77649886994004</v>
      </c>
      <c r="J282" s="9">
        <f t="shared" si="33"/>
        <v>916.76428189846001</v>
      </c>
      <c r="K282" s="9">
        <f t="shared" si="31"/>
        <v>199.77649886994004</v>
      </c>
      <c r="L282" s="10">
        <f t="shared" si="30"/>
        <v>0.21791479316388454</v>
      </c>
      <c r="M282" s="10">
        <f t="shared" si="34"/>
        <v>0.23164123475541037</v>
      </c>
      <c r="P282" s="8">
        <f t="shared" si="35"/>
        <v>8.9159917626763097</v>
      </c>
    </row>
    <row r="283" spans="1:16" x14ac:dyDescent="0.2">
      <c r="A283" s="8">
        <v>140.5</v>
      </c>
      <c r="B283" s="8">
        <v>281</v>
      </c>
      <c r="D283">
        <v>1043.3573248407999</v>
      </c>
      <c r="E283">
        <v>308.86242038217</v>
      </c>
      <c r="F283">
        <v>126.75483870968</v>
      </c>
      <c r="G283">
        <v>108.79290322580999</v>
      </c>
      <c r="I283" s="9">
        <f t="shared" si="32"/>
        <v>200.06951715636001</v>
      </c>
      <c r="J283" s="9">
        <f t="shared" si="33"/>
        <v>916.60248613111992</v>
      </c>
      <c r="K283" s="9">
        <f t="shared" si="31"/>
        <v>200.06951715636001</v>
      </c>
      <c r="L283" s="10">
        <f t="shared" si="30"/>
        <v>0.21827293748769092</v>
      </c>
      <c r="M283" s="10">
        <f t="shared" si="34"/>
        <v>0.23204840208490077</v>
      </c>
      <c r="P283" s="8">
        <f t="shared" si="35"/>
        <v>9.1074388232639159</v>
      </c>
    </row>
    <row r="284" spans="1:16" x14ac:dyDescent="0.2">
      <c r="A284" s="8">
        <v>141</v>
      </c>
      <c r="B284" s="8">
        <v>282</v>
      </c>
      <c r="D284">
        <v>1036.0796178344001</v>
      </c>
      <c r="E284">
        <v>307.51273885350003</v>
      </c>
      <c r="F284">
        <v>126.57677419354999</v>
      </c>
      <c r="G284">
        <v>108.64387096774</v>
      </c>
      <c r="I284" s="9">
        <f t="shared" si="32"/>
        <v>198.86886788576004</v>
      </c>
      <c r="J284" s="9">
        <f t="shared" si="33"/>
        <v>909.50284364085007</v>
      </c>
      <c r="K284" s="9">
        <f t="shared" si="31"/>
        <v>198.86886788576004</v>
      </c>
      <c r="L284" s="10">
        <f t="shared" si="30"/>
        <v>0.21865667521133181</v>
      </c>
      <c r="M284" s="10">
        <f t="shared" si="34"/>
        <v>0.23248116281422568</v>
      </c>
      <c r="P284" s="8">
        <f t="shared" si="35"/>
        <v>9.310919710767088</v>
      </c>
    </row>
    <row r="285" spans="1:16" x14ac:dyDescent="0.2">
      <c r="A285" s="8">
        <v>141.5</v>
      </c>
      <c r="B285" s="8">
        <v>283</v>
      </c>
      <c r="D285">
        <v>1031.5242038217</v>
      </c>
      <c r="E285">
        <v>307.58089171975001</v>
      </c>
      <c r="F285">
        <v>126.5335483871</v>
      </c>
      <c r="G285">
        <v>108.66</v>
      </c>
      <c r="I285" s="9">
        <f t="shared" si="32"/>
        <v>198.92089171975002</v>
      </c>
      <c r="J285" s="9">
        <f t="shared" si="33"/>
        <v>904.99065543459994</v>
      </c>
      <c r="K285" s="9">
        <f t="shared" si="31"/>
        <v>198.92089171975002</v>
      </c>
      <c r="L285" s="10">
        <f t="shared" si="30"/>
        <v>0.21980435988504551</v>
      </c>
      <c r="M285" s="10">
        <f t="shared" si="34"/>
        <v>0.2336778704936234</v>
      </c>
      <c r="P285" s="8">
        <f t="shared" si="35"/>
        <v>9.8736027921676861</v>
      </c>
    </row>
    <row r="286" spans="1:16" x14ac:dyDescent="0.2">
      <c r="A286" s="8">
        <v>142</v>
      </c>
      <c r="B286" s="8">
        <v>284</v>
      </c>
      <c r="D286">
        <v>1037.8337579618001</v>
      </c>
      <c r="E286">
        <v>308.27898089171998</v>
      </c>
      <c r="F286">
        <v>126.26774193548</v>
      </c>
      <c r="G286">
        <v>108.69935483870999</v>
      </c>
      <c r="I286" s="9">
        <f t="shared" si="32"/>
        <v>199.57962605300997</v>
      </c>
      <c r="J286" s="9">
        <f t="shared" si="33"/>
        <v>911.56601602632009</v>
      </c>
      <c r="K286" s="9">
        <f t="shared" si="31"/>
        <v>199.57962605300997</v>
      </c>
      <c r="L286" s="10">
        <f t="shared" si="30"/>
        <v>0.21894149468517199</v>
      </c>
      <c r="M286" s="10">
        <f t="shared" si="34"/>
        <v>0.2328640282994339</v>
      </c>
      <c r="P286" s="8">
        <f t="shared" si="35"/>
        <v>9.4909402242874119</v>
      </c>
    </row>
    <row r="287" spans="1:16" x14ac:dyDescent="0.2">
      <c r="A287" s="8">
        <v>142.5</v>
      </c>
      <c r="B287" s="8">
        <v>285</v>
      </c>
      <c r="D287">
        <v>1045.8611464968001</v>
      </c>
      <c r="E287">
        <v>309.21719745222998</v>
      </c>
      <c r="F287">
        <v>126.38451612903</v>
      </c>
      <c r="G287">
        <v>108.54193548387001</v>
      </c>
      <c r="I287" s="9">
        <f t="shared" si="32"/>
        <v>200.67526196835996</v>
      </c>
      <c r="J287" s="9">
        <f t="shared" si="33"/>
        <v>919.4766303677701</v>
      </c>
      <c r="K287" s="9">
        <f t="shared" si="31"/>
        <v>200.67526196835996</v>
      </c>
      <c r="L287" s="10">
        <f t="shared" si="30"/>
        <v>0.21824944249871184</v>
      </c>
      <c r="M287" s="10">
        <f t="shared" si="34"/>
        <v>0.23222099911865776</v>
      </c>
      <c r="P287" s="8">
        <f t="shared" si="35"/>
        <v>9.1885926693258586</v>
      </c>
    </row>
    <row r="288" spans="1:16" x14ac:dyDescent="0.2">
      <c r="A288" s="8">
        <v>143</v>
      </c>
      <c r="B288" s="8">
        <v>286</v>
      </c>
      <c r="D288">
        <v>1036.4184713376001</v>
      </c>
      <c r="E288">
        <v>308.14522292994002</v>
      </c>
      <c r="F288">
        <v>126.55677419355</v>
      </c>
      <c r="G288">
        <v>108.44258064516001</v>
      </c>
      <c r="I288" s="9">
        <f t="shared" si="32"/>
        <v>199.70264228478001</v>
      </c>
      <c r="J288" s="9">
        <f t="shared" si="33"/>
        <v>909.86169714405003</v>
      </c>
      <c r="K288" s="9">
        <f t="shared" si="31"/>
        <v>199.70264228478001</v>
      </c>
      <c r="L288" s="10">
        <f t="shared" si="30"/>
        <v>0.21948681092041061</v>
      </c>
      <c r="M288" s="10">
        <f t="shared" si="34"/>
        <v>0.23350739054604056</v>
      </c>
      <c r="P288" s="8">
        <f t="shared" si="35"/>
        <v>9.7934443843339487</v>
      </c>
    </row>
    <row r="289" spans="1:16" x14ac:dyDescent="0.2">
      <c r="A289" s="8">
        <v>143.5</v>
      </c>
      <c r="B289" s="8">
        <v>287</v>
      </c>
      <c r="D289">
        <v>1033.0407643312001</v>
      </c>
      <c r="E289">
        <v>307.63503184712999</v>
      </c>
      <c r="F289">
        <v>126.73096774194001</v>
      </c>
      <c r="G289">
        <v>108.48516129031999</v>
      </c>
      <c r="I289" s="9">
        <f t="shared" si="32"/>
        <v>199.14987055681001</v>
      </c>
      <c r="J289" s="9">
        <f t="shared" si="33"/>
        <v>906.30979658926003</v>
      </c>
      <c r="K289" s="9">
        <f t="shared" si="31"/>
        <v>199.14987055681001</v>
      </c>
      <c r="L289" s="10">
        <f t="shared" si="30"/>
        <v>0.2197370825144736</v>
      </c>
      <c r="M289" s="10">
        <f t="shared" si="34"/>
        <v>0.23380668514578759</v>
      </c>
      <c r="P289" s="8">
        <f t="shared" si="35"/>
        <v>9.9341704868997631</v>
      </c>
    </row>
    <row r="290" spans="1:16" x14ac:dyDescent="0.2">
      <c r="A290" s="8">
        <v>144</v>
      </c>
      <c r="B290" s="8">
        <v>288</v>
      </c>
      <c r="D290">
        <v>1042.5662420382</v>
      </c>
      <c r="E290">
        <v>309.48726114649997</v>
      </c>
      <c r="F290">
        <v>126.73935483871</v>
      </c>
      <c r="G290">
        <v>108.73806451613</v>
      </c>
      <c r="I290" s="9">
        <f t="shared" si="32"/>
        <v>200.74919663036997</v>
      </c>
      <c r="J290" s="9">
        <f t="shared" si="33"/>
        <v>915.82688719948999</v>
      </c>
      <c r="K290" s="9">
        <f t="shared" si="31"/>
        <v>200.74919663036997</v>
      </c>
      <c r="L290" s="10">
        <f t="shared" si="30"/>
        <v>0.21919993771338336</v>
      </c>
      <c r="M290" s="10">
        <f t="shared" si="34"/>
        <v>0.23331856335038137</v>
      </c>
      <c r="P290" s="8">
        <f t="shared" si="35"/>
        <v>9.7046592364361608</v>
      </c>
    </row>
    <row r="291" spans="1:16" x14ac:dyDescent="0.2">
      <c r="A291" s="8">
        <v>144.5</v>
      </c>
      <c r="B291" s="8">
        <v>289</v>
      </c>
      <c r="D291">
        <v>1047.4566878981</v>
      </c>
      <c r="E291">
        <v>311.46178343948998</v>
      </c>
      <c r="F291">
        <v>126.60451612903</v>
      </c>
      <c r="G291">
        <v>108.65935483871</v>
      </c>
      <c r="I291" s="9">
        <f t="shared" si="32"/>
        <v>202.80242860077999</v>
      </c>
      <c r="J291" s="9">
        <f t="shared" si="33"/>
        <v>920.85217176906997</v>
      </c>
      <c r="K291" s="9">
        <f t="shared" si="31"/>
        <v>202.80242860077999</v>
      </c>
      <c r="L291" s="10">
        <f t="shared" si="30"/>
        <v>0.22023342597017678</v>
      </c>
      <c r="M291" s="10">
        <f t="shared" si="34"/>
        <v>0.23440107461285881</v>
      </c>
      <c r="P291" s="8">
        <f t="shared" si="35"/>
        <v>10.213648008972667</v>
      </c>
    </row>
    <row r="292" spans="1:16" x14ac:dyDescent="0.2">
      <c r="A292" s="8">
        <v>145</v>
      </c>
      <c r="B292" s="8">
        <v>290</v>
      </c>
      <c r="D292">
        <v>1044.7140127389</v>
      </c>
      <c r="E292">
        <v>309.89363057324999</v>
      </c>
      <c r="F292">
        <v>126.57161290323</v>
      </c>
      <c r="G292">
        <v>108.74451612903</v>
      </c>
      <c r="I292" s="9">
        <f>E292-G292</f>
        <v>201.14911444422</v>
      </c>
      <c r="J292" s="9">
        <f>D292-F292</f>
        <v>918.14239983566995</v>
      </c>
      <c r="K292" s="9">
        <f t="shared" si="31"/>
        <v>201.14911444422</v>
      </c>
      <c r="L292" s="10">
        <f t="shared" si="30"/>
        <v>0.21908269837034197</v>
      </c>
      <c r="M292" s="10">
        <f>L292+ABS($N$2)*A292</f>
        <v>0.23329937001870801</v>
      </c>
      <c r="O292" s="11"/>
      <c r="P292" s="8">
        <f>(M292-$O$2)/$O$2*100</f>
        <v>9.6956346741355812</v>
      </c>
    </row>
    <row r="293" spans="1:16" x14ac:dyDescent="0.2">
      <c r="A293" s="8">
        <v>145.5</v>
      </c>
      <c r="B293" s="8">
        <v>291</v>
      </c>
      <c r="D293">
        <v>1040.8636942675</v>
      </c>
      <c r="E293">
        <v>310.42547770700997</v>
      </c>
      <c r="F293">
        <v>127.04967741935999</v>
      </c>
      <c r="G293">
        <v>108.78322580645001</v>
      </c>
      <c r="I293" s="9">
        <f t="shared" ref="I293:I301" si="36">E293-G293</f>
        <v>201.64225190055998</v>
      </c>
      <c r="J293" s="9">
        <f t="shared" ref="J293:J301" si="37">D293-F293</f>
        <v>913.81401684814</v>
      </c>
      <c r="K293" s="9">
        <f t="shared" si="31"/>
        <v>201.64225190055998</v>
      </c>
      <c r="L293" s="10">
        <f t="shared" si="30"/>
        <v>0.22066005574750275</v>
      </c>
      <c r="M293" s="10">
        <f t="shared" ref="M293:M301" si="38">L293+ABS($N$2)*A293</f>
        <v>0.23492575040155281</v>
      </c>
      <c r="P293" s="8">
        <f t="shared" ref="P293:P301" si="39">(M293-$O$2)/$O$2*100</f>
        <v>10.460346676158634</v>
      </c>
    </row>
    <row r="294" spans="1:16" x14ac:dyDescent="0.2">
      <c r="A294" s="8">
        <v>146</v>
      </c>
      <c r="B294" s="8">
        <v>292</v>
      </c>
      <c r="D294">
        <v>1032.9942675159</v>
      </c>
      <c r="E294">
        <v>307.34585987260999</v>
      </c>
      <c r="F294">
        <v>126.86903225807001</v>
      </c>
      <c r="G294">
        <v>108.65290322580999</v>
      </c>
      <c r="I294" s="9">
        <f t="shared" si="36"/>
        <v>198.69295664679998</v>
      </c>
      <c r="J294" s="9">
        <f t="shared" si="37"/>
        <v>906.12523525783001</v>
      </c>
      <c r="K294" s="9">
        <f t="shared" si="31"/>
        <v>198.69295664679998</v>
      </c>
      <c r="L294" s="10">
        <f t="shared" si="30"/>
        <v>0.21927758869916436</v>
      </c>
      <c r="M294" s="10">
        <f t="shared" si="38"/>
        <v>0.23359230635889844</v>
      </c>
      <c r="N294" s="1"/>
      <c r="P294" s="8">
        <f t="shared" si="39"/>
        <v>9.8333711701824011</v>
      </c>
    </row>
    <row r="295" spans="1:16" x14ac:dyDescent="0.2">
      <c r="A295" s="8">
        <v>146.5</v>
      </c>
      <c r="B295" s="8">
        <v>293</v>
      </c>
      <c r="D295">
        <v>1038.5063694267999</v>
      </c>
      <c r="E295">
        <v>310.05222929936002</v>
      </c>
      <c r="F295">
        <v>126.45870967742</v>
      </c>
      <c r="G295">
        <v>108.73096774194001</v>
      </c>
      <c r="I295" s="9">
        <f t="shared" si="36"/>
        <v>201.32126155742003</v>
      </c>
      <c r="J295" s="9">
        <f t="shared" si="37"/>
        <v>912.04765974937993</v>
      </c>
      <c r="K295" s="9">
        <f t="shared" si="31"/>
        <v>201.32126155742003</v>
      </c>
      <c r="L295" s="10">
        <f t="shared" si="30"/>
        <v>0.22073546201822475</v>
      </c>
      <c r="M295" s="10">
        <f t="shared" si="38"/>
        <v>0.23509920268364284</v>
      </c>
      <c r="P295" s="8">
        <f t="shared" si="39"/>
        <v>10.541902653648064</v>
      </c>
    </row>
    <row r="296" spans="1:16" x14ac:dyDescent="0.2">
      <c r="A296" s="8">
        <v>147</v>
      </c>
      <c r="B296" s="8">
        <v>294</v>
      </c>
      <c r="D296">
        <v>1035.3617834395</v>
      </c>
      <c r="E296">
        <v>309.48917197451999</v>
      </c>
      <c r="F296">
        <v>126.16838709677</v>
      </c>
      <c r="G296">
        <v>108.83225806452</v>
      </c>
      <c r="I296" s="9">
        <f t="shared" si="36"/>
        <v>200.65691390999999</v>
      </c>
      <c r="J296" s="9">
        <f t="shared" si="37"/>
        <v>909.19339634273001</v>
      </c>
      <c r="K296" s="9">
        <f t="shared" si="31"/>
        <v>200.65691390999999</v>
      </c>
      <c r="L296" s="10">
        <f t="shared" si="30"/>
        <v>0.2206977247273805</v>
      </c>
      <c r="M296" s="10">
        <f t="shared" si="38"/>
        <v>0.23511048839848261</v>
      </c>
      <c r="P296" s="8">
        <f t="shared" si="39"/>
        <v>10.547209113121147</v>
      </c>
    </row>
    <row r="297" spans="1:16" x14ac:dyDescent="0.2">
      <c r="A297" s="8">
        <v>147.5</v>
      </c>
      <c r="B297" s="8">
        <v>295</v>
      </c>
      <c r="D297">
        <v>1037.074522293</v>
      </c>
      <c r="E297">
        <v>308.64840764331001</v>
      </c>
      <c r="F297">
        <v>126.67870967742</v>
      </c>
      <c r="G297">
        <v>108.75612903226001</v>
      </c>
      <c r="I297" s="9">
        <f t="shared" si="36"/>
        <v>199.89227861105002</v>
      </c>
      <c r="J297" s="9">
        <f t="shared" si="37"/>
        <v>910.39581261557998</v>
      </c>
      <c r="K297" s="9">
        <f t="shared" si="31"/>
        <v>199.89227861105002</v>
      </c>
      <c r="L297" s="10">
        <f t="shared" si="30"/>
        <v>0.21956634228880809</v>
      </c>
      <c r="M297" s="10">
        <f t="shared" si="38"/>
        <v>0.23402812896559422</v>
      </c>
      <c r="P297" s="8">
        <f t="shared" si="39"/>
        <v>10.038291729732116</v>
      </c>
    </row>
    <row r="298" spans="1:16" x14ac:dyDescent="0.2">
      <c r="A298" s="8">
        <v>148</v>
      </c>
      <c r="B298" s="8">
        <v>296</v>
      </c>
      <c r="D298">
        <v>1034.8267515923999</v>
      </c>
      <c r="E298">
        <v>308.90764331209999</v>
      </c>
      <c r="F298">
        <v>126.71096774194</v>
      </c>
      <c r="G298">
        <v>108.46</v>
      </c>
      <c r="I298" s="9">
        <f t="shared" si="36"/>
        <v>200.44764331210001</v>
      </c>
      <c r="J298" s="9">
        <f t="shared" si="37"/>
        <v>908.11578385045993</v>
      </c>
      <c r="K298" s="9">
        <f t="shared" si="31"/>
        <v>200.44764331210001</v>
      </c>
      <c r="L298" s="10">
        <f t="shared" si="30"/>
        <v>0.22072917008687062</v>
      </c>
      <c r="M298" s="10">
        <f t="shared" si="38"/>
        <v>0.2352399797693408</v>
      </c>
      <c r="P298" s="8">
        <f t="shared" si="39"/>
        <v>10.60809499596761</v>
      </c>
    </row>
    <row r="299" spans="1:16" x14ac:dyDescent="0.2">
      <c r="A299" s="8">
        <v>148.5</v>
      </c>
      <c r="B299" s="8">
        <v>297</v>
      </c>
      <c r="D299">
        <v>1037.2910828025999</v>
      </c>
      <c r="E299">
        <v>309.19808917197997</v>
      </c>
      <c r="F299">
        <v>126.14645161289999</v>
      </c>
      <c r="G299">
        <v>108.76387096774</v>
      </c>
      <c r="I299" s="9">
        <f t="shared" si="36"/>
        <v>200.43421820423998</v>
      </c>
      <c r="J299" s="9">
        <f t="shared" si="37"/>
        <v>911.14463118969991</v>
      </c>
      <c r="K299" s="9">
        <f t="shared" si="31"/>
        <v>200.43421820423998</v>
      </c>
      <c r="L299" s="10">
        <f t="shared" si="30"/>
        <v>0.21998068291587142</v>
      </c>
      <c r="M299" s="10">
        <f t="shared" si="38"/>
        <v>0.23454051560402561</v>
      </c>
      <c r="P299" s="8">
        <f t="shared" si="39"/>
        <v>10.279212129546188</v>
      </c>
    </row>
    <row r="300" spans="1:16" x14ac:dyDescent="0.2">
      <c r="A300" s="8">
        <v>149</v>
      </c>
      <c r="B300" s="8">
        <v>298</v>
      </c>
      <c r="D300">
        <v>1047.2057324841001</v>
      </c>
      <c r="E300">
        <v>312.07006369427</v>
      </c>
      <c r="F300">
        <v>125.94064516129001</v>
      </c>
      <c r="G300">
        <v>108.57935483871</v>
      </c>
      <c r="I300" s="9">
        <f t="shared" si="36"/>
        <v>203.49070885556</v>
      </c>
      <c r="J300" s="9">
        <f t="shared" si="37"/>
        <v>921.26508732281002</v>
      </c>
      <c r="K300" s="9">
        <f t="shared" si="31"/>
        <v>203.49070885556</v>
      </c>
      <c r="L300" s="10">
        <f t="shared" si="30"/>
        <v>0.22088181963662878</v>
      </c>
      <c r="M300" s="10">
        <f t="shared" si="38"/>
        <v>0.235490675330467</v>
      </c>
      <c r="P300" s="8">
        <f t="shared" si="39"/>
        <v>10.725970190767843</v>
      </c>
    </row>
    <row r="301" spans="1:16" x14ac:dyDescent="0.2">
      <c r="A301" s="8">
        <v>149.5</v>
      </c>
      <c r="B301" s="8">
        <v>299</v>
      </c>
      <c r="D301">
        <v>1046.2993630573001</v>
      </c>
      <c r="E301">
        <v>312.00955414012998</v>
      </c>
      <c r="F301">
        <v>126.19290322581</v>
      </c>
      <c r="G301">
        <v>108.62</v>
      </c>
      <c r="I301" s="9">
        <f t="shared" si="36"/>
        <v>203.38955414012997</v>
      </c>
      <c r="J301" s="9">
        <f t="shared" si="37"/>
        <v>920.10645983149004</v>
      </c>
      <c r="K301" s="9">
        <f t="shared" si="31"/>
        <v>203.38955414012997</v>
      </c>
      <c r="L301" s="10">
        <f t="shared" si="30"/>
        <v>0.22105002303470309</v>
      </c>
      <c r="M301" s="10">
        <f t="shared" si="38"/>
        <v>0.23570790173422532</v>
      </c>
      <c r="P301" s="8">
        <f t="shared" si="39"/>
        <v>10.828108435831847</v>
      </c>
    </row>
    <row r="302" spans="1:16" x14ac:dyDescent="0.2">
      <c r="A302" s="8">
        <v>150</v>
      </c>
      <c r="B302" s="8">
        <v>300</v>
      </c>
      <c r="D302">
        <v>1041.0254777069999</v>
      </c>
      <c r="E302">
        <v>310.42675159236001</v>
      </c>
      <c r="F302">
        <v>126.16967741936</v>
      </c>
      <c r="G302">
        <v>108.52</v>
      </c>
      <c r="I302" s="9">
        <f>E302-G302</f>
        <v>201.90675159236002</v>
      </c>
      <c r="J302" s="9">
        <f>D302-F302</f>
        <v>914.85580028763991</v>
      </c>
      <c r="K302" s="9">
        <f t="shared" si="31"/>
        <v>201.90675159236002</v>
      </c>
      <c r="L302" s="10">
        <f t="shared" si="30"/>
        <v>0.22069789744884222</v>
      </c>
      <c r="M302" s="10">
        <f>L302+ABS($N$2)*A302</f>
        <v>0.23540479915404847</v>
      </c>
      <c r="O302" s="11"/>
      <c r="P302" s="8">
        <f>(M302-$O$2)/$O$2*100</f>
        <v>10.685591849090951</v>
      </c>
    </row>
    <row r="303" spans="1:16" x14ac:dyDescent="0.2">
      <c r="A303" s="8">
        <v>150.5</v>
      </c>
      <c r="B303" s="8">
        <v>301</v>
      </c>
      <c r="D303">
        <v>1004.807617818</v>
      </c>
      <c r="E303">
        <v>301.71013557134</v>
      </c>
      <c r="F303">
        <v>126.19806451613</v>
      </c>
      <c r="G303">
        <v>108.72</v>
      </c>
      <c r="I303" s="9">
        <f t="shared" ref="I303:I309" si="40">E303-G303</f>
        <v>192.99013557134001</v>
      </c>
      <c r="J303" s="9">
        <f t="shared" ref="J303:J309" si="41">D303-F303</f>
        <v>878.60955330187005</v>
      </c>
      <c r="K303" s="9">
        <f t="shared" si="31"/>
        <v>192.99013557134001</v>
      </c>
      <c r="L303" s="10">
        <f t="shared" si="30"/>
        <v>0.21965403727522756</v>
      </c>
      <c r="M303" s="10">
        <f t="shared" ref="M303:M309" si="42">L303+ABS($N$2)*A303</f>
        <v>0.23440996198611783</v>
      </c>
      <c r="P303" s="8">
        <f t="shared" ref="P303:P309" si="43">(M303-$O$2)/$O$2*100</f>
        <v>10.217826786009896</v>
      </c>
    </row>
    <row r="304" spans="1:16" x14ac:dyDescent="0.2">
      <c r="A304" s="8">
        <v>151</v>
      </c>
      <c r="B304" s="8">
        <v>302</v>
      </c>
      <c r="D304">
        <v>962.86636539702999</v>
      </c>
      <c r="E304">
        <v>294.59457714655002</v>
      </c>
      <c r="F304">
        <v>126.53419354838999</v>
      </c>
      <c r="G304">
        <v>108.74064516129</v>
      </c>
      <c r="I304" s="9">
        <f t="shared" si="40"/>
        <v>185.85393198526003</v>
      </c>
      <c r="J304" s="9">
        <f t="shared" si="41"/>
        <v>836.33217184863997</v>
      </c>
      <c r="K304" s="9">
        <f t="shared" si="31"/>
        <v>185.85393198526003</v>
      </c>
      <c r="L304" s="10">
        <f t="shared" si="30"/>
        <v>0.22222501805047865</v>
      </c>
      <c r="M304" s="10">
        <f t="shared" si="42"/>
        <v>0.23702996576705293</v>
      </c>
      <c r="N304" s="1"/>
      <c r="P304" s="8">
        <f t="shared" si="43"/>
        <v>11.44973314553099</v>
      </c>
    </row>
    <row r="305" spans="1:16" x14ac:dyDescent="0.2">
      <c r="A305" s="8">
        <v>151.5</v>
      </c>
      <c r="B305" s="8">
        <v>303</v>
      </c>
      <c r="D305">
        <v>966.49165596918999</v>
      </c>
      <c r="E305">
        <v>293.88767650834001</v>
      </c>
      <c r="F305">
        <v>125.89161290323</v>
      </c>
      <c r="G305">
        <v>108.70258064516</v>
      </c>
      <c r="I305" s="9">
        <f t="shared" si="40"/>
        <v>185.18509586318001</v>
      </c>
      <c r="J305" s="9">
        <f t="shared" si="41"/>
        <v>840.60004306595999</v>
      </c>
      <c r="K305" s="9">
        <f t="shared" si="31"/>
        <v>185.18509586318001</v>
      </c>
      <c r="L305" s="10">
        <f t="shared" si="30"/>
        <v>0.22030107824851605</v>
      </c>
      <c r="M305" s="10">
        <f t="shared" si="42"/>
        <v>0.23515504897077436</v>
      </c>
      <c r="P305" s="8">
        <f t="shared" si="43"/>
        <v>10.568161163950059</v>
      </c>
    </row>
    <row r="306" spans="1:16" x14ac:dyDescent="0.2">
      <c r="A306" s="8">
        <v>152</v>
      </c>
      <c r="B306" s="8">
        <v>304</v>
      </c>
      <c r="D306">
        <v>965.45827984595996</v>
      </c>
      <c r="E306">
        <v>293</v>
      </c>
      <c r="F306">
        <v>126.15290322580999</v>
      </c>
      <c r="G306">
        <v>108.44451612903001</v>
      </c>
      <c r="I306" s="9">
        <f t="shared" si="40"/>
        <v>184.55548387096999</v>
      </c>
      <c r="J306" s="9">
        <f t="shared" si="41"/>
        <v>839.30537662015001</v>
      </c>
      <c r="K306" s="9">
        <f t="shared" si="31"/>
        <v>184.55548387096999</v>
      </c>
      <c r="L306" s="10">
        <f t="shared" si="30"/>
        <v>0.21989074419392823</v>
      </c>
      <c r="M306" s="10">
        <f t="shared" si="42"/>
        <v>0.23479373792187055</v>
      </c>
      <c r="P306" s="8">
        <f t="shared" si="43"/>
        <v>10.398275386628406</v>
      </c>
    </row>
    <row r="307" spans="1:16" x14ac:dyDescent="0.2">
      <c r="A307" s="8">
        <v>152.5</v>
      </c>
      <c r="B307" s="8">
        <v>305</v>
      </c>
      <c r="D307">
        <v>944.32926829268001</v>
      </c>
      <c r="E307">
        <v>290.38254172015002</v>
      </c>
      <c r="F307">
        <v>126.45935483871</v>
      </c>
      <c r="G307">
        <v>108.61741935484</v>
      </c>
      <c r="I307" s="9">
        <f t="shared" si="40"/>
        <v>181.76512236531002</v>
      </c>
      <c r="J307" s="9">
        <f t="shared" si="41"/>
        <v>817.86991345396996</v>
      </c>
      <c r="K307" s="9">
        <f t="shared" si="31"/>
        <v>181.76512236531002</v>
      </c>
      <c r="L307" s="10">
        <f t="shared" si="30"/>
        <v>0.22224209421971827</v>
      </c>
      <c r="M307" s="10">
        <f t="shared" si="42"/>
        <v>0.23719411095334461</v>
      </c>
      <c r="P307" s="8">
        <f t="shared" si="43"/>
        <v>11.526912995555987</v>
      </c>
    </row>
    <row r="308" spans="1:16" x14ac:dyDescent="0.2">
      <c r="A308" s="8">
        <v>153</v>
      </c>
      <c r="B308" s="8">
        <v>306</v>
      </c>
      <c r="D308">
        <v>938.67456758488004</v>
      </c>
      <c r="E308">
        <v>289.74183215887001</v>
      </c>
      <c r="F308">
        <v>126.58</v>
      </c>
      <c r="G308">
        <v>108.66387096774</v>
      </c>
      <c r="I308" s="9">
        <f t="shared" si="40"/>
        <v>181.07796119113002</v>
      </c>
      <c r="J308" s="9">
        <f t="shared" si="41"/>
        <v>812.09456758488</v>
      </c>
      <c r="K308" s="9">
        <f t="shared" si="31"/>
        <v>181.07796119113002</v>
      </c>
      <c r="L308" s="10">
        <f t="shared" si="30"/>
        <v>0.22297644685599227</v>
      </c>
      <c r="M308" s="10">
        <f t="shared" si="42"/>
        <v>0.23797748659530266</v>
      </c>
      <c r="P308" s="8">
        <f t="shared" si="43"/>
        <v>11.895250416381236</v>
      </c>
    </row>
    <row r="309" spans="1:16" x14ac:dyDescent="0.2">
      <c r="A309" s="8">
        <v>153.5</v>
      </c>
      <c r="B309" s="8">
        <v>307</v>
      </c>
      <c r="D309">
        <v>933.81422165279002</v>
      </c>
      <c r="E309">
        <v>288.51185137732</v>
      </c>
      <c r="F309">
        <v>126.42838709677</v>
      </c>
      <c r="G309">
        <v>108.36967741936</v>
      </c>
      <c r="I309" s="9">
        <f t="shared" si="40"/>
        <v>180.14217395795998</v>
      </c>
      <c r="J309" s="9">
        <f t="shared" si="41"/>
        <v>807.38583455601997</v>
      </c>
      <c r="K309" s="9">
        <f t="shared" si="31"/>
        <v>180.14217395795998</v>
      </c>
      <c r="L309" s="10">
        <f t="shared" si="30"/>
        <v>0.22311782824010015</v>
      </c>
      <c r="M309" s="10">
        <f t="shared" si="42"/>
        <v>0.23816789098509455</v>
      </c>
      <c r="P309" s="8">
        <f t="shared" si="43"/>
        <v>11.984777149270778</v>
      </c>
    </row>
    <row r="310" spans="1:16" x14ac:dyDescent="0.2">
      <c r="A310" s="8">
        <v>154</v>
      </c>
      <c r="B310" s="8">
        <v>308</v>
      </c>
      <c r="D310">
        <v>923.10057655348999</v>
      </c>
      <c r="E310">
        <v>286.39910313900998</v>
      </c>
      <c r="F310">
        <v>126.40387096774</v>
      </c>
      <c r="G310">
        <v>108.49096774194</v>
      </c>
      <c r="I310" s="9">
        <f>E310-G310</f>
        <v>177.90813539707</v>
      </c>
      <c r="J310" s="9">
        <f>D310-F310</f>
        <v>796.69670558575001</v>
      </c>
      <c r="K310" s="9">
        <f t="shared" si="31"/>
        <v>177.90813539707</v>
      </c>
      <c r="L310" s="10">
        <f t="shared" si="30"/>
        <v>0.2233072311580199</v>
      </c>
      <c r="M310" s="10">
        <f>L310+ABS($N$2)*A310</f>
        <v>0.23840631690869832</v>
      </c>
      <c r="O310" s="11"/>
      <c r="P310" s="8">
        <f>(M310-$O$2)/$O$2*100</f>
        <v>12.096883251444927</v>
      </c>
    </row>
    <row r="311" spans="1:16" x14ac:dyDescent="0.2">
      <c r="A311" s="8">
        <v>154.5</v>
      </c>
      <c r="B311" s="8">
        <v>309</v>
      </c>
      <c r="D311">
        <v>950.30044843048995</v>
      </c>
      <c r="E311">
        <v>291.73542600897002</v>
      </c>
      <c r="F311">
        <v>126.16967741936</v>
      </c>
      <c r="G311">
        <v>108.3135483871</v>
      </c>
      <c r="I311" s="9">
        <f t="shared" ref="I311:I319" si="44">E311-G311</f>
        <v>183.42187762187001</v>
      </c>
      <c r="J311" s="9">
        <f t="shared" ref="J311:J319" si="45">D311-F311</f>
        <v>824.13077101112992</v>
      </c>
      <c r="K311" s="9">
        <f t="shared" si="31"/>
        <v>183.42187762187001</v>
      </c>
      <c r="L311" s="10">
        <f t="shared" si="30"/>
        <v>0.22256404453486045</v>
      </c>
      <c r="M311" s="10">
        <f t="shared" ref="M311:M319" si="46">L311+ABS($N$2)*A311</f>
        <v>0.23771215329122289</v>
      </c>
      <c r="P311" s="8">
        <f t="shared" ref="P311:P319" si="47">(M311-$O$2)/$O$2*100</f>
        <v>11.770492663332515</v>
      </c>
    </row>
    <row r="312" spans="1:16" x14ac:dyDescent="0.2">
      <c r="A312" s="8">
        <v>155</v>
      </c>
      <c r="B312" s="8">
        <v>310</v>
      </c>
      <c r="D312">
        <v>939.78411274823998</v>
      </c>
      <c r="E312">
        <v>290.57655349135001</v>
      </c>
      <c r="F312">
        <v>126.39483870968</v>
      </c>
      <c r="G312">
        <v>108.30516129032</v>
      </c>
      <c r="I312" s="9">
        <f t="shared" si="44"/>
        <v>182.27139220103001</v>
      </c>
      <c r="J312" s="9">
        <f t="shared" si="45"/>
        <v>813.38927403855996</v>
      </c>
      <c r="K312" s="9">
        <f t="shared" si="31"/>
        <v>182.27139220103001</v>
      </c>
      <c r="L312" s="10">
        <f t="shared" si="30"/>
        <v>0.22408875801377873</v>
      </c>
      <c r="M312" s="10">
        <f t="shared" si="46"/>
        <v>0.23928588977582518</v>
      </c>
      <c r="N312" s="1"/>
      <c r="P312" s="8">
        <f t="shared" si="47"/>
        <v>12.51045189457454</v>
      </c>
    </row>
    <row r="313" spans="1:16" x14ac:dyDescent="0.2">
      <c r="A313" s="8">
        <v>155.5</v>
      </c>
      <c r="B313" s="8">
        <v>311</v>
      </c>
      <c r="D313">
        <v>936.46508648301995</v>
      </c>
      <c r="E313">
        <v>288.43369634850001</v>
      </c>
      <c r="F313">
        <v>125.94387096774</v>
      </c>
      <c r="G313">
        <v>108.56129032258001</v>
      </c>
      <c r="I313" s="9">
        <f t="shared" si="44"/>
        <v>179.87240602591999</v>
      </c>
      <c r="J313" s="9">
        <f t="shared" si="45"/>
        <v>810.52121551527989</v>
      </c>
      <c r="K313" s="9">
        <f t="shared" si="31"/>
        <v>179.87240602591999</v>
      </c>
      <c r="L313" s="10">
        <f t="shared" si="30"/>
        <v>0.22192189739483636</v>
      </c>
      <c r="M313" s="10">
        <f t="shared" si="46"/>
        <v>0.23716805216256684</v>
      </c>
      <c r="P313" s="8">
        <f t="shared" si="47"/>
        <v>11.514660345268165</v>
      </c>
    </row>
    <row r="314" spans="1:16" x14ac:dyDescent="0.2">
      <c r="A314" s="8">
        <v>156</v>
      </c>
      <c r="B314" s="8">
        <v>312</v>
      </c>
      <c r="D314">
        <v>953.90903267136002</v>
      </c>
      <c r="E314">
        <v>291.49007046765001</v>
      </c>
      <c r="F314">
        <v>126.09290322581001</v>
      </c>
      <c r="G314">
        <v>108.53225806451999</v>
      </c>
      <c r="I314" s="9">
        <f t="shared" si="44"/>
        <v>182.95781240313002</v>
      </c>
      <c r="J314" s="9">
        <f t="shared" si="45"/>
        <v>827.81612944555002</v>
      </c>
      <c r="K314" s="9">
        <f t="shared" si="31"/>
        <v>182.95781240313002</v>
      </c>
      <c r="L314" s="10">
        <f t="shared" si="30"/>
        <v>0.221012620913379</v>
      </c>
      <c r="M314" s="10">
        <f t="shared" si="46"/>
        <v>0.2363077986867935</v>
      </c>
      <c r="P314" s="8">
        <f t="shared" si="47"/>
        <v>11.11017553676645</v>
      </c>
    </row>
    <row r="315" spans="1:16" x14ac:dyDescent="0.2">
      <c r="A315" s="8">
        <v>156.5</v>
      </c>
      <c r="B315" s="8">
        <v>313</v>
      </c>
      <c r="D315">
        <v>956.36457659987002</v>
      </c>
      <c r="E315">
        <v>292.14221073045002</v>
      </c>
      <c r="F315">
        <v>126.16129032258</v>
      </c>
      <c r="G315">
        <v>108.41032258065</v>
      </c>
      <c r="I315" s="9">
        <f t="shared" si="44"/>
        <v>183.7318881498</v>
      </c>
      <c r="J315" s="9">
        <f t="shared" si="45"/>
        <v>830.20328627728998</v>
      </c>
      <c r="K315" s="9">
        <f t="shared" si="31"/>
        <v>183.7318881498</v>
      </c>
      <c r="L315" s="10">
        <f t="shared" si="30"/>
        <v>0.22130951682168251</v>
      </c>
      <c r="M315" s="10">
        <f t="shared" si="46"/>
        <v>0.23665371760078102</v>
      </c>
      <c r="P315" s="8">
        <f t="shared" si="47"/>
        <v>11.272824046329962</v>
      </c>
    </row>
    <row r="316" spans="1:16" x14ac:dyDescent="0.2">
      <c r="A316" s="8">
        <v>157</v>
      </c>
      <c r="B316" s="8">
        <v>314</v>
      </c>
      <c r="D316">
        <v>948.86166774402</v>
      </c>
      <c r="E316">
        <v>290.25727213963</v>
      </c>
      <c r="F316">
        <v>126.34903225807</v>
      </c>
      <c r="G316">
        <v>108.39161290323</v>
      </c>
      <c r="I316" s="9">
        <f t="shared" si="44"/>
        <v>181.86565923640001</v>
      </c>
      <c r="J316" s="9">
        <f t="shared" si="45"/>
        <v>822.51263548595</v>
      </c>
      <c r="K316" s="9">
        <f t="shared" si="31"/>
        <v>181.86565923640001</v>
      </c>
      <c r="L316" s="10">
        <f t="shared" si="30"/>
        <v>0.22110986675475408</v>
      </c>
      <c r="M316" s="10">
        <f t="shared" si="46"/>
        <v>0.23650309053953661</v>
      </c>
      <c r="P316" s="8">
        <f t="shared" si="47"/>
        <v>11.202000318512006</v>
      </c>
    </row>
    <row r="317" spans="1:16" x14ac:dyDescent="0.2">
      <c r="A317" s="8">
        <v>157.5</v>
      </c>
      <c r="B317" s="8">
        <v>315</v>
      </c>
      <c r="D317">
        <v>941.11829347124001</v>
      </c>
      <c r="E317">
        <v>287.07239819005002</v>
      </c>
      <c r="F317">
        <v>126.15677419355001</v>
      </c>
      <c r="G317">
        <v>108.46903225807</v>
      </c>
      <c r="I317" s="9">
        <f t="shared" si="44"/>
        <v>178.60336593198002</v>
      </c>
      <c r="J317" s="9">
        <f t="shared" si="45"/>
        <v>814.96151927769006</v>
      </c>
      <c r="K317" s="9">
        <f t="shared" si="31"/>
        <v>178.60336593198002</v>
      </c>
      <c r="L317" s="10">
        <f t="shared" si="30"/>
        <v>0.21915558183689246</v>
      </c>
      <c r="M317" s="10">
        <f t="shared" si="46"/>
        <v>0.23459782862735901</v>
      </c>
      <c r="P317" s="8">
        <f t="shared" si="47"/>
        <v>10.306160288339528</v>
      </c>
    </row>
    <row r="318" spans="1:16" x14ac:dyDescent="0.2">
      <c r="A318" s="8">
        <v>158</v>
      </c>
      <c r="B318" s="8">
        <v>316</v>
      </c>
      <c r="D318">
        <v>939.59469941822999</v>
      </c>
      <c r="E318">
        <v>286.69747899160001</v>
      </c>
      <c r="F318">
        <v>125.71161290323001</v>
      </c>
      <c r="G318">
        <v>108.34709677419001</v>
      </c>
      <c r="I318" s="9">
        <f t="shared" si="44"/>
        <v>178.35038221741002</v>
      </c>
      <c r="J318" s="9">
        <f t="shared" si="45"/>
        <v>813.88308651499995</v>
      </c>
      <c r="K318" s="9">
        <f t="shared" si="31"/>
        <v>178.35038221741002</v>
      </c>
      <c r="L318" s="10">
        <f t="shared" si="30"/>
        <v>0.21913513767818421</v>
      </c>
      <c r="M318" s="10">
        <f t="shared" si="46"/>
        <v>0.2346264074743348</v>
      </c>
      <c r="P318" s="8">
        <f t="shared" si="47"/>
        <v>10.319597850374153</v>
      </c>
    </row>
    <row r="319" spans="1:16" x14ac:dyDescent="0.2">
      <c r="A319" s="8">
        <v>158.5</v>
      </c>
      <c r="B319" s="8">
        <v>317</v>
      </c>
      <c r="D319">
        <v>933.56302521008001</v>
      </c>
      <c r="E319">
        <v>284.78797672914999</v>
      </c>
      <c r="F319">
        <v>125.93419354839</v>
      </c>
      <c r="G319">
        <v>108.54516129032</v>
      </c>
      <c r="I319" s="9">
        <f t="shared" si="44"/>
        <v>176.24281543883001</v>
      </c>
      <c r="J319" s="9">
        <f t="shared" si="45"/>
        <v>807.62883166169001</v>
      </c>
      <c r="K319" s="9">
        <f t="shared" si="31"/>
        <v>176.24281543883001</v>
      </c>
      <c r="L319" s="10">
        <f t="shared" si="30"/>
        <v>0.21822254051556306</v>
      </c>
      <c r="M319" s="10">
        <f t="shared" si="46"/>
        <v>0.23376283331739767</v>
      </c>
      <c r="P319" s="8">
        <f t="shared" si="47"/>
        <v>9.9135516822005982</v>
      </c>
    </row>
    <row r="320" spans="1:16" x14ac:dyDescent="0.2">
      <c r="A320" s="8">
        <v>159</v>
      </c>
      <c r="B320" s="8">
        <v>318</v>
      </c>
      <c r="D320">
        <v>926.45857418111996</v>
      </c>
      <c r="E320">
        <v>284.37315350031997</v>
      </c>
      <c r="F320">
        <v>126.17419354838999</v>
      </c>
      <c r="G320">
        <v>108.40387096774</v>
      </c>
      <c r="I320" s="9">
        <f>E320-G320</f>
        <v>175.96928253257997</v>
      </c>
      <c r="J320" s="9">
        <f>D320-F320</f>
        <v>800.28438063272995</v>
      </c>
      <c r="K320" s="9">
        <f t="shared" si="31"/>
        <v>175.96928253257997</v>
      </c>
      <c r="L320" s="10">
        <f t="shared" si="30"/>
        <v>0.21988343992600873</v>
      </c>
      <c r="M320" s="10">
        <f>L320+ABS($N$2)*A320</f>
        <v>0.23547275573352736</v>
      </c>
      <c r="O320" s="11"/>
      <c r="P320" s="8">
        <f>(M320-$O$2)/$O$2*100</f>
        <v>10.717544529098712</v>
      </c>
    </row>
    <row r="321" spans="1:16" x14ac:dyDescent="0.2">
      <c r="A321" s="8">
        <v>159.5</v>
      </c>
      <c r="B321" s="8">
        <v>319</v>
      </c>
      <c r="D321">
        <v>925.88760436737005</v>
      </c>
      <c r="E321">
        <v>283.24405908799002</v>
      </c>
      <c r="F321">
        <v>126.11806451613</v>
      </c>
      <c r="G321">
        <v>108.39161290323</v>
      </c>
      <c r="I321" s="9">
        <f t="shared" ref="I321:I322" si="48">E321-G321</f>
        <v>174.85244618476003</v>
      </c>
      <c r="J321" s="9">
        <f t="shared" ref="J321:J322" si="49">D321-F321</f>
        <v>799.7695398512401</v>
      </c>
      <c r="K321" s="9">
        <f t="shared" si="31"/>
        <v>174.85244618476003</v>
      </c>
      <c r="L321" s="10">
        <f t="shared" si="30"/>
        <v>0.21862853918803057</v>
      </c>
      <c r="M321" s="10">
        <f t="shared" ref="M321:M322" si="50">L321+ABS($N$2)*A321</f>
        <v>0.23426687800123322</v>
      </c>
      <c r="P321" s="8">
        <f t="shared" ref="P321:P322" si="51">(M321-$O$2)/$O$2*100</f>
        <v>10.150549756790474</v>
      </c>
    </row>
    <row r="322" spans="1:16" x14ac:dyDescent="0.2">
      <c r="A322" s="8">
        <v>160</v>
      </c>
      <c r="D322">
        <v>922.37764932563005</v>
      </c>
      <c r="E322">
        <v>283.10276172125998</v>
      </c>
      <c r="F322">
        <v>125.99870967742</v>
      </c>
      <c r="G322">
        <v>108.47741935483999</v>
      </c>
      <c r="I322" s="9">
        <f t="shared" si="48"/>
        <v>174.62534236642</v>
      </c>
      <c r="J322" s="9">
        <f t="shared" si="49"/>
        <v>796.37893964821001</v>
      </c>
      <c r="K322" s="9">
        <f t="shared" si="31"/>
        <v>174.62534236642</v>
      </c>
      <c r="L322" s="10">
        <f t="shared" ref="L322" si="52">K322/J322</f>
        <v>0.21927418427659384</v>
      </c>
      <c r="M322" s="10">
        <f t="shared" si="50"/>
        <v>0.23496154609548051</v>
      </c>
      <c r="P322" s="8">
        <f t="shared" si="51"/>
        <v>10.477177546142061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260F-F0EC-F343-84E3-AA5489B50120}">
  <dimension ref="A1:Y798"/>
  <sheetViews>
    <sheetView topLeftCell="F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2329.6252994729002</v>
      </c>
      <c r="E2">
        <v>544.91806420700004</v>
      </c>
      <c r="F2">
        <v>173.63421686747</v>
      </c>
      <c r="G2">
        <v>129.67132530121</v>
      </c>
      <c r="H2" s="4"/>
      <c r="I2" s="5">
        <f>E2-G2</f>
        <v>415.24673890579004</v>
      </c>
      <c r="J2" s="5">
        <f>D2-F2</f>
        <v>2155.9910826054302</v>
      </c>
      <c r="K2" s="9">
        <f>I2*1</f>
        <v>415.24673890579004</v>
      </c>
      <c r="L2" s="6">
        <f t="shared" ref="L2:L65" si="0">K2/J2</f>
        <v>0.19260132486447057</v>
      </c>
      <c r="M2" s="6">
        <f>L2+ABS($N$2)*A2</f>
        <v>0.19260132486447057</v>
      </c>
      <c r="N2" s="4">
        <f>LINEST(V64:V103,U64:U103)</f>
        <v>-5.7133201075763081E-4</v>
      </c>
      <c r="O2" s="7">
        <f>AVERAGE(M62:M81)</f>
        <v>0.25722435516775549</v>
      </c>
      <c r="P2" s="4">
        <f>(M2-$O$2)/$O$2*100</f>
        <v>-25.123215980516058</v>
      </c>
    </row>
    <row r="3" spans="1:16" x14ac:dyDescent="0.2">
      <c r="A3" s="8">
        <v>0.5</v>
      </c>
      <c r="B3" s="8">
        <v>1</v>
      </c>
      <c r="D3">
        <v>2327.8351701006</v>
      </c>
      <c r="E3">
        <v>541.52898897939997</v>
      </c>
      <c r="F3">
        <v>173.68963855422001</v>
      </c>
      <c r="G3">
        <v>129.31759036144999</v>
      </c>
      <c r="I3" s="9">
        <f t="shared" ref="I3:I66" si="1">E3-G3</f>
        <v>412.21139861794995</v>
      </c>
      <c r="J3" s="9">
        <f t="shared" ref="J3:J66" si="2">D3-F3</f>
        <v>2154.14553154638</v>
      </c>
      <c r="K3" s="9">
        <f t="shared" ref="K3:K66" si="3">I3*1</f>
        <v>412.21139861794995</v>
      </c>
      <c r="L3" s="10">
        <f t="shared" si="0"/>
        <v>0.19135726559850341</v>
      </c>
      <c r="M3" s="10">
        <f t="shared" ref="M3:M66" si="4">L3+ABS($N$2)*A3</f>
        <v>0.19164293160388224</v>
      </c>
      <c r="P3" s="8">
        <f t="shared" ref="P3:P66" si="5">(M3-$O$2)/$O$2*100</f>
        <v>-25.495806383148533</v>
      </c>
    </row>
    <row r="4" spans="1:16" ht="16" x14ac:dyDescent="0.2">
      <c r="A4" s="8">
        <v>1</v>
      </c>
      <c r="B4" s="8">
        <v>2</v>
      </c>
      <c r="D4">
        <v>2363.4772400574998</v>
      </c>
      <c r="E4">
        <v>546.63009103977004</v>
      </c>
      <c r="F4">
        <v>173.22457831324999</v>
      </c>
      <c r="G4">
        <v>129.19084337349</v>
      </c>
      <c r="I4" s="9">
        <f t="shared" si="1"/>
        <v>417.43924766628004</v>
      </c>
      <c r="J4" s="9">
        <f t="shared" si="2"/>
        <v>2190.25266174425</v>
      </c>
      <c r="K4" s="9">
        <f t="shared" si="3"/>
        <v>417.43924766628004</v>
      </c>
      <c r="L4" s="10">
        <f t="shared" si="0"/>
        <v>0.19058954017380089</v>
      </c>
      <c r="M4" s="10">
        <f t="shared" si="4"/>
        <v>0.19116087218455852</v>
      </c>
      <c r="N4" s="1" t="s">
        <v>7</v>
      </c>
      <c r="P4" s="8">
        <f t="shared" si="5"/>
        <v>-25.683214538573523</v>
      </c>
    </row>
    <row r="5" spans="1:16" x14ac:dyDescent="0.2">
      <c r="A5" s="8">
        <v>1.5</v>
      </c>
      <c r="B5" s="8">
        <v>3</v>
      </c>
      <c r="D5">
        <v>2362.1159559175999</v>
      </c>
      <c r="E5">
        <v>564.89123143268</v>
      </c>
      <c r="F5">
        <v>173.42265060240999</v>
      </c>
      <c r="G5">
        <v>129.70361445783001</v>
      </c>
      <c r="I5" s="9">
        <f t="shared" si="1"/>
        <v>435.18761697485002</v>
      </c>
      <c r="J5" s="9">
        <f t="shared" si="2"/>
        <v>2188.6933053151897</v>
      </c>
      <c r="K5" s="9">
        <f t="shared" si="3"/>
        <v>435.18761697485002</v>
      </c>
      <c r="L5" s="10">
        <f t="shared" si="0"/>
        <v>0.19883444424031782</v>
      </c>
      <c r="M5" s="10">
        <f t="shared" si="4"/>
        <v>0.19969144225645427</v>
      </c>
      <c r="N5" s="8">
        <f>RSQ(V64:V83,U64:U83)</f>
        <v>0.59844401139726056</v>
      </c>
      <c r="P5" s="8">
        <f t="shared" si="5"/>
        <v>-22.366821708535202</v>
      </c>
    </row>
    <row r="6" spans="1:16" x14ac:dyDescent="0.2">
      <c r="A6" s="8">
        <v>2</v>
      </c>
      <c r="B6" s="8">
        <v>4</v>
      </c>
      <c r="D6">
        <v>2287.8792525156</v>
      </c>
      <c r="E6">
        <v>552.13751796838005</v>
      </c>
      <c r="F6">
        <v>173.02939759035999</v>
      </c>
      <c r="G6">
        <v>129.81156626506001</v>
      </c>
      <c r="I6" s="9">
        <f t="shared" si="1"/>
        <v>422.32595170332002</v>
      </c>
      <c r="J6" s="9">
        <f t="shared" si="2"/>
        <v>2114.8498549252399</v>
      </c>
      <c r="K6" s="9">
        <f t="shared" si="3"/>
        <v>422.32595170332002</v>
      </c>
      <c r="L6" s="10">
        <f t="shared" si="0"/>
        <v>0.1996954775393496</v>
      </c>
      <c r="M6" s="10">
        <f t="shared" si="4"/>
        <v>0.20083814156086485</v>
      </c>
      <c r="P6" s="8">
        <f t="shared" si="5"/>
        <v>-21.921024379715877</v>
      </c>
    </row>
    <row r="7" spans="1:16" x14ac:dyDescent="0.2">
      <c r="A7" s="8">
        <v>2.5</v>
      </c>
      <c r="B7" s="8">
        <v>5</v>
      </c>
      <c r="D7">
        <v>2305.6286535697</v>
      </c>
      <c r="E7">
        <v>553.01581217058003</v>
      </c>
      <c r="F7">
        <v>173.29060240964</v>
      </c>
      <c r="G7">
        <v>129.76337349398</v>
      </c>
      <c r="I7" s="9">
        <f t="shared" si="1"/>
        <v>423.25243867660004</v>
      </c>
      <c r="J7" s="9">
        <f t="shared" si="2"/>
        <v>2132.3380511600599</v>
      </c>
      <c r="K7" s="9">
        <f t="shared" si="3"/>
        <v>423.25243867660004</v>
      </c>
      <c r="L7" s="10">
        <f t="shared" si="0"/>
        <v>0.19849218487956785</v>
      </c>
      <c r="M7" s="10">
        <f t="shared" si="4"/>
        <v>0.19992051490646193</v>
      </c>
      <c r="P7" s="8">
        <f t="shared" si="5"/>
        <v>-22.277766125187249</v>
      </c>
    </row>
    <row r="8" spans="1:16" x14ac:dyDescent="0.2">
      <c r="A8" s="8">
        <v>3</v>
      </c>
      <c r="B8" s="8">
        <v>6</v>
      </c>
      <c r="D8">
        <v>2381.2347867753001</v>
      </c>
      <c r="E8">
        <v>553.88931480593999</v>
      </c>
      <c r="F8">
        <v>173.89445783132999</v>
      </c>
      <c r="G8">
        <v>129.39132530121</v>
      </c>
      <c r="I8" s="9">
        <f t="shared" si="1"/>
        <v>424.49798950472996</v>
      </c>
      <c r="J8" s="9">
        <f t="shared" si="2"/>
        <v>2207.3403289439702</v>
      </c>
      <c r="K8" s="9">
        <f t="shared" si="3"/>
        <v>424.49798950472996</v>
      </c>
      <c r="L8" s="10">
        <f t="shared" si="0"/>
        <v>0.19231198014119424</v>
      </c>
      <c r="M8" s="10">
        <f t="shared" si="4"/>
        <v>0.19402597617346715</v>
      </c>
      <c r="P8" s="8">
        <f t="shared" si="5"/>
        <v>-24.569360453084581</v>
      </c>
    </row>
    <row r="9" spans="1:16" x14ac:dyDescent="0.2">
      <c r="A9" s="8">
        <v>3.5</v>
      </c>
      <c r="B9" s="8">
        <v>7</v>
      </c>
      <c r="D9">
        <v>2346.7455678007</v>
      </c>
      <c r="E9">
        <v>564.56205079060999</v>
      </c>
      <c r="F9">
        <v>173.84433734940001</v>
      </c>
      <c r="G9">
        <v>129.53590361446001</v>
      </c>
      <c r="I9" s="9">
        <f t="shared" si="1"/>
        <v>435.02614717614995</v>
      </c>
      <c r="J9" s="9">
        <f t="shared" si="2"/>
        <v>2172.9012304512999</v>
      </c>
      <c r="K9" s="9">
        <f t="shared" si="3"/>
        <v>435.02614717614995</v>
      </c>
      <c r="L9" s="10">
        <f t="shared" si="0"/>
        <v>0.20020521001122418</v>
      </c>
      <c r="M9" s="10">
        <f t="shared" si="4"/>
        <v>0.20220487204887588</v>
      </c>
      <c r="P9" s="8">
        <f t="shared" si="5"/>
        <v>-21.389686479337165</v>
      </c>
    </row>
    <row r="10" spans="1:16" x14ac:dyDescent="0.2">
      <c r="A10" s="8">
        <v>4</v>
      </c>
      <c r="B10" s="8">
        <v>8</v>
      </c>
      <c r="D10">
        <v>2268.2803066603001</v>
      </c>
      <c r="E10">
        <v>549.67800670818997</v>
      </c>
      <c r="F10">
        <v>173.04144578313</v>
      </c>
      <c r="G10">
        <v>129.86554216868001</v>
      </c>
      <c r="I10" s="9">
        <f t="shared" si="1"/>
        <v>419.81246453950996</v>
      </c>
      <c r="J10" s="9">
        <f t="shared" si="2"/>
        <v>2095.2388608771703</v>
      </c>
      <c r="K10" s="9">
        <f t="shared" si="3"/>
        <v>419.81246453950996</v>
      </c>
      <c r="L10" s="10">
        <f t="shared" si="0"/>
        <v>0.20036496667676151</v>
      </c>
      <c r="M10" s="10">
        <f t="shared" si="4"/>
        <v>0.20265029471979204</v>
      </c>
      <c r="P10" s="8">
        <f t="shared" si="5"/>
        <v>-21.216521434127639</v>
      </c>
    </row>
    <row r="11" spans="1:16" x14ac:dyDescent="0.2">
      <c r="A11" s="8">
        <v>4.5</v>
      </c>
      <c r="B11" s="8">
        <v>9</v>
      </c>
      <c r="D11">
        <v>2209.8605654049002</v>
      </c>
      <c r="E11">
        <v>553.29899377096001</v>
      </c>
      <c r="F11">
        <v>173.57831325301001</v>
      </c>
      <c r="G11">
        <v>129.54746987952001</v>
      </c>
      <c r="I11" s="9">
        <f t="shared" si="1"/>
        <v>423.75152389144</v>
      </c>
      <c r="J11" s="9">
        <f t="shared" si="2"/>
        <v>2036.2822521518901</v>
      </c>
      <c r="K11" s="9">
        <f t="shared" si="3"/>
        <v>423.75152389144</v>
      </c>
      <c r="L11" s="10">
        <f t="shared" si="0"/>
        <v>0.20810058303245063</v>
      </c>
      <c r="M11" s="10">
        <f t="shared" si="4"/>
        <v>0.21067157708085996</v>
      </c>
      <c r="P11" s="8">
        <f t="shared" si="5"/>
        <v>-18.098122184633311</v>
      </c>
    </row>
    <row r="12" spans="1:16" x14ac:dyDescent="0.2">
      <c r="A12" s="8">
        <v>5</v>
      </c>
      <c r="B12" s="8">
        <v>10</v>
      </c>
      <c r="D12">
        <v>2157.4604695736002</v>
      </c>
      <c r="E12">
        <v>545.82271202683</v>
      </c>
      <c r="F12">
        <v>173.23759036145</v>
      </c>
      <c r="G12">
        <v>129.67325301205</v>
      </c>
      <c r="I12" s="9">
        <f t="shared" si="1"/>
        <v>416.14945901478001</v>
      </c>
      <c r="J12" s="9">
        <f t="shared" si="2"/>
        <v>1984.2228792121502</v>
      </c>
      <c r="K12" s="9">
        <f t="shared" si="3"/>
        <v>416.14945901478001</v>
      </c>
      <c r="L12" s="10">
        <f t="shared" si="0"/>
        <v>0.20972919089614322</v>
      </c>
      <c r="M12" s="10">
        <f t="shared" si="4"/>
        <v>0.21258585094993138</v>
      </c>
      <c r="P12" s="8">
        <f t="shared" si="5"/>
        <v>-17.353918212259476</v>
      </c>
    </row>
    <row r="13" spans="1:16" x14ac:dyDescent="0.2">
      <c r="A13" s="8">
        <v>5.5</v>
      </c>
      <c r="B13" s="8">
        <v>11</v>
      </c>
      <c r="D13">
        <v>2342.3382846190998</v>
      </c>
      <c r="E13">
        <v>564.12937230473995</v>
      </c>
      <c r="F13">
        <v>173.19518072289</v>
      </c>
      <c r="G13">
        <v>129.22024096385999</v>
      </c>
      <c r="I13" s="9">
        <f t="shared" si="1"/>
        <v>434.90913134087998</v>
      </c>
      <c r="J13" s="9">
        <f t="shared" si="2"/>
        <v>2169.1431038962096</v>
      </c>
      <c r="K13" s="9">
        <f t="shared" si="3"/>
        <v>434.90913134087998</v>
      </c>
      <c r="L13" s="10">
        <f t="shared" si="0"/>
        <v>0.2004981278366085</v>
      </c>
      <c r="M13" s="10">
        <f t="shared" si="4"/>
        <v>0.20364045389577548</v>
      </c>
      <c r="P13" s="8">
        <f t="shared" si="5"/>
        <v>-20.8315815339624</v>
      </c>
    </row>
    <row r="14" spans="1:16" x14ac:dyDescent="0.2">
      <c r="A14" s="8">
        <v>6</v>
      </c>
      <c r="B14" s="8">
        <v>12</v>
      </c>
      <c r="D14">
        <v>2370.9990416865999</v>
      </c>
      <c r="E14">
        <v>571.01533301389998</v>
      </c>
      <c r="F14">
        <v>173.33349397590001</v>
      </c>
      <c r="G14">
        <v>129.59903614458</v>
      </c>
      <c r="I14" s="9">
        <f t="shared" si="1"/>
        <v>441.41629686931998</v>
      </c>
      <c r="J14" s="9">
        <f t="shared" si="2"/>
        <v>2197.6655477106997</v>
      </c>
      <c r="K14" s="9">
        <f t="shared" si="3"/>
        <v>441.41629686931998</v>
      </c>
      <c r="L14" s="10">
        <f t="shared" si="0"/>
        <v>0.20085690351252117</v>
      </c>
      <c r="M14" s="10">
        <f t="shared" si="4"/>
        <v>0.20428489557706694</v>
      </c>
      <c r="P14" s="8">
        <f t="shared" si="5"/>
        <v>-20.58104472889541</v>
      </c>
    </row>
    <row r="15" spans="1:16" x14ac:dyDescent="0.2">
      <c r="A15" s="8">
        <v>6.5</v>
      </c>
      <c r="B15" s="8">
        <v>13</v>
      </c>
      <c r="D15">
        <v>2049.1649038462001</v>
      </c>
      <c r="E15">
        <v>506.90961538462</v>
      </c>
      <c r="F15">
        <v>173.35518072289</v>
      </c>
      <c r="G15">
        <v>129.34554216868</v>
      </c>
      <c r="I15" s="9">
        <f t="shared" si="1"/>
        <v>377.56407321593997</v>
      </c>
      <c r="J15" s="9">
        <f t="shared" si="2"/>
        <v>1875.8097231233101</v>
      </c>
      <c r="K15" s="9">
        <f t="shared" si="3"/>
        <v>377.56407321593997</v>
      </c>
      <c r="L15" s="10">
        <f t="shared" si="0"/>
        <v>0.2012805822262603</v>
      </c>
      <c r="M15" s="10">
        <f t="shared" si="4"/>
        <v>0.2049942402961849</v>
      </c>
      <c r="P15" s="8">
        <f t="shared" si="5"/>
        <v>-20.305275850534205</v>
      </c>
    </row>
    <row r="16" spans="1:16" x14ac:dyDescent="0.2">
      <c r="A16" s="8">
        <v>7</v>
      </c>
      <c r="B16" s="8">
        <v>14</v>
      </c>
      <c r="D16">
        <v>2021.6302884615</v>
      </c>
      <c r="E16">
        <v>496.54663461539002</v>
      </c>
      <c r="F16">
        <v>172.97542168675</v>
      </c>
      <c r="G16">
        <v>129.43132530120999</v>
      </c>
      <c r="I16" s="9">
        <f t="shared" si="1"/>
        <v>367.11530931418002</v>
      </c>
      <c r="J16" s="9">
        <f t="shared" si="2"/>
        <v>1848.65486677475</v>
      </c>
      <c r="K16" s="9">
        <f t="shared" si="3"/>
        <v>367.11530931418002</v>
      </c>
      <c r="L16" s="10">
        <f t="shared" si="0"/>
        <v>0.19858509877220437</v>
      </c>
      <c r="M16" s="10">
        <f t="shared" si="4"/>
        <v>0.2025844228475078</v>
      </c>
      <c r="P16" s="8">
        <f t="shared" si="5"/>
        <v>-21.242130157003544</v>
      </c>
    </row>
    <row r="17" spans="1:16" x14ac:dyDescent="0.2">
      <c r="A17" s="8">
        <v>7.5</v>
      </c>
      <c r="B17" s="8">
        <v>15</v>
      </c>
      <c r="D17">
        <v>1931.9336538462001</v>
      </c>
      <c r="E17">
        <v>480.34230769230999</v>
      </c>
      <c r="F17">
        <v>172.89349397589999</v>
      </c>
      <c r="G17">
        <v>129.31036144577999</v>
      </c>
      <c r="I17" s="9">
        <f t="shared" si="1"/>
        <v>351.03194624652997</v>
      </c>
      <c r="J17" s="9">
        <f t="shared" si="2"/>
        <v>1759.0401598703002</v>
      </c>
      <c r="K17" s="9">
        <f t="shared" si="3"/>
        <v>351.03194624652997</v>
      </c>
      <c r="L17" s="10">
        <f t="shared" si="0"/>
        <v>0.19955880158666345</v>
      </c>
      <c r="M17" s="10">
        <f t="shared" si="4"/>
        <v>0.20384379166734568</v>
      </c>
      <c r="P17" s="8">
        <f t="shared" si="5"/>
        <v>-20.752530787994903</v>
      </c>
    </row>
    <row r="18" spans="1:16" x14ac:dyDescent="0.2">
      <c r="A18" s="8">
        <v>8</v>
      </c>
      <c r="B18" s="8">
        <v>16</v>
      </c>
      <c r="D18">
        <v>1967.157793765</v>
      </c>
      <c r="E18">
        <v>484.79568345323997</v>
      </c>
      <c r="F18">
        <v>173.05975903615001</v>
      </c>
      <c r="G18">
        <v>129.35807228915999</v>
      </c>
      <c r="I18" s="9">
        <f t="shared" si="1"/>
        <v>355.43761116407995</v>
      </c>
      <c r="J18" s="9">
        <f t="shared" si="2"/>
        <v>1794.0980347288501</v>
      </c>
      <c r="K18" s="9">
        <f t="shared" si="3"/>
        <v>355.43761116407995</v>
      </c>
      <c r="L18" s="10">
        <f t="shared" si="0"/>
        <v>0.19811493256431709</v>
      </c>
      <c r="M18" s="10">
        <f t="shared" si="4"/>
        <v>0.20268558865037814</v>
      </c>
      <c r="P18" s="8">
        <f t="shared" si="5"/>
        <v>-21.202800365388608</v>
      </c>
    </row>
    <row r="19" spans="1:16" x14ac:dyDescent="0.2">
      <c r="A19" s="8">
        <v>8.5</v>
      </c>
      <c r="B19" s="8">
        <v>17</v>
      </c>
      <c r="D19">
        <v>2024.4882494005001</v>
      </c>
      <c r="E19">
        <v>506.44508393285003</v>
      </c>
      <c r="F19">
        <v>173.43373493976</v>
      </c>
      <c r="G19">
        <v>129.27180722892001</v>
      </c>
      <c r="I19" s="9">
        <f t="shared" si="1"/>
        <v>377.17327670393001</v>
      </c>
      <c r="J19" s="9">
        <f t="shared" si="2"/>
        <v>1851.0545144607402</v>
      </c>
      <c r="K19" s="9">
        <f t="shared" si="3"/>
        <v>377.17327670393001</v>
      </c>
      <c r="L19" s="10">
        <f t="shared" si="0"/>
        <v>0.20376130133250575</v>
      </c>
      <c r="M19" s="10">
        <f t="shared" si="4"/>
        <v>0.2086176234239456</v>
      </c>
      <c r="P19" s="8">
        <f t="shared" si="5"/>
        <v>-18.896628863977423</v>
      </c>
    </row>
    <row r="20" spans="1:16" x14ac:dyDescent="0.2">
      <c r="A20" s="8">
        <v>9</v>
      </c>
      <c r="B20" s="8">
        <v>18</v>
      </c>
      <c r="D20">
        <v>2027.7366906474999</v>
      </c>
      <c r="E20">
        <v>506.62781774579997</v>
      </c>
      <c r="F20">
        <v>172.90746987951999</v>
      </c>
      <c r="G20">
        <v>129.30843373494</v>
      </c>
      <c r="I20" s="9">
        <f t="shared" si="1"/>
        <v>377.31938401085995</v>
      </c>
      <c r="J20" s="9">
        <f t="shared" si="2"/>
        <v>1854.8292207679799</v>
      </c>
      <c r="K20" s="9">
        <f t="shared" si="3"/>
        <v>377.31938401085995</v>
      </c>
      <c r="L20" s="10">
        <f t="shared" si="0"/>
        <v>0.20342540422920086</v>
      </c>
      <c r="M20" s="10">
        <f t="shared" si="4"/>
        <v>0.20856739232601954</v>
      </c>
      <c r="P20" s="8">
        <f t="shared" si="5"/>
        <v>-18.916156990656294</v>
      </c>
    </row>
    <row r="21" spans="1:16" x14ac:dyDescent="0.2">
      <c r="A21" s="8">
        <v>9.5</v>
      </c>
      <c r="B21" s="8">
        <v>19</v>
      </c>
      <c r="D21">
        <v>2013.7303262956</v>
      </c>
      <c r="E21">
        <v>506.94865642994</v>
      </c>
      <c r="F21">
        <v>172.86939759035999</v>
      </c>
      <c r="G21">
        <v>128.92337349397999</v>
      </c>
      <c r="I21" s="9">
        <f t="shared" si="1"/>
        <v>378.02528293596004</v>
      </c>
      <c r="J21" s="9">
        <f t="shared" si="2"/>
        <v>1840.86092870524</v>
      </c>
      <c r="K21" s="9">
        <f t="shared" si="3"/>
        <v>378.02528293596004</v>
      </c>
      <c r="L21" s="10">
        <f t="shared" si="0"/>
        <v>0.20535243974233414</v>
      </c>
      <c r="M21" s="10">
        <f t="shared" si="4"/>
        <v>0.21078009384453164</v>
      </c>
      <c r="P21" s="8">
        <f t="shared" si="5"/>
        <v>-18.05593459178235</v>
      </c>
    </row>
    <row r="22" spans="1:16" x14ac:dyDescent="0.2">
      <c r="A22" s="8">
        <v>10</v>
      </c>
      <c r="B22" s="8">
        <v>20</v>
      </c>
      <c r="D22">
        <v>1978.6142034549</v>
      </c>
      <c r="E22">
        <v>500.51199616123</v>
      </c>
      <c r="F22">
        <v>173.52674698794999</v>
      </c>
      <c r="G22">
        <v>129.06024096386</v>
      </c>
      <c r="I22" s="9">
        <f t="shared" si="1"/>
        <v>371.45175519737001</v>
      </c>
      <c r="J22" s="9">
        <f t="shared" si="2"/>
        <v>1805.08745646695</v>
      </c>
      <c r="K22" s="9">
        <f t="shared" si="3"/>
        <v>371.45175519737001</v>
      </c>
      <c r="L22" s="10">
        <f t="shared" si="0"/>
        <v>0.20578047554792869</v>
      </c>
      <c r="M22" s="10">
        <f t="shared" si="4"/>
        <v>0.211493795655505</v>
      </c>
      <c r="P22" s="8">
        <f t="shared" si="5"/>
        <v>-17.778471825666013</v>
      </c>
    </row>
    <row r="23" spans="1:16" x14ac:dyDescent="0.2">
      <c r="A23" s="8">
        <v>10.5</v>
      </c>
      <c r="B23" s="8">
        <v>21</v>
      </c>
      <c r="D23">
        <v>1955.7667946257</v>
      </c>
      <c r="E23">
        <v>510.83349328215002</v>
      </c>
      <c r="F23">
        <v>173.43084337349001</v>
      </c>
      <c r="G23">
        <v>129.53638554217</v>
      </c>
      <c r="I23" s="9">
        <f t="shared" si="1"/>
        <v>381.29710773997999</v>
      </c>
      <c r="J23" s="9">
        <f t="shared" si="2"/>
        <v>1782.33595125221</v>
      </c>
      <c r="K23" s="9">
        <f t="shared" si="3"/>
        <v>381.29710773997999</v>
      </c>
      <c r="L23" s="10">
        <f t="shared" si="0"/>
        <v>0.21393110960483816</v>
      </c>
      <c r="M23" s="10">
        <f t="shared" si="4"/>
        <v>0.21993009571779329</v>
      </c>
      <c r="P23" s="8">
        <f t="shared" si="5"/>
        <v>-14.498727939521819</v>
      </c>
    </row>
    <row r="24" spans="1:16" x14ac:dyDescent="0.2">
      <c r="A24" s="8">
        <v>11</v>
      </c>
      <c r="B24" s="8">
        <v>22</v>
      </c>
      <c r="D24">
        <v>1921.6928982725999</v>
      </c>
      <c r="E24">
        <v>503.08589251439997</v>
      </c>
      <c r="F24">
        <v>172.90457831325</v>
      </c>
      <c r="G24">
        <v>129.25542168675</v>
      </c>
      <c r="I24" s="9">
        <f t="shared" si="1"/>
        <v>373.83047082764995</v>
      </c>
      <c r="J24" s="9">
        <f t="shared" si="2"/>
        <v>1748.7883199593498</v>
      </c>
      <c r="K24" s="9">
        <f t="shared" si="3"/>
        <v>373.83047082764995</v>
      </c>
      <c r="L24" s="10">
        <f t="shared" si="0"/>
        <v>0.21376542064069798</v>
      </c>
      <c r="M24" s="10">
        <f t="shared" si="4"/>
        <v>0.22005007275903191</v>
      </c>
      <c r="P24" s="8">
        <f t="shared" si="5"/>
        <v>-14.452084984129678</v>
      </c>
    </row>
    <row r="25" spans="1:16" x14ac:dyDescent="0.2">
      <c r="A25" s="8">
        <v>11.5</v>
      </c>
      <c r="B25" s="8">
        <v>23</v>
      </c>
      <c r="D25">
        <v>1966.4856046064999</v>
      </c>
      <c r="E25">
        <v>511.48080614204002</v>
      </c>
      <c r="F25">
        <v>173.32722891565999</v>
      </c>
      <c r="G25">
        <v>129.13108433734999</v>
      </c>
      <c r="I25" s="9">
        <f t="shared" si="1"/>
        <v>382.34972180469003</v>
      </c>
      <c r="J25" s="9">
        <f t="shared" si="2"/>
        <v>1793.1583756908399</v>
      </c>
      <c r="K25" s="9">
        <f t="shared" si="3"/>
        <v>382.34972180469003</v>
      </c>
      <c r="L25" s="10">
        <f t="shared" si="0"/>
        <v>0.21322696700305924</v>
      </c>
      <c r="M25" s="10">
        <f t="shared" si="4"/>
        <v>0.21979728512677199</v>
      </c>
      <c r="P25" s="8">
        <f t="shared" si="5"/>
        <v>-14.550360138554716</v>
      </c>
    </row>
    <row r="26" spans="1:16" x14ac:dyDescent="0.2">
      <c r="A26" s="8">
        <v>12</v>
      </c>
      <c r="B26" s="8">
        <v>24</v>
      </c>
      <c r="D26">
        <v>1970.8934740883001</v>
      </c>
      <c r="E26">
        <v>508.77207293665998</v>
      </c>
      <c r="F26">
        <v>172.69686746988</v>
      </c>
      <c r="G26">
        <v>129.14120481928001</v>
      </c>
      <c r="I26" s="9">
        <f t="shared" si="1"/>
        <v>379.63086811737998</v>
      </c>
      <c r="J26" s="9">
        <f t="shared" si="2"/>
        <v>1798.19660661842</v>
      </c>
      <c r="K26" s="9">
        <f t="shared" si="3"/>
        <v>379.63086811737998</v>
      </c>
      <c r="L26" s="10">
        <f t="shared" si="0"/>
        <v>0.21111755339772934</v>
      </c>
      <c r="M26" s="10">
        <f t="shared" si="4"/>
        <v>0.21797353752682092</v>
      </c>
      <c r="P26" s="8">
        <f t="shared" si="5"/>
        <v>-15.259370604831002</v>
      </c>
    </row>
    <row r="27" spans="1:16" x14ac:dyDescent="0.2">
      <c r="A27" s="8">
        <v>12.5</v>
      </c>
      <c r="B27" s="8">
        <v>25</v>
      </c>
      <c r="D27">
        <v>1958.4280230326001</v>
      </c>
      <c r="E27">
        <v>508.70105566219002</v>
      </c>
      <c r="F27">
        <v>173.15277108434</v>
      </c>
      <c r="G27">
        <v>129.41156626506</v>
      </c>
      <c r="I27" s="9">
        <f t="shared" si="1"/>
        <v>379.28948939713001</v>
      </c>
      <c r="J27" s="9">
        <f t="shared" si="2"/>
        <v>1785.2752519482601</v>
      </c>
      <c r="K27" s="9">
        <f t="shared" si="3"/>
        <v>379.28948939713001</v>
      </c>
      <c r="L27" s="10">
        <f t="shared" si="0"/>
        <v>0.21245434785656367</v>
      </c>
      <c r="M27" s="10">
        <f t="shared" si="4"/>
        <v>0.21959599799103405</v>
      </c>
      <c r="P27" s="8">
        <f t="shared" si="5"/>
        <v>-14.628613667699211</v>
      </c>
    </row>
    <row r="28" spans="1:16" x14ac:dyDescent="0.2">
      <c r="A28" s="8">
        <v>13</v>
      </c>
      <c r="B28" s="8">
        <v>26</v>
      </c>
      <c r="D28">
        <v>2012.3673076923001</v>
      </c>
      <c r="E28">
        <v>513.99326923077001</v>
      </c>
      <c r="F28">
        <v>173.47518072289</v>
      </c>
      <c r="G28">
        <v>129.28385542168999</v>
      </c>
      <c r="I28" s="9">
        <f t="shared" si="1"/>
        <v>384.70941380908005</v>
      </c>
      <c r="J28" s="9">
        <f t="shared" si="2"/>
        <v>1838.8921269694101</v>
      </c>
      <c r="K28" s="9">
        <f t="shared" si="3"/>
        <v>384.70941380908005</v>
      </c>
      <c r="L28" s="10">
        <f t="shared" si="0"/>
        <v>0.20920716781962689</v>
      </c>
      <c r="M28" s="10">
        <f t="shared" si="4"/>
        <v>0.2166344839594761</v>
      </c>
      <c r="P28" s="8">
        <f t="shared" si="5"/>
        <v>-15.779948668471794</v>
      </c>
    </row>
    <row r="29" spans="1:16" x14ac:dyDescent="0.2">
      <c r="A29" s="8">
        <v>13.5</v>
      </c>
      <c r="B29" s="8">
        <v>27</v>
      </c>
      <c r="D29">
        <v>1947.10625</v>
      </c>
      <c r="E29">
        <v>497.57788461539002</v>
      </c>
      <c r="F29">
        <v>172.58265060241001</v>
      </c>
      <c r="G29">
        <v>129.30554216868001</v>
      </c>
      <c r="I29" s="9">
        <f t="shared" si="1"/>
        <v>368.27234244671001</v>
      </c>
      <c r="J29" s="9">
        <f t="shared" si="2"/>
        <v>1774.52359939759</v>
      </c>
      <c r="K29" s="9">
        <f t="shared" si="3"/>
        <v>368.27234244671001</v>
      </c>
      <c r="L29" s="10">
        <f t="shared" si="0"/>
        <v>0.20753307680536343</v>
      </c>
      <c r="M29" s="10">
        <f t="shared" si="4"/>
        <v>0.21524605895059143</v>
      </c>
      <c r="P29" s="8">
        <f t="shared" si="5"/>
        <v>-16.319720653896415</v>
      </c>
    </row>
    <row r="30" spans="1:16" x14ac:dyDescent="0.2">
      <c r="A30" s="8">
        <v>14</v>
      </c>
      <c r="B30" s="8">
        <v>28</v>
      </c>
      <c r="D30">
        <v>1902.2514423077</v>
      </c>
      <c r="E30">
        <v>504.99951923076998</v>
      </c>
      <c r="F30">
        <v>172.44</v>
      </c>
      <c r="G30">
        <v>129.17493975904</v>
      </c>
      <c r="I30" s="9">
        <f t="shared" si="1"/>
        <v>375.82457947172998</v>
      </c>
      <c r="J30" s="9">
        <f t="shared" si="2"/>
        <v>1729.8114423077</v>
      </c>
      <c r="K30" s="9">
        <f t="shared" si="3"/>
        <v>375.82457947172998</v>
      </c>
      <c r="L30" s="10">
        <f t="shared" si="0"/>
        <v>0.21726332146950736</v>
      </c>
      <c r="M30" s="10">
        <f t="shared" si="4"/>
        <v>0.22526196962011419</v>
      </c>
      <c r="P30" s="8">
        <f t="shared" si="5"/>
        <v>-12.425878384181861</v>
      </c>
    </row>
    <row r="31" spans="1:16" x14ac:dyDescent="0.2">
      <c r="A31" s="8">
        <v>14.5</v>
      </c>
      <c r="B31" s="8">
        <v>29</v>
      </c>
      <c r="D31">
        <v>1838.1995192308</v>
      </c>
      <c r="E31">
        <v>500.50480769231001</v>
      </c>
      <c r="F31">
        <v>172.57301204819001</v>
      </c>
      <c r="G31">
        <v>128.89012048193001</v>
      </c>
      <c r="I31" s="9">
        <f t="shared" si="1"/>
        <v>371.61468721038</v>
      </c>
      <c r="J31" s="9">
        <f t="shared" si="2"/>
        <v>1665.6265071826099</v>
      </c>
      <c r="K31" s="9">
        <f t="shared" si="3"/>
        <v>371.61468721038</v>
      </c>
      <c r="L31" s="10">
        <f t="shared" si="0"/>
        <v>0.22310805310066925</v>
      </c>
      <c r="M31" s="10">
        <f t="shared" si="4"/>
        <v>0.23139236725665491</v>
      </c>
      <c r="P31" s="8">
        <f t="shared" si="5"/>
        <v>-10.042590210500709</v>
      </c>
    </row>
    <row r="32" spans="1:16" x14ac:dyDescent="0.2">
      <c r="A32" s="8">
        <v>15</v>
      </c>
      <c r="B32" s="8">
        <v>30</v>
      </c>
      <c r="D32">
        <v>1780.0884615385</v>
      </c>
      <c r="E32">
        <v>488.08990384614998</v>
      </c>
      <c r="F32">
        <v>172.56819277107999</v>
      </c>
      <c r="G32">
        <v>128.86698795180999</v>
      </c>
      <c r="I32" s="9">
        <f t="shared" si="1"/>
        <v>359.22291589433996</v>
      </c>
      <c r="J32" s="9">
        <f t="shared" si="2"/>
        <v>1607.52026876742</v>
      </c>
      <c r="K32" s="9">
        <f t="shared" si="3"/>
        <v>359.22291589433996</v>
      </c>
      <c r="L32" s="10">
        <f t="shared" si="0"/>
        <v>0.22346400407739631</v>
      </c>
      <c r="M32" s="10">
        <f t="shared" si="4"/>
        <v>0.23203398423876076</v>
      </c>
      <c r="P32" s="8">
        <f t="shared" si="5"/>
        <v>-9.793151551518589</v>
      </c>
    </row>
    <row r="33" spans="1:16" x14ac:dyDescent="0.2">
      <c r="A33" s="8">
        <v>15.5</v>
      </c>
      <c r="B33" s="8">
        <v>31</v>
      </c>
      <c r="D33">
        <v>1823.5740384615001</v>
      </c>
      <c r="E33">
        <v>504.29182692308001</v>
      </c>
      <c r="F33">
        <v>172.49493975903999</v>
      </c>
      <c r="G33">
        <v>128.78168674699</v>
      </c>
      <c r="I33" s="9">
        <f t="shared" si="1"/>
        <v>375.51014017608998</v>
      </c>
      <c r="J33" s="9">
        <f t="shared" si="2"/>
        <v>1651.0790987024602</v>
      </c>
      <c r="K33" s="9">
        <f t="shared" si="3"/>
        <v>375.51014017608998</v>
      </c>
      <c r="L33" s="10">
        <f t="shared" si="0"/>
        <v>0.22743316202790864</v>
      </c>
      <c r="M33" s="10">
        <f t="shared" si="4"/>
        <v>0.23628880819465192</v>
      </c>
      <c r="P33" s="8">
        <f t="shared" si="5"/>
        <v>-8.1390220453463336</v>
      </c>
    </row>
    <row r="34" spans="1:16" x14ac:dyDescent="0.2">
      <c r="A34" s="8">
        <v>16</v>
      </c>
      <c r="B34" s="8">
        <v>32</v>
      </c>
      <c r="D34">
        <v>1782.9211538462</v>
      </c>
      <c r="E34">
        <v>492.23076923077002</v>
      </c>
      <c r="F34">
        <v>172.64144578313</v>
      </c>
      <c r="G34">
        <v>128.75951807229001</v>
      </c>
      <c r="I34" s="9">
        <f t="shared" si="1"/>
        <v>363.47125115848002</v>
      </c>
      <c r="J34" s="9">
        <f t="shared" si="2"/>
        <v>1610.2797080630701</v>
      </c>
      <c r="K34" s="9">
        <f t="shared" si="3"/>
        <v>363.47125115848002</v>
      </c>
      <c r="L34" s="10">
        <f t="shared" si="0"/>
        <v>0.22571932648625531</v>
      </c>
      <c r="M34" s="10">
        <f t="shared" si="4"/>
        <v>0.23486063865837742</v>
      </c>
      <c r="P34" s="8">
        <f t="shared" si="5"/>
        <v>-8.6942453387794476</v>
      </c>
    </row>
    <row r="35" spans="1:16" x14ac:dyDescent="0.2">
      <c r="A35" s="8">
        <v>16.5</v>
      </c>
      <c r="B35" s="8">
        <v>33</v>
      </c>
      <c r="D35">
        <v>1711.6966346153999</v>
      </c>
      <c r="E35">
        <v>485.90961538462</v>
      </c>
      <c r="F35">
        <v>172.23855421687</v>
      </c>
      <c r="G35">
        <v>129.07036144578001</v>
      </c>
      <c r="I35" s="9">
        <f t="shared" si="1"/>
        <v>356.83925393883999</v>
      </c>
      <c r="J35" s="9">
        <f t="shared" si="2"/>
        <v>1539.45808039853</v>
      </c>
      <c r="K35" s="9">
        <f t="shared" si="3"/>
        <v>356.83925393883999</v>
      </c>
      <c r="L35" s="10">
        <f t="shared" si="0"/>
        <v>0.23179536908628429</v>
      </c>
      <c r="M35" s="10">
        <f t="shared" si="4"/>
        <v>0.24122234726378519</v>
      </c>
      <c r="P35" s="8">
        <f t="shared" si="5"/>
        <v>-6.2210314002086537</v>
      </c>
    </row>
    <row r="36" spans="1:16" x14ac:dyDescent="0.2">
      <c r="A36" s="8">
        <v>17</v>
      </c>
      <c r="B36" s="8">
        <v>34</v>
      </c>
      <c r="D36">
        <v>1929.7216346154</v>
      </c>
      <c r="E36">
        <v>528.49471153846002</v>
      </c>
      <c r="F36">
        <v>172.4665060241</v>
      </c>
      <c r="G36">
        <v>128.90939759035999</v>
      </c>
      <c r="I36" s="9">
        <f t="shared" si="1"/>
        <v>399.58531394810007</v>
      </c>
      <c r="J36" s="9">
        <f t="shared" si="2"/>
        <v>1757.2551285913</v>
      </c>
      <c r="K36" s="9">
        <f t="shared" si="3"/>
        <v>399.58531394810007</v>
      </c>
      <c r="L36" s="10">
        <f t="shared" si="0"/>
        <v>0.22739174718950844</v>
      </c>
      <c r="M36" s="10">
        <f t="shared" si="4"/>
        <v>0.23710439137238817</v>
      </c>
      <c r="P36" s="8">
        <f t="shared" si="5"/>
        <v>-7.8219513009355452</v>
      </c>
    </row>
    <row r="37" spans="1:16" x14ac:dyDescent="0.2">
      <c r="A37" s="8">
        <v>17.5</v>
      </c>
      <c r="B37" s="8">
        <v>35</v>
      </c>
      <c r="D37">
        <v>2014.4124999999999</v>
      </c>
      <c r="E37">
        <v>542.85384615384999</v>
      </c>
      <c r="F37">
        <v>172.0265060241</v>
      </c>
      <c r="G37">
        <v>128.85108433734999</v>
      </c>
      <c r="I37" s="9">
        <f t="shared" si="1"/>
        <v>414.00276181649997</v>
      </c>
      <c r="J37" s="9">
        <f t="shared" si="2"/>
        <v>1842.3859939759</v>
      </c>
      <c r="K37" s="9">
        <f t="shared" si="3"/>
        <v>414.00276181649997</v>
      </c>
      <c r="L37" s="10">
        <f t="shared" si="0"/>
        <v>0.22471011132855773</v>
      </c>
      <c r="M37" s="10">
        <f t="shared" si="4"/>
        <v>0.23470842151681626</v>
      </c>
      <c r="P37" s="8">
        <f t="shared" si="5"/>
        <v>-8.7534221385276254</v>
      </c>
    </row>
    <row r="38" spans="1:16" x14ac:dyDescent="0.2">
      <c r="A38" s="8">
        <v>18</v>
      </c>
      <c r="B38" s="8">
        <v>36</v>
      </c>
      <c r="D38">
        <v>1964.2331730768999</v>
      </c>
      <c r="E38">
        <v>540.48701923076999</v>
      </c>
      <c r="F38">
        <v>172.66506024096</v>
      </c>
      <c r="G38">
        <v>128.76</v>
      </c>
      <c r="I38" s="9">
        <f t="shared" si="1"/>
        <v>411.72701923077</v>
      </c>
      <c r="J38" s="9">
        <f t="shared" si="2"/>
        <v>1791.5681128359399</v>
      </c>
      <c r="K38" s="9">
        <f t="shared" si="3"/>
        <v>411.72701923077</v>
      </c>
      <c r="L38" s="10">
        <f t="shared" si="0"/>
        <v>0.22981376833004241</v>
      </c>
      <c r="M38" s="10">
        <f t="shared" si="4"/>
        <v>0.24009774452367977</v>
      </c>
      <c r="P38" s="8">
        <f t="shared" si="5"/>
        <v>-6.6582383432961327</v>
      </c>
    </row>
    <row r="39" spans="1:16" x14ac:dyDescent="0.2">
      <c r="A39" s="8">
        <v>18.5</v>
      </c>
      <c r="B39" s="8">
        <v>37</v>
      </c>
      <c r="D39">
        <v>1943.6774038461999</v>
      </c>
      <c r="E39">
        <v>553.48798076923003</v>
      </c>
      <c r="F39">
        <v>171.93445783133001</v>
      </c>
      <c r="G39">
        <v>128.77060240963999</v>
      </c>
      <c r="I39" s="9">
        <f t="shared" si="1"/>
        <v>424.71737835959004</v>
      </c>
      <c r="J39" s="9">
        <f t="shared" si="2"/>
        <v>1771.7429460148699</v>
      </c>
      <c r="K39" s="9">
        <f t="shared" si="3"/>
        <v>424.71737835959004</v>
      </c>
      <c r="L39" s="10">
        <f t="shared" si="0"/>
        <v>0.23971726785473849</v>
      </c>
      <c r="M39" s="10">
        <f t="shared" si="4"/>
        <v>0.25028691005375464</v>
      </c>
      <c r="P39" s="8">
        <f t="shared" si="5"/>
        <v>-2.6970405308145944</v>
      </c>
    </row>
    <row r="40" spans="1:16" x14ac:dyDescent="0.2">
      <c r="A40" s="8">
        <v>19</v>
      </c>
      <c r="B40" s="8">
        <v>38</v>
      </c>
      <c r="D40">
        <v>1842.5048076922999</v>
      </c>
      <c r="E40">
        <v>531.84423076922997</v>
      </c>
      <c r="F40">
        <v>172.05204819277</v>
      </c>
      <c r="G40">
        <v>128.70554216868001</v>
      </c>
      <c r="I40" s="9">
        <f t="shared" si="1"/>
        <v>403.13868860054993</v>
      </c>
      <c r="J40" s="9">
        <f t="shared" si="2"/>
        <v>1670.45275949953</v>
      </c>
      <c r="K40" s="9">
        <f t="shared" si="3"/>
        <v>403.13868860054993</v>
      </c>
      <c r="L40" s="10">
        <f t="shared" si="0"/>
        <v>0.24133498317026986</v>
      </c>
      <c r="M40" s="10">
        <f t="shared" si="4"/>
        <v>0.25219029137466487</v>
      </c>
      <c r="P40" s="8">
        <f t="shared" si="5"/>
        <v>-1.9570712072764385</v>
      </c>
    </row>
    <row r="41" spans="1:16" x14ac:dyDescent="0.2">
      <c r="A41" s="8">
        <v>19.5</v>
      </c>
      <c r="B41" s="8">
        <v>39</v>
      </c>
      <c r="D41">
        <v>1901.3548076923</v>
      </c>
      <c r="E41">
        <v>549.27163461538998</v>
      </c>
      <c r="F41">
        <v>171.38602409639</v>
      </c>
      <c r="G41">
        <v>128.93831325300999</v>
      </c>
      <c r="I41" s="9">
        <f t="shared" si="1"/>
        <v>420.33332136237999</v>
      </c>
      <c r="J41" s="9">
        <f t="shared" si="2"/>
        <v>1729.9687835959101</v>
      </c>
      <c r="K41" s="9">
        <f t="shared" si="3"/>
        <v>420.33332136237999</v>
      </c>
      <c r="L41" s="10">
        <f t="shared" si="0"/>
        <v>0.24297162200156924</v>
      </c>
      <c r="M41" s="10">
        <f t="shared" si="4"/>
        <v>0.25411259621134302</v>
      </c>
      <c r="P41" s="8">
        <f t="shared" si="5"/>
        <v>-1.2097450703620407</v>
      </c>
    </row>
    <row r="42" spans="1:16" x14ac:dyDescent="0.2">
      <c r="A42" s="8">
        <v>20</v>
      </c>
      <c r="B42" s="8">
        <v>40</v>
      </c>
      <c r="D42">
        <v>1909.0783653845999</v>
      </c>
      <c r="E42">
        <v>541.62596153846005</v>
      </c>
      <c r="F42">
        <v>171.64144578313</v>
      </c>
      <c r="G42">
        <v>129.05879518072001</v>
      </c>
      <c r="I42" s="9">
        <f t="shared" si="1"/>
        <v>412.56716635774001</v>
      </c>
      <c r="J42" s="9">
        <f t="shared" si="2"/>
        <v>1737.43691960147</v>
      </c>
      <c r="K42" s="9">
        <f t="shared" si="3"/>
        <v>412.56716635774001</v>
      </c>
      <c r="L42" s="10">
        <f t="shared" si="0"/>
        <v>0.23745734979107838</v>
      </c>
      <c r="M42" s="10">
        <f t="shared" si="4"/>
        <v>0.24888399000623099</v>
      </c>
      <c r="P42" s="8">
        <f t="shared" si="5"/>
        <v>-3.2424476897162871</v>
      </c>
    </row>
    <row r="43" spans="1:16" x14ac:dyDescent="0.2">
      <c r="A43" s="8">
        <v>20.5</v>
      </c>
      <c r="B43" s="8">
        <v>41</v>
      </c>
      <c r="D43">
        <v>1860.8692307691999</v>
      </c>
      <c r="E43">
        <v>535.17451923076999</v>
      </c>
      <c r="F43">
        <v>171.85156626506</v>
      </c>
      <c r="G43">
        <v>128.90939759035999</v>
      </c>
      <c r="I43" s="9">
        <f t="shared" si="1"/>
        <v>406.26512164041003</v>
      </c>
      <c r="J43" s="9">
        <f t="shared" si="2"/>
        <v>1689.0176645041399</v>
      </c>
      <c r="K43" s="9">
        <f t="shared" si="3"/>
        <v>406.26512164041003</v>
      </c>
      <c r="L43" s="10">
        <f t="shared" si="0"/>
        <v>0.24053337639880806</v>
      </c>
      <c r="M43" s="10">
        <f t="shared" si="4"/>
        <v>0.2522456826193395</v>
      </c>
      <c r="P43" s="8">
        <f t="shared" si="5"/>
        <v>-1.9355369926650323</v>
      </c>
    </row>
    <row r="44" spans="1:16" x14ac:dyDescent="0.2">
      <c r="A44" s="8">
        <v>21</v>
      </c>
      <c r="B44" s="8">
        <v>42</v>
      </c>
      <c r="D44">
        <v>1907.8043269231</v>
      </c>
      <c r="E44">
        <v>536.34086538461997</v>
      </c>
      <c r="F44">
        <v>171.61301204819</v>
      </c>
      <c r="G44">
        <v>128.60481927711001</v>
      </c>
      <c r="I44" s="9">
        <f t="shared" si="1"/>
        <v>407.73604610750999</v>
      </c>
      <c r="J44" s="9">
        <f t="shared" si="2"/>
        <v>1736.1913148749099</v>
      </c>
      <c r="K44" s="9">
        <f t="shared" si="3"/>
        <v>407.73604610750999</v>
      </c>
      <c r="L44" s="10">
        <f t="shared" si="0"/>
        <v>0.23484511333181435</v>
      </c>
      <c r="M44" s="10">
        <f t="shared" si="4"/>
        <v>0.24684308555772461</v>
      </c>
      <c r="P44" s="8">
        <f t="shared" si="5"/>
        <v>-4.0358812847486671</v>
      </c>
    </row>
    <row r="45" spans="1:16" x14ac:dyDescent="0.2">
      <c r="A45" s="8">
        <v>21.5</v>
      </c>
      <c r="B45" s="8">
        <v>43</v>
      </c>
      <c r="D45">
        <v>1781.6004807692</v>
      </c>
      <c r="E45">
        <v>506.54471153845998</v>
      </c>
      <c r="F45">
        <v>171.70457831325001</v>
      </c>
      <c r="G45">
        <v>128.56819277107999</v>
      </c>
      <c r="I45" s="9">
        <f t="shared" si="1"/>
        <v>377.97651876737996</v>
      </c>
      <c r="J45" s="9">
        <f t="shared" si="2"/>
        <v>1609.8959024559499</v>
      </c>
      <c r="K45" s="9">
        <f t="shared" si="3"/>
        <v>377.97651876737996</v>
      </c>
      <c r="L45" s="10">
        <f t="shared" si="0"/>
        <v>0.23478320442381659</v>
      </c>
      <c r="M45" s="10">
        <f t="shared" si="4"/>
        <v>0.24706684265510565</v>
      </c>
      <c r="P45" s="8">
        <f t="shared" si="5"/>
        <v>-3.9488922058042921</v>
      </c>
    </row>
    <row r="46" spans="1:16" x14ac:dyDescent="0.2">
      <c r="A46" s="8">
        <v>22</v>
      </c>
      <c r="B46" s="8">
        <v>44</v>
      </c>
      <c r="D46">
        <v>1802.9951923077001</v>
      </c>
      <c r="E46">
        <v>515.48990384615001</v>
      </c>
      <c r="F46">
        <v>171.21253012048001</v>
      </c>
      <c r="G46">
        <v>128.89686746987999</v>
      </c>
      <c r="I46" s="9">
        <f t="shared" si="1"/>
        <v>386.59303637626999</v>
      </c>
      <c r="J46" s="9">
        <f t="shared" si="2"/>
        <v>1631.78266218722</v>
      </c>
      <c r="K46" s="9">
        <f t="shared" si="3"/>
        <v>386.59303637626999</v>
      </c>
      <c r="L46" s="10">
        <f t="shared" si="0"/>
        <v>0.23691453851953898</v>
      </c>
      <c r="M46" s="10">
        <f t="shared" si="4"/>
        <v>0.24948384275620686</v>
      </c>
      <c r="P46" s="8">
        <f t="shared" si="5"/>
        <v>-3.0092455306187702</v>
      </c>
    </row>
    <row r="47" spans="1:16" x14ac:dyDescent="0.2">
      <c r="A47" s="8">
        <v>22.5</v>
      </c>
      <c r="B47" s="8">
        <v>45</v>
      </c>
      <c r="D47">
        <v>1944.0572115385</v>
      </c>
      <c r="E47">
        <v>552.78990384614997</v>
      </c>
      <c r="F47">
        <v>170.96</v>
      </c>
      <c r="G47">
        <v>128.28626506024</v>
      </c>
      <c r="I47" s="9">
        <f t="shared" si="1"/>
        <v>424.50363878590997</v>
      </c>
      <c r="J47" s="9">
        <f t="shared" si="2"/>
        <v>1773.0972115385</v>
      </c>
      <c r="K47" s="9">
        <f t="shared" si="3"/>
        <v>424.50363878590997</v>
      </c>
      <c r="L47" s="10">
        <f t="shared" si="0"/>
        <v>0.23941362945214498</v>
      </c>
      <c r="M47" s="10">
        <f t="shared" si="4"/>
        <v>0.25226859969419169</v>
      </c>
      <c r="P47" s="8">
        <f t="shared" si="5"/>
        <v>-1.9266276205967283</v>
      </c>
    </row>
    <row r="48" spans="1:16" x14ac:dyDescent="0.2">
      <c r="A48" s="8">
        <v>23</v>
      </c>
      <c r="B48" s="8">
        <v>46</v>
      </c>
      <c r="D48">
        <v>1879.8798076922999</v>
      </c>
      <c r="E48">
        <v>529.09615384614995</v>
      </c>
      <c r="F48">
        <v>171.58409638553999</v>
      </c>
      <c r="G48">
        <v>128.76626506023999</v>
      </c>
      <c r="I48" s="9">
        <f t="shared" si="1"/>
        <v>400.32988878590993</v>
      </c>
      <c r="J48" s="9">
        <f t="shared" si="2"/>
        <v>1708.2957113067598</v>
      </c>
      <c r="K48" s="9">
        <f t="shared" si="3"/>
        <v>400.32988878590993</v>
      </c>
      <c r="L48" s="10">
        <f t="shared" si="0"/>
        <v>0.23434460798340226</v>
      </c>
      <c r="M48" s="10">
        <f t="shared" si="4"/>
        <v>0.24748524423082777</v>
      </c>
      <c r="P48" s="8">
        <f t="shared" si="5"/>
        <v>-3.7862320349004719</v>
      </c>
    </row>
    <row r="49" spans="1:25" x14ac:dyDescent="0.2">
      <c r="A49" s="8">
        <v>23.5</v>
      </c>
      <c r="B49" s="8">
        <v>47</v>
      </c>
      <c r="D49">
        <v>1847.4432692308001</v>
      </c>
      <c r="E49">
        <v>541.09663461539003</v>
      </c>
      <c r="F49">
        <v>171.09060240964001</v>
      </c>
      <c r="G49">
        <v>128.70987951807001</v>
      </c>
      <c r="I49" s="9">
        <f t="shared" si="1"/>
        <v>412.38675509732002</v>
      </c>
      <c r="J49" s="9">
        <f t="shared" si="2"/>
        <v>1676.35266682116</v>
      </c>
      <c r="K49" s="9">
        <f t="shared" si="3"/>
        <v>412.38675509732002</v>
      </c>
      <c r="L49" s="10">
        <f t="shared" si="0"/>
        <v>0.24600238557160065</v>
      </c>
      <c r="M49" s="10">
        <f t="shared" si="4"/>
        <v>0.25942868782440498</v>
      </c>
      <c r="P49" s="8">
        <f t="shared" si="5"/>
        <v>0.85696887264500121</v>
      </c>
    </row>
    <row r="50" spans="1:25" x14ac:dyDescent="0.2">
      <c r="A50" s="8">
        <v>24</v>
      </c>
      <c r="B50" s="8">
        <v>48</v>
      </c>
      <c r="D50">
        <v>1859.5822115384999</v>
      </c>
      <c r="E50">
        <v>533.56057692308002</v>
      </c>
      <c r="F50">
        <v>171.23277108433999</v>
      </c>
      <c r="G50">
        <v>128.36192771084001</v>
      </c>
      <c r="I50" s="9">
        <f t="shared" si="1"/>
        <v>405.19864921224001</v>
      </c>
      <c r="J50" s="9">
        <f t="shared" si="2"/>
        <v>1688.34944045416</v>
      </c>
      <c r="K50" s="9">
        <f t="shared" si="3"/>
        <v>405.19864921224001</v>
      </c>
      <c r="L50" s="10">
        <f t="shared" si="0"/>
        <v>0.23999691029793158</v>
      </c>
      <c r="M50" s="10">
        <f t="shared" si="4"/>
        <v>0.25370887855611474</v>
      </c>
      <c r="P50" s="8">
        <f t="shared" si="5"/>
        <v>-1.3666966370070388</v>
      </c>
    </row>
    <row r="51" spans="1:25" x14ac:dyDescent="0.2">
      <c r="A51" s="8">
        <v>24.5</v>
      </c>
      <c r="B51" s="8">
        <v>49</v>
      </c>
      <c r="D51">
        <v>1809.1274038462</v>
      </c>
      <c r="E51">
        <v>527.99903846153995</v>
      </c>
      <c r="F51">
        <v>171.32192771083999</v>
      </c>
      <c r="G51">
        <v>128.47132530120999</v>
      </c>
      <c r="I51" s="9">
        <f t="shared" si="1"/>
        <v>399.52771316032999</v>
      </c>
      <c r="J51" s="9">
        <f t="shared" si="2"/>
        <v>1637.8054761353601</v>
      </c>
      <c r="K51" s="9">
        <f t="shared" si="3"/>
        <v>399.52771316032999</v>
      </c>
      <c r="L51" s="10">
        <f t="shared" si="0"/>
        <v>0.24394088246857842</v>
      </c>
      <c r="M51" s="10">
        <f t="shared" si="4"/>
        <v>0.25793851673214035</v>
      </c>
      <c r="P51" s="8">
        <f t="shared" si="5"/>
        <v>0.27764150246157843</v>
      </c>
    </row>
    <row r="52" spans="1:25" x14ac:dyDescent="0.2">
      <c r="A52" s="8">
        <v>25</v>
      </c>
      <c r="B52" s="8">
        <v>50</v>
      </c>
      <c r="D52">
        <v>1806.7331730768999</v>
      </c>
      <c r="E52">
        <v>527.82932692307998</v>
      </c>
      <c r="F52">
        <v>171.36385542169</v>
      </c>
      <c r="G52">
        <v>128.4221686747</v>
      </c>
      <c r="I52" s="9">
        <f t="shared" si="1"/>
        <v>399.40715824837997</v>
      </c>
      <c r="J52" s="9">
        <f t="shared" si="2"/>
        <v>1635.3693176552099</v>
      </c>
      <c r="K52" s="9">
        <f t="shared" si="3"/>
        <v>399.40715824837997</v>
      </c>
      <c r="L52" s="10">
        <f t="shared" si="0"/>
        <v>0.24423055632537449</v>
      </c>
      <c r="M52" s="10">
        <f t="shared" si="4"/>
        <v>0.25851385659431525</v>
      </c>
      <c r="P52" s="8">
        <f t="shared" si="5"/>
        <v>0.50131389219297551</v>
      </c>
    </row>
    <row r="53" spans="1:25" x14ac:dyDescent="0.2">
      <c r="A53" s="8">
        <v>25.5</v>
      </c>
      <c r="B53" s="8">
        <v>51</v>
      </c>
      <c r="D53">
        <v>1885.6802492808999</v>
      </c>
      <c r="E53">
        <v>558.28044103547995</v>
      </c>
      <c r="F53">
        <v>171.17253012047999</v>
      </c>
      <c r="G53">
        <v>128.37783132530001</v>
      </c>
      <c r="I53" s="9">
        <f t="shared" si="1"/>
        <v>429.90260971017995</v>
      </c>
      <c r="J53" s="9">
        <f t="shared" si="2"/>
        <v>1714.50771916042</v>
      </c>
      <c r="K53" s="9">
        <f t="shared" si="3"/>
        <v>429.90260971017995</v>
      </c>
      <c r="L53" s="10">
        <f t="shared" si="0"/>
        <v>0.25074405026341884</v>
      </c>
      <c r="M53" s="10">
        <f t="shared" si="4"/>
        <v>0.26531301653773842</v>
      </c>
      <c r="P53" s="8">
        <f t="shared" si="5"/>
        <v>3.1445938953594426</v>
      </c>
      <c r="S53" s="11"/>
      <c r="U53" s="12"/>
    </row>
    <row r="54" spans="1:25" x14ac:dyDescent="0.2">
      <c r="A54" s="8">
        <v>26</v>
      </c>
      <c r="B54" s="8">
        <v>52</v>
      </c>
      <c r="D54">
        <v>1844.4710703953999</v>
      </c>
      <c r="E54">
        <v>542.22372227580001</v>
      </c>
      <c r="F54">
        <v>171.27277108434001</v>
      </c>
      <c r="G54">
        <v>128.19903614457999</v>
      </c>
      <c r="I54" s="9">
        <f t="shared" si="1"/>
        <v>414.02468613122005</v>
      </c>
      <c r="J54" s="9">
        <f t="shared" si="2"/>
        <v>1673.1982993110598</v>
      </c>
      <c r="K54" s="9">
        <f t="shared" si="3"/>
        <v>414.02468613122005</v>
      </c>
      <c r="L54" s="10">
        <f t="shared" si="0"/>
        <v>0.24744507946350108</v>
      </c>
      <c r="M54" s="10">
        <f t="shared" si="4"/>
        <v>0.26229971174319949</v>
      </c>
      <c r="P54" s="8">
        <f t="shared" si="5"/>
        <v>1.9731244236705254</v>
      </c>
      <c r="S54" s="11"/>
    </row>
    <row r="55" spans="1:25" x14ac:dyDescent="0.2">
      <c r="A55" s="8">
        <v>26.5</v>
      </c>
      <c r="B55" s="8">
        <v>53</v>
      </c>
      <c r="D55">
        <v>1775.6745419479</v>
      </c>
      <c r="E55">
        <v>533.94406943105002</v>
      </c>
      <c r="F55">
        <v>171.26795180722999</v>
      </c>
      <c r="G55">
        <v>128.16385542168999</v>
      </c>
      <c r="I55" s="9">
        <f t="shared" si="1"/>
        <v>405.78021400936007</v>
      </c>
      <c r="J55" s="9">
        <f t="shared" si="2"/>
        <v>1604.40659014067</v>
      </c>
      <c r="K55" s="9">
        <f t="shared" si="3"/>
        <v>405.78021400936007</v>
      </c>
      <c r="L55" s="10">
        <f t="shared" si="0"/>
        <v>0.25291607283524209</v>
      </c>
      <c r="M55" s="10">
        <f t="shared" si="4"/>
        <v>0.26805637112031933</v>
      </c>
      <c r="P55" s="8">
        <f t="shared" si="5"/>
        <v>4.2111159907464657</v>
      </c>
      <c r="S55" s="11"/>
    </row>
    <row r="56" spans="1:25" x14ac:dyDescent="0.2">
      <c r="A56" s="8">
        <v>27</v>
      </c>
      <c r="B56" s="8">
        <v>54</v>
      </c>
      <c r="D56">
        <v>1868.850048216</v>
      </c>
      <c r="E56">
        <v>565.12970106074999</v>
      </c>
      <c r="F56">
        <v>170.44337349398</v>
      </c>
      <c r="G56">
        <v>128.49638554217</v>
      </c>
      <c r="I56" s="9">
        <f t="shared" si="1"/>
        <v>436.63331551857999</v>
      </c>
      <c r="J56" s="9">
        <f t="shared" si="2"/>
        <v>1698.4066747220199</v>
      </c>
      <c r="K56" s="9">
        <f t="shared" si="3"/>
        <v>436.63331551857999</v>
      </c>
      <c r="L56" s="10">
        <f t="shared" si="0"/>
        <v>0.25708407887059453</v>
      </c>
      <c r="M56" s="10">
        <f t="shared" si="4"/>
        <v>0.27251004316105054</v>
      </c>
      <c r="P56" s="8">
        <f t="shared" si="5"/>
        <v>5.9425508067951398</v>
      </c>
      <c r="S56" s="11"/>
    </row>
    <row r="57" spans="1:25" x14ac:dyDescent="0.2">
      <c r="A57" s="8">
        <v>27.5</v>
      </c>
      <c r="B57" s="8">
        <v>55</v>
      </c>
      <c r="D57">
        <v>1883.2671166826999</v>
      </c>
      <c r="E57">
        <v>571.76615236257999</v>
      </c>
      <c r="F57">
        <v>170.76819277108001</v>
      </c>
      <c r="G57">
        <v>127.99036144578</v>
      </c>
      <c r="I57" s="9">
        <f t="shared" si="1"/>
        <v>443.77579091680002</v>
      </c>
      <c r="J57" s="9">
        <f t="shared" si="2"/>
        <v>1712.4989239116198</v>
      </c>
      <c r="K57" s="9">
        <f t="shared" si="3"/>
        <v>443.77579091680002</v>
      </c>
      <c r="L57" s="10">
        <f t="shared" si="0"/>
        <v>0.25913931081670144</v>
      </c>
      <c r="M57" s="10">
        <f t="shared" si="4"/>
        <v>0.27485094111253627</v>
      </c>
      <c r="P57" s="8">
        <f t="shared" si="5"/>
        <v>6.8526115784351553</v>
      </c>
      <c r="S57" s="11"/>
    </row>
    <row r="58" spans="1:25" x14ac:dyDescent="0.2">
      <c r="A58" s="8">
        <v>28</v>
      </c>
      <c r="B58" s="8">
        <v>56</v>
      </c>
      <c r="D58">
        <v>1836.2078109933</v>
      </c>
      <c r="E58">
        <v>553.39440694310997</v>
      </c>
      <c r="F58">
        <v>170.92337349397999</v>
      </c>
      <c r="G58">
        <v>127.83662650602</v>
      </c>
      <c r="I58" s="9">
        <f t="shared" si="1"/>
        <v>425.55778043708995</v>
      </c>
      <c r="J58" s="9">
        <f t="shared" si="2"/>
        <v>1665.2844374993199</v>
      </c>
      <c r="K58" s="9">
        <f t="shared" si="3"/>
        <v>425.55778043708995</v>
      </c>
      <c r="L58" s="10">
        <f t="shared" si="0"/>
        <v>0.25554660264292761</v>
      </c>
      <c r="M58" s="10">
        <f t="shared" si="4"/>
        <v>0.27154389894414127</v>
      </c>
      <c r="P58" s="8">
        <f t="shared" si="5"/>
        <v>5.5669470983985638</v>
      </c>
      <c r="S58" s="11"/>
    </row>
    <row r="59" spans="1:25" x14ac:dyDescent="0.2">
      <c r="A59" s="8">
        <v>28.5</v>
      </c>
      <c r="B59" s="8">
        <v>57</v>
      </c>
      <c r="D59">
        <v>1832.7934520944</v>
      </c>
      <c r="E59">
        <v>541.41405873857002</v>
      </c>
      <c r="F59">
        <v>170.47518072289</v>
      </c>
      <c r="G59">
        <v>128.28578313253001</v>
      </c>
      <c r="I59" s="9">
        <f t="shared" si="1"/>
        <v>413.12827560604001</v>
      </c>
      <c r="J59" s="9">
        <f t="shared" si="2"/>
        <v>1662.31827137151</v>
      </c>
      <c r="K59" s="9">
        <f t="shared" si="3"/>
        <v>413.12827560604001</v>
      </c>
      <c r="L59" s="10">
        <f t="shared" si="0"/>
        <v>0.24852537731248359</v>
      </c>
      <c r="M59" s="10">
        <f t="shared" si="4"/>
        <v>0.26480833961907607</v>
      </c>
      <c r="P59" s="8">
        <f t="shared" si="5"/>
        <v>2.9483928325428161</v>
      </c>
      <c r="R59" s="1"/>
      <c r="S59" s="11"/>
    </row>
    <row r="60" spans="1:25" x14ac:dyDescent="0.2">
      <c r="A60" s="8">
        <v>29</v>
      </c>
      <c r="B60" s="8">
        <v>58</v>
      </c>
      <c r="D60">
        <v>1846.5185363505</v>
      </c>
      <c r="E60">
        <v>527.89022628791997</v>
      </c>
      <c r="F60">
        <v>170.85879518071999</v>
      </c>
      <c r="G60">
        <v>127.98313253012</v>
      </c>
      <c r="I60" s="9">
        <f t="shared" si="1"/>
        <v>399.9070937578</v>
      </c>
      <c r="J60" s="9">
        <f t="shared" si="2"/>
        <v>1675.6597411697799</v>
      </c>
      <c r="K60" s="9">
        <f t="shared" si="3"/>
        <v>399.9070937578</v>
      </c>
      <c r="L60" s="10">
        <f t="shared" si="0"/>
        <v>0.23865650282832745</v>
      </c>
      <c r="M60" s="10">
        <f t="shared" si="4"/>
        <v>0.25522513114029877</v>
      </c>
      <c r="P60" s="8">
        <f t="shared" si="5"/>
        <v>-0.7772296780189728</v>
      </c>
      <c r="S60" s="11"/>
    </row>
    <row r="61" spans="1:25" x14ac:dyDescent="0.2">
      <c r="A61" s="8">
        <v>29.5</v>
      </c>
      <c r="B61" s="8">
        <v>59</v>
      </c>
      <c r="C61" s="2"/>
      <c r="D61">
        <v>1891.6206896552001</v>
      </c>
      <c r="E61">
        <v>533.31034482759003</v>
      </c>
      <c r="F61">
        <v>170.52192771084</v>
      </c>
      <c r="G61">
        <v>128.11518072288999</v>
      </c>
      <c r="I61" s="9">
        <f t="shared" si="1"/>
        <v>405.19516410470004</v>
      </c>
      <c r="J61" s="9">
        <f t="shared" si="2"/>
        <v>1721.0987619443601</v>
      </c>
      <c r="K61" s="9">
        <f t="shared" si="3"/>
        <v>405.19516410470004</v>
      </c>
      <c r="L61" s="10">
        <f t="shared" si="0"/>
        <v>0.23542818870367604</v>
      </c>
      <c r="M61" s="10">
        <f t="shared" si="4"/>
        <v>0.25228248302102618</v>
      </c>
      <c r="P61" s="8">
        <f t="shared" si="5"/>
        <v>-1.9212302596720825</v>
      </c>
      <c r="S61" s="11"/>
    </row>
    <row r="62" spans="1:25" x14ac:dyDescent="0.2">
      <c r="A62" s="8">
        <v>30</v>
      </c>
      <c r="B62" s="8">
        <v>60</v>
      </c>
      <c r="D62">
        <v>1783.8596828448001</v>
      </c>
      <c r="E62">
        <v>491.73474291206003</v>
      </c>
      <c r="F62">
        <v>170.17590361446</v>
      </c>
      <c r="G62">
        <v>128.21301204819</v>
      </c>
      <c r="I62" s="9">
        <f t="shared" si="1"/>
        <v>363.52173086387006</v>
      </c>
      <c r="J62" s="9">
        <f t="shared" si="2"/>
        <v>1613.6837792303402</v>
      </c>
      <c r="K62" s="9">
        <f t="shared" si="3"/>
        <v>363.52173086387006</v>
      </c>
      <c r="L62" s="10">
        <f t="shared" si="0"/>
        <v>0.2252744531132703</v>
      </c>
      <c r="M62" s="10">
        <f t="shared" si="4"/>
        <v>0.24241441343599923</v>
      </c>
      <c r="P62" s="8">
        <f t="shared" si="5"/>
        <v>-5.7575969904162356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1678.3301297452999</v>
      </c>
      <c r="E63">
        <v>471.60163382988998</v>
      </c>
      <c r="F63">
        <v>170.49542168675001</v>
      </c>
      <c r="G63">
        <v>127.70554216868</v>
      </c>
      <c r="I63" s="9">
        <f t="shared" si="1"/>
        <v>343.89609166120999</v>
      </c>
      <c r="J63" s="9">
        <f t="shared" si="2"/>
        <v>1507.8347080585499</v>
      </c>
      <c r="K63" s="9">
        <f t="shared" si="3"/>
        <v>343.89609166120999</v>
      </c>
      <c r="L63" s="10">
        <f t="shared" si="0"/>
        <v>0.22807280521085893</v>
      </c>
      <c r="M63" s="10">
        <f t="shared" si="4"/>
        <v>0.24549843153896667</v>
      </c>
      <c r="P63" s="8">
        <f t="shared" si="5"/>
        <v>-4.5586366116620116</v>
      </c>
    </row>
    <row r="64" spans="1:25" x14ac:dyDescent="0.2">
      <c r="A64" s="8">
        <v>31</v>
      </c>
      <c r="B64" s="8">
        <v>62</v>
      </c>
      <c r="D64">
        <v>1550.8438250841</v>
      </c>
      <c r="E64">
        <v>447.29264776550002</v>
      </c>
      <c r="F64">
        <v>169.78650602409999</v>
      </c>
      <c r="G64">
        <v>128.02361445783001</v>
      </c>
      <c r="I64" s="9">
        <f t="shared" si="1"/>
        <v>319.26903330767004</v>
      </c>
      <c r="J64" s="9">
        <f t="shared" si="2"/>
        <v>1381.0573190600001</v>
      </c>
      <c r="K64" s="9">
        <f t="shared" si="3"/>
        <v>319.26903330767004</v>
      </c>
      <c r="L64" s="10">
        <f t="shared" si="0"/>
        <v>0.23117725014120097</v>
      </c>
      <c r="M64" s="10">
        <f t="shared" si="4"/>
        <v>0.24888854247468753</v>
      </c>
      <c r="P64" s="8">
        <f t="shared" si="5"/>
        <v>-3.2406778462449819</v>
      </c>
      <c r="U64" s="8">
        <v>30.5</v>
      </c>
      <c r="V64" s="10">
        <f>L62</f>
        <v>0.2252744531132703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1427.7859209257999</v>
      </c>
      <c r="E65">
        <v>431.92671166827</v>
      </c>
      <c r="F65">
        <v>169.85108433734999</v>
      </c>
      <c r="G65">
        <v>128.02072289156999</v>
      </c>
      <c r="I65" s="9">
        <f t="shared" si="1"/>
        <v>303.90598877670004</v>
      </c>
      <c r="J65" s="9">
        <f t="shared" si="2"/>
        <v>1257.93483658845</v>
      </c>
      <c r="K65" s="9">
        <f t="shared" si="3"/>
        <v>303.90598877670004</v>
      </c>
      <c r="L65" s="10">
        <f t="shared" si="0"/>
        <v>0.24159120165628015</v>
      </c>
      <c r="M65" s="10">
        <f t="shared" si="4"/>
        <v>0.25958815999514551</v>
      </c>
      <c r="P65" s="8">
        <f t="shared" si="5"/>
        <v>0.91896617870745501</v>
      </c>
      <c r="U65" s="8">
        <v>31</v>
      </c>
      <c r="V65" s="10">
        <f t="shared" ref="V65:V83" si="6">L63</f>
        <v>0.22807280521085893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1543.9691417551001</v>
      </c>
      <c r="E66">
        <v>445.55400192863999</v>
      </c>
      <c r="F66">
        <v>169.52674698794999</v>
      </c>
      <c r="G66">
        <v>128.06554216868</v>
      </c>
      <c r="I66" s="9">
        <f t="shared" si="1"/>
        <v>317.48845975995999</v>
      </c>
      <c r="J66" s="9">
        <f t="shared" si="2"/>
        <v>1374.4423947671501</v>
      </c>
      <c r="K66" s="9">
        <f t="shared" si="3"/>
        <v>317.48845975995999</v>
      </c>
      <c r="L66" s="10">
        <f t="shared" ref="L66:L129" si="7">K66/J66</f>
        <v>0.23099437340460313</v>
      </c>
      <c r="M66" s="10">
        <f t="shared" si="4"/>
        <v>0.24927699774884732</v>
      </c>
      <c r="P66" s="8">
        <f t="shared" si="5"/>
        <v>-3.0896597694744345</v>
      </c>
      <c r="U66" s="8">
        <v>31.5</v>
      </c>
      <c r="V66" s="10">
        <f t="shared" si="6"/>
        <v>0.23117725014120097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1631.6837029894</v>
      </c>
      <c r="E67">
        <v>455.53471552554998</v>
      </c>
      <c r="F67">
        <v>169.61590361446</v>
      </c>
      <c r="G67">
        <v>127.59228915663</v>
      </c>
      <c r="I67" s="9">
        <f t="shared" ref="I67:I130" si="8">E67-G67</f>
        <v>327.94242636892</v>
      </c>
      <c r="J67" s="9">
        <f t="shared" ref="J67:J130" si="9">D67-F67</f>
        <v>1462.06779937494</v>
      </c>
      <c r="K67" s="9">
        <f t="shared" ref="K67:K130" si="10">I67*1</f>
        <v>327.94242636892</v>
      </c>
      <c r="L67" s="10">
        <f t="shared" si="7"/>
        <v>0.22430042335185907</v>
      </c>
      <c r="M67" s="10">
        <f t="shared" ref="M67:M130" si="11">L67+ABS($N$2)*A67</f>
        <v>0.24286871370148208</v>
      </c>
      <c r="P67" s="8">
        <f t="shared" ref="P67:P130" si="12">(M67-$O$2)/$O$2*100</f>
        <v>-5.5809806411647953</v>
      </c>
      <c r="U67" s="8">
        <v>32</v>
      </c>
      <c r="V67" s="10">
        <f t="shared" si="6"/>
        <v>0.24159120165628015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1672.8052073288</v>
      </c>
      <c r="E68">
        <v>458.13548698168</v>
      </c>
      <c r="F68">
        <v>169.20240963854999</v>
      </c>
      <c r="G68">
        <v>127.80481927711</v>
      </c>
      <c r="I68" s="9">
        <f t="shared" si="8"/>
        <v>330.33066770457003</v>
      </c>
      <c r="J68" s="9">
        <f t="shared" si="9"/>
        <v>1503.6027976902499</v>
      </c>
      <c r="K68" s="9">
        <f t="shared" si="10"/>
        <v>330.33066770457003</v>
      </c>
      <c r="L68" s="10">
        <f t="shared" si="7"/>
        <v>0.21969277272694987</v>
      </c>
      <c r="M68" s="10">
        <f t="shared" si="11"/>
        <v>0.23854672908195168</v>
      </c>
      <c r="P68" s="8">
        <f t="shared" si="12"/>
        <v>-7.2612199080536968</v>
      </c>
      <c r="U68" s="8">
        <v>32.5</v>
      </c>
      <c r="V68" s="10">
        <f t="shared" si="6"/>
        <v>0.23099437340460313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1583.2671462830001</v>
      </c>
      <c r="E69">
        <v>436.51462829735999</v>
      </c>
      <c r="F69">
        <v>169.63710843374</v>
      </c>
      <c r="G69">
        <v>128.04192771084001</v>
      </c>
      <c r="I69" s="9">
        <f t="shared" si="8"/>
        <v>308.47270058651998</v>
      </c>
      <c r="J69" s="9">
        <f t="shared" si="9"/>
        <v>1413.6300378492601</v>
      </c>
      <c r="K69" s="9">
        <f t="shared" si="10"/>
        <v>308.47270058651998</v>
      </c>
      <c r="L69" s="10">
        <f t="shared" si="7"/>
        <v>0.21821317623940684</v>
      </c>
      <c r="M69" s="10">
        <f t="shared" si="11"/>
        <v>0.23735279859978747</v>
      </c>
      <c r="P69" s="8">
        <f t="shared" si="12"/>
        <v>-7.7253790975618424</v>
      </c>
      <c r="U69" s="8">
        <v>33</v>
      </c>
      <c r="V69" s="10">
        <f t="shared" si="6"/>
        <v>0.22430042335185907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1780.5354558611</v>
      </c>
      <c r="E70">
        <v>490.35166425469998</v>
      </c>
      <c r="F70">
        <v>169.63325301205001</v>
      </c>
      <c r="G70">
        <v>128.21493975903999</v>
      </c>
      <c r="I70" s="9">
        <f t="shared" si="8"/>
        <v>362.13672449566002</v>
      </c>
      <c r="J70" s="9">
        <f t="shared" si="9"/>
        <v>1610.9022028490499</v>
      </c>
      <c r="K70" s="9">
        <f t="shared" si="10"/>
        <v>362.13672449566002</v>
      </c>
      <c r="L70" s="10">
        <f t="shared" si="7"/>
        <v>0.22480366831405604</v>
      </c>
      <c r="M70" s="10">
        <f t="shared" si="11"/>
        <v>0.24422895667981548</v>
      </c>
      <c r="P70" s="8">
        <f t="shared" si="12"/>
        <v>-5.0521648618633836</v>
      </c>
      <c r="U70" s="8">
        <v>33.5</v>
      </c>
      <c r="V70" s="10">
        <f t="shared" si="6"/>
        <v>0.21969277272694987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1724.5512943432</v>
      </c>
      <c r="E71">
        <v>499.51438159155998</v>
      </c>
      <c r="F71">
        <v>169.40192771084</v>
      </c>
      <c r="G71">
        <v>127.69734939759</v>
      </c>
      <c r="I71" s="9">
        <f t="shared" si="8"/>
        <v>371.81703219396996</v>
      </c>
      <c r="J71" s="9">
        <f t="shared" si="9"/>
        <v>1555.1493666323599</v>
      </c>
      <c r="K71" s="9">
        <f t="shared" si="10"/>
        <v>371.81703219396996</v>
      </c>
      <c r="L71" s="10">
        <f t="shared" si="7"/>
        <v>0.23908766589998437</v>
      </c>
      <c r="M71" s="10">
        <f t="shared" si="11"/>
        <v>0.25879862027112266</v>
      </c>
      <c r="P71" s="8">
        <f t="shared" si="12"/>
        <v>0.61202023515248771</v>
      </c>
      <c r="U71" s="8">
        <v>34</v>
      </c>
      <c r="V71" s="10">
        <f t="shared" si="6"/>
        <v>0.21821317623940684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1652.876797699</v>
      </c>
      <c r="E72">
        <v>490.44487056567999</v>
      </c>
      <c r="F72">
        <v>168.93493975903999</v>
      </c>
      <c r="G72">
        <v>127.62939759036</v>
      </c>
      <c r="I72" s="9">
        <f t="shared" si="8"/>
        <v>362.81547297532001</v>
      </c>
      <c r="J72" s="9">
        <f t="shared" si="9"/>
        <v>1483.9418579399601</v>
      </c>
      <c r="K72" s="9">
        <f t="shared" si="10"/>
        <v>362.81547297532001</v>
      </c>
      <c r="L72" s="10">
        <f t="shared" si="7"/>
        <v>0.24449439918015942</v>
      </c>
      <c r="M72" s="10">
        <f t="shared" si="11"/>
        <v>0.26449101955667648</v>
      </c>
      <c r="P72" s="8">
        <f t="shared" si="12"/>
        <v>2.8250296843710005</v>
      </c>
      <c r="U72" s="8">
        <v>34.5</v>
      </c>
      <c r="V72" s="10">
        <f t="shared" si="6"/>
        <v>0.22480366831405604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1686.2310642378</v>
      </c>
      <c r="E73">
        <v>499.01869606903</v>
      </c>
      <c r="F73">
        <v>169.83036144578</v>
      </c>
      <c r="G73">
        <v>127.56915662650999</v>
      </c>
      <c r="I73" s="9">
        <f t="shared" si="8"/>
        <v>371.44953944252001</v>
      </c>
      <c r="J73" s="9">
        <f t="shared" si="9"/>
        <v>1516.40070279202</v>
      </c>
      <c r="K73" s="9">
        <f t="shared" si="10"/>
        <v>371.44953944252001</v>
      </c>
      <c r="L73" s="10">
        <f t="shared" si="7"/>
        <v>0.24495473970606943</v>
      </c>
      <c r="M73" s="10">
        <f t="shared" si="11"/>
        <v>0.26523702608796534</v>
      </c>
      <c r="P73" s="8">
        <f t="shared" si="12"/>
        <v>3.115051416878539</v>
      </c>
      <c r="U73" s="8">
        <v>35</v>
      </c>
      <c r="V73" s="10">
        <f t="shared" si="6"/>
        <v>0.23908766589998437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1674.5158197507001</v>
      </c>
      <c r="E74">
        <v>495.77468839885</v>
      </c>
      <c r="F74">
        <v>169.14361445783001</v>
      </c>
      <c r="G74">
        <v>127.54698795181</v>
      </c>
      <c r="I74" s="9">
        <f t="shared" si="8"/>
        <v>368.22770044703998</v>
      </c>
      <c r="J74" s="9">
        <f t="shared" si="9"/>
        <v>1505.3722052928701</v>
      </c>
      <c r="K74" s="9">
        <f t="shared" si="10"/>
        <v>368.22770044703998</v>
      </c>
      <c r="L74" s="10">
        <f t="shared" si="7"/>
        <v>0.24460907352504313</v>
      </c>
      <c r="M74" s="10">
        <f t="shared" si="11"/>
        <v>0.26517702591231784</v>
      </c>
      <c r="P74" s="8">
        <f t="shared" si="12"/>
        <v>3.0917254081075689</v>
      </c>
      <c r="U74" s="8">
        <v>35.5</v>
      </c>
      <c r="V74" s="10">
        <f t="shared" si="6"/>
        <v>0.24449439918015942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1759.0494716619</v>
      </c>
      <c r="E75">
        <v>516.28049951969001</v>
      </c>
      <c r="F75">
        <v>169.74072289156999</v>
      </c>
      <c r="G75">
        <v>127.69590361445999</v>
      </c>
      <c r="I75" s="9">
        <f t="shared" si="8"/>
        <v>388.58459590523</v>
      </c>
      <c r="J75" s="9">
        <f t="shared" si="9"/>
        <v>1589.3087487703301</v>
      </c>
      <c r="K75" s="9">
        <f t="shared" si="10"/>
        <v>388.58459590523</v>
      </c>
      <c r="L75" s="10">
        <f t="shared" si="7"/>
        <v>0.24449912341191302</v>
      </c>
      <c r="M75" s="10">
        <f t="shared" si="11"/>
        <v>0.26535274180456653</v>
      </c>
      <c r="P75" s="8">
        <f t="shared" si="12"/>
        <v>3.1600377155226607</v>
      </c>
      <c r="U75" s="8">
        <v>36</v>
      </c>
      <c r="V75" s="10">
        <f t="shared" si="6"/>
        <v>0.24495473970606943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1799.2939481267999</v>
      </c>
      <c r="E76">
        <v>521.42411143131994</v>
      </c>
      <c r="F76">
        <v>169.37060240963999</v>
      </c>
      <c r="G76">
        <v>127.49397590361001</v>
      </c>
      <c r="I76" s="9">
        <f t="shared" si="8"/>
        <v>393.93013552770992</v>
      </c>
      <c r="J76" s="9">
        <f t="shared" si="9"/>
        <v>1629.9233457171599</v>
      </c>
      <c r="K76" s="9">
        <f t="shared" si="10"/>
        <v>393.93013552770992</v>
      </c>
      <c r="L76" s="10">
        <f t="shared" si="7"/>
        <v>0.24168629559347909</v>
      </c>
      <c r="M76" s="10">
        <f t="shared" si="11"/>
        <v>0.26282557999151146</v>
      </c>
      <c r="P76" s="8">
        <f t="shared" si="12"/>
        <v>2.1775639480573235</v>
      </c>
      <c r="U76" s="8">
        <v>36.5</v>
      </c>
      <c r="V76" s="10">
        <f t="shared" si="6"/>
        <v>0.24460907352504313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1764.0028653295001</v>
      </c>
      <c r="E77">
        <v>517.05300859599004</v>
      </c>
      <c r="F77">
        <v>169.06361445783</v>
      </c>
      <c r="G77">
        <v>127.82843373494001</v>
      </c>
      <c r="I77" s="9">
        <f t="shared" si="8"/>
        <v>389.22457486105003</v>
      </c>
      <c r="J77" s="9">
        <f t="shared" si="9"/>
        <v>1594.9392508716701</v>
      </c>
      <c r="K77" s="9">
        <f t="shared" si="10"/>
        <v>389.22457486105003</v>
      </c>
      <c r="L77" s="10">
        <f t="shared" si="7"/>
        <v>0.24403724132334825</v>
      </c>
      <c r="M77" s="10">
        <f t="shared" si="11"/>
        <v>0.26546219172675939</v>
      </c>
      <c r="P77" s="8">
        <f t="shared" si="12"/>
        <v>3.20258808837576</v>
      </c>
      <c r="U77" s="8">
        <v>37</v>
      </c>
      <c r="V77" s="10">
        <f t="shared" si="6"/>
        <v>0.24449912341191302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1712.0821394459999</v>
      </c>
      <c r="E78">
        <v>508.65902578796999</v>
      </c>
      <c r="F78">
        <v>169.04626506023999</v>
      </c>
      <c r="G78">
        <v>127.14746987952</v>
      </c>
      <c r="I78" s="9">
        <f t="shared" si="8"/>
        <v>381.51155590844996</v>
      </c>
      <c r="J78" s="9">
        <f t="shared" si="9"/>
        <v>1543.0358743857601</v>
      </c>
      <c r="K78" s="9">
        <f t="shared" si="10"/>
        <v>381.51155590844996</v>
      </c>
      <c r="L78" s="10">
        <f t="shared" si="7"/>
        <v>0.24724736620936902</v>
      </c>
      <c r="M78" s="10">
        <f t="shared" si="11"/>
        <v>0.26895798261815901</v>
      </c>
      <c r="P78" s="8">
        <f t="shared" si="12"/>
        <v>4.5616315930702322</v>
      </c>
      <c r="U78" s="8">
        <v>37.5</v>
      </c>
      <c r="V78" s="10">
        <f t="shared" si="6"/>
        <v>0.24168629559347909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1820.9638030888</v>
      </c>
      <c r="E79">
        <v>546.78474903475001</v>
      </c>
      <c r="F79">
        <v>169.24240963854999</v>
      </c>
      <c r="G79">
        <v>127.31662650602</v>
      </c>
      <c r="I79" s="9">
        <f t="shared" si="8"/>
        <v>419.46812252873002</v>
      </c>
      <c r="J79" s="9">
        <f t="shared" si="9"/>
        <v>1651.7213934502499</v>
      </c>
      <c r="K79" s="9">
        <f t="shared" si="10"/>
        <v>419.46812252873002</v>
      </c>
      <c r="L79" s="10">
        <f t="shared" si="7"/>
        <v>0.25395815795090654</v>
      </c>
      <c r="M79" s="10">
        <f t="shared" si="11"/>
        <v>0.27595444036507533</v>
      </c>
      <c r="P79" s="8">
        <f t="shared" si="12"/>
        <v>7.2816142099392289</v>
      </c>
      <c r="U79" s="8">
        <v>38</v>
      </c>
      <c r="V79" s="10">
        <f t="shared" si="6"/>
        <v>0.24403724132334825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1829.8634169884001</v>
      </c>
      <c r="E80">
        <v>543.31177606178005</v>
      </c>
      <c r="F80">
        <v>168.53975903615</v>
      </c>
      <c r="G80">
        <v>127.35277108434001</v>
      </c>
      <c r="I80" s="9">
        <f t="shared" si="8"/>
        <v>415.95900497744003</v>
      </c>
      <c r="J80" s="9">
        <f t="shared" si="9"/>
        <v>1661.3236579522502</v>
      </c>
      <c r="K80" s="9">
        <f t="shared" si="10"/>
        <v>415.95900497744003</v>
      </c>
      <c r="L80" s="10">
        <f t="shared" si="7"/>
        <v>0.2503780663005496</v>
      </c>
      <c r="M80" s="10">
        <f t="shared" si="11"/>
        <v>0.27266001472009721</v>
      </c>
      <c r="P80" s="8">
        <f t="shared" si="12"/>
        <v>6.000854601141854</v>
      </c>
      <c r="U80" s="8">
        <v>38.5</v>
      </c>
      <c r="V80" s="10">
        <f t="shared" si="6"/>
        <v>0.24724736620936902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1878.0907335907</v>
      </c>
      <c r="E81">
        <v>551.71138996138995</v>
      </c>
      <c r="F81">
        <v>169.42409638554</v>
      </c>
      <c r="G81">
        <v>127.38265060241</v>
      </c>
      <c r="I81" s="9">
        <f t="shared" si="8"/>
        <v>424.32873935897999</v>
      </c>
      <c r="J81" s="9">
        <f t="shared" si="9"/>
        <v>1708.66663720516</v>
      </c>
      <c r="K81" s="9">
        <f t="shared" si="10"/>
        <v>424.32873935897999</v>
      </c>
      <c r="L81" s="10">
        <f t="shared" si="7"/>
        <v>0.24833910261924938</v>
      </c>
      <c r="M81" s="10">
        <f t="shared" si="11"/>
        <v>0.27090671704417579</v>
      </c>
      <c r="P81" s="8">
        <f t="shared" si="12"/>
        <v>5.319232647117337</v>
      </c>
      <c r="U81" s="8">
        <v>39</v>
      </c>
      <c r="V81" s="10">
        <f t="shared" si="6"/>
        <v>0.25395815795090654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1847.5371621622</v>
      </c>
      <c r="E82">
        <v>541.86196911196998</v>
      </c>
      <c r="F82">
        <v>168.82506024096</v>
      </c>
      <c r="G82">
        <v>127.00771084337001</v>
      </c>
      <c r="H82" s="13"/>
      <c r="I82" s="14">
        <f t="shared" si="8"/>
        <v>414.85425826860001</v>
      </c>
      <c r="J82" s="14">
        <f t="shared" si="9"/>
        <v>1678.71210192124</v>
      </c>
      <c r="K82" s="9">
        <f t="shared" si="10"/>
        <v>414.85425826860001</v>
      </c>
      <c r="L82" s="15">
        <f t="shared" si="7"/>
        <v>0.24712650715617684</v>
      </c>
      <c r="M82" s="15">
        <f t="shared" si="11"/>
        <v>0.26997978758648206</v>
      </c>
      <c r="N82" s="13"/>
      <c r="O82" s="13"/>
      <c r="P82" s="13">
        <f t="shared" si="12"/>
        <v>4.9588742910475103</v>
      </c>
      <c r="U82" s="8">
        <v>39.5</v>
      </c>
      <c r="V82" s="10">
        <f t="shared" si="6"/>
        <v>0.2503780663005496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1918.0834942085</v>
      </c>
      <c r="E83">
        <v>569.06274131273994</v>
      </c>
      <c r="F83">
        <v>168.26361445782999</v>
      </c>
      <c r="G83">
        <v>127.15469879518</v>
      </c>
      <c r="I83" s="9">
        <f t="shared" si="8"/>
        <v>441.90804251755992</v>
      </c>
      <c r="J83" s="9">
        <f t="shared" si="9"/>
        <v>1749.81987975067</v>
      </c>
      <c r="K83" s="9">
        <f t="shared" si="10"/>
        <v>441.90804251755992</v>
      </c>
      <c r="L83" s="10">
        <f t="shared" si="7"/>
        <v>0.25254487483621851</v>
      </c>
      <c r="M83" s="10">
        <f t="shared" si="11"/>
        <v>0.27568382127190255</v>
      </c>
      <c r="P83" s="8">
        <f t="shared" si="12"/>
        <v>7.1764067955805517</v>
      </c>
      <c r="U83" s="8">
        <v>40</v>
      </c>
      <c r="V83" s="10">
        <f t="shared" si="6"/>
        <v>0.24833910261924938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1887.4116795366999</v>
      </c>
      <c r="E84">
        <v>548.13706563707001</v>
      </c>
      <c r="F84">
        <v>168.71903614458</v>
      </c>
      <c r="G84">
        <v>127.39710843374</v>
      </c>
      <c r="I84" s="9">
        <f t="shared" si="8"/>
        <v>420.73995720332999</v>
      </c>
      <c r="J84" s="9">
        <f t="shared" si="9"/>
        <v>1718.6926433921199</v>
      </c>
      <c r="K84" s="9">
        <f t="shared" si="10"/>
        <v>420.73995720332999</v>
      </c>
      <c r="L84" s="10">
        <f t="shared" si="7"/>
        <v>0.24480232624544848</v>
      </c>
      <c r="M84" s="10">
        <f t="shared" si="11"/>
        <v>0.26822693868651137</v>
      </c>
      <c r="P84" s="8">
        <f t="shared" si="12"/>
        <v>4.2774268057082949</v>
      </c>
      <c r="U84" s="8">
        <v>150.5</v>
      </c>
      <c r="V84" s="10">
        <f>L302</f>
        <v>0.1643570691596303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1759.9430501930999</v>
      </c>
      <c r="E85">
        <v>508.69546332046002</v>
      </c>
      <c r="F85">
        <v>168.61927710843</v>
      </c>
      <c r="G85">
        <v>127.41927710842999</v>
      </c>
      <c r="I85" s="9">
        <f t="shared" si="8"/>
        <v>381.27618621203004</v>
      </c>
      <c r="J85" s="9">
        <f t="shared" si="9"/>
        <v>1591.3237730846699</v>
      </c>
      <c r="K85" s="9">
        <f t="shared" si="10"/>
        <v>381.27618621203004</v>
      </c>
      <c r="L85" s="10">
        <f t="shared" si="7"/>
        <v>0.23959686435963487</v>
      </c>
      <c r="M85" s="10">
        <f t="shared" si="11"/>
        <v>0.26330714280607653</v>
      </c>
      <c r="P85" s="8">
        <f t="shared" si="12"/>
        <v>2.3647790405982336</v>
      </c>
      <c r="U85" s="8">
        <v>151</v>
      </c>
      <c r="V85" s="10">
        <f t="shared" ref="V85:V103" si="13">L303</f>
        <v>0.1663045704952906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1721.8841698842</v>
      </c>
      <c r="E86">
        <v>480.58880308879998</v>
      </c>
      <c r="F86">
        <v>168.46313253011999</v>
      </c>
      <c r="G86">
        <v>127.08048192771</v>
      </c>
      <c r="I86" s="9">
        <f t="shared" si="8"/>
        <v>353.50832116108995</v>
      </c>
      <c r="J86" s="9">
        <f t="shared" si="9"/>
        <v>1553.42103735408</v>
      </c>
      <c r="K86" s="9">
        <f t="shared" si="10"/>
        <v>353.50832116108995</v>
      </c>
      <c r="L86" s="10">
        <f t="shared" si="7"/>
        <v>0.22756761538598425</v>
      </c>
      <c r="M86" s="10">
        <f t="shared" si="11"/>
        <v>0.25156355983780476</v>
      </c>
      <c r="P86" s="8">
        <f t="shared" si="12"/>
        <v>-2.2007229160935773</v>
      </c>
      <c r="U86" s="8">
        <v>151.5</v>
      </c>
      <c r="V86" s="10">
        <f t="shared" si="13"/>
        <v>0.16558354774911246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1939.4737349397999</v>
      </c>
      <c r="E87">
        <v>541.51759036144995</v>
      </c>
      <c r="F87">
        <v>168.20819277108001</v>
      </c>
      <c r="G87">
        <v>126.82024096386</v>
      </c>
      <c r="I87" s="9">
        <f t="shared" si="8"/>
        <v>414.69734939758996</v>
      </c>
      <c r="J87" s="9">
        <f t="shared" si="9"/>
        <v>1771.26554216872</v>
      </c>
      <c r="K87" s="9">
        <f t="shared" si="10"/>
        <v>414.69734939758996</v>
      </c>
      <c r="L87" s="10">
        <f t="shared" si="7"/>
        <v>0.2341248895351053</v>
      </c>
      <c r="M87" s="10">
        <f t="shared" si="11"/>
        <v>0.25840649999230458</v>
      </c>
      <c r="P87" s="8">
        <f t="shared" si="12"/>
        <v>0.45957733037298337</v>
      </c>
      <c r="U87" s="8">
        <v>152</v>
      </c>
      <c r="V87" s="10">
        <f t="shared" si="13"/>
        <v>0.16785826032087411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1999.3624096386</v>
      </c>
      <c r="E88">
        <v>548.74602409638999</v>
      </c>
      <c r="F88">
        <v>168.39228915663</v>
      </c>
      <c r="G88">
        <v>126.98024096386</v>
      </c>
      <c r="I88" s="9">
        <f t="shared" si="8"/>
        <v>421.76578313252998</v>
      </c>
      <c r="J88" s="9">
        <f t="shared" si="9"/>
        <v>1830.9701204819698</v>
      </c>
      <c r="K88" s="9">
        <f t="shared" si="10"/>
        <v>421.76578313252998</v>
      </c>
      <c r="L88" s="10">
        <f t="shared" si="7"/>
        <v>0.23035099175813298</v>
      </c>
      <c r="M88" s="10">
        <f t="shared" si="11"/>
        <v>0.25491826822071112</v>
      </c>
      <c r="P88" s="8">
        <f t="shared" si="12"/>
        <v>-0.89652744800950057</v>
      </c>
      <c r="U88" s="8">
        <v>152.5</v>
      </c>
      <c r="V88" s="10">
        <f t="shared" si="13"/>
        <v>0.17121257072699439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2037.1980722891999</v>
      </c>
      <c r="E89">
        <v>565.62265060240998</v>
      </c>
      <c r="F89">
        <v>168.00819277107999</v>
      </c>
      <c r="G89">
        <v>127.1421686747</v>
      </c>
      <c r="I89" s="9">
        <f t="shared" si="8"/>
        <v>438.48048192771</v>
      </c>
      <c r="J89" s="9">
        <f t="shared" si="9"/>
        <v>1869.1898795181198</v>
      </c>
      <c r="K89" s="9">
        <f t="shared" si="10"/>
        <v>438.48048192771</v>
      </c>
      <c r="L89" s="10">
        <f t="shared" si="7"/>
        <v>0.23458316714230817</v>
      </c>
      <c r="M89" s="10">
        <f t="shared" si="11"/>
        <v>0.25943610961026509</v>
      </c>
      <c r="P89" s="8">
        <f t="shared" si="12"/>
        <v>0.85985420823278658</v>
      </c>
      <c r="U89" s="8">
        <v>153</v>
      </c>
      <c r="V89" s="10">
        <f t="shared" si="13"/>
        <v>0.17809879892884581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1762.0415860735</v>
      </c>
      <c r="E90">
        <v>498.43858800774001</v>
      </c>
      <c r="F90">
        <v>168.28819277107999</v>
      </c>
      <c r="G90">
        <v>126.70313253012</v>
      </c>
      <c r="I90" s="9">
        <f t="shared" si="8"/>
        <v>371.73545547762001</v>
      </c>
      <c r="J90" s="9">
        <f t="shared" si="9"/>
        <v>1593.7533933024199</v>
      </c>
      <c r="K90" s="9">
        <f t="shared" si="10"/>
        <v>371.73545547762001</v>
      </c>
      <c r="L90" s="10">
        <f t="shared" si="7"/>
        <v>0.23324527937621903</v>
      </c>
      <c r="M90" s="10">
        <f t="shared" si="11"/>
        <v>0.25838388784955479</v>
      </c>
      <c r="P90" s="8">
        <f t="shared" si="12"/>
        <v>0.45078650543922377</v>
      </c>
      <c r="U90" s="8">
        <v>153.5</v>
      </c>
      <c r="V90" s="10">
        <f t="shared" si="13"/>
        <v>0.17235001005378667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1712.5536750484</v>
      </c>
      <c r="E91">
        <v>478.73307543520002</v>
      </c>
      <c r="F91">
        <v>168.4665060241</v>
      </c>
      <c r="G91">
        <v>126.61060240963999</v>
      </c>
      <c r="I91" s="9">
        <f t="shared" si="8"/>
        <v>352.12247302556</v>
      </c>
      <c r="J91" s="9">
        <f t="shared" si="9"/>
        <v>1544.0871690243</v>
      </c>
      <c r="K91" s="9">
        <f t="shared" si="10"/>
        <v>352.12247302556</v>
      </c>
      <c r="L91" s="10">
        <f t="shared" si="7"/>
        <v>0.22804572182803914</v>
      </c>
      <c r="M91" s="10">
        <f t="shared" si="11"/>
        <v>0.25346999630675371</v>
      </c>
      <c r="P91" s="8">
        <f t="shared" si="12"/>
        <v>-1.4595658558666738</v>
      </c>
      <c r="U91" s="8">
        <v>154</v>
      </c>
      <c r="V91" s="10">
        <f t="shared" si="13"/>
        <v>0.16991722206938673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1651.9709864603999</v>
      </c>
      <c r="E92">
        <v>472.07059961315002</v>
      </c>
      <c r="F92">
        <v>167.61734939759</v>
      </c>
      <c r="G92">
        <v>127.04240963855</v>
      </c>
      <c r="I92" s="9">
        <f t="shared" si="8"/>
        <v>345.02818997460002</v>
      </c>
      <c r="J92" s="9">
        <f t="shared" si="9"/>
        <v>1484.3536370628099</v>
      </c>
      <c r="K92" s="9">
        <f t="shared" si="10"/>
        <v>345.02818997460002</v>
      </c>
      <c r="L92" s="10">
        <f t="shared" si="7"/>
        <v>0.2324433890682078</v>
      </c>
      <c r="M92" s="10">
        <f t="shared" si="11"/>
        <v>0.25815332955230119</v>
      </c>
      <c r="P92" s="8">
        <f t="shared" si="12"/>
        <v>0.36115335343725335</v>
      </c>
      <c r="U92" s="8">
        <v>154.5</v>
      </c>
      <c r="V92" s="10">
        <f t="shared" si="13"/>
        <v>0.16736479794325815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1720.1865959499</v>
      </c>
      <c r="E93">
        <v>493.93249758920001</v>
      </c>
      <c r="F93">
        <v>167.97734939758999</v>
      </c>
      <c r="G93">
        <v>126.94072289157</v>
      </c>
      <c r="I93" s="9">
        <f t="shared" si="8"/>
        <v>366.99177469763004</v>
      </c>
      <c r="J93" s="9">
        <f t="shared" si="9"/>
        <v>1552.2092465523101</v>
      </c>
      <c r="K93" s="9">
        <f t="shared" si="10"/>
        <v>366.99177469763004</v>
      </c>
      <c r="L93" s="10">
        <f t="shared" si="7"/>
        <v>0.23643189570785891</v>
      </c>
      <c r="M93" s="10">
        <f t="shared" si="11"/>
        <v>0.26242750219733113</v>
      </c>
      <c r="P93" s="8">
        <f t="shared" si="12"/>
        <v>2.0228049657981542</v>
      </c>
      <c r="U93" s="8">
        <v>155</v>
      </c>
      <c r="V93" s="10">
        <f t="shared" si="13"/>
        <v>0.16878485626067458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1691.2777242044001</v>
      </c>
      <c r="E94">
        <v>492.10945033751</v>
      </c>
      <c r="F94">
        <v>167.78554216868</v>
      </c>
      <c r="G94">
        <v>126.85253012048</v>
      </c>
      <c r="I94" s="9">
        <f t="shared" si="8"/>
        <v>365.25692021703003</v>
      </c>
      <c r="J94" s="9">
        <f t="shared" si="9"/>
        <v>1523.4921820357201</v>
      </c>
      <c r="K94" s="9">
        <f t="shared" si="10"/>
        <v>365.25692021703003</v>
      </c>
      <c r="L94" s="10">
        <f t="shared" si="7"/>
        <v>0.23974978311274731</v>
      </c>
      <c r="M94" s="10">
        <f t="shared" si="11"/>
        <v>0.26603105560759832</v>
      </c>
      <c r="P94" s="8">
        <f t="shared" si="12"/>
        <v>3.4237428388533866</v>
      </c>
      <c r="U94" s="8">
        <v>155.5</v>
      </c>
      <c r="V94" s="10">
        <f t="shared" si="13"/>
        <v>0.16745629737194168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1735.1991321119001</v>
      </c>
      <c r="E95">
        <v>509.42671166827</v>
      </c>
      <c r="F95">
        <v>167.79807228915999</v>
      </c>
      <c r="G95">
        <v>127.02168674699</v>
      </c>
      <c r="I95" s="9">
        <f t="shared" si="8"/>
        <v>382.40502492128002</v>
      </c>
      <c r="J95" s="9">
        <f t="shared" si="9"/>
        <v>1567.4010598227401</v>
      </c>
      <c r="K95" s="9">
        <f t="shared" si="10"/>
        <v>382.40502492128002</v>
      </c>
      <c r="L95" s="10">
        <f t="shared" si="7"/>
        <v>0.24397394816392864</v>
      </c>
      <c r="M95" s="10">
        <f t="shared" si="11"/>
        <v>0.27054088666415849</v>
      </c>
      <c r="P95" s="8">
        <f t="shared" si="12"/>
        <v>5.1770103525843325</v>
      </c>
      <c r="U95" s="8">
        <v>156</v>
      </c>
      <c r="V95" s="10">
        <f t="shared" si="13"/>
        <v>0.17131137171661506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1704.1504339441001</v>
      </c>
      <c r="E96">
        <v>502.66827386692</v>
      </c>
      <c r="F96">
        <v>167.91518072289</v>
      </c>
      <c r="G96">
        <v>126.67084337349</v>
      </c>
      <c r="I96" s="9">
        <f t="shared" si="8"/>
        <v>375.99743049342999</v>
      </c>
      <c r="J96" s="9">
        <f t="shared" si="9"/>
        <v>1536.2352532212101</v>
      </c>
      <c r="K96" s="9">
        <f t="shared" si="10"/>
        <v>375.99743049342999</v>
      </c>
      <c r="L96" s="10">
        <f t="shared" si="7"/>
        <v>0.24475250760261538</v>
      </c>
      <c r="M96" s="10">
        <f t="shared" si="11"/>
        <v>0.27160511210822402</v>
      </c>
      <c r="P96" s="8">
        <f t="shared" si="12"/>
        <v>5.5907446754370325</v>
      </c>
      <c r="U96" s="8">
        <v>156.5</v>
      </c>
      <c r="V96" s="10">
        <f t="shared" si="13"/>
        <v>0.17167041905622002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1740.1060752169999</v>
      </c>
      <c r="E97">
        <v>518.57762777241999</v>
      </c>
      <c r="F97">
        <v>167.64289156627001</v>
      </c>
      <c r="G97">
        <v>126.35614457830999</v>
      </c>
      <c r="I97" s="9">
        <f t="shared" si="8"/>
        <v>392.22148319410996</v>
      </c>
      <c r="J97" s="9">
        <f t="shared" si="9"/>
        <v>1572.4631836507299</v>
      </c>
      <c r="K97" s="9">
        <f t="shared" si="10"/>
        <v>392.22148319410996</v>
      </c>
      <c r="L97" s="10">
        <f t="shared" si="7"/>
        <v>0.24943126635467788</v>
      </c>
      <c r="M97" s="10">
        <f t="shared" si="11"/>
        <v>0.27656953686566532</v>
      </c>
      <c r="P97" s="8">
        <f t="shared" si="12"/>
        <v>7.520742616030029</v>
      </c>
      <c r="U97" s="8">
        <v>157</v>
      </c>
      <c r="V97" s="10">
        <f t="shared" si="13"/>
        <v>0.16844468320804473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1729.0939597315</v>
      </c>
      <c r="E98">
        <v>514.61073825503001</v>
      </c>
      <c r="F98">
        <v>167.62024096386</v>
      </c>
      <c r="G98">
        <v>126.80819277108</v>
      </c>
      <c r="I98" s="9">
        <f t="shared" si="8"/>
        <v>387.80254548394998</v>
      </c>
      <c r="J98" s="9">
        <f t="shared" si="9"/>
        <v>1561.4737187676401</v>
      </c>
      <c r="K98" s="9">
        <f t="shared" si="10"/>
        <v>387.80254548394998</v>
      </c>
      <c r="L98" s="10">
        <f t="shared" si="7"/>
        <v>0.2483567547906057</v>
      </c>
      <c r="M98" s="10">
        <f t="shared" si="11"/>
        <v>0.27578069130697197</v>
      </c>
      <c r="P98" s="8">
        <f t="shared" si="12"/>
        <v>7.2140665401277753</v>
      </c>
      <c r="U98" s="8">
        <v>157.5</v>
      </c>
      <c r="V98" s="10">
        <f t="shared" si="13"/>
        <v>0.16718507444897221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1941.8248560461</v>
      </c>
      <c r="E99">
        <v>557.69337811900004</v>
      </c>
      <c r="F99">
        <v>167.84819277107999</v>
      </c>
      <c r="G99">
        <v>127.10024096386</v>
      </c>
      <c r="I99" s="9">
        <f t="shared" si="8"/>
        <v>430.59313715514003</v>
      </c>
      <c r="J99" s="9">
        <f t="shared" si="9"/>
        <v>1773.97666327502</v>
      </c>
      <c r="K99" s="9">
        <f t="shared" si="10"/>
        <v>430.59313715514003</v>
      </c>
      <c r="L99" s="10">
        <f t="shared" si="7"/>
        <v>0.24272762210986598</v>
      </c>
      <c r="M99" s="10">
        <f t="shared" si="11"/>
        <v>0.27043722463161107</v>
      </c>
      <c r="P99" s="8">
        <f t="shared" si="12"/>
        <v>5.1367101125546482</v>
      </c>
      <c r="U99" s="8">
        <v>158</v>
      </c>
      <c r="V99" s="10">
        <f t="shared" si="13"/>
        <v>0.16635490518345569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1941.9448176584001</v>
      </c>
      <c r="E100">
        <v>562.31717850287998</v>
      </c>
      <c r="F100">
        <v>167.91662650602001</v>
      </c>
      <c r="G100">
        <v>126.54361445783</v>
      </c>
      <c r="I100" s="9">
        <f t="shared" si="8"/>
        <v>435.77356404504997</v>
      </c>
      <c r="J100" s="9">
        <f t="shared" si="9"/>
        <v>1774.02819115238</v>
      </c>
      <c r="K100" s="9">
        <f t="shared" si="10"/>
        <v>435.77356404504997</v>
      </c>
      <c r="L100" s="10">
        <f t="shared" si="7"/>
        <v>0.24564072105414431</v>
      </c>
      <c r="M100" s="10">
        <f t="shared" si="11"/>
        <v>0.27363598958126822</v>
      </c>
      <c r="P100" s="8">
        <f t="shared" si="12"/>
        <v>6.3802801265881142</v>
      </c>
      <c r="U100" s="8">
        <v>158.5</v>
      </c>
      <c r="V100" s="10">
        <f t="shared" si="13"/>
        <v>0.16564290501067525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1961.6333973128999</v>
      </c>
      <c r="E101">
        <v>563.39011516314997</v>
      </c>
      <c r="F101">
        <v>167.66602409639</v>
      </c>
      <c r="G101">
        <v>126.59614457831</v>
      </c>
      <c r="I101" s="9">
        <f t="shared" si="8"/>
        <v>436.79397058483994</v>
      </c>
      <c r="J101" s="9">
        <f t="shared" si="9"/>
        <v>1793.9673732165099</v>
      </c>
      <c r="K101" s="9">
        <f t="shared" si="10"/>
        <v>436.79397058483994</v>
      </c>
      <c r="L101" s="10">
        <f t="shared" si="7"/>
        <v>0.24347932805583095</v>
      </c>
      <c r="M101" s="10">
        <f t="shared" si="11"/>
        <v>0.27176026258833369</v>
      </c>
      <c r="P101" s="8">
        <f t="shared" si="12"/>
        <v>5.6510618565253008</v>
      </c>
      <c r="U101" s="8">
        <v>159</v>
      </c>
      <c r="V101" s="10">
        <f t="shared" si="13"/>
        <v>0.16468801651227305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1988.7562380038</v>
      </c>
      <c r="E102">
        <v>564.85220729366995</v>
      </c>
      <c r="F102">
        <v>167.25927710843001</v>
      </c>
      <c r="G102">
        <v>126.42795180723</v>
      </c>
      <c r="I102" s="9">
        <f t="shared" si="8"/>
        <v>438.42425548643996</v>
      </c>
      <c r="J102" s="9">
        <f t="shared" si="9"/>
        <v>1821.49696089537</v>
      </c>
      <c r="K102" s="9">
        <f t="shared" si="10"/>
        <v>438.42425548643996</v>
      </c>
      <c r="L102" s="10">
        <f t="shared" si="7"/>
        <v>0.24069447542252795</v>
      </c>
      <c r="M102" s="10">
        <f t="shared" si="11"/>
        <v>0.26926107596040949</v>
      </c>
      <c r="P102" s="8">
        <f t="shared" si="12"/>
        <v>4.6794638807837385</v>
      </c>
      <c r="U102" s="8">
        <v>159.5</v>
      </c>
      <c r="V102" s="10">
        <f t="shared" si="13"/>
        <v>0.16430844305857575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1969.2379807692</v>
      </c>
      <c r="E103">
        <v>557.80144230768997</v>
      </c>
      <c r="F103">
        <v>167.47228915663001</v>
      </c>
      <c r="G103">
        <v>126.64915662651001</v>
      </c>
      <c r="I103" s="9">
        <f t="shared" si="8"/>
        <v>431.15228568117993</v>
      </c>
      <c r="J103" s="9">
        <f t="shared" si="9"/>
        <v>1801.76569161257</v>
      </c>
      <c r="K103" s="9">
        <f t="shared" si="10"/>
        <v>431.15228568117993</v>
      </c>
      <c r="L103" s="10">
        <f t="shared" si="7"/>
        <v>0.23929431428750378</v>
      </c>
      <c r="M103" s="10">
        <f t="shared" si="11"/>
        <v>0.26814658083076415</v>
      </c>
      <c r="P103" s="8">
        <f t="shared" si="12"/>
        <v>4.2461864296969258</v>
      </c>
      <c r="U103" s="8">
        <v>160</v>
      </c>
      <c r="V103" s="10">
        <f t="shared" si="13"/>
        <v>0.16699489668996423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1935.0014423077</v>
      </c>
      <c r="E104">
        <v>536.54759615385001</v>
      </c>
      <c r="F104">
        <v>167.4221686747</v>
      </c>
      <c r="G104">
        <v>126.88048192770999</v>
      </c>
      <c r="I104" s="9">
        <f t="shared" si="8"/>
        <v>409.66711422614003</v>
      </c>
      <c r="J104" s="9">
        <f t="shared" si="9"/>
        <v>1767.579273633</v>
      </c>
      <c r="K104" s="9">
        <f t="shared" si="10"/>
        <v>409.66711422614003</v>
      </c>
      <c r="L104" s="10">
        <f t="shared" si="7"/>
        <v>0.2317673217474028</v>
      </c>
      <c r="M104" s="10">
        <f t="shared" si="11"/>
        <v>0.260905254296042</v>
      </c>
      <c r="P104" s="8">
        <f t="shared" si="12"/>
        <v>1.4310072333103585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1904.8865384615001</v>
      </c>
      <c r="E105">
        <v>523.40192307691996</v>
      </c>
      <c r="F105">
        <v>167.54120481928001</v>
      </c>
      <c r="G105">
        <v>126.76915662651</v>
      </c>
      <c r="I105" s="9">
        <f t="shared" si="8"/>
        <v>396.63276645040997</v>
      </c>
      <c r="J105" s="9">
        <f t="shared" si="9"/>
        <v>1737.3453336422201</v>
      </c>
      <c r="K105" s="9">
        <f t="shared" si="10"/>
        <v>396.63276645040997</v>
      </c>
      <c r="L105" s="10">
        <f t="shared" si="7"/>
        <v>0.22829817352368154</v>
      </c>
      <c r="M105" s="10">
        <f t="shared" si="11"/>
        <v>0.25772177207769953</v>
      </c>
      <c r="P105" s="8">
        <f t="shared" si="12"/>
        <v>0.19337862062853031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1902.7971153845999</v>
      </c>
      <c r="E106">
        <v>514.78269230769001</v>
      </c>
      <c r="F106">
        <v>167.6043373494</v>
      </c>
      <c r="G106">
        <v>126.74698795181</v>
      </c>
      <c r="I106" s="9">
        <f t="shared" si="8"/>
        <v>388.03570435588</v>
      </c>
      <c r="J106" s="9">
        <f t="shared" si="9"/>
        <v>1735.1927780351998</v>
      </c>
      <c r="K106" s="9">
        <f t="shared" si="10"/>
        <v>388.03570435588</v>
      </c>
      <c r="L106" s="10">
        <f t="shared" si="7"/>
        <v>0.22362685533722776</v>
      </c>
      <c r="M106" s="10">
        <f t="shared" si="11"/>
        <v>0.25333611989662458</v>
      </c>
      <c r="P106" s="8">
        <f t="shared" si="12"/>
        <v>-1.5116124087841916</v>
      </c>
      <c r="X106" s="8">
        <v>-13</v>
      </c>
    </row>
    <row r="107" spans="1:25" x14ac:dyDescent="0.2">
      <c r="A107" s="8">
        <v>52.5</v>
      </c>
      <c r="B107" s="8">
        <v>105</v>
      </c>
      <c r="D107">
        <v>1878.2923076923</v>
      </c>
      <c r="E107">
        <v>499.43653846154001</v>
      </c>
      <c r="F107">
        <v>167.23951807229</v>
      </c>
      <c r="G107">
        <v>126.27710843374</v>
      </c>
      <c r="I107" s="9">
        <f t="shared" si="8"/>
        <v>373.1594300278</v>
      </c>
      <c r="J107" s="9">
        <f t="shared" si="9"/>
        <v>1711.0527896200101</v>
      </c>
      <c r="K107" s="9">
        <f t="shared" si="10"/>
        <v>373.1594300278</v>
      </c>
      <c r="L107" s="10">
        <f t="shared" si="7"/>
        <v>0.21808761967576179</v>
      </c>
      <c r="M107" s="10">
        <f t="shared" si="11"/>
        <v>0.24808255024053741</v>
      </c>
      <c r="P107" s="8">
        <f t="shared" si="12"/>
        <v>-3.5540199610009786</v>
      </c>
      <c r="X107" s="8">
        <v>-13</v>
      </c>
    </row>
    <row r="108" spans="1:25" x14ac:dyDescent="0.2">
      <c r="A108" s="8">
        <v>53</v>
      </c>
      <c r="B108" s="8">
        <v>106</v>
      </c>
      <c r="D108">
        <v>1855.2504807692001</v>
      </c>
      <c r="E108">
        <v>490.04471153845998</v>
      </c>
      <c r="F108">
        <v>167.13204819276999</v>
      </c>
      <c r="G108">
        <v>126.37783132529999</v>
      </c>
      <c r="I108" s="9">
        <f t="shared" si="8"/>
        <v>363.66688021315997</v>
      </c>
      <c r="J108" s="9">
        <f t="shared" si="9"/>
        <v>1688.11843257643</v>
      </c>
      <c r="K108" s="9">
        <f t="shared" si="10"/>
        <v>363.66688021315997</v>
      </c>
      <c r="L108" s="10">
        <f t="shared" si="7"/>
        <v>0.21542734987978687</v>
      </c>
      <c r="M108" s="10">
        <f t="shared" si="11"/>
        <v>0.24570794644994132</v>
      </c>
      <c r="P108" s="8">
        <f t="shared" si="12"/>
        <v>-4.4771844059258905</v>
      </c>
      <c r="X108" s="8">
        <v>-13</v>
      </c>
    </row>
    <row r="109" spans="1:25" x14ac:dyDescent="0.2">
      <c r="A109" s="8">
        <v>53.5</v>
      </c>
      <c r="B109" s="8">
        <v>107</v>
      </c>
      <c r="D109">
        <v>1758.7918269231</v>
      </c>
      <c r="E109">
        <v>464.51634615385001</v>
      </c>
      <c r="F109">
        <v>166.79036144578001</v>
      </c>
      <c r="G109">
        <v>126.47084337349</v>
      </c>
      <c r="I109" s="9">
        <f t="shared" si="8"/>
        <v>338.04550278036004</v>
      </c>
      <c r="J109" s="9">
        <f t="shared" si="9"/>
        <v>1592.0014654773199</v>
      </c>
      <c r="K109" s="9">
        <f t="shared" si="10"/>
        <v>338.04550278036004</v>
      </c>
      <c r="L109" s="10">
        <f t="shared" si="7"/>
        <v>0.21233994447298196</v>
      </c>
      <c r="M109" s="10">
        <f t="shared" si="11"/>
        <v>0.2429062070485152</v>
      </c>
      <c r="P109" s="8">
        <f t="shared" si="12"/>
        <v>-5.5664045148066705</v>
      </c>
      <c r="X109" s="8">
        <v>-13</v>
      </c>
    </row>
    <row r="110" spans="1:25" x14ac:dyDescent="0.2">
      <c r="A110" s="8">
        <v>54</v>
      </c>
      <c r="B110" s="8">
        <v>108</v>
      </c>
      <c r="D110">
        <v>1836.8993288591</v>
      </c>
      <c r="E110">
        <v>472.37919463087002</v>
      </c>
      <c r="F110">
        <v>167.22457831324999</v>
      </c>
      <c r="G110">
        <v>126.14843373494</v>
      </c>
      <c r="I110" s="9">
        <f t="shared" si="8"/>
        <v>346.23076089593002</v>
      </c>
      <c r="J110" s="9">
        <f t="shared" si="9"/>
        <v>1669.67475054585</v>
      </c>
      <c r="K110" s="9">
        <f t="shared" si="10"/>
        <v>346.23076089593002</v>
      </c>
      <c r="L110" s="10">
        <f t="shared" si="7"/>
        <v>0.20736419520193394</v>
      </c>
      <c r="M110" s="10">
        <f t="shared" si="11"/>
        <v>0.23821612378284601</v>
      </c>
      <c r="P110" s="8">
        <f t="shared" si="12"/>
        <v>-7.3897479002378184</v>
      </c>
      <c r="X110" s="8">
        <v>-13</v>
      </c>
    </row>
    <row r="111" spans="1:25" x14ac:dyDescent="0.2">
      <c r="A111" s="8">
        <v>54.5</v>
      </c>
      <c r="B111" s="8">
        <v>109</v>
      </c>
      <c r="D111">
        <v>1838.1816874400999</v>
      </c>
      <c r="E111">
        <v>467.59539789069999</v>
      </c>
      <c r="F111">
        <v>166.62313253011999</v>
      </c>
      <c r="G111">
        <v>126.29253012048</v>
      </c>
      <c r="I111" s="9">
        <f t="shared" si="8"/>
        <v>341.30286777022002</v>
      </c>
      <c r="J111" s="9">
        <f t="shared" si="9"/>
        <v>1671.5585549099799</v>
      </c>
      <c r="K111" s="9">
        <f t="shared" si="10"/>
        <v>341.30286777022002</v>
      </c>
      <c r="L111" s="10">
        <f t="shared" si="7"/>
        <v>0.20418241811971735</v>
      </c>
      <c r="M111" s="10">
        <f t="shared" si="11"/>
        <v>0.23532001270600822</v>
      </c>
      <c r="P111" s="8">
        <f t="shared" si="12"/>
        <v>-8.5156564771877026</v>
      </c>
      <c r="X111" s="8">
        <v>-13</v>
      </c>
    </row>
    <row r="112" spans="1:25" x14ac:dyDescent="0.2">
      <c r="A112" s="8">
        <v>55</v>
      </c>
      <c r="B112" s="8">
        <v>110</v>
      </c>
      <c r="D112">
        <v>1803.0666347076001</v>
      </c>
      <c r="E112">
        <v>454.28763183126</v>
      </c>
      <c r="F112">
        <v>167.1378313253</v>
      </c>
      <c r="G112">
        <v>126.16722891566</v>
      </c>
      <c r="I112" s="9">
        <f t="shared" si="8"/>
        <v>328.12040291559998</v>
      </c>
      <c r="J112" s="9">
        <f t="shared" si="9"/>
        <v>1635.9288033823</v>
      </c>
      <c r="K112" s="9">
        <f t="shared" si="10"/>
        <v>328.12040291559998</v>
      </c>
      <c r="L112" s="10">
        <f t="shared" si="7"/>
        <v>0.2005713220753908</v>
      </c>
      <c r="M112" s="10">
        <f t="shared" si="11"/>
        <v>0.23199458266706049</v>
      </c>
      <c r="P112" s="8">
        <f t="shared" si="12"/>
        <v>-9.8084695301270166</v>
      </c>
      <c r="X112" s="8">
        <v>-13</v>
      </c>
    </row>
    <row r="113" spans="1:24" x14ac:dyDescent="0.2">
      <c r="A113" s="8">
        <v>55.5</v>
      </c>
      <c r="B113" s="8">
        <v>111</v>
      </c>
      <c r="D113">
        <v>1784.7780441036</v>
      </c>
      <c r="E113">
        <v>446.12176414189997</v>
      </c>
      <c r="F113">
        <v>167.3243373494</v>
      </c>
      <c r="G113">
        <v>126.55325301205001</v>
      </c>
      <c r="I113" s="9">
        <f t="shared" si="8"/>
        <v>319.56851112984998</v>
      </c>
      <c r="J113" s="9">
        <f t="shared" si="9"/>
        <v>1617.4537067542001</v>
      </c>
      <c r="K113" s="9">
        <f t="shared" si="10"/>
        <v>319.56851112984998</v>
      </c>
      <c r="L113" s="10">
        <f t="shared" si="7"/>
        <v>0.19757505874535297</v>
      </c>
      <c r="M113" s="10">
        <f t="shared" si="11"/>
        <v>0.22928398534240149</v>
      </c>
      <c r="P113" s="8">
        <f t="shared" si="12"/>
        <v>-10.862256728034936</v>
      </c>
      <c r="X113" s="8">
        <v>-13</v>
      </c>
    </row>
    <row r="114" spans="1:24" x14ac:dyDescent="0.2">
      <c r="A114" s="8">
        <v>56</v>
      </c>
      <c r="B114" s="8">
        <v>112</v>
      </c>
      <c r="D114">
        <v>1752.6534036433</v>
      </c>
      <c r="E114">
        <v>434.32694151485998</v>
      </c>
      <c r="F114">
        <v>167.23759036145</v>
      </c>
      <c r="G114">
        <v>125.91036144578</v>
      </c>
      <c r="I114" s="9">
        <f t="shared" si="8"/>
        <v>308.41658006908</v>
      </c>
      <c r="J114" s="9">
        <f t="shared" si="9"/>
        <v>1585.41581328185</v>
      </c>
      <c r="K114" s="9">
        <f t="shared" si="10"/>
        <v>308.41658006908</v>
      </c>
      <c r="L114" s="10">
        <f t="shared" si="7"/>
        <v>0.19453355863194655</v>
      </c>
      <c r="M114" s="10">
        <f t="shared" si="11"/>
        <v>0.22652815123437386</v>
      </c>
      <c r="P114" s="8">
        <f t="shared" si="12"/>
        <v>-11.933630434552867</v>
      </c>
      <c r="X114" s="8">
        <v>-13</v>
      </c>
    </row>
    <row r="115" spans="1:24" x14ac:dyDescent="0.2">
      <c r="A115" s="8">
        <v>56.5</v>
      </c>
      <c r="B115" s="8">
        <v>113</v>
      </c>
      <c r="D115">
        <v>1718.6687440077001</v>
      </c>
      <c r="E115">
        <v>423.03307766058998</v>
      </c>
      <c r="F115">
        <v>166.6043373494</v>
      </c>
      <c r="G115">
        <v>126.49445783133</v>
      </c>
      <c r="I115" s="9">
        <f t="shared" si="8"/>
        <v>296.53861982925997</v>
      </c>
      <c r="J115" s="9">
        <f t="shared" si="9"/>
        <v>1552.0644066583</v>
      </c>
      <c r="K115" s="9">
        <f t="shared" si="10"/>
        <v>296.53861982925997</v>
      </c>
      <c r="L115" s="10">
        <f t="shared" si="7"/>
        <v>0.19106076948683318</v>
      </c>
      <c r="M115" s="10">
        <f t="shared" si="11"/>
        <v>0.22334102809463932</v>
      </c>
      <c r="P115" s="8">
        <f t="shared" si="12"/>
        <v>-13.17267451249641</v>
      </c>
      <c r="X115" s="8">
        <v>-13</v>
      </c>
    </row>
    <row r="116" spans="1:24" x14ac:dyDescent="0.2">
      <c r="A116" s="8">
        <v>57</v>
      </c>
      <c r="B116" s="8">
        <v>114</v>
      </c>
      <c r="D116">
        <v>1692.8686481304001</v>
      </c>
      <c r="E116">
        <v>417.84324065197001</v>
      </c>
      <c r="F116">
        <v>166.90361445783</v>
      </c>
      <c r="G116">
        <v>126.41975903615</v>
      </c>
      <c r="I116" s="9">
        <f t="shared" si="8"/>
        <v>291.42348161582004</v>
      </c>
      <c r="J116" s="9">
        <f t="shared" si="9"/>
        <v>1525.9650336725701</v>
      </c>
      <c r="K116" s="9">
        <f t="shared" si="10"/>
        <v>291.42348161582004</v>
      </c>
      <c r="L116" s="10">
        <f t="shared" si="7"/>
        <v>0.19097651334411339</v>
      </c>
      <c r="M116" s="10">
        <f t="shared" si="11"/>
        <v>0.22354243795729833</v>
      </c>
      <c r="P116" s="8">
        <f t="shared" si="12"/>
        <v>-13.094373271337634</v>
      </c>
      <c r="X116" s="8">
        <v>-13</v>
      </c>
    </row>
    <row r="117" spans="1:24" x14ac:dyDescent="0.2">
      <c r="A117" s="8">
        <v>57.5</v>
      </c>
      <c r="B117" s="8">
        <v>115</v>
      </c>
      <c r="D117">
        <v>1873.7475961539001</v>
      </c>
      <c r="E117">
        <v>445.28798076922999</v>
      </c>
      <c r="F117">
        <v>166.93542168675</v>
      </c>
      <c r="G117">
        <v>126.24385542169</v>
      </c>
      <c r="I117" s="9">
        <f t="shared" si="8"/>
        <v>319.04412534753999</v>
      </c>
      <c r="J117" s="9">
        <f t="shared" si="9"/>
        <v>1706.81217446715</v>
      </c>
      <c r="K117" s="9">
        <f t="shared" si="10"/>
        <v>319.04412534753999</v>
      </c>
      <c r="L117" s="10">
        <f t="shared" si="7"/>
        <v>0.18692398034197433</v>
      </c>
      <c r="M117" s="10">
        <f t="shared" si="11"/>
        <v>0.2197755709605381</v>
      </c>
      <c r="P117" s="8">
        <f t="shared" si="12"/>
        <v>-14.558801861042358</v>
      </c>
      <c r="X117" s="8">
        <v>-13</v>
      </c>
    </row>
    <row r="118" spans="1:24" x14ac:dyDescent="0.2">
      <c r="A118" s="8">
        <v>58</v>
      </c>
      <c r="B118" s="8">
        <v>116</v>
      </c>
      <c r="D118">
        <v>1901.1567307692001</v>
      </c>
      <c r="E118">
        <v>447.66826923077002</v>
      </c>
      <c r="F118">
        <v>167.19951807229</v>
      </c>
      <c r="G118">
        <v>126.06939759036</v>
      </c>
      <c r="I118" s="9">
        <f t="shared" si="8"/>
        <v>321.59887164041004</v>
      </c>
      <c r="J118" s="9">
        <f t="shared" si="9"/>
        <v>1733.9572126969101</v>
      </c>
      <c r="K118" s="9">
        <f t="shared" si="10"/>
        <v>321.59887164041004</v>
      </c>
      <c r="L118" s="10">
        <f t="shared" si="7"/>
        <v>0.18547105389077698</v>
      </c>
      <c r="M118" s="10">
        <f t="shared" si="11"/>
        <v>0.21860831051471957</v>
      </c>
      <c r="P118" s="8">
        <f t="shared" si="12"/>
        <v>-15.012592655874856</v>
      </c>
      <c r="X118" s="8">
        <v>-13</v>
      </c>
    </row>
    <row r="119" spans="1:24" x14ac:dyDescent="0.2">
      <c r="A119" s="8">
        <v>58.5</v>
      </c>
      <c r="B119" s="8">
        <v>117</v>
      </c>
      <c r="D119">
        <v>1849.9490384615001</v>
      </c>
      <c r="E119">
        <v>439.82307692308001</v>
      </c>
      <c r="F119">
        <v>167.38746987952001</v>
      </c>
      <c r="G119">
        <v>125.89831325301</v>
      </c>
      <c r="I119" s="9">
        <f t="shared" si="8"/>
        <v>313.92476367006998</v>
      </c>
      <c r="J119" s="9">
        <f t="shared" si="9"/>
        <v>1682.5615685819801</v>
      </c>
      <c r="K119" s="9">
        <f t="shared" si="10"/>
        <v>313.92476367006998</v>
      </c>
      <c r="L119" s="10">
        <f t="shared" si="7"/>
        <v>0.18657549865152201</v>
      </c>
      <c r="M119" s="10">
        <f t="shared" si="11"/>
        <v>0.2199984212808434</v>
      </c>
      <c r="P119" s="8">
        <f t="shared" si="12"/>
        <v>-14.472165305899685</v>
      </c>
      <c r="X119" s="8">
        <v>-13</v>
      </c>
    </row>
    <row r="120" spans="1:24" x14ac:dyDescent="0.2">
      <c r="A120" s="8">
        <v>59</v>
      </c>
      <c r="B120" s="8">
        <v>118</v>
      </c>
      <c r="D120">
        <v>1877.1793269231</v>
      </c>
      <c r="E120">
        <v>448.57548076923001</v>
      </c>
      <c r="F120">
        <v>166.77783132530001</v>
      </c>
      <c r="G120">
        <v>126.16192771084</v>
      </c>
      <c r="I120" s="9">
        <f t="shared" si="8"/>
        <v>322.41355305838999</v>
      </c>
      <c r="J120" s="9">
        <f t="shared" si="9"/>
        <v>1710.4014955978</v>
      </c>
      <c r="K120" s="9">
        <f t="shared" si="10"/>
        <v>322.41355305838999</v>
      </c>
      <c r="L120" s="10">
        <f t="shared" si="7"/>
        <v>0.18850167863405878</v>
      </c>
      <c r="M120" s="10">
        <f t="shared" si="11"/>
        <v>0.222210267268759</v>
      </c>
      <c r="P120" s="8">
        <f t="shared" si="12"/>
        <v>-13.61227550795536</v>
      </c>
      <c r="X120" s="8">
        <v>-13</v>
      </c>
    </row>
    <row r="121" spans="1:24" x14ac:dyDescent="0.2">
      <c r="A121" s="8">
        <v>59.5</v>
      </c>
      <c r="B121" s="8">
        <v>119</v>
      </c>
      <c r="D121">
        <v>1863.4846153845999</v>
      </c>
      <c r="E121">
        <v>440.88846153845998</v>
      </c>
      <c r="F121">
        <v>166.99807228916001</v>
      </c>
      <c r="G121">
        <v>125.8665060241</v>
      </c>
      <c r="I121" s="9">
        <f t="shared" si="8"/>
        <v>315.02195551436</v>
      </c>
      <c r="J121" s="9">
        <f t="shared" si="9"/>
        <v>1696.4865430954399</v>
      </c>
      <c r="K121" s="9">
        <f t="shared" si="10"/>
        <v>315.02195551436</v>
      </c>
      <c r="L121" s="10">
        <f t="shared" si="7"/>
        <v>0.18569080715462988</v>
      </c>
      <c r="M121" s="10">
        <f t="shared" si="11"/>
        <v>0.21968506179470892</v>
      </c>
      <c r="P121" s="8">
        <f t="shared" si="12"/>
        <v>-14.593988717967374</v>
      </c>
      <c r="X121" s="8">
        <v>-13</v>
      </c>
    </row>
    <row r="122" spans="1:24" x14ac:dyDescent="0.2">
      <c r="A122" s="8">
        <v>60</v>
      </c>
      <c r="B122" s="8">
        <v>120</v>
      </c>
      <c r="D122">
        <v>1837.9110576922999</v>
      </c>
      <c r="E122">
        <v>431.88173076922999</v>
      </c>
      <c r="F122">
        <v>166.53831325300999</v>
      </c>
      <c r="G122">
        <v>125.83036144578</v>
      </c>
      <c r="I122" s="9">
        <f t="shared" si="8"/>
        <v>306.05136932344999</v>
      </c>
      <c r="J122" s="9">
        <f t="shared" si="9"/>
        <v>1671.3727444392898</v>
      </c>
      <c r="K122" s="9">
        <f t="shared" si="10"/>
        <v>306.05136932344999</v>
      </c>
      <c r="L122" s="10">
        <f t="shared" si="7"/>
        <v>0.18311377299988443</v>
      </c>
      <c r="M122" s="10">
        <f t="shared" si="11"/>
        <v>0.21739369364534228</v>
      </c>
      <c r="P122" s="8">
        <f t="shared" si="12"/>
        <v>-15.484794002666124</v>
      </c>
      <c r="X122" s="8">
        <v>-13</v>
      </c>
    </row>
    <row r="123" spans="1:24" x14ac:dyDescent="0.2">
      <c r="A123" s="8">
        <v>60.5</v>
      </c>
      <c r="B123" s="8">
        <v>121</v>
      </c>
      <c r="D123">
        <v>1772.8211538462001</v>
      </c>
      <c r="E123">
        <v>424.38461538462002</v>
      </c>
      <c r="F123">
        <v>166.82987951806999</v>
      </c>
      <c r="G123">
        <v>126.16144578313001</v>
      </c>
      <c r="I123" s="9">
        <f t="shared" si="8"/>
        <v>298.22316960148999</v>
      </c>
      <c r="J123" s="9">
        <f t="shared" si="9"/>
        <v>1605.9912743281302</v>
      </c>
      <c r="K123" s="9">
        <f t="shared" si="10"/>
        <v>298.22316960148999</v>
      </c>
      <c r="L123" s="10">
        <f t="shared" si="7"/>
        <v>0.18569414066477558</v>
      </c>
      <c r="M123" s="10">
        <f t="shared" si="11"/>
        <v>0.22025972731561225</v>
      </c>
      <c r="P123" s="8">
        <f t="shared" si="12"/>
        <v>-14.370578488975436</v>
      </c>
      <c r="X123" s="8">
        <v>-13</v>
      </c>
    </row>
    <row r="124" spans="1:24" x14ac:dyDescent="0.2">
      <c r="A124" s="8">
        <v>61</v>
      </c>
      <c r="B124" s="8">
        <v>122</v>
      </c>
      <c r="D124">
        <v>1776.6302884615</v>
      </c>
      <c r="E124">
        <v>421.09134615385</v>
      </c>
      <c r="F124">
        <v>166.52</v>
      </c>
      <c r="G124">
        <v>126.08048192771</v>
      </c>
      <c r="I124" s="9">
        <f t="shared" si="8"/>
        <v>295.01086422614003</v>
      </c>
      <c r="J124" s="9">
        <f t="shared" si="9"/>
        <v>1610.1102884615</v>
      </c>
      <c r="K124" s="9">
        <f t="shared" si="10"/>
        <v>295.01086422614003</v>
      </c>
      <c r="L124" s="10">
        <f t="shared" si="7"/>
        <v>0.18322401039249936</v>
      </c>
      <c r="M124" s="10">
        <f t="shared" si="11"/>
        <v>0.21807526304871483</v>
      </c>
      <c r="P124" s="8">
        <f t="shared" si="12"/>
        <v>-15.219823213672196</v>
      </c>
      <c r="X124" s="8">
        <v>-13</v>
      </c>
    </row>
    <row r="125" spans="1:24" x14ac:dyDescent="0.2">
      <c r="A125" s="8">
        <v>61.5</v>
      </c>
      <c r="B125" s="8">
        <v>123</v>
      </c>
      <c r="D125">
        <v>1767.1716346154001</v>
      </c>
      <c r="E125">
        <v>417.22163461538997</v>
      </c>
      <c r="F125">
        <v>166.49734939759</v>
      </c>
      <c r="G125">
        <v>126.18457831325</v>
      </c>
      <c r="I125" s="9">
        <f t="shared" si="8"/>
        <v>291.03705630213994</v>
      </c>
      <c r="J125" s="9">
        <f t="shared" si="9"/>
        <v>1600.6742852178102</v>
      </c>
      <c r="K125" s="9">
        <f t="shared" si="10"/>
        <v>291.03705630213994</v>
      </c>
      <c r="L125" s="10">
        <f t="shared" si="7"/>
        <v>0.18182153545531429</v>
      </c>
      <c r="M125" s="10">
        <f t="shared" si="11"/>
        <v>0.21695845411690859</v>
      </c>
      <c r="P125" s="8">
        <f t="shared" si="12"/>
        <v>-15.654000191617337</v>
      </c>
      <c r="X125" s="8">
        <v>-13</v>
      </c>
    </row>
    <row r="126" spans="1:24" x14ac:dyDescent="0.2">
      <c r="A126" s="8">
        <v>62</v>
      </c>
      <c r="B126" s="8">
        <v>124</v>
      </c>
      <c r="D126">
        <v>1816.7322115385</v>
      </c>
      <c r="E126">
        <v>420.77307692308</v>
      </c>
      <c r="F126">
        <v>166.98361445782999</v>
      </c>
      <c r="G126">
        <v>126.21638554217</v>
      </c>
      <c r="I126" s="9">
        <f t="shared" si="8"/>
        <v>294.55669138091002</v>
      </c>
      <c r="J126" s="9">
        <f t="shared" si="9"/>
        <v>1649.7485970806699</v>
      </c>
      <c r="K126" s="9">
        <f t="shared" si="10"/>
        <v>294.55669138091002</v>
      </c>
      <c r="L126" s="10">
        <f t="shared" si="7"/>
        <v>0.17854641119389095</v>
      </c>
      <c r="M126" s="10">
        <f t="shared" si="11"/>
        <v>0.21396899586086404</v>
      </c>
      <c r="P126" s="8">
        <f t="shared" si="12"/>
        <v>-16.816198947677936</v>
      </c>
      <c r="X126" s="8">
        <v>-13</v>
      </c>
    </row>
    <row r="127" spans="1:24" x14ac:dyDescent="0.2">
      <c r="A127" s="8">
        <v>62.5</v>
      </c>
      <c r="B127" s="8">
        <v>125</v>
      </c>
      <c r="D127">
        <v>1685.4567307692</v>
      </c>
      <c r="E127">
        <v>414.03798076922999</v>
      </c>
      <c r="F127">
        <v>165.81734939758999</v>
      </c>
      <c r="G127">
        <v>125.83325301204999</v>
      </c>
      <c r="I127" s="9">
        <f t="shared" si="8"/>
        <v>288.20472775717997</v>
      </c>
      <c r="J127" s="9">
        <f t="shared" si="9"/>
        <v>1519.6393813716099</v>
      </c>
      <c r="K127" s="9">
        <f t="shared" si="10"/>
        <v>288.20472775717997</v>
      </c>
      <c r="L127" s="10">
        <f t="shared" si="7"/>
        <v>0.18965336861502596</v>
      </c>
      <c r="M127" s="10">
        <f t="shared" si="11"/>
        <v>0.22536161928737788</v>
      </c>
      <c r="P127" s="8">
        <f t="shared" si="12"/>
        <v>-12.387138014049059</v>
      </c>
      <c r="X127" s="8">
        <v>-13</v>
      </c>
    </row>
    <row r="128" spans="1:24" x14ac:dyDescent="0.2">
      <c r="A128" s="8">
        <v>63</v>
      </c>
      <c r="B128" s="8">
        <v>126</v>
      </c>
      <c r="D128">
        <v>1644.9158653846</v>
      </c>
      <c r="E128">
        <v>425.57163461539</v>
      </c>
      <c r="F128">
        <v>166.10457831324999</v>
      </c>
      <c r="G128">
        <v>125.90216867469999</v>
      </c>
      <c r="I128" s="9">
        <f t="shared" si="8"/>
        <v>299.66946594068997</v>
      </c>
      <c r="J128" s="9">
        <f t="shared" si="9"/>
        <v>1478.8112870713501</v>
      </c>
      <c r="K128" s="9">
        <f t="shared" si="10"/>
        <v>299.66946594068997</v>
      </c>
      <c r="L128" s="10">
        <f t="shared" si="7"/>
        <v>0.20264212787701791</v>
      </c>
      <c r="M128" s="10">
        <f t="shared" si="11"/>
        <v>0.23863604455474866</v>
      </c>
      <c r="P128" s="8">
        <f t="shared" si="12"/>
        <v>-7.2264971180057938</v>
      </c>
      <c r="X128" s="8">
        <v>-13</v>
      </c>
    </row>
    <row r="129" spans="1:24" x14ac:dyDescent="0.2">
      <c r="A129" s="8">
        <v>63.5</v>
      </c>
      <c r="B129" s="8">
        <v>127</v>
      </c>
      <c r="D129">
        <v>1753.7256509161</v>
      </c>
      <c r="E129">
        <v>444.49083895852999</v>
      </c>
      <c r="F129">
        <v>166.32</v>
      </c>
      <c r="G129">
        <v>125.79277108434</v>
      </c>
      <c r="I129" s="9">
        <f t="shared" si="8"/>
        <v>318.69806787418997</v>
      </c>
      <c r="J129" s="9">
        <f t="shared" si="9"/>
        <v>1587.4056509161001</v>
      </c>
      <c r="K129" s="9">
        <f t="shared" si="10"/>
        <v>318.69806787418997</v>
      </c>
      <c r="L129" s="10">
        <f t="shared" si="7"/>
        <v>0.20076662048561289</v>
      </c>
      <c r="M129" s="10">
        <f t="shared" si="11"/>
        <v>0.23704620316872244</v>
      </c>
      <c r="P129" s="8">
        <f t="shared" si="12"/>
        <v>-7.8445728771963887</v>
      </c>
      <c r="X129" s="8">
        <v>-13</v>
      </c>
    </row>
    <row r="130" spans="1:24" x14ac:dyDescent="0.2">
      <c r="A130" s="8">
        <v>64</v>
      </c>
      <c r="B130" s="8">
        <v>128</v>
      </c>
      <c r="D130">
        <v>1722.1280076997</v>
      </c>
      <c r="E130">
        <v>434.97545717036002</v>
      </c>
      <c r="F130">
        <v>166.77734939759</v>
      </c>
      <c r="G130">
        <v>125.98168674698999</v>
      </c>
      <c r="I130" s="9">
        <f t="shared" si="8"/>
        <v>308.99377042337005</v>
      </c>
      <c r="J130" s="9">
        <f t="shared" si="9"/>
        <v>1555.3506583021099</v>
      </c>
      <c r="K130" s="9">
        <f t="shared" si="10"/>
        <v>308.99377042337005</v>
      </c>
      <c r="L130" s="10">
        <f t="shared" ref="L130:L193" si="14">K130/J130</f>
        <v>0.19866502050456031</v>
      </c>
      <c r="M130" s="10">
        <f t="shared" si="11"/>
        <v>0.23523026919304868</v>
      </c>
      <c r="P130" s="8">
        <f t="shared" si="12"/>
        <v>-8.5505456745582276</v>
      </c>
      <c r="X130" s="8">
        <v>-13</v>
      </c>
    </row>
    <row r="131" spans="1:24" x14ac:dyDescent="0.2">
      <c r="A131" s="8">
        <v>64.5</v>
      </c>
      <c r="B131" s="8">
        <v>129</v>
      </c>
      <c r="D131">
        <v>1668.5934803452001</v>
      </c>
      <c r="E131">
        <v>413.40316395014003</v>
      </c>
      <c r="F131">
        <v>166.44963855422</v>
      </c>
      <c r="G131">
        <v>126.02409638554001</v>
      </c>
      <c r="I131" s="9">
        <f t="shared" ref="I131:I194" si="15">E131-G131</f>
        <v>287.37906756460001</v>
      </c>
      <c r="J131" s="9">
        <f t="shared" ref="J131:J194" si="16">D131-F131</f>
        <v>1502.1438417909801</v>
      </c>
      <c r="K131" s="9">
        <f t="shared" ref="K131:K194" si="17">I131*1</f>
        <v>287.37906756460001</v>
      </c>
      <c r="L131" s="10">
        <f t="shared" si="14"/>
        <v>0.19131261572258149</v>
      </c>
      <c r="M131" s="10">
        <f t="shared" ref="M131:M181" si="18">L131+ABS($N$2)*A131</f>
        <v>0.22816353041644866</v>
      </c>
      <c r="P131" s="8">
        <f t="shared" ref="P131:P194" si="19">(M131-$O$2)/$O$2*100</f>
        <v>-11.297851143354629</v>
      </c>
      <c r="X131" s="8">
        <v>-13</v>
      </c>
    </row>
    <row r="132" spans="1:24" x14ac:dyDescent="0.2">
      <c r="A132" s="8">
        <v>65</v>
      </c>
      <c r="B132" s="8">
        <v>130</v>
      </c>
      <c r="D132">
        <v>1704.1836049855999</v>
      </c>
      <c r="E132">
        <v>412.13710450623</v>
      </c>
      <c r="F132">
        <v>166.00626506024</v>
      </c>
      <c r="G132">
        <v>125.84433734940001</v>
      </c>
      <c r="I132" s="9">
        <f t="shared" si="15"/>
        <v>286.29276715683</v>
      </c>
      <c r="J132" s="9">
        <f t="shared" si="16"/>
        <v>1538.17733992536</v>
      </c>
      <c r="K132" s="9">
        <f t="shared" si="17"/>
        <v>286.29276715683</v>
      </c>
      <c r="L132" s="10">
        <f t="shared" si="14"/>
        <v>0.18612468128721904</v>
      </c>
      <c r="M132" s="10">
        <f t="shared" si="18"/>
        <v>0.22326126198646504</v>
      </c>
      <c r="P132" s="8">
        <f t="shared" si="19"/>
        <v>-13.2036848373633</v>
      </c>
      <c r="X132" s="8">
        <v>-13</v>
      </c>
    </row>
    <row r="133" spans="1:24" x14ac:dyDescent="0.2">
      <c r="A133" s="8">
        <v>65.5</v>
      </c>
      <c r="B133" s="8">
        <v>131</v>
      </c>
      <c r="D133">
        <v>1596.7372962607999</v>
      </c>
      <c r="E133">
        <v>387.73010546501001</v>
      </c>
      <c r="F133">
        <v>165.72289156626999</v>
      </c>
      <c r="G133">
        <v>125.6843373494</v>
      </c>
      <c r="I133" s="9">
        <f t="shared" si="15"/>
        <v>262.04576811561003</v>
      </c>
      <c r="J133" s="9">
        <f t="shared" si="16"/>
        <v>1431.01440469453</v>
      </c>
      <c r="K133" s="9">
        <f t="shared" si="17"/>
        <v>262.04576811561003</v>
      </c>
      <c r="L133" s="10">
        <f t="shared" si="14"/>
        <v>0.1831188891292449</v>
      </c>
      <c r="M133" s="10">
        <f t="shared" si="18"/>
        <v>0.22054113583386972</v>
      </c>
      <c r="P133" s="8">
        <f t="shared" si="19"/>
        <v>-14.261176516493496</v>
      </c>
      <c r="X133" s="8">
        <v>-13</v>
      </c>
    </row>
    <row r="134" spans="1:24" x14ac:dyDescent="0.2">
      <c r="A134" s="8">
        <v>66</v>
      </c>
      <c r="B134" s="8">
        <v>132</v>
      </c>
      <c r="D134">
        <v>1713.1694671147</v>
      </c>
      <c r="E134">
        <v>405.43206913106002</v>
      </c>
      <c r="F134">
        <v>166.25397590361001</v>
      </c>
      <c r="G134">
        <v>125.82506024096</v>
      </c>
      <c r="I134" s="9">
        <f t="shared" si="15"/>
        <v>279.60700889010002</v>
      </c>
      <c r="J134" s="9">
        <f t="shared" si="16"/>
        <v>1546.9154912110898</v>
      </c>
      <c r="K134" s="9">
        <f t="shared" si="17"/>
        <v>279.60700889010002</v>
      </c>
      <c r="L134" s="10">
        <f t="shared" si="14"/>
        <v>0.18075131478009437</v>
      </c>
      <c r="M134" s="10">
        <f t="shared" si="18"/>
        <v>0.218459227490098</v>
      </c>
      <c r="P134" s="8">
        <f t="shared" si="19"/>
        <v>-15.070551018536257</v>
      </c>
      <c r="X134" s="8">
        <v>-13</v>
      </c>
    </row>
    <row r="135" spans="1:24" x14ac:dyDescent="0.2">
      <c r="A135" s="8">
        <v>66.5</v>
      </c>
      <c r="B135" s="8">
        <v>133</v>
      </c>
      <c r="D135">
        <v>1668.0340690979001</v>
      </c>
      <c r="E135">
        <v>400.25239923225001</v>
      </c>
      <c r="F135">
        <v>166.1378313253</v>
      </c>
      <c r="G135">
        <v>125.83759036145</v>
      </c>
      <c r="I135" s="9">
        <f t="shared" si="15"/>
        <v>274.41480887080002</v>
      </c>
      <c r="J135" s="9">
        <f t="shared" si="16"/>
        <v>1501.8962377726002</v>
      </c>
      <c r="K135" s="9">
        <f t="shared" si="17"/>
        <v>274.41480887080002</v>
      </c>
      <c r="L135" s="10">
        <f t="shared" si="14"/>
        <v>0.18271222869415613</v>
      </c>
      <c r="M135" s="10">
        <f t="shared" si="18"/>
        <v>0.22070580740953857</v>
      </c>
      <c r="P135" s="8">
        <f t="shared" si="19"/>
        <v>-14.19715786026576</v>
      </c>
      <c r="X135" s="8">
        <v>-13</v>
      </c>
    </row>
    <row r="136" spans="1:24" x14ac:dyDescent="0.2">
      <c r="A136" s="8">
        <v>67</v>
      </c>
      <c r="B136" s="8">
        <v>134</v>
      </c>
      <c r="D136">
        <v>1626.6932309169999</v>
      </c>
      <c r="E136">
        <v>399.51896303409001</v>
      </c>
      <c r="F136">
        <v>166.18698795181001</v>
      </c>
      <c r="G136">
        <v>125.32481927711</v>
      </c>
      <c r="I136" s="9">
        <f t="shared" si="15"/>
        <v>274.19414375698</v>
      </c>
      <c r="J136" s="9">
        <f t="shared" si="16"/>
        <v>1460.5062429651898</v>
      </c>
      <c r="K136" s="9">
        <f t="shared" si="17"/>
        <v>274.19414375698</v>
      </c>
      <c r="L136" s="10">
        <f t="shared" si="14"/>
        <v>0.18773911106350213</v>
      </c>
      <c r="M136" s="10">
        <f t="shared" si="18"/>
        <v>0.22601835578426341</v>
      </c>
      <c r="P136" s="8">
        <f t="shared" si="19"/>
        <v>-12.131821406701667</v>
      </c>
      <c r="X136" s="8">
        <v>-13</v>
      </c>
    </row>
    <row r="137" spans="1:24" x14ac:dyDescent="0.2">
      <c r="A137" s="8">
        <v>67.5</v>
      </c>
      <c r="B137" s="8">
        <v>135</v>
      </c>
      <c r="D137">
        <v>1661.7124339894001</v>
      </c>
      <c r="E137">
        <v>427.95247239558</v>
      </c>
      <c r="F137">
        <v>165.85012048192999</v>
      </c>
      <c r="G137">
        <v>125.45879518072</v>
      </c>
      <c r="I137" s="9">
        <f t="shared" si="15"/>
        <v>302.49367721485999</v>
      </c>
      <c r="J137" s="9">
        <f t="shared" si="16"/>
        <v>1495.8623135074702</v>
      </c>
      <c r="K137" s="9">
        <f t="shared" si="17"/>
        <v>302.49367721485999</v>
      </c>
      <c r="L137" s="10">
        <f t="shared" si="14"/>
        <v>0.20222026752287009</v>
      </c>
      <c r="M137" s="10">
        <f t="shared" si="18"/>
        <v>0.24078517824901016</v>
      </c>
      <c r="P137" s="8">
        <f t="shared" si="19"/>
        <v>-6.3909877072192849</v>
      </c>
      <c r="X137" s="8">
        <v>-13</v>
      </c>
    </row>
    <row r="138" spans="1:24" x14ac:dyDescent="0.2">
      <c r="A138" s="8">
        <v>68</v>
      </c>
      <c r="B138" s="8">
        <v>136</v>
      </c>
      <c r="D138">
        <v>1658.4330292847001</v>
      </c>
      <c r="E138">
        <v>426.70475276043999</v>
      </c>
      <c r="F138">
        <v>165.96819277108</v>
      </c>
      <c r="G138">
        <v>125.40915662651</v>
      </c>
      <c r="I138" s="9">
        <f t="shared" si="15"/>
        <v>301.29559613392996</v>
      </c>
      <c r="J138" s="9">
        <f t="shared" si="16"/>
        <v>1492.46483651362</v>
      </c>
      <c r="K138" s="9">
        <f t="shared" si="17"/>
        <v>301.29559613392996</v>
      </c>
      <c r="L138" s="10">
        <f t="shared" si="14"/>
        <v>0.20187785250455406</v>
      </c>
      <c r="M138" s="10">
        <f t="shared" si="18"/>
        <v>0.24072842923607296</v>
      </c>
      <c r="P138" s="8">
        <f t="shared" si="19"/>
        <v>-6.413049775525451</v>
      </c>
      <c r="X138" s="8">
        <v>-13</v>
      </c>
    </row>
    <row r="139" spans="1:24" x14ac:dyDescent="0.2">
      <c r="A139" s="8">
        <v>68.5</v>
      </c>
      <c r="B139" s="8">
        <v>137</v>
      </c>
      <c r="D139">
        <v>1662.7682692307999</v>
      </c>
      <c r="E139">
        <v>419.33028846154002</v>
      </c>
      <c r="F139">
        <v>165.91469879517999</v>
      </c>
      <c r="G139">
        <v>125.28048192771</v>
      </c>
      <c r="I139" s="9">
        <f t="shared" si="15"/>
        <v>294.04980653383001</v>
      </c>
      <c r="J139" s="9">
        <f t="shared" si="16"/>
        <v>1496.85357043562</v>
      </c>
      <c r="K139" s="9">
        <f t="shared" si="17"/>
        <v>294.04980653383001</v>
      </c>
      <c r="L139" s="10">
        <f t="shared" si="14"/>
        <v>0.19644527182993224</v>
      </c>
      <c r="M139" s="10">
        <f t="shared" si="18"/>
        <v>0.23558151456682996</v>
      </c>
      <c r="P139" s="8">
        <f t="shared" si="19"/>
        <v>-8.4139935298158655</v>
      </c>
      <c r="X139" s="8">
        <v>-13</v>
      </c>
    </row>
    <row r="140" spans="1:24" x14ac:dyDescent="0.2">
      <c r="A140" s="8">
        <v>69</v>
      </c>
      <c r="B140" s="8">
        <v>138</v>
      </c>
      <c r="D140">
        <v>1690.9206730768999</v>
      </c>
      <c r="E140">
        <v>419.58701923077001</v>
      </c>
      <c r="F140">
        <v>165.94650602409999</v>
      </c>
      <c r="G140">
        <v>125.48963855421999</v>
      </c>
      <c r="I140" s="9">
        <f t="shared" si="15"/>
        <v>294.09738067655002</v>
      </c>
      <c r="J140" s="9">
        <f t="shared" si="16"/>
        <v>1524.9741670527999</v>
      </c>
      <c r="K140" s="9">
        <f t="shared" si="17"/>
        <v>294.09738067655002</v>
      </c>
      <c r="L140" s="10">
        <f t="shared" si="14"/>
        <v>0.1928540083042386</v>
      </c>
      <c r="M140" s="10">
        <f t="shared" si="18"/>
        <v>0.23227591704651512</v>
      </c>
      <c r="P140" s="8">
        <f t="shared" si="19"/>
        <v>-9.6990963802667913</v>
      </c>
      <c r="X140" s="8">
        <v>-13</v>
      </c>
    </row>
    <row r="141" spans="1:24" x14ac:dyDescent="0.2">
      <c r="A141" s="8">
        <v>69.5</v>
      </c>
      <c r="B141" s="8">
        <v>139</v>
      </c>
      <c r="D141">
        <v>1651.9875359539999</v>
      </c>
      <c r="E141">
        <v>403.19750719080002</v>
      </c>
      <c r="F141">
        <v>165.23518072288999</v>
      </c>
      <c r="G141">
        <v>125.64963855422</v>
      </c>
      <c r="I141" s="9">
        <f t="shared" si="15"/>
        <v>277.54786863658001</v>
      </c>
      <c r="J141" s="9">
        <f t="shared" si="16"/>
        <v>1486.75235523111</v>
      </c>
      <c r="K141" s="9">
        <f t="shared" si="17"/>
        <v>277.54786863658001</v>
      </c>
      <c r="L141" s="10">
        <f t="shared" si="14"/>
        <v>0.18668063155241227</v>
      </c>
      <c r="M141" s="10">
        <f t="shared" si="18"/>
        <v>0.22638820630006762</v>
      </c>
      <c r="P141" s="8">
        <f t="shared" si="19"/>
        <v>-11.988036221366864</v>
      </c>
      <c r="X141" s="8">
        <v>-13</v>
      </c>
    </row>
    <row r="142" spans="1:24" x14ac:dyDescent="0.2">
      <c r="A142" s="8">
        <v>70</v>
      </c>
      <c r="B142" s="8">
        <v>140</v>
      </c>
      <c r="D142">
        <v>1671.2045889101</v>
      </c>
      <c r="E142">
        <v>416.15630975143</v>
      </c>
      <c r="F142">
        <v>165.52915662651</v>
      </c>
      <c r="G142">
        <v>125.48144578313</v>
      </c>
      <c r="I142" s="9">
        <f t="shared" si="15"/>
        <v>290.67486396829997</v>
      </c>
      <c r="J142" s="9">
        <f t="shared" si="16"/>
        <v>1505.67543228359</v>
      </c>
      <c r="K142" s="9">
        <f t="shared" si="17"/>
        <v>290.67486396829997</v>
      </c>
      <c r="L142" s="10">
        <f t="shared" si="14"/>
        <v>0.19305280390173235</v>
      </c>
      <c r="M142" s="10">
        <f t="shared" si="18"/>
        <v>0.2330460446547665</v>
      </c>
      <c r="P142" s="8">
        <f t="shared" si="19"/>
        <v>-9.3996972009981263</v>
      </c>
      <c r="X142" s="8">
        <v>-13</v>
      </c>
    </row>
    <row r="143" spans="1:24" x14ac:dyDescent="0.2">
      <c r="A143" s="8">
        <v>70.5</v>
      </c>
      <c r="B143" s="8">
        <v>141</v>
      </c>
      <c r="D143">
        <v>1661.292543021</v>
      </c>
      <c r="E143">
        <v>415.05497131931003</v>
      </c>
      <c r="F143">
        <v>165.92385542169001</v>
      </c>
      <c r="G143">
        <v>125.62216867470001</v>
      </c>
      <c r="I143" s="9">
        <f t="shared" si="15"/>
        <v>289.43280264461004</v>
      </c>
      <c r="J143" s="9">
        <f t="shared" si="16"/>
        <v>1495.3686875993101</v>
      </c>
      <c r="K143" s="9">
        <f t="shared" si="17"/>
        <v>289.43280264461004</v>
      </c>
      <c r="L143" s="10">
        <f t="shared" si="14"/>
        <v>0.19355280409761041</v>
      </c>
      <c r="M143" s="10">
        <f t="shared" si="18"/>
        <v>0.23383171085602339</v>
      </c>
      <c r="P143" s="8">
        <f t="shared" si="19"/>
        <v>-9.0942571501349416</v>
      </c>
      <c r="X143" s="8">
        <v>-13</v>
      </c>
    </row>
    <row r="144" spans="1:24" x14ac:dyDescent="0.2">
      <c r="A144" s="8">
        <v>71</v>
      </c>
      <c r="B144" s="8">
        <v>142</v>
      </c>
      <c r="D144">
        <v>1603.8307839388001</v>
      </c>
      <c r="E144">
        <v>412.84321223708997</v>
      </c>
      <c r="F144">
        <v>165.55325301204999</v>
      </c>
      <c r="G144">
        <v>125.07084337349001</v>
      </c>
      <c r="I144" s="9">
        <f t="shared" si="15"/>
        <v>287.77236886359998</v>
      </c>
      <c r="J144" s="9">
        <f t="shared" si="16"/>
        <v>1438.2775309267502</v>
      </c>
      <c r="K144" s="9">
        <f t="shared" si="17"/>
        <v>287.77236886359998</v>
      </c>
      <c r="L144" s="10">
        <f t="shared" si="14"/>
        <v>0.20008125182778502</v>
      </c>
      <c r="M144" s="10">
        <f t="shared" si="18"/>
        <v>0.2406458245915768</v>
      </c>
      <c r="P144" s="8">
        <f t="shared" si="19"/>
        <v>-6.4451636258808316</v>
      </c>
    </row>
    <row r="145" spans="1:16" x14ac:dyDescent="0.2">
      <c r="A145" s="8">
        <v>71.5</v>
      </c>
      <c r="B145" s="8">
        <v>143</v>
      </c>
      <c r="D145">
        <v>1642.0334608031001</v>
      </c>
      <c r="E145">
        <v>413.39340344167999</v>
      </c>
      <c r="F145">
        <v>165.86891566265001</v>
      </c>
      <c r="G145">
        <v>125.09493975904</v>
      </c>
      <c r="I145" s="9">
        <f t="shared" si="15"/>
        <v>288.29846368263998</v>
      </c>
      <c r="J145" s="9">
        <f t="shared" si="16"/>
        <v>1476.1645451404502</v>
      </c>
      <c r="K145" s="9">
        <f t="shared" si="17"/>
        <v>288.29846368263998</v>
      </c>
      <c r="L145" s="10">
        <f t="shared" si="14"/>
        <v>0.1953023899887866</v>
      </c>
      <c r="M145" s="10">
        <f t="shared" si="18"/>
        <v>0.2361526287579572</v>
      </c>
      <c r="P145" s="8">
        <f t="shared" si="19"/>
        <v>-8.1919639359406009</v>
      </c>
    </row>
    <row r="146" spans="1:16" x14ac:dyDescent="0.2">
      <c r="A146" s="8">
        <v>72</v>
      </c>
      <c r="B146" s="8">
        <v>144</v>
      </c>
      <c r="D146">
        <v>1657.8338164250999</v>
      </c>
      <c r="E146">
        <v>427.91594202899</v>
      </c>
      <c r="F146">
        <v>165.52530120482001</v>
      </c>
      <c r="G146">
        <v>125.02361445783001</v>
      </c>
      <c r="I146" s="9">
        <f t="shared" si="15"/>
        <v>302.89232757115997</v>
      </c>
      <c r="J146" s="9">
        <f t="shared" si="16"/>
        <v>1492.30851522028</v>
      </c>
      <c r="K146" s="9">
        <f t="shared" si="17"/>
        <v>302.89232757115997</v>
      </c>
      <c r="L146" s="10">
        <f t="shared" si="14"/>
        <v>0.20296897356137511</v>
      </c>
      <c r="M146" s="10">
        <f t="shared" si="18"/>
        <v>0.24410487833592454</v>
      </c>
      <c r="P146" s="8">
        <f t="shared" si="19"/>
        <v>-5.1004022629485268</v>
      </c>
    </row>
    <row r="147" spans="1:16" x14ac:dyDescent="0.2">
      <c r="A147" s="8">
        <v>72.5</v>
      </c>
      <c r="B147" s="8">
        <v>145</v>
      </c>
      <c r="D147">
        <v>1659.8906474820001</v>
      </c>
      <c r="E147">
        <v>424.63597122302002</v>
      </c>
      <c r="F147">
        <v>166.01638554217001</v>
      </c>
      <c r="G147">
        <v>125.09108433735</v>
      </c>
      <c r="I147" s="9">
        <f t="shared" si="15"/>
        <v>299.54488688567005</v>
      </c>
      <c r="J147" s="9">
        <f t="shared" si="16"/>
        <v>1493.8742619398301</v>
      </c>
      <c r="K147" s="9">
        <f t="shared" si="17"/>
        <v>299.54488688567005</v>
      </c>
      <c r="L147" s="10">
        <f t="shared" si="14"/>
        <v>0.20051546138609022</v>
      </c>
      <c r="M147" s="10">
        <f t="shared" si="18"/>
        <v>0.24193703216601845</v>
      </c>
      <c r="P147" s="8">
        <f t="shared" si="19"/>
        <v>-5.9431864419553211</v>
      </c>
    </row>
    <row r="148" spans="1:16" x14ac:dyDescent="0.2">
      <c r="A148" s="8">
        <v>73</v>
      </c>
      <c r="B148" s="8">
        <v>146</v>
      </c>
      <c r="D148">
        <v>1655.5584291187999</v>
      </c>
      <c r="E148">
        <v>414.42672413793002</v>
      </c>
      <c r="F148">
        <v>165.27759036145</v>
      </c>
      <c r="G148">
        <v>125.34891566265</v>
      </c>
      <c r="I148" s="9">
        <f t="shared" si="15"/>
        <v>289.07780847527999</v>
      </c>
      <c r="J148" s="9">
        <f t="shared" si="16"/>
        <v>1490.28083875735</v>
      </c>
      <c r="K148" s="9">
        <f t="shared" si="17"/>
        <v>289.07780847527999</v>
      </c>
      <c r="L148" s="10">
        <f t="shared" si="14"/>
        <v>0.19397539105201372</v>
      </c>
      <c r="M148" s="10">
        <f t="shared" si="18"/>
        <v>0.23568262783732077</v>
      </c>
      <c r="P148" s="8">
        <f t="shared" si="19"/>
        <v>-8.374684160986904</v>
      </c>
    </row>
    <row r="149" spans="1:16" x14ac:dyDescent="0.2">
      <c r="A149" s="8">
        <v>73.5</v>
      </c>
      <c r="B149" s="8">
        <v>147</v>
      </c>
      <c r="D149">
        <v>1671.8549471662</v>
      </c>
      <c r="E149">
        <v>411.57925072045998</v>
      </c>
      <c r="F149">
        <v>165.22987951806999</v>
      </c>
      <c r="G149">
        <v>125.34120481927999</v>
      </c>
      <c r="I149" s="9">
        <f t="shared" si="15"/>
        <v>286.23804590117999</v>
      </c>
      <c r="J149" s="9">
        <f t="shared" si="16"/>
        <v>1506.62506764813</v>
      </c>
      <c r="K149" s="9">
        <f t="shared" si="17"/>
        <v>286.23804590117999</v>
      </c>
      <c r="L149" s="10">
        <f t="shared" si="14"/>
        <v>0.18998624943099013</v>
      </c>
      <c r="M149" s="10">
        <f t="shared" si="18"/>
        <v>0.23197915222167598</v>
      </c>
      <c r="P149" s="8">
        <f t="shared" si="19"/>
        <v>-9.8144683576386864</v>
      </c>
    </row>
    <row r="150" spans="1:16" x14ac:dyDescent="0.2">
      <c r="A150" s="8">
        <v>74</v>
      </c>
      <c r="B150" s="8">
        <v>148</v>
      </c>
      <c r="D150">
        <v>1748.566955684</v>
      </c>
      <c r="E150">
        <v>440.04094412331</v>
      </c>
      <c r="F150">
        <v>165.14939759036</v>
      </c>
      <c r="G150">
        <v>125.14313253012</v>
      </c>
      <c r="I150" s="9">
        <f t="shared" si="15"/>
        <v>314.89781159319</v>
      </c>
      <c r="J150" s="9">
        <f t="shared" si="16"/>
        <v>1583.4175580936401</v>
      </c>
      <c r="K150" s="9">
        <f t="shared" si="17"/>
        <v>314.89781159319</v>
      </c>
      <c r="L150" s="10">
        <f t="shared" si="14"/>
        <v>0.19887224944777807</v>
      </c>
      <c r="M150" s="10">
        <f t="shared" si="18"/>
        <v>0.24115081824384274</v>
      </c>
      <c r="P150" s="8">
        <f t="shared" si="19"/>
        <v>-6.2488394279110855</v>
      </c>
    </row>
    <row r="151" spans="1:16" x14ac:dyDescent="0.2">
      <c r="A151" s="8">
        <v>74.5</v>
      </c>
      <c r="B151" s="8">
        <v>149</v>
      </c>
      <c r="D151">
        <v>1731.1936416184999</v>
      </c>
      <c r="E151">
        <v>455.86368015414001</v>
      </c>
      <c r="F151">
        <v>165.36771084336999</v>
      </c>
      <c r="G151">
        <v>125.31036144578</v>
      </c>
      <c r="I151" s="9">
        <f t="shared" si="15"/>
        <v>330.55331870836</v>
      </c>
      <c r="J151" s="9">
        <f t="shared" si="16"/>
        <v>1565.82593077513</v>
      </c>
      <c r="K151" s="9">
        <f t="shared" si="17"/>
        <v>330.55331870836</v>
      </c>
      <c r="L151" s="10">
        <f t="shared" si="14"/>
        <v>0.21110476727430766</v>
      </c>
      <c r="M151" s="10">
        <f t="shared" si="18"/>
        <v>0.25366900207575116</v>
      </c>
      <c r="P151" s="8">
        <f t="shared" si="19"/>
        <v>-1.3821992438024062</v>
      </c>
    </row>
    <row r="152" spans="1:16" x14ac:dyDescent="0.2">
      <c r="A152" s="8">
        <v>75</v>
      </c>
      <c r="B152" s="8">
        <v>150</v>
      </c>
      <c r="D152">
        <v>1721.29238921</v>
      </c>
      <c r="E152">
        <v>458.79383429671998</v>
      </c>
      <c r="F152">
        <v>164.80626506024001</v>
      </c>
      <c r="G152">
        <v>125.29301204818999</v>
      </c>
      <c r="I152" s="9">
        <f t="shared" si="15"/>
        <v>333.50082224852997</v>
      </c>
      <c r="J152" s="9">
        <f t="shared" si="16"/>
        <v>1556.4861241497599</v>
      </c>
      <c r="K152" s="9">
        <f t="shared" si="17"/>
        <v>333.50082224852997</v>
      </c>
      <c r="L152" s="10">
        <f t="shared" si="14"/>
        <v>0.21426520742721483</v>
      </c>
      <c r="M152" s="10">
        <f t="shared" si="18"/>
        <v>0.25711510823403716</v>
      </c>
      <c r="P152" s="8">
        <f t="shared" si="19"/>
        <v>-4.2471457901832023E-2</v>
      </c>
    </row>
    <row r="153" spans="1:16" x14ac:dyDescent="0.2">
      <c r="A153" s="8">
        <v>75.5</v>
      </c>
      <c r="B153" s="8">
        <v>151</v>
      </c>
      <c r="D153">
        <v>1722.8964354528</v>
      </c>
      <c r="E153">
        <v>448.63342967245001</v>
      </c>
      <c r="F153">
        <v>164.97734939758999</v>
      </c>
      <c r="G153">
        <v>125.13253012048</v>
      </c>
      <c r="I153" s="9">
        <f t="shared" si="15"/>
        <v>323.50089955197001</v>
      </c>
      <c r="J153" s="9">
        <f t="shared" si="16"/>
        <v>1557.9190860552101</v>
      </c>
      <c r="K153" s="9">
        <f t="shared" si="17"/>
        <v>323.50089955197001</v>
      </c>
      <c r="L153" s="10">
        <f t="shared" si="14"/>
        <v>0.20764935897351583</v>
      </c>
      <c r="M153" s="10">
        <f t="shared" si="18"/>
        <v>0.25078492578571698</v>
      </c>
      <c r="P153" s="8">
        <f t="shared" si="19"/>
        <v>-2.5034291087400606</v>
      </c>
    </row>
    <row r="154" spans="1:16" x14ac:dyDescent="0.2">
      <c r="A154" s="8">
        <v>76</v>
      </c>
      <c r="B154" s="8">
        <v>152</v>
      </c>
      <c r="D154">
        <v>1788.8115107914</v>
      </c>
      <c r="E154">
        <v>451.60191846523003</v>
      </c>
      <c r="F154">
        <v>164.50698795181</v>
      </c>
      <c r="G154">
        <v>125.03036144578</v>
      </c>
      <c r="I154" s="9">
        <f t="shared" si="15"/>
        <v>326.57155701945004</v>
      </c>
      <c r="J154" s="9">
        <f t="shared" si="16"/>
        <v>1624.3045228395899</v>
      </c>
      <c r="K154" s="9">
        <f t="shared" si="17"/>
        <v>326.57155701945004</v>
      </c>
      <c r="L154" s="10">
        <f t="shared" si="14"/>
        <v>0.20105315993859421</v>
      </c>
      <c r="M154" s="10">
        <f t="shared" si="18"/>
        <v>0.24447439275617416</v>
      </c>
      <c r="P154" s="8">
        <f t="shared" si="19"/>
        <v>-4.9567477400287823</v>
      </c>
    </row>
    <row r="155" spans="1:16" x14ac:dyDescent="0.2">
      <c r="A155" s="8">
        <v>76.5</v>
      </c>
      <c r="B155" s="8">
        <v>153</v>
      </c>
      <c r="D155">
        <v>1818.1419664268999</v>
      </c>
      <c r="E155">
        <v>446.49016786571002</v>
      </c>
      <c r="F155">
        <v>164.91903614457999</v>
      </c>
      <c r="G155">
        <v>125.26795180723001</v>
      </c>
      <c r="I155" s="9">
        <f t="shared" si="15"/>
        <v>321.22221605848</v>
      </c>
      <c r="J155" s="9">
        <f t="shared" si="16"/>
        <v>1653.2229302823198</v>
      </c>
      <c r="K155" s="9">
        <f t="shared" si="17"/>
        <v>321.22221605848</v>
      </c>
      <c r="L155" s="10">
        <f t="shared" si="14"/>
        <v>0.19430060530531421</v>
      </c>
      <c r="M155" s="10">
        <f t="shared" si="18"/>
        <v>0.23800750412827296</v>
      </c>
      <c r="P155" s="8">
        <f t="shared" si="19"/>
        <v>-7.4708520610148943</v>
      </c>
    </row>
    <row r="156" spans="1:16" x14ac:dyDescent="0.2">
      <c r="A156" s="8">
        <v>77</v>
      </c>
      <c r="B156" s="8">
        <v>154</v>
      </c>
      <c r="D156">
        <v>1772.5203836931</v>
      </c>
      <c r="E156">
        <v>432.92661870504003</v>
      </c>
      <c r="F156">
        <v>164.82313253012001</v>
      </c>
      <c r="G156">
        <v>124.93975903614999</v>
      </c>
      <c r="I156" s="9">
        <f t="shared" si="15"/>
        <v>307.98685966889002</v>
      </c>
      <c r="J156" s="9">
        <f t="shared" si="16"/>
        <v>1607.6972511629801</v>
      </c>
      <c r="K156" s="9">
        <f t="shared" si="17"/>
        <v>307.98685966889002</v>
      </c>
      <c r="L156" s="10">
        <f t="shared" si="14"/>
        <v>0.19157018490023398</v>
      </c>
      <c r="M156" s="10">
        <f t="shared" si="18"/>
        <v>0.23556274972857155</v>
      </c>
      <c r="P156" s="8">
        <f t="shared" si="19"/>
        <v>-8.4212886548230497</v>
      </c>
    </row>
    <row r="157" spans="1:16" x14ac:dyDescent="0.2">
      <c r="A157" s="8">
        <v>77.5</v>
      </c>
      <c r="B157" s="8">
        <v>155</v>
      </c>
      <c r="D157">
        <v>1793.4067146283001</v>
      </c>
      <c r="E157">
        <v>429.90023980814999</v>
      </c>
      <c r="F157">
        <v>165.02795180723001</v>
      </c>
      <c r="G157">
        <v>124.77301204819</v>
      </c>
      <c r="I157" s="9">
        <f t="shared" si="15"/>
        <v>305.12722775995996</v>
      </c>
      <c r="J157" s="9">
        <f t="shared" si="16"/>
        <v>1628.37876282107</v>
      </c>
      <c r="K157" s="9">
        <f t="shared" si="17"/>
        <v>305.12722775995996</v>
      </c>
      <c r="L157" s="10">
        <f t="shared" si="14"/>
        <v>0.18738099189610227</v>
      </c>
      <c r="M157" s="10">
        <f t="shared" si="18"/>
        <v>0.23165922272981865</v>
      </c>
      <c r="P157" s="8">
        <f t="shared" si="19"/>
        <v>-9.9388459624143604</v>
      </c>
    </row>
    <row r="158" spans="1:16" x14ac:dyDescent="0.2">
      <c r="A158" s="8">
        <v>78</v>
      </c>
      <c r="B158" s="8">
        <v>156</v>
      </c>
      <c r="D158">
        <v>1714.2676258992999</v>
      </c>
      <c r="E158">
        <v>419.98992805755</v>
      </c>
      <c r="F158">
        <v>165.57108433734999</v>
      </c>
      <c r="G158">
        <v>125.04626506024</v>
      </c>
      <c r="I158" s="9">
        <f t="shared" si="15"/>
        <v>294.94366299731001</v>
      </c>
      <c r="J158" s="9">
        <f t="shared" si="16"/>
        <v>1548.69654156195</v>
      </c>
      <c r="K158" s="9">
        <f t="shared" si="17"/>
        <v>294.94366299731001</v>
      </c>
      <c r="L158" s="10">
        <f t="shared" si="14"/>
        <v>0.19044638835432684</v>
      </c>
      <c r="M158" s="10">
        <f t="shared" si="18"/>
        <v>0.23501028519342204</v>
      </c>
      <c r="P158" s="8">
        <f t="shared" si="19"/>
        <v>-8.6360679026082003</v>
      </c>
    </row>
    <row r="159" spans="1:16" x14ac:dyDescent="0.2">
      <c r="A159" s="8">
        <v>78.5</v>
      </c>
      <c r="B159" s="8">
        <v>157</v>
      </c>
      <c r="D159">
        <v>1716.6565947242</v>
      </c>
      <c r="E159">
        <v>421.29832134293002</v>
      </c>
      <c r="F159">
        <v>164.98072289157</v>
      </c>
      <c r="G159">
        <v>125.17493975904</v>
      </c>
      <c r="I159" s="9">
        <f t="shared" si="15"/>
        <v>296.12338158389002</v>
      </c>
      <c r="J159" s="9">
        <f t="shared" si="16"/>
        <v>1551.67587183263</v>
      </c>
      <c r="K159" s="9">
        <f t="shared" si="17"/>
        <v>296.12338158389002</v>
      </c>
      <c r="L159" s="10">
        <f t="shared" si="14"/>
        <v>0.19084100420672848</v>
      </c>
      <c r="M159" s="10">
        <f t="shared" si="18"/>
        <v>0.2356905670512025</v>
      </c>
      <c r="P159" s="8">
        <f t="shared" si="19"/>
        <v>-8.3715976671451564</v>
      </c>
    </row>
    <row r="160" spans="1:16" x14ac:dyDescent="0.2">
      <c r="A160" s="8">
        <v>79</v>
      </c>
      <c r="B160" s="8">
        <v>158</v>
      </c>
      <c r="D160">
        <v>1707.1035971223</v>
      </c>
      <c r="E160">
        <v>414.49688249400998</v>
      </c>
      <c r="F160">
        <v>165.17397590361</v>
      </c>
      <c r="G160">
        <v>125.07228915663001</v>
      </c>
      <c r="I160" s="9">
        <f t="shared" si="15"/>
        <v>289.42459333737997</v>
      </c>
      <c r="J160" s="9">
        <f t="shared" si="16"/>
        <v>1541.92962121869</v>
      </c>
      <c r="K160" s="9">
        <f t="shared" si="17"/>
        <v>289.42459333737997</v>
      </c>
      <c r="L160" s="10">
        <f t="shared" si="14"/>
        <v>0.1877028557948244</v>
      </c>
      <c r="M160" s="10">
        <f t="shared" si="18"/>
        <v>0.23283808464467723</v>
      </c>
      <c r="P160" s="8">
        <f t="shared" si="19"/>
        <v>-9.4805449146423673</v>
      </c>
    </row>
    <row r="161" spans="1:16" x14ac:dyDescent="0.2">
      <c r="A161" s="8">
        <v>79.5</v>
      </c>
      <c r="B161" s="8">
        <v>159</v>
      </c>
      <c r="D161">
        <v>1764.9995178398999</v>
      </c>
      <c r="E161">
        <v>430.89778206365003</v>
      </c>
      <c r="F161">
        <v>164.64530120481999</v>
      </c>
      <c r="G161">
        <v>125.04</v>
      </c>
      <c r="I161" s="9">
        <f t="shared" si="15"/>
        <v>305.85778206365001</v>
      </c>
      <c r="J161" s="9">
        <f t="shared" si="16"/>
        <v>1600.3542166350799</v>
      </c>
      <c r="K161" s="9">
        <f t="shared" si="17"/>
        <v>305.85778206365001</v>
      </c>
      <c r="L161" s="10">
        <f t="shared" si="14"/>
        <v>0.19111880287774635</v>
      </c>
      <c r="M161" s="10">
        <f t="shared" si="18"/>
        <v>0.236539697732978</v>
      </c>
      <c r="P161" s="8">
        <f t="shared" si="19"/>
        <v>-8.0414848046902296</v>
      </c>
    </row>
    <row r="162" spans="1:16" x14ac:dyDescent="0.2">
      <c r="A162" s="8">
        <v>80</v>
      </c>
      <c r="B162" s="4">
        <v>160</v>
      </c>
      <c r="C162" s="4" t="s">
        <v>6</v>
      </c>
      <c r="D162">
        <v>1764.7714561234</v>
      </c>
      <c r="E162">
        <v>438.02169720347001</v>
      </c>
      <c r="F162">
        <v>164.85445783133</v>
      </c>
      <c r="G162">
        <v>125.24722891566</v>
      </c>
      <c r="H162" s="4"/>
      <c r="I162" s="5">
        <f t="shared" si="15"/>
        <v>312.77446828781001</v>
      </c>
      <c r="J162" s="5">
        <f t="shared" si="16"/>
        <v>1599.91699829207</v>
      </c>
      <c r="K162" s="9">
        <f t="shared" si="17"/>
        <v>312.77446828781001</v>
      </c>
      <c r="L162" s="6">
        <f t="shared" si="14"/>
        <v>0.19549418414936548</v>
      </c>
      <c r="M162" s="6">
        <f t="shared" si="18"/>
        <v>0.24120074500997596</v>
      </c>
      <c r="N162" s="4"/>
      <c r="O162" s="4"/>
      <c r="P162" s="4">
        <f t="shared" si="19"/>
        <v>-6.2294296149870112</v>
      </c>
    </row>
    <row r="163" spans="1:16" x14ac:dyDescent="0.2">
      <c r="A163" s="8">
        <v>80.5</v>
      </c>
      <c r="B163" s="8">
        <v>161</v>
      </c>
      <c r="D163">
        <v>1783.5077145611999</v>
      </c>
      <c r="E163">
        <v>451.19431051109001</v>
      </c>
      <c r="F163">
        <v>164.94216867470001</v>
      </c>
      <c r="G163">
        <v>124.97975903615</v>
      </c>
      <c r="I163" s="9">
        <f t="shared" si="15"/>
        <v>326.21455147493998</v>
      </c>
      <c r="J163" s="9">
        <f t="shared" si="16"/>
        <v>1618.5655458864999</v>
      </c>
      <c r="K163" s="9">
        <f t="shared" si="17"/>
        <v>326.21455147493998</v>
      </c>
      <c r="L163" s="10">
        <f t="shared" si="14"/>
        <v>0.20154546864289635</v>
      </c>
      <c r="M163" s="10">
        <f t="shared" si="18"/>
        <v>0.24753769550888563</v>
      </c>
      <c r="P163" s="8">
        <f t="shared" si="19"/>
        <v>-3.7658407783945873</v>
      </c>
    </row>
    <row r="164" spans="1:16" x14ac:dyDescent="0.2">
      <c r="A164" s="8">
        <v>81</v>
      </c>
      <c r="B164" s="8">
        <v>162</v>
      </c>
      <c r="D164">
        <v>1798.968659595</v>
      </c>
      <c r="E164">
        <v>441.65332690452999</v>
      </c>
      <c r="F164">
        <v>165.23855421687</v>
      </c>
      <c r="G164">
        <v>124.72867469880001</v>
      </c>
      <c r="I164" s="9">
        <f t="shared" si="15"/>
        <v>316.92465220573001</v>
      </c>
      <c r="J164" s="9">
        <f t="shared" si="16"/>
        <v>1633.73010537813</v>
      </c>
      <c r="K164" s="9">
        <f t="shared" si="17"/>
        <v>316.92465220573001</v>
      </c>
      <c r="L164" s="10">
        <f t="shared" si="14"/>
        <v>0.19398837737177965</v>
      </c>
      <c r="M164" s="10">
        <f t="shared" si="18"/>
        <v>0.24026627024314776</v>
      </c>
      <c r="P164" s="8">
        <f t="shared" si="19"/>
        <v>-6.5927213282537283</v>
      </c>
    </row>
    <row r="165" spans="1:16" x14ac:dyDescent="0.2">
      <c r="A165" s="8">
        <v>81.5</v>
      </c>
      <c r="B165" s="8">
        <v>163</v>
      </c>
      <c r="D165">
        <v>1749.6769527483</v>
      </c>
      <c r="E165">
        <v>426.23625843780002</v>
      </c>
      <c r="F165">
        <v>164.66361445782999</v>
      </c>
      <c r="G165">
        <v>125.34602409639</v>
      </c>
      <c r="I165" s="9">
        <f t="shared" si="15"/>
        <v>300.89023434141001</v>
      </c>
      <c r="J165" s="9">
        <f t="shared" si="16"/>
        <v>1585.0133382904701</v>
      </c>
      <c r="K165" s="9">
        <f t="shared" si="17"/>
        <v>300.89023434141001</v>
      </c>
      <c r="L165" s="10">
        <f t="shared" si="14"/>
        <v>0.18983451247542041</v>
      </c>
      <c r="M165" s="10">
        <f t="shared" si="18"/>
        <v>0.23639807135216731</v>
      </c>
      <c r="P165" s="8">
        <f t="shared" si="19"/>
        <v>-8.0965442801890912</v>
      </c>
    </row>
    <row r="166" spans="1:16" x14ac:dyDescent="0.2">
      <c r="A166" s="8">
        <v>82</v>
      </c>
      <c r="B166" s="8">
        <v>164</v>
      </c>
      <c r="D166">
        <v>1754.350048216</v>
      </c>
      <c r="E166">
        <v>422.20684667310002</v>
      </c>
      <c r="F166">
        <v>164.77204819277</v>
      </c>
      <c r="G166">
        <v>124.96771084337</v>
      </c>
      <c r="I166" s="9">
        <f t="shared" si="15"/>
        <v>297.23913582973</v>
      </c>
      <c r="J166" s="9">
        <f t="shared" si="16"/>
        <v>1589.5780000232301</v>
      </c>
      <c r="K166" s="9">
        <f t="shared" si="17"/>
        <v>297.23913582973</v>
      </c>
      <c r="L166" s="10">
        <f t="shared" si="14"/>
        <v>0.18699248217161168</v>
      </c>
      <c r="M166" s="10">
        <f t="shared" si="18"/>
        <v>0.23384170705373741</v>
      </c>
      <c r="P166" s="8">
        <f t="shared" si="19"/>
        <v>-9.0903709715856742</v>
      </c>
    </row>
    <row r="167" spans="1:16" x14ac:dyDescent="0.2">
      <c r="A167" s="8">
        <v>82.5</v>
      </c>
      <c r="B167" s="8">
        <v>165</v>
      </c>
      <c r="D167">
        <v>1786.5927710843</v>
      </c>
      <c r="E167">
        <v>431.23277108434002</v>
      </c>
      <c r="F167">
        <v>164.64626506024001</v>
      </c>
      <c r="G167">
        <v>124.81060240964</v>
      </c>
      <c r="I167" s="9">
        <f t="shared" si="15"/>
        <v>306.4221686747</v>
      </c>
      <c r="J167" s="9">
        <f t="shared" si="16"/>
        <v>1621.94650602406</v>
      </c>
      <c r="K167" s="9">
        <f t="shared" si="17"/>
        <v>306.4221686747</v>
      </c>
      <c r="L167" s="10">
        <f t="shared" si="14"/>
        <v>0.18892248760154517</v>
      </c>
      <c r="M167" s="10">
        <f t="shared" si="18"/>
        <v>0.23605737848904973</v>
      </c>
      <c r="P167" s="8">
        <f t="shared" si="19"/>
        <v>-8.2289939710029287</v>
      </c>
    </row>
    <row r="168" spans="1:16" x14ac:dyDescent="0.2">
      <c r="A168" s="8">
        <v>83</v>
      </c>
      <c r="B168" s="8">
        <v>166</v>
      </c>
      <c r="D168">
        <v>1859.7012048193001</v>
      </c>
      <c r="E168">
        <v>443.54843373493998</v>
      </c>
      <c r="F168">
        <v>164.6934939759</v>
      </c>
      <c r="G168">
        <v>124.97156626506001</v>
      </c>
      <c r="I168" s="9">
        <f t="shared" si="15"/>
        <v>318.57686746987997</v>
      </c>
      <c r="J168" s="9">
        <f t="shared" si="16"/>
        <v>1695.0077108434</v>
      </c>
      <c r="K168" s="9">
        <f t="shared" si="17"/>
        <v>318.57686746987997</v>
      </c>
      <c r="L168" s="10">
        <f t="shared" si="14"/>
        <v>0.18795009924253553</v>
      </c>
      <c r="M168" s="10">
        <f t="shared" si="18"/>
        <v>0.23537065613541888</v>
      </c>
      <c r="P168" s="8">
        <f t="shared" si="19"/>
        <v>-8.4959680501810002</v>
      </c>
    </row>
    <row r="169" spans="1:16" x14ac:dyDescent="0.2">
      <c r="A169" s="8">
        <v>83.5</v>
      </c>
      <c r="B169" s="8">
        <v>167</v>
      </c>
      <c r="D169">
        <v>1484.6810758885999</v>
      </c>
      <c r="E169">
        <v>376.33141210374998</v>
      </c>
      <c r="F169">
        <v>164.65493975903999</v>
      </c>
      <c r="G169">
        <v>124.7686746988</v>
      </c>
      <c r="I169" s="9">
        <f t="shared" si="15"/>
        <v>251.56273740494998</v>
      </c>
      <c r="J169" s="9">
        <f t="shared" si="16"/>
        <v>1320.02613612956</v>
      </c>
      <c r="K169" s="9">
        <f t="shared" si="17"/>
        <v>251.56273740494998</v>
      </c>
      <c r="L169" s="10">
        <f t="shared" si="14"/>
        <v>0.19057405798233318</v>
      </c>
      <c r="M169" s="10">
        <f t="shared" si="18"/>
        <v>0.23828028088059536</v>
      </c>
      <c r="P169" s="8">
        <f t="shared" si="19"/>
        <v>-7.3648058228410251</v>
      </c>
    </row>
    <row r="170" spans="1:16" x14ac:dyDescent="0.2">
      <c r="A170" s="8">
        <v>84</v>
      </c>
      <c r="B170" s="8">
        <v>168</v>
      </c>
      <c r="D170">
        <v>1288.5979827089</v>
      </c>
      <c r="E170">
        <v>335.18731988473002</v>
      </c>
      <c r="F170">
        <v>165.06265060241</v>
      </c>
      <c r="G170">
        <v>125.11614457831</v>
      </c>
      <c r="I170" s="9">
        <f t="shared" si="15"/>
        <v>210.07117530642</v>
      </c>
      <c r="J170" s="9">
        <f t="shared" si="16"/>
        <v>1123.5353321064899</v>
      </c>
      <c r="K170" s="9">
        <f t="shared" si="17"/>
        <v>210.07117530642</v>
      </c>
      <c r="L170" s="10">
        <f t="shared" si="14"/>
        <v>0.18697335927350189</v>
      </c>
      <c r="M170" s="10">
        <f t="shared" si="18"/>
        <v>0.23496524817714287</v>
      </c>
      <c r="P170" s="8">
        <f t="shared" si="19"/>
        <v>-8.6535767486308863</v>
      </c>
    </row>
    <row r="171" spans="1:16" x14ac:dyDescent="0.2">
      <c r="A171" s="8">
        <v>84.5</v>
      </c>
      <c r="B171" s="8">
        <v>169</v>
      </c>
      <c r="D171">
        <v>1327.8150816523</v>
      </c>
      <c r="E171">
        <v>343.06195965417999</v>
      </c>
      <c r="F171">
        <v>164.19325301205001</v>
      </c>
      <c r="G171">
        <v>124.90265060241001</v>
      </c>
      <c r="I171" s="9">
        <f t="shared" si="15"/>
        <v>218.15930905176998</v>
      </c>
      <c r="J171" s="9">
        <f t="shared" si="16"/>
        <v>1163.62182864025</v>
      </c>
      <c r="K171" s="9">
        <f t="shared" si="17"/>
        <v>218.15930905176998</v>
      </c>
      <c r="L171" s="10">
        <f t="shared" si="14"/>
        <v>0.18748299806879695</v>
      </c>
      <c r="M171" s="10">
        <f t="shared" si="18"/>
        <v>0.23576055297781676</v>
      </c>
      <c r="P171" s="8">
        <f t="shared" si="19"/>
        <v>-8.3443895411616698</v>
      </c>
    </row>
    <row r="172" spans="1:16" x14ac:dyDescent="0.2">
      <c r="A172" s="8">
        <v>85</v>
      </c>
      <c r="B172" s="8">
        <v>170</v>
      </c>
      <c r="D172">
        <v>1292.5888568683999</v>
      </c>
      <c r="E172">
        <v>337.89817483189</v>
      </c>
      <c r="F172">
        <v>164.46361445783</v>
      </c>
      <c r="G172">
        <v>124.93590361446</v>
      </c>
      <c r="I172" s="9">
        <f t="shared" si="15"/>
        <v>212.96227121742999</v>
      </c>
      <c r="J172" s="9">
        <f t="shared" si="16"/>
        <v>1128.1252424105699</v>
      </c>
      <c r="K172" s="9">
        <f t="shared" si="17"/>
        <v>212.96227121742999</v>
      </c>
      <c r="L172" s="10">
        <f t="shared" si="14"/>
        <v>0.18877537990584606</v>
      </c>
      <c r="M172" s="10">
        <f t="shared" si="18"/>
        <v>0.23733860082024466</v>
      </c>
      <c r="P172" s="8">
        <f t="shared" si="19"/>
        <v>-7.7308987069058155</v>
      </c>
    </row>
    <row r="173" spans="1:16" x14ac:dyDescent="0.2">
      <c r="A173" s="8">
        <v>85.5</v>
      </c>
      <c r="B173" s="8">
        <v>171</v>
      </c>
      <c r="D173">
        <v>1388.6935638809</v>
      </c>
      <c r="E173">
        <v>358.69788664744999</v>
      </c>
      <c r="F173">
        <v>164.14120481928001</v>
      </c>
      <c r="G173">
        <v>125.00096385542</v>
      </c>
      <c r="I173" s="9">
        <f t="shared" si="15"/>
        <v>233.69692279202999</v>
      </c>
      <c r="J173" s="9">
        <f t="shared" si="16"/>
        <v>1224.5523590616199</v>
      </c>
      <c r="K173" s="9">
        <f t="shared" si="17"/>
        <v>233.69692279202999</v>
      </c>
      <c r="L173" s="10">
        <f t="shared" si="14"/>
        <v>0.19084273617431355</v>
      </c>
      <c r="M173" s="10">
        <f t="shared" si="18"/>
        <v>0.23969162309409098</v>
      </c>
      <c r="P173" s="8">
        <f t="shared" si="19"/>
        <v>-6.8161244149023483</v>
      </c>
    </row>
    <row r="174" spans="1:16" x14ac:dyDescent="0.2">
      <c r="A174" s="8">
        <v>86</v>
      </c>
      <c r="B174" s="8">
        <v>172</v>
      </c>
      <c r="D174">
        <v>1566.3693563881</v>
      </c>
      <c r="E174">
        <v>380.05763688760999</v>
      </c>
      <c r="F174">
        <v>164.47132530120999</v>
      </c>
      <c r="G174">
        <v>124.87132530121001</v>
      </c>
      <c r="I174" s="9">
        <f t="shared" si="15"/>
        <v>255.1863115864</v>
      </c>
      <c r="J174" s="9">
        <f t="shared" si="16"/>
        <v>1401.8980310868899</v>
      </c>
      <c r="K174" s="9">
        <f t="shared" si="17"/>
        <v>255.1863115864</v>
      </c>
      <c r="L174" s="10">
        <f t="shared" si="14"/>
        <v>0.1820291532819647</v>
      </c>
      <c r="M174" s="10">
        <f t="shared" si="18"/>
        <v>0.23116370620712096</v>
      </c>
      <c r="P174" s="8">
        <f t="shared" si="19"/>
        <v>-10.131485777712772</v>
      </c>
    </row>
    <row r="175" spans="1:16" x14ac:dyDescent="0.2">
      <c r="A175" s="8">
        <v>86.5</v>
      </c>
      <c r="B175" s="8">
        <v>173</v>
      </c>
      <c r="D175">
        <v>1614.239673391</v>
      </c>
      <c r="E175">
        <v>384.19548511046997</v>
      </c>
      <c r="F175">
        <v>164.85060240964</v>
      </c>
      <c r="G175">
        <v>124.85831325301</v>
      </c>
      <c r="I175" s="9">
        <f t="shared" si="15"/>
        <v>259.33717185745996</v>
      </c>
      <c r="J175" s="9">
        <f t="shared" si="16"/>
        <v>1449.38907098136</v>
      </c>
      <c r="K175" s="9">
        <f t="shared" si="17"/>
        <v>259.33717185745996</v>
      </c>
      <c r="L175" s="10">
        <f t="shared" si="14"/>
        <v>0.17892861002592395</v>
      </c>
      <c r="M175" s="10">
        <f t="shared" si="18"/>
        <v>0.22834882895645903</v>
      </c>
      <c r="P175" s="8">
        <f t="shared" si="19"/>
        <v>-11.225813431416535</v>
      </c>
    </row>
    <row r="176" spans="1:16" x14ac:dyDescent="0.2">
      <c r="A176" s="8">
        <v>87</v>
      </c>
      <c r="B176" s="8">
        <v>174</v>
      </c>
      <c r="D176">
        <v>1466.2324687800001</v>
      </c>
      <c r="E176">
        <v>355.18395773294998</v>
      </c>
      <c r="F176">
        <v>164.13253012048</v>
      </c>
      <c r="G176">
        <v>124.82361445783</v>
      </c>
      <c r="I176" s="9">
        <f t="shared" si="15"/>
        <v>230.36034327511999</v>
      </c>
      <c r="J176" s="9">
        <f t="shared" si="16"/>
        <v>1302.0999386595201</v>
      </c>
      <c r="K176" s="9">
        <f t="shared" si="17"/>
        <v>230.36034327511999</v>
      </c>
      <c r="L176" s="10">
        <f t="shared" si="14"/>
        <v>0.17691448746420363</v>
      </c>
      <c r="M176" s="10">
        <f t="shared" si="18"/>
        <v>0.22662037240011751</v>
      </c>
      <c r="P176" s="8">
        <f t="shared" si="19"/>
        <v>-11.89777801082592</v>
      </c>
    </row>
    <row r="177" spans="1:16" x14ac:dyDescent="0.2">
      <c r="A177" s="8">
        <v>87.5</v>
      </c>
      <c r="B177" s="8">
        <v>175</v>
      </c>
      <c r="D177">
        <v>1845.114533205</v>
      </c>
      <c r="E177">
        <v>421.94562078922002</v>
      </c>
      <c r="F177">
        <v>164.46602409638999</v>
      </c>
      <c r="G177">
        <v>124.76963855421999</v>
      </c>
      <c r="I177" s="9">
        <f t="shared" si="15"/>
        <v>297.17598223499999</v>
      </c>
      <c r="J177" s="9">
        <f t="shared" si="16"/>
        <v>1680.6485091086101</v>
      </c>
      <c r="K177" s="9">
        <f t="shared" si="17"/>
        <v>297.17598223499999</v>
      </c>
      <c r="L177" s="10">
        <f t="shared" si="14"/>
        <v>0.17682220917960861</v>
      </c>
      <c r="M177" s="10">
        <f t="shared" si="18"/>
        <v>0.22681376012090132</v>
      </c>
      <c r="P177" s="8">
        <f t="shared" si="19"/>
        <v>-11.822595503066232</v>
      </c>
    </row>
    <row r="178" spans="1:16" x14ac:dyDescent="0.2">
      <c r="A178" s="8">
        <v>88</v>
      </c>
      <c r="B178" s="8">
        <v>176</v>
      </c>
      <c r="D178">
        <v>1826.3108758421999</v>
      </c>
      <c r="E178">
        <v>424.77718960538999</v>
      </c>
      <c r="F178">
        <v>165.07710843373999</v>
      </c>
      <c r="G178">
        <v>124.87903614458</v>
      </c>
      <c r="I178" s="9">
        <f t="shared" si="15"/>
        <v>299.89815346081002</v>
      </c>
      <c r="J178" s="9">
        <f t="shared" si="16"/>
        <v>1661.2337674084599</v>
      </c>
      <c r="K178" s="9">
        <f t="shared" si="17"/>
        <v>299.89815346081002</v>
      </c>
      <c r="L178" s="10">
        <f t="shared" si="14"/>
        <v>0.18052736426653182</v>
      </c>
      <c r="M178" s="10">
        <f t="shared" si="18"/>
        <v>0.23080458121320332</v>
      </c>
      <c r="P178" s="8">
        <f t="shared" si="19"/>
        <v>-10.271101248294249</v>
      </c>
    </row>
    <row r="179" spans="1:16" x14ac:dyDescent="0.2">
      <c r="A179" s="8">
        <v>88.5</v>
      </c>
      <c r="B179" s="8">
        <v>177</v>
      </c>
      <c r="D179">
        <v>1824.5991337825001</v>
      </c>
      <c r="E179">
        <v>426.93214629451001</v>
      </c>
      <c r="F179">
        <v>164.66506024096</v>
      </c>
      <c r="G179">
        <v>125.17204819277001</v>
      </c>
      <c r="I179" s="9">
        <f t="shared" si="15"/>
        <v>301.76009810174003</v>
      </c>
      <c r="J179" s="9">
        <f t="shared" si="16"/>
        <v>1659.9340735415401</v>
      </c>
      <c r="K179" s="9">
        <f t="shared" si="17"/>
        <v>301.76009810174003</v>
      </c>
      <c r="L179" s="10">
        <f t="shared" si="14"/>
        <v>0.18179041138538835</v>
      </c>
      <c r="M179" s="10">
        <f t="shared" si="18"/>
        <v>0.23235329433743868</v>
      </c>
      <c r="P179" s="8">
        <f t="shared" si="19"/>
        <v>-9.6690147455502462</v>
      </c>
    </row>
    <row r="180" spans="1:16" x14ac:dyDescent="0.2">
      <c r="A180" s="8">
        <v>89</v>
      </c>
      <c r="B180" s="8">
        <v>178</v>
      </c>
      <c r="D180">
        <v>1749.0149181905999</v>
      </c>
      <c r="E180">
        <v>408.02502406159999</v>
      </c>
      <c r="F180">
        <v>164.65879518072001</v>
      </c>
      <c r="G180">
        <v>124.78746987952</v>
      </c>
      <c r="I180" s="9">
        <f t="shared" si="15"/>
        <v>283.23755418207998</v>
      </c>
      <c r="J180" s="9">
        <f t="shared" si="16"/>
        <v>1584.3561230098799</v>
      </c>
      <c r="K180" s="9">
        <f t="shared" si="17"/>
        <v>283.23755418207998</v>
      </c>
      <c r="L180" s="10">
        <f t="shared" si="14"/>
        <v>0.17877139493360847</v>
      </c>
      <c r="M180" s="10">
        <f t="shared" si="18"/>
        <v>0.22961994389103763</v>
      </c>
      <c r="P180" s="8">
        <f t="shared" si="19"/>
        <v>-10.731647576184976</v>
      </c>
    </row>
    <row r="181" spans="1:16" x14ac:dyDescent="0.2">
      <c r="A181" s="8">
        <v>89.5</v>
      </c>
      <c r="B181" s="8">
        <v>179</v>
      </c>
      <c r="D181">
        <v>1667.0360923965</v>
      </c>
      <c r="E181">
        <v>390.56689124157998</v>
      </c>
      <c r="F181">
        <v>164.47228915663001</v>
      </c>
      <c r="G181">
        <v>125.1421686747</v>
      </c>
      <c r="I181" s="9">
        <f t="shared" si="15"/>
        <v>265.42472256687995</v>
      </c>
      <c r="J181" s="9">
        <f t="shared" si="16"/>
        <v>1502.5638032398699</v>
      </c>
      <c r="K181" s="9">
        <f t="shared" si="17"/>
        <v>265.42472256687995</v>
      </c>
      <c r="L181" s="10">
        <f t="shared" si="14"/>
        <v>0.17664788809271445</v>
      </c>
      <c r="M181" s="10">
        <f t="shared" si="18"/>
        <v>0.22778210305552241</v>
      </c>
      <c r="P181" s="8">
        <f t="shared" si="19"/>
        <v>-11.446137008694828</v>
      </c>
    </row>
    <row r="182" spans="1:16" x14ac:dyDescent="0.2">
      <c r="A182" s="8">
        <v>90</v>
      </c>
      <c r="B182" s="8">
        <v>180</v>
      </c>
      <c r="D182">
        <v>1637.3594802695</v>
      </c>
      <c r="E182">
        <v>383.94177093359002</v>
      </c>
      <c r="F182">
        <v>164.97301204818999</v>
      </c>
      <c r="G182">
        <v>125.0043373494</v>
      </c>
      <c r="I182" s="9">
        <f t="shared" si="15"/>
        <v>258.93743358418999</v>
      </c>
      <c r="J182" s="9">
        <f t="shared" si="16"/>
        <v>1472.38646822131</v>
      </c>
      <c r="K182" s="9">
        <f t="shared" si="17"/>
        <v>258.93743358418999</v>
      </c>
      <c r="L182" s="10">
        <f t="shared" si="14"/>
        <v>0.1758624105646629</v>
      </c>
      <c r="M182" s="10">
        <f>L182+ABS($N$2)*A182</f>
        <v>0.22728229153284968</v>
      </c>
      <c r="P182" s="8">
        <f t="shared" si="19"/>
        <v>-11.6404465725566</v>
      </c>
    </row>
    <row r="183" spans="1:16" x14ac:dyDescent="0.2">
      <c r="A183" s="8">
        <v>90.5</v>
      </c>
      <c r="B183" s="8">
        <v>181</v>
      </c>
      <c r="D183">
        <v>1602.9008662174999</v>
      </c>
      <c r="E183">
        <v>384.05582290664</v>
      </c>
      <c r="F183">
        <v>164.29349397589999</v>
      </c>
      <c r="G183">
        <v>125.12096385542</v>
      </c>
      <c r="I183" s="9">
        <f t="shared" si="15"/>
        <v>258.93485905121997</v>
      </c>
      <c r="J183" s="9">
        <f t="shared" si="16"/>
        <v>1438.6073722415999</v>
      </c>
      <c r="K183" s="9">
        <f t="shared" si="17"/>
        <v>258.93485905121997</v>
      </c>
      <c r="L183" s="10">
        <f t="shared" si="14"/>
        <v>0.17998994308485611</v>
      </c>
      <c r="M183" s="10">
        <f t="shared" ref="M183:M241" si="20">L183+ABS($N$2)*A183</f>
        <v>0.23169549005842169</v>
      </c>
      <c r="P183" s="8">
        <f t="shared" si="19"/>
        <v>-9.9247464699384693</v>
      </c>
    </row>
    <row r="184" spans="1:16" x14ac:dyDescent="0.2">
      <c r="A184" s="8">
        <v>91</v>
      </c>
      <c r="B184" s="8">
        <v>182</v>
      </c>
      <c r="D184">
        <v>1593.1116458132999</v>
      </c>
      <c r="E184">
        <v>379.38546679500001</v>
      </c>
      <c r="F184">
        <v>164.29734939759001</v>
      </c>
      <c r="G184">
        <v>124.46554216868</v>
      </c>
      <c r="I184" s="9">
        <f t="shared" si="15"/>
        <v>254.91992462632001</v>
      </c>
      <c r="J184" s="9">
        <f t="shared" si="16"/>
        <v>1428.8142964157098</v>
      </c>
      <c r="K184" s="9">
        <f t="shared" si="17"/>
        <v>254.91992462632001</v>
      </c>
      <c r="L184" s="10">
        <f t="shared" si="14"/>
        <v>0.17841361558727833</v>
      </c>
      <c r="M184" s="10">
        <f t="shared" si="20"/>
        <v>0.23040482856622274</v>
      </c>
      <c r="P184" s="8">
        <f t="shared" si="19"/>
        <v>-10.426511355832423</v>
      </c>
    </row>
    <row r="185" spans="1:16" x14ac:dyDescent="0.2">
      <c r="A185" s="8">
        <v>91.5</v>
      </c>
      <c r="B185" s="8">
        <v>183</v>
      </c>
      <c r="D185">
        <v>1529.4667949952</v>
      </c>
      <c r="E185">
        <v>366.27863330125001</v>
      </c>
      <c r="F185">
        <v>164.37397590360999</v>
      </c>
      <c r="G185">
        <v>124.55518072289</v>
      </c>
      <c r="I185" s="9">
        <f t="shared" si="15"/>
        <v>241.72345257836002</v>
      </c>
      <c r="J185" s="9">
        <f t="shared" si="16"/>
        <v>1365.0928190915899</v>
      </c>
      <c r="K185" s="9">
        <f t="shared" si="17"/>
        <v>241.72345257836002</v>
      </c>
      <c r="L185" s="10">
        <f t="shared" si="14"/>
        <v>0.17707473748137983</v>
      </c>
      <c r="M185" s="10">
        <f t="shared" si="20"/>
        <v>0.22935161646570307</v>
      </c>
      <c r="P185" s="8">
        <f t="shared" si="19"/>
        <v>-10.835964068750217</v>
      </c>
    </row>
    <row r="186" spans="1:16" x14ac:dyDescent="0.2">
      <c r="A186" s="8">
        <v>92</v>
      </c>
      <c r="B186" s="8">
        <v>184</v>
      </c>
      <c r="D186">
        <v>1476.0673724735</v>
      </c>
      <c r="E186">
        <v>359.45717035611</v>
      </c>
      <c r="F186">
        <v>164.33975903615001</v>
      </c>
      <c r="G186">
        <v>124.43325301205</v>
      </c>
      <c r="I186" s="9">
        <f t="shared" si="15"/>
        <v>235.02391734406001</v>
      </c>
      <c r="J186" s="9">
        <f t="shared" si="16"/>
        <v>1311.7276134373499</v>
      </c>
      <c r="K186" s="9">
        <f t="shared" si="17"/>
        <v>235.02391734406001</v>
      </c>
      <c r="L186" s="10">
        <f t="shared" si="14"/>
        <v>0.17917128139750418</v>
      </c>
      <c r="M186" s="10">
        <f t="shared" si="20"/>
        <v>0.23173382638720622</v>
      </c>
      <c r="P186" s="8">
        <f t="shared" si="19"/>
        <v>-9.9098426212109541</v>
      </c>
    </row>
    <row r="187" spans="1:16" x14ac:dyDescent="0.2">
      <c r="A187" s="8">
        <v>92.5</v>
      </c>
      <c r="B187" s="8">
        <v>185</v>
      </c>
      <c r="D187">
        <v>1505.7324350337001</v>
      </c>
      <c r="E187">
        <v>366.57410972089002</v>
      </c>
      <c r="F187">
        <v>164.61686746987999</v>
      </c>
      <c r="G187">
        <v>124.98554216868</v>
      </c>
      <c r="I187" s="9">
        <f t="shared" si="15"/>
        <v>241.58856755221001</v>
      </c>
      <c r="J187" s="9">
        <f t="shared" si="16"/>
        <v>1341.1155675638202</v>
      </c>
      <c r="K187" s="9">
        <f t="shared" si="17"/>
        <v>241.58856755221001</v>
      </c>
      <c r="L187" s="10">
        <f t="shared" si="14"/>
        <v>0.18014000686835921</v>
      </c>
      <c r="M187" s="10">
        <f t="shared" si="20"/>
        <v>0.23298821786344007</v>
      </c>
      <c r="P187" s="8">
        <f t="shared" si="19"/>
        <v>-9.4221782725470167</v>
      </c>
    </row>
    <row r="188" spans="1:16" x14ac:dyDescent="0.2">
      <c r="A188" s="8">
        <v>93</v>
      </c>
      <c r="B188" s="8">
        <v>186</v>
      </c>
      <c r="D188">
        <v>1494.4023099133999</v>
      </c>
      <c r="E188">
        <v>365.66602502405999</v>
      </c>
      <c r="F188">
        <v>163.46313253011999</v>
      </c>
      <c r="G188">
        <v>124.79807228916</v>
      </c>
      <c r="I188" s="9">
        <f t="shared" si="15"/>
        <v>240.86795273489997</v>
      </c>
      <c r="J188" s="9">
        <f t="shared" si="16"/>
        <v>1330.9391773832799</v>
      </c>
      <c r="K188" s="9">
        <f t="shared" si="17"/>
        <v>240.86795273489997</v>
      </c>
      <c r="L188" s="10">
        <f t="shared" si="14"/>
        <v>0.18097592799729836</v>
      </c>
      <c r="M188" s="10">
        <f t="shared" si="20"/>
        <v>0.23410980499775802</v>
      </c>
      <c r="P188" s="8">
        <f t="shared" si="19"/>
        <v>-8.9861436934782954</v>
      </c>
    </row>
    <row r="189" spans="1:16" x14ac:dyDescent="0.2">
      <c r="A189" s="8">
        <v>93.5</v>
      </c>
      <c r="B189" s="8">
        <v>187</v>
      </c>
      <c r="D189">
        <v>1522.2622714147999</v>
      </c>
      <c r="E189">
        <v>369.65543792108002</v>
      </c>
      <c r="F189">
        <v>163.56771084337001</v>
      </c>
      <c r="G189">
        <v>124.51662650602</v>
      </c>
      <c r="I189" s="9">
        <f t="shared" si="15"/>
        <v>245.13881141506002</v>
      </c>
      <c r="J189" s="9">
        <f t="shared" si="16"/>
        <v>1358.69456057143</v>
      </c>
      <c r="K189" s="9">
        <f t="shared" si="17"/>
        <v>245.13881141506002</v>
      </c>
      <c r="L189" s="10">
        <f t="shared" si="14"/>
        <v>0.1804223101562733</v>
      </c>
      <c r="M189" s="10">
        <f t="shared" si="20"/>
        <v>0.23384185316211178</v>
      </c>
      <c r="P189" s="8">
        <f t="shared" si="19"/>
        <v>-9.090314169664925</v>
      </c>
    </row>
    <row r="190" spans="1:16" x14ac:dyDescent="0.2">
      <c r="A190" s="8">
        <v>94</v>
      </c>
      <c r="B190" s="8">
        <v>188</v>
      </c>
      <c r="D190">
        <v>1555.1251203080001</v>
      </c>
      <c r="E190">
        <v>370.92540904715997</v>
      </c>
      <c r="F190">
        <v>163.71180722892001</v>
      </c>
      <c r="G190">
        <v>124.46313253012001</v>
      </c>
      <c r="I190" s="9">
        <f t="shared" si="15"/>
        <v>246.46227651703998</v>
      </c>
      <c r="J190" s="9">
        <f t="shared" si="16"/>
        <v>1391.4133130790801</v>
      </c>
      <c r="K190" s="9">
        <f t="shared" si="17"/>
        <v>246.46227651703998</v>
      </c>
      <c r="L190" s="10">
        <f t="shared" si="14"/>
        <v>0.17713088857231055</v>
      </c>
      <c r="M190" s="10">
        <f t="shared" si="20"/>
        <v>0.23083609758352786</v>
      </c>
      <c r="P190" s="8">
        <f t="shared" si="19"/>
        <v>-10.258848765319231</v>
      </c>
    </row>
    <row r="191" spans="1:16" x14ac:dyDescent="0.2">
      <c r="A191" s="8">
        <v>94.5</v>
      </c>
      <c r="B191" s="8">
        <v>189</v>
      </c>
      <c r="D191">
        <v>1648.6588065448</v>
      </c>
      <c r="E191">
        <v>395.48075072184997</v>
      </c>
      <c r="F191">
        <v>163.38024096385999</v>
      </c>
      <c r="G191">
        <v>124.50987951806999</v>
      </c>
      <c r="I191" s="9">
        <f t="shared" si="15"/>
        <v>270.97087120378001</v>
      </c>
      <c r="J191" s="9">
        <f t="shared" si="16"/>
        <v>1485.27856558094</v>
      </c>
      <c r="K191" s="9">
        <f t="shared" si="17"/>
        <v>270.97087120378001</v>
      </c>
      <c r="L191" s="10">
        <f t="shared" si="14"/>
        <v>0.18243774432831367</v>
      </c>
      <c r="M191" s="10">
        <f t="shared" si="20"/>
        <v>0.23642861934490977</v>
      </c>
      <c r="P191" s="8">
        <f t="shared" si="19"/>
        <v>-8.0846682691781808</v>
      </c>
    </row>
    <row r="192" spans="1:16" x14ac:dyDescent="0.2">
      <c r="A192" s="8">
        <v>95</v>
      </c>
      <c r="B192" s="8">
        <v>190</v>
      </c>
      <c r="D192">
        <v>1690.635226179</v>
      </c>
      <c r="E192">
        <v>403.17276227142003</v>
      </c>
      <c r="F192">
        <v>163.97879518072</v>
      </c>
      <c r="G192">
        <v>124.13493975903999</v>
      </c>
      <c r="I192" s="9">
        <f t="shared" si="15"/>
        <v>279.03782251238005</v>
      </c>
      <c r="J192" s="9">
        <f t="shared" si="16"/>
        <v>1526.65643099828</v>
      </c>
      <c r="K192" s="9">
        <f t="shared" si="17"/>
        <v>279.03782251238005</v>
      </c>
      <c r="L192" s="10">
        <f t="shared" si="14"/>
        <v>0.18277709171926609</v>
      </c>
      <c r="M192" s="10">
        <f t="shared" si="20"/>
        <v>0.23705363274124103</v>
      </c>
      <c r="P192" s="8">
        <f t="shared" si="19"/>
        <v>-7.841684514423064</v>
      </c>
    </row>
    <row r="193" spans="1:16" x14ac:dyDescent="0.2">
      <c r="A193" s="8">
        <v>95.5</v>
      </c>
      <c r="B193" s="8">
        <v>191</v>
      </c>
      <c r="D193">
        <v>1739.8118383061001</v>
      </c>
      <c r="E193">
        <v>409.80702598652999</v>
      </c>
      <c r="F193">
        <v>164.12963855422001</v>
      </c>
      <c r="G193">
        <v>124.66024096386001</v>
      </c>
      <c r="I193" s="9">
        <f t="shared" si="15"/>
        <v>285.14678502266997</v>
      </c>
      <c r="J193" s="9">
        <f t="shared" si="16"/>
        <v>1575.68219975188</v>
      </c>
      <c r="K193" s="9">
        <f t="shared" si="17"/>
        <v>285.14678502266997</v>
      </c>
      <c r="L193" s="10">
        <f t="shared" si="14"/>
        <v>0.18096719317358001</v>
      </c>
      <c r="M193" s="10">
        <f t="shared" si="20"/>
        <v>0.23552940020093377</v>
      </c>
      <c r="P193" s="8">
        <f t="shared" si="19"/>
        <v>-8.4342538064378836</v>
      </c>
    </row>
    <row r="194" spans="1:16" x14ac:dyDescent="0.2">
      <c r="A194" s="8">
        <v>96</v>
      </c>
      <c r="B194" s="8">
        <v>192</v>
      </c>
      <c r="D194">
        <v>1674.0404234841001</v>
      </c>
      <c r="E194">
        <v>399.34023099133998</v>
      </c>
      <c r="F194">
        <v>164.07951807229</v>
      </c>
      <c r="G194">
        <v>124.63469879518</v>
      </c>
      <c r="I194" s="9">
        <f t="shared" si="15"/>
        <v>274.70553219615999</v>
      </c>
      <c r="J194" s="9">
        <f t="shared" si="16"/>
        <v>1509.96090541181</v>
      </c>
      <c r="K194" s="9">
        <f t="shared" si="17"/>
        <v>274.70553219615999</v>
      </c>
      <c r="L194" s="10">
        <f t="shared" ref="L194:L257" si="21">K194/J194</f>
        <v>0.18192890372962328</v>
      </c>
      <c r="M194" s="10">
        <f t="shared" si="20"/>
        <v>0.23677677676235584</v>
      </c>
      <c r="P194" s="8">
        <f t="shared" si="19"/>
        <v>-7.9493166158640909</v>
      </c>
    </row>
    <row r="195" spans="1:16" x14ac:dyDescent="0.2">
      <c r="A195" s="8">
        <v>96.5</v>
      </c>
      <c r="B195" s="8">
        <v>193</v>
      </c>
      <c r="D195">
        <v>1654.3693563881</v>
      </c>
      <c r="E195">
        <v>382.83285302593998</v>
      </c>
      <c r="F195">
        <v>163.89349397589999</v>
      </c>
      <c r="G195">
        <v>124.38024096386</v>
      </c>
      <c r="I195" s="9">
        <f t="shared" ref="I195:I241" si="22">E195-G195</f>
        <v>258.45261206207999</v>
      </c>
      <c r="J195" s="9">
        <f t="shared" ref="J195:J241" si="23">D195-F195</f>
        <v>1490.4758624122001</v>
      </c>
      <c r="K195" s="9">
        <f t="shared" ref="K195:K258" si="24">I195*1</f>
        <v>258.45261206207999</v>
      </c>
      <c r="L195" s="10">
        <f t="shared" si="21"/>
        <v>0.17340274913529821</v>
      </c>
      <c r="M195" s="10">
        <f t="shared" si="20"/>
        <v>0.2285362881734096</v>
      </c>
      <c r="P195" s="8">
        <f t="shared" ref="P195:P241" si="25">(M195-$O$2)/$O$2*100</f>
        <v>-11.152935722449858</v>
      </c>
    </row>
    <row r="196" spans="1:16" x14ac:dyDescent="0.2">
      <c r="A196" s="8">
        <v>97</v>
      </c>
      <c r="B196" s="8">
        <v>194</v>
      </c>
      <c r="D196">
        <v>1789.3414985591</v>
      </c>
      <c r="E196">
        <v>403.78386167146999</v>
      </c>
      <c r="F196">
        <v>164.11903614458001</v>
      </c>
      <c r="G196">
        <v>124.70409638554</v>
      </c>
      <c r="I196" s="9">
        <f t="shared" si="22"/>
        <v>279.07976528592997</v>
      </c>
      <c r="J196" s="9">
        <f t="shared" si="23"/>
        <v>1625.2224624145201</v>
      </c>
      <c r="K196" s="9">
        <f t="shared" si="24"/>
        <v>279.07976528592997</v>
      </c>
      <c r="L196" s="10">
        <f t="shared" si="21"/>
        <v>0.17171788585257042</v>
      </c>
      <c r="M196" s="10">
        <f t="shared" si="20"/>
        <v>0.2271370908960606</v>
      </c>
      <c r="P196" s="8">
        <f t="shared" si="25"/>
        <v>-11.696895596092643</v>
      </c>
    </row>
    <row r="197" spans="1:16" x14ac:dyDescent="0.2">
      <c r="A197" s="8">
        <v>97.5</v>
      </c>
      <c r="B197" s="8">
        <v>195</v>
      </c>
      <c r="D197">
        <v>1769.9596541787</v>
      </c>
      <c r="E197">
        <v>400.98607108549999</v>
      </c>
      <c r="F197">
        <v>163.92096385542001</v>
      </c>
      <c r="G197">
        <v>124.67710843374</v>
      </c>
      <c r="I197" s="9">
        <f t="shared" si="22"/>
        <v>276.30896265176</v>
      </c>
      <c r="J197" s="9">
        <f t="shared" si="23"/>
        <v>1606.03869032328</v>
      </c>
      <c r="K197" s="9">
        <f t="shared" si="24"/>
        <v>276.30896265176</v>
      </c>
      <c r="L197" s="10">
        <f t="shared" si="21"/>
        <v>0.17204377722440903</v>
      </c>
      <c r="M197" s="10">
        <f t="shared" si="20"/>
        <v>0.22774864827327804</v>
      </c>
      <c r="P197" s="8">
        <f t="shared" si="25"/>
        <v>-11.459143079687813</v>
      </c>
    </row>
    <row r="198" spans="1:16" x14ac:dyDescent="0.2">
      <c r="A198" s="8">
        <v>98</v>
      </c>
      <c r="B198" s="8">
        <v>196</v>
      </c>
      <c r="D198">
        <v>1714.5584978334</v>
      </c>
      <c r="E198">
        <v>388.71449205584997</v>
      </c>
      <c r="F198">
        <v>164.06650602409999</v>
      </c>
      <c r="G198">
        <v>124.83807228916</v>
      </c>
      <c r="I198" s="9">
        <f t="shared" si="22"/>
        <v>263.87641976668999</v>
      </c>
      <c r="J198" s="9">
        <f t="shared" si="23"/>
        <v>1550.4919918093001</v>
      </c>
      <c r="K198" s="9">
        <f t="shared" si="24"/>
        <v>263.87641976668999</v>
      </c>
      <c r="L198" s="10">
        <f t="shared" si="21"/>
        <v>0.17018883113273442</v>
      </c>
      <c r="M198" s="10">
        <f t="shared" si="20"/>
        <v>0.22617936818698225</v>
      </c>
      <c r="P198" s="8">
        <f t="shared" si="25"/>
        <v>-12.069225311314883</v>
      </c>
    </row>
    <row r="199" spans="1:16" x14ac:dyDescent="0.2">
      <c r="A199" s="8">
        <v>98.5</v>
      </c>
      <c r="B199" s="8">
        <v>197</v>
      </c>
      <c r="D199">
        <v>1607.7914258189001</v>
      </c>
      <c r="E199">
        <v>378.39691714835999</v>
      </c>
      <c r="F199">
        <v>164.10216867470001</v>
      </c>
      <c r="G199">
        <v>124.43132530120999</v>
      </c>
      <c r="I199" s="9">
        <f t="shared" si="22"/>
        <v>253.96559184714999</v>
      </c>
      <c r="J199" s="9">
        <f t="shared" si="23"/>
        <v>1443.6892571441999</v>
      </c>
      <c r="K199" s="9">
        <f t="shared" si="24"/>
        <v>253.96559184714999</v>
      </c>
      <c r="L199" s="10">
        <f t="shared" si="21"/>
        <v>0.17591430468183028</v>
      </c>
      <c r="M199" s="10">
        <f t="shared" si="20"/>
        <v>0.23219050774145691</v>
      </c>
      <c r="P199" s="8">
        <f t="shared" si="25"/>
        <v>-9.732300586378031</v>
      </c>
    </row>
    <row r="200" spans="1:16" x14ac:dyDescent="0.2">
      <c r="A200" s="8">
        <v>99</v>
      </c>
      <c r="B200" s="8">
        <v>198</v>
      </c>
      <c r="D200">
        <v>1680.2238232469001</v>
      </c>
      <c r="E200">
        <v>403.45437079730999</v>
      </c>
      <c r="F200">
        <v>163.79180722891999</v>
      </c>
      <c r="G200">
        <v>124.30891566264999</v>
      </c>
      <c r="I200" s="9">
        <f t="shared" si="22"/>
        <v>279.14545513465998</v>
      </c>
      <c r="J200" s="9">
        <f t="shared" si="23"/>
        <v>1516.43201601798</v>
      </c>
      <c r="K200" s="9">
        <f t="shared" si="24"/>
        <v>279.14545513465998</v>
      </c>
      <c r="L200" s="10">
        <f t="shared" si="21"/>
        <v>0.18408042839115987</v>
      </c>
      <c r="M200" s="10">
        <f t="shared" si="20"/>
        <v>0.24064229745616533</v>
      </c>
      <c r="P200" s="8">
        <f t="shared" si="25"/>
        <v>-6.446534855059018</v>
      </c>
    </row>
    <row r="201" spans="1:16" x14ac:dyDescent="0.2">
      <c r="A201" s="8">
        <v>99.5</v>
      </c>
      <c r="B201" s="8">
        <v>199</v>
      </c>
      <c r="D201">
        <v>1769.2848222862999</v>
      </c>
      <c r="E201">
        <v>432.12632084533999</v>
      </c>
      <c r="F201">
        <v>163.27373493976</v>
      </c>
      <c r="G201">
        <v>124.73397590361</v>
      </c>
      <c r="I201" s="9">
        <f t="shared" si="22"/>
        <v>307.39234494173002</v>
      </c>
      <c r="J201" s="9">
        <f t="shared" si="23"/>
        <v>1606.0110873465399</v>
      </c>
      <c r="K201" s="9">
        <f t="shared" si="24"/>
        <v>307.39234494173002</v>
      </c>
      <c r="L201" s="10">
        <f t="shared" si="21"/>
        <v>0.19140113500063397</v>
      </c>
      <c r="M201" s="10">
        <f t="shared" si="20"/>
        <v>0.24824867007101822</v>
      </c>
      <c r="P201" s="8">
        <f t="shared" si="25"/>
        <v>-3.4894382730140552</v>
      </c>
    </row>
    <row r="202" spans="1:16" x14ac:dyDescent="0.2">
      <c r="A202" s="8">
        <v>100</v>
      </c>
      <c r="B202" s="8">
        <v>200</v>
      </c>
      <c r="D202">
        <v>1741.2670509126001</v>
      </c>
      <c r="E202">
        <v>440.01296829971</v>
      </c>
      <c r="F202">
        <v>163.04</v>
      </c>
      <c r="G202">
        <v>124.39662650602</v>
      </c>
      <c r="I202" s="9">
        <f t="shared" si="22"/>
        <v>315.61634179369003</v>
      </c>
      <c r="J202" s="9">
        <f t="shared" si="23"/>
        <v>1578.2270509126001</v>
      </c>
      <c r="K202" s="9">
        <f t="shared" si="24"/>
        <v>315.61634179369003</v>
      </c>
      <c r="L202" s="10">
        <f t="shared" si="21"/>
        <v>0.19998158161792171</v>
      </c>
      <c r="M202" s="10">
        <f t="shared" si="20"/>
        <v>0.25711478269368482</v>
      </c>
      <c r="P202" s="8">
        <f t="shared" si="25"/>
        <v>-4.2598016816569842E-2</v>
      </c>
    </row>
    <row r="203" spans="1:16" x14ac:dyDescent="0.2">
      <c r="A203" s="8">
        <v>100.5</v>
      </c>
      <c r="B203" s="8">
        <v>201</v>
      </c>
      <c r="D203">
        <v>1698.3948126800999</v>
      </c>
      <c r="E203">
        <v>420.14313160423001</v>
      </c>
      <c r="F203">
        <v>163.5334939759</v>
      </c>
      <c r="G203">
        <v>124.51036144578001</v>
      </c>
      <c r="I203" s="9">
        <f t="shared" si="22"/>
        <v>295.63277015845</v>
      </c>
      <c r="J203" s="9">
        <f t="shared" si="23"/>
        <v>1534.8613187041999</v>
      </c>
      <c r="K203" s="9">
        <f t="shared" si="24"/>
        <v>295.63277015845</v>
      </c>
      <c r="L203" s="10">
        <f t="shared" si="21"/>
        <v>0.19261204029041315</v>
      </c>
      <c r="M203" s="10">
        <f t="shared" si="20"/>
        <v>0.25003090737155503</v>
      </c>
      <c r="P203" s="8">
        <f t="shared" si="25"/>
        <v>-2.7965655862988039</v>
      </c>
    </row>
    <row r="204" spans="1:16" x14ac:dyDescent="0.2">
      <c r="A204" s="8">
        <v>101</v>
      </c>
      <c r="B204" s="8">
        <v>202</v>
      </c>
      <c r="D204">
        <v>1693.3150816523</v>
      </c>
      <c r="E204">
        <v>413.43563880884</v>
      </c>
      <c r="F204">
        <v>162.90795180723001</v>
      </c>
      <c r="G204">
        <v>124.42795180723</v>
      </c>
      <c r="I204" s="9">
        <f t="shared" si="22"/>
        <v>289.00768700161001</v>
      </c>
      <c r="J204" s="9">
        <f t="shared" si="23"/>
        <v>1530.4071298450699</v>
      </c>
      <c r="K204" s="9">
        <f t="shared" si="24"/>
        <v>289.00768700161001</v>
      </c>
      <c r="L204" s="10">
        <f t="shared" si="21"/>
        <v>0.18884366216385021</v>
      </c>
      <c r="M204" s="10">
        <f t="shared" si="20"/>
        <v>0.24654819525037092</v>
      </c>
      <c r="P204" s="8">
        <f t="shared" si="25"/>
        <v>-4.1505245140654905</v>
      </c>
    </row>
    <row r="205" spans="1:16" x14ac:dyDescent="0.2">
      <c r="A205" s="8">
        <v>101.5</v>
      </c>
      <c r="B205" s="8">
        <v>203</v>
      </c>
      <c r="D205">
        <v>1508.4226705091</v>
      </c>
      <c r="E205">
        <v>382.42459173870998</v>
      </c>
      <c r="F205">
        <v>163.14602409638999</v>
      </c>
      <c r="G205">
        <v>124.60481927711</v>
      </c>
      <c r="I205" s="9">
        <f t="shared" si="22"/>
        <v>257.8197724616</v>
      </c>
      <c r="J205" s="9">
        <f t="shared" si="23"/>
        <v>1345.2766464127101</v>
      </c>
      <c r="K205" s="9">
        <f t="shared" si="24"/>
        <v>257.8197724616</v>
      </c>
      <c r="L205" s="10">
        <f t="shared" si="21"/>
        <v>0.1916481440074779</v>
      </c>
      <c r="M205" s="10">
        <f t="shared" si="20"/>
        <v>0.24963834309937744</v>
      </c>
      <c r="P205" s="8">
        <f t="shared" si="25"/>
        <v>-2.9491811004563089</v>
      </c>
    </row>
    <row r="206" spans="1:16" x14ac:dyDescent="0.2">
      <c r="A206" s="8">
        <v>102</v>
      </c>
      <c r="B206" s="8">
        <v>204</v>
      </c>
      <c r="D206">
        <v>1615.8018278018001</v>
      </c>
      <c r="E206">
        <v>411.54545454546002</v>
      </c>
      <c r="F206">
        <v>163.22843373494001</v>
      </c>
      <c r="G206">
        <v>124.35084337348999</v>
      </c>
      <c r="I206" s="9">
        <f t="shared" si="22"/>
        <v>287.19461117197</v>
      </c>
      <c r="J206" s="9">
        <f t="shared" si="23"/>
        <v>1452.5733940668601</v>
      </c>
      <c r="K206" s="9">
        <f t="shared" si="24"/>
        <v>287.19461117197</v>
      </c>
      <c r="L206" s="10">
        <f t="shared" si="21"/>
        <v>0.19771435463780138</v>
      </c>
      <c r="M206" s="10">
        <f t="shared" si="20"/>
        <v>0.25599021973507974</v>
      </c>
      <c r="P206" s="8">
        <f t="shared" si="25"/>
        <v>-0.47978949422222494</v>
      </c>
    </row>
    <row r="207" spans="1:16" x14ac:dyDescent="0.2">
      <c r="A207" s="8">
        <v>102.5</v>
      </c>
      <c r="B207" s="8">
        <v>205</v>
      </c>
      <c r="D207">
        <v>1626.9865319865</v>
      </c>
      <c r="E207">
        <v>414.11976911977001</v>
      </c>
      <c r="F207">
        <v>163.12867469880001</v>
      </c>
      <c r="G207">
        <v>124.30120481928</v>
      </c>
      <c r="I207" s="9">
        <f t="shared" si="22"/>
        <v>289.81856430049004</v>
      </c>
      <c r="J207" s="9">
        <f t="shared" si="23"/>
        <v>1463.8578572877</v>
      </c>
      <c r="K207" s="9">
        <f t="shared" si="24"/>
        <v>289.81856430049004</v>
      </c>
      <c r="L207" s="10">
        <f t="shared" si="21"/>
        <v>0.19798272274705592</v>
      </c>
      <c r="M207" s="10">
        <f t="shared" si="20"/>
        <v>0.25654425384971308</v>
      </c>
      <c r="P207" s="8">
        <f t="shared" si="25"/>
        <v>-0.2644000478099629</v>
      </c>
    </row>
    <row r="208" spans="1:16" x14ac:dyDescent="0.2">
      <c r="A208" s="8">
        <v>103</v>
      </c>
      <c r="B208" s="8">
        <v>206</v>
      </c>
      <c r="D208">
        <v>1666.3944203944</v>
      </c>
      <c r="E208">
        <v>411.49013949014</v>
      </c>
      <c r="F208">
        <v>163.10795180722999</v>
      </c>
      <c r="G208">
        <v>124.32722891566</v>
      </c>
      <c r="I208" s="9">
        <f t="shared" si="22"/>
        <v>287.16291057448001</v>
      </c>
      <c r="J208" s="9">
        <f t="shared" si="23"/>
        <v>1503.28646858717</v>
      </c>
      <c r="K208" s="9">
        <f t="shared" si="24"/>
        <v>287.16291057448001</v>
      </c>
      <c r="L208" s="10">
        <f t="shared" si="21"/>
        <v>0.19102341208749363</v>
      </c>
      <c r="M208" s="10">
        <f t="shared" si="20"/>
        <v>0.24987060919552961</v>
      </c>
      <c r="P208" s="8">
        <f t="shared" si="25"/>
        <v>-2.8588840148631891</v>
      </c>
    </row>
    <row r="209" spans="1:16" x14ac:dyDescent="0.2">
      <c r="A209" s="8">
        <v>103.5</v>
      </c>
      <c r="B209" s="8">
        <v>207</v>
      </c>
      <c r="D209">
        <v>1659.9167869168</v>
      </c>
      <c r="E209">
        <v>405.64213564213998</v>
      </c>
      <c r="F209">
        <v>162.96771084337001</v>
      </c>
      <c r="G209">
        <v>124.44</v>
      </c>
      <c r="I209" s="9">
        <f t="shared" si="22"/>
        <v>281.20213564213998</v>
      </c>
      <c r="J209" s="9">
        <f t="shared" si="23"/>
        <v>1496.94907607343</v>
      </c>
      <c r="K209" s="9">
        <f t="shared" si="24"/>
        <v>281.20213564213998</v>
      </c>
      <c r="L209" s="10">
        <f t="shared" si="21"/>
        <v>0.18785016814315877</v>
      </c>
      <c r="M209" s="10">
        <f t="shared" si="20"/>
        <v>0.24698303125657356</v>
      </c>
      <c r="P209" s="8">
        <f t="shared" si="25"/>
        <v>-3.9814752007067091</v>
      </c>
    </row>
    <row r="210" spans="1:16" x14ac:dyDescent="0.2">
      <c r="A210" s="8">
        <v>104</v>
      </c>
      <c r="B210" s="8">
        <v>208</v>
      </c>
      <c r="D210">
        <v>1637.6301106301</v>
      </c>
      <c r="E210">
        <v>406.87590187590001</v>
      </c>
      <c r="F210">
        <v>163.31566265059999</v>
      </c>
      <c r="G210">
        <v>124.24048192770999</v>
      </c>
      <c r="I210" s="9">
        <f t="shared" si="22"/>
        <v>282.63541994819002</v>
      </c>
      <c r="J210" s="9">
        <f t="shared" si="23"/>
        <v>1474.3144479795001</v>
      </c>
      <c r="K210" s="9">
        <f t="shared" si="24"/>
        <v>282.63541994819002</v>
      </c>
      <c r="L210" s="10">
        <f t="shared" si="21"/>
        <v>0.19170633533133494</v>
      </c>
      <c r="M210" s="10">
        <f t="shared" si="20"/>
        <v>0.25112486445012855</v>
      </c>
      <c r="P210" s="8">
        <f t="shared" si="25"/>
        <v>-2.3712726244950648</v>
      </c>
    </row>
    <row r="211" spans="1:16" x14ac:dyDescent="0.2">
      <c r="A211" s="8">
        <v>104.5</v>
      </c>
      <c r="B211" s="8">
        <v>209</v>
      </c>
      <c r="D211">
        <v>1643.5286195286001</v>
      </c>
      <c r="E211">
        <v>414.24915824916002</v>
      </c>
      <c r="F211">
        <v>162.72963855422</v>
      </c>
      <c r="G211">
        <v>124.2665060241</v>
      </c>
      <c r="I211" s="9">
        <f t="shared" si="22"/>
        <v>289.98265222506001</v>
      </c>
      <c r="J211" s="9">
        <f t="shared" si="23"/>
        <v>1480.7989809743801</v>
      </c>
      <c r="K211" s="9">
        <f t="shared" si="24"/>
        <v>289.98265222506001</v>
      </c>
      <c r="L211" s="10">
        <f t="shared" si="21"/>
        <v>0.19582850606383359</v>
      </c>
      <c r="M211" s="10">
        <f t="shared" si="20"/>
        <v>0.25553270118800603</v>
      </c>
      <c r="P211" s="8">
        <f t="shared" si="25"/>
        <v>-0.65765700088788548</v>
      </c>
    </row>
    <row r="212" spans="1:16" x14ac:dyDescent="0.2">
      <c r="A212" s="8">
        <v>105</v>
      </c>
      <c r="B212" s="8">
        <v>210</v>
      </c>
      <c r="D212">
        <v>1655.4290524291</v>
      </c>
      <c r="E212">
        <v>425.39538239538001</v>
      </c>
      <c r="F212">
        <v>162.90409638553999</v>
      </c>
      <c r="G212">
        <v>124.2486746988</v>
      </c>
      <c r="I212" s="9">
        <f t="shared" si="22"/>
        <v>301.14670769657999</v>
      </c>
      <c r="J212" s="9">
        <f t="shared" si="23"/>
        <v>1492.52495604356</v>
      </c>
      <c r="K212" s="9">
        <f t="shared" si="24"/>
        <v>301.14670769657999</v>
      </c>
      <c r="L212" s="10">
        <f t="shared" si="21"/>
        <v>0.20176996470120726</v>
      </c>
      <c r="M212" s="10">
        <f t="shared" si="20"/>
        <v>0.26175982583075852</v>
      </c>
      <c r="P212" s="8">
        <f t="shared" si="25"/>
        <v>1.7632353126301368</v>
      </c>
    </row>
    <row r="213" spans="1:16" x14ac:dyDescent="0.2">
      <c r="A213" s="8">
        <v>105.5</v>
      </c>
      <c r="B213" s="8">
        <v>211</v>
      </c>
      <c r="D213">
        <v>1762.9648869649</v>
      </c>
      <c r="E213">
        <v>438.6354016354</v>
      </c>
      <c r="F213">
        <v>162.47951807229001</v>
      </c>
      <c r="G213">
        <v>123.99518072289</v>
      </c>
      <c r="I213" s="9">
        <f t="shared" si="22"/>
        <v>314.64022091251002</v>
      </c>
      <c r="J213" s="9">
        <f t="shared" si="23"/>
        <v>1600.48536889261</v>
      </c>
      <c r="K213" s="9">
        <f t="shared" si="24"/>
        <v>314.64022091251002</v>
      </c>
      <c r="L213" s="10">
        <f t="shared" si="21"/>
        <v>0.19659050124913816</v>
      </c>
      <c r="M213" s="10">
        <f t="shared" si="20"/>
        <v>0.25686602838406819</v>
      </c>
      <c r="P213" s="8">
        <f t="shared" si="25"/>
        <v>-0.1393051538426871</v>
      </c>
    </row>
    <row r="214" spans="1:16" x14ac:dyDescent="0.2">
      <c r="A214" s="8">
        <v>106</v>
      </c>
      <c r="B214" s="8">
        <v>212</v>
      </c>
      <c r="D214">
        <v>1823.2443482444</v>
      </c>
      <c r="E214">
        <v>446.19865319864999</v>
      </c>
      <c r="F214">
        <v>162.86265060241001</v>
      </c>
      <c r="G214">
        <v>123.95903614458</v>
      </c>
      <c r="I214" s="9">
        <f t="shared" si="22"/>
        <v>322.23961705406998</v>
      </c>
      <c r="J214" s="9">
        <f t="shared" si="23"/>
        <v>1660.3816976419901</v>
      </c>
      <c r="K214" s="9">
        <f t="shared" si="24"/>
        <v>322.23961705406998</v>
      </c>
      <c r="L214" s="10">
        <f t="shared" si="21"/>
        <v>0.19407562581043999</v>
      </c>
      <c r="M214" s="10">
        <f t="shared" si="20"/>
        <v>0.25463681895074886</v>
      </c>
      <c r="P214" s="8">
        <f t="shared" si="25"/>
        <v>-1.00594526335545</v>
      </c>
    </row>
    <row r="215" spans="1:16" x14ac:dyDescent="0.2">
      <c r="A215" s="8">
        <v>106.5</v>
      </c>
      <c r="B215" s="8">
        <v>213</v>
      </c>
      <c r="D215">
        <v>1736.3477842003999</v>
      </c>
      <c r="E215">
        <v>415.40558766858999</v>
      </c>
      <c r="F215">
        <v>162.44289156626999</v>
      </c>
      <c r="G215">
        <v>124.14072289156999</v>
      </c>
      <c r="I215" s="9">
        <f t="shared" si="22"/>
        <v>291.26486477701997</v>
      </c>
      <c r="J215" s="9">
        <f t="shared" si="23"/>
        <v>1573.90489263413</v>
      </c>
      <c r="K215" s="9">
        <f t="shared" si="24"/>
        <v>291.26486477701997</v>
      </c>
      <c r="L215" s="10">
        <f t="shared" si="21"/>
        <v>0.18505874537917674</v>
      </c>
      <c r="M215" s="10">
        <f t="shared" si="20"/>
        <v>0.24590560452486443</v>
      </c>
      <c r="P215" s="8">
        <f t="shared" si="25"/>
        <v>-4.4003417310577948</v>
      </c>
    </row>
    <row r="216" spans="1:16" x14ac:dyDescent="0.2">
      <c r="A216" s="8">
        <v>107</v>
      </c>
      <c r="B216" s="8">
        <v>214</v>
      </c>
      <c r="D216">
        <v>1583.5048169557001</v>
      </c>
      <c r="E216">
        <v>382.43593448939998</v>
      </c>
      <c r="F216">
        <v>162.59421686747001</v>
      </c>
      <c r="G216">
        <v>124.02506024096</v>
      </c>
      <c r="I216" s="9">
        <f t="shared" si="22"/>
        <v>258.41087424844</v>
      </c>
      <c r="J216" s="9">
        <f t="shared" si="23"/>
        <v>1420.91060008823</v>
      </c>
      <c r="K216" s="9">
        <f t="shared" si="24"/>
        <v>258.41087424844</v>
      </c>
      <c r="L216" s="10">
        <f t="shared" si="21"/>
        <v>0.18186286613133454</v>
      </c>
      <c r="M216" s="10">
        <f t="shared" si="20"/>
        <v>0.24299539128240105</v>
      </c>
      <c r="P216" s="8">
        <f t="shared" si="25"/>
        <v>-5.5317327459426053</v>
      </c>
    </row>
    <row r="217" spans="1:16" x14ac:dyDescent="0.2">
      <c r="A217" s="8">
        <v>107.5</v>
      </c>
      <c r="B217" s="8">
        <v>215</v>
      </c>
      <c r="D217">
        <v>1679.4094412331001</v>
      </c>
      <c r="E217">
        <v>405.45423892100001</v>
      </c>
      <c r="F217">
        <v>162.53927710843001</v>
      </c>
      <c r="G217">
        <v>124.20192771084</v>
      </c>
      <c r="I217" s="9">
        <f t="shared" si="22"/>
        <v>281.25231121016003</v>
      </c>
      <c r="J217" s="9">
        <f t="shared" si="23"/>
        <v>1516.8701641246701</v>
      </c>
      <c r="K217" s="9">
        <f t="shared" si="24"/>
        <v>281.25231121016003</v>
      </c>
      <c r="L217" s="10">
        <f t="shared" si="21"/>
        <v>0.18541620625286701</v>
      </c>
      <c r="M217" s="10">
        <f t="shared" si="20"/>
        <v>0.24683439740931232</v>
      </c>
      <c r="P217" s="8">
        <f t="shared" si="25"/>
        <v>-4.0392589386285351</v>
      </c>
    </row>
    <row r="218" spans="1:16" x14ac:dyDescent="0.2">
      <c r="A218" s="8">
        <v>108</v>
      </c>
      <c r="B218" s="8">
        <v>216</v>
      </c>
      <c r="D218">
        <v>1753.2338476374</v>
      </c>
      <c r="E218">
        <v>433.14079074252999</v>
      </c>
      <c r="F218">
        <v>162.42698795180999</v>
      </c>
      <c r="G218">
        <v>124.17493975904</v>
      </c>
      <c r="I218" s="9">
        <f t="shared" si="22"/>
        <v>308.96585098348999</v>
      </c>
      <c r="J218" s="9">
        <f t="shared" si="23"/>
        <v>1590.8068596855901</v>
      </c>
      <c r="K218" s="9">
        <f t="shared" si="24"/>
        <v>308.96585098348999</v>
      </c>
      <c r="L218" s="10">
        <f t="shared" si="21"/>
        <v>0.19421958681052867</v>
      </c>
      <c r="M218" s="10">
        <f t="shared" si="20"/>
        <v>0.25592344397235278</v>
      </c>
      <c r="P218" s="8">
        <f t="shared" si="25"/>
        <v>-0.50574961867599466</v>
      </c>
    </row>
    <row r="219" spans="1:16" x14ac:dyDescent="0.2">
      <c r="A219" s="8">
        <v>108.5</v>
      </c>
      <c r="B219" s="8">
        <v>217</v>
      </c>
      <c r="D219">
        <v>1702.4599807136001</v>
      </c>
      <c r="E219">
        <v>432.824975892</v>
      </c>
      <c r="F219">
        <v>162.08144578312999</v>
      </c>
      <c r="G219">
        <v>124.11180722892</v>
      </c>
      <c r="I219" s="9">
        <f t="shared" si="22"/>
        <v>308.71316866308001</v>
      </c>
      <c r="J219" s="9">
        <f t="shared" si="23"/>
        <v>1540.3785349304701</v>
      </c>
      <c r="K219" s="9">
        <f t="shared" si="24"/>
        <v>308.71316866308001</v>
      </c>
      <c r="L219" s="10">
        <f t="shared" si="21"/>
        <v>0.200413834432596</v>
      </c>
      <c r="M219" s="10">
        <f t="shared" si="20"/>
        <v>0.26240335759979894</v>
      </c>
      <c r="P219" s="8">
        <f t="shared" si="25"/>
        <v>2.0134183750468826</v>
      </c>
    </row>
    <row r="220" spans="1:16" x14ac:dyDescent="0.2">
      <c r="A220" s="8">
        <v>109</v>
      </c>
      <c r="B220" s="8">
        <v>218</v>
      </c>
      <c r="D220">
        <v>1702.9514423077001</v>
      </c>
      <c r="E220">
        <v>436.36634615384997</v>
      </c>
      <c r="F220">
        <v>162.27469879518</v>
      </c>
      <c r="G220">
        <v>123.64578313253</v>
      </c>
      <c r="I220" s="9">
        <f t="shared" si="22"/>
        <v>312.72056302132</v>
      </c>
      <c r="J220" s="9">
        <f t="shared" si="23"/>
        <v>1540.67674351252</v>
      </c>
      <c r="K220" s="9">
        <f t="shared" si="24"/>
        <v>312.72056302132</v>
      </c>
      <c r="L220" s="10">
        <f t="shared" si="21"/>
        <v>0.2029761040647387</v>
      </c>
      <c r="M220" s="10">
        <f t="shared" si="20"/>
        <v>0.26525129323732044</v>
      </c>
      <c r="P220" s="8">
        <f t="shared" si="25"/>
        <v>3.1205979948243914</v>
      </c>
    </row>
    <row r="221" spans="1:16" x14ac:dyDescent="0.2">
      <c r="A221" s="8">
        <v>109.5</v>
      </c>
      <c r="B221" s="8">
        <v>219</v>
      </c>
      <c r="D221">
        <v>1825.5951923077</v>
      </c>
      <c r="E221">
        <v>455.14230769231</v>
      </c>
      <c r="F221">
        <v>162.36385542169</v>
      </c>
      <c r="G221">
        <v>123.83759036145</v>
      </c>
      <c r="I221" s="9">
        <f t="shared" si="22"/>
        <v>331.30471733086</v>
      </c>
      <c r="J221" s="9">
        <f t="shared" si="23"/>
        <v>1663.23133688601</v>
      </c>
      <c r="K221" s="9">
        <f t="shared" si="24"/>
        <v>331.30471733086</v>
      </c>
      <c r="L221" s="10">
        <f t="shared" si="21"/>
        <v>0.19919340742529917</v>
      </c>
      <c r="M221" s="10">
        <f t="shared" si="20"/>
        <v>0.26175426260325974</v>
      </c>
      <c r="P221" s="8">
        <f t="shared" si="25"/>
        <v>1.7610725207377613</v>
      </c>
    </row>
    <row r="222" spans="1:16" x14ac:dyDescent="0.2">
      <c r="A222" s="8">
        <v>110</v>
      </c>
      <c r="B222" s="8">
        <v>220</v>
      </c>
      <c r="D222">
        <v>1829.4151850072001</v>
      </c>
      <c r="E222">
        <v>446.91494473811002</v>
      </c>
      <c r="F222">
        <v>162.38120481927999</v>
      </c>
      <c r="G222">
        <v>123.86939759035999</v>
      </c>
      <c r="I222" s="9">
        <f t="shared" si="22"/>
        <v>323.04554714775003</v>
      </c>
      <c r="J222" s="9">
        <f t="shared" si="23"/>
        <v>1667.0339801879202</v>
      </c>
      <c r="K222" s="9">
        <f t="shared" si="24"/>
        <v>323.04554714775003</v>
      </c>
      <c r="L222" s="10">
        <f t="shared" si="21"/>
        <v>0.19378462046186604</v>
      </c>
      <c r="M222" s="10">
        <f t="shared" si="20"/>
        <v>0.2566311416452054</v>
      </c>
      <c r="P222" s="8">
        <f t="shared" si="25"/>
        <v>-0.23062105536748889</v>
      </c>
    </row>
    <row r="223" spans="1:16" x14ac:dyDescent="0.2">
      <c r="A223" s="8">
        <v>110.5</v>
      </c>
      <c r="B223" s="8">
        <v>221</v>
      </c>
      <c r="D223">
        <v>1789.4027844454999</v>
      </c>
      <c r="E223">
        <v>436.57273163705997</v>
      </c>
      <c r="F223">
        <v>162.25638554216999</v>
      </c>
      <c r="G223">
        <v>124.09783132530001</v>
      </c>
      <c r="I223" s="9">
        <f t="shared" si="22"/>
        <v>312.47490031175994</v>
      </c>
      <c r="J223" s="9">
        <f t="shared" si="23"/>
        <v>1627.14639890333</v>
      </c>
      <c r="K223" s="9">
        <f t="shared" si="24"/>
        <v>312.47490031175994</v>
      </c>
      <c r="L223" s="10">
        <f t="shared" si="21"/>
        <v>0.19203859008775295</v>
      </c>
      <c r="M223" s="10">
        <f t="shared" si="20"/>
        <v>0.25517077727647114</v>
      </c>
      <c r="P223" s="8">
        <f t="shared" si="25"/>
        <v>-0.79836059456541708</v>
      </c>
    </row>
    <row r="224" spans="1:16" x14ac:dyDescent="0.2">
      <c r="A224" s="8">
        <v>111</v>
      </c>
      <c r="B224" s="8">
        <v>222</v>
      </c>
      <c r="D224">
        <v>1709.6077772444</v>
      </c>
      <c r="E224">
        <v>414.77964474316002</v>
      </c>
      <c r="F224">
        <v>162.09301204818999</v>
      </c>
      <c r="G224">
        <v>123.73253012048001</v>
      </c>
      <c r="I224" s="9">
        <f t="shared" si="22"/>
        <v>291.04711462268</v>
      </c>
      <c r="J224" s="9">
        <f t="shared" si="23"/>
        <v>1547.51476519621</v>
      </c>
      <c r="K224" s="9">
        <f t="shared" si="24"/>
        <v>291.04711462268</v>
      </c>
      <c r="L224" s="10">
        <f t="shared" si="21"/>
        <v>0.18807388541186423</v>
      </c>
      <c r="M224" s="10">
        <f t="shared" si="20"/>
        <v>0.25149173860596125</v>
      </c>
      <c r="P224" s="8">
        <f t="shared" si="25"/>
        <v>-2.2286445457528981</v>
      </c>
    </row>
    <row r="225" spans="1:16" x14ac:dyDescent="0.2">
      <c r="A225" s="8">
        <v>111.5</v>
      </c>
      <c r="B225" s="8">
        <v>223</v>
      </c>
      <c r="D225">
        <v>1733.2126740277999</v>
      </c>
      <c r="E225">
        <v>413.45271243398997</v>
      </c>
      <c r="F225">
        <v>162.62409638554001</v>
      </c>
      <c r="G225">
        <v>123.80771084337</v>
      </c>
      <c r="I225" s="9">
        <f t="shared" si="22"/>
        <v>289.64500159061998</v>
      </c>
      <c r="J225" s="9">
        <f t="shared" si="23"/>
        <v>1570.5885776422599</v>
      </c>
      <c r="K225" s="9">
        <f t="shared" si="24"/>
        <v>289.64500159061998</v>
      </c>
      <c r="L225" s="10">
        <f t="shared" si="21"/>
        <v>0.18441812560831811</v>
      </c>
      <c r="M225" s="10">
        <f t="shared" si="20"/>
        <v>0.24812164480779395</v>
      </c>
      <c r="P225" s="8">
        <f t="shared" si="25"/>
        <v>-3.538821335182269</v>
      </c>
    </row>
    <row r="226" spans="1:16" x14ac:dyDescent="0.2">
      <c r="A226" s="8">
        <v>112</v>
      </c>
      <c r="B226" s="8">
        <v>224</v>
      </c>
      <c r="D226">
        <v>1784.8514946962</v>
      </c>
      <c r="E226">
        <v>421.02121504338999</v>
      </c>
      <c r="F226">
        <v>161.49638554217</v>
      </c>
      <c r="G226">
        <v>123.69686746988</v>
      </c>
      <c r="I226" s="9">
        <f t="shared" si="22"/>
        <v>297.32434757350995</v>
      </c>
      <c r="J226" s="9">
        <f t="shared" si="23"/>
        <v>1623.3551091540301</v>
      </c>
      <c r="K226" s="9">
        <f t="shared" si="24"/>
        <v>297.32434757350995</v>
      </c>
      <c r="L226" s="10">
        <f t="shared" si="21"/>
        <v>0.18315422540447907</v>
      </c>
      <c r="M226" s="10">
        <f t="shared" si="20"/>
        <v>0.2471434106093337</v>
      </c>
      <c r="P226" s="8">
        <f t="shared" si="25"/>
        <v>-3.9191252134142749</v>
      </c>
    </row>
    <row r="227" spans="1:16" x14ac:dyDescent="0.2">
      <c r="A227" s="8">
        <v>112.5</v>
      </c>
      <c r="B227" s="8">
        <v>225</v>
      </c>
      <c r="D227">
        <v>1749.6485053038</v>
      </c>
      <c r="E227">
        <v>417.6456123433</v>
      </c>
      <c r="F227">
        <v>161.95951807229</v>
      </c>
      <c r="G227">
        <v>123.79180722892001</v>
      </c>
      <c r="I227" s="9">
        <f t="shared" si="22"/>
        <v>293.85380511438001</v>
      </c>
      <c r="J227" s="9">
        <f t="shared" si="23"/>
        <v>1587.6889872315101</v>
      </c>
      <c r="K227" s="9">
        <f t="shared" si="24"/>
        <v>293.85380511438001</v>
      </c>
      <c r="L227" s="10">
        <f t="shared" si="21"/>
        <v>0.18508272557006247</v>
      </c>
      <c r="M227" s="10">
        <f t="shared" si="20"/>
        <v>0.24935757678029594</v>
      </c>
      <c r="P227" s="8">
        <f t="shared" si="25"/>
        <v>-3.0583334079422739</v>
      </c>
    </row>
    <row r="228" spans="1:16" x14ac:dyDescent="0.2">
      <c r="A228" s="8">
        <v>113</v>
      </c>
      <c r="B228" s="8">
        <v>226</v>
      </c>
      <c r="D228">
        <v>1721.5197685631999</v>
      </c>
      <c r="E228">
        <v>407.94696239151</v>
      </c>
      <c r="F228">
        <v>161.81975903615</v>
      </c>
      <c r="G228">
        <v>123.55036144578</v>
      </c>
      <c r="I228" s="9">
        <f t="shared" si="22"/>
        <v>284.39660094573003</v>
      </c>
      <c r="J228" s="9">
        <f t="shared" si="23"/>
        <v>1559.70000952705</v>
      </c>
      <c r="K228" s="9">
        <f t="shared" si="24"/>
        <v>284.39660094573003</v>
      </c>
      <c r="L228" s="10">
        <f t="shared" si="21"/>
        <v>0.18234057780891338</v>
      </c>
      <c r="M228" s="10">
        <f t="shared" si="20"/>
        <v>0.24690109502452567</v>
      </c>
      <c r="P228" s="8">
        <f t="shared" si="25"/>
        <v>-4.0133291952456203</v>
      </c>
    </row>
    <row r="229" spans="1:16" x14ac:dyDescent="0.2">
      <c r="A229" s="8">
        <v>113.5</v>
      </c>
      <c r="B229" s="8">
        <v>227</v>
      </c>
      <c r="D229">
        <v>1625.3328502416</v>
      </c>
      <c r="E229">
        <v>380.85555555555999</v>
      </c>
      <c r="F229">
        <v>161.75903614457999</v>
      </c>
      <c r="G229">
        <v>123.68530120481999</v>
      </c>
      <c r="I229" s="9">
        <f t="shared" si="22"/>
        <v>257.17025435073998</v>
      </c>
      <c r="J229" s="9">
        <f t="shared" si="23"/>
        <v>1463.57381409702</v>
      </c>
      <c r="K229" s="9">
        <f t="shared" si="24"/>
        <v>257.17025435073998</v>
      </c>
      <c r="L229" s="10">
        <f t="shared" si="21"/>
        <v>0.17571389421817862</v>
      </c>
      <c r="M229" s="10">
        <f t="shared" si="20"/>
        <v>0.24056007743916974</v>
      </c>
      <c r="P229" s="8">
        <f t="shared" si="25"/>
        <v>-6.4784991754446093</v>
      </c>
    </row>
    <row r="230" spans="1:16" x14ac:dyDescent="0.2">
      <c r="A230" s="8">
        <v>114</v>
      </c>
      <c r="B230" s="8">
        <v>228</v>
      </c>
      <c r="D230">
        <v>1564.8193236714999</v>
      </c>
      <c r="E230">
        <v>367.40338164251</v>
      </c>
      <c r="F230">
        <v>162.14698795180999</v>
      </c>
      <c r="G230">
        <v>123.84385542168999</v>
      </c>
      <c r="I230" s="9">
        <f t="shared" si="22"/>
        <v>243.55952622082</v>
      </c>
      <c r="J230" s="9">
        <f t="shared" si="23"/>
        <v>1402.67233571969</v>
      </c>
      <c r="K230" s="9">
        <f t="shared" si="24"/>
        <v>243.55952622082</v>
      </c>
      <c r="L230" s="10">
        <f t="shared" si="21"/>
        <v>0.17363964485394467</v>
      </c>
      <c r="M230" s="10">
        <f t="shared" si="20"/>
        <v>0.23877149408031459</v>
      </c>
      <c r="P230" s="8">
        <f t="shared" si="25"/>
        <v>-7.1738389918040202</v>
      </c>
    </row>
    <row r="231" spans="1:16" x14ac:dyDescent="0.2">
      <c r="A231" s="8">
        <v>114.5</v>
      </c>
      <c r="B231" s="8">
        <v>229</v>
      </c>
      <c r="D231">
        <v>1666.4314477468999</v>
      </c>
      <c r="E231">
        <v>394.73346116969998</v>
      </c>
      <c r="F231">
        <v>161.54698795181</v>
      </c>
      <c r="G231">
        <v>123.69397590361</v>
      </c>
      <c r="I231" s="9">
        <f t="shared" si="22"/>
        <v>271.03948526608997</v>
      </c>
      <c r="J231" s="9">
        <f t="shared" si="23"/>
        <v>1504.8844597950899</v>
      </c>
      <c r="K231" s="9">
        <f t="shared" si="24"/>
        <v>271.03948526608997</v>
      </c>
      <c r="L231" s="10">
        <f t="shared" si="21"/>
        <v>0.18010650817870469</v>
      </c>
      <c r="M231" s="10">
        <f t="shared" si="20"/>
        <v>0.24552402341045343</v>
      </c>
      <c r="P231" s="8">
        <f t="shared" si="25"/>
        <v>-4.5486873704752373</v>
      </c>
    </row>
    <row r="232" spans="1:16" x14ac:dyDescent="0.2">
      <c r="A232" s="8">
        <v>115</v>
      </c>
      <c r="B232" s="8">
        <v>230</v>
      </c>
      <c r="D232">
        <v>1579.1936720997001</v>
      </c>
      <c r="E232">
        <v>376.83509108341002</v>
      </c>
      <c r="F232">
        <v>161.73493975904</v>
      </c>
      <c r="G232">
        <v>123.39084337349</v>
      </c>
      <c r="I232" s="9">
        <f t="shared" si="22"/>
        <v>253.44424770992003</v>
      </c>
      <c r="J232" s="9">
        <f t="shared" si="23"/>
        <v>1417.4587323406599</v>
      </c>
      <c r="K232" s="9">
        <f t="shared" si="24"/>
        <v>253.44424770992003</v>
      </c>
      <c r="L232" s="10">
        <f t="shared" si="21"/>
        <v>0.17880185287045761</v>
      </c>
      <c r="M232" s="10">
        <f t="shared" si="20"/>
        <v>0.24450503410758515</v>
      </c>
      <c r="P232" s="8">
        <f t="shared" si="25"/>
        <v>-4.9448354343721119</v>
      </c>
    </row>
    <row r="233" spans="1:16" x14ac:dyDescent="0.2">
      <c r="A233" s="8">
        <v>115.5</v>
      </c>
      <c r="B233" s="8">
        <v>231</v>
      </c>
      <c r="D233">
        <v>1608.9654841803001</v>
      </c>
      <c r="E233">
        <v>376.54026845637998</v>
      </c>
      <c r="F233">
        <v>162.26602409639</v>
      </c>
      <c r="G233">
        <v>123.75903614457999</v>
      </c>
      <c r="I233" s="9">
        <f t="shared" si="22"/>
        <v>252.78123231179998</v>
      </c>
      <c r="J233" s="9">
        <f t="shared" si="23"/>
        <v>1446.69946008391</v>
      </c>
      <c r="K233" s="9">
        <f t="shared" si="24"/>
        <v>252.78123231179998</v>
      </c>
      <c r="L233" s="10">
        <f t="shared" si="21"/>
        <v>0.17472960990608127</v>
      </c>
      <c r="M233" s="10">
        <f t="shared" si="20"/>
        <v>0.24071845714858764</v>
      </c>
      <c r="P233" s="8">
        <f t="shared" si="25"/>
        <v>-6.4169265808453888</v>
      </c>
    </row>
    <row r="234" spans="1:16" x14ac:dyDescent="0.2">
      <c r="A234" s="8">
        <v>116</v>
      </c>
      <c r="B234" s="8">
        <v>232</v>
      </c>
      <c r="D234">
        <v>1470.2411313519001</v>
      </c>
      <c r="E234">
        <v>352.02205177373003</v>
      </c>
      <c r="F234">
        <v>161.35855421687</v>
      </c>
      <c r="G234">
        <v>123.87373493976</v>
      </c>
      <c r="I234" s="9">
        <f t="shared" si="22"/>
        <v>228.14831683397003</v>
      </c>
      <c r="J234" s="9">
        <f t="shared" si="23"/>
        <v>1308.88257713503</v>
      </c>
      <c r="K234" s="9">
        <f t="shared" si="24"/>
        <v>228.14831683397003</v>
      </c>
      <c r="L234" s="10">
        <f t="shared" si="21"/>
        <v>0.17430770400608156</v>
      </c>
      <c r="M234" s="10">
        <f t="shared" si="20"/>
        <v>0.24058221725396672</v>
      </c>
      <c r="P234" s="8">
        <f t="shared" si="25"/>
        <v>-6.4698919754061262</v>
      </c>
    </row>
    <row r="235" spans="1:16" x14ac:dyDescent="0.2">
      <c r="A235" s="8">
        <v>116.5</v>
      </c>
      <c r="B235" s="8">
        <v>233</v>
      </c>
      <c r="D235">
        <v>1558.8905950096</v>
      </c>
      <c r="E235">
        <v>375.93090211131999</v>
      </c>
      <c r="F235">
        <v>161.41253012048</v>
      </c>
      <c r="G235">
        <v>123.43228915663001</v>
      </c>
      <c r="I235" s="9">
        <f t="shared" si="22"/>
        <v>252.49861295468997</v>
      </c>
      <c r="J235" s="9">
        <f t="shared" si="23"/>
        <v>1397.4780648891201</v>
      </c>
      <c r="K235" s="9">
        <f t="shared" si="24"/>
        <v>252.49861295468997</v>
      </c>
      <c r="L235" s="10">
        <f t="shared" si="21"/>
        <v>0.18068162878443744</v>
      </c>
      <c r="M235" s="10">
        <f t="shared" si="20"/>
        <v>0.24724180803770143</v>
      </c>
      <c r="P235" s="8">
        <f t="shared" si="25"/>
        <v>-3.8808716707808188</v>
      </c>
    </row>
    <row r="236" spans="1:16" x14ac:dyDescent="0.2">
      <c r="A236" s="8">
        <v>117</v>
      </c>
      <c r="B236" s="8">
        <v>234</v>
      </c>
      <c r="D236">
        <v>1443.6094049904</v>
      </c>
      <c r="E236">
        <v>359.85220729367001</v>
      </c>
      <c r="F236">
        <v>161.78554216868</v>
      </c>
      <c r="G236">
        <v>123.54746987951999</v>
      </c>
      <c r="I236" s="9">
        <f t="shared" si="22"/>
        <v>236.30473741415</v>
      </c>
      <c r="J236" s="9">
        <f t="shared" si="23"/>
        <v>1281.82386282172</v>
      </c>
      <c r="K236" s="9">
        <f t="shared" si="24"/>
        <v>236.30473741415</v>
      </c>
      <c r="L236" s="10">
        <f t="shared" si="21"/>
        <v>0.18435039654665564</v>
      </c>
      <c r="M236" s="10">
        <f t="shared" si="20"/>
        <v>0.25119624180529843</v>
      </c>
      <c r="P236" s="8">
        <f t="shared" si="25"/>
        <v>-2.3435235588502792</v>
      </c>
    </row>
    <row r="237" spans="1:16" x14ac:dyDescent="0.2">
      <c r="A237" s="8">
        <v>117.5</v>
      </c>
      <c r="B237" s="8">
        <v>235</v>
      </c>
      <c r="D237">
        <v>1432.2624760076999</v>
      </c>
      <c r="E237">
        <v>365.31669865642999</v>
      </c>
      <c r="F237">
        <v>161.53975903615</v>
      </c>
      <c r="G237">
        <v>123.66602409639</v>
      </c>
      <c r="I237" s="9">
        <f t="shared" si="22"/>
        <v>241.65067456003999</v>
      </c>
      <c r="J237" s="9">
        <f t="shared" si="23"/>
        <v>1270.72271697155</v>
      </c>
      <c r="K237" s="9">
        <f t="shared" si="24"/>
        <v>241.65067456003999</v>
      </c>
      <c r="L237" s="10">
        <f t="shared" si="21"/>
        <v>0.1901679031409417</v>
      </c>
      <c r="M237" s="10">
        <f t="shared" si="20"/>
        <v>0.25729941440496329</v>
      </c>
      <c r="P237" s="8">
        <f t="shared" si="25"/>
        <v>2.9180454999623025E-2</v>
      </c>
    </row>
    <row r="238" spans="1:16" x14ac:dyDescent="0.2">
      <c r="A238" s="8">
        <v>118</v>
      </c>
      <c r="B238" s="8">
        <v>236</v>
      </c>
      <c r="D238">
        <v>1462.8243761996</v>
      </c>
      <c r="E238">
        <v>372.66170825336002</v>
      </c>
      <c r="F238">
        <v>161.21204819277</v>
      </c>
      <c r="G238">
        <v>123.62409638554</v>
      </c>
      <c r="I238" s="9">
        <f t="shared" si="22"/>
        <v>249.03761186782003</v>
      </c>
      <c r="J238" s="9">
        <f t="shared" si="23"/>
        <v>1301.61232800683</v>
      </c>
      <c r="K238" s="9">
        <f t="shared" si="24"/>
        <v>249.03761186782003</v>
      </c>
      <c r="L238" s="10">
        <f t="shared" si="21"/>
        <v>0.19133009615019048</v>
      </c>
      <c r="M238" s="10">
        <f t="shared" si="20"/>
        <v>0.25874727341959092</v>
      </c>
      <c r="P238" s="8">
        <f t="shared" si="25"/>
        <v>0.59205834177024763</v>
      </c>
    </row>
    <row r="239" spans="1:16" x14ac:dyDescent="0.2">
      <c r="A239" s="8">
        <v>118.5</v>
      </c>
      <c r="B239" s="8">
        <v>237</v>
      </c>
      <c r="D239">
        <v>1591.7663776493</v>
      </c>
      <c r="E239">
        <v>382.80298651252002</v>
      </c>
      <c r="F239">
        <v>161.59710843374</v>
      </c>
      <c r="G239">
        <v>123.48433734939999</v>
      </c>
      <c r="I239" s="9">
        <f t="shared" si="22"/>
        <v>259.31864916312003</v>
      </c>
      <c r="J239" s="9">
        <f t="shared" si="23"/>
        <v>1430.16926921556</v>
      </c>
      <c r="K239" s="9">
        <f t="shared" si="24"/>
        <v>259.31864916312003</v>
      </c>
      <c r="L239" s="10">
        <f t="shared" si="21"/>
        <v>0.18132024980885997</v>
      </c>
      <c r="M239" s="10">
        <f t="shared" si="20"/>
        <v>0.24902309308363924</v>
      </c>
      <c r="P239" s="8">
        <f t="shared" si="25"/>
        <v>-3.1883691879672873</v>
      </c>
    </row>
    <row r="240" spans="1:16" x14ac:dyDescent="0.2">
      <c r="A240" s="8">
        <v>119</v>
      </c>
      <c r="B240" s="8">
        <v>238</v>
      </c>
      <c r="D240">
        <v>1707.2630057803999</v>
      </c>
      <c r="E240">
        <v>399.43448940270002</v>
      </c>
      <c r="F240">
        <v>161.14698795180999</v>
      </c>
      <c r="G240">
        <v>123.43951807229</v>
      </c>
      <c r="I240" s="9">
        <f t="shared" si="22"/>
        <v>275.99497133041001</v>
      </c>
      <c r="J240" s="9">
        <f t="shared" si="23"/>
        <v>1546.11601782859</v>
      </c>
      <c r="K240" s="9">
        <f t="shared" si="24"/>
        <v>275.99497133041001</v>
      </c>
      <c r="L240" s="10">
        <f t="shared" si="21"/>
        <v>0.17850857771852421</v>
      </c>
      <c r="M240" s="10">
        <f t="shared" si="20"/>
        <v>0.24649708699868228</v>
      </c>
      <c r="P240" s="8">
        <f t="shared" si="25"/>
        <v>-4.17039364801873</v>
      </c>
    </row>
    <row r="241" spans="1:16" x14ac:dyDescent="0.2">
      <c r="A241" s="8">
        <v>119.5</v>
      </c>
      <c r="B241" s="8">
        <v>239</v>
      </c>
      <c r="D241">
        <v>1546.2682341651</v>
      </c>
      <c r="E241">
        <v>368.09452975047998</v>
      </c>
      <c r="F241">
        <v>161.15951807229001</v>
      </c>
      <c r="G241">
        <v>123.71518072289</v>
      </c>
      <c r="I241" s="9">
        <f t="shared" si="22"/>
        <v>244.37934902758997</v>
      </c>
      <c r="J241" s="9">
        <f t="shared" si="23"/>
        <v>1385.10871609281</v>
      </c>
      <c r="K241" s="9">
        <f t="shared" si="24"/>
        <v>244.37934902758997</v>
      </c>
      <c r="L241" s="10">
        <f t="shared" si="21"/>
        <v>0.17643333421289017</v>
      </c>
      <c r="M241" s="10">
        <f t="shared" si="20"/>
        <v>0.24470750949842707</v>
      </c>
      <c r="P241" s="8">
        <f t="shared" si="25"/>
        <v>-4.8661199524303367</v>
      </c>
    </row>
    <row r="242" spans="1:16" x14ac:dyDescent="0.2">
      <c r="A242" s="8">
        <v>120</v>
      </c>
      <c r="B242" s="8">
        <v>240</v>
      </c>
      <c r="D242">
        <v>1590.3258157390001</v>
      </c>
      <c r="E242">
        <v>373.62140115162998</v>
      </c>
      <c r="F242">
        <v>160.84915662650999</v>
      </c>
      <c r="G242">
        <v>123.39855421687</v>
      </c>
      <c r="I242" s="9">
        <f>E242-G242</f>
        <v>250.22284693475999</v>
      </c>
      <c r="J242" s="9">
        <f>D242-F242</f>
        <v>1429.4766591124901</v>
      </c>
      <c r="K242" s="9">
        <f t="shared" si="24"/>
        <v>250.22284693475999</v>
      </c>
      <c r="L242" s="10">
        <f t="shared" si="21"/>
        <v>0.17504507355168306</v>
      </c>
      <c r="M242" s="10">
        <f>L242+ABS($N$2)*A242</f>
        <v>0.24360491484259875</v>
      </c>
      <c r="O242" s="11"/>
      <c r="P242" s="8">
        <f>(M242-$O$2)/$O$2*100</f>
        <v>-5.2947709077837812</v>
      </c>
    </row>
    <row r="243" spans="1:16" x14ac:dyDescent="0.2">
      <c r="A243" s="8">
        <v>120.5</v>
      </c>
      <c r="B243" s="8">
        <v>241</v>
      </c>
      <c r="D243">
        <v>1616.4875239923001</v>
      </c>
      <c r="E243">
        <v>378.28502879079002</v>
      </c>
      <c r="F243">
        <v>161.32674698795</v>
      </c>
      <c r="G243">
        <v>123.37831325301001</v>
      </c>
      <c r="I243" s="9">
        <f t="shared" ref="I243:I274" si="26">E243-G243</f>
        <v>254.90671553778003</v>
      </c>
      <c r="J243" s="9">
        <f t="shared" ref="J243:J274" si="27">D243-F243</f>
        <v>1455.1607770043502</v>
      </c>
      <c r="K243" s="9">
        <f t="shared" si="24"/>
        <v>254.90671553778003</v>
      </c>
      <c r="L243" s="10">
        <f t="shared" si="21"/>
        <v>0.17517426223000648</v>
      </c>
      <c r="M243" s="10">
        <f t="shared" ref="M243:M274" si="28">L243+ABS($N$2)*A243</f>
        <v>0.244019769526301</v>
      </c>
      <c r="P243" s="8">
        <f t="shared" ref="P243:P274" si="29">(M243-$O$2)/$O$2*100</f>
        <v>-5.1334896467493447</v>
      </c>
    </row>
    <row r="244" spans="1:16" x14ac:dyDescent="0.2">
      <c r="A244" s="8">
        <v>121</v>
      </c>
      <c r="B244" s="8">
        <v>242</v>
      </c>
      <c r="D244">
        <v>1653.0183044316</v>
      </c>
      <c r="E244">
        <v>381.42341040461997</v>
      </c>
      <c r="F244">
        <v>160.95807228915999</v>
      </c>
      <c r="G244">
        <v>123.65349397590001</v>
      </c>
      <c r="I244" s="9">
        <f t="shared" si="26"/>
        <v>257.76991642871997</v>
      </c>
      <c r="J244" s="9">
        <f t="shared" si="27"/>
        <v>1492.0602321424399</v>
      </c>
      <c r="K244" s="9">
        <f t="shared" si="24"/>
        <v>257.76991642871997</v>
      </c>
      <c r="L244" s="10">
        <f t="shared" si="21"/>
        <v>0.17276106612572187</v>
      </c>
      <c r="M244" s="10">
        <f t="shared" si="28"/>
        <v>0.24189223942739518</v>
      </c>
      <c r="N244" s="1"/>
      <c r="P244" s="8">
        <f t="shared" si="29"/>
        <v>-5.9606003212102809</v>
      </c>
    </row>
    <row r="245" spans="1:16" x14ac:dyDescent="0.2">
      <c r="A245" s="8">
        <v>121.5</v>
      </c>
      <c r="B245" s="8">
        <v>243</v>
      </c>
      <c r="D245">
        <v>1538.9407514451</v>
      </c>
      <c r="E245">
        <v>369.54865125241002</v>
      </c>
      <c r="F245">
        <v>160.80771084336999</v>
      </c>
      <c r="G245">
        <v>123.43903614458</v>
      </c>
      <c r="I245" s="9">
        <f t="shared" si="26"/>
        <v>246.10961510783002</v>
      </c>
      <c r="J245" s="9">
        <f t="shared" si="27"/>
        <v>1378.13304060173</v>
      </c>
      <c r="K245" s="9">
        <f t="shared" si="24"/>
        <v>246.10961510783002</v>
      </c>
      <c r="L245" s="10">
        <f t="shared" si="21"/>
        <v>0.17858189874061212</v>
      </c>
      <c r="M245" s="10">
        <f t="shared" si="28"/>
        <v>0.24799873804766426</v>
      </c>
      <c r="P245" s="8">
        <f t="shared" si="29"/>
        <v>-3.5866032647159365</v>
      </c>
    </row>
    <row r="246" spans="1:16" x14ac:dyDescent="0.2">
      <c r="A246" s="8">
        <v>122</v>
      </c>
      <c r="B246" s="8">
        <v>244</v>
      </c>
      <c r="D246">
        <v>1577.2658959538001</v>
      </c>
      <c r="E246">
        <v>383.71917148362002</v>
      </c>
      <c r="F246">
        <v>160.86313253012</v>
      </c>
      <c r="G246">
        <v>123.36674698794999</v>
      </c>
      <c r="I246" s="9">
        <f t="shared" si="26"/>
        <v>260.35242449566999</v>
      </c>
      <c r="J246" s="9">
        <f t="shared" si="27"/>
        <v>1416.40276342368</v>
      </c>
      <c r="K246" s="9">
        <f t="shared" si="24"/>
        <v>260.35242449566999</v>
      </c>
      <c r="L246" s="10">
        <f t="shared" si="21"/>
        <v>0.18381242342845694</v>
      </c>
      <c r="M246" s="10">
        <f t="shared" si="28"/>
        <v>0.25351492874088788</v>
      </c>
      <c r="P246" s="8">
        <f t="shared" si="29"/>
        <v>-1.4420976677921553</v>
      </c>
    </row>
    <row r="247" spans="1:16" x14ac:dyDescent="0.2">
      <c r="A247" s="8">
        <v>122.5</v>
      </c>
      <c r="B247" s="8">
        <v>245</v>
      </c>
      <c r="D247">
        <v>1511.8973988439</v>
      </c>
      <c r="E247">
        <v>369.06406551060002</v>
      </c>
      <c r="F247">
        <v>161.74024096386</v>
      </c>
      <c r="G247">
        <v>123.17783132530001</v>
      </c>
      <c r="I247" s="9">
        <f t="shared" si="26"/>
        <v>245.8862341853</v>
      </c>
      <c r="J247" s="9">
        <f t="shared" si="27"/>
        <v>1350.1571578800399</v>
      </c>
      <c r="K247" s="9">
        <f t="shared" si="24"/>
        <v>245.8862341853</v>
      </c>
      <c r="L247" s="10">
        <f t="shared" si="21"/>
        <v>0.18211675044657782</v>
      </c>
      <c r="M247" s="10">
        <f t="shared" si="28"/>
        <v>0.25210492176438759</v>
      </c>
      <c r="P247" s="8">
        <f t="shared" si="29"/>
        <v>-1.990259981419384</v>
      </c>
    </row>
    <row r="248" spans="1:16" x14ac:dyDescent="0.2">
      <c r="A248" s="8">
        <v>123</v>
      </c>
      <c r="B248" s="8">
        <v>246</v>
      </c>
      <c r="D248">
        <v>1462.3188824663</v>
      </c>
      <c r="E248">
        <v>359.44797687861001</v>
      </c>
      <c r="F248">
        <v>161.26602409639</v>
      </c>
      <c r="G248">
        <v>123.27277108433999</v>
      </c>
      <c r="I248" s="9">
        <f t="shared" si="26"/>
        <v>236.17520579427003</v>
      </c>
      <c r="J248" s="9">
        <f t="shared" si="27"/>
        <v>1301.0528583699099</v>
      </c>
      <c r="K248" s="9">
        <f t="shared" si="24"/>
        <v>236.17520579427003</v>
      </c>
      <c r="L248" s="10">
        <f t="shared" si="21"/>
        <v>0.18152621876575722</v>
      </c>
      <c r="M248" s="10">
        <f t="shared" si="28"/>
        <v>0.25180005608894585</v>
      </c>
      <c r="P248" s="8">
        <f t="shared" si="29"/>
        <v>-2.1087812914418818</v>
      </c>
    </row>
    <row r="249" spans="1:16" x14ac:dyDescent="0.2">
      <c r="A249" s="8">
        <v>123.5</v>
      </c>
      <c r="B249" s="8">
        <v>247</v>
      </c>
      <c r="D249">
        <v>1505.0192678226999</v>
      </c>
      <c r="E249">
        <v>364.46724470135001</v>
      </c>
      <c r="F249">
        <v>160.57975903614999</v>
      </c>
      <c r="G249">
        <v>123.63421686747</v>
      </c>
      <c r="I249" s="9">
        <f t="shared" si="26"/>
        <v>240.83302783388001</v>
      </c>
      <c r="J249" s="9">
        <f t="shared" si="27"/>
        <v>1344.43950878655</v>
      </c>
      <c r="K249" s="9">
        <f t="shared" si="24"/>
        <v>240.83302783388001</v>
      </c>
      <c r="L249" s="10">
        <f t="shared" si="21"/>
        <v>0.17913266179692125</v>
      </c>
      <c r="M249" s="10">
        <f t="shared" si="28"/>
        <v>0.24969216512548864</v>
      </c>
      <c r="P249" s="8">
        <f t="shared" si="29"/>
        <v>-2.9282569441585493</v>
      </c>
    </row>
    <row r="250" spans="1:16" x14ac:dyDescent="0.2">
      <c r="A250" s="8">
        <v>124</v>
      </c>
      <c r="B250" s="8">
        <v>248</v>
      </c>
      <c r="D250">
        <v>1628.2990878541</v>
      </c>
      <c r="E250">
        <v>380.36341814690002</v>
      </c>
      <c r="F250">
        <v>160.38168674699</v>
      </c>
      <c r="G250">
        <v>123.26698795180999</v>
      </c>
      <c r="I250" s="9">
        <f t="shared" si="26"/>
        <v>257.09643019509002</v>
      </c>
      <c r="J250" s="9">
        <f t="shared" si="27"/>
        <v>1467.91740110711</v>
      </c>
      <c r="K250" s="9">
        <f t="shared" si="24"/>
        <v>257.09643019509002</v>
      </c>
      <c r="L250" s="10">
        <f t="shared" si="21"/>
        <v>0.17514366271643536</v>
      </c>
      <c r="M250" s="10">
        <f t="shared" si="28"/>
        <v>0.24598883205038158</v>
      </c>
      <c r="P250" s="8">
        <f t="shared" si="29"/>
        <v>-4.3679857259419999</v>
      </c>
    </row>
    <row r="251" spans="1:16" x14ac:dyDescent="0.2">
      <c r="A251" s="8">
        <v>124.5</v>
      </c>
      <c r="B251" s="8">
        <v>249</v>
      </c>
      <c r="D251">
        <v>1642.5506967803999</v>
      </c>
      <c r="E251">
        <v>382.71936568957</v>
      </c>
      <c r="F251">
        <v>160.49397590360999</v>
      </c>
      <c r="G251">
        <v>123.51036144578001</v>
      </c>
      <c r="I251" s="9">
        <f t="shared" si="26"/>
        <v>259.20900424378999</v>
      </c>
      <c r="J251" s="9">
        <f t="shared" si="27"/>
        <v>1482.05672087679</v>
      </c>
      <c r="K251" s="9">
        <f t="shared" si="24"/>
        <v>259.20900424378999</v>
      </c>
      <c r="L251" s="10">
        <f t="shared" si="21"/>
        <v>0.17489816725127835</v>
      </c>
      <c r="M251" s="10">
        <f t="shared" si="28"/>
        <v>0.2460290025906034</v>
      </c>
      <c r="P251" s="8">
        <f t="shared" si="29"/>
        <v>-4.3523687987674258</v>
      </c>
    </row>
    <row r="252" spans="1:16" x14ac:dyDescent="0.2">
      <c r="A252" s="8">
        <v>125</v>
      </c>
      <c r="B252" s="8">
        <v>250</v>
      </c>
      <c r="D252">
        <v>1546.0764055742</v>
      </c>
      <c r="E252">
        <v>365.16146083614001</v>
      </c>
      <c r="F252">
        <v>161.03180722892</v>
      </c>
      <c r="G252">
        <v>123.27951807229</v>
      </c>
      <c r="I252" s="9">
        <f t="shared" si="26"/>
        <v>241.88194276385002</v>
      </c>
      <c r="J252" s="9">
        <f t="shared" si="27"/>
        <v>1385.0445983452801</v>
      </c>
      <c r="K252" s="9">
        <f t="shared" si="24"/>
        <v>241.88194276385002</v>
      </c>
      <c r="L252" s="10">
        <f t="shared" si="21"/>
        <v>0.17463837847014285</v>
      </c>
      <c r="M252" s="10">
        <f t="shared" si="28"/>
        <v>0.24605487981484669</v>
      </c>
      <c r="P252" s="8">
        <f t="shared" si="29"/>
        <v>-4.3423086222237144</v>
      </c>
    </row>
    <row r="253" spans="1:16" x14ac:dyDescent="0.2">
      <c r="A253" s="8">
        <v>125.5</v>
      </c>
      <c r="B253" s="8">
        <v>251</v>
      </c>
      <c r="D253">
        <v>1515.3655139289001</v>
      </c>
      <c r="E253">
        <v>354.91162343899998</v>
      </c>
      <c r="F253">
        <v>160.94554216867999</v>
      </c>
      <c r="G253">
        <v>123.35518072289</v>
      </c>
      <c r="I253" s="9">
        <f t="shared" si="26"/>
        <v>231.55644271610998</v>
      </c>
      <c r="J253" s="9">
        <f t="shared" si="27"/>
        <v>1354.4199717602201</v>
      </c>
      <c r="K253" s="9">
        <f t="shared" si="24"/>
        <v>231.55644271610998</v>
      </c>
      <c r="L253" s="10">
        <f t="shared" si="21"/>
        <v>0.17096354715973106</v>
      </c>
      <c r="M253" s="10">
        <f t="shared" si="28"/>
        <v>0.24266571450981372</v>
      </c>
      <c r="P253" s="8">
        <f t="shared" si="29"/>
        <v>-5.6598997588882964</v>
      </c>
    </row>
    <row r="254" spans="1:16" x14ac:dyDescent="0.2">
      <c r="A254" s="8">
        <v>126</v>
      </c>
      <c r="B254" s="8">
        <v>252</v>
      </c>
      <c r="D254">
        <v>1495.4121037463999</v>
      </c>
      <c r="E254">
        <v>355.06676272815002</v>
      </c>
      <c r="F254">
        <v>160.71807228916001</v>
      </c>
      <c r="G254">
        <v>123.23373493976</v>
      </c>
      <c r="I254" s="9">
        <f t="shared" si="26"/>
        <v>231.83302778839004</v>
      </c>
      <c r="J254" s="9">
        <f t="shared" si="27"/>
        <v>1334.6940314572398</v>
      </c>
      <c r="K254" s="9">
        <f t="shared" si="24"/>
        <v>231.83302778839004</v>
      </c>
      <c r="L254" s="10">
        <f t="shared" si="21"/>
        <v>0.17369750843590057</v>
      </c>
      <c r="M254" s="10">
        <f t="shared" si="28"/>
        <v>0.24568534179136203</v>
      </c>
      <c r="P254" s="8">
        <f t="shared" si="29"/>
        <v>-4.4859723212710527</v>
      </c>
    </row>
    <row r="255" spans="1:16" x14ac:dyDescent="0.2">
      <c r="A255" s="8">
        <v>126.5</v>
      </c>
      <c r="B255" s="8">
        <v>253</v>
      </c>
      <c r="D255">
        <v>1514.7315081652</v>
      </c>
      <c r="E255">
        <v>357.53025936598999</v>
      </c>
      <c r="F255">
        <v>160.39518072288999</v>
      </c>
      <c r="G255">
        <v>123.39228915663</v>
      </c>
      <c r="I255" s="9">
        <f t="shared" si="26"/>
        <v>234.13797020935999</v>
      </c>
      <c r="J255" s="9">
        <f t="shared" si="27"/>
        <v>1354.33632744231</v>
      </c>
      <c r="K255" s="9">
        <f t="shared" si="24"/>
        <v>234.13797020935999</v>
      </c>
      <c r="L255" s="10">
        <f t="shared" si="21"/>
        <v>0.17288022588269047</v>
      </c>
      <c r="M255" s="10">
        <f t="shared" si="28"/>
        <v>0.24515372524353077</v>
      </c>
      <c r="P255" s="8">
        <f t="shared" si="29"/>
        <v>-4.6926465871991594</v>
      </c>
    </row>
    <row r="256" spans="1:16" x14ac:dyDescent="0.2">
      <c r="A256" s="8">
        <v>127</v>
      </c>
      <c r="B256" s="8">
        <v>254</v>
      </c>
      <c r="D256">
        <v>1507.5115273775</v>
      </c>
      <c r="E256">
        <v>352.67098943323998</v>
      </c>
      <c r="F256">
        <v>160.65156626506001</v>
      </c>
      <c r="G256">
        <v>123.26987951807</v>
      </c>
      <c r="I256" s="9">
        <f t="shared" si="26"/>
        <v>229.40110991516997</v>
      </c>
      <c r="J256" s="9">
        <f t="shared" si="27"/>
        <v>1346.85996111244</v>
      </c>
      <c r="K256" s="9">
        <f t="shared" si="24"/>
        <v>229.40110991516997</v>
      </c>
      <c r="L256" s="10">
        <f t="shared" si="21"/>
        <v>0.1703229114671253</v>
      </c>
      <c r="M256" s="10">
        <f t="shared" si="28"/>
        <v>0.24288207683334442</v>
      </c>
      <c r="P256" s="8">
        <f t="shared" si="29"/>
        <v>-5.5757855141895023</v>
      </c>
    </row>
    <row r="257" spans="1:16" x14ac:dyDescent="0.2">
      <c r="A257" s="8">
        <v>127.5</v>
      </c>
      <c r="B257" s="8">
        <v>255</v>
      </c>
      <c r="D257">
        <v>1498.5518731989</v>
      </c>
      <c r="E257">
        <v>349.90922190202002</v>
      </c>
      <c r="F257">
        <v>160.92096385542001</v>
      </c>
      <c r="G257">
        <v>123.26409638554</v>
      </c>
      <c r="I257" s="9">
        <f t="shared" si="26"/>
        <v>226.64512551648002</v>
      </c>
      <c r="J257" s="9">
        <f t="shared" si="27"/>
        <v>1337.63090934348</v>
      </c>
      <c r="K257" s="9">
        <f t="shared" si="24"/>
        <v>226.64512551648002</v>
      </c>
      <c r="L257" s="10">
        <f t="shared" si="21"/>
        <v>0.16943771554121703</v>
      </c>
      <c r="M257" s="10">
        <f t="shared" si="28"/>
        <v>0.24228254691281498</v>
      </c>
      <c r="P257" s="8">
        <f t="shared" si="29"/>
        <v>-5.8088621682794495</v>
      </c>
    </row>
    <row r="258" spans="1:16" x14ac:dyDescent="0.2">
      <c r="A258" s="8">
        <v>128</v>
      </c>
      <c r="B258" s="8">
        <v>256</v>
      </c>
      <c r="D258">
        <v>1599.0302593660001</v>
      </c>
      <c r="E258">
        <v>365.32853025936998</v>
      </c>
      <c r="F258">
        <v>160.61927710843</v>
      </c>
      <c r="G258">
        <v>123.29397590361</v>
      </c>
      <c r="I258" s="9">
        <f t="shared" si="26"/>
        <v>242.03455435575998</v>
      </c>
      <c r="J258" s="9">
        <f t="shared" si="27"/>
        <v>1438.4109822575701</v>
      </c>
      <c r="K258" s="9">
        <f t="shared" si="24"/>
        <v>242.03455435575998</v>
      </c>
      <c r="L258" s="10">
        <f t="shared" ref="L258:L321" si="30">K258/J258</f>
        <v>0.1682652297161201</v>
      </c>
      <c r="M258" s="10">
        <f t="shared" si="28"/>
        <v>0.24139572709309684</v>
      </c>
      <c r="P258" s="8">
        <f t="shared" si="29"/>
        <v>-6.1536272738775466</v>
      </c>
    </row>
    <row r="259" spans="1:16" x14ac:dyDescent="0.2">
      <c r="A259" s="8">
        <v>128.5</v>
      </c>
      <c r="B259" s="8">
        <v>257</v>
      </c>
      <c r="D259">
        <v>1630.1051873199001</v>
      </c>
      <c r="E259">
        <v>368.30019212296003</v>
      </c>
      <c r="F259">
        <v>160.10072289157</v>
      </c>
      <c r="G259">
        <v>123.08289156627001</v>
      </c>
      <c r="I259" s="9">
        <f t="shared" si="26"/>
        <v>245.21730055669002</v>
      </c>
      <c r="J259" s="9">
        <f t="shared" si="27"/>
        <v>1470.00446442833</v>
      </c>
      <c r="K259" s="9">
        <f t="shared" ref="K259:K322" si="31">I259*1</f>
        <v>245.21730055669002</v>
      </c>
      <c r="L259" s="10">
        <f t="shared" si="30"/>
        <v>0.16681398355620136</v>
      </c>
      <c r="M259" s="10">
        <f t="shared" si="28"/>
        <v>0.24023014693855693</v>
      </c>
      <c r="P259" s="8">
        <f t="shared" si="29"/>
        <v>-6.6067648291373295</v>
      </c>
    </row>
    <row r="260" spans="1:16" x14ac:dyDescent="0.2">
      <c r="A260" s="8">
        <v>129</v>
      </c>
      <c r="B260" s="8">
        <v>258</v>
      </c>
      <c r="D260">
        <v>1661.8467819404</v>
      </c>
      <c r="E260">
        <v>374.88280499519999</v>
      </c>
      <c r="F260">
        <v>160.65927710842999</v>
      </c>
      <c r="G260">
        <v>123.27710843374</v>
      </c>
      <c r="I260" s="9">
        <f t="shared" si="26"/>
        <v>251.60569656145998</v>
      </c>
      <c r="J260" s="9">
        <f t="shared" si="27"/>
        <v>1501.18750483197</v>
      </c>
      <c r="K260" s="9">
        <f t="shared" si="31"/>
        <v>251.60569656145998</v>
      </c>
      <c r="L260" s="10">
        <f t="shared" si="30"/>
        <v>0.16760444364984409</v>
      </c>
      <c r="M260" s="10">
        <f t="shared" si="28"/>
        <v>0.24130627303757846</v>
      </c>
      <c r="P260" s="8">
        <f t="shared" si="29"/>
        <v>-6.188403940130649</v>
      </c>
    </row>
    <row r="261" spans="1:16" x14ac:dyDescent="0.2">
      <c r="A261" s="8">
        <v>129.5</v>
      </c>
      <c r="B261" s="8">
        <v>259</v>
      </c>
      <c r="D261">
        <v>1565.1890067502</v>
      </c>
      <c r="E261">
        <v>357.43346190935</v>
      </c>
      <c r="F261">
        <v>160.35903614457999</v>
      </c>
      <c r="G261">
        <v>123.16722891566</v>
      </c>
      <c r="I261" s="9">
        <f t="shared" si="26"/>
        <v>234.26623299368998</v>
      </c>
      <c r="J261" s="9">
        <f t="shared" si="27"/>
        <v>1404.82997060562</v>
      </c>
      <c r="K261" s="9">
        <f t="shared" si="31"/>
        <v>234.26623299368998</v>
      </c>
      <c r="L261" s="10">
        <f t="shared" si="30"/>
        <v>0.16675771295845729</v>
      </c>
      <c r="M261" s="10">
        <f t="shared" si="28"/>
        <v>0.24074520835157048</v>
      </c>
      <c r="P261" s="8">
        <f t="shared" si="29"/>
        <v>-6.406526631367278</v>
      </c>
    </row>
    <row r="262" spans="1:16" x14ac:dyDescent="0.2">
      <c r="A262" s="8">
        <v>130</v>
      </c>
      <c r="B262" s="8">
        <v>260</v>
      </c>
      <c r="D262">
        <v>1505.6335583414</v>
      </c>
      <c r="E262">
        <v>346.59594985535</v>
      </c>
      <c r="F262">
        <v>160.36144578312999</v>
      </c>
      <c r="G262">
        <v>122.81397590361</v>
      </c>
      <c r="I262" s="9">
        <f t="shared" si="26"/>
        <v>223.78197395173999</v>
      </c>
      <c r="J262" s="9">
        <f t="shared" si="27"/>
        <v>1345.27211255827</v>
      </c>
      <c r="K262" s="9">
        <f t="shared" si="31"/>
        <v>223.78197395173999</v>
      </c>
      <c r="L262" s="10">
        <f t="shared" si="30"/>
        <v>0.16634699542398115</v>
      </c>
      <c r="M262" s="10">
        <f t="shared" si="28"/>
        <v>0.24062015682247317</v>
      </c>
      <c r="P262" s="8">
        <f t="shared" si="29"/>
        <v>-6.4551423734558337</v>
      </c>
    </row>
    <row r="263" spans="1:16" x14ac:dyDescent="0.2">
      <c r="A263" s="8">
        <v>130.5</v>
      </c>
      <c r="B263" s="8">
        <v>261</v>
      </c>
      <c r="D263">
        <v>1621.3373435996</v>
      </c>
      <c r="E263">
        <v>371.90952839268999</v>
      </c>
      <c r="F263">
        <v>160.30987951807001</v>
      </c>
      <c r="G263">
        <v>122.9556626506</v>
      </c>
      <c r="I263" s="9">
        <f t="shared" si="26"/>
        <v>248.95386574208999</v>
      </c>
      <c r="J263" s="9">
        <f t="shared" si="27"/>
        <v>1461.0274640815301</v>
      </c>
      <c r="K263" s="9">
        <f t="shared" si="31"/>
        <v>248.95386574208999</v>
      </c>
      <c r="L263" s="10">
        <f t="shared" si="30"/>
        <v>0.17039643118453901</v>
      </c>
      <c r="M263" s="10">
        <f t="shared" si="28"/>
        <v>0.24495525858840983</v>
      </c>
      <c r="P263" s="8">
        <f t="shared" si="29"/>
        <v>-4.7698036102934553</v>
      </c>
    </row>
    <row r="264" spans="1:16" x14ac:dyDescent="0.2">
      <c r="A264" s="8">
        <v>131</v>
      </c>
      <c r="B264" s="8">
        <v>262</v>
      </c>
      <c r="D264">
        <v>1639.3306063523</v>
      </c>
      <c r="E264">
        <v>382.98075072184997</v>
      </c>
      <c r="F264">
        <v>160.43084337349001</v>
      </c>
      <c r="G264">
        <v>122.87036144578001</v>
      </c>
      <c r="I264" s="9">
        <f t="shared" si="26"/>
        <v>260.11038927606995</v>
      </c>
      <c r="J264" s="9">
        <f t="shared" si="27"/>
        <v>1478.89976297881</v>
      </c>
      <c r="K264" s="9">
        <f t="shared" si="31"/>
        <v>260.11038927606995</v>
      </c>
      <c r="L264" s="10">
        <f t="shared" si="30"/>
        <v>0.17588101356656777</v>
      </c>
      <c r="M264" s="10">
        <f t="shared" si="28"/>
        <v>0.25072550697581741</v>
      </c>
      <c r="P264" s="8">
        <f t="shared" si="29"/>
        <v>-2.5265291024637566</v>
      </c>
    </row>
    <row r="265" spans="1:16" x14ac:dyDescent="0.2">
      <c r="A265" s="8">
        <v>131.5</v>
      </c>
      <c r="B265" s="8">
        <v>263</v>
      </c>
      <c r="D265">
        <v>1659.7338787296001</v>
      </c>
      <c r="E265">
        <v>399.82820019248999</v>
      </c>
      <c r="F265">
        <v>160.19807228916</v>
      </c>
      <c r="G265">
        <v>123.13975903615</v>
      </c>
      <c r="I265" s="9">
        <f t="shared" si="26"/>
        <v>276.68844115633999</v>
      </c>
      <c r="J265" s="9">
        <f t="shared" si="27"/>
        <v>1499.53580644044</v>
      </c>
      <c r="K265" s="9">
        <f t="shared" si="31"/>
        <v>276.68844115633999</v>
      </c>
      <c r="L265" s="10">
        <f t="shared" si="30"/>
        <v>0.18451606154916433</v>
      </c>
      <c r="M265" s="10">
        <f t="shared" si="28"/>
        <v>0.25964622096379281</v>
      </c>
      <c r="P265" s="8">
        <f t="shared" si="29"/>
        <v>0.94153829036050363</v>
      </c>
    </row>
    <row r="266" spans="1:16" x14ac:dyDescent="0.2">
      <c r="A266" s="8">
        <v>132</v>
      </c>
      <c r="B266" s="8">
        <v>264</v>
      </c>
      <c r="D266">
        <v>1637.7872954764</v>
      </c>
      <c r="E266">
        <v>396.41867179981</v>
      </c>
      <c r="F266">
        <v>160.19710843374</v>
      </c>
      <c r="G266">
        <v>122.89493975904</v>
      </c>
      <c r="I266" s="9">
        <f t="shared" si="26"/>
        <v>273.52373204077003</v>
      </c>
      <c r="J266" s="9">
        <f t="shared" si="27"/>
        <v>1477.5901870426601</v>
      </c>
      <c r="K266" s="9">
        <f t="shared" si="31"/>
        <v>273.52373204077003</v>
      </c>
      <c r="L266" s="10">
        <f t="shared" si="30"/>
        <v>0.18511474591491248</v>
      </c>
      <c r="M266" s="10">
        <f t="shared" si="28"/>
        <v>0.26053057133491975</v>
      </c>
      <c r="P266" s="8">
        <f t="shared" si="29"/>
        <v>1.2853433591107737</v>
      </c>
    </row>
    <row r="267" spans="1:16" x14ac:dyDescent="0.2">
      <c r="A267" s="8">
        <v>132.5</v>
      </c>
      <c r="B267" s="8">
        <v>265</v>
      </c>
      <c r="D267">
        <v>1693.3840230991</v>
      </c>
      <c r="E267">
        <v>398.26419634263999</v>
      </c>
      <c r="F267">
        <v>159.84096385542</v>
      </c>
      <c r="G267">
        <v>123.0443373494</v>
      </c>
      <c r="I267" s="9">
        <f t="shared" si="26"/>
        <v>275.21985899324</v>
      </c>
      <c r="J267" s="9">
        <f t="shared" si="27"/>
        <v>1533.5430592436801</v>
      </c>
      <c r="K267" s="9">
        <f t="shared" si="31"/>
        <v>275.21985899324</v>
      </c>
      <c r="L267" s="10">
        <f t="shared" si="30"/>
        <v>0.17946666533704911</v>
      </c>
      <c r="M267" s="10">
        <f t="shared" si="28"/>
        <v>0.25516815676243521</v>
      </c>
      <c r="P267" s="8">
        <f t="shared" si="29"/>
        <v>-0.79937936047279956</v>
      </c>
    </row>
    <row r="268" spans="1:16" x14ac:dyDescent="0.2">
      <c r="A268" s="8">
        <v>133</v>
      </c>
      <c r="B268" s="8">
        <v>266</v>
      </c>
      <c r="D268">
        <v>1735.1053897979</v>
      </c>
      <c r="E268">
        <v>401.56159769009003</v>
      </c>
      <c r="F268">
        <v>159.56385542168999</v>
      </c>
      <c r="G268">
        <v>123.01301204819001</v>
      </c>
      <c r="I268" s="9">
        <f t="shared" si="26"/>
        <v>278.54858564189999</v>
      </c>
      <c r="J268" s="9">
        <f t="shared" si="27"/>
        <v>1575.5415343762099</v>
      </c>
      <c r="K268" s="9">
        <f t="shared" si="31"/>
        <v>278.54858564189999</v>
      </c>
      <c r="L268" s="10">
        <f t="shared" si="30"/>
        <v>0.17679545703133953</v>
      </c>
      <c r="M268" s="10">
        <f t="shared" si="28"/>
        <v>0.25278261446210443</v>
      </c>
      <c r="P268" s="8">
        <f t="shared" si="29"/>
        <v>-1.7267963225155212</v>
      </c>
    </row>
    <row r="269" spans="1:16" x14ac:dyDescent="0.2">
      <c r="A269" s="8">
        <v>133.5</v>
      </c>
      <c r="B269" s="8">
        <v>267</v>
      </c>
      <c r="D269">
        <v>1750.2627526468</v>
      </c>
      <c r="E269">
        <v>405.86284889317</v>
      </c>
      <c r="F269">
        <v>159.97879518072</v>
      </c>
      <c r="G269">
        <v>122.93590361446</v>
      </c>
      <c r="I269" s="9">
        <f t="shared" si="26"/>
        <v>282.92694527870998</v>
      </c>
      <c r="J269" s="9">
        <f t="shared" si="27"/>
        <v>1590.28395746608</v>
      </c>
      <c r="K269" s="9">
        <f t="shared" si="31"/>
        <v>282.92694527870998</v>
      </c>
      <c r="L269" s="10">
        <f t="shared" si="30"/>
        <v>0.17790970219527269</v>
      </c>
      <c r="M269" s="10">
        <f t="shared" si="28"/>
        <v>0.25418252563141641</v>
      </c>
      <c r="P269" s="8">
        <f t="shared" si="29"/>
        <v>-1.1825589121820415</v>
      </c>
    </row>
    <row r="270" spans="1:16" x14ac:dyDescent="0.2">
      <c r="A270" s="8">
        <v>134</v>
      </c>
      <c r="B270" s="8">
        <v>268</v>
      </c>
      <c r="D270">
        <v>1799.1530317613001</v>
      </c>
      <c r="E270">
        <v>408.43358999038003</v>
      </c>
      <c r="F270">
        <v>159.90072289157001</v>
      </c>
      <c r="G270">
        <v>122.98939759036</v>
      </c>
      <c r="I270" s="9">
        <f t="shared" si="26"/>
        <v>285.44419240002003</v>
      </c>
      <c r="J270" s="9">
        <f t="shared" si="27"/>
        <v>1639.2523088697301</v>
      </c>
      <c r="K270" s="9">
        <f t="shared" si="31"/>
        <v>285.44419240002003</v>
      </c>
      <c r="L270" s="10">
        <f t="shared" si="30"/>
        <v>0.17413072463313153</v>
      </c>
      <c r="M270" s="10">
        <f t="shared" si="28"/>
        <v>0.25068921407465405</v>
      </c>
      <c r="P270" s="8">
        <f t="shared" si="29"/>
        <v>-2.5406385366733164</v>
      </c>
    </row>
    <row r="271" spans="1:16" x14ac:dyDescent="0.2">
      <c r="A271" s="8">
        <v>134.5</v>
      </c>
      <c r="B271" s="8">
        <v>269</v>
      </c>
      <c r="D271">
        <v>1791.9201154957</v>
      </c>
      <c r="E271">
        <v>404.60923965350997</v>
      </c>
      <c r="F271">
        <v>159.97253012048</v>
      </c>
      <c r="G271">
        <v>122.82216867469999</v>
      </c>
      <c r="I271" s="9">
        <f t="shared" si="26"/>
        <v>281.78707097880999</v>
      </c>
      <c r="J271" s="9">
        <f t="shared" si="27"/>
        <v>1631.9475853752199</v>
      </c>
      <c r="K271" s="9">
        <f t="shared" si="31"/>
        <v>281.78707097880999</v>
      </c>
      <c r="L271" s="10">
        <f t="shared" si="30"/>
        <v>0.17266919201576017</v>
      </c>
      <c r="M271" s="10">
        <f t="shared" si="28"/>
        <v>0.24951334746266152</v>
      </c>
      <c r="P271" s="8">
        <f t="shared" si="29"/>
        <v>-2.9977751135055009</v>
      </c>
    </row>
    <row r="272" spans="1:16" x14ac:dyDescent="0.2">
      <c r="A272" s="8">
        <v>135</v>
      </c>
      <c r="B272" s="8">
        <v>270</v>
      </c>
      <c r="D272">
        <v>1784.3734359962</v>
      </c>
      <c r="E272">
        <v>399.53946102021001</v>
      </c>
      <c r="F272">
        <v>160.11951807228999</v>
      </c>
      <c r="G272">
        <v>122.78506024095999</v>
      </c>
      <c r="I272" s="9">
        <f t="shared" si="26"/>
        <v>276.75440077925003</v>
      </c>
      <c r="J272" s="9">
        <f t="shared" si="27"/>
        <v>1624.25391792391</v>
      </c>
      <c r="K272" s="9">
        <f t="shared" si="31"/>
        <v>276.75440077925003</v>
      </c>
      <c r="L272" s="10">
        <f t="shared" si="30"/>
        <v>0.17038863057384043</v>
      </c>
      <c r="M272" s="10">
        <f t="shared" si="28"/>
        <v>0.24751845202612061</v>
      </c>
      <c r="P272" s="8">
        <f t="shared" si="29"/>
        <v>-3.773321983956353</v>
      </c>
    </row>
    <row r="273" spans="1:16" x14ac:dyDescent="0.2">
      <c r="A273" s="8">
        <v>135.5</v>
      </c>
      <c r="B273" s="8">
        <v>271</v>
      </c>
      <c r="D273">
        <v>1767.6092396535</v>
      </c>
      <c r="E273">
        <v>394.92733397498</v>
      </c>
      <c r="F273">
        <v>159.93686746988001</v>
      </c>
      <c r="G273">
        <v>122.77060240964001</v>
      </c>
      <c r="I273" s="9">
        <f t="shared" si="26"/>
        <v>272.15673156534001</v>
      </c>
      <c r="J273" s="9">
        <f t="shared" si="27"/>
        <v>1607.6723721836199</v>
      </c>
      <c r="K273" s="9">
        <f t="shared" si="31"/>
        <v>272.15673156534001</v>
      </c>
      <c r="L273" s="10">
        <f t="shared" si="30"/>
        <v>0.16928619056610603</v>
      </c>
      <c r="M273" s="10">
        <f t="shared" si="28"/>
        <v>0.246701678023765</v>
      </c>
      <c r="P273" s="8">
        <f t="shared" si="29"/>
        <v>-4.0908556801037985</v>
      </c>
    </row>
    <row r="274" spans="1:16" x14ac:dyDescent="0.2">
      <c r="A274" s="8">
        <v>136</v>
      </c>
      <c r="B274" s="8">
        <v>272</v>
      </c>
      <c r="D274">
        <v>1753.3137632339001</v>
      </c>
      <c r="E274">
        <v>389.65206929739998</v>
      </c>
      <c r="F274">
        <v>159.56963855422001</v>
      </c>
      <c r="G274">
        <v>122.93397590361</v>
      </c>
      <c r="I274" s="9">
        <f t="shared" si="26"/>
        <v>266.71809339378996</v>
      </c>
      <c r="J274" s="9">
        <f t="shared" si="27"/>
        <v>1593.74412467968</v>
      </c>
      <c r="K274" s="9">
        <f t="shared" si="31"/>
        <v>266.71809339378996</v>
      </c>
      <c r="L274" s="10">
        <f t="shared" si="30"/>
        <v>0.16735314613153257</v>
      </c>
      <c r="M274" s="10">
        <f t="shared" si="28"/>
        <v>0.24505429959457037</v>
      </c>
      <c r="P274" s="8">
        <f t="shared" si="29"/>
        <v>-4.7312998667051218</v>
      </c>
    </row>
    <row r="275" spans="1:16" x14ac:dyDescent="0.2">
      <c r="A275" s="8">
        <v>136.5</v>
      </c>
      <c r="B275" s="8">
        <v>273</v>
      </c>
      <c r="D275">
        <v>1770.1977863330001</v>
      </c>
      <c r="E275">
        <v>390.07651588064999</v>
      </c>
      <c r="F275">
        <v>159.85156626506</v>
      </c>
      <c r="G275">
        <v>122.89542168675</v>
      </c>
      <c r="I275" s="9">
        <f>E275-G275</f>
        <v>267.18109419389998</v>
      </c>
      <c r="J275" s="9">
        <f>D275-F275</f>
        <v>1610.3462200679401</v>
      </c>
      <c r="K275" s="9">
        <f t="shared" si="31"/>
        <v>267.18109419389998</v>
      </c>
      <c r="L275" s="10">
        <f t="shared" si="30"/>
        <v>0.16591531116993444</v>
      </c>
      <c r="M275" s="10">
        <f>L275+ABS($N$2)*A275</f>
        <v>0.24390213063835103</v>
      </c>
      <c r="O275" s="11"/>
      <c r="P275" s="8">
        <f>(M275-$O$2)/$O$2*100</f>
        <v>-5.1792236084005445</v>
      </c>
    </row>
    <row r="276" spans="1:16" x14ac:dyDescent="0.2">
      <c r="A276" s="8">
        <v>137</v>
      </c>
      <c r="B276" s="8">
        <v>274</v>
      </c>
      <c r="D276">
        <v>1714.6963426371999</v>
      </c>
      <c r="E276">
        <v>380.86525505293997</v>
      </c>
      <c r="F276">
        <v>159.61975903614999</v>
      </c>
      <c r="G276">
        <v>122.9421686747</v>
      </c>
      <c r="I276" s="9">
        <f t="shared" ref="I276:I291" si="32">E276-G276</f>
        <v>257.92308637823999</v>
      </c>
      <c r="J276" s="9">
        <f t="shared" ref="J276:J291" si="33">D276-F276</f>
        <v>1555.0765836010498</v>
      </c>
      <c r="K276" s="9">
        <f t="shared" si="31"/>
        <v>257.92308637823999</v>
      </c>
      <c r="L276" s="10">
        <f t="shared" si="30"/>
        <v>0.16585876804920713</v>
      </c>
      <c r="M276" s="10">
        <f t="shared" ref="M276:M291" si="34">L276+ABS($N$2)*A276</f>
        <v>0.24413125352300255</v>
      </c>
      <c r="P276" s="8">
        <f t="shared" ref="P276:P291" si="35">(M276-$O$2)/$O$2*100</f>
        <v>-5.0901484955473748</v>
      </c>
    </row>
    <row r="277" spans="1:16" x14ac:dyDescent="0.2">
      <c r="A277" s="8">
        <v>137.5</v>
      </c>
      <c r="B277" s="8">
        <v>275</v>
      </c>
      <c r="D277">
        <v>1710.4773820982</v>
      </c>
      <c r="E277">
        <v>379.31183830606</v>
      </c>
      <c r="F277">
        <v>160.04048192771</v>
      </c>
      <c r="G277">
        <v>122.83759036145</v>
      </c>
      <c r="I277" s="9">
        <f t="shared" si="32"/>
        <v>256.47424794461</v>
      </c>
      <c r="J277" s="9">
        <f t="shared" si="33"/>
        <v>1550.4369001704899</v>
      </c>
      <c r="K277" s="9">
        <f t="shared" si="31"/>
        <v>256.47424794461</v>
      </c>
      <c r="L277" s="10">
        <f t="shared" si="30"/>
        <v>0.16542062944735605</v>
      </c>
      <c r="M277" s="10">
        <f t="shared" si="34"/>
        <v>0.2439787809265303</v>
      </c>
      <c r="N277" s="1"/>
      <c r="P277" s="8">
        <f t="shared" si="35"/>
        <v>-5.1494246073964289</v>
      </c>
    </row>
    <row r="278" spans="1:16" x14ac:dyDescent="0.2">
      <c r="A278" s="8">
        <v>138</v>
      </c>
      <c r="B278" s="8">
        <v>276</v>
      </c>
      <c r="D278">
        <v>1714.9706448508</v>
      </c>
      <c r="E278">
        <v>379.43599615014</v>
      </c>
      <c r="F278">
        <v>159.69831325301001</v>
      </c>
      <c r="G278">
        <v>122.99903614458</v>
      </c>
      <c r="I278" s="9">
        <f t="shared" si="32"/>
        <v>256.43696000555997</v>
      </c>
      <c r="J278" s="9">
        <f t="shared" si="33"/>
        <v>1555.2723315977901</v>
      </c>
      <c r="K278" s="9">
        <f t="shared" si="31"/>
        <v>256.43696000555997</v>
      </c>
      <c r="L278" s="10">
        <f t="shared" si="30"/>
        <v>0.16488235198147747</v>
      </c>
      <c r="M278" s="10">
        <f t="shared" si="34"/>
        <v>0.24372616946603051</v>
      </c>
      <c r="P278" s="8">
        <f t="shared" si="35"/>
        <v>-5.2476312722882676</v>
      </c>
    </row>
    <row r="279" spans="1:16" x14ac:dyDescent="0.2">
      <c r="A279" s="8">
        <v>138.5</v>
      </c>
      <c r="B279" s="8">
        <v>277</v>
      </c>
      <c r="D279">
        <v>1702.2848893166999</v>
      </c>
      <c r="E279">
        <v>376.05389797882998</v>
      </c>
      <c r="F279">
        <v>159.39807228916001</v>
      </c>
      <c r="G279">
        <v>122.91903614458001</v>
      </c>
      <c r="I279" s="9">
        <f t="shared" si="32"/>
        <v>253.13486183424999</v>
      </c>
      <c r="J279" s="9">
        <f t="shared" si="33"/>
        <v>1542.88681702754</v>
      </c>
      <c r="K279" s="9">
        <f t="shared" si="31"/>
        <v>253.13486183424999</v>
      </c>
      <c r="L279" s="10">
        <f t="shared" si="30"/>
        <v>0.16406573641087221</v>
      </c>
      <c r="M279" s="10">
        <f t="shared" si="34"/>
        <v>0.24319521990080409</v>
      </c>
      <c r="P279" s="8">
        <f t="shared" si="35"/>
        <v>-5.4540462382739543</v>
      </c>
    </row>
    <row r="280" spans="1:16" x14ac:dyDescent="0.2">
      <c r="A280" s="8">
        <v>139</v>
      </c>
      <c r="B280" s="8">
        <v>278</v>
      </c>
      <c r="D280">
        <v>1672.3421559192</v>
      </c>
      <c r="E280">
        <v>369.52406159768998</v>
      </c>
      <c r="F280">
        <v>159.35807228915999</v>
      </c>
      <c r="G280">
        <v>122.51903614458</v>
      </c>
      <c r="I280" s="9">
        <f t="shared" si="32"/>
        <v>247.00502545310997</v>
      </c>
      <c r="J280" s="9">
        <f t="shared" si="33"/>
        <v>1512.98408363004</v>
      </c>
      <c r="K280" s="9">
        <f t="shared" si="31"/>
        <v>247.00502545310997</v>
      </c>
      <c r="L280" s="10">
        <f t="shared" si="30"/>
        <v>0.16325685651661387</v>
      </c>
      <c r="M280" s="10">
        <f t="shared" si="34"/>
        <v>0.24267200601192457</v>
      </c>
      <c r="P280" s="8">
        <f t="shared" si="35"/>
        <v>-5.6574538388249564</v>
      </c>
    </row>
    <row r="281" spans="1:16" x14ac:dyDescent="0.2">
      <c r="A281" s="8">
        <v>139.5</v>
      </c>
      <c r="B281" s="8">
        <v>279</v>
      </c>
      <c r="D281">
        <v>1678.8041385948</v>
      </c>
      <c r="E281">
        <v>372.22281039461001</v>
      </c>
      <c r="F281">
        <v>159.39084337348999</v>
      </c>
      <c r="G281">
        <v>122.71710843373999</v>
      </c>
      <c r="I281" s="9">
        <f t="shared" si="32"/>
        <v>249.50570196087</v>
      </c>
      <c r="J281" s="9">
        <f t="shared" si="33"/>
        <v>1519.4132952213099</v>
      </c>
      <c r="K281" s="9">
        <f t="shared" si="31"/>
        <v>249.50570196087</v>
      </c>
      <c r="L281" s="10">
        <f t="shared" si="30"/>
        <v>0.16421187227042677</v>
      </c>
      <c r="M281" s="10">
        <f t="shared" si="34"/>
        <v>0.24391268777111627</v>
      </c>
      <c r="P281" s="8">
        <f t="shared" si="35"/>
        <v>-5.1751193575575973</v>
      </c>
    </row>
    <row r="282" spans="1:16" x14ac:dyDescent="0.2">
      <c r="A282" s="8">
        <v>140</v>
      </c>
      <c r="B282" s="8">
        <v>280</v>
      </c>
      <c r="D282">
        <v>1690.6029836381001</v>
      </c>
      <c r="E282">
        <v>378.05389797882998</v>
      </c>
      <c r="F282">
        <v>159.37975903615001</v>
      </c>
      <c r="G282">
        <v>122.75469879518</v>
      </c>
      <c r="I282" s="9">
        <f t="shared" si="32"/>
        <v>255.29919918364999</v>
      </c>
      <c r="J282" s="9">
        <f t="shared" si="33"/>
        <v>1531.2232246019501</v>
      </c>
      <c r="K282" s="9">
        <f t="shared" si="31"/>
        <v>255.29919918364999</v>
      </c>
      <c r="L282" s="10">
        <f t="shared" si="30"/>
        <v>0.16672892304779169</v>
      </c>
      <c r="M282" s="10">
        <f t="shared" si="34"/>
        <v>0.24671540455385998</v>
      </c>
      <c r="P282" s="8">
        <f t="shared" si="35"/>
        <v>-4.0855192763693875</v>
      </c>
    </row>
    <row r="283" spans="1:16" x14ac:dyDescent="0.2">
      <c r="A283" s="8">
        <v>140.5</v>
      </c>
      <c r="B283" s="8">
        <v>281</v>
      </c>
      <c r="D283">
        <v>1665.3094321463</v>
      </c>
      <c r="E283">
        <v>377.28873917227997</v>
      </c>
      <c r="F283">
        <v>159.71662650601999</v>
      </c>
      <c r="G283">
        <v>122.90795180723001</v>
      </c>
      <c r="I283" s="9">
        <f t="shared" si="32"/>
        <v>254.38078736504997</v>
      </c>
      <c r="J283" s="9">
        <f t="shared" si="33"/>
        <v>1505.5928056402799</v>
      </c>
      <c r="K283" s="9">
        <f t="shared" si="31"/>
        <v>254.38078736504997</v>
      </c>
      <c r="L283" s="10">
        <f t="shared" si="30"/>
        <v>0.16895722828382542</v>
      </c>
      <c r="M283" s="10">
        <f t="shared" si="34"/>
        <v>0.24922937579527255</v>
      </c>
      <c r="P283" s="8">
        <f t="shared" si="35"/>
        <v>-3.1081735503890426</v>
      </c>
    </row>
    <row r="284" spans="1:16" x14ac:dyDescent="0.2">
      <c r="A284" s="8">
        <v>141</v>
      </c>
      <c r="B284" s="8">
        <v>282</v>
      </c>
      <c r="D284">
        <v>1652.0486044273</v>
      </c>
      <c r="E284">
        <v>371.62993262753002</v>
      </c>
      <c r="F284">
        <v>159.67662650602</v>
      </c>
      <c r="G284">
        <v>122.83759036145</v>
      </c>
      <c r="I284" s="9">
        <f t="shared" si="32"/>
        <v>248.79234226608003</v>
      </c>
      <c r="J284" s="9">
        <f t="shared" si="33"/>
        <v>1492.3719779212799</v>
      </c>
      <c r="K284" s="9">
        <f t="shared" si="31"/>
        <v>248.79234226608003</v>
      </c>
      <c r="L284" s="10">
        <f t="shared" si="30"/>
        <v>0.16670933651047379</v>
      </c>
      <c r="M284" s="10">
        <f t="shared" si="34"/>
        <v>0.24726715002729974</v>
      </c>
      <c r="P284" s="8">
        <f t="shared" si="35"/>
        <v>-3.8710195750950209</v>
      </c>
    </row>
    <row r="285" spans="1:16" x14ac:dyDescent="0.2">
      <c r="A285" s="8">
        <v>141.5</v>
      </c>
      <c r="B285" s="8">
        <v>283</v>
      </c>
      <c r="D285">
        <v>1627.4624639076001</v>
      </c>
      <c r="E285">
        <v>367.25312800770001</v>
      </c>
      <c r="F285">
        <v>159.76</v>
      </c>
      <c r="G285">
        <v>122.77493975904</v>
      </c>
      <c r="I285" s="9">
        <f t="shared" si="32"/>
        <v>244.47818824866002</v>
      </c>
      <c r="J285" s="9">
        <f t="shared" si="33"/>
        <v>1467.7024639076001</v>
      </c>
      <c r="K285" s="9">
        <f t="shared" si="31"/>
        <v>244.47818824866002</v>
      </c>
      <c r="L285" s="10">
        <f t="shared" si="30"/>
        <v>0.16657203640427443</v>
      </c>
      <c r="M285" s="10">
        <f t="shared" si="34"/>
        <v>0.2474155159264792</v>
      </c>
      <c r="P285" s="8">
        <f t="shared" si="35"/>
        <v>-3.813340006190006</v>
      </c>
    </row>
    <row r="286" spans="1:16" x14ac:dyDescent="0.2">
      <c r="A286" s="8">
        <v>142</v>
      </c>
      <c r="B286" s="8">
        <v>284</v>
      </c>
      <c r="D286">
        <v>1633.4061597689999</v>
      </c>
      <c r="E286">
        <v>371.52791145331997</v>
      </c>
      <c r="F286">
        <v>158.80481927711</v>
      </c>
      <c r="G286">
        <v>122.6178313253</v>
      </c>
      <c r="I286" s="9">
        <f t="shared" si="32"/>
        <v>248.91008012801996</v>
      </c>
      <c r="J286" s="9">
        <f t="shared" si="33"/>
        <v>1474.6013404918899</v>
      </c>
      <c r="K286" s="9">
        <f t="shared" si="31"/>
        <v>248.91008012801996</v>
      </c>
      <c r="L286" s="10">
        <f t="shared" si="30"/>
        <v>0.16879821908000558</v>
      </c>
      <c r="M286" s="10">
        <f t="shared" si="34"/>
        <v>0.24992736460758916</v>
      </c>
      <c r="P286" s="8">
        <f t="shared" si="35"/>
        <v>-2.8368194587979092</v>
      </c>
    </row>
    <row r="287" spans="1:16" x14ac:dyDescent="0.2">
      <c r="A287" s="8">
        <v>142.5</v>
      </c>
      <c r="B287" s="8">
        <v>285</v>
      </c>
      <c r="D287">
        <v>1708.4080846968</v>
      </c>
      <c r="E287">
        <v>379.35611164581002</v>
      </c>
      <c r="F287">
        <v>159.26795180722999</v>
      </c>
      <c r="G287">
        <v>122.63228915662999</v>
      </c>
      <c r="I287" s="9">
        <f t="shared" si="32"/>
        <v>256.72382248918001</v>
      </c>
      <c r="J287" s="9">
        <f t="shared" si="33"/>
        <v>1549.1401328895699</v>
      </c>
      <c r="K287" s="9">
        <f t="shared" si="31"/>
        <v>256.72382248918001</v>
      </c>
      <c r="L287" s="10">
        <f t="shared" si="30"/>
        <v>0.16572020635106774</v>
      </c>
      <c r="M287" s="10">
        <f t="shared" si="34"/>
        <v>0.24713501788403014</v>
      </c>
      <c r="P287" s="8">
        <f t="shared" si="35"/>
        <v>-3.9223880169299412</v>
      </c>
    </row>
    <row r="288" spans="1:16" x14ac:dyDescent="0.2">
      <c r="A288" s="8">
        <v>143</v>
      </c>
      <c r="B288" s="8">
        <v>286</v>
      </c>
      <c r="D288">
        <v>1695.1598459316001</v>
      </c>
      <c r="E288">
        <v>373.67982667309002</v>
      </c>
      <c r="F288">
        <v>159.15132530120999</v>
      </c>
      <c r="G288">
        <v>122.68481927710999</v>
      </c>
      <c r="I288" s="9">
        <f t="shared" si="32"/>
        <v>250.99500739598002</v>
      </c>
      <c r="J288" s="9">
        <f t="shared" si="33"/>
        <v>1536.0085206303902</v>
      </c>
      <c r="K288" s="9">
        <f t="shared" si="31"/>
        <v>250.99500739598002</v>
      </c>
      <c r="L288" s="10">
        <f t="shared" si="30"/>
        <v>0.16340730147315177</v>
      </c>
      <c r="M288" s="10">
        <f t="shared" si="34"/>
        <v>0.245107779011493</v>
      </c>
      <c r="P288" s="8">
        <f t="shared" si="35"/>
        <v>-4.7105089050997346</v>
      </c>
    </row>
    <row r="289" spans="1:16" x14ac:dyDescent="0.2">
      <c r="A289" s="8">
        <v>143.5</v>
      </c>
      <c r="B289" s="8">
        <v>287</v>
      </c>
      <c r="D289">
        <v>1705.6358381503001</v>
      </c>
      <c r="E289">
        <v>381.52986512524001</v>
      </c>
      <c r="F289">
        <v>159.67759036145</v>
      </c>
      <c r="G289">
        <v>122.68337349398</v>
      </c>
      <c r="I289" s="9">
        <f t="shared" si="32"/>
        <v>258.84649163125999</v>
      </c>
      <c r="J289" s="9">
        <f t="shared" si="33"/>
        <v>1545.95824778885</v>
      </c>
      <c r="K289" s="9">
        <f t="shared" si="31"/>
        <v>258.84649163125999</v>
      </c>
      <c r="L289" s="10">
        <f t="shared" si="30"/>
        <v>0.16743433530723253</v>
      </c>
      <c r="M289" s="10">
        <f t="shared" si="34"/>
        <v>0.24942047885095256</v>
      </c>
      <c r="P289" s="8">
        <f t="shared" si="35"/>
        <v>-3.0338792420000171</v>
      </c>
    </row>
    <row r="290" spans="1:16" x14ac:dyDescent="0.2">
      <c r="A290" s="8">
        <v>144</v>
      </c>
      <c r="B290" s="8">
        <v>288</v>
      </c>
      <c r="D290">
        <v>1682.9966281310001</v>
      </c>
      <c r="E290">
        <v>386.07369942196999</v>
      </c>
      <c r="F290">
        <v>158.6</v>
      </c>
      <c r="G290">
        <v>122.85060240964</v>
      </c>
      <c r="I290" s="9">
        <f t="shared" si="32"/>
        <v>263.22309701232996</v>
      </c>
      <c r="J290" s="9">
        <f t="shared" si="33"/>
        <v>1524.3966281310002</v>
      </c>
      <c r="K290" s="9">
        <f t="shared" si="31"/>
        <v>263.22309701232996</v>
      </c>
      <c r="L290" s="10">
        <f t="shared" si="30"/>
        <v>0.17267362847361906</v>
      </c>
      <c r="M290" s="10">
        <f t="shared" si="34"/>
        <v>0.25494543802271791</v>
      </c>
      <c r="P290" s="8">
        <f t="shared" si="35"/>
        <v>-0.8859647615993943</v>
      </c>
    </row>
    <row r="291" spans="1:16" x14ac:dyDescent="0.2">
      <c r="A291" s="8">
        <v>144.5</v>
      </c>
      <c r="B291" s="8">
        <v>289</v>
      </c>
      <c r="D291">
        <v>1691.8444123314</v>
      </c>
      <c r="E291">
        <v>388.30250481695998</v>
      </c>
      <c r="F291">
        <v>159.64963855421999</v>
      </c>
      <c r="G291">
        <v>122.44819277108</v>
      </c>
      <c r="I291" s="9">
        <f t="shared" si="32"/>
        <v>265.85431204587996</v>
      </c>
      <c r="J291" s="9">
        <f t="shared" si="33"/>
        <v>1532.19477377718</v>
      </c>
      <c r="K291" s="9">
        <f t="shared" si="31"/>
        <v>265.85431204587996</v>
      </c>
      <c r="L291" s="10">
        <f t="shared" si="30"/>
        <v>0.17351208645001026</v>
      </c>
      <c r="M291" s="10">
        <f t="shared" si="34"/>
        <v>0.25606956200448794</v>
      </c>
      <c r="P291" s="8">
        <f t="shared" si="35"/>
        <v>-0.4489439433192185</v>
      </c>
    </row>
    <row r="292" spans="1:16" x14ac:dyDescent="0.2">
      <c r="A292" s="8">
        <v>145</v>
      </c>
      <c r="B292" s="8">
        <v>290</v>
      </c>
      <c r="D292">
        <v>1685.6040462428</v>
      </c>
      <c r="E292">
        <v>386.33429672446999</v>
      </c>
      <c r="F292">
        <v>158.67228915663</v>
      </c>
      <c r="G292">
        <v>122.35084337348999</v>
      </c>
      <c r="I292" s="9">
        <f>E292-G292</f>
        <v>263.98345335097997</v>
      </c>
      <c r="J292" s="9">
        <f>D292-F292</f>
        <v>1526.9317570861699</v>
      </c>
      <c r="K292" s="9">
        <f t="shared" si="31"/>
        <v>263.98345335097997</v>
      </c>
      <c r="L292" s="10">
        <f t="shared" si="30"/>
        <v>0.17288490603845794</v>
      </c>
      <c r="M292" s="10">
        <f>L292+ABS($N$2)*A292</f>
        <v>0.25572804759831441</v>
      </c>
      <c r="O292" s="11"/>
      <c r="P292" s="8">
        <f>(M292-$O$2)/$O$2*100</f>
        <v>-0.5817130218735409</v>
      </c>
    </row>
    <row r="293" spans="1:16" x14ac:dyDescent="0.2">
      <c r="A293" s="8">
        <v>145.5</v>
      </c>
      <c r="B293" s="8">
        <v>291</v>
      </c>
      <c r="D293">
        <v>1659.6565510597</v>
      </c>
      <c r="E293">
        <v>381.91859344893999</v>
      </c>
      <c r="F293">
        <v>159.22265060241</v>
      </c>
      <c r="G293">
        <v>122.55084337349</v>
      </c>
      <c r="I293" s="9">
        <f t="shared" ref="I293:I301" si="36">E293-G293</f>
        <v>259.36775007544998</v>
      </c>
      <c r="J293" s="9">
        <f t="shared" ref="J293:J301" si="37">D293-F293</f>
        <v>1500.4339004572898</v>
      </c>
      <c r="K293" s="9">
        <f t="shared" si="31"/>
        <v>259.36775007544998</v>
      </c>
      <c r="L293" s="10">
        <f t="shared" si="30"/>
        <v>0.17286183016552881</v>
      </c>
      <c r="M293" s="10">
        <f t="shared" ref="M293:M301" si="38">L293+ABS($N$2)*A293</f>
        <v>0.25599063773076408</v>
      </c>
      <c r="P293" s="8">
        <f t="shared" ref="P293:P301" si="39">(M293-$O$2)/$O$2*100</f>
        <v>-0.47962699184795698</v>
      </c>
    </row>
    <row r="294" spans="1:16" x14ac:dyDescent="0.2">
      <c r="A294" s="8">
        <v>146</v>
      </c>
      <c r="B294" s="8">
        <v>292</v>
      </c>
      <c r="D294">
        <v>1730.5086621752</v>
      </c>
      <c r="E294">
        <v>385.00240615976998</v>
      </c>
      <c r="F294">
        <v>159.02409638553999</v>
      </c>
      <c r="G294">
        <v>122.63855421687001</v>
      </c>
      <c r="I294" s="9">
        <f t="shared" si="36"/>
        <v>262.36385194289994</v>
      </c>
      <c r="J294" s="9">
        <f t="shared" si="37"/>
        <v>1571.4845657896601</v>
      </c>
      <c r="K294" s="9">
        <f t="shared" si="31"/>
        <v>262.36385194289994</v>
      </c>
      <c r="L294" s="10">
        <f t="shared" si="30"/>
        <v>0.16695286587880925</v>
      </c>
      <c r="M294" s="10">
        <f t="shared" si="38"/>
        <v>0.25036733944942335</v>
      </c>
      <c r="N294" s="1"/>
      <c r="P294" s="8">
        <f t="shared" si="39"/>
        <v>-2.6657723425373767</v>
      </c>
    </row>
    <row r="295" spans="1:16" x14ac:dyDescent="0.2">
      <c r="A295" s="8">
        <v>146.5</v>
      </c>
      <c r="B295" s="8">
        <v>293</v>
      </c>
      <c r="D295">
        <v>1708.0952839269</v>
      </c>
      <c r="E295">
        <v>379.16410009625002</v>
      </c>
      <c r="F295">
        <v>159.00337349398001</v>
      </c>
      <c r="G295">
        <v>122.47277108434</v>
      </c>
      <c r="I295" s="9">
        <f t="shared" si="36"/>
        <v>256.69132901191006</v>
      </c>
      <c r="J295" s="9">
        <f t="shared" si="37"/>
        <v>1549.09191043292</v>
      </c>
      <c r="K295" s="9">
        <f t="shared" si="31"/>
        <v>256.69132901191006</v>
      </c>
      <c r="L295" s="10">
        <f t="shared" si="30"/>
        <v>0.165704389315527</v>
      </c>
      <c r="M295" s="10">
        <f t="shared" si="38"/>
        <v>0.24940452889151993</v>
      </c>
      <c r="P295" s="8">
        <f t="shared" si="39"/>
        <v>-3.040080038741146</v>
      </c>
    </row>
    <row r="296" spans="1:16" x14ac:dyDescent="0.2">
      <c r="A296" s="8">
        <v>147</v>
      </c>
      <c r="B296" s="8">
        <v>294</v>
      </c>
      <c r="D296">
        <v>1674.0221366699</v>
      </c>
      <c r="E296">
        <v>379.79307025986998</v>
      </c>
      <c r="F296">
        <v>158.71518072289001</v>
      </c>
      <c r="G296">
        <v>122.49831325301</v>
      </c>
      <c r="I296" s="9">
        <f t="shared" si="36"/>
        <v>257.29475700685998</v>
      </c>
      <c r="J296" s="9">
        <f t="shared" si="37"/>
        <v>1515.30695594701</v>
      </c>
      <c r="K296" s="9">
        <f t="shared" si="31"/>
        <v>257.29475700685998</v>
      </c>
      <c r="L296" s="10">
        <f t="shared" si="30"/>
        <v>0.1697971199809219</v>
      </c>
      <c r="M296" s="10">
        <f t="shared" si="38"/>
        <v>0.25378292556229365</v>
      </c>
      <c r="P296" s="8">
        <f t="shared" si="39"/>
        <v>-1.3379097026863673</v>
      </c>
    </row>
    <row r="297" spans="1:16" x14ac:dyDescent="0.2">
      <c r="A297" s="8">
        <v>147.5</v>
      </c>
      <c r="B297" s="8">
        <v>295</v>
      </c>
      <c r="D297">
        <v>1723.7617901829001</v>
      </c>
      <c r="E297">
        <v>386.08277189605002</v>
      </c>
      <c r="F297">
        <v>158.90024096386</v>
      </c>
      <c r="G297">
        <v>122.57879518071999</v>
      </c>
      <c r="I297" s="9">
        <f t="shared" si="36"/>
        <v>263.50397671533005</v>
      </c>
      <c r="J297" s="9">
        <f t="shared" si="37"/>
        <v>1564.8615492190402</v>
      </c>
      <c r="K297" s="9">
        <f t="shared" si="31"/>
        <v>263.50397671533005</v>
      </c>
      <c r="L297" s="10">
        <f t="shared" si="30"/>
        <v>0.16838804483811001</v>
      </c>
      <c r="M297" s="10">
        <f t="shared" si="38"/>
        <v>0.25265951642486056</v>
      </c>
      <c r="P297" s="8">
        <f t="shared" si="39"/>
        <v>-1.7746526140255463</v>
      </c>
    </row>
    <row r="298" spans="1:16" x14ac:dyDescent="0.2">
      <c r="A298" s="8">
        <v>148</v>
      </c>
      <c r="B298" s="8">
        <v>296</v>
      </c>
      <c r="D298">
        <v>1701.4399038462</v>
      </c>
      <c r="E298">
        <v>379.99615384614998</v>
      </c>
      <c r="F298">
        <v>158.32771084337</v>
      </c>
      <c r="G298">
        <v>122.14506024096001</v>
      </c>
      <c r="I298" s="9">
        <f t="shared" si="36"/>
        <v>257.85109360518999</v>
      </c>
      <c r="J298" s="9">
        <f t="shared" si="37"/>
        <v>1543.1121930028301</v>
      </c>
      <c r="K298" s="9">
        <f t="shared" si="31"/>
        <v>257.85109360518999</v>
      </c>
      <c r="L298" s="10">
        <f t="shared" si="30"/>
        <v>0.16709808578689461</v>
      </c>
      <c r="M298" s="10">
        <f t="shared" si="38"/>
        <v>0.25165522337902396</v>
      </c>
      <c r="P298" s="8">
        <f t="shared" si="39"/>
        <v>-2.1650872776411383</v>
      </c>
    </row>
    <row r="299" spans="1:16" x14ac:dyDescent="0.2">
      <c r="A299" s="8">
        <v>148.5</v>
      </c>
      <c r="B299" s="8">
        <v>297</v>
      </c>
      <c r="D299">
        <v>1757.2326923077001</v>
      </c>
      <c r="E299">
        <v>386.56682692307999</v>
      </c>
      <c r="F299">
        <v>158.74024096386</v>
      </c>
      <c r="G299">
        <v>122.43084337349001</v>
      </c>
      <c r="I299" s="9">
        <f t="shared" si="36"/>
        <v>264.13598354958998</v>
      </c>
      <c r="J299" s="9">
        <f t="shared" si="37"/>
        <v>1598.49245134384</v>
      </c>
      <c r="K299" s="9">
        <f t="shared" si="31"/>
        <v>264.13598354958998</v>
      </c>
      <c r="L299" s="10">
        <f t="shared" si="30"/>
        <v>0.1652406824489743</v>
      </c>
      <c r="M299" s="10">
        <f t="shared" si="38"/>
        <v>0.25008348604648245</v>
      </c>
      <c r="P299" s="8">
        <f t="shared" si="39"/>
        <v>-2.7761248022629661</v>
      </c>
    </row>
    <row r="300" spans="1:16" x14ac:dyDescent="0.2">
      <c r="A300" s="8">
        <v>149</v>
      </c>
      <c r="B300" s="8">
        <v>298</v>
      </c>
      <c r="D300">
        <v>1595.0033653846001</v>
      </c>
      <c r="E300">
        <v>359.80144230769002</v>
      </c>
      <c r="F300">
        <v>158.38843373494001</v>
      </c>
      <c r="G300">
        <v>122.45060240964</v>
      </c>
      <c r="I300" s="9">
        <f t="shared" si="36"/>
        <v>237.35083989805003</v>
      </c>
      <c r="J300" s="9">
        <f t="shared" si="37"/>
        <v>1436.6149316496601</v>
      </c>
      <c r="K300" s="9">
        <f t="shared" si="31"/>
        <v>237.35083989805003</v>
      </c>
      <c r="L300" s="10">
        <f t="shared" si="30"/>
        <v>0.16521535080071933</v>
      </c>
      <c r="M300" s="10">
        <f t="shared" si="38"/>
        <v>0.25034382040360631</v>
      </c>
      <c r="P300" s="8">
        <f t="shared" si="39"/>
        <v>-2.6749157402540145</v>
      </c>
    </row>
    <row r="301" spans="1:16" x14ac:dyDescent="0.2">
      <c r="A301" s="8">
        <v>149.5</v>
      </c>
      <c r="B301" s="8">
        <v>299</v>
      </c>
      <c r="D301">
        <v>1679.7370192307999</v>
      </c>
      <c r="E301">
        <v>376.08749999999998</v>
      </c>
      <c r="F301">
        <v>159.20144578313</v>
      </c>
      <c r="G301">
        <v>122.50987951806999</v>
      </c>
      <c r="I301" s="9">
        <f t="shared" si="36"/>
        <v>253.57762048192998</v>
      </c>
      <c r="J301" s="9">
        <f t="shared" si="37"/>
        <v>1520.5355734476698</v>
      </c>
      <c r="K301" s="9">
        <f t="shared" si="31"/>
        <v>253.57762048192998</v>
      </c>
      <c r="L301" s="10">
        <f t="shared" si="30"/>
        <v>0.16676862081363006</v>
      </c>
      <c r="M301" s="10">
        <f t="shared" si="38"/>
        <v>0.25218275642189586</v>
      </c>
      <c r="P301" s="8">
        <f t="shared" si="39"/>
        <v>-1.9600005382739218</v>
      </c>
    </row>
    <row r="302" spans="1:16" x14ac:dyDescent="0.2">
      <c r="A302" s="8">
        <v>150</v>
      </c>
      <c r="B302" s="8">
        <v>300</v>
      </c>
      <c r="D302">
        <v>1729.8293269231001</v>
      </c>
      <c r="E302">
        <v>380.48557692307998</v>
      </c>
      <c r="F302">
        <v>158.54698795181</v>
      </c>
      <c r="G302">
        <v>122.23421686747</v>
      </c>
      <c r="I302" s="9">
        <f>E302-G302</f>
        <v>258.25136005561001</v>
      </c>
      <c r="J302" s="9">
        <f>D302-F302</f>
        <v>1571.2823389712901</v>
      </c>
      <c r="K302" s="9">
        <f t="shared" si="31"/>
        <v>258.25136005561001</v>
      </c>
      <c r="L302" s="10">
        <f t="shared" si="30"/>
        <v>0.1643570691596303</v>
      </c>
      <c r="M302" s="10">
        <f>L302+ABS($N$2)*A302</f>
        <v>0.25005687077327493</v>
      </c>
      <c r="O302" s="11"/>
      <c r="P302" s="8">
        <f>(M302-$O$2)/$O$2*100</f>
        <v>-2.7864719069102541</v>
      </c>
    </row>
    <row r="303" spans="1:16" x14ac:dyDescent="0.2">
      <c r="A303" s="8">
        <v>150.5</v>
      </c>
      <c r="B303" s="8">
        <v>301</v>
      </c>
      <c r="D303">
        <v>1711.3447115385</v>
      </c>
      <c r="E303">
        <v>380.38605769230998</v>
      </c>
      <c r="F303">
        <v>159.05831325301</v>
      </c>
      <c r="G303">
        <v>122.23373493976</v>
      </c>
      <c r="I303" s="9">
        <f t="shared" ref="I303:I309" si="40">E303-G303</f>
        <v>258.15232275254999</v>
      </c>
      <c r="J303" s="9">
        <f t="shared" ref="J303:J309" si="41">D303-F303</f>
        <v>1552.2863982854899</v>
      </c>
      <c r="K303" s="9">
        <f t="shared" si="31"/>
        <v>258.15232275254999</v>
      </c>
      <c r="L303" s="10">
        <f t="shared" si="30"/>
        <v>0.1663045704952906</v>
      </c>
      <c r="M303" s="10">
        <f t="shared" ref="M303:M309" si="42">L303+ABS($N$2)*A303</f>
        <v>0.25229003811431405</v>
      </c>
      <c r="P303" s="8">
        <f t="shared" ref="P303:P309" si="43">(M303-$O$2)/$O$2*100</f>
        <v>-1.9182930987321933</v>
      </c>
    </row>
    <row r="304" spans="1:16" x14ac:dyDescent="0.2">
      <c r="A304" s="8">
        <v>151</v>
      </c>
      <c r="B304" s="8">
        <v>302</v>
      </c>
      <c r="D304">
        <v>1668.1846153846</v>
      </c>
      <c r="E304">
        <v>372.28076923076998</v>
      </c>
      <c r="F304">
        <v>158.52530120482001</v>
      </c>
      <c r="G304">
        <v>122.30602409639</v>
      </c>
      <c r="I304" s="9">
        <f t="shared" si="40"/>
        <v>249.97474513437999</v>
      </c>
      <c r="J304" s="9">
        <f t="shared" si="41"/>
        <v>1509.65931417978</v>
      </c>
      <c r="K304" s="9">
        <f t="shared" si="31"/>
        <v>249.97474513437999</v>
      </c>
      <c r="L304" s="10">
        <f t="shared" si="30"/>
        <v>0.16558354774911246</v>
      </c>
      <c r="M304" s="10">
        <f t="shared" si="42"/>
        <v>0.25185468137351474</v>
      </c>
      <c r="N304" s="1"/>
      <c r="P304" s="8">
        <f t="shared" si="43"/>
        <v>-2.0875448558278151</v>
      </c>
    </row>
    <row r="305" spans="1:16" x14ac:dyDescent="0.2">
      <c r="A305" s="8">
        <v>151.5</v>
      </c>
      <c r="B305" s="8">
        <v>303</v>
      </c>
      <c r="D305">
        <v>1727.6030754445001</v>
      </c>
      <c r="E305">
        <v>385.77943296491998</v>
      </c>
      <c r="F305">
        <v>158.67662650602</v>
      </c>
      <c r="G305">
        <v>122.4221686747</v>
      </c>
      <c r="I305" s="9">
        <f t="shared" si="40"/>
        <v>263.35726429021997</v>
      </c>
      <c r="J305" s="9">
        <f t="shared" si="41"/>
        <v>1568.92644893848</v>
      </c>
      <c r="K305" s="9">
        <f t="shared" si="31"/>
        <v>263.35726429021997</v>
      </c>
      <c r="L305" s="10">
        <f t="shared" si="30"/>
        <v>0.16785826032087411</v>
      </c>
      <c r="M305" s="10">
        <f t="shared" si="42"/>
        <v>0.25441505995065516</v>
      </c>
      <c r="P305" s="8">
        <f t="shared" si="43"/>
        <v>-1.0921575506596848</v>
      </c>
    </row>
    <row r="306" spans="1:16" x14ac:dyDescent="0.2">
      <c r="A306" s="8">
        <v>152</v>
      </c>
      <c r="B306" s="8">
        <v>304</v>
      </c>
      <c r="D306">
        <v>1687.9255165786001</v>
      </c>
      <c r="E306">
        <v>383.97981739547998</v>
      </c>
      <c r="F306">
        <v>158.67421686746999</v>
      </c>
      <c r="G306">
        <v>122.15277108434</v>
      </c>
      <c r="I306" s="9">
        <f t="shared" si="40"/>
        <v>261.82704631113995</v>
      </c>
      <c r="J306" s="9">
        <f t="shared" si="41"/>
        <v>1529.2512997111301</v>
      </c>
      <c r="K306" s="9">
        <f t="shared" si="31"/>
        <v>261.82704631113995</v>
      </c>
      <c r="L306" s="10">
        <f t="shared" si="30"/>
        <v>0.17121257072699439</v>
      </c>
      <c r="M306" s="10">
        <f t="shared" si="42"/>
        <v>0.25805503636215427</v>
      </c>
      <c r="P306" s="8">
        <f t="shared" si="43"/>
        <v>0.32294033504604353</v>
      </c>
    </row>
    <row r="307" spans="1:16" x14ac:dyDescent="0.2">
      <c r="A307" s="8">
        <v>152.5</v>
      </c>
      <c r="B307" s="8">
        <v>305</v>
      </c>
      <c r="D307">
        <v>1677.5949062950999</v>
      </c>
      <c r="E307">
        <v>392.71359923113999</v>
      </c>
      <c r="F307">
        <v>158.31710843374</v>
      </c>
      <c r="G307">
        <v>122.13204819277</v>
      </c>
      <c r="I307" s="9">
        <f t="shared" si="40"/>
        <v>270.58155103836998</v>
      </c>
      <c r="J307" s="9">
        <f t="shared" si="41"/>
        <v>1519.2777978613599</v>
      </c>
      <c r="K307" s="9">
        <f t="shared" si="31"/>
        <v>270.58155103836998</v>
      </c>
      <c r="L307" s="10">
        <f t="shared" si="30"/>
        <v>0.17809879892884581</v>
      </c>
      <c r="M307" s="10">
        <f t="shared" si="42"/>
        <v>0.26522693056938451</v>
      </c>
      <c r="P307" s="8">
        <f t="shared" si="43"/>
        <v>3.1111266257854679</v>
      </c>
    </row>
    <row r="308" spans="1:16" x14ac:dyDescent="0.2">
      <c r="A308" s="8">
        <v>153</v>
      </c>
      <c r="B308" s="8">
        <v>306</v>
      </c>
      <c r="D308">
        <v>1760.4830754351999</v>
      </c>
      <c r="E308">
        <v>398.53723404254998</v>
      </c>
      <c r="F308">
        <v>157.92530120481999</v>
      </c>
      <c r="G308">
        <v>122.33638554217001</v>
      </c>
      <c r="I308" s="9">
        <f t="shared" si="40"/>
        <v>276.20084850037995</v>
      </c>
      <c r="J308" s="9">
        <f t="shared" si="41"/>
        <v>1602.5577742303799</v>
      </c>
      <c r="K308" s="9">
        <f t="shared" si="31"/>
        <v>276.20084850037995</v>
      </c>
      <c r="L308" s="10">
        <f t="shared" si="30"/>
        <v>0.17235001005378667</v>
      </c>
      <c r="M308" s="10">
        <f t="shared" si="42"/>
        <v>0.2597638076997042</v>
      </c>
      <c r="P308" s="8">
        <f t="shared" si="43"/>
        <v>0.98725197708923618</v>
      </c>
    </row>
    <row r="309" spans="1:16" x14ac:dyDescent="0.2">
      <c r="A309" s="8">
        <v>153.5</v>
      </c>
      <c r="B309" s="8">
        <v>307</v>
      </c>
      <c r="D309">
        <v>1781.3007736944</v>
      </c>
      <c r="E309">
        <v>397.98065764022999</v>
      </c>
      <c r="F309">
        <v>158.59180722892</v>
      </c>
      <c r="G309">
        <v>122.25445783133</v>
      </c>
      <c r="I309" s="9">
        <f t="shared" si="40"/>
        <v>275.72619980889999</v>
      </c>
      <c r="J309" s="9">
        <f t="shared" si="41"/>
        <v>1622.70896646548</v>
      </c>
      <c r="K309" s="9">
        <f t="shared" si="31"/>
        <v>275.72619980889999</v>
      </c>
      <c r="L309" s="10">
        <f t="shared" si="30"/>
        <v>0.16991722206938673</v>
      </c>
      <c r="M309" s="10">
        <f t="shared" si="42"/>
        <v>0.25761668572068308</v>
      </c>
      <c r="P309" s="8">
        <f t="shared" si="43"/>
        <v>0.15252465213557262</v>
      </c>
    </row>
    <row r="310" spans="1:16" x14ac:dyDescent="0.2">
      <c r="A310" s="8">
        <v>154</v>
      </c>
      <c r="B310" s="8">
        <v>308</v>
      </c>
      <c r="D310">
        <v>1728.9720077219999</v>
      </c>
      <c r="E310">
        <v>384.94449806950001</v>
      </c>
      <c r="F310">
        <v>158.15951807229001</v>
      </c>
      <c r="G310">
        <v>122.04578313253</v>
      </c>
      <c r="I310" s="9">
        <f>E310-G310</f>
        <v>262.89871493697001</v>
      </c>
      <c r="J310" s="9">
        <f>D310-F310</f>
        <v>1570.81248964971</v>
      </c>
      <c r="K310" s="9">
        <f t="shared" si="31"/>
        <v>262.89871493697001</v>
      </c>
      <c r="L310" s="10">
        <f t="shared" si="30"/>
        <v>0.16736479794325815</v>
      </c>
      <c r="M310" s="10">
        <f>L310+ABS($N$2)*A310</f>
        <v>0.2553499275999333</v>
      </c>
      <c r="O310" s="11"/>
      <c r="P310" s="8">
        <f>(M310-$O$2)/$O$2*100</f>
        <v>-0.72871309818222063</v>
      </c>
    </row>
    <row r="311" spans="1:16" x14ac:dyDescent="0.2">
      <c r="A311" s="8">
        <v>154.5</v>
      </c>
      <c r="B311" s="8">
        <v>309</v>
      </c>
      <c r="D311">
        <v>1594.2298076923</v>
      </c>
      <c r="E311">
        <v>364.34182692308002</v>
      </c>
      <c r="F311">
        <v>158.24963855422001</v>
      </c>
      <c r="G311">
        <v>121.97012048193</v>
      </c>
      <c r="I311" s="9">
        <f t="shared" ref="I311:I319" si="44">E311-G311</f>
        <v>242.37170644115002</v>
      </c>
      <c r="J311" s="9">
        <f t="shared" ref="J311:J319" si="45">D311-F311</f>
        <v>1435.9801691380801</v>
      </c>
      <c r="K311" s="9">
        <f t="shared" si="31"/>
        <v>242.37170644115002</v>
      </c>
      <c r="L311" s="10">
        <f t="shared" si="30"/>
        <v>0.16878485626067458</v>
      </c>
      <c r="M311" s="10">
        <f t="shared" ref="M311:M319" si="46">L311+ABS($N$2)*A311</f>
        <v>0.25705565192272856</v>
      </c>
      <c r="P311" s="8">
        <f t="shared" ref="P311:P319" si="47">(M311-$O$2)/$O$2*100</f>
        <v>-6.5586030886115462E-2</v>
      </c>
    </row>
    <row r="312" spans="1:16" x14ac:dyDescent="0.2">
      <c r="A312" s="8">
        <v>155</v>
      </c>
      <c r="B312" s="8">
        <v>310</v>
      </c>
      <c r="D312">
        <v>1604.0091346153999</v>
      </c>
      <c r="E312">
        <v>363.95769230769002</v>
      </c>
      <c r="F312">
        <v>158.33156626505999</v>
      </c>
      <c r="G312">
        <v>121.86987951806999</v>
      </c>
      <c r="I312" s="9">
        <f t="shared" si="44"/>
        <v>242.08781278962005</v>
      </c>
      <c r="J312" s="9">
        <f t="shared" si="45"/>
        <v>1445.6775683503399</v>
      </c>
      <c r="K312" s="9">
        <f t="shared" si="31"/>
        <v>242.08781278962005</v>
      </c>
      <c r="L312" s="10">
        <f t="shared" si="30"/>
        <v>0.16745629737194168</v>
      </c>
      <c r="M312" s="10">
        <f t="shared" si="46"/>
        <v>0.25601275903937448</v>
      </c>
      <c r="N312" s="1"/>
      <c r="P312" s="8">
        <f t="shared" si="47"/>
        <v>-0.47102698637958912</v>
      </c>
    </row>
    <row r="313" spans="1:16" x14ac:dyDescent="0.2">
      <c r="A313" s="8">
        <v>155.5</v>
      </c>
      <c r="B313" s="8">
        <v>311</v>
      </c>
      <c r="D313">
        <v>1443.3100961539001</v>
      </c>
      <c r="E313">
        <v>342.43269230768999</v>
      </c>
      <c r="F313">
        <v>158.07807228915999</v>
      </c>
      <c r="G313">
        <v>122.2578313253</v>
      </c>
      <c r="I313" s="9">
        <f t="shared" si="44"/>
        <v>220.17486098238999</v>
      </c>
      <c r="J313" s="9">
        <f t="shared" si="45"/>
        <v>1285.2320238647401</v>
      </c>
      <c r="K313" s="9">
        <f t="shared" si="31"/>
        <v>220.17486098238999</v>
      </c>
      <c r="L313" s="10">
        <f t="shared" si="30"/>
        <v>0.17131137171661506</v>
      </c>
      <c r="M313" s="10">
        <f t="shared" si="46"/>
        <v>0.26015349938942667</v>
      </c>
      <c r="P313" s="8">
        <f t="shared" si="47"/>
        <v>1.1387507297902872</v>
      </c>
    </row>
    <row r="314" spans="1:16" x14ac:dyDescent="0.2">
      <c r="A314" s="8">
        <v>156</v>
      </c>
      <c r="B314" s="8">
        <v>312</v>
      </c>
      <c r="D314">
        <v>1530.6254807692001</v>
      </c>
      <c r="E314">
        <v>357.96634615385</v>
      </c>
      <c r="F314">
        <v>157.45301204819</v>
      </c>
      <c r="G314">
        <v>122.23325301205</v>
      </c>
      <c r="I314" s="9">
        <f t="shared" si="44"/>
        <v>235.7330931418</v>
      </c>
      <c r="J314" s="9">
        <f t="shared" si="45"/>
        <v>1373.1724687210101</v>
      </c>
      <c r="K314" s="9">
        <f t="shared" si="31"/>
        <v>235.7330931418</v>
      </c>
      <c r="L314" s="10">
        <f t="shared" si="30"/>
        <v>0.17167041905622002</v>
      </c>
      <c r="M314" s="10">
        <f t="shared" si="46"/>
        <v>0.2607982127344104</v>
      </c>
      <c r="P314" s="8">
        <f t="shared" si="47"/>
        <v>1.389393148375907</v>
      </c>
    </row>
    <row r="315" spans="1:16" x14ac:dyDescent="0.2">
      <c r="A315" s="8">
        <v>156.5</v>
      </c>
      <c r="B315" s="8">
        <v>313</v>
      </c>
      <c r="D315">
        <v>1596.4004807691999</v>
      </c>
      <c r="E315">
        <v>363.95048076923001</v>
      </c>
      <c r="F315">
        <v>158.37879518072</v>
      </c>
      <c r="G315">
        <v>121.72337349398001</v>
      </c>
      <c r="I315" s="9">
        <f t="shared" si="44"/>
        <v>242.22710727525001</v>
      </c>
      <c r="J315" s="9">
        <f t="shared" si="45"/>
        <v>1438.0216855884798</v>
      </c>
      <c r="K315" s="9">
        <f t="shared" si="31"/>
        <v>242.22710727525001</v>
      </c>
      <c r="L315" s="10">
        <f t="shared" si="30"/>
        <v>0.16844468320804473</v>
      </c>
      <c r="M315" s="10">
        <f t="shared" si="46"/>
        <v>0.25785814289161396</v>
      </c>
      <c r="P315" s="8">
        <f t="shared" si="47"/>
        <v>0.24639491211675074</v>
      </c>
    </row>
    <row r="316" spans="1:16" x14ac:dyDescent="0.2">
      <c r="A316" s="8">
        <v>157</v>
      </c>
      <c r="B316" s="8">
        <v>314</v>
      </c>
      <c r="D316">
        <v>1704.9836538462</v>
      </c>
      <c r="E316">
        <v>380.79471153845998</v>
      </c>
      <c r="F316">
        <v>157.75662650602001</v>
      </c>
      <c r="G316">
        <v>122.12144578313</v>
      </c>
      <c r="I316" s="9">
        <f t="shared" si="44"/>
        <v>258.67326575532996</v>
      </c>
      <c r="J316" s="9">
        <f t="shared" si="45"/>
        <v>1547.22702734018</v>
      </c>
      <c r="K316" s="9">
        <f t="shared" si="31"/>
        <v>258.67326575532996</v>
      </c>
      <c r="L316" s="10">
        <f t="shared" si="30"/>
        <v>0.16718507444897221</v>
      </c>
      <c r="M316" s="10">
        <f t="shared" si="46"/>
        <v>0.25688420013792024</v>
      </c>
      <c r="P316" s="8">
        <f t="shared" si="47"/>
        <v>-0.13224059969492902</v>
      </c>
    </row>
    <row r="317" spans="1:16" x14ac:dyDescent="0.2">
      <c r="A317" s="8">
        <v>157.5</v>
      </c>
      <c r="B317" s="8">
        <v>315</v>
      </c>
      <c r="D317">
        <v>1611.1740384615</v>
      </c>
      <c r="E317">
        <v>364.12884615385002</v>
      </c>
      <c r="F317">
        <v>157.58746987952</v>
      </c>
      <c r="G317">
        <v>122.31759036145</v>
      </c>
      <c r="I317" s="9">
        <f t="shared" si="44"/>
        <v>241.8112557924</v>
      </c>
      <c r="J317" s="9">
        <f t="shared" si="45"/>
        <v>1453.5865685819799</v>
      </c>
      <c r="K317" s="9">
        <f t="shared" si="31"/>
        <v>241.8112557924</v>
      </c>
      <c r="L317" s="10">
        <f t="shared" si="30"/>
        <v>0.16635490518345569</v>
      </c>
      <c r="M317" s="10">
        <f t="shared" si="46"/>
        <v>0.25633969687778257</v>
      </c>
      <c r="P317" s="8">
        <f t="shared" si="47"/>
        <v>-0.34392477702819568</v>
      </c>
    </row>
    <row r="318" spans="1:16" x14ac:dyDescent="0.2">
      <c r="A318" s="8">
        <v>158</v>
      </c>
      <c r="B318" s="8">
        <v>316</v>
      </c>
      <c r="D318">
        <v>1682.1841346153999</v>
      </c>
      <c r="E318">
        <v>374.30913461539001</v>
      </c>
      <c r="F318">
        <v>157.89349397589999</v>
      </c>
      <c r="G318">
        <v>121.82120481928</v>
      </c>
      <c r="I318" s="9">
        <f t="shared" si="44"/>
        <v>252.48792979611</v>
      </c>
      <c r="J318" s="9">
        <f t="shared" si="45"/>
        <v>1524.2906406395</v>
      </c>
      <c r="K318" s="9">
        <f t="shared" si="31"/>
        <v>252.48792979611</v>
      </c>
      <c r="L318" s="10">
        <f t="shared" si="30"/>
        <v>0.16564290501067525</v>
      </c>
      <c r="M318" s="10">
        <f t="shared" si="46"/>
        <v>0.2559133627103809</v>
      </c>
      <c r="P318" s="8">
        <f t="shared" si="47"/>
        <v>-0.50966886728886773</v>
      </c>
    </row>
    <row r="319" spans="1:16" x14ac:dyDescent="0.2">
      <c r="A319" s="8">
        <v>158.5</v>
      </c>
      <c r="B319" s="8">
        <v>317</v>
      </c>
      <c r="D319">
        <v>1729.5528846154</v>
      </c>
      <c r="E319">
        <v>380.90384615385</v>
      </c>
      <c r="F319">
        <v>157.57734939759001</v>
      </c>
      <c r="G319">
        <v>122.01831325301001</v>
      </c>
      <c r="I319" s="9">
        <f t="shared" si="44"/>
        <v>258.88553290083996</v>
      </c>
      <c r="J319" s="9">
        <f t="shared" si="45"/>
        <v>1571.9755352178099</v>
      </c>
      <c r="K319" s="9">
        <f t="shared" si="31"/>
        <v>258.88553290083996</v>
      </c>
      <c r="L319" s="10">
        <f t="shared" si="30"/>
        <v>0.16468801651227305</v>
      </c>
      <c r="M319" s="10">
        <f t="shared" si="46"/>
        <v>0.25524414021735753</v>
      </c>
      <c r="P319" s="8">
        <f t="shared" si="47"/>
        <v>-0.76983960134976892</v>
      </c>
    </row>
    <row r="320" spans="1:16" x14ac:dyDescent="0.2">
      <c r="A320" s="8">
        <v>159</v>
      </c>
      <c r="B320" s="8">
        <v>318</v>
      </c>
      <c r="D320">
        <v>1695.8855769231</v>
      </c>
      <c r="E320">
        <v>374.92307692307998</v>
      </c>
      <c r="F320">
        <v>157.92771084336999</v>
      </c>
      <c r="G320">
        <v>122.22361445783</v>
      </c>
      <c r="I320" s="9">
        <f>E320-G320</f>
        <v>252.69946246524998</v>
      </c>
      <c r="J320" s="9">
        <f>D320-F320</f>
        <v>1537.9578660797299</v>
      </c>
      <c r="K320" s="9">
        <f t="shared" si="31"/>
        <v>252.69946246524998</v>
      </c>
      <c r="L320" s="10">
        <f t="shared" si="30"/>
        <v>0.16430844305857575</v>
      </c>
      <c r="M320" s="10">
        <f>L320+ABS($N$2)*A320</f>
        <v>0.25515023276903903</v>
      </c>
      <c r="O320" s="11"/>
      <c r="P320" s="8">
        <f>(M320-$O$2)/$O$2*100</f>
        <v>-0.80634759385975252</v>
      </c>
    </row>
    <row r="321" spans="1:16" x14ac:dyDescent="0.2">
      <c r="A321" s="8">
        <v>159.5</v>
      </c>
      <c r="B321" s="8">
        <v>319</v>
      </c>
      <c r="D321">
        <v>1673.6814921089999</v>
      </c>
      <c r="E321">
        <v>375.27594452415002</v>
      </c>
      <c r="F321">
        <v>158.08915662651</v>
      </c>
      <c r="G321">
        <v>122.17975903615</v>
      </c>
      <c r="I321" s="9">
        <f t="shared" ref="I321:I322" si="48">E321-G321</f>
        <v>253.096185488</v>
      </c>
      <c r="J321" s="9">
        <f t="shared" ref="J321:J322" si="49">D321-F321</f>
        <v>1515.5923354824899</v>
      </c>
      <c r="K321" s="9">
        <f t="shared" si="31"/>
        <v>253.096185488</v>
      </c>
      <c r="L321" s="10">
        <f t="shared" si="30"/>
        <v>0.16699489668996423</v>
      </c>
      <c r="M321" s="10">
        <f t="shared" ref="M321:M322" si="50">L321+ABS($N$2)*A321</f>
        <v>0.25812235240580633</v>
      </c>
      <c r="P321" s="8">
        <f t="shared" ref="P321:P322" si="51">(M321-$O$2)/$O$2*100</f>
        <v>0.34911050217822043</v>
      </c>
    </row>
    <row r="322" spans="1:16" x14ac:dyDescent="0.2">
      <c r="A322" s="8">
        <v>160</v>
      </c>
      <c r="D322">
        <v>1673.8120516499</v>
      </c>
      <c r="E322">
        <v>381.12003825920999</v>
      </c>
      <c r="F322">
        <v>157.13445783133</v>
      </c>
      <c r="G322">
        <v>122.01686746988</v>
      </c>
      <c r="I322" s="9">
        <f t="shared" si="48"/>
        <v>259.10317078932997</v>
      </c>
      <c r="J322" s="9">
        <f t="shared" si="49"/>
        <v>1516.6775938185701</v>
      </c>
      <c r="K322" s="9">
        <f t="shared" si="31"/>
        <v>259.10317078932997</v>
      </c>
      <c r="L322" s="10">
        <f t="shared" ref="L322" si="52">K322/J322</f>
        <v>0.17083602464053063</v>
      </c>
      <c r="M322" s="10">
        <f t="shared" si="50"/>
        <v>0.26224914636175156</v>
      </c>
      <c r="P322" s="8">
        <f t="shared" si="51"/>
        <v>1.953466339032718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C473-7ADE-354E-A5D0-B62511CF74B0}">
  <dimension ref="A1:Y798"/>
  <sheetViews>
    <sheetView tabSelected="1" topLeftCell="E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1102.4693356048001</v>
      </c>
      <c r="E2">
        <v>385.96166950596</v>
      </c>
      <c r="F2">
        <v>147.20446735395001</v>
      </c>
      <c r="G2">
        <v>118.96134020619</v>
      </c>
      <c r="H2" s="4"/>
      <c r="I2" s="5">
        <f>E2-G2</f>
        <v>267.00032929976999</v>
      </c>
      <c r="J2" s="5">
        <f>D2-F2</f>
        <v>955.2648682508501</v>
      </c>
      <c r="K2" s="9">
        <f>I2*1</f>
        <v>267.00032929976999</v>
      </c>
      <c r="L2" s="6">
        <f t="shared" ref="L2:L65" si="0">K2/J2</f>
        <v>0.27950397651351333</v>
      </c>
      <c r="M2" s="6">
        <f>L2+ABS($N$2)*A2</f>
        <v>0.27950397651351333</v>
      </c>
      <c r="N2" s="4">
        <f>LINEST(V64:V103,U64:U103)</f>
        <v>1.0621755263647513E-4</v>
      </c>
      <c r="O2" s="7">
        <f>AVERAGE(M62:M81)</f>
        <v>0.23995176524816048</v>
      </c>
      <c r="P2" s="4">
        <f>(M2-$O$2)/$O$2*100</f>
        <v>16.483400830349204</v>
      </c>
    </row>
    <row r="3" spans="1:16" x14ac:dyDescent="0.2">
      <c r="A3" s="8">
        <v>0.5</v>
      </c>
      <c r="B3" s="8">
        <v>1</v>
      </c>
      <c r="D3">
        <v>1149.8696763203</v>
      </c>
      <c r="E3">
        <v>396.08858603066</v>
      </c>
      <c r="F3">
        <v>147.92697594501999</v>
      </c>
      <c r="G3">
        <v>118.30326460481</v>
      </c>
      <c r="I3" s="9">
        <f t="shared" ref="I3:I66" si="1">E3-G3</f>
        <v>277.78532142584999</v>
      </c>
      <c r="J3" s="9">
        <f t="shared" ref="J3:J66" si="2">D3-F3</f>
        <v>1001.94270037528</v>
      </c>
      <c r="K3" s="9">
        <f t="shared" ref="K3:K66" si="3">I3*1</f>
        <v>277.78532142584999</v>
      </c>
      <c r="L3" s="10">
        <f t="shared" si="0"/>
        <v>0.27724671413026397</v>
      </c>
      <c r="M3" s="10">
        <f t="shared" ref="M3:M66" si="4">L3+ABS($N$2)*A3</f>
        <v>0.27729982290658223</v>
      </c>
      <c r="P3" s="8">
        <f t="shared" ref="P3:P66" si="5">(M3-$O$2)/$O$2*100</f>
        <v>15.564818879242678</v>
      </c>
    </row>
    <row r="4" spans="1:16" ht="16" x14ac:dyDescent="0.2">
      <c r="A4" s="8">
        <v>1</v>
      </c>
      <c r="B4" s="8">
        <v>2</v>
      </c>
      <c r="D4">
        <v>1192.3279386711999</v>
      </c>
      <c r="E4">
        <v>405.05792163542998</v>
      </c>
      <c r="F4">
        <v>147.31271477663</v>
      </c>
      <c r="G4">
        <v>118.43556701031</v>
      </c>
      <c r="I4" s="9">
        <f t="shared" si="1"/>
        <v>286.62235462512001</v>
      </c>
      <c r="J4" s="9">
        <f t="shared" si="2"/>
        <v>1045.01522389457</v>
      </c>
      <c r="K4" s="9">
        <f t="shared" si="3"/>
        <v>286.62235462512001</v>
      </c>
      <c r="L4" s="10">
        <f t="shared" si="0"/>
        <v>0.27427576945428012</v>
      </c>
      <c r="M4" s="10">
        <f t="shared" si="4"/>
        <v>0.27438198700691657</v>
      </c>
      <c r="N4" s="1" t="s">
        <v>7</v>
      </c>
      <c r="P4" s="8">
        <f t="shared" si="5"/>
        <v>14.348809529760292</v>
      </c>
    </row>
    <row r="5" spans="1:16" x14ac:dyDescent="0.2">
      <c r="A5" s="8">
        <v>1.5</v>
      </c>
      <c r="B5" s="8">
        <v>3</v>
      </c>
      <c r="D5">
        <v>1201.7742759795999</v>
      </c>
      <c r="E5">
        <v>403.8126064736</v>
      </c>
      <c r="F5">
        <v>147.8058419244</v>
      </c>
      <c r="G5">
        <v>118.57989690722</v>
      </c>
      <c r="I5" s="9">
        <f t="shared" si="1"/>
        <v>285.23270956637998</v>
      </c>
      <c r="J5" s="9">
        <f t="shared" si="2"/>
        <v>1053.9684340551999</v>
      </c>
      <c r="K5" s="9">
        <f t="shared" si="3"/>
        <v>285.23270956637998</v>
      </c>
      <c r="L5" s="10">
        <f t="shared" si="0"/>
        <v>0.27062737398019776</v>
      </c>
      <c r="M5" s="10">
        <f t="shared" si="4"/>
        <v>0.27078670030915247</v>
      </c>
      <c r="N5" s="8">
        <f>RSQ(V64:V83,U64:U83)</f>
        <v>0.70029374013955492</v>
      </c>
      <c r="P5" s="8">
        <f t="shared" si="5"/>
        <v>12.850472272667885</v>
      </c>
    </row>
    <row r="6" spans="1:16" x14ac:dyDescent="0.2">
      <c r="A6" s="8">
        <v>2</v>
      </c>
      <c r="B6" s="8">
        <v>4</v>
      </c>
      <c r="D6">
        <v>1197.7674616695001</v>
      </c>
      <c r="E6">
        <v>395.33304940375001</v>
      </c>
      <c r="F6">
        <v>148.12113402061999</v>
      </c>
      <c r="G6">
        <v>118.56872852234</v>
      </c>
      <c r="I6" s="9">
        <f t="shared" si="1"/>
        <v>276.76432088141001</v>
      </c>
      <c r="J6" s="9">
        <f t="shared" si="2"/>
        <v>1049.6463276488801</v>
      </c>
      <c r="K6" s="9">
        <f t="shared" si="3"/>
        <v>276.76432088141001</v>
      </c>
      <c r="L6" s="10">
        <f t="shared" si="0"/>
        <v>0.26367388099317124</v>
      </c>
      <c r="M6" s="10">
        <f t="shared" si="4"/>
        <v>0.26388631609844421</v>
      </c>
      <c r="P6" s="8">
        <f t="shared" si="5"/>
        <v>9.9747342244098043</v>
      </c>
    </row>
    <row r="7" spans="1:16" x14ac:dyDescent="0.2">
      <c r="A7" s="8">
        <v>2.5</v>
      </c>
      <c r="B7" s="8">
        <v>5</v>
      </c>
      <c r="D7">
        <v>1179.5255536627001</v>
      </c>
      <c r="E7">
        <v>388.86286201022</v>
      </c>
      <c r="F7">
        <v>148.25687285223</v>
      </c>
      <c r="G7">
        <v>118.65206185567</v>
      </c>
      <c r="I7" s="9">
        <f t="shared" si="1"/>
        <v>270.21080015454999</v>
      </c>
      <c r="J7" s="9">
        <f t="shared" si="2"/>
        <v>1031.26868081047</v>
      </c>
      <c r="K7" s="9">
        <f t="shared" si="3"/>
        <v>270.21080015454999</v>
      </c>
      <c r="L7" s="10">
        <f t="shared" si="0"/>
        <v>0.26201784770792458</v>
      </c>
      <c r="M7" s="10">
        <f t="shared" si="4"/>
        <v>0.26228339158951575</v>
      </c>
      <c r="P7" s="8">
        <f t="shared" si="5"/>
        <v>9.3067147550507414</v>
      </c>
    </row>
    <row r="8" spans="1:16" x14ac:dyDescent="0.2">
      <c r="A8" s="8">
        <v>3</v>
      </c>
      <c r="B8" s="8">
        <v>6</v>
      </c>
      <c r="D8">
        <v>1187.5315161840001</v>
      </c>
      <c r="E8">
        <v>379.99744463373003</v>
      </c>
      <c r="F8">
        <v>147.8058419244</v>
      </c>
      <c r="G8">
        <v>119.15463917526</v>
      </c>
      <c r="I8" s="9">
        <f t="shared" si="1"/>
        <v>260.84280545847002</v>
      </c>
      <c r="J8" s="9">
        <f t="shared" si="2"/>
        <v>1039.7256742596001</v>
      </c>
      <c r="K8" s="9">
        <f t="shared" si="3"/>
        <v>260.84280545847002</v>
      </c>
      <c r="L8" s="10">
        <f t="shared" si="0"/>
        <v>0.2508765647671623</v>
      </c>
      <c r="M8" s="10">
        <f t="shared" si="4"/>
        <v>0.25119521742507173</v>
      </c>
      <c r="P8" s="8">
        <f t="shared" si="5"/>
        <v>4.6857134663223512</v>
      </c>
    </row>
    <row r="9" spans="1:16" x14ac:dyDescent="0.2">
      <c r="A9" s="8">
        <v>3.5</v>
      </c>
      <c r="B9" s="8">
        <v>7</v>
      </c>
      <c r="D9">
        <v>1158.4948892675</v>
      </c>
      <c r="E9">
        <v>369.33219761498998</v>
      </c>
      <c r="F9">
        <v>147.49570446735001</v>
      </c>
      <c r="G9">
        <v>118.93900343643</v>
      </c>
      <c r="I9" s="9">
        <f t="shared" si="1"/>
        <v>250.39319417855998</v>
      </c>
      <c r="J9" s="9">
        <f t="shared" si="2"/>
        <v>1010.9991848001499</v>
      </c>
      <c r="K9" s="9">
        <f t="shared" si="3"/>
        <v>250.39319417855998</v>
      </c>
      <c r="L9" s="10">
        <f t="shared" si="0"/>
        <v>0.24766903667489767</v>
      </c>
      <c r="M9" s="10">
        <f t="shared" si="4"/>
        <v>0.24804079810912533</v>
      </c>
      <c r="P9" s="8">
        <f t="shared" si="5"/>
        <v>3.3711078777016263</v>
      </c>
    </row>
    <row r="10" spans="1:16" x14ac:dyDescent="0.2">
      <c r="A10" s="8">
        <v>4</v>
      </c>
      <c r="B10" s="8">
        <v>8</v>
      </c>
      <c r="D10">
        <v>1090.9872231687</v>
      </c>
      <c r="E10">
        <v>350.56558773424001</v>
      </c>
      <c r="F10">
        <v>147.76116838487999</v>
      </c>
      <c r="G10">
        <v>118.84450171821</v>
      </c>
      <c r="I10" s="9">
        <f t="shared" si="1"/>
        <v>231.72108601603003</v>
      </c>
      <c r="J10" s="9">
        <f t="shared" si="2"/>
        <v>943.22605478382002</v>
      </c>
      <c r="K10" s="9">
        <f t="shared" si="3"/>
        <v>231.72108601603003</v>
      </c>
      <c r="L10" s="10">
        <f t="shared" si="0"/>
        <v>0.24566866536478224</v>
      </c>
      <c r="M10" s="10">
        <f t="shared" si="4"/>
        <v>0.24609353557532815</v>
      </c>
      <c r="P10" s="8">
        <f t="shared" si="5"/>
        <v>2.5595853903453443</v>
      </c>
    </row>
    <row r="11" spans="1:16" x14ac:dyDescent="0.2">
      <c r="A11" s="8">
        <v>4.5</v>
      </c>
      <c r="B11" s="8">
        <v>9</v>
      </c>
      <c r="D11">
        <v>909.67972742760003</v>
      </c>
      <c r="E11">
        <v>307.78960817717001</v>
      </c>
      <c r="F11">
        <v>148.65034364261001</v>
      </c>
      <c r="G11">
        <v>118.3969072165</v>
      </c>
      <c r="I11" s="9">
        <f t="shared" si="1"/>
        <v>189.39270096067003</v>
      </c>
      <c r="J11" s="9">
        <f t="shared" si="2"/>
        <v>761.02938378499005</v>
      </c>
      <c r="K11" s="9">
        <f t="shared" si="3"/>
        <v>189.39270096067003</v>
      </c>
      <c r="L11" s="10">
        <f t="shared" si="0"/>
        <v>0.24886384809312204</v>
      </c>
      <c r="M11" s="10">
        <f t="shared" si="4"/>
        <v>0.24934182707998617</v>
      </c>
      <c r="P11" s="8">
        <f t="shared" si="5"/>
        <v>3.9133122534499387</v>
      </c>
    </row>
    <row r="12" spans="1:16" x14ac:dyDescent="0.2">
      <c r="A12" s="8">
        <v>5</v>
      </c>
      <c r="B12" s="8">
        <v>10</v>
      </c>
      <c r="D12">
        <v>1032.2572402044</v>
      </c>
      <c r="E12">
        <v>347.48296422486999</v>
      </c>
      <c r="F12">
        <v>147.55841924398999</v>
      </c>
      <c r="G12">
        <v>118.50945017182001</v>
      </c>
      <c r="I12" s="9">
        <f t="shared" si="1"/>
        <v>228.97351405305</v>
      </c>
      <c r="J12" s="9">
        <f t="shared" si="2"/>
        <v>884.69882096040999</v>
      </c>
      <c r="K12" s="9">
        <f t="shared" si="3"/>
        <v>228.97351405305</v>
      </c>
      <c r="L12" s="10">
        <f t="shared" si="0"/>
        <v>0.25881521329991292</v>
      </c>
      <c r="M12" s="10">
        <f t="shared" si="4"/>
        <v>0.25934630106309531</v>
      </c>
      <c r="P12" s="8">
        <f t="shared" si="5"/>
        <v>8.082681031696854</v>
      </c>
    </row>
    <row r="13" spans="1:16" x14ac:dyDescent="0.2">
      <c r="A13" s="8">
        <v>5.5</v>
      </c>
      <c r="B13" s="8">
        <v>11</v>
      </c>
      <c r="D13">
        <v>1035.7453151617999</v>
      </c>
      <c r="E13">
        <v>353.26149914821002</v>
      </c>
      <c r="F13">
        <v>147.62027491409</v>
      </c>
      <c r="G13">
        <v>118.26718213058</v>
      </c>
      <c r="I13" s="9">
        <f t="shared" si="1"/>
        <v>234.99431701763001</v>
      </c>
      <c r="J13" s="9">
        <f t="shared" si="2"/>
        <v>888.12504024770988</v>
      </c>
      <c r="K13" s="9">
        <f t="shared" si="3"/>
        <v>234.99431701763001</v>
      </c>
      <c r="L13" s="10">
        <f t="shared" si="0"/>
        <v>0.26459598183616911</v>
      </c>
      <c r="M13" s="10">
        <f t="shared" si="4"/>
        <v>0.26518017837566971</v>
      </c>
      <c r="P13" s="8">
        <f t="shared" si="5"/>
        <v>10.513951877544121</v>
      </c>
    </row>
    <row r="14" spans="1:16" x14ac:dyDescent="0.2">
      <c r="A14" s="8">
        <v>6</v>
      </c>
      <c r="B14" s="8">
        <v>12</v>
      </c>
      <c r="D14">
        <v>1079.4957410561999</v>
      </c>
      <c r="E14">
        <v>359.91567291311998</v>
      </c>
      <c r="F14">
        <v>147.56443298969</v>
      </c>
      <c r="G14">
        <v>118.85996563574</v>
      </c>
      <c r="I14" s="9">
        <f t="shared" si="1"/>
        <v>241.05570727737998</v>
      </c>
      <c r="J14" s="9">
        <f t="shared" si="2"/>
        <v>931.93130806650993</v>
      </c>
      <c r="K14" s="9">
        <f t="shared" si="3"/>
        <v>241.05570727737998</v>
      </c>
      <c r="L14" s="10">
        <f t="shared" si="0"/>
        <v>0.2586625271528879</v>
      </c>
      <c r="M14" s="10">
        <f t="shared" si="4"/>
        <v>0.25929983246870675</v>
      </c>
      <c r="P14" s="8">
        <f t="shared" si="5"/>
        <v>8.0633152252646738</v>
      </c>
    </row>
    <row r="15" spans="1:16" x14ac:dyDescent="0.2">
      <c r="A15" s="8">
        <v>6.5</v>
      </c>
      <c r="B15" s="8">
        <v>13</v>
      </c>
      <c r="D15">
        <v>1081.6448040886</v>
      </c>
      <c r="E15">
        <v>347.12436115843002</v>
      </c>
      <c r="F15">
        <v>148.83419243986</v>
      </c>
      <c r="G15">
        <v>118.68470790377999</v>
      </c>
      <c r="I15" s="9">
        <f t="shared" si="1"/>
        <v>228.43965325465001</v>
      </c>
      <c r="J15" s="9">
        <f t="shared" si="2"/>
        <v>932.81061164874006</v>
      </c>
      <c r="K15" s="9">
        <f t="shared" si="3"/>
        <v>228.43965325465001</v>
      </c>
      <c r="L15" s="10">
        <f t="shared" si="0"/>
        <v>0.24489392637899304</v>
      </c>
      <c r="M15" s="10">
        <f t="shared" si="4"/>
        <v>0.24558434047113012</v>
      </c>
      <c r="P15" s="8">
        <f t="shared" si="5"/>
        <v>2.347378114574143</v>
      </c>
    </row>
    <row r="16" spans="1:16" x14ac:dyDescent="0.2">
      <c r="A16" s="8">
        <v>7</v>
      </c>
      <c r="B16" s="8">
        <v>14</v>
      </c>
      <c r="D16">
        <v>1056.8909710391999</v>
      </c>
      <c r="E16">
        <v>340.19761499148001</v>
      </c>
      <c r="F16">
        <v>147.92955326461001</v>
      </c>
      <c r="G16">
        <v>118.53780068729</v>
      </c>
      <c r="I16" s="9">
        <f t="shared" si="1"/>
        <v>221.65981430419001</v>
      </c>
      <c r="J16" s="9">
        <f t="shared" si="2"/>
        <v>908.9614177745899</v>
      </c>
      <c r="K16" s="9">
        <f t="shared" si="3"/>
        <v>221.65981430419001</v>
      </c>
      <c r="L16" s="10">
        <f t="shared" si="0"/>
        <v>0.24386053133793037</v>
      </c>
      <c r="M16" s="10">
        <f t="shared" si="4"/>
        <v>0.2446040542063857</v>
      </c>
      <c r="P16" s="8">
        <f t="shared" si="5"/>
        <v>1.938843397719447</v>
      </c>
    </row>
    <row r="17" spans="1:16" x14ac:dyDescent="0.2">
      <c r="A17" s="8">
        <v>7.5</v>
      </c>
      <c r="B17" s="8">
        <v>15</v>
      </c>
      <c r="D17">
        <v>977.12947189096997</v>
      </c>
      <c r="E17">
        <v>317.0936967632</v>
      </c>
      <c r="F17">
        <v>147.95103092784001</v>
      </c>
      <c r="G17">
        <v>118.735395189</v>
      </c>
      <c r="I17" s="9">
        <f t="shared" si="1"/>
        <v>198.3583015742</v>
      </c>
      <c r="J17" s="9">
        <f t="shared" si="2"/>
        <v>829.17844096313002</v>
      </c>
      <c r="K17" s="9">
        <f t="shared" si="3"/>
        <v>198.3583015742</v>
      </c>
      <c r="L17" s="10">
        <f t="shared" si="0"/>
        <v>0.23922269535107238</v>
      </c>
      <c r="M17" s="10">
        <f t="shared" si="4"/>
        <v>0.24001932699584594</v>
      </c>
      <c r="P17" s="8">
        <f t="shared" si="5"/>
        <v>2.8156387020362127E-2</v>
      </c>
    </row>
    <row r="18" spans="1:16" x14ac:dyDescent="0.2">
      <c r="A18" s="8">
        <v>8</v>
      </c>
      <c r="B18" s="8">
        <v>16</v>
      </c>
      <c r="D18">
        <v>1065.4143835616001</v>
      </c>
      <c r="E18">
        <v>342.01883561644001</v>
      </c>
      <c r="F18">
        <v>147.67182130584001</v>
      </c>
      <c r="G18">
        <v>118.20704467354</v>
      </c>
      <c r="I18" s="9">
        <f t="shared" si="1"/>
        <v>223.81179094290002</v>
      </c>
      <c r="J18" s="9">
        <f t="shared" si="2"/>
        <v>917.74256225576005</v>
      </c>
      <c r="K18" s="9">
        <f t="shared" si="3"/>
        <v>223.81179094290002</v>
      </c>
      <c r="L18" s="10">
        <f t="shared" si="0"/>
        <v>0.24387208368410321</v>
      </c>
      <c r="M18" s="10">
        <f t="shared" si="4"/>
        <v>0.244721824105195</v>
      </c>
      <c r="P18" s="8">
        <f t="shared" si="5"/>
        <v>1.9879240530284403</v>
      </c>
    </row>
    <row r="19" spans="1:16" x14ac:dyDescent="0.2">
      <c r="A19" s="8">
        <v>8.5</v>
      </c>
      <c r="B19" s="8">
        <v>17</v>
      </c>
      <c r="D19">
        <v>1082.7063356164001</v>
      </c>
      <c r="E19">
        <v>342.48116438355999</v>
      </c>
      <c r="F19">
        <v>148.43041237112999</v>
      </c>
      <c r="G19">
        <v>118.80498281787</v>
      </c>
      <c r="I19" s="9">
        <f t="shared" si="1"/>
        <v>223.67618156569</v>
      </c>
      <c r="J19" s="9">
        <f t="shared" si="2"/>
        <v>934.27592324527018</v>
      </c>
      <c r="K19" s="9">
        <f t="shared" si="3"/>
        <v>223.67618156569</v>
      </c>
      <c r="L19" s="10">
        <f t="shared" si="0"/>
        <v>0.23941126598739243</v>
      </c>
      <c r="M19" s="10">
        <f t="shared" si="4"/>
        <v>0.24031411518480247</v>
      </c>
      <c r="P19" s="8">
        <f t="shared" si="5"/>
        <v>0.15100948987278845</v>
      </c>
    </row>
    <row r="20" spans="1:16" x14ac:dyDescent="0.2">
      <c r="A20" s="8">
        <v>9</v>
      </c>
      <c r="B20" s="8">
        <v>18</v>
      </c>
      <c r="D20">
        <v>1079.6198630137001</v>
      </c>
      <c r="E20">
        <v>338.20719178081998</v>
      </c>
      <c r="F20">
        <v>148.78522336770001</v>
      </c>
      <c r="G20">
        <v>118.48969072165001</v>
      </c>
      <c r="I20" s="9">
        <f t="shared" si="1"/>
        <v>219.71750105916999</v>
      </c>
      <c r="J20" s="9">
        <f t="shared" si="2"/>
        <v>930.83463964600003</v>
      </c>
      <c r="K20" s="9">
        <f t="shared" si="3"/>
        <v>219.71750105916999</v>
      </c>
      <c r="L20" s="10">
        <f t="shared" si="0"/>
        <v>0.23604353738138645</v>
      </c>
      <c r="M20" s="10">
        <f t="shared" si="4"/>
        <v>0.23699949535511472</v>
      </c>
      <c r="P20" s="8">
        <f t="shared" si="5"/>
        <v>-1.2303597308369412</v>
      </c>
    </row>
    <row r="21" spans="1:16" x14ac:dyDescent="0.2">
      <c r="A21" s="8">
        <v>9.5</v>
      </c>
      <c r="B21" s="8">
        <v>19</v>
      </c>
      <c r="D21">
        <v>1059.5537403267001</v>
      </c>
      <c r="E21">
        <v>338.34651762683001</v>
      </c>
      <c r="F21">
        <v>147.82903780069</v>
      </c>
      <c r="G21">
        <v>118.88573883162</v>
      </c>
      <c r="I21" s="9">
        <f t="shared" si="1"/>
        <v>219.46077879520999</v>
      </c>
      <c r="J21" s="9">
        <f t="shared" si="2"/>
        <v>911.72470252601011</v>
      </c>
      <c r="K21" s="9">
        <f t="shared" si="3"/>
        <v>219.46077879520999</v>
      </c>
      <c r="L21" s="10">
        <f t="shared" si="0"/>
        <v>0.24070947972252524</v>
      </c>
      <c r="M21" s="10">
        <f t="shared" si="4"/>
        <v>0.24171854647257174</v>
      </c>
      <c r="P21" s="8">
        <f t="shared" si="5"/>
        <v>0.73630682507546452</v>
      </c>
    </row>
    <row r="22" spans="1:16" x14ac:dyDescent="0.2">
      <c r="A22" s="8">
        <v>10</v>
      </c>
      <c r="B22" s="8">
        <v>20</v>
      </c>
      <c r="D22">
        <v>1077.2264957264999</v>
      </c>
      <c r="E22">
        <v>338.44017094016999</v>
      </c>
      <c r="F22">
        <v>148.26546391753001</v>
      </c>
      <c r="G22">
        <v>118.15635738832</v>
      </c>
      <c r="I22" s="9">
        <f t="shared" si="1"/>
        <v>220.28381355184999</v>
      </c>
      <c r="J22" s="9">
        <f t="shared" si="2"/>
        <v>928.96103180896989</v>
      </c>
      <c r="K22" s="9">
        <f t="shared" si="3"/>
        <v>220.28381355184999</v>
      </c>
      <c r="L22" s="10">
        <f t="shared" si="0"/>
        <v>0.23712922933149344</v>
      </c>
      <c r="M22" s="10">
        <f t="shared" si="4"/>
        <v>0.2381914048578582</v>
      </c>
      <c r="P22" s="8">
        <f t="shared" si="5"/>
        <v>-0.73363093973561599</v>
      </c>
    </row>
    <row r="23" spans="1:16" x14ac:dyDescent="0.2">
      <c r="A23" s="8">
        <v>10.5</v>
      </c>
      <c r="B23" s="8">
        <v>21</v>
      </c>
      <c r="D23">
        <v>1039.2151462995</v>
      </c>
      <c r="E23">
        <v>333.51635111875999</v>
      </c>
      <c r="F23">
        <v>148.35824742267999</v>
      </c>
      <c r="G23">
        <v>118.58333333333</v>
      </c>
      <c r="I23" s="9">
        <f t="shared" si="1"/>
        <v>214.93301778542997</v>
      </c>
      <c r="J23" s="9">
        <f t="shared" si="2"/>
        <v>890.85689887681997</v>
      </c>
      <c r="K23" s="9">
        <f t="shared" si="3"/>
        <v>214.93301778542997</v>
      </c>
      <c r="L23" s="10">
        <f t="shared" si="0"/>
        <v>0.24126548052376823</v>
      </c>
      <c r="M23" s="10">
        <f t="shared" si="4"/>
        <v>0.24238076482645121</v>
      </c>
      <c r="P23" s="8">
        <f t="shared" si="5"/>
        <v>1.0122866050927528</v>
      </c>
    </row>
    <row r="24" spans="1:16" x14ac:dyDescent="0.2">
      <c r="A24" s="8">
        <v>11</v>
      </c>
      <c r="B24" s="8">
        <v>22</v>
      </c>
      <c r="D24">
        <v>993.09380378658</v>
      </c>
      <c r="E24">
        <v>323.62994836489003</v>
      </c>
      <c r="F24">
        <v>148.35223367698001</v>
      </c>
      <c r="G24">
        <v>118.73453608247</v>
      </c>
      <c r="I24" s="9">
        <f t="shared" si="1"/>
        <v>204.89541228242001</v>
      </c>
      <c r="J24" s="9">
        <f t="shared" si="2"/>
        <v>844.74157010959993</v>
      </c>
      <c r="K24" s="9">
        <f t="shared" si="3"/>
        <v>204.89541228242001</v>
      </c>
      <c r="L24" s="10">
        <f t="shared" si="0"/>
        <v>0.24255395914260039</v>
      </c>
      <c r="M24" s="10">
        <f t="shared" si="4"/>
        <v>0.24372235222160163</v>
      </c>
      <c r="P24" s="8">
        <f t="shared" si="5"/>
        <v>1.5713937213762839</v>
      </c>
    </row>
    <row r="25" spans="1:16" x14ac:dyDescent="0.2">
      <c r="A25" s="8">
        <v>11.5</v>
      </c>
      <c r="B25" s="8">
        <v>23</v>
      </c>
      <c r="D25">
        <v>1051.0731497418001</v>
      </c>
      <c r="E25">
        <v>334.30895008606001</v>
      </c>
      <c r="F25">
        <v>147.82130584192001</v>
      </c>
      <c r="G25">
        <v>118.47422680411999</v>
      </c>
      <c r="I25" s="9">
        <f t="shared" si="1"/>
        <v>215.83472328194</v>
      </c>
      <c r="J25" s="9">
        <f t="shared" si="2"/>
        <v>903.2518438998801</v>
      </c>
      <c r="K25" s="9">
        <f t="shared" si="3"/>
        <v>215.83472328194</v>
      </c>
      <c r="L25" s="10">
        <f t="shared" si="0"/>
        <v>0.23895298386555405</v>
      </c>
      <c r="M25" s="10">
        <f t="shared" si="4"/>
        <v>0.24017448572087352</v>
      </c>
      <c r="P25" s="8">
        <f t="shared" si="5"/>
        <v>9.2818851523223944E-2</v>
      </c>
    </row>
    <row r="26" spans="1:16" x14ac:dyDescent="0.2">
      <c r="A26" s="8">
        <v>12</v>
      </c>
      <c r="B26" s="8">
        <v>24</v>
      </c>
      <c r="D26">
        <v>1008.2194492255001</v>
      </c>
      <c r="E26">
        <v>319.46213425129002</v>
      </c>
      <c r="F26">
        <v>148.12628865978999</v>
      </c>
      <c r="G26">
        <v>118.68986254296</v>
      </c>
      <c r="I26" s="9">
        <f t="shared" si="1"/>
        <v>200.77227170833004</v>
      </c>
      <c r="J26" s="9">
        <f t="shared" si="2"/>
        <v>860.09316056571004</v>
      </c>
      <c r="K26" s="9">
        <f t="shared" si="3"/>
        <v>200.77227170833004</v>
      </c>
      <c r="L26" s="10">
        <f t="shared" si="0"/>
        <v>0.23343084320804955</v>
      </c>
      <c r="M26" s="10">
        <f t="shared" si="4"/>
        <v>0.23470545383968724</v>
      </c>
      <c r="P26" s="8">
        <f t="shared" si="5"/>
        <v>-2.1864025059567469</v>
      </c>
    </row>
    <row r="27" spans="1:16" x14ac:dyDescent="0.2">
      <c r="A27" s="8">
        <v>12.5</v>
      </c>
      <c r="B27" s="8">
        <v>25</v>
      </c>
      <c r="D27">
        <v>1027.8408896492999</v>
      </c>
      <c r="E27">
        <v>327.08554319932</v>
      </c>
      <c r="F27">
        <v>148.58762886598001</v>
      </c>
      <c r="G27">
        <v>118.62542955327</v>
      </c>
      <c r="I27" s="9">
        <f t="shared" si="1"/>
        <v>208.46011364604999</v>
      </c>
      <c r="J27" s="9">
        <f t="shared" si="2"/>
        <v>879.25326078331989</v>
      </c>
      <c r="K27" s="9">
        <f t="shared" si="3"/>
        <v>208.46011364604999</v>
      </c>
      <c r="L27" s="10">
        <f t="shared" si="0"/>
        <v>0.23708767762809829</v>
      </c>
      <c r="M27" s="10">
        <f t="shared" si="4"/>
        <v>0.23841539703605424</v>
      </c>
      <c r="P27" s="8">
        <f t="shared" si="5"/>
        <v>-0.64028210441265332</v>
      </c>
    </row>
    <row r="28" spans="1:16" x14ac:dyDescent="0.2">
      <c r="A28" s="8">
        <v>13</v>
      </c>
      <c r="B28" s="8">
        <v>26</v>
      </c>
      <c r="D28">
        <v>1096.0881094952999</v>
      </c>
      <c r="E28">
        <v>343.34131736527002</v>
      </c>
      <c r="F28">
        <v>148.55927835052</v>
      </c>
      <c r="G28">
        <v>118.72164948454</v>
      </c>
      <c r="I28" s="9">
        <f t="shared" si="1"/>
        <v>224.61966788073002</v>
      </c>
      <c r="J28" s="9">
        <f t="shared" si="2"/>
        <v>947.52883114477993</v>
      </c>
      <c r="K28" s="9">
        <f t="shared" si="3"/>
        <v>224.61966788073002</v>
      </c>
      <c r="L28" s="10">
        <f t="shared" si="0"/>
        <v>0.23705839917224505</v>
      </c>
      <c r="M28" s="10">
        <f t="shared" si="4"/>
        <v>0.23843922735651923</v>
      </c>
      <c r="P28" s="8">
        <f t="shared" si="5"/>
        <v>-0.63035080824554868</v>
      </c>
    </row>
    <row r="29" spans="1:16" x14ac:dyDescent="0.2">
      <c r="A29" s="8">
        <v>13.5</v>
      </c>
      <c r="B29" s="8">
        <v>27</v>
      </c>
      <c r="D29">
        <v>1086.6892123288001</v>
      </c>
      <c r="E29">
        <v>341.07191780822001</v>
      </c>
      <c r="F29">
        <v>149.1675257732</v>
      </c>
      <c r="G29">
        <v>118.40120274914</v>
      </c>
      <c r="I29" s="9">
        <f t="shared" si="1"/>
        <v>222.67071505908001</v>
      </c>
      <c r="J29" s="9">
        <f t="shared" si="2"/>
        <v>937.52168655560013</v>
      </c>
      <c r="K29" s="9">
        <f t="shared" si="3"/>
        <v>222.67071505908001</v>
      </c>
      <c r="L29" s="10">
        <f t="shared" si="0"/>
        <v>0.23750993523910813</v>
      </c>
      <c r="M29" s="10">
        <f t="shared" si="4"/>
        <v>0.23894387219970054</v>
      </c>
      <c r="P29" s="8">
        <f t="shared" si="5"/>
        <v>-0.42003985568414853</v>
      </c>
    </row>
    <row r="30" spans="1:16" x14ac:dyDescent="0.2">
      <c r="A30" s="8">
        <v>14</v>
      </c>
      <c r="B30" s="8">
        <v>28</v>
      </c>
      <c r="D30">
        <v>1063.3210616438</v>
      </c>
      <c r="E30">
        <v>336.97345890410998</v>
      </c>
      <c r="F30">
        <v>148.67353951889999</v>
      </c>
      <c r="G30">
        <v>118.72336769759001</v>
      </c>
      <c r="I30" s="9">
        <f t="shared" si="1"/>
        <v>218.25009120651998</v>
      </c>
      <c r="J30" s="9">
        <f t="shared" si="2"/>
        <v>914.64752212489998</v>
      </c>
      <c r="K30" s="9">
        <f t="shared" si="3"/>
        <v>218.25009120651998</v>
      </c>
      <c r="L30" s="10">
        <f t="shared" si="0"/>
        <v>0.23861661014451069</v>
      </c>
      <c r="M30" s="10">
        <f t="shared" si="4"/>
        <v>0.24010365588142135</v>
      </c>
      <c r="P30" s="8">
        <f t="shared" si="5"/>
        <v>6.3300485872145706E-2</v>
      </c>
    </row>
    <row r="31" spans="1:16" x14ac:dyDescent="0.2">
      <c r="A31" s="8">
        <v>14.5</v>
      </c>
      <c r="B31" s="8">
        <v>29</v>
      </c>
      <c r="D31">
        <v>1085.1072041166001</v>
      </c>
      <c r="E31">
        <v>341.75643224700002</v>
      </c>
      <c r="F31">
        <v>148.62628865978999</v>
      </c>
      <c r="G31">
        <v>118.07302405498</v>
      </c>
      <c r="I31" s="9">
        <f t="shared" si="1"/>
        <v>223.68340819202001</v>
      </c>
      <c r="J31" s="9">
        <f t="shared" si="2"/>
        <v>936.48091545681007</v>
      </c>
      <c r="K31" s="9">
        <f t="shared" si="3"/>
        <v>223.68340819202001</v>
      </c>
      <c r="L31" s="10">
        <f t="shared" si="0"/>
        <v>0.23885527670674261</v>
      </c>
      <c r="M31" s="10">
        <f t="shared" si="4"/>
        <v>0.24039543121997151</v>
      </c>
      <c r="P31" s="8">
        <f t="shared" si="5"/>
        <v>0.184897982039093</v>
      </c>
    </row>
    <row r="32" spans="1:16" x14ac:dyDescent="0.2">
      <c r="A32" s="8">
        <v>15</v>
      </c>
      <c r="B32" s="8">
        <v>30</v>
      </c>
      <c r="D32">
        <v>1100.5343053173001</v>
      </c>
      <c r="E32">
        <v>346.68096054889003</v>
      </c>
      <c r="F32">
        <v>148.87714776632001</v>
      </c>
      <c r="G32">
        <v>118.89518900344</v>
      </c>
      <c r="I32" s="9">
        <f t="shared" si="1"/>
        <v>227.78577154545002</v>
      </c>
      <c r="J32" s="9">
        <f t="shared" si="2"/>
        <v>951.65715755098006</v>
      </c>
      <c r="K32" s="9">
        <f t="shared" si="3"/>
        <v>227.78577154545002</v>
      </c>
      <c r="L32" s="10">
        <f t="shared" si="0"/>
        <v>0.23935696772526779</v>
      </c>
      <c r="M32" s="10">
        <f t="shared" si="4"/>
        <v>0.24095023101481491</v>
      </c>
      <c r="P32" s="8">
        <f t="shared" si="5"/>
        <v>0.41611103199087329</v>
      </c>
    </row>
    <row r="33" spans="1:16" x14ac:dyDescent="0.2">
      <c r="A33" s="8">
        <v>15.5</v>
      </c>
      <c r="B33" s="8">
        <v>31</v>
      </c>
      <c r="D33">
        <v>1106.2794496991</v>
      </c>
      <c r="E33">
        <v>347.04901117799</v>
      </c>
      <c r="F33">
        <v>148.05756013746</v>
      </c>
      <c r="G33">
        <v>118.38917525773</v>
      </c>
      <c r="I33" s="9">
        <f t="shared" si="1"/>
        <v>228.65983592025998</v>
      </c>
      <c r="J33" s="9">
        <f t="shared" si="2"/>
        <v>958.22188956164007</v>
      </c>
      <c r="K33" s="9">
        <f t="shared" si="3"/>
        <v>228.65983592025998</v>
      </c>
      <c r="L33" s="10">
        <f t="shared" si="0"/>
        <v>0.23862931791807168</v>
      </c>
      <c r="M33" s="10">
        <f t="shared" si="4"/>
        <v>0.24027568998393706</v>
      </c>
      <c r="P33" s="8">
        <f t="shared" si="5"/>
        <v>0.13499577110490335</v>
      </c>
    </row>
    <row r="34" spans="1:16" x14ac:dyDescent="0.2">
      <c r="A34" s="8">
        <v>16</v>
      </c>
      <c r="B34" s="8">
        <v>32</v>
      </c>
      <c r="D34">
        <v>1086.1298366294</v>
      </c>
      <c r="E34">
        <v>342.7067927773</v>
      </c>
      <c r="F34">
        <v>148.73797250858999</v>
      </c>
      <c r="G34">
        <v>118.71735395189</v>
      </c>
      <c r="I34" s="9">
        <f t="shared" si="1"/>
        <v>223.98943882540999</v>
      </c>
      <c r="J34" s="9">
        <f t="shared" si="2"/>
        <v>937.39186412080994</v>
      </c>
      <c r="K34" s="9">
        <f t="shared" si="3"/>
        <v>223.98943882540999</v>
      </c>
      <c r="L34" s="10">
        <f t="shared" si="0"/>
        <v>0.23894962971061429</v>
      </c>
      <c r="M34" s="10">
        <f t="shared" si="4"/>
        <v>0.24064911055279789</v>
      </c>
      <c r="P34" s="8">
        <f t="shared" si="5"/>
        <v>0.29061895165314294</v>
      </c>
    </row>
    <row r="35" spans="1:16" x14ac:dyDescent="0.2">
      <c r="A35" s="8">
        <v>16.5</v>
      </c>
      <c r="B35" s="8">
        <v>33</v>
      </c>
      <c r="D35">
        <v>1072.8823529412</v>
      </c>
      <c r="E35">
        <v>339.35549872122999</v>
      </c>
      <c r="F35">
        <v>148.61426116838999</v>
      </c>
      <c r="G35">
        <v>118.54467353952001</v>
      </c>
      <c r="I35" s="9">
        <f t="shared" si="1"/>
        <v>220.81082518170999</v>
      </c>
      <c r="J35" s="9">
        <f t="shared" si="2"/>
        <v>924.26809177281007</v>
      </c>
      <c r="K35" s="9">
        <f t="shared" si="3"/>
        <v>220.81082518170999</v>
      </c>
      <c r="L35" s="10">
        <f t="shared" si="0"/>
        <v>0.2389034384581854</v>
      </c>
      <c r="M35" s="10">
        <f t="shared" si="4"/>
        <v>0.24065602807668723</v>
      </c>
      <c r="P35" s="8">
        <f t="shared" si="5"/>
        <v>0.29350183266974622</v>
      </c>
    </row>
    <row r="36" spans="1:16" x14ac:dyDescent="0.2">
      <c r="A36" s="8">
        <v>17</v>
      </c>
      <c r="B36" s="8">
        <v>34</v>
      </c>
      <c r="D36">
        <v>1089.84228474</v>
      </c>
      <c r="E36">
        <v>341.19778346121001</v>
      </c>
      <c r="F36">
        <v>148.9441580756</v>
      </c>
      <c r="G36">
        <v>118.39776632301999</v>
      </c>
      <c r="I36" s="9">
        <f t="shared" si="1"/>
        <v>222.80001713819001</v>
      </c>
      <c r="J36" s="9">
        <f t="shared" si="2"/>
        <v>940.89812666440002</v>
      </c>
      <c r="K36" s="9">
        <f t="shared" si="3"/>
        <v>222.80001713819001</v>
      </c>
      <c r="L36" s="10">
        <f t="shared" si="0"/>
        <v>0.23679504807607979</v>
      </c>
      <c r="M36" s="10">
        <f t="shared" si="4"/>
        <v>0.23860074647089988</v>
      </c>
      <c r="P36" s="8">
        <f t="shared" si="5"/>
        <v>-0.5630376487805212</v>
      </c>
    </row>
    <row r="37" spans="1:16" x14ac:dyDescent="0.2">
      <c r="A37" s="8">
        <v>17.5</v>
      </c>
      <c r="B37" s="8">
        <v>35</v>
      </c>
      <c r="D37">
        <v>1087.107020548</v>
      </c>
      <c r="E37">
        <v>345.42208904109998</v>
      </c>
      <c r="F37">
        <v>148.66838487973001</v>
      </c>
      <c r="G37">
        <v>118.8264604811</v>
      </c>
      <c r="I37" s="9">
        <f t="shared" si="1"/>
        <v>226.59562855999997</v>
      </c>
      <c r="J37" s="9">
        <f t="shared" si="2"/>
        <v>938.43863566827008</v>
      </c>
      <c r="K37" s="9">
        <f t="shared" si="3"/>
        <v>226.59562855999997</v>
      </c>
      <c r="L37" s="10">
        <f t="shared" si="0"/>
        <v>0.24146025104629171</v>
      </c>
      <c r="M37" s="10">
        <f t="shared" si="4"/>
        <v>0.24331905821743002</v>
      </c>
      <c r="P37" s="8">
        <f t="shared" si="5"/>
        <v>1.4033207739843296</v>
      </c>
    </row>
    <row r="38" spans="1:16" x14ac:dyDescent="0.2">
      <c r="A38" s="8">
        <v>18</v>
      </c>
      <c r="B38" s="8">
        <v>36</v>
      </c>
      <c r="D38">
        <v>1081.6386986301</v>
      </c>
      <c r="E38">
        <v>344.72945205479999</v>
      </c>
      <c r="F38">
        <v>149.49570446735001</v>
      </c>
      <c r="G38">
        <v>118.40721649485</v>
      </c>
      <c r="I38" s="9">
        <f t="shared" si="1"/>
        <v>226.32223555995</v>
      </c>
      <c r="J38" s="9">
        <f t="shared" si="2"/>
        <v>932.14299416274991</v>
      </c>
      <c r="K38" s="9">
        <f t="shared" si="3"/>
        <v>226.32223555995</v>
      </c>
      <c r="L38" s="10">
        <f t="shared" si="0"/>
        <v>0.24279776491077149</v>
      </c>
      <c r="M38" s="10">
        <f t="shared" si="4"/>
        <v>0.24470968085822803</v>
      </c>
      <c r="P38" s="8">
        <f t="shared" si="5"/>
        <v>1.9828633497014998</v>
      </c>
    </row>
    <row r="39" spans="1:16" x14ac:dyDescent="0.2">
      <c r="A39" s="8">
        <v>18.5</v>
      </c>
      <c r="B39" s="8">
        <v>37</v>
      </c>
      <c r="D39">
        <v>1094.2068085106</v>
      </c>
      <c r="E39">
        <v>346.80340425532</v>
      </c>
      <c r="F39">
        <v>148.76374570447001</v>
      </c>
      <c r="G39">
        <v>118.56958762887</v>
      </c>
      <c r="I39" s="9">
        <f t="shared" si="1"/>
        <v>228.23381662644999</v>
      </c>
      <c r="J39" s="9">
        <f t="shared" si="2"/>
        <v>945.44306280613</v>
      </c>
      <c r="K39" s="9">
        <f t="shared" si="3"/>
        <v>228.23381662644999</v>
      </c>
      <c r="L39" s="10">
        <f t="shared" si="0"/>
        <v>0.24140408407994315</v>
      </c>
      <c r="M39" s="10">
        <f t="shared" si="4"/>
        <v>0.24336910880371795</v>
      </c>
      <c r="P39" s="8">
        <f t="shared" si="5"/>
        <v>1.4241793770607305</v>
      </c>
    </row>
    <row r="40" spans="1:16" x14ac:dyDescent="0.2">
      <c r="A40" s="8">
        <v>19</v>
      </c>
      <c r="B40" s="8">
        <v>38</v>
      </c>
      <c r="D40">
        <v>1088.4178723404</v>
      </c>
      <c r="E40">
        <v>344.62382978723002</v>
      </c>
      <c r="F40">
        <v>148.76116838487999</v>
      </c>
      <c r="G40">
        <v>119.04467353952001</v>
      </c>
      <c r="I40" s="9">
        <f t="shared" si="1"/>
        <v>225.57915624771002</v>
      </c>
      <c r="J40" s="9">
        <f t="shared" si="2"/>
        <v>939.65670395552002</v>
      </c>
      <c r="K40" s="9">
        <f t="shared" si="3"/>
        <v>225.57915624771002</v>
      </c>
      <c r="L40" s="10">
        <f t="shared" si="0"/>
        <v>0.24006549977042269</v>
      </c>
      <c r="M40" s="10">
        <f t="shared" si="4"/>
        <v>0.24208363327051571</v>
      </c>
      <c r="P40" s="8">
        <f t="shared" si="5"/>
        <v>0.88845690305734515</v>
      </c>
    </row>
    <row r="41" spans="1:16" x14ac:dyDescent="0.2">
      <c r="A41" s="8">
        <v>19.5</v>
      </c>
      <c r="B41" s="8">
        <v>39</v>
      </c>
      <c r="D41">
        <v>1112.7227891156999</v>
      </c>
      <c r="E41">
        <v>345.04336734693999</v>
      </c>
      <c r="F41">
        <v>148.4441580756</v>
      </c>
      <c r="G41">
        <v>118.82216494844999</v>
      </c>
      <c r="I41" s="9">
        <f t="shared" si="1"/>
        <v>226.22120239848999</v>
      </c>
      <c r="J41" s="9">
        <f t="shared" si="2"/>
        <v>964.27863104009998</v>
      </c>
      <c r="K41" s="9">
        <f t="shared" si="3"/>
        <v>226.22120239848999</v>
      </c>
      <c r="L41" s="10">
        <f t="shared" si="0"/>
        <v>0.23460148873617678</v>
      </c>
      <c r="M41" s="10">
        <f t="shared" si="4"/>
        <v>0.23667273101258804</v>
      </c>
      <c r="P41" s="8">
        <f t="shared" si="5"/>
        <v>-1.3665389092600453</v>
      </c>
    </row>
    <row r="42" spans="1:16" x14ac:dyDescent="0.2">
      <c r="A42" s="8">
        <v>20</v>
      </c>
      <c r="B42" s="8">
        <v>40</v>
      </c>
      <c r="D42">
        <v>1102.8145299145001</v>
      </c>
      <c r="E42">
        <v>346.24700854701001</v>
      </c>
      <c r="F42">
        <v>148.87886597938001</v>
      </c>
      <c r="G42">
        <v>118.82817869416</v>
      </c>
      <c r="I42" s="9">
        <f t="shared" si="1"/>
        <v>227.41882985285002</v>
      </c>
      <c r="J42" s="9">
        <f t="shared" si="2"/>
        <v>953.93566393512015</v>
      </c>
      <c r="K42" s="9">
        <f t="shared" si="3"/>
        <v>227.41882985285002</v>
      </c>
      <c r="L42" s="10">
        <f t="shared" si="0"/>
        <v>0.23840059497798316</v>
      </c>
      <c r="M42" s="10">
        <f t="shared" si="4"/>
        <v>0.24052494603071267</v>
      </c>
      <c r="P42" s="8">
        <f t="shared" si="5"/>
        <v>0.23887333438010216</v>
      </c>
    </row>
    <row r="43" spans="1:16" x14ac:dyDescent="0.2">
      <c r="A43" s="8">
        <v>20.5</v>
      </c>
      <c r="B43" s="8">
        <v>41</v>
      </c>
      <c r="D43">
        <v>1118.6538461539001</v>
      </c>
      <c r="E43">
        <v>348.68974358973998</v>
      </c>
      <c r="F43">
        <v>148.68041237112999</v>
      </c>
      <c r="G43">
        <v>118.51116838487999</v>
      </c>
      <c r="I43" s="9">
        <f t="shared" si="1"/>
        <v>230.17857520485998</v>
      </c>
      <c r="J43" s="9">
        <f t="shared" si="2"/>
        <v>969.97343378277014</v>
      </c>
      <c r="K43" s="9">
        <f t="shared" si="3"/>
        <v>230.17857520485998</v>
      </c>
      <c r="L43" s="10">
        <f t="shared" si="0"/>
        <v>0.23730399945820527</v>
      </c>
      <c r="M43" s="10">
        <f t="shared" si="4"/>
        <v>0.23948145928725301</v>
      </c>
      <c r="P43" s="8">
        <f t="shared" si="5"/>
        <v>-0.19600020880074534</v>
      </c>
    </row>
    <row r="44" spans="1:16" x14ac:dyDescent="0.2">
      <c r="A44" s="8">
        <v>21</v>
      </c>
      <c r="B44" s="8">
        <v>42</v>
      </c>
      <c r="D44">
        <v>1126.5611633875001</v>
      </c>
      <c r="E44">
        <v>351.38836612489001</v>
      </c>
      <c r="F44">
        <v>148.82130584192001</v>
      </c>
      <c r="G44">
        <v>118.52491408935001</v>
      </c>
      <c r="I44" s="9">
        <f t="shared" si="1"/>
        <v>232.86345203554001</v>
      </c>
      <c r="J44" s="9">
        <f t="shared" si="2"/>
        <v>977.73985754558009</v>
      </c>
      <c r="K44" s="9">
        <f t="shared" si="3"/>
        <v>232.86345203554001</v>
      </c>
      <c r="L44" s="10">
        <f t="shared" si="0"/>
        <v>0.23816503974799291</v>
      </c>
      <c r="M44" s="10">
        <f t="shared" si="4"/>
        <v>0.24039560835335888</v>
      </c>
      <c r="P44" s="8">
        <f t="shared" si="5"/>
        <v>0.18497180245345474</v>
      </c>
    </row>
    <row r="45" spans="1:16" x14ac:dyDescent="0.2">
      <c r="A45" s="8">
        <v>21.5</v>
      </c>
      <c r="B45" s="8">
        <v>43</v>
      </c>
      <c r="D45">
        <v>1129.9050470488</v>
      </c>
      <c r="E45">
        <v>350.02994011976</v>
      </c>
      <c r="F45">
        <v>149.18298969072001</v>
      </c>
      <c r="G45">
        <v>118.62199312715001</v>
      </c>
      <c r="I45" s="9">
        <f t="shared" si="1"/>
        <v>231.40794699260999</v>
      </c>
      <c r="J45" s="9">
        <f t="shared" si="2"/>
        <v>980.72205735808006</v>
      </c>
      <c r="K45" s="9">
        <f t="shared" si="3"/>
        <v>231.40794699260999</v>
      </c>
      <c r="L45" s="10">
        <f t="shared" si="0"/>
        <v>0.2359567068533043</v>
      </c>
      <c r="M45" s="10">
        <f t="shared" si="4"/>
        <v>0.23824038423498853</v>
      </c>
      <c r="P45" s="8">
        <f t="shared" si="5"/>
        <v>-0.71321876353025393</v>
      </c>
    </row>
    <row r="46" spans="1:16" x14ac:dyDescent="0.2">
      <c r="A46" s="8">
        <v>22</v>
      </c>
      <c r="B46" s="8">
        <v>44</v>
      </c>
      <c r="D46">
        <v>1124.0402053037001</v>
      </c>
      <c r="E46">
        <v>348.22155688623002</v>
      </c>
      <c r="F46">
        <v>149.0412371134</v>
      </c>
      <c r="G46">
        <v>118.59192439863</v>
      </c>
      <c r="I46" s="9">
        <f t="shared" si="1"/>
        <v>229.62963248760002</v>
      </c>
      <c r="J46" s="9">
        <f t="shared" si="2"/>
        <v>974.99896819030005</v>
      </c>
      <c r="K46" s="9">
        <f t="shared" si="3"/>
        <v>229.62963248760002</v>
      </c>
      <c r="L46" s="10">
        <f t="shared" si="0"/>
        <v>0.23551782102274077</v>
      </c>
      <c r="M46" s="10">
        <f t="shared" si="4"/>
        <v>0.23785460718074322</v>
      </c>
      <c r="P46" s="8">
        <f t="shared" si="5"/>
        <v>-0.87399151460642621</v>
      </c>
    </row>
    <row r="47" spans="1:16" x14ac:dyDescent="0.2">
      <c r="A47" s="8">
        <v>22.5</v>
      </c>
      <c r="B47" s="8">
        <v>45</v>
      </c>
      <c r="D47">
        <v>1119.3453608247</v>
      </c>
      <c r="E47">
        <v>349.79553264604999</v>
      </c>
      <c r="F47">
        <v>149.18728522337</v>
      </c>
      <c r="G47">
        <v>118.52749140893999</v>
      </c>
      <c r="I47" s="9">
        <f t="shared" si="1"/>
        <v>231.26804123711</v>
      </c>
      <c r="J47" s="9">
        <f t="shared" si="2"/>
        <v>970.15807560132998</v>
      </c>
      <c r="K47" s="9">
        <f t="shared" si="3"/>
        <v>231.26804123711</v>
      </c>
      <c r="L47" s="10">
        <f t="shared" si="0"/>
        <v>0.23838181328724586</v>
      </c>
      <c r="M47" s="10">
        <f t="shared" si="4"/>
        <v>0.24077170822156654</v>
      </c>
      <c r="P47" s="8">
        <f t="shared" si="5"/>
        <v>0.34171158214155045</v>
      </c>
    </row>
    <row r="48" spans="1:16" x14ac:dyDescent="0.2">
      <c r="A48" s="8">
        <v>23</v>
      </c>
      <c r="B48" s="8">
        <v>46</v>
      </c>
      <c r="D48">
        <v>1128.5515463918</v>
      </c>
      <c r="E48">
        <v>351.22766323024001</v>
      </c>
      <c r="F48">
        <v>149.04982817869001</v>
      </c>
      <c r="G48">
        <v>118.8058419244</v>
      </c>
      <c r="I48" s="9">
        <f t="shared" si="1"/>
        <v>232.42182130584001</v>
      </c>
      <c r="J48" s="9">
        <f t="shared" si="2"/>
        <v>979.50171821311005</v>
      </c>
      <c r="K48" s="9">
        <f t="shared" si="3"/>
        <v>232.42182130584001</v>
      </c>
      <c r="L48" s="10">
        <f t="shared" si="0"/>
        <v>0.23728577192273187</v>
      </c>
      <c r="M48" s="10">
        <f t="shared" si="4"/>
        <v>0.23972877563337081</v>
      </c>
      <c r="P48" s="8">
        <f t="shared" si="5"/>
        <v>-9.2931016597878474E-2</v>
      </c>
    </row>
    <row r="49" spans="1:25" x14ac:dyDescent="0.2">
      <c r="A49" s="8">
        <v>23.5</v>
      </c>
      <c r="B49" s="8">
        <v>47</v>
      </c>
      <c r="D49">
        <v>1120.1048109966</v>
      </c>
      <c r="E49">
        <v>346.39432989690999</v>
      </c>
      <c r="F49">
        <v>149.49570446735001</v>
      </c>
      <c r="G49">
        <v>118.66580756014</v>
      </c>
      <c r="I49" s="9">
        <f t="shared" si="1"/>
        <v>227.72852233677</v>
      </c>
      <c r="J49" s="9">
        <f t="shared" si="2"/>
        <v>970.60910652924997</v>
      </c>
      <c r="K49" s="9">
        <f t="shared" si="3"/>
        <v>227.72852233677</v>
      </c>
      <c r="L49" s="10">
        <f t="shared" si="0"/>
        <v>0.23462434135930627</v>
      </c>
      <c r="M49" s="10">
        <f t="shared" si="4"/>
        <v>0.23712045384626343</v>
      </c>
      <c r="P49" s="8">
        <f t="shared" si="5"/>
        <v>-1.1799502283172938</v>
      </c>
    </row>
    <row r="50" spans="1:25" x14ac:dyDescent="0.2">
      <c r="A50" s="8">
        <v>24</v>
      </c>
      <c r="B50" s="8">
        <v>48</v>
      </c>
      <c r="D50">
        <v>1126.2001718213</v>
      </c>
      <c r="E50">
        <v>347.34707903779997</v>
      </c>
      <c r="F50">
        <v>149.38144329897</v>
      </c>
      <c r="G50">
        <v>118.49312714777</v>
      </c>
      <c r="I50" s="9">
        <f t="shared" si="1"/>
        <v>228.85395189002998</v>
      </c>
      <c r="J50" s="9">
        <f t="shared" si="2"/>
        <v>976.81872852233005</v>
      </c>
      <c r="K50" s="9">
        <f t="shared" si="3"/>
        <v>228.85395189002998</v>
      </c>
      <c r="L50" s="10">
        <f t="shared" si="0"/>
        <v>0.23428497551047761</v>
      </c>
      <c r="M50" s="10">
        <f t="shared" si="4"/>
        <v>0.236834196773753</v>
      </c>
      <c r="P50" s="8">
        <f t="shared" si="5"/>
        <v>-1.2992479847702945</v>
      </c>
    </row>
    <row r="51" spans="1:25" x14ac:dyDescent="0.2">
      <c r="A51" s="8">
        <v>24.5</v>
      </c>
      <c r="B51" s="8">
        <v>49</v>
      </c>
      <c r="D51">
        <v>1127.7482817869</v>
      </c>
      <c r="E51">
        <v>347.44158075601001</v>
      </c>
      <c r="F51">
        <v>149.49742268041001</v>
      </c>
      <c r="G51">
        <v>118.60309278350999</v>
      </c>
      <c r="I51" s="9">
        <f t="shared" si="1"/>
        <v>228.83848797250002</v>
      </c>
      <c r="J51" s="9">
        <f t="shared" si="2"/>
        <v>978.25085910649</v>
      </c>
      <c r="K51" s="9">
        <f t="shared" si="3"/>
        <v>228.83848797250002</v>
      </c>
      <c r="L51" s="10">
        <f t="shared" si="0"/>
        <v>0.23392618145157101</v>
      </c>
      <c r="M51" s="10">
        <f t="shared" si="4"/>
        <v>0.23652851149116466</v>
      </c>
      <c r="P51" s="8">
        <f t="shared" si="5"/>
        <v>-1.4266424560183799</v>
      </c>
    </row>
    <row r="52" spans="1:25" x14ac:dyDescent="0.2">
      <c r="A52" s="8">
        <v>25</v>
      </c>
      <c r="B52" s="8">
        <v>50</v>
      </c>
      <c r="D52">
        <v>1121.4364261168</v>
      </c>
      <c r="E52">
        <v>345.96563573882997</v>
      </c>
      <c r="F52">
        <v>149.7087628866</v>
      </c>
      <c r="G52">
        <v>118.85051546392</v>
      </c>
      <c r="I52" s="9">
        <f t="shared" si="1"/>
        <v>227.11512027490997</v>
      </c>
      <c r="J52" s="9">
        <f t="shared" si="2"/>
        <v>971.72766323020005</v>
      </c>
      <c r="K52" s="9">
        <f t="shared" si="3"/>
        <v>227.11512027490997</v>
      </c>
      <c r="L52" s="10">
        <f t="shared" si="0"/>
        <v>0.23372301609685359</v>
      </c>
      <c r="M52" s="10">
        <f t="shared" si="4"/>
        <v>0.23637845491276546</v>
      </c>
      <c r="P52" s="8">
        <f t="shared" si="5"/>
        <v>-1.4891785987485697</v>
      </c>
    </row>
    <row r="53" spans="1:25" x14ac:dyDescent="0.2">
      <c r="A53" s="8">
        <v>25.5</v>
      </c>
      <c r="B53" s="8">
        <v>51</v>
      </c>
      <c r="D53">
        <v>1127.7628865979</v>
      </c>
      <c r="E53">
        <v>345.93728522337</v>
      </c>
      <c r="F53">
        <v>149.19587628866</v>
      </c>
      <c r="G53">
        <v>119.01202749141</v>
      </c>
      <c r="I53" s="9">
        <f t="shared" si="1"/>
        <v>226.92525773196002</v>
      </c>
      <c r="J53" s="9">
        <f t="shared" si="2"/>
        <v>978.56701030924</v>
      </c>
      <c r="K53" s="9">
        <f t="shared" si="3"/>
        <v>226.92525773196002</v>
      </c>
      <c r="L53" s="10">
        <f t="shared" si="0"/>
        <v>0.23189547097060698</v>
      </c>
      <c r="M53" s="10">
        <f t="shared" si="4"/>
        <v>0.23460401856283708</v>
      </c>
      <c r="P53" s="8">
        <f t="shared" si="5"/>
        <v>-2.228675700632043</v>
      </c>
      <c r="S53" s="11"/>
      <c r="U53" s="12"/>
    </row>
    <row r="54" spans="1:25" x14ac:dyDescent="0.2">
      <c r="A54" s="8">
        <v>26</v>
      </c>
      <c r="B54" s="8">
        <v>52</v>
      </c>
      <c r="D54">
        <v>1116.9380911436001</v>
      </c>
      <c r="E54">
        <v>344.47377472055001</v>
      </c>
      <c r="F54">
        <v>149.28092783504999</v>
      </c>
      <c r="G54">
        <v>118.8470790378</v>
      </c>
      <c r="I54" s="9">
        <f t="shared" si="1"/>
        <v>225.62669568275001</v>
      </c>
      <c r="J54" s="9">
        <f t="shared" si="2"/>
        <v>967.65716330855014</v>
      </c>
      <c r="K54" s="9">
        <f t="shared" si="3"/>
        <v>225.62669568275001</v>
      </c>
      <c r="L54" s="10">
        <f t="shared" si="0"/>
        <v>0.23316801057029532</v>
      </c>
      <c r="M54" s="10">
        <f t="shared" si="4"/>
        <v>0.23592966693884368</v>
      </c>
      <c r="P54" s="8">
        <f t="shared" si="5"/>
        <v>-1.6762111773410386</v>
      </c>
      <c r="S54" s="11"/>
    </row>
    <row r="55" spans="1:25" x14ac:dyDescent="0.2">
      <c r="A55" s="8">
        <v>26.5</v>
      </c>
      <c r="B55" s="8">
        <v>53</v>
      </c>
      <c r="D55">
        <v>1117.9535683577001</v>
      </c>
      <c r="E55">
        <v>342.95614789337998</v>
      </c>
      <c r="F55">
        <v>149.36426116838999</v>
      </c>
      <c r="G55">
        <v>119.29467353952001</v>
      </c>
      <c r="I55" s="9">
        <f t="shared" si="1"/>
        <v>223.66147435385997</v>
      </c>
      <c r="J55" s="9">
        <f t="shared" si="2"/>
        <v>968.58930718931015</v>
      </c>
      <c r="K55" s="9">
        <f t="shared" si="3"/>
        <v>223.66147435385997</v>
      </c>
      <c r="L55" s="10">
        <f t="shared" si="0"/>
        <v>0.23091466392798563</v>
      </c>
      <c r="M55" s="10">
        <f t="shared" si="4"/>
        <v>0.23372942907285221</v>
      </c>
      <c r="P55" s="8">
        <f t="shared" si="5"/>
        <v>-2.5931612417491747</v>
      </c>
      <c r="S55" s="11"/>
    </row>
    <row r="56" spans="1:25" x14ac:dyDescent="0.2">
      <c r="A56" s="8">
        <v>27</v>
      </c>
      <c r="B56" s="8">
        <v>54</v>
      </c>
      <c r="D56">
        <v>1127.1874462597</v>
      </c>
      <c r="E56">
        <v>346.46259673258999</v>
      </c>
      <c r="F56">
        <v>149.41237113401999</v>
      </c>
      <c r="G56">
        <v>119.06872852234</v>
      </c>
      <c r="I56" s="9">
        <f t="shared" si="1"/>
        <v>227.39386821024999</v>
      </c>
      <c r="J56" s="9">
        <f t="shared" si="2"/>
        <v>977.77507512568002</v>
      </c>
      <c r="K56" s="9">
        <f t="shared" si="3"/>
        <v>227.39386821024999</v>
      </c>
      <c r="L56" s="10">
        <f t="shared" si="0"/>
        <v>0.23256255349014857</v>
      </c>
      <c r="M56" s="10">
        <f t="shared" si="4"/>
        <v>0.23543042741133338</v>
      </c>
      <c r="P56" s="8">
        <f t="shared" si="5"/>
        <v>-1.8842694623025933</v>
      </c>
      <c r="S56" s="11"/>
    </row>
    <row r="57" spans="1:25" x14ac:dyDescent="0.2">
      <c r="A57" s="8">
        <v>27.5</v>
      </c>
      <c r="B57" s="8">
        <v>55</v>
      </c>
      <c r="D57">
        <v>1125.8968185727001</v>
      </c>
      <c r="E57">
        <v>346.17884780740002</v>
      </c>
      <c r="F57">
        <v>149.55841924398999</v>
      </c>
      <c r="G57">
        <v>118.92869415808001</v>
      </c>
      <c r="I57" s="9">
        <f t="shared" si="1"/>
        <v>227.25015364932</v>
      </c>
      <c r="J57" s="9">
        <f t="shared" si="2"/>
        <v>976.33839932871012</v>
      </c>
      <c r="K57" s="9">
        <f t="shared" si="3"/>
        <v>227.25015364932</v>
      </c>
      <c r="L57" s="10">
        <f t="shared" si="0"/>
        <v>0.23275757033172903</v>
      </c>
      <c r="M57" s="10">
        <f t="shared" si="4"/>
        <v>0.2356785530292321</v>
      </c>
      <c r="P57" s="8">
        <f t="shared" si="5"/>
        <v>-1.7808630057415815</v>
      </c>
      <c r="S57" s="11"/>
    </row>
    <row r="58" spans="1:25" x14ac:dyDescent="0.2">
      <c r="A58" s="8">
        <v>28</v>
      </c>
      <c r="B58" s="8">
        <v>56</v>
      </c>
      <c r="D58">
        <v>1123.9286328461001</v>
      </c>
      <c r="E58">
        <v>345.76612209801999</v>
      </c>
      <c r="F58">
        <v>149.46477663229999</v>
      </c>
      <c r="G58">
        <v>119.1323024055</v>
      </c>
      <c r="I58" s="9">
        <f t="shared" si="1"/>
        <v>226.63381969251998</v>
      </c>
      <c r="J58" s="9">
        <f t="shared" si="2"/>
        <v>974.46385621380011</v>
      </c>
      <c r="K58" s="9">
        <f t="shared" si="3"/>
        <v>226.63381969251998</v>
      </c>
      <c r="L58" s="10">
        <f t="shared" si="0"/>
        <v>0.23257283299668724</v>
      </c>
      <c r="M58" s="10">
        <f t="shared" si="4"/>
        <v>0.23554692447050854</v>
      </c>
      <c r="P58" s="8">
        <f t="shared" si="5"/>
        <v>-1.8357192634513051</v>
      </c>
      <c r="S58" s="11"/>
    </row>
    <row r="59" spans="1:25" x14ac:dyDescent="0.2">
      <c r="A59" s="8">
        <v>28.5</v>
      </c>
      <c r="B59" s="8">
        <v>57</v>
      </c>
      <c r="D59">
        <v>1123.7910576096001</v>
      </c>
      <c r="E59">
        <v>346.19518486672001</v>
      </c>
      <c r="F59">
        <v>149.38230240550001</v>
      </c>
      <c r="G59">
        <v>118.59879725086</v>
      </c>
      <c r="I59" s="9">
        <f t="shared" si="1"/>
        <v>227.59638761586001</v>
      </c>
      <c r="J59" s="9">
        <f t="shared" si="2"/>
        <v>974.40875520410009</v>
      </c>
      <c r="K59" s="9">
        <f t="shared" si="3"/>
        <v>227.59638761586001</v>
      </c>
      <c r="L59" s="10">
        <f t="shared" si="0"/>
        <v>0.23357383274762097</v>
      </c>
      <c r="M59" s="10">
        <f t="shared" si="4"/>
        <v>0.2366010329977605</v>
      </c>
      <c r="P59" s="8">
        <f t="shared" si="5"/>
        <v>-1.3964190873672522</v>
      </c>
      <c r="R59" s="1"/>
      <c r="S59" s="11"/>
    </row>
    <row r="60" spans="1:25" x14ac:dyDescent="0.2">
      <c r="A60" s="8">
        <v>29</v>
      </c>
      <c r="B60" s="8">
        <v>58</v>
      </c>
      <c r="D60">
        <v>1120.2751504728999</v>
      </c>
      <c r="E60">
        <v>345.12639724849998</v>
      </c>
      <c r="F60">
        <v>149.60910652921001</v>
      </c>
      <c r="G60">
        <v>118.85652920962001</v>
      </c>
      <c r="I60" s="9">
        <f t="shared" si="1"/>
        <v>226.26986803887996</v>
      </c>
      <c r="J60" s="9">
        <f t="shared" si="2"/>
        <v>970.66604394368983</v>
      </c>
      <c r="K60" s="9">
        <f t="shared" si="3"/>
        <v>226.26986803887996</v>
      </c>
      <c r="L60" s="10">
        <f t="shared" si="0"/>
        <v>0.23310784326973563</v>
      </c>
      <c r="M60" s="10">
        <f t="shared" si="4"/>
        <v>0.23618815229619342</v>
      </c>
      <c r="P60" s="8">
        <f t="shared" si="5"/>
        <v>-1.5684872949672592</v>
      </c>
      <c r="S60" s="11"/>
    </row>
    <row r="61" spans="1:25" x14ac:dyDescent="0.2">
      <c r="A61" s="8">
        <v>29.5</v>
      </c>
      <c r="B61" s="8">
        <v>59</v>
      </c>
      <c r="C61" s="2"/>
      <c r="D61">
        <v>1108.5382631125999</v>
      </c>
      <c r="E61">
        <v>341.06448839209003</v>
      </c>
      <c r="F61">
        <v>149.26890034364001</v>
      </c>
      <c r="G61">
        <v>118.8470790378</v>
      </c>
      <c r="I61" s="9">
        <f t="shared" si="1"/>
        <v>222.21740935429003</v>
      </c>
      <c r="J61" s="9">
        <f t="shared" si="2"/>
        <v>959.26936276895992</v>
      </c>
      <c r="K61" s="9">
        <f t="shared" si="3"/>
        <v>222.21740935429003</v>
      </c>
      <c r="L61" s="10">
        <f t="shared" si="0"/>
        <v>0.23165277447499499</v>
      </c>
      <c r="M61" s="10">
        <f t="shared" si="4"/>
        <v>0.23478619227777101</v>
      </c>
      <c r="P61" s="8">
        <f t="shared" si="5"/>
        <v>-2.152754727620855</v>
      </c>
      <c r="S61" s="11"/>
    </row>
    <row r="62" spans="1:25" x14ac:dyDescent="0.2">
      <c r="A62" s="8">
        <v>30</v>
      </c>
      <c r="B62" s="8">
        <v>60</v>
      </c>
      <c r="D62">
        <v>1115.7575236457001</v>
      </c>
      <c r="E62">
        <v>342.88564058470001</v>
      </c>
      <c r="F62">
        <v>149.53092783504999</v>
      </c>
      <c r="G62">
        <v>119.11340206186</v>
      </c>
      <c r="I62" s="9">
        <f t="shared" si="1"/>
        <v>223.77223852284001</v>
      </c>
      <c r="J62" s="9">
        <f t="shared" si="2"/>
        <v>966.22659581065011</v>
      </c>
      <c r="K62" s="9">
        <f t="shared" si="3"/>
        <v>223.77223852284001</v>
      </c>
      <c r="L62" s="10">
        <f t="shared" si="0"/>
        <v>0.23159395476492586</v>
      </c>
      <c r="M62" s="10">
        <f t="shared" si="4"/>
        <v>0.23478048134402013</v>
      </c>
      <c r="P62" s="8">
        <f t="shared" si="5"/>
        <v>-2.1551347616851877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1096.4978503868999</v>
      </c>
      <c r="E63">
        <v>340.72226999140003</v>
      </c>
      <c r="F63">
        <v>149.85824742267999</v>
      </c>
      <c r="G63">
        <v>119.04209621993</v>
      </c>
      <c r="I63" s="9">
        <f t="shared" si="1"/>
        <v>221.68017377147004</v>
      </c>
      <c r="J63" s="9">
        <f t="shared" si="2"/>
        <v>946.63960296421988</v>
      </c>
      <c r="K63" s="9">
        <f t="shared" si="3"/>
        <v>221.68017377147004</v>
      </c>
      <c r="L63" s="10">
        <f t="shared" si="0"/>
        <v>0.23417589236423367</v>
      </c>
      <c r="M63" s="10">
        <f t="shared" si="4"/>
        <v>0.23741552771964616</v>
      </c>
      <c r="P63" s="8">
        <f t="shared" si="5"/>
        <v>-1.0569780663590078</v>
      </c>
    </row>
    <row r="64" spans="1:25" x14ac:dyDescent="0.2">
      <c r="A64" s="8">
        <v>31</v>
      </c>
      <c r="B64" s="8">
        <v>62</v>
      </c>
      <c r="D64">
        <v>1058.4058469475999</v>
      </c>
      <c r="E64">
        <v>329.46947549441001</v>
      </c>
      <c r="F64">
        <v>150.31701030927999</v>
      </c>
      <c r="G64">
        <v>119.1323024055</v>
      </c>
      <c r="I64" s="9">
        <f t="shared" si="1"/>
        <v>210.33717308890999</v>
      </c>
      <c r="J64" s="9">
        <f t="shared" si="2"/>
        <v>908.08883663831989</v>
      </c>
      <c r="K64" s="9">
        <f t="shared" si="3"/>
        <v>210.33717308890999</v>
      </c>
      <c r="L64" s="10">
        <f t="shared" si="0"/>
        <v>0.23162620726355718</v>
      </c>
      <c r="M64" s="10">
        <f t="shared" si="4"/>
        <v>0.2349189513952879</v>
      </c>
      <c r="P64" s="8">
        <f t="shared" si="5"/>
        <v>-2.0974273090542135</v>
      </c>
      <c r="U64" s="8">
        <v>30.5</v>
      </c>
      <c r="V64" s="10">
        <f>L62</f>
        <v>0.23159395476492586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1063.4127257094001</v>
      </c>
      <c r="E65">
        <v>331.88564058470001</v>
      </c>
      <c r="F65">
        <v>150.52319587629</v>
      </c>
      <c r="G65">
        <v>119.33505154639001</v>
      </c>
      <c r="I65" s="9">
        <f t="shared" si="1"/>
        <v>212.55058903831002</v>
      </c>
      <c r="J65" s="9">
        <f t="shared" si="2"/>
        <v>912.88952983311015</v>
      </c>
      <c r="K65" s="9">
        <f t="shared" si="3"/>
        <v>212.55058903831002</v>
      </c>
      <c r="L65" s="10">
        <f t="shared" si="0"/>
        <v>0.23283276025431845</v>
      </c>
      <c r="M65" s="10">
        <f t="shared" si="4"/>
        <v>0.23617861316236743</v>
      </c>
      <c r="P65" s="8">
        <f t="shared" si="5"/>
        <v>-1.5724627330375378</v>
      </c>
      <c r="U65" s="8">
        <v>31</v>
      </c>
      <c r="V65" s="10">
        <f t="shared" ref="V65:V83" si="6">L63</f>
        <v>0.23417589236423367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1059.8839208941999</v>
      </c>
      <c r="E66">
        <v>330.52880481513</v>
      </c>
      <c r="F66">
        <v>150.03608247423</v>
      </c>
      <c r="G66">
        <v>119.46735395189</v>
      </c>
      <c r="I66" s="9">
        <f t="shared" si="1"/>
        <v>211.06145086324</v>
      </c>
      <c r="J66" s="9">
        <f t="shared" si="2"/>
        <v>909.84783841997</v>
      </c>
      <c r="K66" s="9">
        <f t="shared" si="3"/>
        <v>211.06145086324</v>
      </c>
      <c r="L66" s="10">
        <f t="shared" ref="L66:L129" si="7">K66/J66</f>
        <v>0.23197444885923627</v>
      </c>
      <c r="M66" s="10">
        <f t="shared" si="4"/>
        <v>0.23537341054360347</v>
      </c>
      <c r="P66" s="8">
        <f t="shared" si="5"/>
        <v>-1.9080312661263497</v>
      </c>
      <c r="U66" s="8">
        <v>31.5</v>
      </c>
      <c r="V66" s="10">
        <f t="shared" si="6"/>
        <v>0.23162620726355718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1083.6094420601</v>
      </c>
      <c r="E67">
        <v>338.52188841202002</v>
      </c>
      <c r="F67">
        <v>150.4441580756</v>
      </c>
      <c r="G67">
        <v>119.14347079037999</v>
      </c>
      <c r="I67" s="9">
        <f t="shared" ref="I67:I130" si="8">E67-G67</f>
        <v>219.37841762164004</v>
      </c>
      <c r="J67" s="9">
        <f t="shared" ref="J67:J130" si="9">D67-F67</f>
        <v>933.16528398450009</v>
      </c>
      <c r="K67" s="9">
        <f t="shared" ref="K67:K130" si="10">I67*1</f>
        <v>219.37841762164004</v>
      </c>
      <c r="L67" s="10">
        <f t="shared" si="7"/>
        <v>0.23509063333873864</v>
      </c>
      <c r="M67" s="10">
        <f t="shared" ref="M67:M130" si="11">L67+ABS($N$2)*A67</f>
        <v>0.23854270379942408</v>
      </c>
      <c r="P67" s="8">
        <f t="shared" ref="P67:P130" si="12">(M67-$O$2)/$O$2*100</f>
        <v>-0.58722695675071745</v>
      </c>
      <c r="U67" s="8">
        <v>32</v>
      </c>
      <c r="V67" s="10">
        <f t="shared" si="6"/>
        <v>0.23283276025431845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1084.6171673819999</v>
      </c>
      <c r="E68">
        <v>338.36394849785</v>
      </c>
      <c r="F68">
        <v>150.15635738832</v>
      </c>
      <c r="G68">
        <v>119.36426116839</v>
      </c>
      <c r="I68" s="9">
        <f t="shared" si="8"/>
        <v>218.99968732946002</v>
      </c>
      <c r="J68" s="9">
        <f t="shared" si="9"/>
        <v>934.46080999367996</v>
      </c>
      <c r="K68" s="9">
        <f t="shared" si="10"/>
        <v>218.99968732946002</v>
      </c>
      <c r="L68" s="10">
        <f t="shared" si="7"/>
        <v>0.23435941345784334</v>
      </c>
      <c r="M68" s="10">
        <f t="shared" si="11"/>
        <v>0.23786459269484703</v>
      </c>
      <c r="P68" s="8">
        <f t="shared" si="12"/>
        <v>-0.86983004736592573</v>
      </c>
      <c r="U68" s="8">
        <v>32.5</v>
      </c>
      <c r="V68" s="10">
        <f t="shared" si="6"/>
        <v>0.23197444885923627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1116.8017167382</v>
      </c>
      <c r="E69">
        <v>345.86781115880001</v>
      </c>
      <c r="F69">
        <v>149.98195876289</v>
      </c>
      <c r="G69">
        <v>119.52491408935001</v>
      </c>
      <c r="I69" s="9">
        <f t="shared" si="8"/>
        <v>226.34289706945</v>
      </c>
      <c r="J69" s="9">
        <f t="shared" si="9"/>
        <v>966.81975797530993</v>
      </c>
      <c r="K69" s="9">
        <f t="shared" si="10"/>
        <v>226.34289706945</v>
      </c>
      <c r="L69" s="10">
        <f t="shared" si="7"/>
        <v>0.23411074836063725</v>
      </c>
      <c r="M69" s="10">
        <f t="shared" si="11"/>
        <v>0.23766903637395917</v>
      </c>
      <c r="P69" s="8">
        <f t="shared" si="12"/>
        <v>-0.95132822708784237</v>
      </c>
      <c r="U69" s="8">
        <v>33</v>
      </c>
      <c r="V69" s="10">
        <f t="shared" si="6"/>
        <v>0.23509063333873864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1118.0472103003999</v>
      </c>
      <c r="E70">
        <v>347.07381974249</v>
      </c>
      <c r="F70">
        <v>150.33762886598001</v>
      </c>
      <c r="G70">
        <v>118.70360824741999</v>
      </c>
      <c r="I70" s="9">
        <f t="shared" si="8"/>
        <v>228.37021149507001</v>
      </c>
      <c r="J70" s="9">
        <f t="shared" si="9"/>
        <v>967.70958143441987</v>
      </c>
      <c r="K70" s="9">
        <f t="shared" si="10"/>
        <v>228.37021149507001</v>
      </c>
      <c r="L70" s="10">
        <f t="shared" si="7"/>
        <v>0.23599044163287153</v>
      </c>
      <c r="M70" s="10">
        <f t="shared" si="11"/>
        <v>0.23960183842251168</v>
      </c>
      <c r="P70" s="8">
        <f t="shared" si="12"/>
        <v>-0.14583215309414455</v>
      </c>
      <c r="U70" s="8">
        <v>33.5</v>
      </c>
      <c r="V70" s="10">
        <f t="shared" si="6"/>
        <v>0.23435941345784334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1112.2815450644</v>
      </c>
      <c r="E71">
        <v>349.22660944206001</v>
      </c>
      <c r="F71">
        <v>150.02319587629</v>
      </c>
      <c r="G71">
        <v>118.98969072165001</v>
      </c>
      <c r="I71" s="9">
        <f t="shared" si="8"/>
        <v>230.23691872041002</v>
      </c>
      <c r="J71" s="9">
        <f t="shared" si="9"/>
        <v>962.25834918811006</v>
      </c>
      <c r="K71" s="9">
        <f t="shared" si="10"/>
        <v>230.23691872041002</v>
      </c>
      <c r="L71" s="10">
        <f t="shared" si="7"/>
        <v>0.23926726010189331</v>
      </c>
      <c r="M71" s="10">
        <f t="shared" si="11"/>
        <v>0.24293176566785171</v>
      </c>
      <c r="P71" s="8">
        <f t="shared" si="12"/>
        <v>1.2419164395849687</v>
      </c>
      <c r="U71" s="8">
        <v>34</v>
      </c>
      <c r="V71" s="10">
        <f t="shared" si="6"/>
        <v>0.23411074836063725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1096.6686541738</v>
      </c>
      <c r="E72">
        <v>341.33730834752998</v>
      </c>
      <c r="F72">
        <v>149.45360824741999</v>
      </c>
      <c r="G72">
        <v>118.9793814433</v>
      </c>
      <c r="I72" s="9">
        <f t="shared" si="8"/>
        <v>222.35792690423</v>
      </c>
      <c r="J72" s="9">
        <f t="shared" si="9"/>
        <v>947.21504592637996</v>
      </c>
      <c r="K72" s="9">
        <f t="shared" si="10"/>
        <v>222.35792690423</v>
      </c>
      <c r="L72" s="10">
        <f t="shared" si="7"/>
        <v>0.23474915000612462</v>
      </c>
      <c r="M72" s="10">
        <f t="shared" si="11"/>
        <v>0.23846676434840125</v>
      </c>
      <c r="P72" s="8">
        <f t="shared" si="12"/>
        <v>-0.61887475519232926</v>
      </c>
      <c r="U72" s="8">
        <v>34.5</v>
      </c>
      <c r="V72" s="10">
        <f t="shared" si="6"/>
        <v>0.23599044163287153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1094.9115879828</v>
      </c>
      <c r="E73">
        <v>343.30643776824002</v>
      </c>
      <c r="F73">
        <v>149.7233676976</v>
      </c>
      <c r="G73">
        <v>119.45103092783999</v>
      </c>
      <c r="I73" s="9">
        <f t="shared" si="8"/>
        <v>223.85540684040001</v>
      </c>
      <c r="J73" s="9">
        <f t="shared" si="9"/>
        <v>945.18822028520003</v>
      </c>
      <c r="K73" s="9">
        <f t="shared" si="10"/>
        <v>223.85540684040001</v>
      </c>
      <c r="L73" s="10">
        <f t="shared" si="7"/>
        <v>0.23683685644416319</v>
      </c>
      <c r="M73" s="10">
        <f t="shared" si="11"/>
        <v>0.24060757956275805</v>
      </c>
      <c r="P73" s="8">
        <f t="shared" si="12"/>
        <v>0.27331089392875491</v>
      </c>
      <c r="U73" s="8">
        <v>35</v>
      </c>
      <c r="V73" s="10">
        <f t="shared" si="6"/>
        <v>0.23926726010189331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1074.0343347640001</v>
      </c>
      <c r="E74">
        <v>339.60171673820003</v>
      </c>
      <c r="F74">
        <v>149.36512027491</v>
      </c>
      <c r="G74">
        <v>119.26202749141</v>
      </c>
      <c r="I74" s="9">
        <f t="shared" si="8"/>
        <v>220.33968924679004</v>
      </c>
      <c r="J74" s="9">
        <f t="shared" si="9"/>
        <v>924.66921448909011</v>
      </c>
      <c r="K74" s="9">
        <f t="shared" si="10"/>
        <v>220.33968924679004</v>
      </c>
      <c r="L74" s="10">
        <f t="shared" si="7"/>
        <v>0.2382902834810337</v>
      </c>
      <c r="M74" s="10">
        <f t="shared" si="11"/>
        <v>0.24211411537594682</v>
      </c>
      <c r="P74" s="8">
        <f t="shared" si="12"/>
        <v>0.90116033343202151</v>
      </c>
      <c r="U74" s="8">
        <v>35.5</v>
      </c>
      <c r="V74" s="10">
        <f t="shared" si="6"/>
        <v>0.23474915000612462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1084.5845493561999</v>
      </c>
      <c r="E75">
        <v>342.87210300429001</v>
      </c>
      <c r="F75">
        <v>149.92783505155001</v>
      </c>
      <c r="G75">
        <v>119.5970790378</v>
      </c>
      <c r="I75" s="9">
        <f t="shared" si="8"/>
        <v>223.27502396649001</v>
      </c>
      <c r="J75" s="9">
        <f t="shared" si="9"/>
        <v>934.65671430464988</v>
      </c>
      <c r="K75" s="9">
        <f t="shared" si="10"/>
        <v>223.27502396649001</v>
      </c>
      <c r="L75" s="10">
        <f t="shared" si="7"/>
        <v>0.23888452364309862</v>
      </c>
      <c r="M75" s="10">
        <f t="shared" si="11"/>
        <v>0.24276146431432996</v>
      </c>
      <c r="P75" s="8">
        <f t="shared" si="12"/>
        <v>1.1709432782308007</v>
      </c>
      <c r="U75" s="8">
        <v>36</v>
      </c>
      <c r="V75" s="10">
        <f t="shared" si="6"/>
        <v>0.23683685644416319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1105.6746781116001</v>
      </c>
      <c r="E76">
        <v>344.02746781116002</v>
      </c>
      <c r="F76">
        <v>149.94072164949</v>
      </c>
      <c r="G76">
        <v>119.27663230240999</v>
      </c>
      <c r="I76" s="9">
        <f t="shared" si="8"/>
        <v>224.75083550875001</v>
      </c>
      <c r="J76" s="9">
        <f t="shared" si="9"/>
        <v>955.73395646211009</v>
      </c>
      <c r="K76" s="9">
        <f t="shared" si="10"/>
        <v>224.75083550875001</v>
      </c>
      <c r="L76" s="10">
        <f t="shared" si="7"/>
        <v>0.23516045860787643</v>
      </c>
      <c r="M76" s="10">
        <f t="shared" si="11"/>
        <v>0.239090508055426</v>
      </c>
      <c r="P76" s="8">
        <f t="shared" si="12"/>
        <v>-0.35892930057995232</v>
      </c>
      <c r="U76" s="8">
        <v>36.5</v>
      </c>
      <c r="V76" s="10">
        <f t="shared" si="6"/>
        <v>0.2382902834810337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1091.7589134125999</v>
      </c>
      <c r="E77">
        <v>344.53989813242998</v>
      </c>
      <c r="F77">
        <v>150.67697594501999</v>
      </c>
      <c r="G77">
        <v>119.37457044673999</v>
      </c>
      <c r="I77" s="9">
        <f t="shared" si="8"/>
        <v>225.16532768568999</v>
      </c>
      <c r="J77" s="9">
        <f t="shared" si="9"/>
        <v>941.08193746757991</v>
      </c>
      <c r="K77" s="9">
        <f t="shared" si="10"/>
        <v>225.16532768568999</v>
      </c>
      <c r="L77" s="10">
        <f t="shared" si="7"/>
        <v>0.23926219250536501</v>
      </c>
      <c r="M77" s="10">
        <f t="shared" si="11"/>
        <v>0.24324535072923284</v>
      </c>
      <c r="P77" s="8">
        <f t="shared" si="12"/>
        <v>1.3726031469975248</v>
      </c>
      <c r="U77" s="8">
        <v>37</v>
      </c>
      <c r="V77" s="10">
        <f t="shared" si="6"/>
        <v>0.23888452364309862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1044.2691001697999</v>
      </c>
      <c r="E78">
        <v>336.38200339559</v>
      </c>
      <c r="F78">
        <v>150.16580756014</v>
      </c>
      <c r="G78">
        <v>119.36426116839</v>
      </c>
      <c r="I78" s="9">
        <f t="shared" si="8"/>
        <v>217.01774222720002</v>
      </c>
      <c r="J78" s="9">
        <f t="shared" si="9"/>
        <v>894.10329260965989</v>
      </c>
      <c r="K78" s="9">
        <f t="shared" si="10"/>
        <v>217.01774222720002</v>
      </c>
      <c r="L78" s="10">
        <f t="shared" si="7"/>
        <v>0.2427211084233685</v>
      </c>
      <c r="M78" s="10">
        <f t="shared" si="11"/>
        <v>0.24675737542355455</v>
      </c>
      <c r="P78" s="8">
        <f t="shared" si="12"/>
        <v>2.8362409288198607</v>
      </c>
      <c r="U78" s="8">
        <v>37.5</v>
      </c>
      <c r="V78" s="10">
        <f t="shared" si="6"/>
        <v>0.23516045860787643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1095.8522920204</v>
      </c>
      <c r="E79">
        <v>342.83531409168</v>
      </c>
      <c r="F79">
        <v>150.65034364261001</v>
      </c>
      <c r="G79">
        <v>119.62457044673999</v>
      </c>
      <c r="I79" s="9">
        <f t="shared" si="8"/>
        <v>223.21074364494001</v>
      </c>
      <c r="J79" s="9">
        <f t="shared" si="9"/>
        <v>945.20194837779002</v>
      </c>
      <c r="K79" s="9">
        <f t="shared" si="10"/>
        <v>223.21074364494001</v>
      </c>
      <c r="L79" s="10">
        <f t="shared" si="7"/>
        <v>0.23615137910795375</v>
      </c>
      <c r="M79" s="10">
        <f t="shared" si="11"/>
        <v>0.24024075488445804</v>
      </c>
      <c r="P79" s="8">
        <f t="shared" si="12"/>
        <v>0.12043655357095781</v>
      </c>
      <c r="U79" s="8">
        <v>38</v>
      </c>
      <c r="V79" s="10">
        <f t="shared" si="6"/>
        <v>0.23926219250536501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1059.3811544992</v>
      </c>
      <c r="E80">
        <v>338.73005093378998</v>
      </c>
      <c r="F80">
        <v>151.04896907217</v>
      </c>
      <c r="G80">
        <v>119.23625429553</v>
      </c>
      <c r="I80" s="9">
        <f t="shared" si="8"/>
        <v>219.49379663825999</v>
      </c>
      <c r="J80" s="9">
        <f t="shared" si="9"/>
        <v>908.33218542703003</v>
      </c>
      <c r="K80" s="9">
        <f t="shared" si="10"/>
        <v>219.49379663825999</v>
      </c>
      <c r="L80" s="10">
        <f t="shared" si="7"/>
        <v>0.24164485213641348</v>
      </c>
      <c r="M80" s="10">
        <f t="shared" si="11"/>
        <v>0.24578733668923602</v>
      </c>
      <c r="P80" s="8">
        <f t="shared" si="12"/>
        <v>2.4319768746190897</v>
      </c>
      <c r="U80" s="8">
        <v>38.5</v>
      </c>
      <c r="V80" s="10">
        <f t="shared" si="6"/>
        <v>0.2427211084233685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1029.7954159593</v>
      </c>
      <c r="E81">
        <v>331.17487266554002</v>
      </c>
      <c r="F81">
        <v>150.40893470789999</v>
      </c>
      <c r="G81">
        <v>119.68986254296</v>
      </c>
      <c r="I81" s="9">
        <f t="shared" si="8"/>
        <v>211.48501012258004</v>
      </c>
      <c r="J81" s="9">
        <f t="shared" si="9"/>
        <v>879.38648125140003</v>
      </c>
      <c r="K81" s="9">
        <f t="shared" si="10"/>
        <v>211.48501012258004</v>
      </c>
      <c r="L81" s="10">
        <f t="shared" si="7"/>
        <v>0.240491541127206</v>
      </c>
      <c r="M81" s="10">
        <f t="shared" si="11"/>
        <v>0.24468713445634677</v>
      </c>
      <c r="P81" s="8">
        <f t="shared" si="12"/>
        <v>1.973467127149044</v>
      </c>
      <c r="U81" s="8">
        <v>39</v>
      </c>
      <c r="V81" s="10">
        <f t="shared" si="6"/>
        <v>0.23615137910795375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1043.4881154499001</v>
      </c>
      <c r="E82">
        <v>331.65449915110003</v>
      </c>
      <c r="F82">
        <v>151.17955326461001</v>
      </c>
      <c r="G82">
        <v>119.59020618557</v>
      </c>
      <c r="H82" s="13"/>
      <c r="I82" s="14">
        <f t="shared" si="8"/>
        <v>212.06429296553003</v>
      </c>
      <c r="J82" s="14">
        <f t="shared" si="9"/>
        <v>892.30856218529004</v>
      </c>
      <c r="K82" s="9">
        <f t="shared" si="10"/>
        <v>212.06429296553003</v>
      </c>
      <c r="L82" s="15">
        <f t="shared" si="7"/>
        <v>0.23765802767394534</v>
      </c>
      <c r="M82" s="15">
        <f t="shared" si="11"/>
        <v>0.24190672977940433</v>
      </c>
      <c r="N82" s="13"/>
      <c r="O82" s="13"/>
      <c r="P82" s="13">
        <f t="shared" si="12"/>
        <v>0.8147322980608267</v>
      </c>
      <c r="U82" s="8">
        <v>39.5</v>
      </c>
      <c r="V82" s="10">
        <f t="shared" si="6"/>
        <v>0.24164485213641348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1070.0904436860001</v>
      </c>
      <c r="E83">
        <v>334.73976109214999</v>
      </c>
      <c r="F83">
        <v>151.10309278350999</v>
      </c>
      <c r="G83">
        <v>119.81529209622001</v>
      </c>
      <c r="I83" s="9">
        <f t="shared" si="8"/>
        <v>214.92446899593</v>
      </c>
      <c r="J83" s="9">
        <f t="shared" si="9"/>
        <v>918.98735090249011</v>
      </c>
      <c r="K83" s="9">
        <f t="shared" si="10"/>
        <v>214.92446899593</v>
      </c>
      <c r="L83" s="10">
        <f t="shared" si="7"/>
        <v>0.23387097633592427</v>
      </c>
      <c r="M83" s="10">
        <f t="shared" si="11"/>
        <v>0.23817278721770152</v>
      </c>
      <c r="P83" s="8">
        <f t="shared" si="12"/>
        <v>-0.74138984917202788</v>
      </c>
      <c r="U83" s="8">
        <v>40</v>
      </c>
      <c r="V83" s="10">
        <f t="shared" si="6"/>
        <v>0.240491541127206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1029.2683134583001</v>
      </c>
      <c r="E84">
        <v>330.18143100511003</v>
      </c>
      <c r="F84">
        <v>150.75171821306</v>
      </c>
      <c r="G84">
        <v>119.80068728521999</v>
      </c>
      <c r="I84" s="9">
        <f t="shared" si="8"/>
        <v>210.38074371989003</v>
      </c>
      <c r="J84" s="9">
        <f t="shared" si="9"/>
        <v>878.51659524524007</v>
      </c>
      <c r="K84" s="9">
        <f t="shared" si="10"/>
        <v>210.38074371989003</v>
      </c>
      <c r="L84" s="10">
        <f t="shared" si="7"/>
        <v>0.23947270302977228</v>
      </c>
      <c r="M84" s="10">
        <f t="shared" si="11"/>
        <v>0.24382762268786776</v>
      </c>
      <c r="P84" s="8">
        <f t="shared" si="12"/>
        <v>1.6152652328682939</v>
      </c>
      <c r="U84" s="8">
        <v>150.5</v>
      </c>
      <c r="V84" s="10">
        <f>L302</f>
        <v>0.24386468725002078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1106.5748502993999</v>
      </c>
      <c r="E85">
        <v>349.82035928144001</v>
      </c>
      <c r="F85">
        <v>150.75687285223</v>
      </c>
      <c r="G85">
        <v>119.48195876289</v>
      </c>
      <c r="I85" s="9">
        <f t="shared" si="8"/>
        <v>230.33840051855</v>
      </c>
      <c r="J85" s="9">
        <f t="shared" si="9"/>
        <v>955.81797744716994</v>
      </c>
      <c r="K85" s="9">
        <f t="shared" si="10"/>
        <v>230.33840051855</v>
      </c>
      <c r="L85" s="10">
        <f t="shared" si="7"/>
        <v>0.24098563319947736</v>
      </c>
      <c r="M85" s="10">
        <f t="shared" si="11"/>
        <v>0.24539366163389106</v>
      </c>
      <c r="P85" s="8">
        <f t="shared" si="12"/>
        <v>2.2679126282328137</v>
      </c>
      <c r="U85" s="8">
        <v>151</v>
      </c>
      <c r="V85" s="10">
        <f t="shared" ref="V85:V103" si="13">L303</f>
        <v>0.24330143667712065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1068.505560308</v>
      </c>
      <c r="E86">
        <v>339.43113772455001</v>
      </c>
      <c r="F86">
        <v>151.06958762887001</v>
      </c>
      <c r="G86">
        <v>119.79810996563999</v>
      </c>
      <c r="I86" s="9">
        <f t="shared" si="8"/>
        <v>219.63302775891003</v>
      </c>
      <c r="J86" s="9">
        <f t="shared" si="9"/>
        <v>917.43597267912992</v>
      </c>
      <c r="K86" s="9">
        <f t="shared" si="10"/>
        <v>219.63302775891003</v>
      </c>
      <c r="L86" s="10">
        <f t="shared" si="7"/>
        <v>0.23939875293698118</v>
      </c>
      <c r="M86" s="10">
        <f t="shared" si="11"/>
        <v>0.24385989014771314</v>
      </c>
      <c r="P86" s="8">
        <f t="shared" si="12"/>
        <v>1.6287127104528054</v>
      </c>
      <c r="U86" s="8">
        <v>151.5</v>
      </c>
      <c r="V86" s="10">
        <f t="shared" si="13"/>
        <v>0.24269394105377576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1103.7048759623999</v>
      </c>
      <c r="E87">
        <v>342.35500427715999</v>
      </c>
      <c r="F87">
        <v>151.31529209621999</v>
      </c>
      <c r="G87">
        <v>119.62113402062</v>
      </c>
      <c r="I87" s="9">
        <f t="shared" si="8"/>
        <v>222.73387025654</v>
      </c>
      <c r="J87" s="9">
        <f t="shared" si="9"/>
        <v>952.38958386617992</v>
      </c>
      <c r="K87" s="9">
        <f t="shared" si="10"/>
        <v>222.73387025654</v>
      </c>
      <c r="L87" s="10">
        <f t="shared" si="7"/>
        <v>0.2338684442057446</v>
      </c>
      <c r="M87" s="10">
        <f t="shared" si="11"/>
        <v>0.23838269019279479</v>
      </c>
      <c r="P87" s="8">
        <f t="shared" si="12"/>
        <v>-0.65391269522144779</v>
      </c>
      <c r="U87" s="8">
        <v>152</v>
      </c>
      <c r="V87" s="10">
        <f t="shared" si="13"/>
        <v>0.24196288687366282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1116.1198979592</v>
      </c>
      <c r="E88">
        <v>355.25085034014</v>
      </c>
      <c r="F88">
        <v>151.89862542955001</v>
      </c>
      <c r="G88">
        <v>119.9647766323</v>
      </c>
      <c r="I88" s="9">
        <f t="shared" si="8"/>
        <v>235.28607370783999</v>
      </c>
      <c r="J88" s="9">
        <f t="shared" si="9"/>
        <v>964.22127252964992</v>
      </c>
      <c r="K88" s="9">
        <f t="shared" si="10"/>
        <v>235.28607370783999</v>
      </c>
      <c r="L88" s="10">
        <f t="shared" si="7"/>
        <v>0.24401667999977145</v>
      </c>
      <c r="M88" s="10">
        <f t="shared" si="11"/>
        <v>0.24858403476313987</v>
      </c>
      <c r="P88" s="8">
        <f t="shared" si="12"/>
        <v>3.5975019838057087</v>
      </c>
      <c r="U88" s="8">
        <v>152.5</v>
      </c>
      <c r="V88" s="10">
        <f t="shared" si="13"/>
        <v>0.24574076074829995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1075.2967687075</v>
      </c>
      <c r="E89">
        <v>345.05102040816001</v>
      </c>
      <c r="F89">
        <v>151.29982817869001</v>
      </c>
      <c r="G89">
        <v>119.67439862543</v>
      </c>
      <c r="I89" s="9">
        <f t="shared" si="8"/>
        <v>225.37662178273001</v>
      </c>
      <c r="J89" s="9">
        <f t="shared" si="9"/>
        <v>923.99694052881</v>
      </c>
      <c r="K89" s="9">
        <f t="shared" si="10"/>
        <v>225.37662178273001</v>
      </c>
      <c r="L89" s="10">
        <f t="shared" si="7"/>
        <v>0.24391490046898356</v>
      </c>
      <c r="M89" s="10">
        <f t="shared" si="11"/>
        <v>0.24853536400867024</v>
      </c>
      <c r="P89" s="8">
        <f t="shared" si="12"/>
        <v>3.5772184262251714</v>
      </c>
      <c r="U89" s="8">
        <v>153</v>
      </c>
      <c r="V89" s="10">
        <f t="shared" si="13"/>
        <v>0.25595289797477477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1103.5416666666999</v>
      </c>
      <c r="E90">
        <v>351.48724489796001</v>
      </c>
      <c r="F90">
        <v>150.50343642612</v>
      </c>
      <c r="G90">
        <v>119.90120274914</v>
      </c>
      <c r="I90" s="9">
        <f t="shared" si="8"/>
        <v>231.58604214882001</v>
      </c>
      <c r="J90" s="9">
        <f t="shared" si="9"/>
        <v>953.03823024057988</v>
      </c>
      <c r="K90" s="9">
        <f t="shared" si="10"/>
        <v>231.58604214882001</v>
      </c>
      <c r="L90" s="10">
        <f t="shared" si="7"/>
        <v>0.24299764143811908</v>
      </c>
      <c r="M90" s="10">
        <f t="shared" si="11"/>
        <v>0.24767121375412399</v>
      </c>
      <c r="P90" s="8">
        <f t="shared" si="12"/>
        <v>3.2170834409073765</v>
      </c>
      <c r="U90" s="8">
        <v>153.5</v>
      </c>
      <c r="V90" s="10">
        <f t="shared" si="13"/>
        <v>0.25751286610244301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1111.2993197279</v>
      </c>
      <c r="E91">
        <v>354.74149659864003</v>
      </c>
      <c r="F91">
        <v>151.44587628866</v>
      </c>
      <c r="G91">
        <v>120.02577319588001</v>
      </c>
      <c r="I91" s="9">
        <f t="shared" si="8"/>
        <v>234.71572340276003</v>
      </c>
      <c r="J91" s="9">
        <f t="shared" si="9"/>
        <v>959.85344343923998</v>
      </c>
      <c r="K91" s="9">
        <f t="shared" si="10"/>
        <v>234.71572340276003</v>
      </c>
      <c r="L91" s="10">
        <f t="shared" si="7"/>
        <v>0.24453287635428259</v>
      </c>
      <c r="M91" s="10">
        <f t="shared" si="11"/>
        <v>0.24925955744660572</v>
      </c>
      <c r="P91" s="8">
        <f t="shared" si="12"/>
        <v>3.8790263488243277</v>
      </c>
      <c r="U91" s="8">
        <v>154</v>
      </c>
      <c r="V91" s="10">
        <f t="shared" si="13"/>
        <v>0.25277407338110092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1100.1709183674</v>
      </c>
      <c r="E92">
        <v>350.65901360544001</v>
      </c>
      <c r="F92">
        <v>151.01804123711</v>
      </c>
      <c r="G92">
        <v>119.45962199313</v>
      </c>
      <c r="I92" s="9">
        <f t="shared" si="8"/>
        <v>231.19939161231002</v>
      </c>
      <c r="J92" s="9">
        <f t="shared" si="9"/>
        <v>949.15287713028999</v>
      </c>
      <c r="K92" s="9">
        <f t="shared" si="10"/>
        <v>231.19939161231002</v>
      </c>
      <c r="L92" s="10">
        <f t="shared" si="7"/>
        <v>0.2435849873956325</v>
      </c>
      <c r="M92" s="10">
        <f t="shared" si="11"/>
        <v>0.24836477726427389</v>
      </c>
      <c r="P92" s="8">
        <f t="shared" si="12"/>
        <v>3.5061263281028974</v>
      </c>
      <c r="U92" s="8">
        <v>154.5</v>
      </c>
      <c r="V92" s="10">
        <f t="shared" si="13"/>
        <v>0.25181725286056816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1105.6258503401</v>
      </c>
      <c r="E93">
        <v>351.48469387755</v>
      </c>
      <c r="F93">
        <v>150.76288659794</v>
      </c>
      <c r="G93">
        <v>119.85481099656</v>
      </c>
      <c r="I93" s="9">
        <f t="shared" si="8"/>
        <v>231.62988288099001</v>
      </c>
      <c r="J93" s="9">
        <f t="shared" si="9"/>
        <v>954.86296374215999</v>
      </c>
      <c r="K93" s="9">
        <f t="shared" si="10"/>
        <v>231.62988288099001</v>
      </c>
      <c r="L93" s="10">
        <f t="shared" si="7"/>
        <v>0.24257918850807647</v>
      </c>
      <c r="M93" s="10">
        <f t="shared" si="11"/>
        <v>0.24741208715303609</v>
      </c>
      <c r="P93" s="8">
        <f t="shared" si="12"/>
        <v>3.10909231993358</v>
      </c>
      <c r="U93" s="8">
        <v>155</v>
      </c>
      <c r="V93" s="10">
        <f t="shared" si="13"/>
        <v>0.25197000686747872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1102.2448979592</v>
      </c>
      <c r="E94">
        <v>349.73129251700999</v>
      </c>
      <c r="F94">
        <v>151.21134020618999</v>
      </c>
      <c r="G94">
        <v>120.21563573883</v>
      </c>
      <c r="I94" s="9">
        <f t="shared" si="8"/>
        <v>229.51565677817999</v>
      </c>
      <c r="J94" s="9">
        <f t="shared" si="9"/>
        <v>951.03355775300997</v>
      </c>
      <c r="K94" s="9">
        <f t="shared" si="10"/>
        <v>229.51565677817999</v>
      </c>
      <c r="L94" s="10">
        <f t="shared" si="7"/>
        <v>0.24133286875854573</v>
      </c>
      <c r="M94" s="10">
        <f t="shared" si="11"/>
        <v>0.24621887617982358</v>
      </c>
      <c r="P94" s="8">
        <f t="shared" si="12"/>
        <v>2.6118211404619558</v>
      </c>
      <c r="U94" s="8">
        <v>155.5</v>
      </c>
      <c r="V94" s="10">
        <f t="shared" si="13"/>
        <v>0.2509927625382164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1107.0170068027001</v>
      </c>
      <c r="E95">
        <v>349.07482993196999</v>
      </c>
      <c r="F95">
        <v>151.985395189</v>
      </c>
      <c r="G95">
        <v>120.1469072165</v>
      </c>
      <c r="I95" s="9">
        <f t="shared" si="8"/>
        <v>228.92792271547</v>
      </c>
      <c r="J95" s="9">
        <f t="shared" si="9"/>
        <v>955.03161161370008</v>
      </c>
      <c r="K95" s="9">
        <f t="shared" si="10"/>
        <v>228.92792271547</v>
      </c>
      <c r="L95" s="10">
        <f t="shared" si="7"/>
        <v>0.23970716773307066</v>
      </c>
      <c r="M95" s="10">
        <f t="shared" si="11"/>
        <v>0.24464628393066676</v>
      </c>
      <c r="P95" s="8">
        <f t="shared" si="12"/>
        <v>1.9564426532353973</v>
      </c>
      <c r="U95" s="8">
        <v>156</v>
      </c>
      <c r="V95" s="10">
        <f t="shared" si="13"/>
        <v>0.25215000682402733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1068.7176870748001</v>
      </c>
      <c r="E96">
        <v>341.86309523810002</v>
      </c>
      <c r="F96">
        <v>151.88230240550001</v>
      </c>
      <c r="G96">
        <v>120.35481099656</v>
      </c>
      <c r="I96" s="9">
        <f t="shared" si="8"/>
        <v>221.50828424154003</v>
      </c>
      <c r="J96" s="9">
        <f t="shared" si="9"/>
        <v>916.83538466930008</v>
      </c>
      <c r="K96" s="9">
        <f t="shared" si="10"/>
        <v>221.50828424154003</v>
      </c>
      <c r="L96" s="10">
        <f t="shared" si="7"/>
        <v>0.24160093288877307</v>
      </c>
      <c r="M96" s="10">
        <f t="shared" si="11"/>
        <v>0.2465931578626874</v>
      </c>
      <c r="P96" s="8">
        <f t="shared" si="12"/>
        <v>2.7678031906363896</v>
      </c>
      <c r="U96" s="8">
        <v>156.5</v>
      </c>
      <c r="V96" s="10">
        <f t="shared" si="13"/>
        <v>0.25612879585816561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1067.2789115646001</v>
      </c>
      <c r="E97">
        <v>347.54251700679998</v>
      </c>
      <c r="F97">
        <v>151.73281786941999</v>
      </c>
      <c r="G97">
        <v>120.64003436426</v>
      </c>
      <c r="I97" s="9">
        <f t="shared" si="8"/>
        <v>226.90248264253998</v>
      </c>
      <c r="J97" s="9">
        <f t="shared" si="9"/>
        <v>915.54609369518016</v>
      </c>
      <c r="K97" s="9">
        <f t="shared" si="10"/>
        <v>226.90248264253998</v>
      </c>
      <c r="L97" s="10">
        <f t="shared" si="7"/>
        <v>0.24783294277053011</v>
      </c>
      <c r="M97" s="10">
        <f t="shared" si="11"/>
        <v>0.25287827652076267</v>
      </c>
      <c r="P97" s="8">
        <f t="shared" si="12"/>
        <v>5.387129058722893</v>
      </c>
      <c r="U97" s="8">
        <v>157</v>
      </c>
      <c r="V97" s="10">
        <f t="shared" si="13"/>
        <v>0.24774415415907788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1036.3435374149999</v>
      </c>
      <c r="E98">
        <v>349.61819727890997</v>
      </c>
      <c r="F98">
        <v>151.61426116838999</v>
      </c>
      <c r="G98">
        <v>119.93041237113</v>
      </c>
      <c r="I98" s="9">
        <f t="shared" si="8"/>
        <v>229.68778490777999</v>
      </c>
      <c r="J98" s="9">
        <f t="shared" si="9"/>
        <v>884.72927624660997</v>
      </c>
      <c r="K98" s="9">
        <f t="shared" si="10"/>
        <v>229.68778490777999</v>
      </c>
      <c r="L98" s="10">
        <f t="shared" si="7"/>
        <v>0.25961363670727755</v>
      </c>
      <c r="M98" s="10">
        <f t="shared" si="11"/>
        <v>0.26471207923382833</v>
      </c>
      <c r="P98" s="8">
        <f t="shared" si="12"/>
        <v>10.318871361525721</v>
      </c>
      <c r="U98" s="8">
        <v>157.5</v>
      </c>
      <c r="V98" s="10">
        <f t="shared" si="13"/>
        <v>0.2454001357525851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1078.2291311755</v>
      </c>
      <c r="E99">
        <v>355.53151618398999</v>
      </c>
      <c r="F99">
        <v>152.08505154638999</v>
      </c>
      <c r="G99">
        <v>120.37113402062</v>
      </c>
      <c r="I99" s="9">
        <f t="shared" si="8"/>
        <v>235.16038216337</v>
      </c>
      <c r="J99" s="9">
        <f t="shared" si="9"/>
        <v>926.14407962911002</v>
      </c>
      <c r="K99" s="9">
        <f t="shared" si="10"/>
        <v>235.16038216337</v>
      </c>
      <c r="L99" s="10">
        <f t="shared" si="7"/>
        <v>0.25391338921860185</v>
      </c>
      <c r="M99" s="10">
        <f t="shared" si="11"/>
        <v>0.25906494052147089</v>
      </c>
      <c r="P99" s="8">
        <f t="shared" si="12"/>
        <v>7.9654239065686303</v>
      </c>
      <c r="U99" s="8">
        <v>158</v>
      </c>
      <c r="V99" s="10">
        <f t="shared" si="13"/>
        <v>0.2478782297498473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1116.4372852234001</v>
      </c>
      <c r="E100">
        <v>366.17611683848997</v>
      </c>
      <c r="F100">
        <v>152.23195876289</v>
      </c>
      <c r="G100">
        <v>119.97422680411999</v>
      </c>
      <c r="I100" s="9">
        <f t="shared" si="8"/>
        <v>246.20189003436997</v>
      </c>
      <c r="J100" s="9">
        <f t="shared" si="9"/>
        <v>964.20532646051004</v>
      </c>
      <c r="K100" s="9">
        <f t="shared" si="10"/>
        <v>246.20189003436997</v>
      </c>
      <c r="L100" s="10">
        <f t="shared" si="7"/>
        <v>0.25534176515924217</v>
      </c>
      <c r="M100" s="10">
        <f t="shared" si="11"/>
        <v>0.26054642523842947</v>
      </c>
      <c r="P100" s="8">
        <f t="shared" si="12"/>
        <v>8.5828332910865619</v>
      </c>
      <c r="U100" s="8">
        <v>158.5</v>
      </c>
      <c r="V100" s="10">
        <f t="shared" si="13"/>
        <v>0.24575198016919594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1093.7920962199</v>
      </c>
      <c r="E101">
        <v>356.81786941580998</v>
      </c>
      <c r="F101">
        <v>152.09879725086</v>
      </c>
      <c r="G101">
        <v>120.53092783504999</v>
      </c>
      <c r="I101" s="9">
        <f t="shared" si="8"/>
        <v>236.28694158075999</v>
      </c>
      <c r="J101" s="9">
        <f t="shared" si="9"/>
        <v>941.69329896904003</v>
      </c>
      <c r="K101" s="9">
        <f t="shared" si="10"/>
        <v>236.28694158075999</v>
      </c>
      <c r="L101" s="10">
        <f t="shared" si="7"/>
        <v>0.25091708928952289</v>
      </c>
      <c r="M101" s="10">
        <f t="shared" si="11"/>
        <v>0.25617485814502838</v>
      </c>
      <c r="P101" s="8">
        <f t="shared" si="12"/>
        <v>6.7609808496677761</v>
      </c>
      <c r="U101" s="8">
        <v>159</v>
      </c>
      <c r="V101" s="10">
        <f t="shared" si="13"/>
        <v>0.24653518845635411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1098.316283035</v>
      </c>
      <c r="E102">
        <v>355.42540494459001</v>
      </c>
      <c r="F102">
        <v>151.4587628866</v>
      </c>
      <c r="G102">
        <v>120.23625429553</v>
      </c>
      <c r="I102" s="9">
        <f t="shared" si="8"/>
        <v>235.18915064906002</v>
      </c>
      <c r="J102" s="9">
        <f t="shared" si="9"/>
        <v>946.8575201484</v>
      </c>
      <c r="K102" s="9">
        <f t="shared" si="10"/>
        <v>235.18915064906002</v>
      </c>
      <c r="L102" s="10">
        <f t="shared" si="7"/>
        <v>0.24838916694900312</v>
      </c>
      <c r="M102" s="10">
        <f t="shared" si="11"/>
        <v>0.2537000445808269</v>
      </c>
      <c r="P102" s="8">
        <f t="shared" si="12"/>
        <v>5.7296012465037798</v>
      </c>
      <c r="U102" s="8">
        <v>159.5</v>
      </c>
      <c r="V102" s="10">
        <f t="shared" si="13"/>
        <v>0.24564927426561001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1099.4091680815</v>
      </c>
      <c r="E103">
        <v>354.42275042444999</v>
      </c>
      <c r="F103">
        <v>152.30498281787001</v>
      </c>
      <c r="G103">
        <v>120.19158075601</v>
      </c>
      <c r="I103" s="9">
        <f t="shared" si="8"/>
        <v>234.23116966843997</v>
      </c>
      <c r="J103" s="9">
        <f t="shared" si="9"/>
        <v>947.10418526362992</v>
      </c>
      <c r="K103" s="9">
        <f t="shared" si="10"/>
        <v>234.23116966843997</v>
      </c>
      <c r="L103" s="10">
        <f t="shared" si="7"/>
        <v>0.24731299186819755</v>
      </c>
      <c r="M103" s="10">
        <f t="shared" si="11"/>
        <v>0.25267697827633956</v>
      </c>
      <c r="P103" s="8">
        <f t="shared" si="12"/>
        <v>5.3032379299308516</v>
      </c>
      <c r="U103" s="8">
        <v>160</v>
      </c>
      <c r="V103" s="10">
        <f t="shared" si="13"/>
        <v>0.25159340254798851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1114.2512733446999</v>
      </c>
      <c r="E104">
        <v>365.75212224108998</v>
      </c>
      <c r="F104">
        <v>151.98109965635999</v>
      </c>
      <c r="G104">
        <v>120.37972508591</v>
      </c>
      <c r="I104" s="9">
        <f t="shared" si="8"/>
        <v>245.37239715517998</v>
      </c>
      <c r="J104" s="9">
        <f t="shared" si="9"/>
        <v>962.27017368833992</v>
      </c>
      <c r="K104" s="9">
        <f t="shared" si="10"/>
        <v>245.37239715517998</v>
      </c>
      <c r="L104" s="10">
        <f t="shared" si="7"/>
        <v>0.2549932481172914</v>
      </c>
      <c r="M104" s="10">
        <f t="shared" si="11"/>
        <v>0.26041034330175161</v>
      </c>
      <c r="P104" s="8">
        <f t="shared" si="12"/>
        <v>8.526121086224423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1136.7597623090001</v>
      </c>
      <c r="E105">
        <v>376.52801358234001</v>
      </c>
      <c r="F105">
        <v>152.81701030927999</v>
      </c>
      <c r="G105">
        <v>120.28436426117</v>
      </c>
      <c r="I105" s="9">
        <f t="shared" si="8"/>
        <v>256.24364932116998</v>
      </c>
      <c r="J105" s="9">
        <f t="shared" si="9"/>
        <v>983.94275199972003</v>
      </c>
      <c r="K105" s="9">
        <f t="shared" si="10"/>
        <v>256.24364932116998</v>
      </c>
      <c r="L105" s="10">
        <f t="shared" si="7"/>
        <v>0.26042536397609733</v>
      </c>
      <c r="M105" s="10">
        <f t="shared" si="11"/>
        <v>0.2658955679368758</v>
      </c>
      <c r="P105" s="8">
        <f t="shared" si="12"/>
        <v>10.812090780780039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1140.0509337860999</v>
      </c>
      <c r="E106">
        <v>375.35823429542</v>
      </c>
      <c r="F106">
        <v>152.43642611684001</v>
      </c>
      <c r="G106">
        <v>120.17439862543</v>
      </c>
      <c r="I106" s="9">
        <f t="shared" si="8"/>
        <v>255.18383566999</v>
      </c>
      <c r="J106" s="9">
        <f t="shared" si="9"/>
        <v>987.61450766925986</v>
      </c>
      <c r="K106" s="9">
        <f t="shared" si="10"/>
        <v>255.18383566999</v>
      </c>
      <c r="L106" s="10">
        <f t="shared" si="7"/>
        <v>0.25838404933136927</v>
      </c>
      <c r="M106" s="10">
        <f t="shared" si="11"/>
        <v>0.26390736206846599</v>
      </c>
      <c r="P106" s="8">
        <f t="shared" si="12"/>
        <v>9.9835051413480542</v>
      </c>
      <c r="X106" s="8">
        <v>-13</v>
      </c>
    </row>
    <row r="107" spans="1:25" x14ac:dyDescent="0.2">
      <c r="A107" s="8">
        <v>52.5</v>
      </c>
      <c r="B107" s="8">
        <v>105</v>
      </c>
      <c r="D107">
        <v>1129.9685908319</v>
      </c>
      <c r="E107">
        <v>369.23853989813</v>
      </c>
      <c r="F107">
        <v>152.71305841924001</v>
      </c>
      <c r="G107">
        <v>120.79982817869001</v>
      </c>
      <c r="I107" s="9">
        <f t="shared" si="8"/>
        <v>248.43871171943999</v>
      </c>
      <c r="J107" s="9">
        <f t="shared" si="9"/>
        <v>977.25553241265993</v>
      </c>
      <c r="K107" s="9">
        <f t="shared" si="10"/>
        <v>248.43871171943999</v>
      </c>
      <c r="L107" s="10">
        <f t="shared" si="7"/>
        <v>0.25422082912755845</v>
      </c>
      <c r="M107" s="10">
        <f t="shared" si="11"/>
        <v>0.25979725064097337</v>
      </c>
      <c r="P107" s="8">
        <f t="shared" si="12"/>
        <v>8.2706144596554623</v>
      </c>
      <c r="X107" s="8">
        <v>-13</v>
      </c>
    </row>
    <row r="108" spans="1:25" x14ac:dyDescent="0.2">
      <c r="A108" s="8">
        <v>53</v>
      </c>
      <c r="B108" s="8">
        <v>106</v>
      </c>
      <c r="D108">
        <v>1073.6417657045999</v>
      </c>
      <c r="E108">
        <v>358.29456706282002</v>
      </c>
      <c r="F108">
        <v>151.97508591064999</v>
      </c>
      <c r="G108">
        <v>120.67525773196</v>
      </c>
      <c r="I108" s="9">
        <f t="shared" si="8"/>
        <v>237.61930933086001</v>
      </c>
      <c r="J108" s="9">
        <f t="shared" si="9"/>
        <v>921.66667979394992</v>
      </c>
      <c r="K108" s="9">
        <f t="shared" si="10"/>
        <v>237.61930933086001</v>
      </c>
      <c r="L108" s="10">
        <f t="shared" si="7"/>
        <v>0.25781479849524641</v>
      </c>
      <c r="M108" s="10">
        <f t="shared" si="11"/>
        <v>0.26344432878497959</v>
      </c>
      <c r="P108" s="8">
        <f t="shared" si="12"/>
        <v>9.7905358239489804</v>
      </c>
      <c r="X108" s="8">
        <v>-13</v>
      </c>
    </row>
    <row r="109" spans="1:25" x14ac:dyDescent="0.2">
      <c r="A109" s="8">
        <v>53.5</v>
      </c>
      <c r="B109" s="8">
        <v>107</v>
      </c>
      <c r="D109">
        <v>1136.0739466896</v>
      </c>
      <c r="E109">
        <v>366.54170249355002</v>
      </c>
      <c r="F109">
        <v>153.36855670103</v>
      </c>
      <c r="G109">
        <v>120.4235395189</v>
      </c>
      <c r="I109" s="9">
        <f t="shared" si="8"/>
        <v>246.11816297465003</v>
      </c>
      <c r="J109" s="9">
        <f t="shared" si="9"/>
        <v>982.70538998857</v>
      </c>
      <c r="K109" s="9">
        <f t="shared" si="10"/>
        <v>246.11816297465003</v>
      </c>
      <c r="L109" s="10">
        <f t="shared" si="7"/>
        <v>0.25044959097813912</v>
      </c>
      <c r="M109" s="10">
        <f t="shared" si="11"/>
        <v>0.25613223004419056</v>
      </c>
      <c r="P109" s="8">
        <f t="shared" si="12"/>
        <v>6.7432155705527252</v>
      </c>
      <c r="X109" s="8">
        <v>-13</v>
      </c>
    </row>
    <row r="110" spans="1:25" x14ac:dyDescent="0.2">
      <c r="A110" s="8">
        <v>54</v>
      </c>
      <c r="B110" s="8">
        <v>108</v>
      </c>
      <c r="D110">
        <v>1160.2631126397</v>
      </c>
      <c r="E110">
        <v>374.98882201203998</v>
      </c>
      <c r="F110">
        <v>152.45704467354</v>
      </c>
      <c r="G110">
        <v>120.41494845360999</v>
      </c>
      <c r="I110" s="9">
        <f t="shared" si="8"/>
        <v>254.57387355842997</v>
      </c>
      <c r="J110" s="9">
        <f t="shared" si="9"/>
        <v>1007.8060679661601</v>
      </c>
      <c r="K110" s="9">
        <f t="shared" si="10"/>
        <v>254.57387355842997</v>
      </c>
      <c r="L110" s="10">
        <f t="shared" si="7"/>
        <v>0.25260204482811072</v>
      </c>
      <c r="M110" s="10">
        <f t="shared" si="11"/>
        <v>0.25833779267048035</v>
      </c>
      <c r="P110" s="8">
        <f t="shared" si="12"/>
        <v>7.6623847310749573</v>
      </c>
      <c r="X110" s="8">
        <v>-13</v>
      </c>
    </row>
    <row r="111" spans="1:25" x14ac:dyDescent="0.2">
      <c r="A111" s="8">
        <v>54.5</v>
      </c>
      <c r="B111" s="8">
        <v>109</v>
      </c>
      <c r="D111">
        <v>1175.8822012037999</v>
      </c>
      <c r="E111">
        <v>387.7807394669</v>
      </c>
      <c r="F111">
        <v>152.97594501718001</v>
      </c>
      <c r="G111">
        <v>120.73281786942</v>
      </c>
      <c r="I111" s="9">
        <f t="shared" si="8"/>
        <v>267.04792159748001</v>
      </c>
      <c r="J111" s="9">
        <f t="shared" si="9"/>
        <v>1022.9062561866199</v>
      </c>
      <c r="K111" s="9">
        <f t="shared" si="10"/>
        <v>267.04792159748001</v>
      </c>
      <c r="L111" s="10">
        <f t="shared" si="7"/>
        <v>0.26106783488941687</v>
      </c>
      <c r="M111" s="10">
        <f t="shared" si="11"/>
        <v>0.26685669150810476</v>
      </c>
      <c r="P111" s="8">
        <f t="shared" si="12"/>
        <v>11.212639436979737</v>
      </c>
      <c r="X111" s="8">
        <v>-13</v>
      </c>
    </row>
    <row r="112" spans="1:25" x14ac:dyDescent="0.2">
      <c r="A112" s="8">
        <v>55</v>
      </c>
      <c r="B112" s="8">
        <v>110</v>
      </c>
      <c r="D112">
        <v>1156.728288908</v>
      </c>
      <c r="E112">
        <v>396.51934651763003</v>
      </c>
      <c r="F112">
        <v>152.64089347078999</v>
      </c>
      <c r="G112">
        <v>120.70360824741999</v>
      </c>
      <c r="I112" s="9">
        <f t="shared" si="8"/>
        <v>275.81573827021003</v>
      </c>
      <c r="J112" s="9">
        <f t="shared" si="9"/>
        <v>1004.08739543721</v>
      </c>
      <c r="K112" s="9">
        <f t="shared" si="10"/>
        <v>275.81573827021003</v>
      </c>
      <c r="L112" s="10">
        <f t="shared" si="7"/>
        <v>0.27469295952083089</v>
      </c>
      <c r="M112" s="10">
        <f t="shared" si="11"/>
        <v>0.28053492491583704</v>
      </c>
      <c r="P112" s="8">
        <f t="shared" si="12"/>
        <v>16.913049014540508</v>
      </c>
      <c r="X112" s="8">
        <v>-13</v>
      </c>
    </row>
    <row r="113" spans="1:24" x14ac:dyDescent="0.2">
      <c r="A113" s="8">
        <v>55.5</v>
      </c>
      <c r="B113" s="8">
        <v>111</v>
      </c>
      <c r="D113">
        <v>1129.9283887468</v>
      </c>
      <c r="E113">
        <v>387.78687127025</v>
      </c>
      <c r="F113">
        <v>152.63402061855999</v>
      </c>
      <c r="G113">
        <v>120.94931271478001</v>
      </c>
      <c r="I113" s="9">
        <f t="shared" si="8"/>
        <v>266.83755855546997</v>
      </c>
      <c r="J113" s="9">
        <f t="shared" si="9"/>
        <v>977.29436812823997</v>
      </c>
      <c r="K113" s="9">
        <f t="shared" si="10"/>
        <v>266.83755855546997</v>
      </c>
      <c r="L113" s="10">
        <f t="shared" si="7"/>
        <v>0.27303703700506304</v>
      </c>
      <c r="M113" s="10">
        <f t="shared" si="11"/>
        <v>0.27893211117638739</v>
      </c>
      <c r="P113" s="8">
        <f t="shared" si="12"/>
        <v>16.245075708408752</v>
      </c>
      <c r="X113" s="8">
        <v>-13</v>
      </c>
    </row>
    <row r="114" spans="1:24" x14ac:dyDescent="0.2">
      <c r="A114" s="8">
        <v>56</v>
      </c>
      <c r="B114" s="8">
        <v>112</v>
      </c>
      <c r="D114">
        <v>1145.2278589854</v>
      </c>
      <c r="E114">
        <v>384.97334479794</v>
      </c>
      <c r="F114">
        <v>152.79553264604999</v>
      </c>
      <c r="G114">
        <v>120.94329896907</v>
      </c>
      <c r="I114" s="9">
        <f t="shared" si="8"/>
        <v>264.03004582887002</v>
      </c>
      <c r="J114" s="9">
        <f t="shared" si="9"/>
        <v>992.43232633934997</v>
      </c>
      <c r="K114" s="9">
        <f t="shared" si="10"/>
        <v>264.03004582887002</v>
      </c>
      <c r="L114" s="10">
        <f t="shared" si="7"/>
        <v>0.26604337527251021</v>
      </c>
      <c r="M114" s="10">
        <f t="shared" si="11"/>
        <v>0.27199155822015281</v>
      </c>
      <c r="P114" s="8">
        <f t="shared" si="12"/>
        <v>13.352597318405415</v>
      </c>
      <c r="X114" s="8">
        <v>-13</v>
      </c>
    </row>
    <row r="115" spans="1:24" x14ac:dyDescent="0.2">
      <c r="A115" s="8">
        <v>56.5</v>
      </c>
      <c r="B115" s="8">
        <v>113</v>
      </c>
      <c r="D115">
        <v>1132.4325021495999</v>
      </c>
      <c r="E115">
        <v>376.42304385211003</v>
      </c>
      <c r="F115">
        <v>153.19587628866</v>
      </c>
      <c r="G115">
        <v>120.4647766323</v>
      </c>
      <c r="I115" s="9">
        <f t="shared" si="8"/>
        <v>255.95826721981001</v>
      </c>
      <c r="J115" s="9">
        <f t="shared" si="9"/>
        <v>979.23662586093997</v>
      </c>
      <c r="K115" s="9">
        <f t="shared" si="10"/>
        <v>255.95826721981001</v>
      </c>
      <c r="L115" s="10">
        <f t="shared" si="7"/>
        <v>0.26138551240847713</v>
      </c>
      <c r="M115" s="10">
        <f t="shared" si="11"/>
        <v>0.26738680413243798</v>
      </c>
      <c r="P115" s="8">
        <f t="shared" si="12"/>
        <v>11.433564098144441</v>
      </c>
      <c r="X115" s="8">
        <v>-13</v>
      </c>
    </row>
    <row r="116" spans="1:24" x14ac:dyDescent="0.2">
      <c r="A116" s="8">
        <v>57</v>
      </c>
      <c r="B116" s="8">
        <v>114</v>
      </c>
      <c r="D116">
        <v>1133.1281169389999</v>
      </c>
      <c r="E116">
        <v>375.84264832330001</v>
      </c>
      <c r="F116">
        <v>153.21219931272</v>
      </c>
      <c r="G116">
        <v>120.52405498282</v>
      </c>
      <c r="I116" s="9">
        <f t="shared" si="8"/>
        <v>255.31859334047999</v>
      </c>
      <c r="J116" s="9">
        <f t="shared" si="9"/>
        <v>979.91591762627991</v>
      </c>
      <c r="K116" s="9">
        <f t="shared" si="10"/>
        <v>255.31859334047999</v>
      </c>
      <c r="L116" s="10">
        <f t="shared" si="7"/>
        <v>0.26055153176708917</v>
      </c>
      <c r="M116" s="10">
        <f t="shared" si="11"/>
        <v>0.26660593226736823</v>
      </c>
      <c r="P116" s="8">
        <f t="shared" si="12"/>
        <v>11.108135416983389</v>
      </c>
      <c r="X116" s="8">
        <v>-13</v>
      </c>
    </row>
    <row r="117" spans="1:24" x14ac:dyDescent="0.2">
      <c r="A117" s="8">
        <v>57.5</v>
      </c>
      <c r="B117" s="8">
        <v>115</v>
      </c>
      <c r="D117">
        <v>1115.0814751287</v>
      </c>
      <c r="E117">
        <v>388.25042881646999</v>
      </c>
      <c r="F117">
        <v>153.94587628866</v>
      </c>
      <c r="G117">
        <v>120.65979381443</v>
      </c>
      <c r="I117" s="9">
        <f t="shared" si="8"/>
        <v>267.59063500204002</v>
      </c>
      <c r="J117" s="9">
        <f t="shared" si="9"/>
        <v>961.13559884004007</v>
      </c>
      <c r="K117" s="9">
        <f t="shared" si="10"/>
        <v>267.59063500204002</v>
      </c>
      <c r="L117" s="10">
        <f t="shared" si="7"/>
        <v>0.27841090822667008</v>
      </c>
      <c r="M117" s="10">
        <f t="shared" si="11"/>
        <v>0.2845184175032674</v>
      </c>
      <c r="P117" s="8">
        <f t="shared" si="12"/>
        <v>18.573171240901541</v>
      </c>
      <c r="X117" s="8">
        <v>-13</v>
      </c>
    </row>
    <row r="118" spans="1:24" x14ac:dyDescent="0.2">
      <c r="A118" s="8">
        <v>58</v>
      </c>
      <c r="B118" s="8">
        <v>116</v>
      </c>
      <c r="D118">
        <v>1161.1408934707999</v>
      </c>
      <c r="E118">
        <v>434.99828178694003</v>
      </c>
      <c r="F118">
        <v>153.80756013746</v>
      </c>
      <c r="G118">
        <v>120.74828178694</v>
      </c>
      <c r="I118" s="9">
        <f t="shared" si="8"/>
        <v>314.25</v>
      </c>
      <c r="J118" s="9">
        <f t="shared" si="9"/>
        <v>1007.33333333334</v>
      </c>
      <c r="K118" s="9">
        <f t="shared" si="10"/>
        <v>314.25</v>
      </c>
      <c r="L118" s="10">
        <f t="shared" si="7"/>
        <v>0.31196227663798604</v>
      </c>
      <c r="M118" s="10">
        <f t="shared" si="11"/>
        <v>0.3181228946909016</v>
      </c>
      <c r="P118" s="8">
        <f t="shared" si="12"/>
        <v>32.577851370210084</v>
      </c>
      <c r="X118" s="8">
        <v>-13</v>
      </c>
    </row>
    <row r="119" spans="1:24" x14ac:dyDescent="0.2">
      <c r="A119" s="8">
        <v>58.5</v>
      </c>
      <c r="B119" s="8">
        <v>117</v>
      </c>
      <c r="D119">
        <v>1163.9424398624999</v>
      </c>
      <c r="E119">
        <v>452.11082474226998</v>
      </c>
      <c r="F119">
        <v>153.10481099655999</v>
      </c>
      <c r="G119">
        <v>120.96649484536</v>
      </c>
      <c r="I119" s="9">
        <f t="shared" si="8"/>
        <v>331.14432989690999</v>
      </c>
      <c r="J119" s="9">
        <f t="shared" si="9"/>
        <v>1010.8376288659399</v>
      </c>
      <c r="K119" s="9">
        <f t="shared" si="10"/>
        <v>331.14432989690999</v>
      </c>
      <c r="L119" s="10">
        <f t="shared" si="7"/>
        <v>0.32759398783800842</v>
      </c>
      <c r="M119" s="10">
        <f t="shared" si="11"/>
        <v>0.33380771466724224</v>
      </c>
      <c r="P119" s="8">
        <f t="shared" si="12"/>
        <v>39.114506751811149</v>
      </c>
      <c r="X119" s="8">
        <v>-13</v>
      </c>
    </row>
    <row r="120" spans="1:24" x14ac:dyDescent="0.2">
      <c r="A120" s="8">
        <v>59</v>
      </c>
      <c r="B120" s="8">
        <v>118</v>
      </c>
      <c r="D120">
        <v>1197.6383161511999</v>
      </c>
      <c r="E120">
        <v>469.40292096220003</v>
      </c>
      <c r="F120">
        <v>153.03178694158001</v>
      </c>
      <c r="G120">
        <v>120.77319587629</v>
      </c>
      <c r="I120" s="9">
        <f t="shared" si="8"/>
        <v>348.62972508591002</v>
      </c>
      <c r="J120" s="9">
        <f t="shared" si="9"/>
        <v>1044.6065292096198</v>
      </c>
      <c r="K120" s="9">
        <f t="shared" si="10"/>
        <v>348.62972508591002</v>
      </c>
      <c r="L120" s="10">
        <f t="shared" si="7"/>
        <v>0.33374262493811291</v>
      </c>
      <c r="M120" s="10">
        <f t="shared" si="11"/>
        <v>0.34000946054366493</v>
      </c>
      <c r="P120" s="8">
        <f t="shared" si="12"/>
        <v>41.699086977761468</v>
      </c>
      <c r="X120" s="8">
        <v>-13</v>
      </c>
    </row>
    <row r="121" spans="1:24" x14ac:dyDescent="0.2">
      <c r="A121" s="8">
        <v>59.5</v>
      </c>
      <c r="B121" s="8">
        <v>119</v>
      </c>
      <c r="D121">
        <v>1243.1572164949</v>
      </c>
      <c r="E121">
        <v>492.42697594501999</v>
      </c>
      <c r="F121">
        <v>153.31786941581001</v>
      </c>
      <c r="G121">
        <v>121.51975945017</v>
      </c>
      <c r="I121" s="9">
        <f t="shared" si="8"/>
        <v>370.90721649484999</v>
      </c>
      <c r="J121" s="9">
        <f t="shared" si="9"/>
        <v>1089.83934707909</v>
      </c>
      <c r="K121" s="9">
        <f t="shared" si="10"/>
        <v>370.90721649484999</v>
      </c>
      <c r="L121" s="10">
        <f t="shared" si="7"/>
        <v>0.3403320108499745</v>
      </c>
      <c r="M121" s="10">
        <f t="shared" si="11"/>
        <v>0.34665195523184478</v>
      </c>
      <c r="P121" s="8">
        <f t="shared" si="12"/>
        <v>44.467349458060426</v>
      </c>
      <c r="X121" s="8">
        <v>-13</v>
      </c>
    </row>
    <row r="122" spans="1:24" x14ac:dyDescent="0.2">
      <c r="A122" s="8">
        <v>60</v>
      </c>
      <c r="B122" s="8">
        <v>120</v>
      </c>
      <c r="D122">
        <v>1155.7869415808</v>
      </c>
      <c r="E122">
        <v>448.04037800687001</v>
      </c>
      <c r="F122">
        <v>154.06099656357</v>
      </c>
      <c r="G122">
        <v>121.07302405498</v>
      </c>
      <c r="I122" s="9">
        <f t="shared" si="8"/>
        <v>326.96735395189</v>
      </c>
      <c r="J122" s="9">
        <f t="shared" si="9"/>
        <v>1001.7259450172299</v>
      </c>
      <c r="K122" s="9">
        <f t="shared" si="10"/>
        <v>326.96735395189</v>
      </c>
      <c r="L122" s="10">
        <f t="shared" si="7"/>
        <v>0.32640399859690772</v>
      </c>
      <c r="M122" s="10">
        <f t="shared" si="11"/>
        <v>0.3327770517550962</v>
      </c>
      <c r="P122" s="8">
        <f t="shared" si="12"/>
        <v>38.68497754577254</v>
      </c>
      <c r="X122" s="8">
        <v>-13</v>
      </c>
    </row>
    <row r="123" spans="1:24" x14ac:dyDescent="0.2">
      <c r="A123" s="8">
        <v>60.5</v>
      </c>
      <c r="B123" s="8">
        <v>121</v>
      </c>
      <c r="D123">
        <v>1153.1838487973</v>
      </c>
      <c r="E123">
        <v>433.33591065292001</v>
      </c>
      <c r="F123">
        <v>153.96993127147999</v>
      </c>
      <c r="G123">
        <v>120.98281786942</v>
      </c>
      <c r="I123" s="9">
        <f t="shared" si="8"/>
        <v>312.35309278350002</v>
      </c>
      <c r="J123" s="9">
        <f t="shared" si="9"/>
        <v>999.21391752582008</v>
      </c>
      <c r="K123" s="9">
        <f t="shared" si="10"/>
        <v>312.35309278350002</v>
      </c>
      <c r="L123" s="10">
        <f t="shared" si="7"/>
        <v>0.31259882123832478</v>
      </c>
      <c r="M123" s="10">
        <f t="shared" si="11"/>
        <v>0.31902498317283151</v>
      </c>
      <c r="P123" s="8">
        <f t="shared" si="12"/>
        <v>32.953797127890574</v>
      </c>
      <c r="X123" s="8">
        <v>-13</v>
      </c>
    </row>
    <row r="124" spans="1:24" x14ac:dyDescent="0.2">
      <c r="A124" s="8">
        <v>61</v>
      </c>
      <c r="B124" s="8">
        <v>122</v>
      </c>
      <c r="D124">
        <v>1154.2053264604999</v>
      </c>
      <c r="E124">
        <v>424.29553264604999</v>
      </c>
      <c r="F124">
        <v>154.81013745704999</v>
      </c>
      <c r="G124">
        <v>121.03264604811</v>
      </c>
      <c r="I124" s="9">
        <f t="shared" si="8"/>
        <v>303.26288659794</v>
      </c>
      <c r="J124" s="9">
        <f t="shared" si="9"/>
        <v>999.3951890034499</v>
      </c>
      <c r="K124" s="9">
        <f t="shared" si="10"/>
        <v>303.26288659794</v>
      </c>
      <c r="L124" s="10">
        <f t="shared" si="7"/>
        <v>0.30344641432618819</v>
      </c>
      <c r="M124" s="10">
        <f t="shared" si="11"/>
        <v>0.30992568503701318</v>
      </c>
      <c r="P124" s="8">
        <f t="shared" si="12"/>
        <v>29.16166076814854</v>
      </c>
      <c r="X124" s="8">
        <v>-13</v>
      </c>
    </row>
    <row r="125" spans="1:24" x14ac:dyDescent="0.2">
      <c r="A125" s="8">
        <v>61.5</v>
      </c>
      <c r="B125" s="8">
        <v>123</v>
      </c>
      <c r="D125">
        <v>1153.0102915952</v>
      </c>
      <c r="E125">
        <v>449.38421955402998</v>
      </c>
      <c r="F125">
        <v>154.79982817869001</v>
      </c>
      <c r="G125">
        <v>120.96219931272</v>
      </c>
      <c r="I125" s="9">
        <f t="shared" si="8"/>
        <v>328.42202024130995</v>
      </c>
      <c r="J125" s="9">
        <f t="shared" si="9"/>
        <v>998.21046341651004</v>
      </c>
      <c r="K125" s="9">
        <f t="shared" si="10"/>
        <v>328.42202024130995</v>
      </c>
      <c r="L125" s="10">
        <f t="shared" si="7"/>
        <v>0.32901079709908193</v>
      </c>
      <c r="M125" s="10">
        <f t="shared" si="11"/>
        <v>0.33554317658622518</v>
      </c>
      <c r="P125" s="8">
        <f t="shared" si="12"/>
        <v>39.837761243057798</v>
      </c>
      <c r="X125" s="8">
        <v>-13</v>
      </c>
    </row>
    <row r="126" spans="1:24" x14ac:dyDescent="0.2">
      <c r="A126" s="8">
        <v>62</v>
      </c>
      <c r="B126" s="8">
        <v>124</v>
      </c>
      <c r="D126">
        <v>1094.9477739726001</v>
      </c>
      <c r="E126">
        <v>453.80821917807998</v>
      </c>
      <c r="F126">
        <v>154.83934707904001</v>
      </c>
      <c r="G126">
        <v>121.38745704467</v>
      </c>
      <c r="I126" s="9">
        <f t="shared" si="8"/>
        <v>332.42076213340999</v>
      </c>
      <c r="J126" s="9">
        <f t="shared" si="9"/>
        <v>940.10842689356014</v>
      </c>
      <c r="K126" s="9">
        <f t="shared" si="10"/>
        <v>332.42076213340999</v>
      </c>
      <c r="L126" s="10">
        <f t="shared" si="7"/>
        <v>0.35359832187851131</v>
      </c>
      <c r="M126" s="10">
        <f t="shared" si="11"/>
        <v>0.36018381014197276</v>
      </c>
      <c r="P126" s="8">
        <f t="shared" si="12"/>
        <v>50.106755734623221</v>
      </c>
      <c r="X126" s="8">
        <v>-13</v>
      </c>
    </row>
    <row r="127" spans="1:24" x14ac:dyDescent="0.2">
      <c r="A127" s="8">
        <v>62.5</v>
      </c>
      <c r="B127" s="8">
        <v>125</v>
      </c>
      <c r="D127">
        <v>1111.1429787233999</v>
      </c>
      <c r="E127">
        <v>488.02978723403999</v>
      </c>
      <c r="F127">
        <v>153.83934707904001</v>
      </c>
      <c r="G127">
        <v>121.35137457045001</v>
      </c>
      <c r="I127" s="9">
        <f t="shared" si="8"/>
        <v>366.67841266359</v>
      </c>
      <c r="J127" s="9">
        <f t="shared" si="9"/>
        <v>957.30363164435994</v>
      </c>
      <c r="K127" s="9">
        <f t="shared" si="10"/>
        <v>366.67841266359</v>
      </c>
      <c r="L127" s="10">
        <f t="shared" si="7"/>
        <v>0.38303250979393727</v>
      </c>
      <c r="M127" s="10">
        <f t="shared" si="11"/>
        <v>0.38967110683371697</v>
      </c>
      <c r="P127" s="8">
        <f t="shared" si="12"/>
        <v>62.395599144984523</v>
      </c>
      <c r="X127" s="8">
        <v>-13</v>
      </c>
    </row>
    <row r="128" spans="1:24" x14ac:dyDescent="0.2">
      <c r="A128" s="8">
        <v>63</v>
      </c>
      <c r="B128" s="8">
        <v>126</v>
      </c>
      <c r="D128">
        <v>1073.0238297871999</v>
      </c>
      <c r="E128">
        <v>466.71744680850998</v>
      </c>
      <c r="F128">
        <v>153.89432989690999</v>
      </c>
      <c r="G128">
        <v>121.5970790378</v>
      </c>
      <c r="I128" s="9">
        <f t="shared" si="8"/>
        <v>345.12036777071</v>
      </c>
      <c r="J128" s="9">
        <f t="shared" si="9"/>
        <v>919.12949989028994</v>
      </c>
      <c r="K128" s="9">
        <f t="shared" si="10"/>
        <v>345.12036777071</v>
      </c>
      <c r="L128" s="10">
        <f t="shared" si="7"/>
        <v>0.37548611791037562</v>
      </c>
      <c r="M128" s="10">
        <f t="shared" si="11"/>
        <v>0.38217782372647358</v>
      </c>
      <c r="P128" s="8">
        <f t="shared" si="12"/>
        <v>59.272770229975812</v>
      </c>
      <c r="X128" s="8">
        <v>-13</v>
      </c>
    </row>
    <row r="129" spans="1:24" x14ac:dyDescent="0.2">
      <c r="A129" s="8">
        <v>63.5</v>
      </c>
      <c r="B129" s="8">
        <v>127</v>
      </c>
      <c r="D129">
        <v>1087.074893617</v>
      </c>
      <c r="E129">
        <v>478.96085106382998</v>
      </c>
      <c r="F129">
        <v>154.67439862543</v>
      </c>
      <c r="G129">
        <v>121.37285223368001</v>
      </c>
      <c r="I129" s="9">
        <f t="shared" si="8"/>
        <v>357.58799883014996</v>
      </c>
      <c r="J129" s="9">
        <f t="shared" si="9"/>
        <v>932.40049499156999</v>
      </c>
      <c r="K129" s="9">
        <f t="shared" si="10"/>
        <v>357.58799883014996</v>
      </c>
      <c r="L129" s="10">
        <f t="shared" si="7"/>
        <v>0.38351330865969024</v>
      </c>
      <c r="M129" s="10">
        <f t="shared" si="11"/>
        <v>0.3902581232521064</v>
      </c>
      <c r="P129" s="8">
        <f t="shared" si="12"/>
        <v>62.640238486471489</v>
      </c>
      <c r="X129" s="8">
        <v>-13</v>
      </c>
    </row>
    <row r="130" spans="1:24" x14ac:dyDescent="0.2">
      <c r="A130" s="8">
        <v>64</v>
      </c>
      <c r="B130" s="8">
        <v>128</v>
      </c>
      <c r="D130">
        <v>1048.5880851064001</v>
      </c>
      <c r="E130">
        <v>472.36170212766001</v>
      </c>
      <c r="F130">
        <v>154.3616838488</v>
      </c>
      <c r="G130">
        <v>121.15206185567</v>
      </c>
      <c r="I130" s="9">
        <f t="shared" si="8"/>
        <v>351.20964027199</v>
      </c>
      <c r="J130" s="9">
        <f t="shared" si="9"/>
        <v>894.22640125760006</v>
      </c>
      <c r="K130" s="9">
        <f t="shared" si="10"/>
        <v>351.20964027199</v>
      </c>
      <c r="L130" s="10">
        <f t="shared" ref="L130:L193" si="14">K130/J130</f>
        <v>0.39275248391018702</v>
      </c>
      <c r="M130" s="10">
        <f t="shared" si="11"/>
        <v>0.39955040727892144</v>
      </c>
      <c r="P130" s="8">
        <f t="shared" si="12"/>
        <v>66.512801798187425</v>
      </c>
      <c r="X130" s="8">
        <v>-13</v>
      </c>
    </row>
    <row r="131" spans="1:24" x14ac:dyDescent="0.2">
      <c r="A131" s="8">
        <v>64.5</v>
      </c>
      <c r="B131" s="8">
        <v>129</v>
      </c>
      <c r="D131">
        <v>1115.6581415175001</v>
      </c>
      <c r="E131">
        <v>494.54646206309002</v>
      </c>
      <c r="F131">
        <v>154.94243986254</v>
      </c>
      <c r="G131">
        <v>121.17268041237</v>
      </c>
      <c r="I131" s="9">
        <f t="shared" ref="I131:I194" si="15">E131-G131</f>
        <v>373.37378165072005</v>
      </c>
      <c r="J131" s="9">
        <f t="shared" ref="J131:J194" si="16">D131-F131</f>
        <v>960.71570165496007</v>
      </c>
      <c r="K131" s="9">
        <f t="shared" ref="K131:K194" si="17">I131*1</f>
        <v>373.37378165072005</v>
      </c>
      <c r="L131" s="10">
        <f t="shared" si="14"/>
        <v>0.3886412817106395</v>
      </c>
      <c r="M131" s="10">
        <f t="shared" ref="M131:M181" si="18">L131+ABS($N$2)*A131</f>
        <v>0.39549231385569217</v>
      </c>
      <c r="P131" s="8">
        <f t="shared" ref="P131:P194" si="19">(M131-$O$2)/$O$2*100</f>
        <v>64.821589641847439</v>
      </c>
      <c r="X131" s="8">
        <v>-13</v>
      </c>
    </row>
    <row r="132" spans="1:24" x14ac:dyDescent="0.2">
      <c r="A132" s="8">
        <v>65</v>
      </c>
      <c r="B132" s="8">
        <v>130</v>
      </c>
      <c r="D132">
        <v>1140.0137339056</v>
      </c>
      <c r="E132">
        <v>486.57424892704</v>
      </c>
      <c r="F132">
        <v>153.71219931272</v>
      </c>
      <c r="G132">
        <v>121.35738831614999</v>
      </c>
      <c r="I132" s="9">
        <f t="shared" si="15"/>
        <v>365.21686061089002</v>
      </c>
      <c r="J132" s="9">
        <f t="shared" si="16"/>
        <v>986.30153459287999</v>
      </c>
      <c r="K132" s="9">
        <f t="shared" si="17"/>
        <v>365.21686061089002</v>
      </c>
      <c r="L132" s="10">
        <f t="shared" si="14"/>
        <v>0.37028925516337374</v>
      </c>
      <c r="M132" s="10">
        <f t="shared" si="18"/>
        <v>0.37719339608474461</v>
      </c>
      <c r="P132" s="8">
        <f t="shared" si="19"/>
        <v>57.195507894950261</v>
      </c>
      <c r="X132" s="8">
        <v>-13</v>
      </c>
    </row>
    <row r="133" spans="1:24" x14ac:dyDescent="0.2">
      <c r="A133" s="8">
        <v>65.5</v>
      </c>
      <c r="B133" s="8">
        <v>131</v>
      </c>
      <c r="D133">
        <v>1103.460944206</v>
      </c>
      <c r="E133">
        <v>460.46008583691003</v>
      </c>
      <c r="F133">
        <v>155.22594501718001</v>
      </c>
      <c r="G133">
        <v>121.4381443299</v>
      </c>
      <c r="I133" s="9">
        <f t="shared" si="15"/>
        <v>339.02194150701001</v>
      </c>
      <c r="J133" s="9">
        <f t="shared" si="16"/>
        <v>948.23499918881998</v>
      </c>
      <c r="K133" s="9">
        <f t="shared" si="17"/>
        <v>339.02194150701001</v>
      </c>
      <c r="L133" s="10">
        <f t="shared" si="14"/>
        <v>0.3575294539824313</v>
      </c>
      <c r="M133" s="10">
        <f t="shared" si="18"/>
        <v>0.36448670368012043</v>
      </c>
      <c r="P133" s="8">
        <f t="shared" si="19"/>
        <v>51.899988442745858</v>
      </c>
      <c r="X133" s="8">
        <v>-13</v>
      </c>
    </row>
    <row r="134" spans="1:24" x14ac:dyDescent="0.2">
      <c r="A134" s="8">
        <v>66</v>
      </c>
      <c r="B134" s="8">
        <v>132</v>
      </c>
      <c r="D134">
        <v>1082.2394849785001</v>
      </c>
      <c r="E134">
        <v>440.21802575107</v>
      </c>
      <c r="F134">
        <v>154.65120274914</v>
      </c>
      <c r="G134">
        <v>121.32989690722</v>
      </c>
      <c r="I134" s="9">
        <f t="shared" si="15"/>
        <v>318.88812884384998</v>
      </c>
      <c r="J134" s="9">
        <f t="shared" si="16"/>
        <v>927.58828222936006</v>
      </c>
      <c r="K134" s="9">
        <f t="shared" si="17"/>
        <v>318.88812884384998</v>
      </c>
      <c r="L134" s="10">
        <f t="shared" si="14"/>
        <v>0.34378197197299237</v>
      </c>
      <c r="M134" s="10">
        <f t="shared" si="18"/>
        <v>0.35079233044699976</v>
      </c>
      <c r="P134" s="8">
        <f t="shared" si="19"/>
        <v>46.192852586104912</v>
      </c>
      <c r="X134" s="8">
        <v>-13</v>
      </c>
    </row>
    <row r="135" spans="1:24" x14ac:dyDescent="0.2">
      <c r="A135" s="8">
        <v>66.5</v>
      </c>
      <c r="B135" s="8">
        <v>133</v>
      </c>
      <c r="D135">
        <v>1143.5501285347</v>
      </c>
      <c r="E135">
        <v>449.73864610111002</v>
      </c>
      <c r="F135">
        <v>154.52663230241001</v>
      </c>
      <c r="G135">
        <v>121.57903780069</v>
      </c>
      <c r="I135" s="9">
        <f t="shared" si="15"/>
        <v>328.15960830042002</v>
      </c>
      <c r="J135" s="9">
        <f t="shared" si="16"/>
        <v>989.02349623228997</v>
      </c>
      <c r="K135" s="9">
        <f t="shared" si="17"/>
        <v>328.15960830042002</v>
      </c>
      <c r="L135" s="10">
        <f t="shared" si="14"/>
        <v>0.33180163014382608</v>
      </c>
      <c r="M135" s="10">
        <f t="shared" si="18"/>
        <v>0.33886509739415166</v>
      </c>
      <c r="P135" s="8">
        <f t="shared" si="19"/>
        <v>41.222173149546968</v>
      </c>
      <c r="X135" s="8">
        <v>-13</v>
      </c>
    </row>
    <row r="136" spans="1:24" x14ac:dyDescent="0.2">
      <c r="A136" s="8">
        <v>67</v>
      </c>
      <c r="B136" s="8">
        <v>134</v>
      </c>
      <c r="D136">
        <v>1144.3170522708001</v>
      </c>
      <c r="E136">
        <v>448.90916880891001</v>
      </c>
      <c r="F136">
        <v>154.98024054983</v>
      </c>
      <c r="G136">
        <v>121.21391752577</v>
      </c>
      <c r="I136" s="9">
        <f t="shared" si="15"/>
        <v>327.69525128314001</v>
      </c>
      <c r="J136" s="9">
        <f t="shared" si="16"/>
        <v>989.3368117209701</v>
      </c>
      <c r="K136" s="9">
        <f t="shared" si="17"/>
        <v>327.69525128314001</v>
      </c>
      <c r="L136" s="10">
        <f t="shared" si="14"/>
        <v>0.33122718916433314</v>
      </c>
      <c r="M136" s="10">
        <f t="shared" si="18"/>
        <v>0.33834376519097697</v>
      </c>
      <c r="P136" s="8">
        <f t="shared" si="19"/>
        <v>41.0049077326264</v>
      </c>
      <c r="X136" s="8">
        <v>-13</v>
      </c>
    </row>
    <row r="137" spans="1:24" x14ac:dyDescent="0.2">
      <c r="A137" s="8">
        <v>67.5</v>
      </c>
      <c r="B137" s="8">
        <v>135</v>
      </c>
      <c r="D137">
        <v>1122.1191088261</v>
      </c>
      <c r="E137">
        <v>431.25706940873999</v>
      </c>
      <c r="F137">
        <v>155.41151202749001</v>
      </c>
      <c r="G137">
        <v>121.38144329897</v>
      </c>
      <c r="I137" s="9">
        <f t="shared" si="15"/>
        <v>309.87562610977</v>
      </c>
      <c r="J137" s="9">
        <f t="shared" si="16"/>
        <v>966.70759679860998</v>
      </c>
      <c r="K137" s="9">
        <f t="shared" si="17"/>
        <v>309.87562610977</v>
      </c>
      <c r="L137" s="10">
        <f t="shared" si="14"/>
        <v>0.32054742006369591</v>
      </c>
      <c r="M137" s="10">
        <f t="shared" si="18"/>
        <v>0.327717104866658</v>
      </c>
      <c r="P137" s="8">
        <f t="shared" si="19"/>
        <v>36.576242532631404</v>
      </c>
      <c r="X137" s="8">
        <v>-13</v>
      </c>
    </row>
    <row r="138" spans="1:24" x14ac:dyDescent="0.2">
      <c r="A138" s="8">
        <v>68</v>
      </c>
      <c r="B138" s="8">
        <v>136</v>
      </c>
      <c r="D138">
        <v>1127.5106382979</v>
      </c>
      <c r="E138">
        <v>441.09191489362001</v>
      </c>
      <c r="F138">
        <v>155.01288659794</v>
      </c>
      <c r="G138">
        <v>121.35395189003</v>
      </c>
      <c r="I138" s="9">
        <f t="shared" si="15"/>
        <v>319.73796300359004</v>
      </c>
      <c r="J138" s="9">
        <f t="shared" si="16"/>
        <v>972.49775169995996</v>
      </c>
      <c r="K138" s="9">
        <f t="shared" si="17"/>
        <v>319.73796300359004</v>
      </c>
      <c r="L138" s="10">
        <f t="shared" si="14"/>
        <v>0.32878015650388592</v>
      </c>
      <c r="M138" s="10">
        <f t="shared" si="18"/>
        <v>0.33600295008316622</v>
      </c>
      <c r="P138" s="8">
        <f t="shared" si="19"/>
        <v>40.029372043030676</v>
      </c>
      <c r="X138" s="8">
        <v>-13</v>
      </c>
    </row>
    <row r="139" spans="1:24" x14ac:dyDescent="0.2">
      <c r="A139" s="8">
        <v>68.5</v>
      </c>
      <c r="B139" s="8">
        <v>137</v>
      </c>
      <c r="D139">
        <v>1116.3971088435001</v>
      </c>
      <c r="E139">
        <v>447.51275510203999</v>
      </c>
      <c r="F139">
        <v>154.89604810997</v>
      </c>
      <c r="G139">
        <v>121.85481099656</v>
      </c>
      <c r="I139" s="9">
        <f t="shared" si="15"/>
        <v>325.65794410548</v>
      </c>
      <c r="J139" s="9">
        <f t="shared" si="16"/>
        <v>961.50106073353004</v>
      </c>
      <c r="K139" s="9">
        <f t="shared" si="17"/>
        <v>325.65794410548</v>
      </c>
      <c r="L139" s="10">
        <f t="shared" si="14"/>
        <v>0.33869743612870823</v>
      </c>
      <c r="M139" s="10">
        <f t="shared" si="18"/>
        <v>0.34597333848430678</v>
      </c>
      <c r="P139" s="8">
        <f t="shared" si="19"/>
        <v>44.184535640526654</v>
      </c>
      <c r="X139" s="8">
        <v>-13</v>
      </c>
    </row>
    <row r="140" spans="1:24" x14ac:dyDescent="0.2">
      <c r="A140" s="8">
        <v>69</v>
      </c>
      <c r="B140" s="8">
        <v>138</v>
      </c>
      <c r="D140">
        <v>1144.4243197279</v>
      </c>
      <c r="E140">
        <v>494.19387755102002</v>
      </c>
      <c r="F140">
        <v>156.08333333332999</v>
      </c>
      <c r="G140">
        <v>121.35652920962001</v>
      </c>
      <c r="I140" s="9">
        <f t="shared" si="15"/>
        <v>372.8373483414</v>
      </c>
      <c r="J140" s="9">
        <f t="shared" si="16"/>
        <v>988.34098639457</v>
      </c>
      <c r="K140" s="9">
        <f t="shared" si="17"/>
        <v>372.8373483414</v>
      </c>
      <c r="L140" s="10">
        <f t="shared" si="14"/>
        <v>0.37723554266579223</v>
      </c>
      <c r="M140" s="10">
        <f t="shared" si="18"/>
        <v>0.38456455379770904</v>
      </c>
      <c r="P140" s="8">
        <f t="shared" si="19"/>
        <v>60.267441000064572</v>
      </c>
      <c r="X140" s="8">
        <v>-13</v>
      </c>
    </row>
    <row r="141" spans="1:24" x14ac:dyDescent="0.2">
      <c r="A141" s="8">
        <v>69.5</v>
      </c>
      <c r="B141" s="8">
        <v>139</v>
      </c>
      <c r="D141">
        <v>1130.1734693878</v>
      </c>
      <c r="E141">
        <v>476.30952380951999</v>
      </c>
      <c r="F141">
        <v>155.59793814432999</v>
      </c>
      <c r="G141">
        <v>121.30154639174999</v>
      </c>
      <c r="I141" s="9">
        <f t="shared" si="15"/>
        <v>355.00797741777001</v>
      </c>
      <c r="J141" s="9">
        <f t="shared" si="16"/>
        <v>974.57553124346998</v>
      </c>
      <c r="K141" s="9">
        <f t="shared" si="17"/>
        <v>355.00797741777001</v>
      </c>
      <c r="L141" s="10">
        <f t="shared" si="14"/>
        <v>0.36426933165950925</v>
      </c>
      <c r="M141" s="10">
        <f t="shared" si="18"/>
        <v>0.37165145156774426</v>
      </c>
      <c r="P141" s="8">
        <f t="shared" si="19"/>
        <v>54.885900165551469</v>
      </c>
      <c r="X141" s="8">
        <v>-13</v>
      </c>
    </row>
    <row r="142" spans="1:24" x14ac:dyDescent="0.2">
      <c r="A142" s="8">
        <v>70</v>
      </c>
      <c r="B142" s="8">
        <v>140</v>
      </c>
      <c r="D142">
        <v>1115.9905579399001</v>
      </c>
      <c r="E142">
        <v>474.96394849785003</v>
      </c>
      <c r="F142">
        <v>155.26374570447001</v>
      </c>
      <c r="G142">
        <v>121.57130584191999</v>
      </c>
      <c r="I142" s="9">
        <f t="shared" si="15"/>
        <v>353.39264265593005</v>
      </c>
      <c r="J142" s="9">
        <f t="shared" si="16"/>
        <v>960.72681223543009</v>
      </c>
      <c r="K142" s="9">
        <f t="shared" si="17"/>
        <v>353.39264265593005</v>
      </c>
      <c r="L142" s="10">
        <f t="shared" si="14"/>
        <v>0.36783884675150474</v>
      </c>
      <c r="M142" s="10">
        <f t="shared" si="18"/>
        <v>0.37527407543605801</v>
      </c>
      <c r="P142" s="8">
        <f t="shared" si="19"/>
        <v>56.395630200072034</v>
      </c>
      <c r="X142" s="8">
        <v>-13</v>
      </c>
    </row>
    <row r="143" spans="1:24" x14ac:dyDescent="0.2">
      <c r="A143" s="8">
        <v>70.5</v>
      </c>
      <c r="B143" s="8">
        <v>141</v>
      </c>
      <c r="D143">
        <v>1134.3863247863001</v>
      </c>
      <c r="E143">
        <v>468.34786324786</v>
      </c>
      <c r="F143">
        <v>155.30412371134</v>
      </c>
      <c r="G143">
        <v>121.77319587629</v>
      </c>
      <c r="I143" s="9">
        <f t="shared" si="15"/>
        <v>346.57466737157</v>
      </c>
      <c r="J143" s="9">
        <f t="shared" si="16"/>
        <v>979.08220107496004</v>
      </c>
      <c r="K143" s="9">
        <f t="shared" si="17"/>
        <v>346.57466737157</v>
      </c>
      <c r="L143" s="10">
        <f t="shared" si="14"/>
        <v>0.35397913167153544</v>
      </c>
      <c r="M143" s="10">
        <f t="shared" si="18"/>
        <v>0.36146746913240696</v>
      </c>
      <c r="P143" s="8">
        <f t="shared" si="19"/>
        <v>50.641721163657095</v>
      </c>
      <c r="X143" s="8">
        <v>-13</v>
      </c>
    </row>
    <row r="144" spans="1:24" x14ac:dyDescent="0.2">
      <c r="A144" s="8">
        <v>71</v>
      </c>
      <c r="B144" s="8">
        <v>142</v>
      </c>
      <c r="D144">
        <v>1126.2991452992001</v>
      </c>
      <c r="E144">
        <v>457.40940170940002</v>
      </c>
      <c r="F144">
        <v>154.83419243986</v>
      </c>
      <c r="G144">
        <v>121.70962199313</v>
      </c>
      <c r="I144" s="9">
        <f t="shared" si="15"/>
        <v>335.69977971627003</v>
      </c>
      <c r="J144" s="9">
        <f t="shared" si="16"/>
        <v>971.46495285934009</v>
      </c>
      <c r="K144" s="9">
        <f t="shared" si="17"/>
        <v>335.69977971627003</v>
      </c>
      <c r="L144" s="10">
        <f t="shared" si="14"/>
        <v>0.345560360904627</v>
      </c>
      <c r="M144" s="10">
        <f t="shared" si="18"/>
        <v>0.35310180714181671</v>
      </c>
      <c r="P144" s="8">
        <f t="shared" si="19"/>
        <v>47.155327978785799</v>
      </c>
    </row>
    <row r="145" spans="1:16" x14ac:dyDescent="0.2">
      <c r="A145" s="8">
        <v>71.5</v>
      </c>
      <c r="B145" s="8">
        <v>143</v>
      </c>
      <c r="D145">
        <v>1120.4658119658</v>
      </c>
      <c r="E145">
        <v>444.43589743590002</v>
      </c>
      <c r="F145">
        <v>156.15893470789999</v>
      </c>
      <c r="G145">
        <v>121.6176975945</v>
      </c>
      <c r="I145" s="9">
        <f t="shared" si="15"/>
        <v>322.81819984140003</v>
      </c>
      <c r="J145" s="9">
        <f t="shared" si="16"/>
        <v>964.30687725789994</v>
      </c>
      <c r="K145" s="9">
        <f t="shared" si="17"/>
        <v>322.81819984140003</v>
      </c>
      <c r="L145" s="10">
        <f t="shared" si="14"/>
        <v>0.33476708240364816</v>
      </c>
      <c r="M145" s="10">
        <f t="shared" si="18"/>
        <v>0.34236163741715614</v>
      </c>
      <c r="P145" s="8">
        <f t="shared" si="19"/>
        <v>42.679357688026329</v>
      </c>
    </row>
    <row r="146" spans="1:16" x14ac:dyDescent="0.2">
      <c r="A146" s="8">
        <v>72</v>
      </c>
      <c r="B146" s="8">
        <v>144</v>
      </c>
      <c r="D146">
        <v>1101.9760479042</v>
      </c>
      <c r="E146">
        <v>435.75363558597002</v>
      </c>
      <c r="F146">
        <v>155.70704467354</v>
      </c>
      <c r="G146">
        <v>121.57388316151</v>
      </c>
      <c r="I146" s="9">
        <f t="shared" si="15"/>
        <v>314.17975242446005</v>
      </c>
      <c r="J146" s="9">
        <f t="shared" si="16"/>
        <v>946.26900323066002</v>
      </c>
      <c r="K146" s="9">
        <f t="shared" si="17"/>
        <v>314.17975242446005</v>
      </c>
      <c r="L146" s="10">
        <f t="shared" si="14"/>
        <v>0.33201949060131736</v>
      </c>
      <c r="M146" s="10">
        <f t="shared" si="18"/>
        <v>0.33966715439114359</v>
      </c>
      <c r="P146" s="8">
        <f t="shared" si="19"/>
        <v>41.55643074342732</v>
      </c>
    </row>
    <row r="147" spans="1:16" x14ac:dyDescent="0.2">
      <c r="A147" s="8">
        <v>72.5</v>
      </c>
      <c r="B147" s="8">
        <v>145</v>
      </c>
      <c r="D147">
        <v>1086.4191616767</v>
      </c>
      <c r="E147">
        <v>420.01967493583999</v>
      </c>
      <c r="F147">
        <v>154.99914089347001</v>
      </c>
      <c r="G147">
        <v>121.44243986254</v>
      </c>
      <c r="I147" s="9">
        <f t="shared" si="15"/>
        <v>298.57723507330002</v>
      </c>
      <c r="J147" s="9">
        <f t="shared" si="16"/>
        <v>931.42002078323003</v>
      </c>
      <c r="K147" s="9">
        <f t="shared" si="17"/>
        <v>298.57723507330002</v>
      </c>
      <c r="L147" s="10">
        <f t="shared" si="14"/>
        <v>0.32056132401172432</v>
      </c>
      <c r="M147" s="10">
        <f t="shared" si="18"/>
        <v>0.32826209657786876</v>
      </c>
      <c r="P147" s="8">
        <f t="shared" si="19"/>
        <v>36.803368059566836</v>
      </c>
    </row>
    <row r="148" spans="1:16" x14ac:dyDescent="0.2">
      <c r="A148" s="8">
        <v>73</v>
      </c>
      <c r="B148" s="8">
        <v>146</v>
      </c>
      <c r="D148">
        <v>1088.3147989735</v>
      </c>
      <c r="E148">
        <v>412.18220701453998</v>
      </c>
      <c r="F148">
        <v>155.03951890034</v>
      </c>
      <c r="G148">
        <v>121.80927835052</v>
      </c>
      <c r="I148" s="9">
        <f t="shared" si="15"/>
        <v>290.37292866401998</v>
      </c>
      <c r="J148" s="9">
        <f t="shared" si="16"/>
        <v>933.27528007316005</v>
      </c>
      <c r="K148" s="9">
        <f t="shared" si="17"/>
        <v>290.37292866401998</v>
      </c>
      <c r="L148" s="10">
        <f t="shared" si="14"/>
        <v>0.31113320460095917</v>
      </c>
      <c r="M148" s="10">
        <f t="shared" si="18"/>
        <v>0.31888708594342186</v>
      </c>
      <c r="P148" s="8">
        <f t="shared" si="19"/>
        <v>32.896328399012063</v>
      </c>
    </row>
    <row r="149" spans="1:16" x14ac:dyDescent="0.2">
      <c r="A149" s="8">
        <v>73.5</v>
      </c>
      <c r="B149" s="8">
        <v>147</v>
      </c>
      <c r="D149">
        <v>1104.8126603935</v>
      </c>
      <c r="E149">
        <v>411.05645851154998</v>
      </c>
      <c r="F149">
        <v>155.97852233677</v>
      </c>
      <c r="G149">
        <v>121.65378006873</v>
      </c>
      <c r="I149" s="9">
        <f t="shared" si="15"/>
        <v>289.40267844281999</v>
      </c>
      <c r="J149" s="9">
        <f t="shared" si="16"/>
        <v>948.83413805673001</v>
      </c>
      <c r="K149" s="9">
        <f t="shared" si="17"/>
        <v>289.40267844281999</v>
      </c>
      <c r="L149" s="10">
        <f t="shared" si="14"/>
        <v>0.30500871209749503</v>
      </c>
      <c r="M149" s="10">
        <f t="shared" si="18"/>
        <v>0.31281570221627597</v>
      </c>
      <c r="P149" s="8">
        <f t="shared" si="19"/>
        <v>30.366076654097085</v>
      </c>
    </row>
    <row r="150" spans="1:16" x14ac:dyDescent="0.2">
      <c r="A150" s="8">
        <v>74</v>
      </c>
      <c r="B150" s="8">
        <v>148</v>
      </c>
      <c r="D150">
        <v>1135.129170231</v>
      </c>
      <c r="E150">
        <v>412.96920444825003</v>
      </c>
      <c r="F150">
        <v>155.22680412371</v>
      </c>
      <c r="G150">
        <v>121.76030927834999</v>
      </c>
      <c r="I150" s="9">
        <f t="shared" si="15"/>
        <v>291.20889516990002</v>
      </c>
      <c r="J150" s="9">
        <f t="shared" si="16"/>
        <v>979.90236610728994</v>
      </c>
      <c r="K150" s="9">
        <f t="shared" si="17"/>
        <v>291.20889516990002</v>
      </c>
      <c r="L150" s="10">
        <f t="shared" si="14"/>
        <v>0.29718154098019134</v>
      </c>
      <c r="M150" s="10">
        <f t="shared" si="18"/>
        <v>0.30504163987529048</v>
      </c>
      <c r="P150" s="8">
        <f t="shared" si="19"/>
        <v>27.126232874266798</v>
      </c>
    </row>
    <row r="151" spans="1:16" x14ac:dyDescent="0.2">
      <c r="A151" s="8">
        <v>74.5</v>
      </c>
      <c r="B151" s="8">
        <v>149</v>
      </c>
      <c r="D151">
        <v>1134.1343028229001</v>
      </c>
      <c r="E151">
        <v>415.72711719417998</v>
      </c>
      <c r="F151">
        <v>155.47422680412001</v>
      </c>
      <c r="G151">
        <v>121.76632302406</v>
      </c>
      <c r="I151" s="9">
        <f t="shared" si="15"/>
        <v>293.96079417011998</v>
      </c>
      <c r="J151" s="9">
        <f t="shared" si="16"/>
        <v>978.66007601878005</v>
      </c>
      <c r="K151" s="9">
        <f t="shared" si="17"/>
        <v>293.96079417011998</v>
      </c>
      <c r="L151" s="10">
        <f t="shared" si="14"/>
        <v>0.30037068168343162</v>
      </c>
      <c r="M151" s="10">
        <f t="shared" si="18"/>
        <v>0.30828388935484902</v>
      </c>
      <c r="P151" s="8">
        <f t="shared" si="19"/>
        <v>28.477441720847015</v>
      </c>
    </row>
    <row r="152" spans="1:16" x14ac:dyDescent="0.2">
      <c r="A152" s="8">
        <v>75</v>
      </c>
      <c r="B152" s="8">
        <v>150</v>
      </c>
      <c r="D152">
        <v>1118.5098206661</v>
      </c>
      <c r="E152">
        <v>413.24081981212998</v>
      </c>
      <c r="F152">
        <v>155.55927835052</v>
      </c>
      <c r="G152">
        <v>121.59020618557</v>
      </c>
      <c r="I152" s="9">
        <f t="shared" si="15"/>
        <v>291.65061362656002</v>
      </c>
      <c r="J152" s="9">
        <f t="shared" si="16"/>
        <v>962.95054231558004</v>
      </c>
      <c r="K152" s="9">
        <f t="shared" si="17"/>
        <v>291.65061362656002</v>
      </c>
      <c r="L152" s="10">
        <f t="shared" si="14"/>
        <v>0.30287185147145357</v>
      </c>
      <c r="M152" s="10">
        <f t="shared" si="18"/>
        <v>0.31083816791918922</v>
      </c>
      <c r="P152" s="8">
        <f t="shared" si="19"/>
        <v>29.541938396542879</v>
      </c>
    </row>
    <row r="153" spans="1:16" x14ac:dyDescent="0.2">
      <c r="A153" s="8">
        <v>75.5</v>
      </c>
      <c r="B153" s="8">
        <v>151</v>
      </c>
      <c r="D153">
        <v>1154.0614859095001</v>
      </c>
      <c r="E153">
        <v>434.12724167378002</v>
      </c>
      <c r="F153">
        <v>155.16666666667001</v>
      </c>
      <c r="G153">
        <v>121.89604810997</v>
      </c>
      <c r="I153" s="9">
        <f t="shared" si="15"/>
        <v>312.23119356381005</v>
      </c>
      <c r="J153" s="9">
        <f t="shared" si="16"/>
        <v>998.89481924283007</v>
      </c>
      <c r="K153" s="9">
        <f t="shared" si="17"/>
        <v>312.23119356381005</v>
      </c>
      <c r="L153" s="10">
        <f t="shared" si="14"/>
        <v>0.31257664725950196</v>
      </c>
      <c r="M153" s="10">
        <f t="shared" si="18"/>
        <v>0.32059607248355582</v>
      </c>
      <c r="P153" s="8">
        <f t="shared" si="19"/>
        <v>33.60854926488755</v>
      </c>
    </row>
    <row r="154" spans="1:16" x14ac:dyDescent="0.2">
      <c r="A154" s="8">
        <v>76</v>
      </c>
      <c r="B154" s="8">
        <v>152</v>
      </c>
      <c r="D154">
        <v>1158.4167378309</v>
      </c>
      <c r="E154">
        <v>442.46883005977998</v>
      </c>
      <c r="F154">
        <v>155.4029209622</v>
      </c>
      <c r="G154">
        <v>121.4029209622</v>
      </c>
      <c r="I154" s="9">
        <f t="shared" si="15"/>
        <v>321.06590909757995</v>
      </c>
      <c r="J154" s="9">
        <f t="shared" si="16"/>
        <v>1003.0138168687</v>
      </c>
      <c r="K154" s="9">
        <f t="shared" si="17"/>
        <v>321.06590909757995</v>
      </c>
      <c r="L154" s="10">
        <f t="shared" si="14"/>
        <v>0.32010118275330718</v>
      </c>
      <c r="M154" s="10">
        <f t="shared" si="18"/>
        <v>0.32817371675367929</v>
      </c>
      <c r="P154" s="8">
        <f t="shared" si="19"/>
        <v>36.766535730328471</v>
      </c>
    </row>
    <row r="155" spans="1:16" x14ac:dyDescent="0.2">
      <c r="A155" s="8">
        <v>76.5</v>
      </c>
      <c r="B155" s="8">
        <v>153</v>
      </c>
      <c r="D155">
        <v>1164.2229845626</v>
      </c>
      <c r="E155">
        <v>459.34734133791</v>
      </c>
      <c r="F155">
        <v>155.4587628866</v>
      </c>
      <c r="G155">
        <v>121.88487972509</v>
      </c>
      <c r="I155" s="9">
        <f t="shared" si="15"/>
        <v>337.46246161281999</v>
      </c>
      <c r="J155" s="9">
        <f t="shared" si="16"/>
        <v>1008.764221676</v>
      </c>
      <c r="K155" s="9">
        <f t="shared" si="17"/>
        <v>337.46246161281999</v>
      </c>
      <c r="L155" s="10">
        <f t="shared" si="14"/>
        <v>0.33453056161344297</v>
      </c>
      <c r="M155" s="10">
        <f t="shared" si="18"/>
        <v>0.34265620439013333</v>
      </c>
      <c r="P155" s="8">
        <f t="shared" si="19"/>
        <v>42.802118599025484</v>
      </c>
    </row>
    <row r="156" spans="1:16" x14ac:dyDescent="0.2">
      <c r="A156" s="8">
        <v>77</v>
      </c>
      <c r="B156" s="8">
        <v>154</v>
      </c>
      <c r="D156">
        <v>1165.4005145798001</v>
      </c>
      <c r="E156">
        <v>452.40823327615999</v>
      </c>
      <c r="F156">
        <v>155.73969072164999</v>
      </c>
      <c r="G156">
        <v>121.80927835052</v>
      </c>
      <c r="I156" s="9">
        <f t="shared" si="15"/>
        <v>330.59895492563999</v>
      </c>
      <c r="J156" s="9">
        <f t="shared" si="16"/>
        <v>1009.66082385815</v>
      </c>
      <c r="K156" s="9">
        <f t="shared" si="17"/>
        <v>330.59895492563999</v>
      </c>
      <c r="L156" s="10">
        <f t="shared" si="14"/>
        <v>0.32743565672117902</v>
      </c>
      <c r="M156" s="10">
        <f t="shared" si="18"/>
        <v>0.33561440827418759</v>
      </c>
      <c r="P156" s="8">
        <f t="shared" si="19"/>
        <v>39.867447079246062</v>
      </c>
    </row>
    <row r="157" spans="1:16" x14ac:dyDescent="0.2">
      <c r="A157" s="8">
        <v>77.5</v>
      </c>
      <c r="B157" s="8">
        <v>155</v>
      </c>
      <c r="D157">
        <v>1137.5051457976001</v>
      </c>
      <c r="E157">
        <v>440.95283018868003</v>
      </c>
      <c r="F157">
        <v>156.07731958763</v>
      </c>
      <c r="G157">
        <v>122.21134020619</v>
      </c>
      <c r="I157" s="9">
        <f t="shared" si="15"/>
        <v>318.74148998249001</v>
      </c>
      <c r="J157" s="9">
        <f t="shared" si="16"/>
        <v>981.42782620997014</v>
      </c>
      <c r="K157" s="9">
        <f t="shared" si="17"/>
        <v>318.74148998249001</v>
      </c>
      <c r="L157" s="10">
        <f t="shared" si="14"/>
        <v>0.32477323494422433</v>
      </c>
      <c r="M157" s="10">
        <f t="shared" si="18"/>
        <v>0.33300509527355115</v>
      </c>
      <c r="P157" s="8">
        <f t="shared" si="19"/>
        <v>38.780014778867752</v>
      </c>
    </row>
    <row r="158" spans="1:16" x14ac:dyDescent="0.2">
      <c r="A158" s="8">
        <v>78</v>
      </c>
      <c r="B158" s="8">
        <v>156</v>
      </c>
      <c r="D158">
        <v>1163.2940170940001</v>
      </c>
      <c r="E158">
        <v>446.19230769231001</v>
      </c>
      <c r="F158">
        <v>155.43470790378001</v>
      </c>
      <c r="G158">
        <v>121.8969072165</v>
      </c>
      <c r="I158" s="9">
        <f t="shared" si="15"/>
        <v>324.29540047581003</v>
      </c>
      <c r="J158" s="9">
        <f t="shared" si="16"/>
        <v>1007.8593091902201</v>
      </c>
      <c r="K158" s="9">
        <f t="shared" si="17"/>
        <v>324.29540047581003</v>
      </c>
      <c r="L158" s="10">
        <f t="shared" si="14"/>
        <v>0.3217665377684214</v>
      </c>
      <c r="M158" s="10">
        <f t="shared" si="18"/>
        <v>0.33005150687406648</v>
      </c>
      <c r="P158" s="8">
        <f t="shared" si="19"/>
        <v>37.549105559912825</v>
      </c>
    </row>
    <row r="159" spans="1:16" x14ac:dyDescent="0.2">
      <c r="A159" s="8">
        <v>78.5</v>
      </c>
      <c r="B159" s="8">
        <v>157</v>
      </c>
      <c r="D159">
        <v>1169.8128205128</v>
      </c>
      <c r="E159">
        <v>441.98547008547001</v>
      </c>
      <c r="F159">
        <v>156.11769759449999</v>
      </c>
      <c r="G159">
        <v>121.99226804124</v>
      </c>
      <c r="I159" s="9">
        <f t="shared" si="15"/>
        <v>319.99320204423003</v>
      </c>
      <c r="J159" s="9">
        <f t="shared" si="16"/>
        <v>1013.6951229183001</v>
      </c>
      <c r="K159" s="9">
        <f t="shared" si="17"/>
        <v>319.99320204423003</v>
      </c>
      <c r="L159" s="10">
        <f t="shared" si="14"/>
        <v>0.31567006174697781</v>
      </c>
      <c r="M159" s="10">
        <f t="shared" si="18"/>
        <v>0.32400813962894109</v>
      </c>
      <c r="P159" s="8">
        <f t="shared" si="19"/>
        <v>35.030529695769772</v>
      </c>
    </row>
    <row r="160" spans="1:16" x14ac:dyDescent="0.2">
      <c r="A160" s="8">
        <v>79</v>
      </c>
      <c r="B160" s="8">
        <v>158</v>
      </c>
      <c r="D160">
        <v>1147.7743589744</v>
      </c>
      <c r="E160">
        <v>430.41709401708999</v>
      </c>
      <c r="F160">
        <v>156.13230240550001</v>
      </c>
      <c r="G160">
        <v>122.16924398625</v>
      </c>
      <c r="I160" s="9">
        <f t="shared" si="15"/>
        <v>308.24785003084003</v>
      </c>
      <c r="J160" s="9">
        <f t="shared" si="16"/>
        <v>991.64205656889999</v>
      </c>
      <c r="K160" s="9">
        <f t="shared" si="17"/>
        <v>308.24785003084003</v>
      </c>
      <c r="L160" s="10">
        <f t="shared" si="14"/>
        <v>0.31084588233115418</v>
      </c>
      <c r="M160" s="10">
        <f t="shared" si="18"/>
        <v>0.31923706898943571</v>
      </c>
      <c r="P160" s="8">
        <f t="shared" si="19"/>
        <v>33.042183981967206</v>
      </c>
    </row>
    <row r="161" spans="1:16" x14ac:dyDescent="0.2">
      <c r="A161" s="8">
        <v>79.5</v>
      </c>
      <c r="B161" s="8">
        <v>159</v>
      </c>
      <c r="D161">
        <v>1160.0316509838001</v>
      </c>
      <c r="E161">
        <v>433.08810949529999</v>
      </c>
      <c r="F161">
        <v>156.63487972509</v>
      </c>
      <c r="G161">
        <v>121.42869415808001</v>
      </c>
      <c r="I161" s="9">
        <f t="shared" si="15"/>
        <v>311.65941533721997</v>
      </c>
      <c r="J161" s="9">
        <f t="shared" si="16"/>
        <v>1003.39677125871</v>
      </c>
      <c r="K161" s="9">
        <f t="shared" si="17"/>
        <v>311.65941533721997</v>
      </c>
      <c r="L161" s="10">
        <f t="shared" si="14"/>
        <v>0.31060436336291886</v>
      </c>
      <c r="M161" s="10">
        <f t="shared" si="18"/>
        <v>0.31904865879751865</v>
      </c>
      <c r="P161" s="8">
        <f t="shared" si="19"/>
        <v>32.963663954526609</v>
      </c>
    </row>
    <row r="162" spans="1:16" x14ac:dyDescent="0.2">
      <c r="A162" s="8">
        <v>80</v>
      </c>
      <c r="B162" s="4">
        <v>160</v>
      </c>
      <c r="C162" s="4" t="s">
        <v>6</v>
      </c>
      <c r="D162">
        <v>1168.9587274291</v>
      </c>
      <c r="E162">
        <v>436.60017196905</v>
      </c>
      <c r="F162">
        <v>156.03608247423</v>
      </c>
      <c r="G162">
        <v>121.8204467354</v>
      </c>
      <c r="H162" s="4"/>
      <c r="I162" s="5">
        <f t="shared" si="15"/>
        <v>314.77972523364997</v>
      </c>
      <c r="J162" s="5">
        <f t="shared" si="16"/>
        <v>1012.9226449548701</v>
      </c>
      <c r="K162" s="9">
        <f t="shared" si="17"/>
        <v>314.77972523364997</v>
      </c>
      <c r="L162" s="6">
        <f t="shared" si="14"/>
        <v>0.31076383453513839</v>
      </c>
      <c r="M162" s="6">
        <f t="shared" si="18"/>
        <v>0.31926123874605639</v>
      </c>
      <c r="N162" s="4"/>
      <c r="O162" s="4"/>
      <c r="P162" s="4">
        <f t="shared" si="19"/>
        <v>33.052256738296251</v>
      </c>
    </row>
    <row r="163" spans="1:16" x14ac:dyDescent="0.2">
      <c r="A163" s="8">
        <v>80.5</v>
      </c>
      <c r="B163" s="8">
        <v>161</v>
      </c>
      <c r="D163">
        <v>1193.8053173241999</v>
      </c>
      <c r="E163">
        <v>463.01886792453001</v>
      </c>
      <c r="F163">
        <v>156.45103092784001</v>
      </c>
      <c r="G163">
        <v>121.70103092783999</v>
      </c>
      <c r="I163" s="9">
        <f t="shared" si="15"/>
        <v>341.31783699669</v>
      </c>
      <c r="J163" s="9">
        <f t="shared" si="16"/>
        <v>1037.3542863963598</v>
      </c>
      <c r="K163" s="9">
        <f t="shared" si="17"/>
        <v>341.31783699669</v>
      </c>
      <c r="L163" s="10">
        <f t="shared" si="14"/>
        <v>0.32902725854865444</v>
      </c>
      <c r="M163" s="10">
        <f t="shared" si="18"/>
        <v>0.33757777153589069</v>
      </c>
      <c r="P163" s="8">
        <f t="shared" si="19"/>
        <v>40.685679551790102</v>
      </c>
    </row>
    <row r="164" spans="1:16" x14ac:dyDescent="0.2">
      <c r="A164" s="8">
        <v>81</v>
      </c>
      <c r="B164" s="8">
        <v>162</v>
      </c>
      <c r="D164">
        <v>1222.3704974271</v>
      </c>
      <c r="E164">
        <v>536.55231560892003</v>
      </c>
      <c r="F164">
        <v>156.30927835052</v>
      </c>
      <c r="G164">
        <v>121.66151202749001</v>
      </c>
      <c r="I164" s="9">
        <f t="shared" si="15"/>
        <v>414.89080358143002</v>
      </c>
      <c r="J164" s="9">
        <f t="shared" si="16"/>
        <v>1066.0612190765801</v>
      </c>
      <c r="K164" s="9">
        <f t="shared" si="17"/>
        <v>414.89080358143002</v>
      </c>
      <c r="L164" s="10">
        <f t="shared" si="14"/>
        <v>0.38918103027967527</v>
      </c>
      <c r="M164" s="10">
        <f t="shared" si="18"/>
        <v>0.39778465204322977</v>
      </c>
      <c r="P164" s="8">
        <f t="shared" si="19"/>
        <v>65.776922554346271</v>
      </c>
    </row>
    <row r="165" spans="1:16" x14ac:dyDescent="0.2">
      <c r="A165" s="8">
        <v>81.5</v>
      </c>
      <c r="B165" s="8">
        <v>163</v>
      </c>
      <c r="D165">
        <v>1228.7015437393</v>
      </c>
      <c r="E165">
        <v>562.89965694682996</v>
      </c>
      <c r="F165">
        <v>156.84536082474</v>
      </c>
      <c r="G165">
        <v>121.83676975944999</v>
      </c>
      <c r="I165" s="9">
        <f t="shared" si="15"/>
        <v>441.06288718737994</v>
      </c>
      <c r="J165" s="9">
        <f t="shared" si="16"/>
        <v>1071.8561829145599</v>
      </c>
      <c r="K165" s="9">
        <f t="shared" si="17"/>
        <v>441.06288718737994</v>
      </c>
      <c r="L165" s="10">
        <f t="shared" si="14"/>
        <v>0.41149446559897118</v>
      </c>
      <c r="M165" s="10">
        <f t="shared" si="18"/>
        <v>0.42015119613884389</v>
      </c>
      <c r="P165" s="8">
        <f t="shared" si="19"/>
        <v>75.098189298303097</v>
      </c>
    </row>
    <row r="166" spans="1:16" x14ac:dyDescent="0.2">
      <c r="A166" s="8">
        <v>82</v>
      </c>
      <c r="B166" s="8">
        <v>164</v>
      </c>
      <c r="D166">
        <v>1244.4502572899</v>
      </c>
      <c r="E166">
        <v>561.08061749571004</v>
      </c>
      <c r="F166">
        <v>156.42955326461001</v>
      </c>
      <c r="G166">
        <v>122.28608247423</v>
      </c>
      <c r="I166" s="9">
        <f t="shared" si="15"/>
        <v>438.79453502148004</v>
      </c>
      <c r="J166" s="9">
        <f t="shared" si="16"/>
        <v>1088.0207040252901</v>
      </c>
      <c r="K166" s="9">
        <f t="shared" si="17"/>
        <v>438.79453502148004</v>
      </c>
      <c r="L166" s="10">
        <f t="shared" si="14"/>
        <v>0.40329612607379267</v>
      </c>
      <c r="M166" s="10">
        <f t="shared" si="18"/>
        <v>0.41200596538998363</v>
      </c>
      <c r="P166" s="8">
        <f t="shared" si="19"/>
        <v>71.703660926971295</v>
      </c>
    </row>
    <row r="167" spans="1:16" x14ac:dyDescent="0.2">
      <c r="A167" s="8">
        <v>82.5</v>
      </c>
      <c r="B167" s="8">
        <v>165</v>
      </c>
      <c r="D167">
        <v>1220.7442060086</v>
      </c>
      <c r="E167">
        <v>552.92532188841005</v>
      </c>
      <c r="F167">
        <v>156.86340206186</v>
      </c>
      <c r="G167">
        <v>122.20189003436001</v>
      </c>
      <c r="I167" s="9">
        <f t="shared" si="15"/>
        <v>430.72343185405003</v>
      </c>
      <c r="J167" s="9">
        <f t="shared" si="16"/>
        <v>1063.8808039467401</v>
      </c>
      <c r="K167" s="9">
        <f t="shared" si="17"/>
        <v>430.72343185405003</v>
      </c>
      <c r="L167" s="10">
        <f t="shared" si="14"/>
        <v>0.40486061056480238</v>
      </c>
      <c r="M167" s="10">
        <f t="shared" si="18"/>
        <v>0.4136235586573116</v>
      </c>
      <c r="P167" s="8">
        <f t="shared" si="19"/>
        <v>72.377793607618614</v>
      </c>
    </row>
    <row r="168" spans="1:16" x14ac:dyDescent="0.2">
      <c r="A168" s="8">
        <v>83</v>
      </c>
      <c r="B168" s="8">
        <v>166</v>
      </c>
      <c r="D168">
        <v>1170.2924528302001</v>
      </c>
      <c r="E168">
        <v>566.92624356775002</v>
      </c>
      <c r="F168">
        <v>157.12285223367999</v>
      </c>
      <c r="G168">
        <v>122.15549828179</v>
      </c>
      <c r="I168" s="9">
        <f t="shared" si="15"/>
        <v>444.77074528596</v>
      </c>
      <c r="J168" s="9">
        <f t="shared" si="16"/>
        <v>1013.1696005965201</v>
      </c>
      <c r="K168" s="9">
        <f t="shared" si="17"/>
        <v>444.77074528596</v>
      </c>
      <c r="L168" s="10">
        <f t="shared" si="14"/>
        <v>0.43898942982901773</v>
      </c>
      <c r="M168" s="10">
        <f t="shared" si="18"/>
        <v>0.44780548669784515</v>
      </c>
      <c r="P168" s="8">
        <f t="shared" si="19"/>
        <v>86.623126624936603</v>
      </c>
    </row>
    <row r="169" spans="1:16" x14ac:dyDescent="0.2">
      <c r="A169" s="8">
        <v>83.5</v>
      </c>
      <c r="B169" s="8">
        <v>167</v>
      </c>
      <c r="D169">
        <v>1185.7467921299999</v>
      </c>
      <c r="E169">
        <v>593.93498716852002</v>
      </c>
      <c r="F169">
        <v>156.38316151203</v>
      </c>
      <c r="G169">
        <v>121.76030927834999</v>
      </c>
      <c r="I169" s="9">
        <f t="shared" si="15"/>
        <v>472.17467789017002</v>
      </c>
      <c r="J169" s="9">
        <f t="shared" si="16"/>
        <v>1029.3636306179699</v>
      </c>
      <c r="K169" s="9">
        <f t="shared" si="17"/>
        <v>472.17467789017002</v>
      </c>
      <c r="L169" s="10">
        <f t="shared" si="14"/>
        <v>0.45870542133561087</v>
      </c>
      <c r="M169" s="10">
        <f t="shared" si="18"/>
        <v>0.46757458698075655</v>
      </c>
      <c r="P169" s="8">
        <f t="shared" si="19"/>
        <v>94.861907557623638</v>
      </c>
    </row>
    <row r="170" spans="1:16" x14ac:dyDescent="0.2">
      <c r="A170" s="8">
        <v>84</v>
      </c>
      <c r="B170" s="8">
        <v>168</v>
      </c>
      <c r="D170">
        <v>1169.9187339606999</v>
      </c>
      <c r="E170">
        <v>591.10692899915</v>
      </c>
      <c r="F170">
        <v>156.33591065292001</v>
      </c>
      <c r="G170">
        <v>122.22079037800999</v>
      </c>
      <c r="I170" s="9">
        <f t="shared" si="15"/>
        <v>468.88613862113999</v>
      </c>
      <c r="J170" s="9">
        <f t="shared" si="16"/>
        <v>1013.5828233077799</v>
      </c>
      <c r="K170" s="9">
        <f t="shared" si="17"/>
        <v>468.88613862113999</v>
      </c>
      <c r="L170" s="10">
        <f t="shared" si="14"/>
        <v>0.46260268804768429</v>
      </c>
      <c r="M170" s="10">
        <f t="shared" si="18"/>
        <v>0.47152496246914821</v>
      </c>
      <c r="P170" s="8">
        <f t="shared" si="19"/>
        <v>96.508228218905771</v>
      </c>
    </row>
    <row r="171" spans="1:16" x14ac:dyDescent="0.2">
      <c r="A171" s="8">
        <v>84.5</v>
      </c>
      <c r="B171" s="8">
        <v>169</v>
      </c>
      <c r="D171">
        <v>1224.1103507271</v>
      </c>
      <c r="E171">
        <v>604.91360136869002</v>
      </c>
      <c r="F171">
        <v>157.01632302406</v>
      </c>
      <c r="G171">
        <v>122.43900343643</v>
      </c>
      <c r="I171" s="9">
        <f t="shared" si="15"/>
        <v>482.47459793226005</v>
      </c>
      <c r="J171" s="9">
        <f t="shared" si="16"/>
        <v>1067.09402770304</v>
      </c>
      <c r="K171" s="9">
        <f t="shared" si="17"/>
        <v>482.47459793226005</v>
      </c>
      <c r="L171" s="10">
        <f t="shared" si="14"/>
        <v>0.452138785717698</v>
      </c>
      <c r="M171" s="10">
        <f t="shared" si="18"/>
        <v>0.46111416891548013</v>
      </c>
      <c r="P171" s="8">
        <f t="shared" si="19"/>
        <v>92.169525587190961</v>
      </c>
    </row>
    <row r="172" spans="1:16" x14ac:dyDescent="0.2">
      <c r="A172" s="8">
        <v>85</v>
      </c>
      <c r="B172" s="8">
        <v>170</v>
      </c>
      <c r="D172">
        <v>1204.2266894781999</v>
      </c>
      <c r="E172">
        <v>573.78357570572996</v>
      </c>
      <c r="F172">
        <v>156.25171821306</v>
      </c>
      <c r="G172">
        <v>121.99140893470999</v>
      </c>
      <c r="I172" s="9">
        <f t="shared" si="15"/>
        <v>451.79216677101999</v>
      </c>
      <c r="J172" s="9">
        <f t="shared" si="16"/>
        <v>1047.9749712651399</v>
      </c>
      <c r="K172" s="9">
        <f t="shared" si="17"/>
        <v>451.79216677101999</v>
      </c>
      <c r="L172" s="10">
        <f t="shared" si="14"/>
        <v>0.431109691699608</v>
      </c>
      <c r="M172" s="10">
        <f t="shared" si="18"/>
        <v>0.44013818367370838</v>
      </c>
      <c r="P172" s="8">
        <f t="shared" si="19"/>
        <v>83.42777483571048</v>
      </c>
    </row>
    <row r="173" spans="1:16" x14ac:dyDescent="0.2">
      <c r="A173" s="8">
        <v>85.5</v>
      </c>
      <c r="B173" s="8">
        <v>171</v>
      </c>
      <c r="D173">
        <v>1169.9546621044001</v>
      </c>
      <c r="E173">
        <v>556.55260906757997</v>
      </c>
      <c r="F173">
        <v>156.85051546392</v>
      </c>
      <c r="G173">
        <v>122.34536082474</v>
      </c>
      <c r="I173" s="9">
        <f t="shared" si="15"/>
        <v>434.20724824283997</v>
      </c>
      <c r="J173" s="9">
        <f t="shared" si="16"/>
        <v>1013.1041466404801</v>
      </c>
      <c r="K173" s="9">
        <f t="shared" si="17"/>
        <v>434.20724824283997</v>
      </c>
      <c r="L173" s="10">
        <f t="shared" si="14"/>
        <v>0.42859092984931485</v>
      </c>
      <c r="M173" s="10">
        <f t="shared" si="18"/>
        <v>0.43767253059973349</v>
      </c>
      <c r="P173" s="8">
        <f t="shared" si="19"/>
        <v>82.400212870736027</v>
      </c>
    </row>
    <row r="174" spans="1:16" x14ac:dyDescent="0.2">
      <c r="A174" s="8">
        <v>86</v>
      </c>
      <c r="B174" s="8">
        <v>172</v>
      </c>
      <c r="D174">
        <v>1192.3994867408001</v>
      </c>
      <c r="E174">
        <v>568.53721129170003</v>
      </c>
      <c r="F174">
        <v>156.18642611684001</v>
      </c>
      <c r="G174">
        <v>122.44243986254</v>
      </c>
      <c r="I174" s="9">
        <f t="shared" si="15"/>
        <v>446.09477142916001</v>
      </c>
      <c r="J174" s="9">
        <f t="shared" si="16"/>
        <v>1036.21306062396</v>
      </c>
      <c r="K174" s="9">
        <f t="shared" si="17"/>
        <v>446.09477142916001</v>
      </c>
      <c r="L174" s="10">
        <f t="shared" si="14"/>
        <v>0.43050487238651691</v>
      </c>
      <c r="M174" s="10">
        <f t="shared" si="18"/>
        <v>0.43963958191325375</v>
      </c>
      <c r="P174" s="8">
        <f t="shared" si="19"/>
        <v>83.219982340440041</v>
      </c>
    </row>
    <row r="175" spans="1:16" x14ac:dyDescent="0.2">
      <c r="A175" s="8">
        <v>86.5</v>
      </c>
      <c r="B175" s="8">
        <v>173</v>
      </c>
      <c r="D175">
        <v>1219.7334479793999</v>
      </c>
      <c r="E175">
        <v>557.93637145314005</v>
      </c>
      <c r="F175">
        <v>157.71048109966</v>
      </c>
      <c r="G175">
        <v>122.29037800687</v>
      </c>
      <c r="I175" s="9">
        <f t="shared" si="15"/>
        <v>435.64599344627004</v>
      </c>
      <c r="J175" s="9">
        <f t="shared" si="16"/>
        <v>1062.0229668797399</v>
      </c>
      <c r="K175" s="9">
        <f t="shared" si="17"/>
        <v>435.64599344627004</v>
      </c>
      <c r="L175" s="10">
        <f t="shared" si="14"/>
        <v>0.41020392875891659</v>
      </c>
      <c r="M175" s="10">
        <f t="shared" si="18"/>
        <v>0.41939174706197169</v>
      </c>
      <c r="P175" s="8">
        <f t="shared" si="19"/>
        <v>74.781688573214964</v>
      </c>
    </row>
    <row r="176" spans="1:16" x14ac:dyDescent="0.2">
      <c r="A176" s="8">
        <v>87</v>
      </c>
      <c r="B176" s="8">
        <v>174</v>
      </c>
      <c r="D176">
        <v>1196.5760963027001</v>
      </c>
      <c r="E176">
        <v>525.91573516767005</v>
      </c>
      <c r="F176">
        <v>157.36512027491</v>
      </c>
      <c r="G176">
        <v>122.3410652921</v>
      </c>
      <c r="I176" s="9">
        <f t="shared" si="15"/>
        <v>403.57466987557007</v>
      </c>
      <c r="J176" s="9">
        <f t="shared" si="16"/>
        <v>1039.2109760277901</v>
      </c>
      <c r="K176" s="9">
        <f t="shared" si="17"/>
        <v>403.57466987557007</v>
      </c>
      <c r="L176" s="10">
        <f t="shared" si="14"/>
        <v>0.38834719723435429</v>
      </c>
      <c r="M176" s="10">
        <f t="shared" si="18"/>
        <v>0.39758812431372764</v>
      </c>
      <c r="P176" s="8">
        <f t="shared" si="19"/>
        <v>65.695019539672103</v>
      </c>
    </row>
    <row r="177" spans="1:16" x14ac:dyDescent="0.2">
      <c r="A177" s="8">
        <v>87.5</v>
      </c>
      <c r="B177" s="8">
        <v>175</v>
      </c>
      <c r="D177">
        <v>1210.6586414445001</v>
      </c>
      <c r="E177">
        <v>530.92863284608995</v>
      </c>
      <c r="F177">
        <v>156.79209621992999</v>
      </c>
      <c r="G177">
        <v>122.45790378007</v>
      </c>
      <c r="I177" s="9">
        <f t="shared" si="15"/>
        <v>408.47072906601994</v>
      </c>
      <c r="J177" s="9">
        <f t="shared" si="16"/>
        <v>1053.86654522457</v>
      </c>
      <c r="K177" s="9">
        <f t="shared" si="17"/>
        <v>408.47072906601994</v>
      </c>
      <c r="L177" s="10">
        <f t="shared" si="14"/>
        <v>0.38759246217364107</v>
      </c>
      <c r="M177" s="10">
        <f t="shared" si="18"/>
        <v>0.39688649802933262</v>
      </c>
      <c r="P177" s="8">
        <f t="shared" si="19"/>
        <v>65.402616487888181</v>
      </c>
    </row>
    <row r="178" spans="1:16" x14ac:dyDescent="0.2">
      <c r="A178" s="8">
        <v>88</v>
      </c>
      <c r="B178" s="8">
        <v>176</v>
      </c>
      <c r="D178">
        <v>1234.8641444540001</v>
      </c>
      <c r="E178">
        <v>586.07566638005005</v>
      </c>
      <c r="F178">
        <v>156.74656357388</v>
      </c>
      <c r="G178">
        <v>122.6675257732</v>
      </c>
      <c r="I178" s="9">
        <f t="shared" si="15"/>
        <v>463.40814060685005</v>
      </c>
      <c r="J178" s="9">
        <f t="shared" si="16"/>
        <v>1078.1175808801202</v>
      </c>
      <c r="K178" s="9">
        <f t="shared" si="17"/>
        <v>463.40814060685005</v>
      </c>
      <c r="L178" s="10">
        <f t="shared" si="14"/>
        <v>0.42983079844458832</v>
      </c>
      <c r="M178" s="10">
        <f t="shared" si="18"/>
        <v>0.43917794307659813</v>
      </c>
      <c r="P178" s="8">
        <f t="shared" si="19"/>
        <v>83.027594159349476</v>
      </c>
    </row>
    <row r="179" spans="1:16" x14ac:dyDescent="0.2">
      <c r="A179" s="8">
        <v>88.5</v>
      </c>
      <c r="B179" s="8">
        <v>177</v>
      </c>
      <c r="D179">
        <v>1229.7188306104999</v>
      </c>
      <c r="E179">
        <v>591.05245055889998</v>
      </c>
      <c r="F179">
        <v>156.55498281787001</v>
      </c>
      <c r="G179">
        <v>122.48969072165001</v>
      </c>
      <c r="I179" s="9">
        <f t="shared" si="15"/>
        <v>468.56275983724998</v>
      </c>
      <c r="J179" s="9">
        <f t="shared" si="16"/>
        <v>1073.1638477926299</v>
      </c>
      <c r="K179" s="9">
        <f t="shared" si="17"/>
        <v>468.56275983724998</v>
      </c>
      <c r="L179" s="10">
        <f t="shared" si="14"/>
        <v>0.43661809965088533</v>
      </c>
      <c r="M179" s="10">
        <f t="shared" si="18"/>
        <v>0.44601835305921339</v>
      </c>
      <c r="P179" s="8">
        <f t="shared" si="19"/>
        <v>85.87833792259741</v>
      </c>
    </row>
    <row r="180" spans="1:16" x14ac:dyDescent="0.2">
      <c r="A180" s="8">
        <v>89</v>
      </c>
      <c r="B180" s="8">
        <v>178</v>
      </c>
      <c r="D180">
        <v>1191.2570937231001</v>
      </c>
      <c r="E180">
        <v>571.30438521066003</v>
      </c>
      <c r="F180">
        <v>156.63487972509</v>
      </c>
      <c r="G180">
        <v>121.63917525773</v>
      </c>
      <c r="I180" s="9">
        <f t="shared" si="15"/>
        <v>449.66520995293001</v>
      </c>
      <c r="J180" s="9">
        <f t="shared" si="16"/>
        <v>1034.62221399801</v>
      </c>
      <c r="K180" s="9">
        <f t="shared" si="17"/>
        <v>449.66520995293001</v>
      </c>
      <c r="L180" s="10">
        <f t="shared" si="14"/>
        <v>0.43461778016086061</v>
      </c>
      <c r="M180" s="10">
        <f t="shared" si="18"/>
        <v>0.44407114234550688</v>
      </c>
      <c r="P180" s="8">
        <f t="shared" si="19"/>
        <v>85.0668370312859</v>
      </c>
    </row>
    <row r="181" spans="1:16" x14ac:dyDescent="0.2">
      <c r="A181" s="8">
        <v>89.5</v>
      </c>
      <c r="B181" s="8">
        <v>179</v>
      </c>
      <c r="D181">
        <v>1182.6763948498001</v>
      </c>
      <c r="E181">
        <v>569.74849785408003</v>
      </c>
      <c r="F181">
        <v>156.99828178694</v>
      </c>
      <c r="G181">
        <v>122.17697594502</v>
      </c>
      <c r="I181" s="9">
        <f t="shared" si="15"/>
        <v>447.57152190906004</v>
      </c>
      <c r="J181" s="9">
        <f t="shared" si="16"/>
        <v>1025.6781130628601</v>
      </c>
      <c r="K181" s="9">
        <f t="shared" si="17"/>
        <v>447.57152190906004</v>
      </c>
      <c r="L181" s="10">
        <f t="shared" si="14"/>
        <v>0.43636645474722147</v>
      </c>
      <c r="M181" s="10">
        <f t="shared" si="18"/>
        <v>0.44587292570818599</v>
      </c>
      <c r="P181" s="8">
        <f t="shared" si="19"/>
        <v>85.81773101233901</v>
      </c>
    </row>
    <row r="182" spans="1:16" x14ac:dyDescent="0.2">
      <c r="A182" s="8">
        <v>90</v>
      </c>
      <c r="B182" s="8">
        <v>180</v>
      </c>
      <c r="D182">
        <v>1148.9064377682</v>
      </c>
      <c r="E182">
        <v>545.80944206008996</v>
      </c>
      <c r="F182">
        <v>156.87972508591</v>
      </c>
      <c r="G182">
        <v>122.26632302406</v>
      </c>
      <c r="I182" s="9">
        <f t="shared" si="15"/>
        <v>423.54311903602996</v>
      </c>
      <c r="J182" s="9">
        <f t="shared" si="16"/>
        <v>992.02671268229005</v>
      </c>
      <c r="K182" s="9">
        <f t="shared" si="17"/>
        <v>423.54311903602996</v>
      </c>
      <c r="L182" s="10">
        <f t="shared" si="14"/>
        <v>0.42694729246839885</v>
      </c>
      <c r="M182" s="10">
        <f>L182+ABS($N$2)*A182</f>
        <v>0.43650687220568163</v>
      </c>
      <c r="P182" s="8">
        <f t="shared" si="19"/>
        <v>81.914424240322603</v>
      </c>
    </row>
    <row r="183" spans="1:16" x14ac:dyDescent="0.2">
      <c r="A183" s="8">
        <v>90.5</v>
      </c>
      <c r="B183" s="8">
        <v>181</v>
      </c>
      <c r="D183">
        <v>1178.8027562446</v>
      </c>
      <c r="E183">
        <v>558.50387596898997</v>
      </c>
      <c r="F183">
        <v>156.67182130584001</v>
      </c>
      <c r="G183">
        <v>122.33505154639001</v>
      </c>
      <c r="I183" s="9">
        <f t="shared" si="15"/>
        <v>436.16882442259998</v>
      </c>
      <c r="J183" s="9">
        <f t="shared" si="16"/>
        <v>1022.13093493876</v>
      </c>
      <c r="K183" s="9">
        <f t="shared" si="17"/>
        <v>436.16882442259998</v>
      </c>
      <c r="L183" s="10">
        <f t="shared" si="14"/>
        <v>0.42672500118464041</v>
      </c>
      <c r="M183" s="10">
        <f t="shared" ref="M183:M241" si="20">L183+ABS($N$2)*A183</f>
        <v>0.43633768969824138</v>
      </c>
      <c r="P183" s="8">
        <f t="shared" si="19"/>
        <v>81.843917358547728</v>
      </c>
    </row>
    <row r="184" spans="1:16" x14ac:dyDescent="0.2">
      <c r="A184" s="8">
        <v>91</v>
      </c>
      <c r="B184" s="8">
        <v>182</v>
      </c>
      <c r="D184">
        <v>1177.7708871662001</v>
      </c>
      <c r="E184">
        <v>535.34969853575001</v>
      </c>
      <c r="F184">
        <v>156.93556701031</v>
      </c>
      <c r="G184">
        <v>122.60309278350999</v>
      </c>
      <c r="I184" s="9">
        <f t="shared" si="15"/>
        <v>412.74660575224004</v>
      </c>
      <c r="J184" s="9">
        <f t="shared" si="16"/>
        <v>1020.83532015589</v>
      </c>
      <c r="K184" s="9">
        <f t="shared" si="17"/>
        <v>412.74660575224004</v>
      </c>
      <c r="L184" s="10">
        <f t="shared" si="14"/>
        <v>0.40432241871216817</v>
      </c>
      <c r="M184" s="10">
        <f t="shared" si="20"/>
        <v>0.41398821600208741</v>
      </c>
      <c r="P184" s="8">
        <f t="shared" si="19"/>
        <v>72.529764710810412</v>
      </c>
    </row>
    <row r="185" spans="1:16" x14ac:dyDescent="0.2">
      <c r="A185" s="8">
        <v>91.5</v>
      </c>
      <c r="B185" s="8">
        <v>183</v>
      </c>
      <c r="D185">
        <v>1165.5615848407001</v>
      </c>
      <c r="E185">
        <v>516.81653746769996</v>
      </c>
      <c r="F185">
        <v>157.41237113401999</v>
      </c>
      <c r="G185">
        <v>122.53780068729</v>
      </c>
      <c r="I185" s="9">
        <f t="shared" si="15"/>
        <v>394.27873678040999</v>
      </c>
      <c r="J185" s="9">
        <f t="shared" si="16"/>
        <v>1008.1492137066801</v>
      </c>
      <c r="K185" s="9">
        <f t="shared" si="17"/>
        <v>394.27873678040999</v>
      </c>
      <c r="L185" s="10">
        <f t="shared" si="14"/>
        <v>0.39109164736711777</v>
      </c>
      <c r="M185" s="10">
        <f t="shared" si="20"/>
        <v>0.40081055343335525</v>
      </c>
      <c r="P185" s="8">
        <f t="shared" si="19"/>
        <v>67.037968242839568</v>
      </c>
    </row>
    <row r="186" spans="1:16" x14ac:dyDescent="0.2">
      <c r="A186" s="8">
        <v>92</v>
      </c>
      <c r="B186" s="8">
        <v>184</v>
      </c>
      <c r="D186">
        <v>1161.6425495262999</v>
      </c>
      <c r="E186">
        <v>500.71403962101999</v>
      </c>
      <c r="F186">
        <v>156.75</v>
      </c>
      <c r="G186">
        <v>122.01632302406</v>
      </c>
      <c r="I186" s="9">
        <f t="shared" si="15"/>
        <v>378.69771659695999</v>
      </c>
      <c r="J186" s="9">
        <f t="shared" si="16"/>
        <v>1004.8925495262999</v>
      </c>
      <c r="K186" s="9">
        <f t="shared" si="17"/>
        <v>378.69771659695999</v>
      </c>
      <c r="L186" s="10">
        <f t="shared" si="14"/>
        <v>0.37685394003117617</v>
      </c>
      <c r="M186" s="10">
        <f t="shared" si="20"/>
        <v>0.38662595487373186</v>
      </c>
      <c r="P186" s="8">
        <f t="shared" si="19"/>
        <v>61.126530773332497</v>
      </c>
    </row>
    <row r="187" spans="1:16" x14ac:dyDescent="0.2">
      <c r="A187" s="8">
        <v>92.5</v>
      </c>
      <c r="B187" s="8">
        <v>185</v>
      </c>
      <c r="D187">
        <v>1182.4565030146</v>
      </c>
      <c r="E187">
        <v>500.42807924202998</v>
      </c>
      <c r="F187">
        <v>157.41323024055001</v>
      </c>
      <c r="G187">
        <v>122.4235395189</v>
      </c>
      <c r="I187" s="9">
        <f t="shared" si="15"/>
        <v>378.00453972312999</v>
      </c>
      <c r="J187" s="9">
        <f t="shared" si="16"/>
        <v>1025.0432727740499</v>
      </c>
      <c r="K187" s="9">
        <f t="shared" si="17"/>
        <v>378.00453972312999</v>
      </c>
      <c r="L187" s="10">
        <f t="shared" si="14"/>
        <v>0.36876934834189529</v>
      </c>
      <c r="M187" s="10">
        <f t="shared" si="20"/>
        <v>0.37859447196076923</v>
      </c>
      <c r="P187" s="8">
        <f t="shared" si="19"/>
        <v>57.77940686088435</v>
      </c>
    </row>
    <row r="188" spans="1:16" x14ac:dyDescent="0.2">
      <c r="A188" s="8">
        <v>93</v>
      </c>
      <c r="B188" s="8">
        <v>186</v>
      </c>
      <c r="D188">
        <v>1157.5352839930999</v>
      </c>
      <c r="E188">
        <v>501.03184165232</v>
      </c>
      <c r="F188">
        <v>157.25601374569999</v>
      </c>
      <c r="G188">
        <v>122.6529209622</v>
      </c>
      <c r="I188" s="9">
        <f t="shared" si="15"/>
        <v>378.37892069012003</v>
      </c>
      <c r="J188" s="9">
        <f t="shared" si="16"/>
        <v>1000.2792702473999</v>
      </c>
      <c r="K188" s="9">
        <f t="shared" si="17"/>
        <v>378.37892069012003</v>
      </c>
      <c r="L188" s="10">
        <f t="shared" si="14"/>
        <v>0.3782732802175689</v>
      </c>
      <c r="M188" s="10">
        <f t="shared" si="20"/>
        <v>0.3881515126127611</v>
      </c>
      <c r="P188" s="8">
        <f t="shared" si="19"/>
        <v>61.762307608502475</v>
      </c>
    </row>
    <row r="189" spans="1:16" x14ac:dyDescent="0.2">
      <c r="A189" s="8">
        <v>93.5</v>
      </c>
      <c r="B189" s="8">
        <v>187</v>
      </c>
      <c r="D189">
        <v>1174.1067125645</v>
      </c>
      <c r="E189">
        <v>527.34423407916995</v>
      </c>
      <c r="F189">
        <v>157.17182130584001</v>
      </c>
      <c r="G189">
        <v>122.50687285223</v>
      </c>
      <c r="I189" s="9">
        <f t="shared" si="15"/>
        <v>404.83736122693995</v>
      </c>
      <c r="J189" s="9">
        <f t="shared" si="16"/>
        <v>1016.9348912586599</v>
      </c>
      <c r="K189" s="9">
        <f t="shared" si="17"/>
        <v>404.83736122693995</v>
      </c>
      <c r="L189" s="10">
        <f t="shared" si="14"/>
        <v>0.39809565460564822</v>
      </c>
      <c r="M189" s="10">
        <f t="shared" si="20"/>
        <v>0.40802699577715862</v>
      </c>
      <c r="P189" s="8">
        <f t="shared" si="19"/>
        <v>70.045423652196547</v>
      </c>
    </row>
    <row r="190" spans="1:16" x14ac:dyDescent="0.2">
      <c r="A190" s="8">
        <v>94</v>
      </c>
      <c r="B190" s="8">
        <v>188</v>
      </c>
      <c r="D190">
        <v>1184.4333333333</v>
      </c>
      <c r="E190">
        <v>547.11196581196998</v>
      </c>
      <c r="F190">
        <v>156.95103092784001</v>
      </c>
      <c r="G190">
        <v>121.9089347079</v>
      </c>
      <c r="I190" s="9">
        <f t="shared" si="15"/>
        <v>425.20303110406996</v>
      </c>
      <c r="J190" s="9">
        <f t="shared" si="16"/>
        <v>1027.4823024054599</v>
      </c>
      <c r="K190" s="9">
        <f t="shared" si="17"/>
        <v>425.20303110406996</v>
      </c>
      <c r="L190" s="10">
        <f t="shared" si="14"/>
        <v>0.41383002909988659</v>
      </c>
      <c r="M190" s="10">
        <f t="shared" si="20"/>
        <v>0.42381447904771524</v>
      </c>
      <c r="P190" s="8">
        <f t="shared" si="19"/>
        <v>76.624864005231274</v>
      </c>
    </row>
    <row r="191" spans="1:16" x14ac:dyDescent="0.2">
      <c r="A191" s="8">
        <v>94.5</v>
      </c>
      <c r="B191" s="8">
        <v>189</v>
      </c>
      <c r="D191">
        <v>1195.9282051282</v>
      </c>
      <c r="E191">
        <v>602.47692307692</v>
      </c>
      <c r="F191">
        <v>156.90549828178999</v>
      </c>
      <c r="G191">
        <v>122.74054982817999</v>
      </c>
      <c r="I191" s="9">
        <f t="shared" si="15"/>
        <v>479.73637324873999</v>
      </c>
      <c r="J191" s="9">
        <f t="shared" si="16"/>
        <v>1039.0227068464101</v>
      </c>
      <c r="K191" s="9">
        <f t="shared" si="17"/>
        <v>479.73637324873999</v>
      </c>
      <c r="L191" s="10">
        <f t="shared" si="14"/>
        <v>0.46171885377251465</v>
      </c>
      <c r="M191" s="10">
        <f t="shared" si="20"/>
        <v>0.47175641249666156</v>
      </c>
      <c r="P191" s="8">
        <f t="shared" si="19"/>
        <v>96.604685116096746</v>
      </c>
    </row>
    <row r="192" spans="1:16" x14ac:dyDescent="0.2">
      <c r="A192" s="8">
        <v>95</v>
      </c>
      <c r="B192" s="8">
        <v>190</v>
      </c>
      <c r="D192">
        <v>1161.9538461539</v>
      </c>
      <c r="E192">
        <v>617.04529914529996</v>
      </c>
      <c r="F192">
        <v>157.47766323024001</v>
      </c>
      <c r="G192">
        <v>122.81443298969</v>
      </c>
      <c r="I192" s="9">
        <f t="shared" si="15"/>
        <v>494.23086615560999</v>
      </c>
      <c r="J192" s="9">
        <f t="shared" si="16"/>
        <v>1004.47618292366</v>
      </c>
      <c r="K192" s="9">
        <f t="shared" si="17"/>
        <v>494.23086615560999</v>
      </c>
      <c r="L192" s="10">
        <f t="shared" si="14"/>
        <v>0.4920284567794192</v>
      </c>
      <c r="M192" s="10">
        <f t="shared" si="20"/>
        <v>0.50211912427988437</v>
      </c>
      <c r="P192" s="8">
        <f t="shared" si="19"/>
        <v>109.25835813734808</v>
      </c>
    </row>
    <row r="193" spans="1:16" x14ac:dyDescent="0.2">
      <c r="A193" s="8">
        <v>95.5</v>
      </c>
      <c r="B193" s="8">
        <v>191</v>
      </c>
      <c r="D193">
        <v>1178.9879621667999</v>
      </c>
      <c r="E193">
        <v>628.78933791916995</v>
      </c>
      <c r="F193">
        <v>157.06443298969</v>
      </c>
      <c r="G193">
        <v>122.64776632301999</v>
      </c>
      <c r="I193" s="9">
        <f t="shared" si="15"/>
        <v>506.14157159614996</v>
      </c>
      <c r="J193" s="9">
        <f t="shared" si="16"/>
        <v>1021.9235291771099</v>
      </c>
      <c r="K193" s="9">
        <f t="shared" si="17"/>
        <v>506.14157159614996</v>
      </c>
      <c r="L193" s="10">
        <f t="shared" si="14"/>
        <v>0.49528321556869681</v>
      </c>
      <c r="M193" s="10">
        <f t="shared" si="20"/>
        <v>0.50542699184548023</v>
      </c>
      <c r="P193" s="8">
        <f t="shared" si="19"/>
        <v>110.63691334913193</v>
      </c>
    </row>
    <row r="194" spans="1:16" x14ac:dyDescent="0.2">
      <c r="A194" s="8">
        <v>96</v>
      </c>
      <c r="B194" s="8">
        <v>192</v>
      </c>
      <c r="D194">
        <v>1196.3379191746001</v>
      </c>
      <c r="E194">
        <v>652.21324161651</v>
      </c>
      <c r="F194">
        <v>157.31786941581001</v>
      </c>
      <c r="G194">
        <v>122.62628865979001</v>
      </c>
      <c r="I194" s="9">
        <f t="shared" si="15"/>
        <v>529.58695295671998</v>
      </c>
      <c r="J194" s="9">
        <f t="shared" si="16"/>
        <v>1039.02004975879</v>
      </c>
      <c r="K194" s="9">
        <f t="shared" si="17"/>
        <v>529.58695295671998</v>
      </c>
      <c r="L194" s="10">
        <f t="shared" ref="L194:L257" si="21">K194/J194</f>
        <v>0.50969849242049214</v>
      </c>
      <c r="M194" s="10">
        <f t="shared" si="20"/>
        <v>0.51989537747359371</v>
      </c>
      <c r="P194" s="8">
        <f t="shared" si="19"/>
        <v>116.66661919986826</v>
      </c>
    </row>
    <row r="195" spans="1:16" x14ac:dyDescent="0.2">
      <c r="A195" s="8">
        <v>96.5</v>
      </c>
      <c r="B195" s="8">
        <v>193</v>
      </c>
      <c r="D195">
        <v>1172.3078245915999</v>
      </c>
      <c r="E195">
        <v>633.35511607910996</v>
      </c>
      <c r="F195">
        <v>157.36082474227001</v>
      </c>
      <c r="G195">
        <v>122.97164948454</v>
      </c>
      <c r="I195" s="9">
        <f t="shared" ref="I195:I241" si="22">E195-G195</f>
        <v>510.38346659457</v>
      </c>
      <c r="J195" s="9">
        <f t="shared" ref="J195:J241" si="23">D195-F195</f>
        <v>1014.9469998493299</v>
      </c>
      <c r="K195" s="9">
        <f t="shared" ref="K195:K258" si="24">I195*1</f>
        <v>510.38346659457</v>
      </c>
      <c r="L195" s="10">
        <f t="shared" si="21"/>
        <v>0.50286711194804956</v>
      </c>
      <c r="M195" s="10">
        <f t="shared" si="20"/>
        <v>0.51311710577746938</v>
      </c>
      <c r="P195" s="8">
        <f t="shared" ref="P195:P241" si="25">(M195-$O$2)/$O$2*100</f>
        <v>113.84177159388622</v>
      </c>
    </row>
    <row r="196" spans="1:16" x14ac:dyDescent="0.2">
      <c r="A196" s="8">
        <v>97</v>
      </c>
      <c r="B196" s="8">
        <v>194</v>
      </c>
      <c r="D196">
        <v>1157.3903697334999</v>
      </c>
      <c r="E196">
        <v>619.74032674118996</v>
      </c>
      <c r="F196">
        <v>157.79037800686999</v>
      </c>
      <c r="G196">
        <v>122.56443298969</v>
      </c>
      <c r="I196" s="9">
        <f t="shared" si="22"/>
        <v>497.17589375149998</v>
      </c>
      <c r="J196" s="9">
        <f t="shared" si="23"/>
        <v>999.59999172662992</v>
      </c>
      <c r="K196" s="9">
        <f t="shared" si="24"/>
        <v>497.17589375149998</v>
      </c>
      <c r="L196" s="10">
        <f t="shared" si="21"/>
        <v>0.49737484780558838</v>
      </c>
      <c r="M196" s="10">
        <f t="shared" si="20"/>
        <v>0.50767795041132646</v>
      </c>
      <c r="P196" s="8">
        <f t="shared" si="25"/>
        <v>111.57500128672983</v>
      </c>
    </row>
    <row r="197" spans="1:16" x14ac:dyDescent="0.2">
      <c r="A197" s="8">
        <v>97.5</v>
      </c>
      <c r="B197" s="8">
        <v>195</v>
      </c>
      <c r="D197">
        <v>1190.3465176268001</v>
      </c>
      <c r="E197">
        <v>627.05674978503998</v>
      </c>
      <c r="F197">
        <v>157.12886597938001</v>
      </c>
      <c r="G197">
        <v>122.26202749141</v>
      </c>
      <c r="I197" s="9">
        <f t="shared" si="22"/>
        <v>504.79472229363</v>
      </c>
      <c r="J197" s="9">
        <f t="shared" si="23"/>
        <v>1033.2176516474201</v>
      </c>
      <c r="K197" s="9">
        <f t="shared" si="24"/>
        <v>504.79472229363</v>
      </c>
      <c r="L197" s="10">
        <f t="shared" si="21"/>
        <v>0.48856571651554442</v>
      </c>
      <c r="M197" s="10">
        <f t="shared" si="20"/>
        <v>0.49892192789760076</v>
      </c>
      <c r="P197" s="8">
        <f t="shared" si="25"/>
        <v>107.9259251881772</v>
      </c>
    </row>
    <row r="198" spans="1:16" x14ac:dyDescent="0.2">
      <c r="A198" s="8">
        <v>98</v>
      </c>
      <c r="B198" s="8">
        <v>196</v>
      </c>
      <c r="D198">
        <v>1124.8521066208</v>
      </c>
      <c r="E198">
        <v>584.37661220979999</v>
      </c>
      <c r="F198">
        <v>157.06099656357</v>
      </c>
      <c r="G198">
        <v>122.71735395189</v>
      </c>
      <c r="I198" s="9">
        <f t="shared" si="22"/>
        <v>461.65925825790998</v>
      </c>
      <c r="J198" s="9">
        <f t="shared" si="23"/>
        <v>967.79111005722996</v>
      </c>
      <c r="K198" s="9">
        <f t="shared" si="24"/>
        <v>461.65925825790998</v>
      </c>
      <c r="L198" s="10">
        <f t="shared" si="21"/>
        <v>0.47702366085033571</v>
      </c>
      <c r="M198" s="10">
        <f t="shared" si="20"/>
        <v>0.48743298100871024</v>
      </c>
      <c r="P198" s="8">
        <f t="shared" si="25"/>
        <v>103.13790169645232</v>
      </c>
    </row>
    <row r="199" spans="1:16" x14ac:dyDescent="0.2">
      <c r="A199" s="8">
        <v>98.5</v>
      </c>
      <c r="B199" s="8">
        <v>197</v>
      </c>
      <c r="D199">
        <v>1165.6191289496001</v>
      </c>
      <c r="E199">
        <v>597.41929974381003</v>
      </c>
      <c r="F199">
        <v>157.53178694158001</v>
      </c>
      <c r="G199">
        <v>122.62113402062</v>
      </c>
      <c r="I199" s="9">
        <f t="shared" si="22"/>
        <v>474.79816572319004</v>
      </c>
      <c r="J199" s="9">
        <f t="shared" si="23"/>
        <v>1008.0873420080201</v>
      </c>
      <c r="K199" s="9">
        <f t="shared" si="24"/>
        <v>474.79816572319004</v>
      </c>
      <c r="L199" s="10">
        <f t="shared" si="21"/>
        <v>0.4709891156627703</v>
      </c>
      <c r="M199" s="10">
        <f t="shared" si="20"/>
        <v>0.48145154459746309</v>
      </c>
      <c r="P199" s="8">
        <f t="shared" si="25"/>
        <v>100.64513553361074</v>
      </c>
    </row>
    <row r="200" spans="1:16" x14ac:dyDescent="0.2">
      <c r="A200" s="8">
        <v>99</v>
      </c>
      <c r="B200" s="8">
        <v>198</v>
      </c>
      <c r="D200">
        <v>1143.3911187020001</v>
      </c>
      <c r="E200">
        <v>562.23228010247999</v>
      </c>
      <c r="F200">
        <v>156.68642611684001</v>
      </c>
      <c r="G200">
        <v>122.52405498282</v>
      </c>
      <c r="I200" s="9">
        <f t="shared" si="22"/>
        <v>439.70822511965997</v>
      </c>
      <c r="J200" s="9">
        <f t="shared" si="23"/>
        <v>986.70469258516005</v>
      </c>
      <c r="K200" s="9">
        <f t="shared" si="24"/>
        <v>439.70822511965997</v>
      </c>
      <c r="L200" s="10">
        <f t="shared" si="21"/>
        <v>0.44563305356096689</v>
      </c>
      <c r="M200" s="10">
        <f t="shared" si="20"/>
        <v>0.45614859127197793</v>
      </c>
      <c r="P200" s="8">
        <f t="shared" si="25"/>
        <v>90.100118996926142</v>
      </c>
    </row>
    <row r="201" spans="1:16" x14ac:dyDescent="0.2">
      <c r="A201" s="8">
        <v>99.5</v>
      </c>
      <c r="B201" s="8">
        <v>199</v>
      </c>
      <c r="D201">
        <v>1147.9069171648</v>
      </c>
      <c r="E201">
        <v>547.74637062340003</v>
      </c>
      <c r="F201">
        <v>157.08591065292001</v>
      </c>
      <c r="G201">
        <v>122.06443298969</v>
      </c>
      <c r="I201" s="9">
        <f t="shared" si="22"/>
        <v>425.68193763371005</v>
      </c>
      <c r="J201" s="9">
        <f t="shared" si="23"/>
        <v>990.82100651188</v>
      </c>
      <c r="K201" s="9">
        <f t="shared" si="24"/>
        <v>425.68193763371005</v>
      </c>
      <c r="L201" s="10">
        <f t="shared" si="21"/>
        <v>0.42962546699761162</v>
      </c>
      <c r="M201" s="10">
        <f t="shared" si="20"/>
        <v>0.44019411348494086</v>
      </c>
      <c r="P201" s="8">
        <f t="shared" si="25"/>
        <v>83.4510836082776</v>
      </c>
    </row>
    <row r="202" spans="1:16" x14ac:dyDescent="0.2">
      <c r="A202" s="8">
        <v>100</v>
      </c>
      <c r="B202" s="8">
        <v>200</v>
      </c>
      <c r="D202">
        <v>1170.3347566182999</v>
      </c>
      <c r="E202">
        <v>548.66268146882999</v>
      </c>
      <c r="F202">
        <v>157.59106529210001</v>
      </c>
      <c r="G202">
        <v>122.42010309278</v>
      </c>
      <c r="I202" s="9">
        <f t="shared" si="22"/>
        <v>426.24257837605001</v>
      </c>
      <c r="J202" s="9">
        <f t="shared" si="23"/>
        <v>1012.7436913262</v>
      </c>
      <c r="K202" s="9">
        <f t="shared" si="24"/>
        <v>426.24257837605001</v>
      </c>
      <c r="L202" s="10">
        <f t="shared" si="21"/>
        <v>0.42087902598324783</v>
      </c>
      <c r="M202" s="10">
        <f t="shared" si="20"/>
        <v>0.43150078124689534</v>
      </c>
      <c r="P202" s="8">
        <f t="shared" si="25"/>
        <v>79.828133708719733</v>
      </c>
    </row>
    <row r="203" spans="1:16" x14ac:dyDescent="0.2">
      <c r="A203" s="8">
        <v>100.5</v>
      </c>
      <c r="B203" s="8">
        <v>201</v>
      </c>
      <c r="D203">
        <v>1186.8898377455</v>
      </c>
      <c r="E203">
        <v>551.27327070880006</v>
      </c>
      <c r="F203">
        <v>156.39948453608</v>
      </c>
      <c r="G203">
        <v>122.34020618557</v>
      </c>
      <c r="I203" s="9">
        <f t="shared" si="22"/>
        <v>428.93306452323009</v>
      </c>
      <c r="J203" s="9">
        <f t="shared" si="23"/>
        <v>1030.4903532094199</v>
      </c>
      <c r="K203" s="9">
        <f t="shared" si="24"/>
        <v>428.93306452323009</v>
      </c>
      <c r="L203" s="10">
        <f t="shared" si="21"/>
        <v>0.41624170783097159</v>
      </c>
      <c r="M203" s="10">
        <f t="shared" si="20"/>
        <v>0.42691657187093734</v>
      </c>
      <c r="P203" s="8">
        <f t="shared" si="25"/>
        <v>77.917662505802383</v>
      </c>
    </row>
    <row r="204" spans="1:16" x14ac:dyDescent="0.2">
      <c r="A204" s="8">
        <v>101</v>
      </c>
      <c r="B204" s="8">
        <v>202</v>
      </c>
      <c r="D204">
        <v>1140.6934244235999</v>
      </c>
      <c r="E204">
        <v>516.80017079418997</v>
      </c>
      <c r="F204">
        <v>157.12542955327001</v>
      </c>
      <c r="G204">
        <v>122.31701030927999</v>
      </c>
      <c r="I204" s="9">
        <f t="shared" si="22"/>
        <v>394.48316048490994</v>
      </c>
      <c r="J204" s="9">
        <f t="shared" si="23"/>
        <v>983.56799487032993</v>
      </c>
      <c r="K204" s="9">
        <f t="shared" si="24"/>
        <v>394.48316048490994</v>
      </c>
      <c r="L204" s="10">
        <f t="shared" si="21"/>
        <v>0.40107360400326691</v>
      </c>
      <c r="M204" s="10">
        <f t="shared" si="20"/>
        <v>0.41180157681955093</v>
      </c>
      <c r="P204" s="8">
        <f t="shared" si="25"/>
        <v>71.618481903503266</v>
      </c>
    </row>
    <row r="205" spans="1:16" x14ac:dyDescent="0.2">
      <c r="A205" s="8">
        <v>101.5</v>
      </c>
      <c r="B205" s="8">
        <v>203</v>
      </c>
      <c r="D205">
        <v>1177.7145299145</v>
      </c>
      <c r="E205">
        <v>554.47521367520994</v>
      </c>
      <c r="F205">
        <v>156.96048109966</v>
      </c>
      <c r="G205">
        <v>122.49570446735</v>
      </c>
      <c r="I205" s="9">
        <f t="shared" si="22"/>
        <v>431.97950920785996</v>
      </c>
      <c r="J205" s="9">
        <f t="shared" si="23"/>
        <v>1020.75404881484</v>
      </c>
      <c r="K205" s="9">
        <f t="shared" si="24"/>
        <v>431.97950920785996</v>
      </c>
      <c r="L205" s="10">
        <f t="shared" si="21"/>
        <v>0.42319646903131614</v>
      </c>
      <c r="M205" s="10">
        <f t="shared" si="20"/>
        <v>0.43397755062391835</v>
      </c>
      <c r="P205" s="8">
        <f t="shared" si="25"/>
        <v>80.860328397707136</v>
      </c>
    </row>
    <row r="206" spans="1:16" x14ac:dyDescent="0.2">
      <c r="A206" s="8">
        <v>102</v>
      </c>
      <c r="B206" s="8">
        <v>204</v>
      </c>
      <c r="D206">
        <v>1175.3829059829</v>
      </c>
      <c r="E206">
        <v>553.90512820513004</v>
      </c>
      <c r="F206">
        <v>157.20704467354</v>
      </c>
      <c r="G206">
        <v>122.16580756014</v>
      </c>
      <c r="I206" s="9">
        <f t="shared" si="22"/>
        <v>431.73932064499002</v>
      </c>
      <c r="J206" s="9">
        <f t="shared" si="23"/>
        <v>1018.17586130936</v>
      </c>
      <c r="K206" s="9">
        <f t="shared" si="24"/>
        <v>431.73932064499002</v>
      </c>
      <c r="L206" s="10">
        <f t="shared" si="21"/>
        <v>0.42403217071928934</v>
      </c>
      <c r="M206" s="10">
        <f t="shared" si="20"/>
        <v>0.43486636108820981</v>
      </c>
      <c r="P206" s="8">
        <f t="shared" si="25"/>
        <v>81.230740535901774</v>
      </c>
    </row>
    <row r="207" spans="1:16" x14ac:dyDescent="0.2">
      <c r="A207" s="8">
        <v>102.5</v>
      </c>
      <c r="B207" s="8">
        <v>205</v>
      </c>
      <c r="D207">
        <v>1147.9564102564</v>
      </c>
      <c r="E207">
        <v>534.23333333333005</v>
      </c>
      <c r="F207">
        <v>156.75171821306</v>
      </c>
      <c r="G207">
        <v>122.41494845360999</v>
      </c>
      <c r="I207" s="9">
        <f t="shared" si="22"/>
        <v>411.81838487972004</v>
      </c>
      <c r="J207" s="9">
        <f t="shared" si="23"/>
        <v>991.20469204333995</v>
      </c>
      <c r="K207" s="9">
        <f t="shared" si="24"/>
        <v>411.81838487972004</v>
      </c>
      <c r="L207" s="10">
        <f t="shared" si="21"/>
        <v>0.41547259429408906</v>
      </c>
      <c r="M207" s="10">
        <f t="shared" si="20"/>
        <v>0.42635989343932779</v>
      </c>
      <c r="P207" s="8">
        <f t="shared" si="25"/>
        <v>77.685666533181035</v>
      </c>
    </row>
    <row r="208" spans="1:16" x14ac:dyDescent="0.2">
      <c r="A208" s="8">
        <v>103</v>
      </c>
      <c r="B208" s="8">
        <v>206</v>
      </c>
      <c r="D208">
        <v>1120.6829059828999</v>
      </c>
      <c r="E208">
        <v>508.19829059828999</v>
      </c>
      <c r="F208">
        <v>157.33591065292001</v>
      </c>
      <c r="G208">
        <v>122.55068728521999</v>
      </c>
      <c r="I208" s="9">
        <f t="shared" si="22"/>
        <v>385.64760331307002</v>
      </c>
      <c r="J208" s="9">
        <f t="shared" si="23"/>
        <v>963.3469953299799</v>
      </c>
      <c r="K208" s="9">
        <f t="shared" si="24"/>
        <v>385.64760331307002</v>
      </c>
      <c r="L208" s="10">
        <f t="shared" si="21"/>
        <v>0.40032055446539516</v>
      </c>
      <c r="M208" s="10">
        <f t="shared" si="20"/>
        <v>0.41126096238695209</v>
      </c>
      <c r="P208" s="8">
        <f t="shared" si="25"/>
        <v>71.393180609287015</v>
      </c>
    </row>
    <row r="209" spans="1:16" x14ac:dyDescent="0.2">
      <c r="A209" s="8">
        <v>103.5</v>
      </c>
      <c r="B209" s="8">
        <v>207</v>
      </c>
      <c r="D209">
        <v>1153.521888412</v>
      </c>
      <c r="E209">
        <v>503.69957081544999</v>
      </c>
      <c r="F209">
        <v>156.9175257732</v>
      </c>
      <c r="G209">
        <v>122.53951890034</v>
      </c>
      <c r="I209" s="9">
        <f t="shared" si="22"/>
        <v>381.16005191510999</v>
      </c>
      <c r="J209" s="9">
        <f t="shared" si="23"/>
        <v>996.60436263880001</v>
      </c>
      <c r="K209" s="9">
        <f t="shared" si="24"/>
        <v>381.16005191510999</v>
      </c>
      <c r="L209" s="10">
        <f t="shared" si="21"/>
        <v>0.38245874311233985</v>
      </c>
      <c r="M209" s="10">
        <f t="shared" si="20"/>
        <v>0.39345225981021503</v>
      </c>
      <c r="P209" s="8">
        <f t="shared" si="25"/>
        <v>63.971396252618874</v>
      </c>
    </row>
    <row r="210" spans="1:16" x14ac:dyDescent="0.2">
      <c r="A210" s="8">
        <v>104</v>
      </c>
      <c r="B210" s="8">
        <v>208</v>
      </c>
      <c r="D210">
        <v>1156.0930034129999</v>
      </c>
      <c r="E210">
        <v>512.01450511944995</v>
      </c>
      <c r="F210">
        <v>156.94931271478001</v>
      </c>
      <c r="G210">
        <v>122.13316151203</v>
      </c>
      <c r="I210" s="9">
        <f t="shared" si="22"/>
        <v>389.88134360741992</v>
      </c>
      <c r="J210" s="9">
        <f t="shared" si="23"/>
        <v>999.14369069821987</v>
      </c>
      <c r="K210" s="9">
        <f t="shared" si="24"/>
        <v>389.88134360741992</v>
      </c>
      <c r="L210" s="10">
        <f t="shared" si="21"/>
        <v>0.39021548876014389</v>
      </c>
      <c r="M210" s="10">
        <f t="shared" si="20"/>
        <v>0.40126211423433733</v>
      </c>
      <c r="P210" s="8">
        <f t="shared" si="25"/>
        <v>67.226156398286179</v>
      </c>
    </row>
    <row r="211" spans="1:16" x14ac:dyDescent="0.2">
      <c r="A211" s="8">
        <v>104.5</v>
      </c>
      <c r="B211" s="8">
        <v>209</v>
      </c>
      <c r="D211">
        <v>1172.6740614334999</v>
      </c>
      <c r="E211">
        <v>525.03327645051002</v>
      </c>
      <c r="F211">
        <v>157.60137457044999</v>
      </c>
      <c r="G211">
        <v>122.71305841924</v>
      </c>
      <c r="I211" s="9">
        <f t="shared" si="22"/>
        <v>402.32021803127003</v>
      </c>
      <c r="J211" s="9">
        <f t="shared" si="23"/>
        <v>1015.07268686305</v>
      </c>
      <c r="K211" s="9">
        <f t="shared" si="24"/>
        <v>402.32021803127003</v>
      </c>
      <c r="L211" s="10">
        <f t="shared" si="21"/>
        <v>0.39634621563366884</v>
      </c>
      <c r="M211" s="10">
        <f t="shared" si="20"/>
        <v>0.40744594988418048</v>
      </c>
      <c r="P211" s="8">
        <f t="shared" si="25"/>
        <v>69.803272529708565</v>
      </c>
    </row>
    <row r="212" spans="1:16" x14ac:dyDescent="0.2">
      <c r="A212" s="8">
        <v>105</v>
      </c>
      <c r="B212" s="8">
        <v>210</v>
      </c>
      <c r="D212">
        <v>1160.4215017065001</v>
      </c>
      <c r="E212">
        <v>507.16552901023999</v>
      </c>
      <c r="F212">
        <v>157.19072164949</v>
      </c>
      <c r="G212">
        <v>122.38659793814</v>
      </c>
      <c r="I212" s="9">
        <f t="shared" si="22"/>
        <v>384.77893107210002</v>
      </c>
      <c r="J212" s="9">
        <f t="shared" si="23"/>
        <v>1003.2307800570101</v>
      </c>
      <c r="K212" s="9">
        <f t="shared" si="24"/>
        <v>384.77893107210002</v>
      </c>
      <c r="L212" s="10">
        <f t="shared" si="21"/>
        <v>0.38353979834055169</v>
      </c>
      <c r="M212" s="10">
        <f t="shared" si="20"/>
        <v>0.39469264136738158</v>
      </c>
      <c r="P212" s="8">
        <f t="shared" si="25"/>
        <v>64.488325792972006</v>
      </c>
    </row>
    <row r="213" spans="1:16" x14ac:dyDescent="0.2">
      <c r="A213" s="8">
        <v>105.5</v>
      </c>
      <c r="B213" s="8">
        <v>211</v>
      </c>
      <c r="D213">
        <v>1162.2098976109</v>
      </c>
      <c r="E213">
        <v>490.80290102389</v>
      </c>
      <c r="F213">
        <v>157.32474226804001</v>
      </c>
      <c r="G213">
        <v>122.4441580756</v>
      </c>
      <c r="I213" s="9">
        <f t="shared" si="22"/>
        <v>368.35874294829</v>
      </c>
      <c r="J213" s="9">
        <f t="shared" si="23"/>
        <v>1004.88515534286</v>
      </c>
      <c r="K213" s="9">
        <f t="shared" si="24"/>
        <v>368.35874294829</v>
      </c>
      <c r="L213" s="10">
        <f t="shared" si="21"/>
        <v>0.36656800131812922</v>
      </c>
      <c r="M213" s="10">
        <f t="shared" si="20"/>
        <v>0.37777395312127737</v>
      </c>
      <c r="P213" s="8">
        <f t="shared" si="25"/>
        <v>57.437455286307163</v>
      </c>
    </row>
    <row r="214" spans="1:16" x14ac:dyDescent="0.2">
      <c r="A214" s="8">
        <v>106</v>
      </c>
      <c r="B214" s="8">
        <v>212</v>
      </c>
      <c r="D214">
        <v>1155.1976047904</v>
      </c>
      <c r="E214">
        <v>475.19846022241001</v>
      </c>
      <c r="F214">
        <v>156.48109965635999</v>
      </c>
      <c r="G214">
        <v>122.25085910653</v>
      </c>
      <c r="I214" s="9">
        <f t="shared" si="22"/>
        <v>352.94760111587999</v>
      </c>
      <c r="J214" s="9">
        <f t="shared" si="23"/>
        <v>998.71650513403995</v>
      </c>
      <c r="K214" s="9">
        <f t="shared" si="24"/>
        <v>352.94760111587999</v>
      </c>
      <c r="L214" s="10">
        <f t="shared" si="21"/>
        <v>0.35340118972852075</v>
      </c>
      <c r="M214" s="10">
        <f t="shared" si="20"/>
        <v>0.3646602503079871</v>
      </c>
      <c r="P214" s="8">
        <f t="shared" si="25"/>
        <v>51.972314073560518</v>
      </c>
    </row>
    <row r="215" spans="1:16" x14ac:dyDescent="0.2">
      <c r="A215" s="8">
        <v>106.5</v>
      </c>
      <c r="B215" s="8">
        <v>213</v>
      </c>
      <c r="D215">
        <v>1158.7322497861001</v>
      </c>
      <c r="E215">
        <v>507.39863130881002</v>
      </c>
      <c r="F215">
        <v>156.91494845361001</v>
      </c>
      <c r="G215">
        <v>122.55240549828</v>
      </c>
      <c r="I215" s="9">
        <f t="shared" si="22"/>
        <v>384.84622581053003</v>
      </c>
      <c r="J215" s="9">
        <f t="shared" si="23"/>
        <v>1001.81730133249</v>
      </c>
      <c r="K215" s="9">
        <f t="shared" si="24"/>
        <v>384.84622581053003</v>
      </c>
      <c r="L215" s="10">
        <f t="shared" si="21"/>
        <v>0.38414811293302331</v>
      </c>
      <c r="M215" s="10">
        <f t="shared" si="20"/>
        <v>0.39546028228880792</v>
      </c>
      <c r="P215" s="8">
        <f t="shared" si="25"/>
        <v>64.808240472754591</v>
      </c>
    </row>
    <row r="216" spans="1:16" x14ac:dyDescent="0.2">
      <c r="A216" s="8">
        <v>107</v>
      </c>
      <c r="B216" s="8">
        <v>214</v>
      </c>
      <c r="D216">
        <v>1166.1479897347999</v>
      </c>
      <c r="E216">
        <v>513.05560307956</v>
      </c>
      <c r="F216">
        <v>156.67182130584001</v>
      </c>
      <c r="G216">
        <v>122.51030927834999</v>
      </c>
      <c r="I216" s="9">
        <f t="shared" si="22"/>
        <v>390.54529380120999</v>
      </c>
      <c r="J216" s="9">
        <f t="shared" si="23"/>
        <v>1009.4761684289599</v>
      </c>
      <c r="K216" s="9">
        <f t="shared" si="24"/>
        <v>390.54529380120999</v>
      </c>
      <c r="L216" s="10">
        <f t="shared" si="21"/>
        <v>0.38687916170325515</v>
      </c>
      <c r="M216" s="10">
        <f t="shared" si="20"/>
        <v>0.39824443983535801</v>
      </c>
      <c r="P216" s="8">
        <f t="shared" si="25"/>
        <v>65.968539311844481</v>
      </c>
    </row>
    <row r="217" spans="1:16" x14ac:dyDescent="0.2">
      <c r="A217" s="8">
        <v>107.5</v>
      </c>
      <c r="B217" s="8">
        <v>215</v>
      </c>
      <c r="D217">
        <v>1123.1257485030001</v>
      </c>
      <c r="E217">
        <v>490.15226689477998</v>
      </c>
      <c r="F217">
        <v>157.4441580756</v>
      </c>
      <c r="G217">
        <v>122.18986254296</v>
      </c>
      <c r="I217" s="9">
        <f t="shared" si="22"/>
        <v>367.96240435182</v>
      </c>
      <c r="J217" s="9">
        <f t="shared" si="23"/>
        <v>965.68159042740012</v>
      </c>
      <c r="K217" s="9">
        <f t="shared" si="24"/>
        <v>367.96240435182</v>
      </c>
      <c r="L217" s="10">
        <f t="shared" si="21"/>
        <v>0.38103905883611583</v>
      </c>
      <c r="M217" s="10">
        <f t="shared" si="20"/>
        <v>0.39245744574453689</v>
      </c>
      <c r="P217" s="8">
        <f t="shared" si="25"/>
        <v>63.556807068559607</v>
      </c>
    </row>
    <row r="218" spans="1:16" x14ac:dyDescent="0.2">
      <c r="A218" s="8">
        <v>108</v>
      </c>
      <c r="B218" s="8">
        <v>216</v>
      </c>
      <c r="D218">
        <v>1170.1112061591</v>
      </c>
      <c r="E218">
        <v>500.24037639007997</v>
      </c>
      <c r="F218">
        <v>156.54896907217</v>
      </c>
      <c r="G218">
        <v>122.07817869416</v>
      </c>
      <c r="I218" s="9">
        <f t="shared" si="22"/>
        <v>378.16219769591999</v>
      </c>
      <c r="J218" s="9">
        <f t="shared" si="23"/>
        <v>1013.5622370869301</v>
      </c>
      <c r="K218" s="9">
        <f t="shared" si="24"/>
        <v>378.16219769591999</v>
      </c>
      <c r="L218" s="10">
        <f t="shared" si="21"/>
        <v>0.37310209857738236</v>
      </c>
      <c r="M218" s="10">
        <f t="shared" si="20"/>
        <v>0.38457359426212168</v>
      </c>
      <c r="P218" s="8">
        <f t="shared" si="25"/>
        <v>60.271208617445218</v>
      </c>
    </row>
    <row r="219" spans="1:16" x14ac:dyDescent="0.2">
      <c r="A219" s="8">
        <v>108.5</v>
      </c>
      <c r="B219" s="8">
        <v>217</v>
      </c>
      <c r="D219">
        <v>1159.6928999145</v>
      </c>
      <c r="E219">
        <v>494.43028229255998</v>
      </c>
      <c r="F219">
        <v>156.60051546392</v>
      </c>
      <c r="G219">
        <v>122.55412371134</v>
      </c>
      <c r="I219" s="9">
        <f t="shared" si="22"/>
        <v>371.87615858122001</v>
      </c>
      <c r="J219" s="9">
        <f t="shared" si="23"/>
        <v>1003.09238445058</v>
      </c>
      <c r="K219" s="9">
        <f t="shared" si="24"/>
        <v>371.87615858122001</v>
      </c>
      <c r="L219" s="10">
        <f t="shared" si="21"/>
        <v>0.37072971976046487</v>
      </c>
      <c r="M219" s="10">
        <f t="shared" si="20"/>
        <v>0.38225432422152245</v>
      </c>
      <c r="P219" s="8">
        <f t="shared" si="25"/>
        <v>59.304651843753376</v>
      </c>
    </row>
    <row r="220" spans="1:16" x14ac:dyDescent="0.2">
      <c r="A220" s="8">
        <v>109</v>
      </c>
      <c r="B220" s="8">
        <v>218</v>
      </c>
      <c r="D220">
        <v>1144.5166809238999</v>
      </c>
      <c r="E220">
        <v>481.04533789563999</v>
      </c>
      <c r="F220">
        <v>156.96219931272</v>
      </c>
      <c r="G220">
        <v>121.87371134020999</v>
      </c>
      <c r="I220" s="9">
        <f t="shared" si="22"/>
        <v>359.17162655543001</v>
      </c>
      <c r="J220" s="9">
        <f t="shared" si="23"/>
        <v>987.55448161117988</v>
      </c>
      <c r="K220" s="9">
        <f t="shared" si="24"/>
        <v>359.17162655543001</v>
      </c>
      <c r="L220" s="10">
        <f t="shared" si="21"/>
        <v>0.36369803716494409</v>
      </c>
      <c r="M220" s="10">
        <f t="shared" si="20"/>
        <v>0.37527575040231986</v>
      </c>
      <c r="P220" s="8">
        <f t="shared" si="25"/>
        <v>56.396328242972494</v>
      </c>
    </row>
    <row r="221" spans="1:16" x14ac:dyDescent="0.2">
      <c r="A221" s="8">
        <v>109.5</v>
      </c>
      <c r="B221" s="8">
        <v>219</v>
      </c>
      <c r="D221">
        <v>1122.4328485885001</v>
      </c>
      <c r="E221">
        <v>464.56287425149998</v>
      </c>
      <c r="F221">
        <v>156.60223367698001</v>
      </c>
      <c r="G221">
        <v>122.69158075601</v>
      </c>
      <c r="I221" s="9">
        <f t="shared" si="22"/>
        <v>341.87129349548997</v>
      </c>
      <c r="J221" s="9">
        <f t="shared" si="23"/>
        <v>965.83061491152012</v>
      </c>
      <c r="K221" s="9">
        <f t="shared" si="24"/>
        <v>341.87129349548997</v>
      </c>
      <c r="L221" s="10">
        <f t="shared" si="21"/>
        <v>0.35396609738531515</v>
      </c>
      <c r="M221" s="10">
        <f t="shared" si="20"/>
        <v>0.36559691939900918</v>
      </c>
      <c r="P221" s="8">
        <f t="shared" si="25"/>
        <v>52.362671314755801</v>
      </c>
    </row>
    <row r="222" spans="1:16" x14ac:dyDescent="0.2">
      <c r="A222" s="8">
        <v>110</v>
      </c>
      <c r="B222" s="8">
        <v>220</v>
      </c>
      <c r="D222">
        <v>1149.1847733105001</v>
      </c>
      <c r="E222">
        <v>467.64499572284001</v>
      </c>
      <c r="F222">
        <v>156.25687285223</v>
      </c>
      <c r="G222">
        <v>122.29467353952001</v>
      </c>
      <c r="I222" s="9">
        <f t="shared" si="22"/>
        <v>345.35032218332003</v>
      </c>
      <c r="J222" s="9">
        <f t="shared" si="23"/>
        <v>992.92790045827007</v>
      </c>
      <c r="K222" s="9">
        <f t="shared" si="24"/>
        <v>345.35032218332003</v>
      </c>
      <c r="L222" s="10">
        <f t="shared" si="21"/>
        <v>0.3478100696172694</v>
      </c>
      <c r="M222" s="10">
        <f t="shared" si="20"/>
        <v>0.35949400040728169</v>
      </c>
      <c r="P222" s="8">
        <f t="shared" si="25"/>
        <v>49.819277234943222</v>
      </c>
    </row>
    <row r="223" spans="1:16" x14ac:dyDescent="0.2">
      <c r="A223" s="8">
        <v>110.5</v>
      </c>
      <c r="B223" s="8">
        <v>221</v>
      </c>
      <c r="D223">
        <v>1165.4422583405001</v>
      </c>
      <c r="E223">
        <v>467.13344739092997</v>
      </c>
      <c r="F223">
        <v>156.50687285223</v>
      </c>
      <c r="G223">
        <v>122.00085910653</v>
      </c>
      <c r="I223" s="9">
        <f t="shared" si="22"/>
        <v>345.13258828439996</v>
      </c>
      <c r="J223" s="9">
        <f t="shared" si="23"/>
        <v>1008.9353854882701</v>
      </c>
      <c r="K223" s="9">
        <f t="shared" si="24"/>
        <v>345.13258828439996</v>
      </c>
      <c r="L223" s="10">
        <f t="shared" si="21"/>
        <v>0.34207600729294918</v>
      </c>
      <c r="M223" s="10">
        <f t="shared" si="20"/>
        <v>0.35381304685927967</v>
      </c>
      <c r="P223" s="8">
        <f t="shared" si="25"/>
        <v>47.45173743288062</v>
      </c>
    </row>
    <row r="224" spans="1:16" x14ac:dyDescent="0.2">
      <c r="A224" s="8">
        <v>111</v>
      </c>
      <c r="B224" s="8">
        <v>222</v>
      </c>
      <c r="D224">
        <v>1167.2232677502</v>
      </c>
      <c r="E224">
        <v>464.10692899915</v>
      </c>
      <c r="F224">
        <v>156.735395189</v>
      </c>
      <c r="G224">
        <v>122.09020618557</v>
      </c>
      <c r="I224" s="9">
        <f t="shared" si="22"/>
        <v>342.01672281358003</v>
      </c>
      <c r="J224" s="9">
        <f t="shared" si="23"/>
        <v>1010.4878725612</v>
      </c>
      <c r="K224" s="9">
        <f t="shared" si="24"/>
        <v>342.01672281358003</v>
      </c>
      <c r="L224" s="10">
        <f t="shared" si="21"/>
        <v>0.33846692483968022</v>
      </c>
      <c r="M224" s="10">
        <f t="shared" si="20"/>
        <v>0.35025707318232896</v>
      </c>
      <c r="P224" s="8">
        <f t="shared" si="25"/>
        <v>45.969783893896192</v>
      </c>
    </row>
    <row r="225" spans="1:16" x14ac:dyDescent="0.2">
      <c r="A225" s="8">
        <v>111.5</v>
      </c>
      <c r="B225" s="8">
        <v>223</v>
      </c>
      <c r="D225">
        <v>1160.0846877673</v>
      </c>
      <c r="E225">
        <v>468.16338751068997</v>
      </c>
      <c r="F225">
        <v>156.8470790378</v>
      </c>
      <c r="G225">
        <v>121.93041237113</v>
      </c>
      <c r="I225" s="9">
        <f t="shared" si="22"/>
        <v>346.23297513955998</v>
      </c>
      <c r="J225" s="9">
        <f t="shared" si="23"/>
        <v>1003.2376087295</v>
      </c>
      <c r="K225" s="9">
        <f t="shared" si="24"/>
        <v>346.23297513955998</v>
      </c>
      <c r="L225" s="10">
        <f t="shared" si="21"/>
        <v>0.34511562577685795</v>
      </c>
      <c r="M225" s="10">
        <f t="shared" si="20"/>
        <v>0.35695888289582495</v>
      </c>
      <c r="P225" s="8">
        <f t="shared" si="25"/>
        <v>48.762765936168279</v>
      </c>
    </row>
    <row r="226" spans="1:16" x14ac:dyDescent="0.2">
      <c r="A226" s="8">
        <v>112</v>
      </c>
      <c r="B226" s="8">
        <v>224</v>
      </c>
      <c r="D226">
        <v>1163.8819503848999</v>
      </c>
      <c r="E226">
        <v>482.11548331908</v>
      </c>
      <c r="F226">
        <v>156.86254295533001</v>
      </c>
      <c r="G226">
        <v>121.99570446735</v>
      </c>
      <c r="I226" s="9">
        <f t="shared" si="22"/>
        <v>360.11977885173002</v>
      </c>
      <c r="J226" s="9">
        <f t="shared" si="23"/>
        <v>1007.0194074295699</v>
      </c>
      <c r="K226" s="9">
        <f t="shared" si="24"/>
        <v>360.11977885173002</v>
      </c>
      <c r="L226" s="10">
        <f t="shared" si="21"/>
        <v>0.35760957156817902</v>
      </c>
      <c r="M226" s="10">
        <f t="shared" si="20"/>
        <v>0.36950593746346422</v>
      </c>
      <c r="P226" s="8">
        <f t="shared" si="25"/>
        <v>53.991756252060718</v>
      </c>
    </row>
    <row r="227" spans="1:16" x14ac:dyDescent="0.2">
      <c r="A227" s="8">
        <v>112.5</v>
      </c>
      <c r="B227" s="8">
        <v>225</v>
      </c>
      <c r="D227">
        <v>1126.3524379812</v>
      </c>
      <c r="E227">
        <v>455.19418306245001</v>
      </c>
      <c r="F227">
        <v>157.33762886598001</v>
      </c>
      <c r="G227">
        <v>122.45189003436001</v>
      </c>
      <c r="I227" s="9">
        <f t="shared" si="22"/>
        <v>332.74229302808999</v>
      </c>
      <c r="J227" s="9">
        <f t="shared" si="23"/>
        <v>969.01480911521992</v>
      </c>
      <c r="K227" s="9">
        <f t="shared" si="24"/>
        <v>332.74229302808999</v>
      </c>
      <c r="L227" s="10">
        <f t="shared" si="21"/>
        <v>0.34338205143831352</v>
      </c>
      <c r="M227" s="10">
        <f t="shared" si="20"/>
        <v>0.35533152610991697</v>
      </c>
      <c r="P227" s="8">
        <f t="shared" si="25"/>
        <v>48.084564305009224</v>
      </c>
    </row>
    <row r="228" spans="1:16" x14ac:dyDescent="0.2">
      <c r="A228" s="8">
        <v>113</v>
      </c>
      <c r="B228" s="8">
        <v>226</v>
      </c>
      <c r="D228">
        <v>1037.3909324209001</v>
      </c>
      <c r="E228">
        <v>414.94525235243998</v>
      </c>
      <c r="F228">
        <v>156.79553264604999</v>
      </c>
      <c r="G228">
        <v>121.83161512028001</v>
      </c>
      <c r="I228" s="9">
        <f t="shared" si="22"/>
        <v>293.11363723215999</v>
      </c>
      <c r="J228" s="9">
        <f t="shared" si="23"/>
        <v>880.59539977485008</v>
      </c>
      <c r="K228" s="9">
        <f t="shared" si="24"/>
        <v>293.11363723215999</v>
      </c>
      <c r="L228" s="10">
        <f t="shared" si="21"/>
        <v>0.33285846974342931</v>
      </c>
      <c r="M228" s="10">
        <f t="shared" si="20"/>
        <v>0.34486105319135102</v>
      </c>
      <c r="P228" s="8">
        <f t="shared" si="25"/>
        <v>43.72099027264597</v>
      </c>
    </row>
    <row r="229" spans="1:16" x14ac:dyDescent="0.2">
      <c r="A229" s="8">
        <v>113.5</v>
      </c>
      <c r="B229" s="8">
        <v>227</v>
      </c>
      <c r="D229">
        <v>1125.2806866952999</v>
      </c>
      <c r="E229">
        <v>429.32360515021998</v>
      </c>
      <c r="F229">
        <v>156.40721649484999</v>
      </c>
      <c r="G229">
        <v>121.59020618557</v>
      </c>
      <c r="I229" s="9">
        <f t="shared" si="22"/>
        <v>307.73339896464995</v>
      </c>
      <c r="J229" s="9">
        <f t="shared" si="23"/>
        <v>968.8734702004499</v>
      </c>
      <c r="K229" s="9">
        <f t="shared" si="24"/>
        <v>307.73339896464995</v>
      </c>
      <c r="L229" s="10">
        <f t="shared" si="21"/>
        <v>0.31761980117071748</v>
      </c>
      <c r="M229" s="10">
        <f t="shared" si="20"/>
        <v>0.32967549339495739</v>
      </c>
      <c r="P229" s="8">
        <f t="shared" si="25"/>
        <v>37.39240178291822</v>
      </c>
    </row>
    <row r="230" spans="1:16" x14ac:dyDescent="0.2">
      <c r="A230" s="8">
        <v>114</v>
      </c>
      <c r="B230" s="8">
        <v>228</v>
      </c>
      <c r="D230">
        <v>1116.9682403434001</v>
      </c>
      <c r="E230">
        <v>415.41974248926999</v>
      </c>
      <c r="F230">
        <v>156.76890034364001</v>
      </c>
      <c r="G230">
        <v>121.25085910653</v>
      </c>
      <c r="I230" s="9">
        <f t="shared" si="22"/>
        <v>294.16888338273998</v>
      </c>
      <c r="J230" s="9">
        <f t="shared" si="23"/>
        <v>960.19933999976013</v>
      </c>
      <c r="K230" s="9">
        <f t="shared" si="24"/>
        <v>294.16888338273998</v>
      </c>
      <c r="L230" s="10">
        <f t="shared" si="21"/>
        <v>0.30636230533423764</v>
      </c>
      <c r="M230" s="10">
        <f t="shared" si="20"/>
        <v>0.31847110633479581</v>
      </c>
      <c r="P230" s="8">
        <f t="shared" si="25"/>
        <v>32.722968720580091</v>
      </c>
    </row>
    <row r="231" spans="1:16" x14ac:dyDescent="0.2">
      <c r="A231" s="8">
        <v>114.5</v>
      </c>
      <c r="B231" s="8">
        <v>229</v>
      </c>
      <c r="D231">
        <v>1171.6942783945001</v>
      </c>
      <c r="E231">
        <v>430.24167378308999</v>
      </c>
      <c r="F231">
        <v>157.10738831615001</v>
      </c>
      <c r="G231">
        <v>121.96134020619</v>
      </c>
      <c r="I231" s="9">
        <f t="shared" si="22"/>
        <v>308.28033357689998</v>
      </c>
      <c r="J231" s="9">
        <f t="shared" si="23"/>
        <v>1014.5868900783501</v>
      </c>
      <c r="K231" s="9">
        <f t="shared" si="24"/>
        <v>308.28033357689998</v>
      </c>
      <c r="L231" s="10">
        <f t="shared" si="21"/>
        <v>0.30384813424219731</v>
      </c>
      <c r="M231" s="10">
        <f t="shared" si="20"/>
        <v>0.31601004401907373</v>
      </c>
      <c r="P231" s="8">
        <f t="shared" si="25"/>
        <v>31.697319956055768</v>
      </c>
    </row>
    <row r="232" spans="1:16" x14ac:dyDescent="0.2">
      <c r="A232" s="8">
        <v>115</v>
      </c>
      <c r="B232" s="8">
        <v>230</v>
      </c>
      <c r="D232">
        <v>1162.6638152267001</v>
      </c>
      <c r="E232">
        <v>430.91445680068</v>
      </c>
      <c r="F232">
        <v>155.83762886598001</v>
      </c>
      <c r="G232">
        <v>122.30326460481</v>
      </c>
      <c r="I232" s="9">
        <f t="shared" si="22"/>
        <v>308.61119219586999</v>
      </c>
      <c r="J232" s="9">
        <f t="shared" si="23"/>
        <v>1006.82618636072</v>
      </c>
      <c r="K232" s="9">
        <f t="shared" si="24"/>
        <v>308.61119219586999</v>
      </c>
      <c r="L232" s="10">
        <f t="shared" si="21"/>
        <v>0.30651883748810493</v>
      </c>
      <c r="M232" s="10">
        <f t="shared" si="20"/>
        <v>0.31873385604129956</v>
      </c>
      <c r="P232" s="8">
        <f t="shared" si="25"/>
        <v>32.832469772273555</v>
      </c>
    </row>
    <row r="233" spans="1:16" x14ac:dyDescent="0.2">
      <c r="A233" s="8">
        <v>115.5</v>
      </c>
      <c r="B233" s="8">
        <v>231</v>
      </c>
      <c r="D233">
        <v>1165.3815226690001</v>
      </c>
      <c r="E233">
        <v>440.07698887938</v>
      </c>
      <c r="F233">
        <v>156.30927835052</v>
      </c>
      <c r="G233">
        <v>122.17268041237</v>
      </c>
      <c r="I233" s="9">
        <f t="shared" si="22"/>
        <v>317.90430846700997</v>
      </c>
      <c r="J233" s="9">
        <f t="shared" si="23"/>
        <v>1009.0722443184801</v>
      </c>
      <c r="K233" s="9">
        <f t="shared" si="24"/>
        <v>317.90430846700997</v>
      </c>
      <c r="L233" s="10">
        <f t="shared" si="21"/>
        <v>0.31504613297704981</v>
      </c>
      <c r="M233" s="10">
        <f t="shared" si="20"/>
        <v>0.32731426030656269</v>
      </c>
      <c r="P233" s="8">
        <f t="shared" si="25"/>
        <v>36.408356891248985</v>
      </c>
    </row>
    <row r="234" spans="1:16" x14ac:dyDescent="0.2">
      <c r="A234" s="8">
        <v>116</v>
      </c>
      <c r="B234" s="8">
        <v>232</v>
      </c>
      <c r="D234">
        <v>1220.3062446536001</v>
      </c>
      <c r="E234">
        <v>461.09751924722002</v>
      </c>
      <c r="F234">
        <v>156.42869415807999</v>
      </c>
      <c r="G234">
        <v>121.73367697595</v>
      </c>
      <c r="I234" s="9">
        <f t="shared" si="22"/>
        <v>339.36384227127002</v>
      </c>
      <c r="J234" s="9">
        <f t="shared" si="23"/>
        <v>1063.8775504955202</v>
      </c>
      <c r="K234" s="9">
        <f t="shared" si="24"/>
        <v>339.36384227127002</v>
      </c>
      <c r="L234" s="10">
        <f t="shared" si="21"/>
        <v>0.31898768999609511</v>
      </c>
      <c r="M234" s="10">
        <f t="shared" si="20"/>
        <v>0.33130892610192625</v>
      </c>
      <c r="P234" s="8">
        <f t="shared" si="25"/>
        <v>38.073135556757961</v>
      </c>
    </row>
    <row r="235" spans="1:16" x14ac:dyDescent="0.2">
      <c r="A235" s="8">
        <v>116.5</v>
      </c>
      <c r="B235" s="8">
        <v>233</v>
      </c>
      <c r="D235">
        <v>1224.7390932420999</v>
      </c>
      <c r="E235">
        <v>466.96065012832003</v>
      </c>
      <c r="F235">
        <v>155.93041237112999</v>
      </c>
      <c r="G235">
        <v>121.8410652921</v>
      </c>
      <c r="I235" s="9">
        <f t="shared" si="22"/>
        <v>345.11958483622004</v>
      </c>
      <c r="J235" s="9">
        <f t="shared" si="23"/>
        <v>1068.80868087097</v>
      </c>
      <c r="K235" s="9">
        <f t="shared" si="24"/>
        <v>345.11958483622004</v>
      </c>
      <c r="L235" s="10">
        <f t="shared" si="21"/>
        <v>0.322901180550838</v>
      </c>
      <c r="M235" s="10">
        <f t="shared" si="20"/>
        <v>0.33527552543298733</v>
      </c>
      <c r="P235" s="8">
        <f t="shared" si="25"/>
        <v>39.726217511357788</v>
      </c>
    </row>
    <row r="236" spans="1:16" x14ac:dyDescent="0.2">
      <c r="A236" s="8">
        <v>117</v>
      </c>
      <c r="B236" s="8">
        <v>234</v>
      </c>
      <c r="D236">
        <v>1182.8930710008999</v>
      </c>
      <c r="E236">
        <v>464.07442258341001</v>
      </c>
      <c r="F236">
        <v>156.36426116838999</v>
      </c>
      <c r="G236">
        <v>122.23109965636</v>
      </c>
      <c r="I236" s="9">
        <f t="shared" si="22"/>
        <v>341.84332292705</v>
      </c>
      <c r="J236" s="9">
        <f t="shared" si="23"/>
        <v>1026.52880983251</v>
      </c>
      <c r="K236" s="9">
        <f t="shared" si="24"/>
        <v>341.84332292705</v>
      </c>
      <c r="L236" s="10">
        <f t="shared" si="21"/>
        <v>0.33300899073921331</v>
      </c>
      <c r="M236" s="10">
        <f t="shared" si="20"/>
        <v>0.3454364443976809</v>
      </c>
      <c r="P236" s="8">
        <f t="shared" si="25"/>
        <v>43.960784802073505</v>
      </c>
    </row>
    <row r="237" spans="1:16" x14ac:dyDescent="0.2">
      <c r="A237" s="8">
        <v>117.5</v>
      </c>
      <c r="B237" s="8">
        <v>235</v>
      </c>
      <c r="D237">
        <v>1157.5124037639</v>
      </c>
      <c r="E237">
        <v>449.30196749357998</v>
      </c>
      <c r="F237">
        <v>156.42869415807999</v>
      </c>
      <c r="G237">
        <v>122.4175257732</v>
      </c>
      <c r="I237" s="9">
        <f t="shared" si="22"/>
        <v>326.88444172037998</v>
      </c>
      <c r="J237" s="9">
        <f t="shared" si="23"/>
        <v>1001.08370960582</v>
      </c>
      <c r="K237" s="9">
        <f t="shared" si="24"/>
        <v>326.88444172037998</v>
      </c>
      <c r="L237" s="10">
        <f t="shared" si="21"/>
        <v>0.32653057739706082</v>
      </c>
      <c r="M237" s="10">
        <f t="shared" si="20"/>
        <v>0.33901113983184666</v>
      </c>
      <c r="P237" s="8">
        <f t="shared" si="25"/>
        <v>41.283036397435133</v>
      </c>
    </row>
    <row r="238" spans="1:16" x14ac:dyDescent="0.2">
      <c r="A238" s="8">
        <v>118</v>
      </c>
      <c r="B238" s="8">
        <v>236</v>
      </c>
      <c r="D238">
        <v>1124.2121471343</v>
      </c>
      <c r="E238">
        <v>429.75363558597002</v>
      </c>
      <c r="F238">
        <v>156.33075601375</v>
      </c>
      <c r="G238">
        <v>122.06271477663</v>
      </c>
      <c r="I238" s="9">
        <f t="shared" si="22"/>
        <v>307.69092080934001</v>
      </c>
      <c r="J238" s="9">
        <f t="shared" si="23"/>
        <v>967.88139112055001</v>
      </c>
      <c r="K238" s="9">
        <f t="shared" si="24"/>
        <v>307.69092080934001</v>
      </c>
      <c r="L238" s="10">
        <f t="shared" si="21"/>
        <v>0.3179014739121242</v>
      </c>
      <c r="M238" s="10">
        <f t="shared" si="20"/>
        <v>0.33043514512322825</v>
      </c>
      <c r="P238" s="8">
        <f t="shared" si="25"/>
        <v>37.708986963062749</v>
      </c>
    </row>
    <row r="239" spans="1:16" x14ac:dyDescent="0.2">
      <c r="A239" s="8">
        <v>118.5</v>
      </c>
      <c r="B239" s="8">
        <v>237</v>
      </c>
      <c r="D239">
        <v>1083.2095808383001</v>
      </c>
      <c r="E239">
        <v>408.75449101795999</v>
      </c>
      <c r="F239">
        <v>156.14003436426</v>
      </c>
      <c r="G239">
        <v>122.29209621993</v>
      </c>
      <c r="I239" s="9">
        <f t="shared" si="22"/>
        <v>286.46239479803</v>
      </c>
      <c r="J239" s="9">
        <f t="shared" si="23"/>
        <v>927.06954647404007</v>
      </c>
      <c r="K239" s="9">
        <f t="shared" si="24"/>
        <v>286.46239479803</v>
      </c>
      <c r="L239" s="10">
        <f t="shared" si="21"/>
        <v>0.30899774012375192</v>
      </c>
      <c r="M239" s="10">
        <f t="shared" si="20"/>
        <v>0.32158452011117422</v>
      </c>
      <c r="P239" s="8">
        <f t="shared" si="25"/>
        <v>34.020485233183571</v>
      </c>
    </row>
    <row r="240" spans="1:16" x14ac:dyDescent="0.2">
      <c r="A240" s="8">
        <v>119</v>
      </c>
      <c r="B240" s="8">
        <v>238</v>
      </c>
      <c r="D240">
        <v>1117.4148845167001</v>
      </c>
      <c r="E240">
        <v>409.36099230111</v>
      </c>
      <c r="F240">
        <v>156.21649484535999</v>
      </c>
      <c r="G240">
        <v>121.85910652921</v>
      </c>
      <c r="I240" s="9">
        <f t="shared" si="22"/>
        <v>287.50188577189999</v>
      </c>
      <c r="J240" s="9">
        <f t="shared" si="23"/>
        <v>961.19838967134012</v>
      </c>
      <c r="K240" s="9">
        <f t="shared" si="24"/>
        <v>287.50188577189999</v>
      </c>
      <c r="L240" s="10">
        <f t="shared" si="21"/>
        <v>0.29910774805834278</v>
      </c>
      <c r="M240" s="10">
        <f t="shared" si="20"/>
        <v>0.31174763682208334</v>
      </c>
      <c r="P240" s="8">
        <f t="shared" si="25"/>
        <v>29.920959947792369</v>
      </c>
    </row>
    <row r="241" spans="1:16" x14ac:dyDescent="0.2">
      <c r="A241" s="8">
        <v>119.5</v>
      </c>
      <c r="B241" s="8">
        <v>239</v>
      </c>
      <c r="D241">
        <v>1115.8468776732</v>
      </c>
      <c r="E241">
        <v>401.35671514115</v>
      </c>
      <c r="F241">
        <v>155.38573883161999</v>
      </c>
      <c r="G241">
        <v>121.95618556701</v>
      </c>
      <c r="I241" s="9">
        <f t="shared" si="22"/>
        <v>279.40052957414002</v>
      </c>
      <c r="J241" s="9">
        <f t="shared" si="23"/>
        <v>960.46113884158001</v>
      </c>
      <c r="K241" s="9">
        <f t="shared" si="24"/>
        <v>279.40052957414002</v>
      </c>
      <c r="L241" s="10">
        <f t="shared" si="21"/>
        <v>0.29090248243789152</v>
      </c>
      <c r="M241" s="10">
        <f t="shared" si="20"/>
        <v>0.30359547997795028</v>
      </c>
      <c r="P241" s="8">
        <f t="shared" si="25"/>
        <v>26.523545123316282</v>
      </c>
    </row>
    <row r="242" spans="1:16" x14ac:dyDescent="0.2">
      <c r="A242" s="8">
        <v>120</v>
      </c>
      <c r="B242" s="8">
        <v>240</v>
      </c>
      <c r="D242">
        <v>1124.5962360992</v>
      </c>
      <c r="E242">
        <v>402.35842600513001</v>
      </c>
      <c r="F242">
        <v>156.46391752577</v>
      </c>
      <c r="G242">
        <v>121.54467353952001</v>
      </c>
      <c r="I242" s="9">
        <f>E242-G242</f>
        <v>280.81375246561004</v>
      </c>
      <c r="J242" s="9">
        <f>D242-F242</f>
        <v>968.13231857342998</v>
      </c>
      <c r="K242" s="9">
        <f t="shared" si="24"/>
        <v>280.81375246561004</v>
      </c>
      <c r="L242" s="10">
        <f t="shared" si="21"/>
        <v>0.29005720300650323</v>
      </c>
      <c r="M242" s="10">
        <f>L242+ABS($N$2)*A242</f>
        <v>0.30280330932288024</v>
      </c>
      <c r="O242" s="11"/>
      <c r="P242" s="8">
        <f>(M242-$O$2)/$O$2*100</f>
        <v>26.193407666627532</v>
      </c>
    </row>
    <row r="243" spans="1:16" x14ac:dyDescent="0.2">
      <c r="A243" s="8">
        <v>120.5</v>
      </c>
      <c r="B243" s="8">
        <v>241</v>
      </c>
      <c r="D243">
        <v>1143.4234388366001</v>
      </c>
      <c r="E243">
        <v>408.10949529511998</v>
      </c>
      <c r="F243">
        <v>156.5412371134</v>
      </c>
      <c r="G243">
        <v>121.87113402062</v>
      </c>
      <c r="I243" s="9">
        <f t="shared" ref="I243:I274" si="26">E243-G243</f>
        <v>286.23836127449999</v>
      </c>
      <c r="J243" s="9">
        <f t="shared" ref="J243:J274" si="27">D243-F243</f>
        <v>986.88220172320007</v>
      </c>
      <c r="K243" s="9">
        <f t="shared" si="24"/>
        <v>286.23836127449999</v>
      </c>
      <c r="L243" s="10">
        <f t="shared" si="21"/>
        <v>0.29004308799439055</v>
      </c>
      <c r="M243" s="10">
        <f t="shared" ref="M243:M274" si="28">L243+ABS($N$2)*A243</f>
        <v>0.30284230308708582</v>
      </c>
      <c r="P243" s="8">
        <f t="shared" ref="P243:P274" si="29">(M243-$O$2)/$O$2*100</f>
        <v>26.209658334408719</v>
      </c>
    </row>
    <row r="244" spans="1:16" x14ac:dyDescent="0.2">
      <c r="A244" s="8">
        <v>121</v>
      </c>
      <c r="B244" s="8">
        <v>242</v>
      </c>
      <c r="D244">
        <v>1137.7502138580001</v>
      </c>
      <c r="E244">
        <v>400.16937553464999</v>
      </c>
      <c r="F244">
        <v>156.72079037801001</v>
      </c>
      <c r="G244">
        <v>122.14175257732001</v>
      </c>
      <c r="I244" s="9">
        <f t="shared" si="26"/>
        <v>278.02762295732998</v>
      </c>
      <c r="J244" s="9">
        <f t="shared" si="27"/>
        <v>981.0294234799901</v>
      </c>
      <c r="K244" s="9">
        <f t="shared" si="24"/>
        <v>278.02762295732998</v>
      </c>
      <c r="L244" s="10">
        <f t="shared" si="21"/>
        <v>0.28340395945626889</v>
      </c>
      <c r="M244" s="10">
        <f t="shared" si="28"/>
        <v>0.29625628332528237</v>
      </c>
      <c r="N244" s="1"/>
      <c r="P244" s="8">
        <f t="shared" si="29"/>
        <v>23.464931803644454</v>
      </c>
    </row>
    <row r="245" spans="1:16" x14ac:dyDescent="0.2">
      <c r="A245" s="8">
        <v>121.5</v>
      </c>
      <c r="B245" s="8">
        <v>243</v>
      </c>
      <c r="D245">
        <v>1129.6441402908999</v>
      </c>
      <c r="E245">
        <v>398.10692899915</v>
      </c>
      <c r="F245">
        <v>156.46735395189</v>
      </c>
      <c r="G245">
        <v>122.13917525773</v>
      </c>
      <c r="I245" s="9">
        <f t="shared" si="26"/>
        <v>275.96775374141998</v>
      </c>
      <c r="J245" s="9">
        <f t="shared" si="27"/>
        <v>973.17678633900994</v>
      </c>
      <c r="K245" s="9">
        <f t="shared" si="24"/>
        <v>275.96775374141998</v>
      </c>
      <c r="L245" s="10">
        <f t="shared" si="21"/>
        <v>0.28357412303224167</v>
      </c>
      <c r="M245" s="10">
        <f t="shared" si="28"/>
        <v>0.29647955567757339</v>
      </c>
      <c r="P245" s="8">
        <f t="shared" si="29"/>
        <v>23.557980651216013</v>
      </c>
    </row>
    <row r="246" spans="1:16" x14ac:dyDescent="0.2">
      <c r="A246" s="8">
        <v>122</v>
      </c>
      <c r="B246" s="8">
        <v>244</v>
      </c>
      <c r="D246">
        <v>1122.9247219846</v>
      </c>
      <c r="E246">
        <v>395.33105218135</v>
      </c>
      <c r="F246">
        <v>155.57302405498001</v>
      </c>
      <c r="G246">
        <v>121.82989690722</v>
      </c>
      <c r="I246" s="9">
        <f t="shared" si="26"/>
        <v>273.50115527412999</v>
      </c>
      <c r="J246" s="9">
        <f t="shared" si="27"/>
        <v>967.35169792961995</v>
      </c>
      <c r="K246" s="9">
        <f t="shared" si="24"/>
        <v>273.50115527412999</v>
      </c>
      <c r="L246" s="10">
        <f t="shared" si="21"/>
        <v>0.28273187079682849</v>
      </c>
      <c r="M246" s="10">
        <f t="shared" si="28"/>
        <v>0.29569041221847847</v>
      </c>
      <c r="P246" s="8">
        <f t="shared" si="29"/>
        <v>23.229104779734602</v>
      </c>
    </row>
    <row r="247" spans="1:16" x14ac:dyDescent="0.2">
      <c r="A247" s="8">
        <v>122.5</v>
      </c>
      <c r="B247" s="8">
        <v>245</v>
      </c>
      <c r="D247">
        <v>1137.5782720274001</v>
      </c>
      <c r="E247">
        <v>398.53122326775002</v>
      </c>
      <c r="F247">
        <v>156.19845360824999</v>
      </c>
      <c r="G247">
        <v>121.92010309278</v>
      </c>
      <c r="I247" s="9">
        <f t="shared" si="26"/>
        <v>276.61112017497004</v>
      </c>
      <c r="J247" s="9">
        <f t="shared" si="27"/>
        <v>981.37981841915007</v>
      </c>
      <c r="K247" s="9">
        <f t="shared" si="24"/>
        <v>276.61112017497004</v>
      </c>
      <c r="L247" s="10">
        <f t="shared" si="21"/>
        <v>0.28185939325769654</v>
      </c>
      <c r="M247" s="10">
        <f t="shared" si="28"/>
        <v>0.29487104345566473</v>
      </c>
      <c r="P247" s="8">
        <f t="shared" si="29"/>
        <v>22.887632500101091</v>
      </c>
    </row>
    <row r="248" spans="1:16" x14ac:dyDescent="0.2">
      <c r="A248" s="8">
        <v>123</v>
      </c>
      <c r="B248" s="8">
        <v>246</v>
      </c>
      <c r="D248">
        <v>1139.6698032505999</v>
      </c>
      <c r="E248">
        <v>406.51325919588999</v>
      </c>
      <c r="F248">
        <v>156.04639175258001</v>
      </c>
      <c r="G248">
        <v>121.70446735394999</v>
      </c>
      <c r="I248" s="9">
        <f t="shared" si="26"/>
        <v>284.80879184193998</v>
      </c>
      <c r="J248" s="9">
        <f t="shared" si="27"/>
        <v>983.62341149801989</v>
      </c>
      <c r="K248" s="9">
        <f t="shared" si="24"/>
        <v>284.80879184193998</v>
      </c>
      <c r="L248" s="10">
        <f t="shared" si="21"/>
        <v>0.28955064358237198</v>
      </c>
      <c r="M248" s="10">
        <f t="shared" si="28"/>
        <v>0.30261540255665842</v>
      </c>
      <c r="P248" s="8">
        <f t="shared" si="29"/>
        <v>26.115097442059071</v>
      </c>
    </row>
    <row r="249" spans="1:16" x14ac:dyDescent="0.2">
      <c r="A249" s="8">
        <v>123.5</v>
      </c>
      <c r="B249" s="8">
        <v>247</v>
      </c>
      <c r="D249">
        <v>1143.8494439691999</v>
      </c>
      <c r="E249">
        <v>405.16937553464999</v>
      </c>
      <c r="F249">
        <v>155.75773195875999</v>
      </c>
      <c r="G249">
        <v>121.78264604811</v>
      </c>
      <c r="I249" s="9">
        <f t="shared" si="26"/>
        <v>283.38672948653999</v>
      </c>
      <c r="J249" s="9">
        <f t="shared" si="27"/>
        <v>988.09171201043989</v>
      </c>
      <c r="K249" s="9">
        <f t="shared" si="24"/>
        <v>283.38672948653999</v>
      </c>
      <c r="L249" s="10">
        <f t="shared" si="21"/>
        <v>0.28680205090470973</v>
      </c>
      <c r="M249" s="10">
        <f t="shared" si="28"/>
        <v>0.29991991865531442</v>
      </c>
      <c r="P249" s="8">
        <f t="shared" si="29"/>
        <v>24.991753382240923</v>
      </c>
    </row>
    <row r="250" spans="1:16" x14ac:dyDescent="0.2">
      <c r="A250" s="8">
        <v>124</v>
      </c>
      <c r="B250" s="8">
        <v>248</v>
      </c>
      <c r="D250">
        <v>1140.3450042699001</v>
      </c>
      <c r="E250">
        <v>403.59265584970001</v>
      </c>
      <c r="F250">
        <v>156.40979381443</v>
      </c>
      <c r="G250">
        <v>121.83161512028001</v>
      </c>
      <c r="I250" s="9">
        <f t="shared" si="26"/>
        <v>281.76104072942002</v>
      </c>
      <c r="J250" s="9">
        <f t="shared" si="27"/>
        <v>983.93521045547004</v>
      </c>
      <c r="K250" s="9">
        <f t="shared" si="24"/>
        <v>281.76104072942002</v>
      </c>
      <c r="L250" s="10">
        <f t="shared" si="21"/>
        <v>0.28636137596802841</v>
      </c>
      <c r="M250" s="10">
        <f t="shared" si="28"/>
        <v>0.2995323524949513</v>
      </c>
      <c r="P250" s="8">
        <f t="shared" si="29"/>
        <v>24.830235020430877</v>
      </c>
    </row>
    <row r="251" spans="1:16" x14ac:dyDescent="0.2">
      <c r="A251" s="8">
        <v>124.5</v>
      </c>
      <c r="B251" s="8">
        <v>249</v>
      </c>
      <c r="D251">
        <v>1136.1315115286</v>
      </c>
      <c r="E251">
        <v>399.00085397097001</v>
      </c>
      <c r="F251">
        <v>155.78264604811</v>
      </c>
      <c r="G251">
        <v>121.76804123711</v>
      </c>
      <c r="I251" s="9">
        <f t="shared" si="26"/>
        <v>277.23281273385999</v>
      </c>
      <c r="J251" s="9">
        <f t="shared" si="27"/>
        <v>980.34886548048996</v>
      </c>
      <c r="K251" s="9">
        <f t="shared" si="24"/>
        <v>277.23281273385999</v>
      </c>
      <c r="L251" s="10">
        <f t="shared" si="21"/>
        <v>0.28278995620399094</v>
      </c>
      <c r="M251" s="10">
        <f t="shared" si="28"/>
        <v>0.2960140415072321</v>
      </c>
      <c r="P251" s="8">
        <f t="shared" si="29"/>
        <v>23.363977423167302</v>
      </c>
    </row>
    <row r="252" spans="1:16" x14ac:dyDescent="0.2">
      <c r="A252" s="8">
        <v>125</v>
      </c>
      <c r="B252" s="8">
        <v>250</v>
      </c>
      <c r="D252">
        <v>1118.7053800171</v>
      </c>
      <c r="E252">
        <v>397.60717335611002</v>
      </c>
      <c r="F252">
        <v>156.23797250858999</v>
      </c>
      <c r="G252">
        <v>121.6881443299</v>
      </c>
      <c r="I252" s="9">
        <f t="shared" si="26"/>
        <v>275.91902902621001</v>
      </c>
      <c r="J252" s="9">
        <f t="shared" si="27"/>
        <v>962.46740750850995</v>
      </c>
      <c r="K252" s="9">
        <f t="shared" si="24"/>
        <v>275.91902902621001</v>
      </c>
      <c r="L252" s="10">
        <f t="shared" si="21"/>
        <v>0.28667882867895494</v>
      </c>
      <c r="M252" s="10">
        <f t="shared" si="28"/>
        <v>0.29995602275851435</v>
      </c>
      <c r="P252" s="8">
        <f t="shared" si="29"/>
        <v>25.006799782571669</v>
      </c>
    </row>
    <row r="253" spans="1:16" x14ac:dyDescent="0.2">
      <c r="A253" s="8">
        <v>125.5</v>
      </c>
      <c r="B253" s="8">
        <v>251</v>
      </c>
      <c r="D253">
        <v>1124.6712211785</v>
      </c>
      <c r="E253">
        <v>402.07856532877997</v>
      </c>
      <c r="F253">
        <v>155.93213058418999</v>
      </c>
      <c r="G253">
        <v>121.58848797250999</v>
      </c>
      <c r="I253" s="9">
        <f t="shared" si="26"/>
        <v>280.49007735626998</v>
      </c>
      <c r="J253" s="9">
        <f t="shared" si="27"/>
        <v>968.73909059431003</v>
      </c>
      <c r="K253" s="9">
        <f t="shared" si="24"/>
        <v>280.49007735626998</v>
      </c>
      <c r="L253" s="10">
        <f t="shared" si="21"/>
        <v>0.28954140498675718</v>
      </c>
      <c r="M253" s="10">
        <f t="shared" si="28"/>
        <v>0.30287170784263479</v>
      </c>
      <c r="P253" s="8">
        <f t="shared" si="29"/>
        <v>26.2219127787628</v>
      </c>
    </row>
    <row r="254" spans="1:16" x14ac:dyDescent="0.2">
      <c r="A254" s="8">
        <v>126</v>
      </c>
      <c r="B254" s="8">
        <v>252</v>
      </c>
      <c r="D254">
        <v>1122.7241673783001</v>
      </c>
      <c r="E254">
        <v>393.68403074295998</v>
      </c>
      <c r="F254">
        <v>155.98883161512001</v>
      </c>
      <c r="G254">
        <v>121.96134020619</v>
      </c>
      <c r="I254" s="9">
        <f t="shared" si="26"/>
        <v>271.72269053676996</v>
      </c>
      <c r="J254" s="9">
        <f t="shared" si="27"/>
        <v>966.73533576318005</v>
      </c>
      <c r="K254" s="9">
        <f t="shared" si="24"/>
        <v>271.72269053676996</v>
      </c>
      <c r="L254" s="10">
        <f t="shared" si="21"/>
        <v>0.28107247194213819</v>
      </c>
      <c r="M254" s="10">
        <f t="shared" si="28"/>
        <v>0.29445588357433405</v>
      </c>
      <c r="P254" s="8">
        <f t="shared" si="29"/>
        <v>22.714614443367349</v>
      </c>
    </row>
    <row r="255" spans="1:16" x14ac:dyDescent="0.2">
      <c r="A255" s="8">
        <v>126.5</v>
      </c>
      <c r="B255" s="8">
        <v>253</v>
      </c>
      <c r="D255">
        <v>1114.4816396243</v>
      </c>
      <c r="E255">
        <v>386.07941929973998</v>
      </c>
      <c r="F255">
        <v>156.60395189003</v>
      </c>
      <c r="G255">
        <v>121.96735395189</v>
      </c>
      <c r="I255" s="9">
        <f t="shared" si="26"/>
        <v>264.11206534784998</v>
      </c>
      <c r="J255" s="9">
        <f t="shared" si="27"/>
        <v>957.87768773427001</v>
      </c>
      <c r="K255" s="9">
        <f t="shared" si="24"/>
        <v>264.11206534784998</v>
      </c>
      <c r="L255" s="10">
        <f t="shared" si="21"/>
        <v>0.27572629442133817</v>
      </c>
      <c r="M255" s="10">
        <f t="shared" si="28"/>
        <v>0.28916281482985229</v>
      </c>
      <c r="P255" s="8">
        <f t="shared" si="29"/>
        <v>20.508725797785761</v>
      </c>
    </row>
    <row r="256" spans="1:16" x14ac:dyDescent="0.2">
      <c r="A256" s="8">
        <v>127</v>
      </c>
      <c r="B256" s="8">
        <v>254</v>
      </c>
      <c r="D256">
        <v>1113.7250213493001</v>
      </c>
      <c r="E256">
        <v>380.52006831768</v>
      </c>
      <c r="F256">
        <v>156.22164948454</v>
      </c>
      <c r="G256">
        <v>121.75171821306</v>
      </c>
      <c r="I256" s="9">
        <f t="shared" si="26"/>
        <v>258.76835010462003</v>
      </c>
      <c r="J256" s="9">
        <f t="shared" si="27"/>
        <v>957.50337186476008</v>
      </c>
      <c r="K256" s="9">
        <f t="shared" si="24"/>
        <v>258.76835010462003</v>
      </c>
      <c r="L256" s="10">
        <f t="shared" si="21"/>
        <v>0.27025319984060492</v>
      </c>
      <c r="M256" s="10">
        <f t="shared" si="28"/>
        <v>0.28374282902543724</v>
      </c>
      <c r="P256" s="8">
        <f t="shared" si="29"/>
        <v>18.249944413614799</v>
      </c>
    </row>
    <row r="257" spans="1:16" x14ac:dyDescent="0.2">
      <c r="A257" s="8">
        <v>127.5</v>
      </c>
      <c r="B257" s="8">
        <v>255</v>
      </c>
      <c r="D257">
        <v>1120.4543125534001</v>
      </c>
      <c r="E257">
        <v>377.33134073442</v>
      </c>
      <c r="F257">
        <v>156.28436426117</v>
      </c>
      <c r="G257">
        <v>121.76632302406</v>
      </c>
      <c r="I257" s="9">
        <f t="shared" si="26"/>
        <v>255.56501771036</v>
      </c>
      <c r="J257" s="9">
        <f t="shared" si="27"/>
        <v>964.16994829223006</v>
      </c>
      <c r="K257" s="9">
        <f t="shared" si="24"/>
        <v>255.56501771036</v>
      </c>
      <c r="L257" s="10">
        <f t="shared" si="21"/>
        <v>0.26506221041531658</v>
      </c>
      <c r="M257" s="10">
        <f t="shared" si="28"/>
        <v>0.27860494837646715</v>
      </c>
      <c r="P257" s="8">
        <f t="shared" si="29"/>
        <v>16.108730472697786</v>
      </c>
    </row>
    <row r="258" spans="1:16" x14ac:dyDescent="0.2">
      <c r="A258" s="8">
        <v>128</v>
      </c>
      <c r="B258" s="8">
        <v>256</v>
      </c>
      <c r="D258">
        <v>1118.1571306576</v>
      </c>
      <c r="E258">
        <v>374.97352690009001</v>
      </c>
      <c r="F258">
        <v>155.78178694158001</v>
      </c>
      <c r="G258">
        <v>122.10652920962001</v>
      </c>
      <c r="I258" s="9">
        <f t="shared" si="26"/>
        <v>252.86699769046999</v>
      </c>
      <c r="J258" s="9">
        <f t="shared" si="27"/>
        <v>962.37534371601998</v>
      </c>
      <c r="K258" s="9">
        <f t="shared" si="24"/>
        <v>252.86699769046999</v>
      </c>
      <c r="L258" s="10">
        <f t="shared" ref="L258:L321" si="30">K258/J258</f>
        <v>0.26275298857312224</v>
      </c>
      <c r="M258" s="10">
        <f t="shared" si="28"/>
        <v>0.27634883531059107</v>
      </c>
      <c r="P258" s="8">
        <f t="shared" si="29"/>
        <v>15.168494395024926</v>
      </c>
    </row>
    <row r="259" spans="1:16" x14ac:dyDescent="0.2">
      <c r="A259" s="8">
        <v>128.5</v>
      </c>
      <c r="B259" s="8">
        <v>257</v>
      </c>
      <c r="D259">
        <v>1130.6370623399</v>
      </c>
      <c r="E259">
        <v>379.75064047822002</v>
      </c>
      <c r="F259">
        <v>155.90979381443</v>
      </c>
      <c r="G259">
        <v>121.75515463918001</v>
      </c>
      <c r="I259" s="9">
        <f t="shared" si="26"/>
        <v>257.99548583904004</v>
      </c>
      <c r="J259" s="9">
        <f t="shared" si="27"/>
        <v>974.72726852546998</v>
      </c>
      <c r="K259" s="9">
        <f t="shared" ref="K259:K322" si="31">I259*1</f>
        <v>257.99548583904004</v>
      </c>
      <c r="L259" s="10">
        <f t="shared" si="30"/>
        <v>0.2646847935518678</v>
      </c>
      <c r="M259" s="10">
        <f t="shared" si="28"/>
        <v>0.27833374906565483</v>
      </c>
      <c r="P259" s="8">
        <f t="shared" si="29"/>
        <v>15.995708044822814</v>
      </c>
    </row>
    <row r="260" spans="1:16" x14ac:dyDescent="0.2">
      <c r="A260" s="8">
        <v>129</v>
      </c>
      <c r="B260" s="8">
        <v>258</v>
      </c>
      <c r="D260">
        <v>1168.1263877028</v>
      </c>
      <c r="E260">
        <v>385.89837745517002</v>
      </c>
      <c r="F260">
        <v>156.22164948454</v>
      </c>
      <c r="G260">
        <v>121.45446735394999</v>
      </c>
      <c r="I260" s="9">
        <f t="shared" si="26"/>
        <v>264.44391010122001</v>
      </c>
      <c r="J260" s="9">
        <f t="shared" si="27"/>
        <v>1011.90473821826</v>
      </c>
      <c r="K260" s="9">
        <f t="shared" si="31"/>
        <v>264.44391010122001</v>
      </c>
      <c r="L260" s="10">
        <f t="shared" si="30"/>
        <v>0.26133281139373565</v>
      </c>
      <c r="M260" s="10">
        <f t="shared" si="28"/>
        <v>0.27503487568384094</v>
      </c>
      <c r="P260" s="8">
        <f t="shared" si="29"/>
        <v>14.620901162947131</v>
      </c>
    </row>
    <row r="261" spans="1:16" x14ac:dyDescent="0.2">
      <c r="A261" s="8">
        <v>129.5</v>
      </c>
      <c r="B261" s="8">
        <v>259</v>
      </c>
      <c r="D261">
        <v>1158.7856532878</v>
      </c>
      <c r="E261">
        <v>381.46114432108999</v>
      </c>
      <c r="F261">
        <v>155.96134020618999</v>
      </c>
      <c r="G261">
        <v>122.0764604811</v>
      </c>
      <c r="I261" s="9">
        <f t="shared" si="26"/>
        <v>259.38468383998998</v>
      </c>
      <c r="J261" s="9">
        <f t="shared" si="27"/>
        <v>1002.8243130816099</v>
      </c>
      <c r="K261" s="9">
        <f t="shared" si="31"/>
        <v>259.38468383998998</v>
      </c>
      <c r="L261" s="10">
        <f t="shared" si="30"/>
        <v>0.25865416350239728</v>
      </c>
      <c r="M261" s="10">
        <f t="shared" si="28"/>
        <v>0.27240933656882083</v>
      </c>
      <c r="P261" s="8">
        <f t="shared" si="29"/>
        <v>13.52670662251324</v>
      </c>
    </row>
    <row r="262" spans="1:16" x14ac:dyDescent="0.2">
      <c r="A262" s="8">
        <v>130</v>
      </c>
      <c r="B262" s="8">
        <v>260</v>
      </c>
      <c r="D262">
        <v>1155.8146883006</v>
      </c>
      <c r="E262">
        <v>381.44150298890003</v>
      </c>
      <c r="F262">
        <v>155.99656357388</v>
      </c>
      <c r="G262">
        <v>121.88144329897</v>
      </c>
      <c r="I262" s="9">
        <f t="shared" si="26"/>
        <v>259.56005968993003</v>
      </c>
      <c r="J262" s="9">
        <f t="shared" si="27"/>
        <v>999.81812472672004</v>
      </c>
      <c r="K262" s="9">
        <f t="shared" si="31"/>
        <v>259.56005968993003</v>
      </c>
      <c r="L262" s="10">
        <f t="shared" si="30"/>
        <v>0.25960727583416782</v>
      </c>
      <c r="M262" s="10">
        <f t="shared" si="28"/>
        <v>0.27341555767690956</v>
      </c>
      <c r="P262" s="8">
        <f t="shared" si="29"/>
        <v>13.946049696338136</v>
      </c>
    </row>
    <row r="263" spans="1:16" x14ac:dyDescent="0.2">
      <c r="A263" s="8">
        <v>130.5</v>
      </c>
      <c r="B263" s="8">
        <v>261</v>
      </c>
      <c r="D263">
        <v>1137.6942783945001</v>
      </c>
      <c r="E263">
        <v>372.62510674637002</v>
      </c>
      <c r="F263">
        <v>155.81013745704999</v>
      </c>
      <c r="G263">
        <v>121.35137457045001</v>
      </c>
      <c r="I263" s="9">
        <f t="shared" si="26"/>
        <v>251.27373217592003</v>
      </c>
      <c r="J263" s="9">
        <f t="shared" si="27"/>
        <v>981.88414093745007</v>
      </c>
      <c r="K263" s="9">
        <f t="shared" si="31"/>
        <v>251.27373217592003</v>
      </c>
      <c r="L263" s="10">
        <f t="shared" si="30"/>
        <v>0.25590975727137971</v>
      </c>
      <c r="M263" s="10">
        <f t="shared" si="28"/>
        <v>0.26977114789043971</v>
      </c>
      <c r="P263" s="8">
        <f t="shared" si="29"/>
        <v>12.427240371180323</v>
      </c>
    </row>
    <row r="264" spans="1:16" x14ac:dyDescent="0.2">
      <c r="A264" s="8">
        <v>131</v>
      </c>
      <c r="B264" s="8">
        <v>262</v>
      </c>
      <c r="D264">
        <v>1173.6345004269999</v>
      </c>
      <c r="E264">
        <v>381.41759180188001</v>
      </c>
      <c r="F264">
        <v>155.82646048110001</v>
      </c>
      <c r="G264">
        <v>121.07474226804</v>
      </c>
      <c r="I264" s="9">
        <f t="shared" si="26"/>
        <v>260.34284953384002</v>
      </c>
      <c r="J264" s="9">
        <f t="shared" si="27"/>
        <v>1017.8080399459</v>
      </c>
      <c r="K264" s="9">
        <f t="shared" si="31"/>
        <v>260.34284953384002</v>
      </c>
      <c r="L264" s="10">
        <f t="shared" si="30"/>
        <v>0.25578777069561975</v>
      </c>
      <c r="M264" s="10">
        <f t="shared" si="28"/>
        <v>0.26970227009099801</v>
      </c>
      <c r="P264" s="8">
        <f t="shared" si="29"/>
        <v>12.398535519032031</v>
      </c>
    </row>
    <row r="265" spans="1:16" x14ac:dyDescent="0.2">
      <c r="A265" s="8">
        <v>131.5</v>
      </c>
      <c r="B265" s="8">
        <v>263</v>
      </c>
      <c r="D265">
        <v>1148.2843723312999</v>
      </c>
      <c r="E265">
        <v>373.40819812126</v>
      </c>
      <c r="F265">
        <v>155.29982817869001</v>
      </c>
      <c r="G265">
        <v>121.62457044673999</v>
      </c>
      <c r="I265" s="9">
        <f t="shared" si="26"/>
        <v>251.78362767452001</v>
      </c>
      <c r="J265" s="9">
        <f t="shared" si="27"/>
        <v>992.98454415260994</v>
      </c>
      <c r="K265" s="9">
        <f t="shared" si="31"/>
        <v>251.78362767452001</v>
      </c>
      <c r="L265" s="10">
        <f t="shared" si="30"/>
        <v>0.25356248408618115</v>
      </c>
      <c r="M265" s="10">
        <f t="shared" si="28"/>
        <v>0.26753009225787761</v>
      </c>
      <c r="P265" s="8">
        <f t="shared" si="29"/>
        <v>11.493279485231273</v>
      </c>
    </row>
    <row r="266" spans="1:16" x14ac:dyDescent="0.2">
      <c r="A266" s="8">
        <v>132</v>
      </c>
      <c r="B266" s="8">
        <v>264</v>
      </c>
      <c r="D266">
        <v>1148.8445772844</v>
      </c>
      <c r="E266">
        <v>370.12297181896002</v>
      </c>
      <c r="F266">
        <v>155.79639175258001</v>
      </c>
      <c r="G266">
        <v>121.37542955327</v>
      </c>
      <c r="I266" s="9">
        <f t="shared" si="26"/>
        <v>248.74754226569002</v>
      </c>
      <c r="J266" s="9">
        <f t="shared" si="27"/>
        <v>993.04818553181997</v>
      </c>
      <c r="K266" s="9">
        <f t="shared" si="31"/>
        <v>248.74754226569002</v>
      </c>
      <c r="L266" s="10">
        <f t="shared" si="30"/>
        <v>0.25048889458719975</v>
      </c>
      <c r="M266" s="10">
        <f t="shared" si="28"/>
        <v>0.26450961153521446</v>
      </c>
      <c r="P266" s="8">
        <f t="shared" si="29"/>
        <v>10.234492862203377</v>
      </c>
    </row>
    <row r="267" spans="1:16" x14ac:dyDescent="0.2">
      <c r="A267" s="8">
        <v>132.5</v>
      </c>
      <c r="B267" s="8">
        <v>265</v>
      </c>
      <c r="D267">
        <v>1132.0290350128</v>
      </c>
      <c r="E267">
        <v>365.70708795900998</v>
      </c>
      <c r="F267">
        <v>155.53951890034</v>
      </c>
      <c r="G267">
        <v>121.85824742267999</v>
      </c>
      <c r="I267" s="9">
        <f t="shared" si="26"/>
        <v>243.84884053632999</v>
      </c>
      <c r="J267" s="9">
        <f t="shared" si="27"/>
        <v>976.48951611246002</v>
      </c>
      <c r="K267" s="9">
        <f t="shared" si="31"/>
        <v>243.84884053632999</v>
      </c>
      <c r="L267" s="10">
        <f t="shared" si="30"/>
        <v>0.2497198756491785</v>
      </c>
      <c r="M267" s="10">
        <f t="shared" si="28"/>
        <v>0.26379370137351144</v>
      </c>
      <c r="P267" s="8">
        <f t="shared" si="29"/>
        <v>9.9361369984894239</v>
      </c>
    </row>
    <row r="268" spans="1:16" x14ac:dyDescent="0.2">
      <c r="A268" s="8">
        <v>133</v>
      </c>
      <c r="B268" s="8">
        <v>266</v>
      </c>
      <c r="D268">
        <v>1138.8599487617</v>
      </c>
      <c r="E268">
        <v>363.82322801024998</v>
      </c>
      <c r="F268">
        <v>156.04467353952001</v>
      </c>
      <c r="G268">
        <v>121.87199312715001</v>
      </c>
      <c r="I268" s="9">
        <f t="shared" si="26"/>
        <v>241.95123488309997</v>
      </c>
      <c r="J268" s="9">
        <f t="shared" si="27"/>
        <v>982.81527522218005</v>
      </c>
      <c r="K268" s="9">
        <f t="shared" si="31"/>
        <v>241.95123488309997</v>
      </c>
      <c r="L268" s="10">
        <f t="shared" si="30"/>
        <v>0.24618180138521278</v>
      </c>
      <c r="M268" s="10">
        <f t="shared" si="28"/>
        <v>0.26030873588586395</v>
      </c>
      <c r="P268" s="8">
        <f t="shared" si="29"/>
        <v>8.4837761525321973</v>
      </c>
    </row>
    <row r="269" spans="1:16" x14ac:dyDescent="0.2">
      <c r="A269" s="8">
        <v>133.5</v>
      </c>
      <c r="B269" s="8">
        <v>267</v>
      </c>
      <c r="D269">
        <v>1105.1494449188999</v>
      </c>
      <c r="E269">
        <v>355.06148590947998</v>
      </c>
      <c r="F269">
        <v>155.95962199313001</v>
      </c>
      <c r="G269">
        <v>121.36683848797</v>
      </c>
      <c r="I269" s="9">
        <f t="shared" si="26"/>
        <v>233.69464742150998</v>
      </c>
      <c r="J269" s="9">
        <f t="shared" si="27"/>
        <v>949.18982292576993</v>
      </c>
      <c r="K269" s="9">
        <f t="shared" si="31"/>
        <v>233.69464742150998</v>
      </c>
      <c r="L269" s="10">
        <f t="shared" si="30"/>
        <v>0.24620433318719406</v>
      </c>
      <c r="M269" s="10">
        <f t="shared" si="28"/>
        <v>0.26038437646416351</v>
      </c>
      <c r="P269" s="8">
        <f t="shared" si="29"/>
        <v>8.5152993956395484</v>
      </c>
    </row>
    <row r="270" spans="1:16" x14ac:dyDescent="0.2">
      <c r="A270" s="8">
        <v>134</v>
      </c>
      <c r="B270" s="8">
        <v>268</v>
      </c>
      <c r="D270">
        <v>1108.4304013664</v>
      </c>
      <c r="E270">
        <v>358.68403074295998</v>
      </c>
      <c r="F270">
        <v>154.485395189</v>
      </c>
      <c r="G270">
        <v>121.58419243986</v>
      </c>
      <c r="I270" s="9">
        <f t="shared" si="26"/>
        <v>237.09983830309997</v>
      </c>
      <c r="J270" s="9">
        <f t="shared" si="27"/>
        <v>953.94500617740005</v>
      </c>
      <c r="K270" s="9">
        <f t="shared" si="31"/>
        <v>237.09983830309997</v>
      </c>
      <c r="L270" s="10">
        <f t="shared" si="30"/>
        <v>0.24854665286544597</v>
      </c>
      <c r="M270" s="10">
        <f t="shared" si="28"/>
        <v>0.26277980491873365</v>
      </c>
      <c r="P270" s="8">
        <f t="shared" si="29"/>
        <v>9.5135952206745351</v>
      </c>
    </row>
    <row r="271" spans="1:16" x14ac:dyDescent="0.2">
      <c r="A271" s="8">
        <v>134.5</v>
      </c>
      <c r="B271" s="8">
        <v>269</v>
      </c>
      <c r="D271">
        <v>1112.0862510674999</v>
      </c>
      <c r="E271">
        <v>362.20068317676999</v>
      </c>
      <c r="F271">
        <v>155.53780068729</v>
      </c>
      <c r="G271">
        <v>121.81786941580999</v>
      </c>
      <c r="I271" s="9">
        <f t="shared" si="26"/>
        <v>240.38281376096</v>
      </c>
      <c r="J271" s="9">
        <f t="shared" si="27"/>
        <v>956.54845038020994</v>
      </c>
      <c r="K271" s="9">
        <f t="shared" si="31"/>
        <v>240.38281376096</v>
      </c>
      <c r="L271" s="10">
        <f t="shared" si="30"/>
        <v>0.25130228757927775</v>
      </c>
      <c r="M271" s="10">
        <f t="shared" si="28"/>
        <v>0.26558854840888363</v>
      </c>
      <c r="P271" s="8">
        <f t="shared" si="29"/>
        <v>10.684140262193671</v>
      </c>
    </row>
    <row r="272" spans="1:16" x14ac:dyDescent="0.2">
      <c r="A272" s="8">
        <v>135</v>
      </c>
      <c r="B272" s="8">
        <v>270</v>
      </c>
      <c r="D272">
        <v>1112.9094790777001</v>
      </c>
      <c r="E272">
        <v>365.88642186165998</v>
      </c>
      <c r="F272">
        <v>155.44329896907001</v>
      </c>
      <c r="G272">
        <v>121.44501718213</v>
      </c>
      <c r="I272" s="9">
        <f t="shared" si="26"/>
        <v>244.44140467952997</v>
      </c>
      <c r="J272" s="9">
        <f t="shared" si="27"/>
        <v>957.46618010863006</v>
      </c>
      <c r="K272" s="9">
        <f t="shared" si="31"/>
        <v>244.44140467952997</v>
      </c>
      <c r="L272" s="10">
        <f t="shared" si="30"/>
        <v>0.25530030173159401</v>
      </c>
      <c r="M272" s="10">
        <f t="shared" si="28"/>
        <v>0.26963967133751815</v>
      </c>
      <c r="P272" s="8">
        <f t="shared" si="29"/>
        <v>12.372447461953092</v>
      </c>
    </row>
    <row r="273" spans="1:16" x14ac:dyDescent="0.2">
      <c r="A273" s="8">
        <v>135.5</v>
      </c>
      <c r="B273" s="8">
        <v>271</v>
      </c>
      <c r="D273">
        <v>1120.0657557643001</v>
      </c>
      <c r="E273">
        <v>364.11187019641</v>
      </c>
      <c r="F273">
        <v>155.66494845361001</v>
      </c>
      <c r="G273">
        <v>121.21907216495001</v>
      </c>
      <c r="I273" s="9">
        <f t="shared" si="26"/>
        <v>242.89279803145999</v>
      </c>
      <c r="J273" s="9">
        <f t="shared" si="27"/>
        <v>964.40080731069008</v>
      </c>
      <c r="K273" s="9">
        <f t="shared" si="31"/>
        <v>242.89279803145999</v>
      </c>
      <c r="L273" s="10">
        <f t="shared" si="30"/>
        <v>0.25185876680131186</v>
      </c>
      <c r="M273" s="10">
        <f t="shared" si="28"/>
        <v>0.26625124518355425</v>
      </c>
      <c r="P273" s="8">
        <f t="shared" si="29"/>
        <v>10.960319424278707</v>
      </c>
    </row>
    <row r="274" spans="1:16" x14ac:dyDescent="0.2">
      <c r="A274" s="8">
        <v>136</v>
      </c>
      <c r="B274" s="8">
        <v>272</v>
      </c>
      <c r="D274">
        <v>1132.0068317677001</v>
      </c>
      <c r="E274">
        <v>366.71135781382998</v>
      </c>
      <c r="F274">
        <v>155.09278350516001</v>
      </c>
      <c r="G274">
        <v>121.17611683849</v>
      </c>
      <c r="I274" s="9">
        <f t="shared" si="26"/>
        <v>245.53524097533997</v>
      </c>
      <c r="J274" s="9">
        <f t="shared" si="27"/>
        <v>976.91404826254006</v>
      </c>
      <c r="K274" s="9">
        <f t="shared" si="31"/>
        <v>245.53524097533997</v>
      </c>
      <c r="L274" s="10">
        <f t="shared" si="30"/>
        <v>0.25133760888384088</v>
      </c>
      <c r="M274" s="10">
        <f t="shared" si="28"/>
        <v>0.26578319604240153</v>
      </c>
      <c r="P274" s="8">
        <f t="shared" si="29"/>
        <v>10.765259746068519</v>
      </c>
    </row>
    <row r="275" spans="1:16" x14ac:dyDescent="0.2">
      <c r="A275" s="8">
        <v>136.5</v>
      </c>
      <c r="B275" s="8">
        <v>273</v>
      </c>
      <c r="D275">
        <v>1102.9120409906</v>
      </c>
      <c r="E275">
        <v>361.02220324509</v>
      </c>
      <c r="F275">
        <v>156.02835051546</v>
      </c>
      <c r="G275">
        <v>121.46219931272</v>
      </c>
      <c r="I275" s="9">
        <f>E275-G275</f>
        <v>239.56000393236999</v>
      </c>
      <c r="J275" s="9">
        <f>D275-F275</f>
        <v>946.88369047513993</v>
      </c>
      <c r="K275" s="9">
        <f t="shared" si="31"/>
        <v>239.56000393236999</v>
      </c>
      <c r="L275" s="10">
        <f t="shared" si="30"/>
        <v>0.25299834218515305</v>
      </c>
      <c r="M275" s="10">
        <f>L275+ABS($N$2)*A275</f>
        <v>0.26749703812003189</v>
      </c>
      <c r="O275" s="11"/>
      <c r="P275" s="8">
        <f>(M275-$O$2)/$O$2*100</f>
        <v>11.479504159256267</v>
      </c>
    </row>
    <row r="276" spans="1:16" x14ac:dyDescent="0.2">
      <c r="A276" s="8">
        <v>137</v>
      </c>
      <c r="B276" s="8">
        <v>274</v>
      </c>
      <c r="D276">
        <v>1121.6097352690001</v>
      </c>
      <c r="E276">
        <v>362.25021349273999</v>
      </c>
      <c r="F276">
        <v>155.14003436426</v>
      </c>
      <c r="G276">
        <v>121.86254295533</v>
      </c>
      <c r="I276" s="9">
        <f t="shared" ref="I276:I291" si="32">E276-G276</f>
        <v>240.38767053740997</v>
      </c>
      <c r="J276" s="9">
        <f t="shared" ref="J276:J291" si="33">D276-F276</f>
        <v>966.46970090474008</v>
      </c>
      <c r="K276" s="9">
        <f t="shared" si="31"/>
        <v>240.38767053740997</v>
      </c>
      <c r="L276" s="10">
        <f t="shared" si="30"/>
        <v>0.24872758071192108</v>
      </c>
      <c r="M276" s="10">
        <f t="shared" ref="M276:M291" si="34">L276+ABS($N$2)*A276</f>
        <v>0.26327938542311818</v>
      </c>
      <c r="P276" s="8">
        <f t="shared" ref="P276:P291" si="35">(M276-$O$2)/$O$2*100</f>
        <v>9.7217956078931334</v>
      </c>
    </row>
    <row r="277" spans="1:16" x14ac:dyDescent="0.2">
      <c r="A277" s="8">
        <v>137.5</v>
      </c>
      <c r="B277" s="8">
        <v>275</v>
      </c>
      <c r="D277">
        <v>1126.5781383433</v>
      </c>
      <c r="E277">
        <v>361.96498719044001</v>
      </c>
      <c r="F277">
        <v>155.61855670103</v>
      </c>
      <c r="G277">
        <v>121.10652920962001</v>
      </c>
      <c r="I277" s="9">
        <f t="shared" si="32"/>
        <v>240.85845798081999</v>
      </c>
      <c r="J277" s="9">
        <f t="shared" si="33"/>
        <v>970.95958164227</v>
      </c>
      <c r="K277" s="9">
        <f t="shared" si="31"/>
        <v>240.85845798081999</v>
      </c>
      <c r="L277" s="10">
        <f t="shared" si="30"/>
        <v>0.24806229068097224</v>
      </c>
      <c r="M277" s="10">
        <f t="shared" si="34"/>
        <v>0.26266720416848754</v>
      </c>
      <c r="N277" s="1"/>
      <c r="P277" s="8">
        <f t="shared" si="35"/>
        <v>9.4666688102229788</v>
      </c>
    </row>
    <row r="278" spans="1:16" x14ac:dyDescent="0.2">
      <c r="A278" s="8">
        <v>138</v>
      </c>
      <c r="B278" s="8">
        <v>276</v>
      </c>
      <c r="D278">
        <v>1127.0187873612001</v>
      </c>
      <c r="E278">
        <v>371.36379163109001</v>
      </c>
      <c r="F278">
        <v>154.81357388315999</v>
      </c>
      <c r="G278">
        <v>121.19673539519</v>
      </c>
      <c r="I278" s="9">
        <f t="shared" si="32"/>
        <v>250.16705623590002</v>
      </c>
      <c r="J278" s="9">
        <f t="shared" si="33"/>
        <v>972.20521347804015</v>
      </c>
      <c r="K278" s="9">
        <f t="shared" si="31"/>
        <v>250.16705623590002</v>
      </c>
      <c r="L278" s="10">
        <f t="shared" si="30"/>
        <v>0.25731918813820548</v>
      </c>
      <c r="M278" s="10">
        <f t="shared" si="34"/>
        <v>0.27197721040203904</v>
      </c>
      <c r="P278" s="8">
        <f t="shared" si="35"/>
        <v>13.346617859117449</v>
      </c>
    </row>
    <row r="279" spans="1:16" x14ac:dyDescent="0.2">
      <c r="A279" s="8">
        <v>138.5</v>
      </c>
      <c r="B279" s="8">
        <v>277</v>
      </c>
      <c r="D279">
        <v>1117.7600341588</v>
      </c>
      <c r="E279">
        <v>370.20068317676999</v>
      </c>
      <c r="F279">
        <v>155.97508591064999</v>
      </c>
      <c r="G279">
        <v>121.42697594502</v>
      </c>
      <c r="I279" s="9">
        <f t="shared" si="32"/>
        <v>248.77370723175</v>
      </c>
      <c r="J279" s="9">
        <f t="shared" si="33"/>
        <v>961.78494824814993</v>
      </c>
      <c r="K279" s="9">
        <f t="shared" si="31"/>
        <v>248.77370723175</v>
      </c>
      <c r="L279" s="10">
        <f t="shared" si="30"/>
        <v>0.25865834944171318</v>
      </c>
      <c r="M279" s="10">
        <f t="shared" si="34"/>
        <v>0.27336948048186499</v>
      </c>
      <c r="P279" s="8">
        <f t="shared" si="35"/>
        <v>13.92684700574867</v>
      </c>
    </row>
    <row r="280" spans="1:16" x14ac:dyDescent="0.2">
      <c r="A280" s="8">
        <v>139</v>
      </c>
      <c r="B280" s="8">
        <v>278</v>
      </c>
      <c r="D280">
        <v>1107.1101622545</v>
      </c>
      <c r="E280">
        <v>365.80358667805001</v>
      </c>
      <c r="F280">
        <v>155.22422680412001</v>
      </c>
      <c r="G280">
        <v>121.54467353952001</v>
      </c>
      <c r="I280" s="9">
        <f t="shared" si="32"/>
        <v>244.25891313853</v>
      </c>
      <c r="J280" s="9">
        <f t="shared" si="33"/>
        <v>951.88593545037998</v>
      </c>
      <c r="K280" s="9">
        <f t="shared" si="31"/>
        <v>244.25891313853</v>
      </c>
      <c r="L280" s="10">
        <f t="shared" si="30"/>
        <v>0.25660523392748746</v>
      </c>
      <c r="M280" s="10">
        <f t="shared" si="34"/>
        <v>0.27136947374395748</v>
      </c>
      <c r="P280" s="8">
        <f t="shared" si="35"/>
        <v>13.093343348945361</v>
      </c>
    </row>
    <row r="281" spans="1:16" x14ac:dyDescent="0.2">
      <c r="A281" s="8">
        <v>139.5</v>
      </c>
      <c r="B281" s="8">
        <v>279</v>
      </c>
      <c r="D281">
        <v>1121.0153714774001</v>
      </c>
      <c r="E281">
        <v>362.84970111016003</v>
      </c>
      <c r="F281">
        <v>155.63745704466999</v>
      </c>
      <c r="G281">
        <v>121.46821305842001</v>
      </c>
      <c r="I281" s="9">
        <f t="shared" si="32"/>
        <v>241.38148805174001</v>
      </c>
      <c r="J281" s="9">
        <f t="shared" si="33"/>
        <v>965.37791443273011</v>
      </c>
      <c r="K281" s="9">
        <f t="shared" si="31"/>
        <v>241.38148805174001</v>
      </c>
      <c r="L281" s="10">
        <f t="shared" si="30"/>
        <v>0.25003833674150211</v>
      </c>
      <c r="M281" s="10">
        <f t="shared" si="34"/>
        <v>0.26485568533429038</v>
      </c>
      <c r="P281" s="8">
        <f t="shared" si="35"/>
        <v>10.378719264838091</v>
      </c>
    </row>
    <row r="282" spans="1:16" x14ac:dyDescent="0.2">
      <c r="A282" s="8">
        <v>140</v>
      </c>
      <c r="B282" s="8">
        <v>280</v>
      </c>
      <c r="D282">
        <v>1107.8693424424</v>
      </c>
      <c r="E282">
        <v>357.45858240820002</v>
      </c>
      <c r="F282">
        <v>155.85996563574</v>
      </c>
      <c r="G282">
        <v>121.43041237113</v>
      </c>
      <c r="I282" s="9">
        <f t="shared" si="32"/>
        <v>236.02817003707003</v>
      </c>
      <c r="J282" s="9">
        <f t="shared" si="33"/>
        <v>952.00937680666004</v>
      </c>
      <c r="K282" s="9">
        <f t="shared" si="31"/>
        <v>236.02817003707003</v>
      </c>
      <c r="L282" s="10">
        <f t="shared" si="30"/>
        <v>0.24792630806724089</v>
      </c>
      <c r="M282" s="10">
        <f t="shared" si="34"/>
        <v>0.26279676543634739</v>
      </c>
      <c r="P282" s="8">
        <f t="shared" si="35"/>
        <v>9.5206635235879133</v>
      </c>
    </row>
    <row r="283" spans="1:16" x14ac:dyDescent="0.2">
      <c r="A283" s="8">
        <v>140.5</v>
      </c>
      <c r="B283" s="8">
        <v>281</v>
      </c>
      <c r="D283">
        <v>1124.5687446627001</v>
      </c>
      <c r="E283">
        <v>364.14859094791001</v>
      </c>
      <c r="F283">
        <v>155.76890034364001</v>
      </c>
      <c r="G283">
        <v>120.94673539519</v>
      </c>
      <c r="I283" s="9">
        <f t="shared" si="32"/>
        <v>243.20185555272002</v>
      </c>
      <c r="J283" s="9">
        <f t="shared" si="33"/>
        <v>968.79984431906007</v>
      </c>
      <c r="K283" s="9">
        <f t="shared" si="31"/>
        <v>243.20185555272002</v>
      </c>
      <c r="L283" s="10">
        <f t="shared" si="30"/>
        <v>0.25103416043967181</v>
      </c>
      <c r="M283" s="10">
        <f t="shared" si="34"/>
        <v>0.26595772658509659</v>
      </c>
      <c r="P283" s="8">
        <f t="shared" si="35"/>
        <v>10.837995423805486</v>
      </c>
    </row>
    <row r="284" spans="1:16" x14ac:dyDescent="0.2">
      <c r="A284" s="8">
        <v>141</v>
      </c>
      <c r="B284" s="8">
        <v>282</v>
      </c>
      <c r="D284">
        <v>1108.0341588386</v>
      </c>
      <c r="E284">
        <v>359.48761742100999</v>
      </c>
      <c r="F284">
        <v>154.82817869415999</v>
      </c>
      <c r="G284">
        <v>121.28436426117</v>
      </c>
      <c r="I284" s="9">
        <f t="shared" si="32"/>
        <v>238.20325315983999</v>
      </c>
      <c r="J284" s="9">
        <f t="shared" si="33"/>
        <v>953.20598014443999</v>
      </c>
      <c r="K284" s="9">
        <f t="shared" si="31"/>
        <v>238.20325315983999</v>
      </c>
      <c r="L284" s="10">
        <f t="shared" si="30"/>
        <v>0.24989693531270638</v>
      </c>
      <c r="M284" s="10">
        <f t="shared" si="34"/>
        <v>0.26487361023444939</v>
      </c>
      <c r="P284" s="8">
        <f t="shared" si="35"/>
        <v>10.386189474586484</v>
      </c>
    </row>
    <row r="285" spans="1:16" x14ac:dyDescent="0.2">
      <c r="A285" s="8">
        <v>141.5</v>
      </c>
      <c r="B285" s="8">
        <v>283</v>
      </c>
      <c r="D285">
        <v>1103.9455319148999</v>
      </c>
      <c r="E285">
        <v>361.51234042553</v>
      </c>
      <c r="F285">
        <v>155.62027491409</v>
      </c>
      <c r="G285">
        <v>121.30927835052</v>
      </c>
      <c r="I285" s="9">
        <f t="shared" si="32"/>
        <v>240.20306207501</v>
      </c>
      <c r="J285" s="9">
        <f t="shared" si="33"/>
        <v>948.32525700080987</v>
      </c>
      <c r="K285" s="9">
        <f t="shared" si="31"/>
        <v>240.20306207501</v>
      </c>
      <c r="L285" s="10">
        <f t="shared" si="30"/>
        <v>0.25329185350886935</v>
      </c>
      <c r="M285" s="10">
        <f t="shared" si="34"/>
        <v>0.26832163720693059</v>
      </c>
      <c r="P285" s="8">
        <f t="shared" si="35"/>
        <v>11.823156178671871</v>
      </c>
    </row>
    <row r="286" spans="1:16" x14ac:dyDescent="0.2">
      <c r="A286" s="8">
        <v>142</v>
      </c>
      <c r="B286" s="8">
        <v>284</v>
      </c>
      <c r="D286">
        <v>1086.7625531915</v>
      </c>
      <c r="E286">
        <v>359.14468085106</v>
      </c>
      <c r="F286">
        <v>154.41580756014</v>
      </c>
      <c r="G286">
        <v>121.03608247423</v>
      </c>
      <c r="I286" s="9">
        <f t="shared" si="32"/>
        <v>238.10859837683</v>
      </c>
      <c r="J286" s="9">
        <f t="shared" si="33"/>
        <v>932.34674563136002</v>
      </c>
      <c r="K286" s="9">
        <f t="shared" si="31"/>
        <v>238.10859837683</v>
      </c>
      <c r="L286" s="10">
        <f t="shared" si="30"/>
        <v>0.25538631361402919</v>
      </c>
      <c r="M286" s="10">
        <f t="shared" si="34"/>
        <v>0.27046920608840869</v>
      </c>
      <c r="P286" s="8">
        <f t="shared" si="35"/>
        <v>12.718156421431939</v>
      </c>
    </row>
    <row r="287" spans="1:16" x14ac:dyDescent="0.2">
      <c r="A287" s="8">
        <v>142.5</v>
      </c>
      <c r="B287" s="8">
        <v>285</v>
      </c>
      <c r="D287">
        <v>1072.4536170213</v>
      </c>
      <c r="E287">
        <v>354.66212765956999</v>
      </c>
      <c r="F287">
        <v>154.86426116838999</v>
      </c>
      <c r="G287">
        <v>120.88659793814</v>
      </c>
      <c r="I287" s="9">
        <f t="shared" si="32"/>
        <v>233.77552972142999</v>
      </c>
      <c r="J287" s="9">
        <f t="shared" si="33"/>
        <v>917.5893558529101</v>
      </c>
      <c r="K287" s="9">
        <f t="shared" si="31"/>
        <v>233.77552972142999</v>
      </c>
      <c r="L287" s="10">
        <f t="shared" si="30"/>
        <v>0.25477140534627596</v>
      </c>
      <c r="M287" s="10">
        <f t="shared" si="34"/>
        <v>0.26990740659697365</v>
      </c>
      <c r="P287" s="8">
        <f t="shared" si="35"/>
        <v>12.484026244955006</v>
      </c>
    </row>
    <row r="288" spans="1:16" x14ac:dyDescent="0.2">
      <c r="A288" s="8">
        <v>143</v>
      </c>
      <c r="B288" s="8">
        <v>286</v>
      </c>
      <c r="D288">
        <v>1082.2348936169999</v>
      </c>
      <c r="E288">
        <v>355.39489361701999</v>
      </c>
      <c r="F288">
        <v>154.18127147766</v>
      </c>
      <c r="G288">
        <v>121.60137457045001</v>
      </c>
      <c r="I288" s="9">
        <f t="shared" si="32"/>
        <v>233.79351904657</v>
      </c>
      <c r="J288" s="9">
        <f t="shared" si="33"/>
        <v>928.05362213933995</v>
      </c>
      <c r="K288" s="9">
        <f t="shared" si="31"/>
        <v>233.79351904657</v>
      </c>
      <c r="L288" s="10">
        <f t="shared" si="30"/>
        <v>0.2519181149335224</v>
      </c>
      <c r="M288" s="10">
        <f t="shared" si="34"/>
        <v>0.26710722496053835</v>
      </c>
      <c r="P288" s="8">
        <f t="shared" si="35"/>
        <v>11.317049359605013</v>
      </c>
    </row>
    <row r="289" spans="1:16" x14ac:dyDescent="0.2">
      <c r="A289" s="8">
        <v>143.5</v>
      </c>
      <c r="B289" s="8">
        <v>287</v>
      </c>
      <c r="D289">
        <v>1047.4161702127999</v>
      </c>
      <c r="E289">
        <v>350.39234042552999</v>
      </c>
      <c r="F289">
        <v>154.27319587629</v>
      </c>
      <c r="G289">
        <v>120.63487972509</v>
      </c>
      <c r="I289" s="9">
        <f t="shared" si="32"/>
        <v>229.75746070043999</v>
      </c>
      <c r="J289" s="9">
        <f t="shared" si="33"/>
        <v>893.14297433650995</v>
      </c>
      <c r="K289" s="9">
        <f t="shared" si="31"/>
        <v>229.75746070043999</v>
      </c>
      <c r="L289" s="10">
        <f t="shared" si="30"/>
        <v>0.25724600349806276</v>
      </c>
      <c r="M289" s="10">
        <f t="shared" si="34"/>
        <v>0.27248822230139697</v>
      </c>
      <c r="P289" s="8">
        <f t="shared" si="35"/>
        <v>13.559582285042564</v>
      </c>
    </row>
    <row r="290" spans="1:16" x14ac:dyDescent="0.2">
      <c r="A290" s="8">
        <v>144</v>
      </c>
      <c r="B290" s="8">
        <v>288</v>
      </c>
      <c r="D290">
        <v>1079.2076595745</v>
      </c>
      <c r="E290">
        <v>352.28936170213001</v>
      </c>
      <c r="F290">
        <v>154.82817869415999</v>
      </c>
      <c r="G290">
        <v>121.23281786942</v>
      </c>
      <c r="I290" s="9">
        <f t="shared" si="32"/>
        <v>231.05654383271002</v>
      </c>
      <c r="J290" s="9">
        <f t="shared" si="33"/>
        <v>924.37948088034</v>
      </c>
      <c r="K290" s="9">
        <f t="shared" si="31"/>
        <v>231.05654383271002</v>
      </c>
      <c r="L290" s="10">
        <f t="shared" si="30"/>
        <v>0.24995853825385816</v>
      </c>
      <c r="M290" s="10">
        <f t="shared" si="34"/>
        <v>0.26525386583351057</v>
      </c>
      <c r="P290" s="8">
        <f t="shared" si="35"/>
        <v>10.544661156871429</v>
      </c>
    </row>
    <row r="291" spans="1:16" x14ac:dyDescent="0.2">
      <c r="A291" s="8">
        <v>144.5</v>
      </c>
      <c r="B291" s="8">
        <v>289</v>
      </c>
      <c r="D291">
        <v>1099.4553191488999</v>
      </c>
      <c r="E291">
        <v>353.89702127660001</v>
      </c>
      <c r="F291">
        <v>155.17010309278001</v>
      </c>
      <c r="G291">
        <v>120.87371134020999</v>
      </c>
      <c r="I291" s="9">
        <f t="shared" si="32"/>
        <v>233.02330993639004</v>
      </c>
      <c r="J291" s="9">
        <f t="shared" si="33"/>
        <v>944.28521605611991</v>
      </c>
      <c r="K291" s="9">
        <f t="shared" si="31"/>
        <v>233.02330993639004</v>
      </c>
      <c r="L291" s="10">
        <f t="shared" si="30"/>
        <v>0.24677216795750534</v>
      </c>
      <c r="M291" s="10">
        <f t="shared" si="34"/>
        <v>0.262120604313476</v>
      </c>
      <c r="P291" s="8">
        <f t="shared" si="35"/>
        <v>9.2388730886760904</v>
      </c>
    </row>
    <row r="292" spans="1:16" x14ac:dyDescent="0.2">
      <c r="A292" s="8">
        <v>145</v>
      </c>
      <c r="B292" s="8">
        <v>290</v>
      </c>
      <c r="D292">
        <v>1100.1778723404</v>
      </c>
      <c r="E292">
        <v>353.78553191488999</v>
      </c>
      <c r="F292">
        <v>154.72164948454</v>
      </c>
      <c r="G292">
        <v>121.23024054983</v>
      </c>
      <c r="I292" s="9">
        <f>E292-G292</f>
        <v>232.55529136505999</v>
      </c>
      <c r="J292" s="9">
        <f>D292-F292</f>
        <v>945.45622285586001</v>
      </c>
      <c r="K292" s="9">
        <f t="shared" si="31"/>
        <v>232.55529136505999</v>
      </c>
      <c r="L292" s="10">
        <f t="shared" si="30"/>
        <v>0.24597150639360096</v>
      </c>
      <c r="M292" s="10">
        <f>L292+ABS($N$2)*A292</f>
        <v>0.26137305152588985</v>
      </c>
      <c r="O292" s="11"/>
      <c r="P292" s="8">
        <f>(M292-$O$2)/$O$2*100</f>
        <v>8.9273301471965727</v>
      </c>
    </row>
    <row r="293" spans="1:16" x14ac:dyDescent="0.2">
      <c r="A293" s="8">
        <v>145.5</v>
      </c>
      <c r="B293" s="8">
        <v>291</v>
      </c>
      <c r="D293">
        <v>1104.7982978723001</v>
      </c>
      <c r="E293">
        <v>353.00765957446998</v>
      </c>
      <c r="F293">
        <v>154.53178694158001</v>
      </c>
      <c r="G293">
        <v>121.28436426117</v>
      </c>
      <c r="I293" s="9">
        <f t="shared" ref="I293:I301" si="36">E293-G293</f>
        <v>231.72329531329999</v>
      </c>
      <c r="J293" s="9">
        <f t="shared" ref="J293:J301" si="37">D293-F293</f>
        <v>950.26651093072007</v>
      </c>
      <c r="K293" s="9">
        <f t="shared" si="31"/>
        <v>231.72329531329999</v>
      </c>
      <c r="L293" s="10">
        <f t="shared" si="30"/>
        <v>0.24385084883854646</v>
      </c>
      <c r="M293" s="10">
        <f t="shared" ref="M293:M301" si="38">L293+ABS($N$2)*A293</f>
        <v>0.25930550274715358</v>
      </c>
      <c r="P293" s="8">
        <f t="shared" ref="P293:P301" si="39">(M293-$O$2)/$O$2*100</f>
        <v>8.0656783162137931</v>
      </c>
    </row>
    <row r="294" spans="1:16" x14ac:dyDescent="0.2">
      <c r="A294" s="8">
        <v>146</v>
      </c>
      <c r="B294" s="8">
        <v>292</v>
      </c>
      <c r="D294">
        <v>1103.5114893616999</v>
      </c>
      <c r="E294">
        <v>353.25361702127998</v>
      </c>
      <c r="F294">
        <v>154.55240549828</v>
      </c>
      <c r="G294">
        <v>120.89089347079</v>
      </c>
      <c r="I294" s="9">
        <f t="shared" si="36"/>
        <v>232.36272355048999</v>
      </c>
      <c r="J294" s="9">
        <f t="shared" si="37"/>
        <v>948.95908386341989</v>
      </c>
      <c r="K294" s="9">
        <f t="shared" si="31"/>
        <v>232.36272355048999</v>
      </c>
      <c r="L294" s="10">
        <f t="shared" si="30"/>
        <v>0.24486063466982216</v>
      </c>
      <c r="M294" s="10">
        <f t="shared" si="38"/>
        <v>0.26036839735474754</v>
      </c>
      <c r="N294" s="1"/>
      <c r="P294" s="8">
        <f t="shared" si="39"/>
        <v>8.5086400950090866</v>
      </c>
    </row>
    <row r="295" spans="1:16" x14ac:dyDescent="0.2">
      <c r="A295" s="8">
        <v>146.5</v>
      </c>
      <c r="B295" s="8">
        <v>293</v>
      </c>
      <c r="D295">
        <v>1100.4919148936001</v>
      </c>
      <c r="E295">
        <v>350.53531914894</v>
      </c>
      <c r="F295">
        <v>155.09965635738999</v>
      </c>
      <c r="G295">
        <v>121</v>
      </c>
      <c r="I295" s="9">
        <f t="shared" si="36"/>
        <v>229.53531914894</v>
      </c>
      <c r="J295" s="9">
        <f t="shared" si="37"/>
        <v>945.39225853621008</v>
      </c>
      <c r="K295" s="9">
        <f t="shared" si="31"/>
        <v>229.53531914894</v>
      </c>
      <c r="L295" s="10">
        <f t="shared" si="30"/>
        <v>0.24279373675466628</v>
      </c>
      <c r="M295" s="10">
        <f t="shared" si="38"/>
        <v>0.25835460821590989</v>
      </c>
      <c r="P295" s="8">
        <f t="shared" si="39"/>
        <v>7.6693926167690458</v>
      </c>
    </row>
    <row r="296" spans="1:16" x14ac:dyDescent="0.2">
      <c r="A296" s="8">
        <v>147</v>
      </c>
      <c r="B296" s="8">
        <v>294</v>
      </c>
      <c r="D296">
        <v>1096.9378723404</v>
      </c>
      <c r="E296">
        <v>347.19234042553001</v>
      </c>
      <c r="F296">
        <v>154.36340206186</v>
      </c>
      <c r="G296">
        <v>121.31615120275001</v>
      </c>
      <c r="I296" s="9">
        <f t="shared" si="36"/>
        <v>225.87618922278</v>
      </c>
      <c r="J296" s="9">
        <f t="shared" si="37"/>
        <v>942.57447027853993</v>
      </c>
      <c r="K296" s="9">
        <f t="shared" si="31"/>
        <v>225.87618922278</v>
      </c>
      <c r="L296" s="10">
        <f t="shared" si="30"/>
        <v>0.23963749957712241</v>
      </c>
      <c r="M296" s="10">
        <f t="shared" si="38"/>
        <v>0.25525147981468427</v>
      </c>
      <c r="P296" s="8">
        <f t="shared" si="39"/>
        <v>6.3761625386254934</v>
      </c>
    </row>
    <row r="297" spans="1:16" x14ac:dyDescent="0.2">
      <c r="A297" s="8">
        <v>147.5</v>
      </c>
      <c r="B297" s="8">
        <v>295</v>
      </c>
      <c r="D297">
        <v>1102.6757446808999</v>
      </c>
      <c r="E297">
        <v>350.91063829786998</v>
      </c>
      <c r="F297">
        <v>154.81099656357</v>
      </c>
      <c r="G297">
        <v>120.7293814433</v>
      </c>
      <c r="I297" s="9">
        <f t="shared" si="36"/>
        <v>230.18125685456999</v>
      </c>
      <c r="J297" s="9">
        <f t="shared" si="37"/>
        <v>947.8647481173299</v>
      </c>
      <c r="K297" s="9">
        <f t="shared" si="31"/>
        <v>230.18125685456999</v>
      </c>
      <c r="L297" s="10">
        <f t="shared" si="30"/>
        <v>0.24284187940501126</v>
      </c>
      <c r="M297" s="10">
        <f t="shared" si="38"/>
        <v>0.25850896841889132</v>
      </c>
      <c r="P297" s="8">
        <f t="shared" si="39"/>
        <v>7.7337222968702894</v>
      </c>
    </row>
    <row r="298" spans="1:16" x14ac:dyDescent="0.2">
      <c r="A298" s="8">
        <v>148</v>
      </c>
      <c r="B298" s="8">
        <v>296</v>
      </c>
      <c r="D298">
        <v>1095.8825531914999</v>
      </c>
      <c r="E298">
        <v>351.93872340425997</v>
      </c>
      <c r="F298">
        <v>154.55240549828</v>
      </c>
      <c r="G298">
        <v>120.56701030927999</v>
      </c>
      <c r="I298" s="9">
        <f t="shared" si="36"/>
        <v>231.37171309497998</v>
      </c>
      <c r="J298" s="9">
        <f t="shared" si="37"/>
        <v>941.33014769321994</v>
      </c>
      <c r="K298" s="9">
        <f t="shared" si="31"/>
        <v>231.37171309497998</v>
      </c>
      <c r="L298" s="10">
        <f t="shared" si="30"/>
        <v>0.24579231172184252</v>
      </c>
      <c r="M298" s="10">
        <f t="shared" si="38"/>
        <v>0.26151250951204086</v>
      </c>
      <c r="P298" s="8">
        <f t="shared" si="39"/>
        <v>8.9854493221094032</v>
      </c>
    </row>
    <row r="299" spans="1:16" x14ac:dyDescent="0.2">
      <c r="A299" s="8">
        <v>148.5</v>
      </c>
      <c r="B299" s="8">
        <v>297</v>
      </c>
      <c r="D299">
        <v>1097.0306382978999</v>
      </c>
      <c r="E299">
        <v>352.29531914894</v>
      </c>
      <c r="F299">
        <v>153.78522336770001</v>
      </c>
      <c r="G299">
        <v>121.15206185567</v>
      </c>
      <c r="I299" s="9">
        <f t="shared" si="36"/>
        <v>231.14325729326998</v>
      </c>
      <c r="J299" s="9">
        <f t="shared" si="37"/>
        <v>943.2454149301999</v>
      </c>
      <c r="K299" s="9">
        <f t="shared" si="31"/>
        <v>231.14325729326998</v>
      </c>
      <c r="L299" s="10">
        <f t="shared" si="30"/>
        <v>0.24505102663061931</v>
      </c>
      <c r="M299" s="10">
        <f t="shared" si="38"/>
        <v>0.26082433319713588</v>
      </c>
      <c r="P299" s="8">
        <f t="shared" si="39"/>
        <v>8.6986515508184699</v>
      </c>
    </row>
    <row r="300" spans="1:16" x14ac:dyDescent="0.2">
      <c r="A300" s="8">
        <v>149</v>
      </c>
      <c r="B300" s="8">
        <v>298</v>
      </c>
      <c r="D300">
        <v>1084.2068085106</v>
      </c>
      <c r="E300">
        <v>350.69276595744998</v>
      </c>
      <c r="F300">
        <v>154.46305841924001</v>
      </c>
      <c r="G300">
        <v>120.99312714777</v>
      </c>
      <c r="I300" s="9">
        <f t="shared" si="36"/>
        <v>229.69963880967998</v>
      </c>
      <c r="J300" s="9">
        <f t="shared" si="37"/>
        <v>929.74375009135997</v>
      </c>
      <c r="K300" s="9">
        <f t="shared" si="31"/>
        <v>229.69963880967998</v>
      </c>
      <c r="L300" s="10">
        <f t="shared" si="30"/>
        <v>0.24705693239358573</v>
      </c>
      <c r="M300" s="10">
        <f t="shared" si="38"/>
        <v>0.26288334773642053</v>
      </c>
      <c r="P300" s="8">
        <f t="shared" si="39"/>
        <v>9.5567467338879464</v>
      </c>
    </row>
    <row r="301" spans="1:16" x14ac:dyDescent="0.2">
      <c r="A301" s="8">
        <v>149.5</v>
      </c>
      <c r="B301" s="8">
        <v>299</v>
      </c>
      <c r="D301">
        <v>1080.6280851064</v>
      </c>
      <c r="E301">
        <v>350.99319148936002</v>
      </c>
      <c r="F301">
        <v>154.66666666667001</v>
      </c>
      <c r="G301">
        <v>121.16323024055001</v>
      </c>
      <c r="I301" s="9">
        <f t="shared" si="36"/>
        <v>229.82996124881001</v>
      </c>
      <c r="J301" s="9">
        <f t="shared" si="37"/>
        <v>925.96141843972998</v>
      </c>
      <c r="K301" s="9">
        <f t="shared" si="31"/>
        <v>229.82996124881001</v>
      </c>
      <c r="L301" s="10">
        <f t="shared" si="30"/>
        <v>0.24820684390509457</v>
      </c>
      <c r="M301" s="10">
        <f t="shared" si="38"/>
        <v>0.26408636802424762</v>
      </c>
      <c r="P301" s="8">
        <f t="shared" si="39"/>
        <v>10.058105949388162</v>
      </c>
    </row>
    <row r="302" spans="1:16" x14ac:dyDescent="0.2">
      <c r="A302" s="8">
        <v>150</v>
      </c>
      <c r="B302" s="8">
        <v>300</v>
      </c>
      <c r="D302">
        <v>1119.9914893616999</v>
      </c>
      <c r="E302">
        <v>356.35914893617002</v>
      </c>
      <c r="F302">
        <v>154.26718213058001</v>
      </c>
      <c r="G302">
        <v>120.85309278350999</v>
      </c>
      <c r="I302" s="9">
        <f>E302-G302</f>
        <v>235.50605615266002</v>
      </c>
      <c r="J302" s="9">
        <f>D302-F302</f>
        <v>965.72430723111984</v>
      </c>
      <c r="K302" s="9">
        <f t="shared" si="31"/>
        <v>235.50605615266002</v>
      </c>
      <c r="L302" s="10">
        <f t="shared" si="30"/>
        <v>0.24386468725002078</v>
      </c>
      <c r="M302" s="10">
        <f>L302+ABS($N$2)*A302</f>
        <v>0.25979732014549206</v>
      </c>
      <c r="O302" s="11"/>
      <c r="P302" s="8">
        <f>(M302-$O$2)/$O$2*100</f>
        <v>8.2706434256931249</v>
      </c>
    </row>
    <row r="303" spans="1:16" x14ac:dyDescent="0.2">
      <c r="A303" s="8">
        <v>150.5</v>
      </c>
      <c r="B303" s="8">
        <v>301</v>
      </c>
      <c r="D303">
        <v>1114.0961702128</v>
      </c>
      <c r="E303">
        <v>354.80595744681</v>
      </c>
      <c r="F303">
        <v>154.30670103092999</v>
      </c>
      <c r="G303">
        <v>121.28780068729</v>
      </c>
      <c r="I303" s="9">
        <f t="shared" ref="I303:I309" si="40">E303-G303</f>
        <v>233.51815675952</v>
      </c>
      <c r="J303" s="9">
        <f t="shared" ref="J303:J309" si="41">D303-F303</f>
        <v>959.78946918187</v>
      </c>
      <c r="K303" s="9">
        <f t="shared" si="31"/>
        <v>233.51815675952</v>
      </c>
      <c r="L303" s="10">
        <f t="shared" si="30"/>
        <v>0.24330143667712065</v>
      </c>
      <c r="M303" s="10">
        <f t="shared" ref="M303:M309" si="42">L303+ABS($N$2)*A303</f>
        <v>0.25928717834891013</v>
      </c>
      <c r="P303" s="8">
        <f t="shared" ref="P303:P309" si="43">(M303-$O$2)/$O$2*100</f>
        <v>8.0580416154691683</v>
      </c>
    </row>
    <row r="304" spans="1:16" x14ac:dyDescent="0.2">
      <c r="A304" s="8">
        <v>151</v>
      </c>
      <c r="B304" s="8">
        <v>302</v>
      </c>
      <c r="D304">
        <v>1123.1540425532</v>
      </c>
      <c r="E304">
        <v>356.25276595744998</v>
      </c>
      <c r="F304">
        <v>154.12628865978999</v>
      </c>
      <c r="G304">
        <v>121.07560137457</v>
      </c>
      <c r="I304" s="9">
        <f t="shared" si="40"/>
        <v>235.17716458287998</v>
      </c>
      <c r="J304" s="9">
        <f t="shared" si="41"/>
        <v>969.02775389341002</v>
      </c>
      <c r="K304" s="9">
        <f t="shared" si="31"/>
        <v>235.17716458287998</v>
      </c>
      <c r="L304" s="10">
        <f t="shared" si="30"/>
        <v>0.24269394105377576</v>
      </c>
      <c r="M304" s="10">
        <f t="shared" si="42"/>
        <v>0.2587327915018835</v>
      </c>
      <c r="N304" s="1"/>
      <c r="P304" s="8">
        <f t="shared" si="43"/>
        <v>7.8270006616952781</v>
      </c>
    </row>
    <row r="305" spans="1:16" x14ac:dyDescent="0.2">
      <c r="A305" s="8">
        <v>151.5</v>
      </c>
      <c r="B305" s="8">
        <v>303</v>
      </c>
      <c r="D305">
        <v>1114.1804255319</v>
      </c>
      <c r="E305">
        <v>352.77787234043001</v>
      </c>
      <c r="F305">
        <v>154.81443298969</v>
      </c>
      <c r="G305">
        <v>120.6469072165</v>
      </c>
      <c r="I305" s="9">
        <f t="shared" si="40"/>
        <v>232.13096512393003</v>
      </c>
      <c r="J305" s="9">
        <f t="shared" si="41"/>
        <v>959.36599254221005</v>
      </c>
      <c r="K305" s="9">
        <f t="shared" si="31"/>
        <v>232.13096512393003</v>
      </c>
      <c r="L305" s="10">
        <f t="shared" si="30"/>
        <v>0.24196288687366282</v>
      </c>
      <c r="M305" s="10">
        <f t="shared" si="42"/>
        <v>0.25805484609808882</v>
      </c>
      <c r="P305" s="8">
        <f t="shared" si="43"/>
        <v>7.5444666269514462</v>
      </c>
    </row>
    <row r="306" spans="1:16" x14ac:dyDescent="0.2">
      <c r="A306" s="8">
        <v>152</v>
      </c>
      <c r="B306" s="8">
        <v>304</v>
      </c>
      <c r="D306">
        <v>1120.8374679213</v>
      </c>
      <c r="E306">
        <v>358.56715141145997</v>
      </c>
      <c r="F306">
        <v>154.61597938144001</v>
      </c>
      <c r="G306">
        <v>121.12714776631999</v>
      </c>
      <c r="I306" s="9">
        <f t="shared" si="40"/>
        <v>237.44000364514</v>
      </c>
      <c r="J306" s="9">
        <f t="shared" si="41"/>
        <v>966.22148853986005</v>
      </c>
      <c r="K306" s="9">
        <f t="shared" si="31"/>
        <v>237.44000364514</v>
      </c>
      <c r="L306" s="10">
        <f t="shared" si="30"/>
        <v>0.24574076074829995</v>
      </c>
      <c r="M306" s="10">
        <f t="shared" si="42"/>
        <v>0.26188582874904415</v>
      </c>
      <c r="P306" s="8">
        <f t="shared" si="43"/>
        <v>9.1410302725630075</v>
      </c>
    </row>
    <row r="307" spans="1:16" x14ac:dyDescent="0.2">
      <c r="A307" s="8">
        <v>152.5</v>
      </c>
      <c r="B307" s="8">
        <v>305</v>
      </c>
      <c r="D307">
        <v>1106.3986313088001</v>
      </c>
      <c r="E307">
        <v>364.82549187339998</v>
      </c>
      <c r="F307">
        <v>153.99484536083</v>
      </c>
      <c r="G307">
        <v>121.05498281787</v>
      </c>
      <c r="I307" s="9">
        <f t="shared" si="40"/>
        <v>243.77050905553</v>
      </c>
      <c r="J307" s="9">
        <f t="shared" si="41"/>
        <v>952.40378594797005</v>
      </c>
      <c r="K307" s="9">
        <f t="shared" si="31"/>
        <v>243.77050905553</v>
      </c>
      <c r="L307" s="10">
        <f t="shared" si="30"/>
        <v>0.25595289797477477</v>
      </c>
      <c r="M307" s="10">
        <f t="shared" si="42"/>
        <v>0.27215107475183725</v>
      </c>
      <c r="P307" s="8">
        <f t="shared" si="43"/>
        <v>13.419075900681928</v>
      </c>
    </row>
    <row r="308" spans="1:16" x14ac:dyDescent="0.2">
      <c r="A308" s="8">
        <v>153</v>
      </c>
      <c r="B308" s="8">
        <v>306</v>
      </c>
      <c r="D308">
        <v>1084.0461933275999</v>
      </c>
      <c r="E308">
        <v>359.96663815226998</v>
      </c>
      <c r="F308">
        <v>154.31529209621999</v>
      </c>
      <c r="G308">
        <v>120.54896907217</v>
      </c>
      <c r="I308" s="9">
        <f t="shared" si="40"/>
        <v>239.41766908009998</v>
      </c>
      <c r="J308" s="9">
        <f t="shared" si="41"/>
        <v>929.7309012313799</v>
      </c>
      <c r="K308" s="9">
        <f t="shared" si="31"/>
        <v>239.41766908009998</v>
      </c>
      <c r="L308" s="10">
        <f t="shared" si="30"/>
        <v>0.25751286610244301</v>
      </c>
      <c r="M308" s="10">
        <f t="shared" si="42"/>
        <v>0.27376415165582368</v>
      </c>
      <c r="P308" s="8">
        <f t="shared" si="43"/>
        <v>14.09132638498996</v>
      </c>
    </row>
    <row r="309" spans="1:16" x14ac:dyDescent="0.2">
      <c r="A309" s="8">
        <v>153.5</v>
      </c>
      <c r="B309" s="8">
        <v>307</v>
      </c>
      <c r="D309">
        <v>1100.3066322136001</v>
      </c>
      <c r="E309">
        <v>360.22739018087998</v>
      </c>
      <c r="F309">
        <v>154.52405498281999</v>
      </c>
      <c r="G309">
        <v>121.15807560138001</v>
      </c>
      <c r="I309" s="9">
        <f t="shared" si="40"/>
        <v>239.06931457949997</v>
      </c>
      <c r="J309" s="9">
        <f t="shared" si="41"/>
        <v>945.78257723078013</v>
      </c>
      <c r="K309" s="9">
        <f t="shared" si="31"/>
        <v>239.06931457949997</v>
      </c>
      <c r="L309" s="10">
        <f t="shared" si="30"/>
        <v>0.25277407338110092</v>
      </c>
      <c r="M309" s="10">
        <f t="shared" si="42"/>
        <v>0.26907846771079985</v>
      </c>
      <c r="P309" s="8">
        <f t="shared" si="43"/>
        <v>12.138565612349737</v>
      </c>
    </row>
    <row r="310" spans="1:16" x14ac:dyDescent="0.2">
      <c r="A310" s="8">
        <v>154</v>
      </c>
      <c r="B310" s="8">
        <v>308</v>
      </c>
      <c r="D310">
        <v>1098.8682170543</v>
      </c>
      <c r="E310">
        <v>358.40223944874998</v>
      </c>
      <c r="F310">
        <v>154.64175257732001</v>
      </c>
      <c r="G310">
        <v>120.62972508591</v>
      </c>
      <c r="I310" s="9">
        <f>E310-G310</f>
        <v>237.77251436283998</v>
      </c>
      <c r="J310" s="9">
        <f>D310-F310</f>
        <v>944.22646447698003</v>
      </c>
      <c r="K310" s="9">
        <f t="shared" si="31"/>
        <v>237.77251436283998</v>
      </c>
      <c r="L310" s="10">
        <f t="shared" si="30"/>
        <v>0.25181725286056816</v>
      </c>
      <c r="M310" s="10">
        <f>L310+ABS($N$2)*A310</f>
        <v>0.26817475596658535</v>
      </c>
      <c r="O310" s="11"/>
      <c r="P310" s="8">
        <f>(M310-$O$2)/$O$2*100</f>
        <v>11.761943359423251</v>
      </c>
    </row>
    <row r="311" spans="1:16" x14ac:dyDescent="0.2">
      <c r="A311" s="8">
        <v>154.5</v>
      </c>
      <c r="B311" s="8">
        <v>309</v>
      </c>
      <c r="D311">
        <v>1037.2144702841999</v>
      </c>
      <c r="E311">
        <v>343.11972437553999</v>
      </c>
      <c r="F311">
        <v>154.91151202749001</v>
      </c>
      <c r="G311">
        <v>120.8058419244</v>
      </c>
      <c r="I311" s="9">
        <f t="shared" ref="I311:I319" si="44">E311-G311</f>
        <v>222.31388245113999</v>
      </c>
      <c r="J311" s="9">
        <f t="shared" ref="J311:J319" si="45">D311-F311</f>
        <v>882.30295825670987</v>
      </c>
      <c r="K311" s="9">
        <f t="shared" si="31"/>
        <v>222.31388245113999</v>
      </c>
      <c r="L311" s="10">
        <f t="shared" si="30"/>
        <v>0.25197000686747872</v>
      </c>
      <c r="M311" s="10">
        <f t="shared" ref="M311:M319" si="46">L311+ABS($N$2)*A311</f>
        <v>0.26838061874981411</v>
      </c>
      <c r="P311" s="8">
        <f t="shared" ref="P311:P319" si="47">(M311-$O$2)/$O$2*100</f>
        <v>11.847736761699686</v>
      </c>
    </row>
    <row r="312" spans="1:16" x14ac:dyDescent="0.2">
      <c r="A312" s="8">
        <v>155</v>
      </c>
      <c r="B312" s="8">
        <v>310</v>
      </c>
      <c r="D312">
        <v>1041.1412575366001</v>
      </c>
      <c r="E312">
        <v>343.35142118863001</v>
      </c>
      <c r="F312">
        <v>154.18213058418999</v>
      </c>
      <c r="G312">
        <v>120.73109965636</v>
      </c>
      <c r="I312" s="9">
        <f t="shared" si="44"/>
        <v>222.62032153227</v>
      </c>
      <c r="J312" s="9">
        <f t="shared" si="45"/>
        <v>886.95912695241009</v>
      </c>
      <c r="K312" s="9">
        <f t="shared" si="31"/>
        <v>222.62032153227</v>
      </c>
      <c r="L312" s="10">
        <f t="shared" si="30"/>
        <v>0.2509927625382164</v>
      </c>
      <c r="M312" s="10">
        <f t="shared" si="46"/>
        <v>0.26745648319687004</v>
      </c>
      <c r="N312" s="1"/>
      <c r="P312" s="8">
        <f t="shared" si="47"/>
        <v>11.462602877817513</v>
      </c>
    </row>
    <row r="313" spans="1:16" x14ac:dyDescent="0.2">
      <c r="A313" s="8">
        <v>155.5</v>
      </c>
      <c r="B313" s="8">
        <v>311</v>
      </c>
      <c r="D313">
        <v>1048.3290267011</v>
      </c>
      <c r="E313">
        <v>346.23944875107998</v>
      </c>
      <c r="F313">
        <v>153.9733676976</v>
      </c>
      <c r="G313">
        <v>120.72766323024</v>
      </c>
      <c r="I313" s="9">
        <f t="shared" si="44"/>
        <v>225.51178552083996</v>
      </c>
      <c r="J313" s="9">
        <f t="shared" si="45"/>
        <v>894.35565900350002</v>
      </c>
      <c r="K313" s="9">
        <f t="shared" si="31"/>
        <v>225.51178552083996</v>
      </c>
      <c r="L313" s="10">
        <f t="shared" si="30"/>
        <v>0.25215000682402733</v>
      </c>
      <c r="M313" s="10">
        <f t="shared" si="46"/>
        <v>0.26866683625899923</v>
      </c>
      <c r="P313" s="8">
        <f t="shared" si="47"/>
        <v>11.967018030120073</v>
      </c>
    </row>
    <row r="314" spans="1:16" x14ac:dyDescent="0.2">
      <c r="A314" s="8">
        <v>156</v>
      </c>
      <c r="B314" s="8">
        <v>312</v>
      </c>
      <c r="D314">
        <v>1044.5788113695</v>
      </c>
      <c r="E314">
        <v>348.91042204996</v>
      </c>
      <c r="F314">
        <v>153.86254295533001</v>
      </c>
      <c r="G314">
        <v>120.77233676976</v>
      </c>
      <c r="I314" s="9">
        <f t="shared" si="44"/>
        <v>228.13808528020002</v>
      </c>
      <c r="J314" s="9">
        <f t="shared" si="45"/>
        <v>890.71626841417003</v>
      </c>
      <c r="K314" s="9">
        <f t="shared" si="31"/>
        <v>228.13808528020002</v>
      </c>
      <c r="L314" s="10">
        <f t="shared" si="30"/>
        <v>0.25612879585816561</v>
      </c>
      <c r="M314" s="10">
        <f t="shared" si="46"/>
        <v>0.27269873406945572</v>
      </c>
      <c r="P314" s="8">
        <f t="shared" si="47"/>
        <v>13.647313153719875</v>
      </c>
    </row>
    <row r="315" spans="1:16" x14ac:dyDescent="0.2">
      <c r="A315" s="8">
        <v>156.5</v>
      </c>
      <c r="B315" s="8">
        <v>313</v>
      </c>
      <c r="D315">
        <v>1131.7348160821</v>
      </c>
      <c r="E315">
        <v>362.75449101795999</v>
      </c>
      <c r="F315">
        <v>154.56615120275001</v>
      </c>
      <c r="G315">
        <v>120.66666666667</v>
      </c>
      <c r="I315" s="9">
        <f t="shared" si="44"/>
        <v>242.08782435129001</v>
      </c>
      <c r="J315" s="9">
        <f t="shared" si="45"/>
        <v>977.16866487934999</v>
      </c>
      <c r="K315" s="9">
        <f t="shared" si="31"/>
        <v>242.08782435129001</v>
      </c>
      <c r="L315" s="10">
        <f t="shared" si="30"/>
        <v>0.24774415415907788</v>
      </c>
      <c r="M315" s="10">
        <f t="shared" si="46"/>
        <v>0.26436720114668621</v>
      </c>
      <c r="P315" s="8">
        <f t="shared" si="47"/>
        <v>10.175143272346864</v>
      </c>
    </row>
    <row r="316" spans="1:16" x14ac:dyDescent="0.2">
      <c r="A316" s="8">
        <v>157</v>
      </c>
      <c r="B316" s="8">
        <v>314</v>
      </c>
      <c r="D316">
        <v>1132.0564585116001</v>
      </c>
      <c r="E316">
        <v>360.85286569717999</v>
      </c>
      <c r="F316">
        <v>152.75</v>
      </c>
      <c r="G316">
        <v>120.53092783504999</v>
      </c>
      <c r="I316" s="9">
        <f t="shared" si="44"/>
        <v>240.32193786213</v>
      </c>
      <c r="J316" s="9">
        <f t="shared" si="45"/>
        <v>979.30645851160011</v>
      </c>
      <c r="K316" s="9">
        <f t="shared" si="31"/>
        <v>240.32193786213</v>
      </c>
      <c r="L316" s="10">
        <f t="shared" si="30"/>
        <v>0.2454001357525851</v>
      </c>
      <c r="M316" s="10">
        <f t="shared" si="46"/>
        <v>0.26207629151651168</v>
      </c>
      <c r="P316" s="8">
        <f t="shared" si="47"/>
        <v>9.2204057117353599</v>
      </c>
    </row>
    <row r="317" spans="1:16" x14ac:dyDescent="0.2">
      <c r="A317" s="8">
        <v>157.5</v>
      </c>
      <c r="B317" s="8">
        <v>315</v>
      </c>
      <c r="D317">
        <v>1124.7177074423</v>
      </c>
      <c r="E317">
        <v>361.60222412318001</v>
      </c>
      <c r="F317">
        <v>153.92182130584001</v>
      </c>
      <c r="G317">
        <v>120.96305841924</v>
      </c>
      <c r="I317" s="9">
        <f t="shared" si="44"/>
        <v>240.63916570394002</v>
      </c>
      <c r="J317" s="9">
        <f t="shared" si="45"/>
        <v>970.79588613646001</v>
      </c>
      <c r="K317" s="9">
        <f t="shared" si="31"/>
        <v>240.63916570394002</v>
      </c>
      <c r="L317" s="10">
        <f t="shared" si="30"/>
        <v>0.2478782297498473</v>
      </c>
      <c r="M317" s="10">
        <f t="shared" si="46"/>
        <v>0.26460749429009212</v>
      </c>
      <c r="P317" s="8">
        <f t="shared" si="47"/>
        <v>10.275285541838979</v>
      </c>
    </row>
    <row r="318" spans="1:16" x14ac:dyDescent="0.2">
      <c r="A318" s="8">
        <v>158</v>
      </c>
      <c r="B318" s="8">
        <v>316</v>
      </c>
      <c r="D318">
        <v>1133.3917878529001</v>
      </c>
      <c r="E318">
        <v>361.20017108640002</v>
      </c>
      <c r="F318">
        <v>154.91666666667001</v>
      </c>
      <c r="G318">
        <v>120.73797250859</v>
      </c>
      <c r="I318" s="9">
        <f t="shared" si="44"/>
        <v>240.46219857781</v>
      </c>
      <c r="J318" s="9">
        <f t="shared" si="45"/>
        <v>978.47512118623001</v>
      </c>
      <c r="K318" s="9">
        <f t="shared" si="31"/>
        <v>240.46219857781</v>
      </c>
      <c r="L318" s="10">
        <f t="shared" si="30"/>
        <v>0.24575198016919594</v>
      </c>
      <c r="M318" s="10">
        <f t="shared" si="46"/>
        <v>0.26253435348575904</v>
      </c>
      <c r="P318" s="8">
        <f t="shared" si="47"/>
        <v>9.4113032318155412</v>
      </c>
    </row>
    <row r="319" spans="1:16" x14ac:dyDescent="0.2">
      <c r="A319" s="8">
        <v>158.5</v>
      </c>
      <c r="B319" s="8">
        <v>317</v>
      </c>
      <c r="D319">
        <v>1124.2720273738</v>
      </c>
      <c r="E319">
        <v>359.90248075277998</v>
      </c>
      <c r="F319">
        <v>154.17955326461001</v>
      </c>
      <c r="G319">
        <v>120.74054982817999</v>
      </c>
      <c r="I319" s="9">
        <f t="shared" si="44"/>
        <v>239.16193092459997</v>
      </c>
      <c r="J319" s="9">
        <f t="shared" si="45"/>
        <v>970.09247410918999</v>
      </c>
      <c r="K319" s="9">
        <f t="shared" si="31"/>
        <v>239.16193092459997</v>
      </c>
      <c r="L319" s="10">
        <f t="shared" si="30"/>
        <v>0.24653518845635411</v>
      </c>
      <c r="M319" s="10">
        <f t="shared" si="46"/>
        <v>0.26337067054923541</v>
      </c>
      <c r="P319" s="8">
        <f t="shared" si="47"/>
        <v>9.7598387229428685</v>
      </c>
    </row>
    <row r="320" spans="1:16" x14ac:dyDescent="0.2">
      <c r="A320" s="8">
        <v>159</v>
      </c>
      <c r="B320" s="8">
        <v>318</v>
      </c>
      <c r="D320">
        <v>1128.4764756202001</v>
      </c>
      <c r="E320">
        <v>359.97690333618999</v>
      </c>
      <c r="F320">
        <v>154.18728522337</v>
      </c>
      <c r="G320">
        <v>120.64347079037999</v>
      </c>
      <c r="I320" s="9">
        <f>E320-G320</f>
        <v>239.33343254581001</v>
      </c>
      <c r="J320" s="9">
        <f>D320-F320</f>
        <v>974.28919039683001</v>
      </c>
      <c r="K320" s="9">
        <f t="shared" si="31"/>
        <v>239.33343254581001</v>
      </c>
      <c r="L320" s="10">
        <f t="shared" si="30"/>
        <v>0.24564927426561001</v>
      </c>
      <c r="M320" s="10">
        <f>L320+ABS($N$2)*A320</f>
        <v>0.26253786513480953</v>
      </c>
      <c r="O320" s="11"/>
      <c r="P320" s="8">
        <f>(M320-$O$2)/$O$2*100</f>
        <v>9.4127667130476382</v>
      </c>
    </row>
    <row r="321" spans="1:16" x14ac:dyDescent="0.2">
      <c r="A321" s="8">
        <v>159.5</v>
      </c>
      <c r="B321" s="8">
        <v>319</v>
      </c>
      <c r="D321">
        <v>1122.9666381523</v>
      </c>
      <c r="E321">
        <v>364.86142001710999</v>
      </c>
      <c r="F321">
        <v>154.00601374569999</v>
      </c>
      <c r="G321">
        <v>121.07731958763</v>
      </c>
      <c r="I321" s="9">
        <f t="shared" ref="I321:I322" si="48">E321-G321</f>
        <v>243.78410042947999</v>
      </c>
      <c r="J321" s="9">
        <f t="shared" ref="J321:J322" si="49">D321-F321</f>
        <v>968.9606244066</v>
      </c>
      <c r="K321" s="9">
        <f t="shared" si="31"/>
        <v>243.78410042947999</v>
      </c>
      <c r="L321" s="10">
        <f t="shared" si="30"/>
        <v>0.25159340254798851</v>
      </c>
      <c r="M321" s="10">
        <f t="shared" ref="M321:M322" si="50">L321+ABS($N$2)*A321</f>
        <v>0.26853510219350629</v>
      </c>
      <c r="P321" s="8">
        <f t="shared" ref="P321:P322" si="51">(M321-$O$2)/$O$2*100</f>
        <v>11.912117802419434</v>
      </c>
    </row>
    <row r="322" spans="1:16" x14ac:dyDescent="0.2">
      <c r="A322" s="8">
        <v>160</v>
      </c>
      <c r="D322">
        <v>1166.1479897347999</v>
      </c>
      <c r="E322">
        <v>378.46877673224998</v>
      </c>
      <c r="F322">
        <v>154.08676975944999</v>
      </c>
      <c r="G322">
        <v>120.28006872852001</v>
      </c>
      <c r="I322" s="9">
        <f t="shared" si="48"/>
        <v>258.18870800372997</v>
      </c>
      <c r="J322" s="9">
        <f t="shared" si="49"/>
        <v>1012.0612199753499</v>
      </c>
      <c r="K322" s="9">
        <f t="shared" si="31"/>
        <v>258.18870800372997</v>
      </c>
      <c r="L322" s="10">
        <f t="shared" ref="L322" si="52">K322/J322</f>
        <v>0.25511174907978246</v>
      </c>
      <c r="M322" s="10">
        <f t="shared" si="50"/>
        <v>0.2721065575016185</v>
      </c>
      <c r="P322" s="8">
        <f t="shared" si="51"/>
        <v>13.400523317760641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240823B007</vt:lpstr>
      <vt:lpstr>240823B010</vt:lpstr>
      <vt:lpstr>240823B011</vt:lpstr>
      <vt:lpstr>240823B013</vt:lpstr>
      <vt:lpstr>240823B015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2024-08-24T17:05:46Z</dcterms:modified>
</cp:coreProperties>
</file>