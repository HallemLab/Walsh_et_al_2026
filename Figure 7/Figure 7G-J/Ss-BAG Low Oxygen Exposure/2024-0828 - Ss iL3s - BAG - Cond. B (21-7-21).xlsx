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8/"/>
    </mc:Choice>
  </mc:AlternateContent>
  <xr:revisionPtr revIDLastSave="0" documentId="13_ncr:1_{F86B0920-5BA6-574A-8AAD-581F986322EB}" xr6:coauthVersionLast="47" xr6:coauthVersionMax="47" xr10:uidLastSave="{00000000-0000-0000-0000-000000000000}"/>
  <bookViews>
    <workbookView xWindow="740" yWindow="500" windowWidth="28060" windowHeight="15620" activeTab="3" xr2:uid="{703F31A7-3FB6-4B05-8EA8-379C6E25ED1D}"/>
  </bookViews>
  <sheets>
    <sheet name="240828B007" sheetId="17" r:id="rId1"/>
    <sheet name="240828B008" sheetId="1" r:id="rId2"/>
    <sheet name="240828B012" sheetId="9" r:id="rId3"/>
    <sheet name="240828B013" sheetId="16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7" l="1"/>
  <c r="I322" i="17"/>
  <c r="K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J316" i="17"/>
  <c r="I316" i="17"/>
  <c r="K316" i="17" s="1"/>
  <c r="J315" i="17"/>
  <c r="I315" i="17"/>
  <c r="K315" i="17" s="1"/>
  <c r="J314" i="17"/>
  <c r="I314" i="17"/>
  <c r="K314" i="17" s="1"/>
  <c r="L314" i="17" s="1"/>
  <c r="V96" i="17" s="1"/>
  <c r="J313" i="17"/>
  <c r="I313" i="17"/>
  <c r="K313" i="17" s="1"/>
  <c r="J312" i="17"/>
  <c r="I312" i="17"/>
  <c r="K312" i="17" s="1"/>
  <c r="J311" i="17"/>
  <c r="I311" i="17"/>
  <c r="K311" i="17" s="1"/>
  <c r="J310" i="17"/>
  <c r="I310" i="17"/>
  <c r="K310" i="17" s="1"/>
  <c r="L310" i="17" s="1"/>
  <c r="J309" i="17"/>
  <c r="I309" i="17"/>
  <c r="K309" i="17" s="1"/>
  <c r="J308" i="17"/>
  <c r="I308" i="17"/>
  <c r="K308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J295" i="17"/>
  <c r="I295" i="17"/>
  <c r="K295" i="17" s="1"/>
  <c r="J294" i="17"/>
  <c r="I294" i="17"/>
  <c r="K294" i="17" s="1"/>
  <c r="J293" i="17"/>
  <c r="I293" i="17"/>
  <c r="K293" i="17" s="1"/>
  <c r="J292" i="17"/>
  <c r="I292" i="17"/>
  <c r="K292" i="17" s="1"/>
  <c r="J291" i="17"/>
  <c r="I291" i="17"/>
  <c r="K291" i="17" s="1"/>
  <c r="J290" i="17"/>
  <c r="I290" i="17"/>
  <c r="K290" i="17" s="1"/>
  <c r="L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L286" i="17" s="1"/>
  <c r="J285" i="17"/>
  <c r="I285" i="17"/>
  <c r="K285" i="17" s="1"/>
  <c r="J284" i="17"/>
  <c r="I284" i="17"/>
  <c r="K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J271" i="17"/>
  <c r="I271" i="17"/>
  <c r="K271" i="17" s="1"/>
  <c r="J270" i="17"/>
  <c r="I270" i="17"/>
  <c r="K270" i="17" s="1"/>
  <c r="J269" i="17"/>
  <c r="I269" i="17"/>
  <c r="K269" i="17" s="1"/>
  <c r="J268" i="17"/>
  <c r="I268" i="17"/>
  <c r="K268" i="17" s="1"/>
  <c r="J267" i="17"/>
  <c r="I267" i="17"/>
  <c r="K267" i="17" s="1"/>
  <c r="J266" i="17"/>
  <c r="I266" i="17"/>
  <c r="K266" i="17" s="1"/>
  <c r="J265" i="17"/>
  <c r="I265" i="17"/>
  <c r="K265" i="17" s="1"/>
  <c r="J264" i="17"/>
  <c r="I264" i="17"/>
  <c r="K264" i="17" s="1"/>
  <c r="J263" i="17"/>
  <c r="I263" i="17"/>
  <c r="K263" i="17" s="1"/>
  <c r="J262" i="17"/>
  <c r="I262" i="17"/>
  <c r="K262" i="17" s="1"/>
  <c r="L262" i="17" s="1"/>
  <c r="J261" i="17"/>
  <c r="I261" i="17"/>
  <c r="K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J256" i="17"/>
  <c r="I256" i="17"/>
  <c r="K256" i="17" s="1"/>
  <c r="J255" i="17"/>
  <c r="I255" i="17"/>
  <c r="K255" i="17" s="1"/>
  <c r="J254" i="17"/>
  <c r="I254" i="17"/>
  <c r="K254" i="17" s="1"/>
  <c r="L254" i="17" s="1"/>
  <c r="J253" i="17"/>
  <c r="I253" i="17"/>
  <c r="K253" i="17" s="1"/>
  <c r="J252" i="17"/>
  <c r="I252" i="17"/>
  <c r="K252" i="17" s="1"/>
  <c r="J251" i="17"/>
  <c r="I251" i="17"/>
  <c r="K251" i="17" s="1"/>
  <c r="J250" i="17"/>
  <c r="I250" i="17"/>
  <c r="K250" i="17" s="1"/>
  <c r="J249" i="17"/>
  <c r="I249" i="17"/>
  <c r="K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J224" i="17"/>
  <c r="I224" i="17"/>
  <c r="K224" i="17" s="1"/>
  <c r="J223" i="17"/>
  <c r="I223" i="17"/>
  <c r="K223" i="17" s="1"/>
  <c r="L223" i="17" s="1"/>
  <c r="J222" i="17"/>
  <c r="I222" i="17"/>
  <c r="K222" i="17" s="1"/>
  <c r="J221" i="17"/>
  <c r="I221" i="17"/>
  <c r="K221" i="17" s="1"/>
  <c r="J220" i="17"/>
  <c r="I220" i="17"/>
  <c r="K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J208" i="17"/>
  <c r="I208" i="17"/>
  <c r="K208" i="17" s="1"/>
  <c r="J207" i="17"/>
  <c r="I207" i="17"/>
  <c r="K207" i="17" s="1"/>
  <c r="L207" i="17" s="1"/>
  <c r="J206" i="17"/>
  <c r="I206" i="17"/>
  <c r="K206" i="17" s="1"/>
  <c r="L206" i="17" s="1"/>
  <c r="J205" i="17"/>
  <c r="I205" i="17"/>
  <c r="K205" i="17" s="1"/>
  <c r="J204" i="17"/>
  <c r="I204" i="17"/>
  <c r="K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J184" i="17"/>
  <c r="I184" i="17"/>
  <c r="K184" i="17" s="1"/>
  <c r="J183" i="17"/>
  <c r="I183" i="17"/>
  <c r="K183" i="17" s="1"/>
  <c r="J182" i="17"/>
  <c r="I182" i="17"/>
  <c r="K182" i="17" s="1"/>
  <c r="J181" i="17"/>
  <c r="I181" i="17"/>
  <c r="K181" i="17" s="1"/>
  <c r="J180" i="17"/>
  <c r="I180" i="17"/>
  <c r="K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J175" i="17"/>
  <c r="I175" i="17"/>
  <c r="K175" i="17" s="1"/>
  <c r="J174" i="17"/>
  <c r="I174" i="17"/>
  <c r="K174" i="17" s="1"/>
  <c r="J173" i="17"/>
  <c r="I173" i="17"/>
  <c r="K173" i="17" s="1"/>
  <c r="J172" i="17"/>
  <c r="I172" i="17"/>
  <c r="K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J132" i="17"/>
  <c r="I132" i="17"/>
  <c r="K132" i="17" s="1"/>
  <c r="J131" i="17"/>
  <c r="I131" i="17"/>
  <c r="K131" i="17" s="1"/>
  <c r="J130" i="17"/>
  <c r="I130" i="17"/>
  <c r="K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J125" i="17"/>
  <c r="I125" i="17"/>
  <c r="K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L115" i="17" s="1"/>
  <c r="J114" i="17"/>
  <c r="I114" i="17"/>
  <c r="K114" i="17" s="1"/>
  <c r="L114" i="17" s="1"/>
  <c r="J113" i="17"/>
  <c r="I113" i="17"/>
  <c r="K113" i="17" s="1"/>
  <c r="J112" i="17"/>
  <c r="I112" i="17"/>
  <c r="K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J107" i="17"/>
  <c r="I107" i="17"/>
  <c r="K107" i="17" s="1"/>
  <c r="J106" i="17"/>
  <c r="I106" i="17"/>
  <c r="K106" i="17" s="1"/>
  <c r="J105" i="17"/>
  <c r="I105" i="17"/>
  <c r="K105" i="17" s="1"/>
  <c r="J104" i="17"/>
  <c r="I104" i="17"/>
  <c r="K104" i="17" s="1"/>
  <c r="J103" i="17"/>
  <c r="I103" i="17"/>
  <c r="K103" i="17" s="1"/>
  <c r="J102" i="17"/>
  <c r="I102" i="17"/>
  <c r="K102" i="17" s="1"/>
  <c r="J101" i="17"/>
  <c r="I101" i="17"/>
  <c r="K101" i="17" s="1"/>
  <c r="J100" i="17"/>
  <c r="I100" i="17"/>
  <c r="K100" i="17" s="1"/>
  <c r="J99" i="17"/>
  <c r="I99" i="17"/>
  <c r="K99" i="17" s="1"/>
  <c r="J98" i="17"/>
  <c r="I98" i="17"/>
  <c r="K98" i="17" s="1"/>
  <c r="J97" i="17"/>
  <c r="I97" i="17"/>
  <c r="K97" i="17" s="1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J92" i="17"/>
  <c r="I92" i="17"/>
  <c r="K92" i="17" s="1"/>
  <c r="J91" i="17"/>
  <c r="I91" i="17"/>
  <c r="K91" i="17" s="1"/>
  <c r="J90" i="17"/>
  <c r="I90" i="17"/>
  <c r="K90" i="17" s="1"/>
  <c r="J89" i="17"/>
  <c r="I89" i="17"/>
  <c r="K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J84" i="17"/>
  <c r="I84" i="17"/>
  <c r="K84" i="17" s="1"/>
  <c r="J83" i="17"/>
  <c r="I83" i="17"/>
  <c r="K83" i="17" s="1"/>
  <c r="J82" i="17"/>
  <c r="I82" i="17"/>
  <c r="K82" i="17" s="1"/>
  <c r="J81" i="17"/>
  <c r="I81" i="17"/>
  <c r="K81" i="17" s="1"/>
  <c r="J80" i="17"/>
  <c r="I80" i="17"/>
  <c r="K80" i="17" s="1"/>
  <c r="J79" i="17"/>
  <c r="I79" i="17"/>
  <c r="K79" i="17" s="1"/>
  <c r="J78" i="17"/>
  <c r="I78" i="17"/>
  <c r="K78" i="17" s="1"/>
  <c r="L78" i="17" s="1"/>
  <c r="J77" i="17"/>
  <c r="I77" i="17"/>
  <c r="K77" i="17" s="1"/>
  <c r="J76" i="17"/>
  <c r="I76" i="17"/>
  <c r="K76" i="17" s="1"/>
  <c r="J75" i="17"/>
  <c r="I75" i="17"/>
  <c r="K75" i="17" s="1"/>
  <c r="J74" i="17"/>
  <c r="I74" i="17"/>
  <c r="K74" i="17" s="1"/>
  <c r="L74" i="17" s="1"/>
  <c r="J73" i="17"/>
  <c r="I73" i="17"/>
  <c r="K73" i="17" s="1"/>
  <c r="J72" i="17"/>
  <c r="I72" i="17"/>
  <c r="K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J63" i="17"/>
  <c r="I63" i="17"/>
  <c r="K63" i="17" s="1"/>
  <c r="J62" i="17"/>
  <c r="I62" i="17"/>
  <c r="K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J57" i="17"/>
  <c r="I57" i="17"/>
  <c r="K57" i="17" s="1"/>
  <c r="J56" i="17"/>
  <c r="I56" i="17"/>
  <c r="K56" i="17" s="1"/>
  <c r="J55" i="17"/>
  <c r="I55" i="17"/>
  <c r="K55" i="17" s="1"/>
  <c r="L55" i="17" s="1"/>
  <c r="J54" i="17"/>
  <c r="I54" i="17"/>
  <c r="K54" i="17" s="1"/>
  <c r="J53" i="17"/>
  <c r="I53" i="17"/>
  <c r="K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J40" i="17"/>
  <c r="I40" i="17"/>
  <c r="K40" i="17" s="1"/>
  <c r="J39" i="17"/>
  <c r="I39" i="17"/>
  <c r="K39" i="17" s="1"/>
  <c r="J38" i="17"/>
  <c r="I38" i="17"/>
  <c r="K38" i="17" s="1"/>
  <c r="J37" i="17"/>
  <c r="I37" i="17"/>
  <c r="K37" i="17" s="1"/>
  <c r="J36" i="17"/>
  <c r="I36" i="17"/>
  <c r="K36" i="17" s="1"/>
  <c r="J35" i="17"/>
  <c r="I35" i="17"/>
  <c r="K35" i="17" s="1"/>
  <c r="L35" i="17" s="1"/>
  <c r="J34" i="17"/>
  <c r="I34" i="17"/>
  <c r="K34" i="17" s="1"/>
  <c r="J33" i="17"/>
  <c r="I33" i="17"/>
  <c r="K33" i="17" s="1"/>
  <c r="J32" i="17"/>
  <c r="I32" i="17"/>
  <c r="K32" i="17" s="1"/>
  <c r="J31" i="17"/>
  <c r="I31" i="17"/>
  <c r="K31" i="17" s="1"/>
  <c r="L31" i="17" s="1"/>
  <c r="J30" i="17"/>
  <c r="I30" i="17"/>
  <c r="K30" i="17" s="1"/>
  <c r="J29" i="17"/>
  <c r="I29" i="17"/>
  <c r="K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L22" i="17" s="1"/>
  <c r="J21" i="17"/>
  <c r="I21" i="17"/>
  <c r="K21" i="17" s="1"/>
  <c r="J20" i="17"/>
  <c r="I20" i="17"/>
  <c r="K20" i="17" s="1"/>
  <c r="J19" i="17"/>
  <c r="I19" i="17"/>
  <c r="K19" i="17" s="1"/>
  <c r="J18" i="17"/>
  <c r="I18" i="17"/>
  <c r="K18" i="17" s="1"/>
  <c r="L18" i="17" s="1"/>
  <c r="J17" i="17"/>
  <c r="I17" i="17"/>
  <c r="K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J315" i="16"/>
  <c r="I315" i="16"/>
  <c r="K315" i="16" s="1"/>
  <c r="J314" i="16"/>
  <c r="I314" i="16"/>
  <c r="K314" i="16" s="1"/>
  <c r="J313" i="16"/>
  <c r="I313" i="16"/>
  <c r="K313" i="16" s="1"/>
  <c r="J312" i="16"/>
  <c r="I312" i="16"/>
  <c r="K312" i="16" s="1"/>
  <c r="J311" i="16"/>
  <c r="I311" i="16"/>
  <c r="K311" i="16" s="1"/>
  <c r="J310" i="16"/>
  <c r="I310" i="16"/>
  <c r="K310" i="16" s="1"/>
  <c r="J309" i="16"/>
  <c r="I309" i="16"/>
  <c r="K309" i="16" s="1"/>
  <c r="J308" i="16"/>
  <c r="I308" i="16"/>
  <c r="K308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J275" i="16"/>
  <c r="I275" i="16"/>
  <c r="K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J263" i="16"/>
  <c r="I263" i="16"/>
  <c r="K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J258" i="16"/>
  <c r="I258" i="16"/>
  <c r="K258" i="16" s="1"/>
  <c r="L258" i="16" s="1"/>
  <c r="J257" i="16"/>
  <c r="I257" i="16"/>
  <c r="K257" i="16" s="1"/>
  <c r="J256" i="16"/>
  <c r="I256" i="16"/>
  <c r="K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J251" i="16"/>
  <c r="I251" i="16"/>
  <c r="K251" i="16" s="1"/>
  <c r="J250" i="16"/>
  <c r="I250" i="16"/>
  <c r="K250" i="16" s="1"/>
  <c r="L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J243" i="16"/>
  <c r="I243" i="16"/>
  <c r="K243" i="16" s="1"/>
  <c r="J242" i="16"/>
  <c r="I242" i="16"/>
  <c r="K242" i="16" s="1"/>
  <c r="L242" i="16" s="1"/>
  <c r="J241" i="16"/>
  <c r="I241" i="16"/>
  <c r="K241" i="16" s="1"/>
  <c r="J240" i="16"/>
  <c r="I240" i="16"/>
  <c r="K240" i="16" s="1"/>
  <c r="J239" i="16"/>
  <c r="I239" i="16"/>
  <c r="K239" i="16" s="1"/>
  <c r="J238" i="16"/>
  <c r="I238" i="16"/>
  <c r="K238" i="16" s="1"/>
  <c r="L238" i="16" s="1"/>
  <c r="J237" i="16"/>
  <c r="I237" i="16"/>
  <c r="K237" i="16" s="1"/>
  <c r="J236" i="16"/>
  <c r="I236" i="16"/>
  <c r="K236" i="16" s="1"/>
  <c r="J235" i="16"/>
  <c r="I235" i="16"/>
  <c r="K235" i="16" s="1"/>
  <c r="J234" i="16"/>
  <c r="I234" i="16"/>
  <c r="K234" i="16" s="1"/>
  <c r="L234" i="16" s="1"/>
  <c r="J233" i="16"/>
  <c r="I233" i="16"/>
  <c r="K233" i="16" s="1"/>
  <c r="J232" i="16"/>
  <c r="I232" i="16"/>
  <c r="K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J219" i="16"/>
  <c r="I219" i="16"/>
  <c r="K219" i="16" s="1"/>
  <c r="J218" i="16"/>
  <c r="I218" i="16"/>
  <c r="K218" i="16" s="1"/>
  <c r="L218" i="16" s="1"/>
  <c r="J217" i="16"/>
  <c r="I217" i="16"/>
  <c r="K217" i="16" s="1"/>
  <c r="J216" i="16"/>
  <c r="I216" i="16"/>
  <c r="K216" i="16" s="1"/>
  <c r="J215" i="16"/>
  <c r="I215" i="16"/>
  <c r="K215" i="16" s="1"/>
  <c r="J214" i="16"/>
  <c r="I214" i="16"/>
  <c r="K214" i="16" s="1"/>
  <c r="J213" i="16"/>
  <c r="I213" i="16"/>
  <c r="K213" i="16" s="1"/>
  <c r="J212" i="16"/>
  <c r="I212" i="16"/>
  <c r="K212" i="16" s="1"/>
  <c r="J211" i="16"/>
  <c r="I211" i="16"/>
  <c r="K211" i="16" s="1"/>
  <c r="J210" i="16"/>
  <c r="I210" i="16"/>
  <c r="K210" i="16" s="1"/>
  <c r="J209" i="16"/>
  <c r="I209" i="16"/>
  <c r="K209" i="16" s="1"/>
  <c r="J208" i="16"/>
  <c r="I208" i="16"/>
  <c r="K208" i="16" s="1"/>
  <c r="J207" i="16"/>
  <c r="I207" i="16"/>
  <c r="K207" i="16" s="1"/>
  <c r="J206" i="16"/>
  <c r="I206" i="16"/>
  <c r="K206" i="16" s="1"/>
  <c r="L206" i="16" s="1"/>
  <c r="J205" i="16"/>
  <c r="I205" i="16"/>
  <c r="K205" i="16" s="1"/>
  <c r="J204" i="16"/>
  <c r="I204" i="16"/>
  <c r="K204" i="16" s="1"/>
  <c r="J203" i="16"/>
  <c r="I203" i="16"/>
  <c r="K203" i="16" s="1"/>
  <c r="J202" i="16"/>
  <c r="I202" i="16"/>
  <c r="K202" i="16" s="1"/>
  <c r="L202" i="16" s="1"/>
  <c r="J201" i="16"/>
  <c r="I201" i="16"/>
  <c r="K201" i="16" s="1"/>
  <c r="J200" i="16"/>
  <c r="I200" i="16"/>
  <c r="K200" i="16" s="1"/>
  <c r="J199" i="16"/>
  <c r="I199" i="16"/>
  <c r="K199" i="16" s="1"/>
  <c r="J198" i="16"/>
  <c r="I198" i="16"/>
  <c r="K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J191" i="16"/>
  <c r="I191" i="16"/>
  <c r="K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J166" i="16"/>
  <c r="I166" i="16"/>
  <c r="K166" i="16" s="1"/>
  <c r="L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J159" i="16"/>
  <c r="I159" i="16"/>
  <c r="K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J152" i="16"/>
  <c r="I152" i="16"/>
  <c r="K152" i="16" s="1"/>
  <c r="J151" i="16"/>
  <c r="I151" i="16"/>
  <c r="K151" i="16" s="1"/>
  <c r="J150" i="16"/>
  <c r="I150" i="16"/>
  <c r="K150" i="16" s="1"/>
  <c r="J149" i="16"/>
  <c r="I149" i="16"/>
  <c r="K149" i="16" s="1"/>
  <c r="J148" i="16"/>
  <c r="I148" i="16"/>
  <c r="K148" i="16" s="1"/>
  <c r="J147" i="16"/>
  <c r="I147" i="16"/>
  <c r="K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L130" i="16" s="1"/>
  <c r="J129" i="16"/>
  <c r="I129" i="16"/>
  <c r="K129" i="16" s="1"/>
  <c r="J128" i="16"/>
  <c r="I128" i="16"/>
  <c r="K128" i="16" s="1"/>
  <c r="J127" i="16"/>
  <c r="I127" i="16"/>
  <c r="K127" i="16" s="1"/>
  <c r="L127" i="16" s="1"/>
  <c r="J126" i="16"/>
  <c r="I126" i="16"/>
  <c r="K126" i="16" s="1"/>
  <c r="J125" i="16"/>
  <c r="I125" i="16"/>
  <c r="K125" i="16" s="1"/>
  <c r="J124" i="16"/>
  <c r="I124" i="16"/>
  <c r="K124" i="16" s="1"/>
  <c r="J123" i="16"/>
  <c r="I123" i="16"/>
  <c r="K123" i="16" s="1"/>
  <c r="L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L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L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L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J97" i="16"/>
  <c r="I97" i="16"/>
  <c r="K97" i="16" s="1"/>
  <c r="J96" i="16"/>
  <c r="I96" i="16"/>
  <c r="K96" i="16" s="1"/>
  <c r="J95" i="16"/>
  <c r="I95" i="16"/>
  <c r="K95" i="16" s="1"/>
  <c r="L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J84" i="16"/>
  <c r="I84" i="16"/>
  <c r="K84" i="16" s="1"/>
  <c r="J83" i="16"/>
  <c r="I83" i="16"/>
  <c r="K83" i="16" s="1"/>
  <c r="L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L71" i="16" s="1"/>
  <c r="J70" i="16"/>
  <c r="I70" i="16"/>
  <c r="K70" i="16" s="1"/>
  <c r="J69" i="16"/>
  <c r="I69" i="16"/>
  <c r="K69" i="16" s="1"/>
  <c r="J68" i="16"/>
  <c r="I68" i="16"/>
  <c r="K68" i="16" s="1"/>
  <c r="J67" i="16"/>
  <c r="I67" i="16"/>
  <c r="K67" i="16" s="1"/>
  <c r="L67" i="16" s="1"/>
  <c r="J66" i="16"/>
  <c r="I66" i="16"/>
  <c r="K66" i="16" s="1"/>
  <c r="J65" i="16"/>
  <c r="I65" i="16"/>
  <c r="K65" i="16" s="1"/>
  <c r="J64" i="16"/>
  <c r="I64" i="16"/>
  <c r="K64" i="16" s="1"/>
  <c r="J63" i="16"/>
  <c r="I63" i="16"/>
  <c r="K63" i="16" s="1"/>
  <c r="L63" i="16" s="1"/>
  <c r="V65" i="16" s="1"/>
  <c r="J62" i="16"/>
  <c r="I62" i="16"/>
  <c r="K62" i="16" s="1"/>
  <c r="J61" i="16"/>
  <c r="I61" i="16"/>
  <c r="K61" i="16" s="1"/>
  <c r="L61" i="16" s="1"/>
  <c r="J60" i="16"/>
  <c r="I60" i="16"/>
  <c r="K60" i="16" s="1"/>
  <c r="J59" i="16"/>
  <c r="I59" i="16"/>
  <c r="K59" i="16" s="1"/>
  <c r="L59" i="16" s="1"/>
  <c r="J58" i="16"/>
  <c r="I58" i="16"/>
  <c r="K58" i="16" s="1"/>
  <c r="J57" i="16"/>
  <c r="I57" i="16"/>
  <c r="K57" i="16" s="1"/>
  <c r="L57" i="16" s="1"/>
  <c r="J56" i="16"/>
  <c r="I56" i="16"/>
  <c r="K56" i="16" s="1"/>
  <c r="J55" i="16"/>
  <c r="I55" i="16"/>
  <c r="K55" i="16" s="1"/>
  <c r="L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L49" i="16" s="1"/>
  <c r="J48" i="16"/>
  <c r="I48" i="16"/>
  <c r="K48" i="16" s="1"/>
  <c r="J47" i="16"/>
  <c r="I47" i="16"/>
  <c r="K47" i="16" s="1"/>
  <c r="L47" i="16" s="1"/>
  <c r="J46" i="16"/>
  <c r="I46" i="16"/>
  <c r="K46" i="16" s="1"/>
  <c r="J45" i="16"/>
  <c r="I45" i="16"/>
  <c r="K45" i="16" s="1"/>
  <c r="L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J39" i="16"/>
  <c r="I39" i="16"/>
  <c r="K39" i="16" s="1"/>
  <c r="J38" i="16"/>
  <c r="I38" i="16"/>
  <c r="K38" i="16" s="1"/>
  <c r="J37" i="16"/>
  <c r="I37" i="16"/>
  <c r="K37" i="16" s="1"/>
  <c r="L37" i="16" s="1"/>
  <c r="J36" i="16"/>
  <c r="I36" i="16"/>
  <c r="K36" i="16" s="1"/>
  <c r="J35" i="16"/>
  <c r="I35" i="16"/>
  <c r="K35" i="16" s="1"/>
  <c r="L35" i="16" s="1"/>
  <c r="J34" i="16"/>
  <c r="I34" i="16"/>
  <c r="K34" i="16" s="1"/>
  <c r="J33" i="16"/>
  <c r="I33" i="16"/>
  <c r="K33" i="16" s="1"/>
  <c r="J32" i="16"/>
  <c r="I32" i="16"/>
  <c r="K32" i="16" s="1"/>
  <c r="J31" i="16"/>
  <c r="I31" i="16"/>
  <c r="K31" i="16" s="1"/>
  <c r="J30" i="16"/>
  <c r="I30" i="16"/>
  <c r="K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J20" i="16"/>
  <c r="I20" i="16"/>
  <c r="K20" i="16" s="1"/>
  <c r="J19" i="16"/>
  <c r="I19" i="16"/>
  <c r="K19" i="16" s="1"/>
  <c r="J18" i="16"/>
  <c r="I18" i="16"/>
  <c r="K18" i="16" s="1"/>
  <c r="J17" i="16"/>
  <c r="I17" i="16"/>
  <c r="K17" i="16" s="1"/>
  <c r="J16" i="16"/>
  <c r="I16" i="16"/>
  <c r="K16" i="16" s="1"/>
  <c r="J15" i="16"/>
  <c r="I15" i="16"/>
  <c r="K15" i="16" s="1"/>
  <c r="J14" i="16"/>
  <c r="I14" i="16"/>
  <c r="K14" i="16" s="1"/>
  <c r="J13" i="16"/>
  <c r="I13" i="16"/>
  <c r="K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J3" i="16"/>
  <c r="I3" i="16"/>
  <c r="K3" i="16" s="1"/>
  <c r="J2" i="16"/>
  <c r="I2" i="16"/>
  <c r="K2" i="16" s="1"/>
  <c r="I322" i="9"/>
  <c r="K322" i="9" s="1"/>
  <c r="J322" i="9"/>
  <c r="I322" i="1"/>
  <c r="K322" i="1" s="1"/>
  <c r="J322" i="1"/>
  <c r="L294" i="17" l="1"/>
  <c r="L20" i="17"/>
  <c r="L160" i="17"/>
  <c r="L168" i="17"/>
  <c r="L172" i="17"/>
  <c r="L176" i="17"/>
  <c r="L180" i="17"/>
  <c r="L184" i="17"/>
  <c r="L196" i="17"/>
  <c r="L200" i="17"/>
  <c r="L204" i="17"/>
  <c r="L322" i="17"/>
  <c r="L56" i="17"/>
  <c r="L64" i="17"/>
  <c r="V66" i="17" s="1"/>
  <c r="L68" i="17"/>
  <c r="V70" i="17" s="1"/>
  <c r="L72" i="17"/>
  <c r="L53" i="17"/>
  <c r="L57" i="17"/>
  <c r="L82" i="17"/>
  <c r="L117" i="17"/>
  <c r="L185" i="17"/>
  <c r="L253" i="17"/>
  <c r="L257" i="17"/>
  <c r="L261" i="17"/>
  <c r="L265" i="17"/>
  <c r="L269" i="17"/>
  <c r="L309" i="17"/>
  <c r="V91" i="17" s="1"/>
  <c r="L313" i="17"/>
  <c r="V95" i="17" s="1"/>
  <c r="L317" i="17"/>
  <c r="V99" i="17" s="1"/>
  <c r="L227" i="17"/>
  <c r="L100" i="17"/>
  <c r="L108" i="17"/>
  <c r="L112" i="17"/>
  <c r="L252" i="17"/>
  <c r="L264" i="17"/>
  <c r="L268" i="17"/>
  <c r="L272" i="17"/>
  <c r="L276" i="17"/>
  <c r="L280" i="17"/>
  <c r="L284" i="17"/>
  <c r="L292" i="17"/>
  <c r="L296" i="17"/>
  <c r="L300" i="17"/>
  <c r="L304" i="17"/>
  <c r="V86" i="17" s="1"/>
  <c r="L36" i="16"/>
  <c r="L40" i="16"/>
  <c r="L48" i="16"/>
  <c r="L60" i="16"/>
  <c r="L64" i="16"/>
  <c r="L72" i="16"/>
  <c r="V74" i="16" s="1"/>
  <c r="L204" i="16"/>
  <c r="L208" i="16"/>
  <c r="L212" i="16"/>
  <c r="L216" i="16"/>
  <c r="L220" i="16"/>
  <c r="L224" i="16"/>
  <c r="L228" i="16"/>
  <c r="L232" i="16"/>
  <c r="L236" i="16"/>
  <c r="L240" i="16"/>
  <c r="L244" i="16"/>
  <c r="L252" i="16"/>
  <c r="L256" i="16"/>
  <c r="L264" i="16"/>
  <c r="L3" i="16"/>
  <c r="L15" i="16"/>
  <c r="L19" i="16"/>
  <c r="L4" i="16"/>
  <c r="L13" i="16"/>
  <c r="L17" i="16"/>
  <c r="L308" i="17"/>
  <c r="V90" i="17" s="1"/>
  <c r="L26" i="17"/>
  <c r="L84" i="17"/>
  <c r="L16" i="17"/>
  <c r="L74" i="16"/>
  <c r="V76" i="16" s="1"/>
  <c r="L102" i="16"/>
  <c r="L119" i="16"/>
  <c r="L112" i="16"/>
  <c r="L268" i="16"/>
  <c r="L300" i="16"/>
  <c r="L304" i="16"/>
  <c r="V86" i="16" s="1"/>
  <c r="L308" i="16"/>
  <c r="V90" i="16" s="1"/>
  <c r="L312" i="16"/>
  <c r="V94" i="16" s="1"/>
  <c r="L316" i="16"/>
  <c r="V98" i="16" s="1"/>
  <c r="L320" i="16"/>
  <c r="V102" i="16" s="1"/>
  <c r="L8" i="16"/>
  <c r="L12" i="16"/>
  <c r="L20" i="16"/>
  <c r="L311" i="16"/>
  <c r="V93" i="16" s="1"/>
  <c r="L120" i="16"/>
  <c r="L14" i="16"/>
  <c r="L18" i="16"/>
  <c r="L133" i="16"/>
  <c r="L149" i="16"/>
  <c r="L153" i="16"/>
  <c r="L165" i="16"/>
  <c r="L201" i="16"/>
  <c r="L281" i="16"/>
  <c r="L289" i="16"/>
  <c r="L9" i="17"/>
  <c r="L75" i="17"/>
  <c r="V77" i="17" s="1"/>
  <c r="L79" i="17"/>
  <c r="V81" i="17" s="1"/>
  <c r="L83" i="17"/>
  <c r="L101" i="17"/>
  <c r="L105" i="17"/>
  <c r="L116" i="17"/>
  <c r="L233" i="17"/>
  <c r="L237" i="17"/>
  <c r="L91" i="17"/>
  <c r="L222" i="17"/>
  <c r="L50" i="17"/>
  <c r="L2" i="17"/>
  <c r="L6" i="17"/>
  <c r="L14" i="17"/>
  <c r="L25" i="17"/>
  <c r="L29" i="17"/>
  <c r="L37" i="17"/>
  <c r="L41" i="17"/>
  <c r="L95" i="17"/>
  <c r="L102" i="17"/>
  <c r="L133" i="17"/>
  <c r="L137" i="17"/>
  <c r="L230" i="17"/>
  <c r="L238" i="17"/>
  <c r="L246" i="17"/>
  <c r="L250" i="17"/>
  <c r="L38" i="17"/>
  <c r="L46" i="17"/>
  <c r="L96" i="17"/>
  <c r="L126" i="17"/>
  <c r="L130" i="17"/>
  <c r="L134" i="17"/>
  <c r="L152" i="17"/>
  <c r="L156" i="17"/>
  <c r="L209" i="17"/>
  <c r="L213" i="17"/>
  <c r="L217" i="17"/>
  <c r="L10" i="17"/>
  <c r="L67" i="17"/>
  <c r="V69" i="17" s="1"/>
  <c r="L138" i="17"/>
  <c r="L226" i="17"/>
  <c r="L316" i="17"/>
  <c r="V98" i="17" s="1"/>
  <c r="L87" i="17"/>
  <c r="L97" i="17"/>
  <c r="L150" i="17"/>
  <c r="L34" i="17"/>
  <c r="L161" i="17"/>
  <c r="L61" i="17"/>
  <c r="L88" i="17"/>
  <c r="L98" i="17"/>
  <c r="L173" i="17"/>
  <c r="L181" i="17"/>
  <c r="L192" i="17"/>
  <c r="L302" i="17"/>
  <c r="V84" i="17" s="1"/>
  <c r="L306" i="17"/>
  <c r="V88" i="17" s="1"/>
  <c r="L13" i="17"/>
  <c r="L69" i="17"/>
  <c r="V71" i="17" s="1"/>
  <c r="L121" i="17"/>
  <c r="L132" i="17"/>
  <c r="L136" i="17"/>
  <c r="L155" i="17"/>
  <c r="L162" i="17"/>
  <c r="L255" i="17"/>
  <c r="L58" i="17"/>
  <c r="L62" i="17"/>
  <c r="V64" i="17" s="1"/>
  <c r="L73" i="17"/>
  <c r="V75" i="17" s="1"/>
  <c r="L77" i="17"/>
  <c r="V79" i="17" s="1"/>
  <c r="L85" i="17"/>
  <c r="L92" i="17"/>
  <c r="L144" i="17"/>
  <c r="L159" i="17"/>
  <c r="L166" i="17"/>
  <c r="L170" i="17"/>
  <c r="L178" i="17"/>
  <c r="L182" i="17"/>
  <c r="L193" i="17"/>
  <c r="L232" i="17"/>
  <c r="L236" i="17"/>
  <c r="L240" i="17"/>
  <c r="L244" i="17"/>
  <c r="L248" i="17"/>
  <c r="L259" i="17"/>
  <c r="L291" i="17"/>
  <c r="L299" i="17"/>
  <c r="L303" i="17"/>
  <c r="V85" i="17" s="1"/>
  <c r="L198" i="16"/>
  <c r="L70" i="16"/>
  <c r="V72" i="16" s="1"/>
  <c r="L101" i="16"/>
  <c r="L109" i="16"/>
  <c r="L136" i="16"/>
  <c r="L211" i="16"/>
  <c r="L231" i="16"/>
  <c r="L235" i="16"/>
  <c r="L243" i="16"/>
  <c r="L251" i="16"/>
  <c r="L259" i="16"/>
  <c r="L27" i="16"/>
  <c r="L31" i="16"/>
  <c r="L173" i="16"/>
  <c r="L200" i="16"/>
  <c r="L276" i="16"/>
  <c r="L131" i="16"/>
  <c r="L209" i="16"/>
  <c r="L213" i="16"/>
  <c r="L217" i="16"/>
  <c r="L233" i="16"/>
  <c r="L249" i="16"/>
  <c r="L257" i="16"/>
  <c r="L24" i="16"/>
  <c r="L87" i="16"/>
  <c r="L97" i="16"/>
  <c r="L139" i="16"/>
  <c r="L143" i="16"/>
  <c r="L21" i="16"/>
  <c r="L25" i="16"/>
  <c r="L29" i="16"/>
  <c r="L88" i="16"/>
  <c r="L92" i="16"/>
  <c r="L98" i="16"/>
  <c r="L125" i="16"/>
  <c r="L147" i="16"/>
  <c r="L151" i="16"/>
  <c r="L159" i="16"/>
  <c r="L167" i="16"/>
  <c r="L179" i="16"/>
  <c r="L183" i="16"/>
  <c r="L187" i="16"/>
  <c r="L191" i="16"/>
  <c r="L266" i="16"/>
  <c r="L274" i="16"/>
  <c r="L293" i="16"/>
  <c r="L313" i="16"/>
  <c r="V95" i="16" s="1"/>
  <c r="L26" i="16"/>
  <c r="L30" i="16"/>
  <c r="L73" i="16"/>
  <c r="V75" i="16" s="1"/>
  <c r="L85" i="16"/>
  <c r="L89" i="16"/>
  <c r="L99" i="16"/>
  <c r="L122" i="16"/>
  <c r="L126" i="16"/>
  <c r="L156" i="16"/>
  <c r="L160" i="16"/>
  <c r="L164" i="16"/>
  <c r="L168" i="16"/>
  <c r="L172" i="16"/>
  <c r="L176" i="16"/>
  <c r="L180" i="16"/>
  <c r="L184" i="16"/>
  <c r="L188" i="16"/>
  <c r="L192" i="16"/>
  <c r="L196" i="16"/>
  <c r="L314" i="16"/>
  <c r="V96" i="16" s="1"/>
  <c r="L318" i="16"/>
  <c r="V100" i="16" s="1"/>
  <c r="L322" i="9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V87" i="17" s="1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V65" i="17" s="1"/>
  <c r="L71" i="17"/>
  <c r="V73" i="17" s="1"/>
  <c r="L122" i="17"/>
  <c r="L256" i="17"/>
  <c r="L307" i="17"/>
  <c r="V89" i="17" s="1"/>
  <c r="L148" i="17"/>
  <c r="L311" i="17"/>
  <c r="V93" i="17" s="1"/>
  <c r="L48" i="17"/>
  <c r="L288" i="17"/>
  <c r="L312" i="17"/>
  <c r="V94" i="17" s="1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V100" i="17" s="1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80" i="17"/>
  <c r="V76" i="17"/>
  <c r="L141" i="17"/>
  <c r="L17" i="17"/>
  <c r="V74" i="17"/>
  <c r="L210" i="17"/>
  <c r="L33" i="17"/>
  <c r="L36" i="17"/>
  <c r="L202" i="17"/>
  <c r="L66" i="17"/>
  <c r="L131" i="17"/>
  <c r="L49" i="17"/>
  <c r="L52" i="17"/>
  <c r="L65" i="17"/>
  <c r="L86" i="17"/>
  <c r="L90" i="17"/>
  <c r="L113" i="17"/>
  <c r="L145" i="17"/>
  <c r="L59" i="17"/>
  <c r="L109" i="17"/>
  <c r="L30" i="17"/>
  <c r="L107" i="17"/>
  <c r="L139" i="17"/>
  <c r="L221" i="17"/>
  <c r="L251" i="17"/>
  <c r="L315" i="17"/>
  <c r="L111" i="17"/>
  <c r="L143" i="17"/>
  <c r="L165" i="17"/>
  <c r="L234" i="17"/>
  <c r="L119" i="17"/>
  <c r="L151" i="17"/>
  <c r="L123" i="17"/>
  <c r="L189" i="17"/>
  <c r="L283" i="17"/>
  <c r="V92" i="17"/>
  <c r="L11" i="16"/>
  <c r="L94" i="16"/>
  <c r="L292" i="16"/>
  <c r="L52" i="16"/>
  <c r="L77" i="16"/>
  <c r="V79" i="16" s="1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V71" i="16" s="1"/>
  <c r="L76" i="16"/>
  <c r="V78" i="16" s="1"/>
  <c r="L80" i="16"/>
  <c r="V82" i="16" s="1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V89" i="16" s="1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V97" i="16" s="1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L5" i="16"/>
  <c r="L43" i="16"/>
  <c r="V73" i="16"/>
  <c r="L137" i="16"/>
  <c r="L66" i="16"/>
  <c r="L81" i="16"/>
  <c r="L121" i="16"/>
  <c r="L86" i="16"/>
  <c r="L113" i="16"/>
  <c r="L203" i="16"/>
  <c r="L32" i="16"/>
  <c r="V66" i="16"/>
  <c r="V81" i="16"/>
  <c r="L56" i="16"/>
  <c r="L91" i="16"/>
  <c r="L144" i="16"/>
  <c r="V69" i="16"/>
  <c r="L105" i="16"/>
  <c r="L128" i="16"/>
  <c r="L219" i="16"/>
  <c r="L33" i="16"/>
  <c r="L108" i="16"/>
  <c r="L155" i="16"/>
  <c r="L161" i="16"/>
  <c r="L322" i="1"/>
  <c r="V97" i="17" l="1"/>
  <c r="V68" i="17"/>
  <c r="V67" i="17"/>
  <c r="N2" i="17" s="1"/>
  <c r="V83" i="16"/>
  <c r="V68" i="16"/>
  <c r="N5" i="16" l="1"/>
  <c r="N5" i="17"/>
  <c r="M261" i="17"/>
  <c r="M285" i="17"/>
  <c r="M317" i="17"/>
  <c r="M309" i="17"/>
  <c r="M245" i="17"/>
  <c r="M211" i="17"/>
  <c r="M269" i="17"/>
  <c r="M293" i="17"/>
  <c r="M253" i="17"/>
  <c r="M101" i="17"/>
  <c r="M179" i="17"/>
  <c r="M41" i="17"/>
  <c r="M301" i="17"/>
  <c r="M277" i="17"/>
  <c r="M181" i="17"/>
  <c r="M171" i="17"/>
  <c r="M34" i="17"/>
  <c r="M88" i="17"/>
  <c r="M235" i="17"/>
  <c r="M240" i="17"/>
  <c r="M6" i="17"/>
  <c r="M2" i="17"/>
  <c r="M12" i="17"/>
  <c r="M92" i="17"/>
  <c r="M27" i="17"/>
  <c r="M25" i="17"/>
  <c r="M8" i="17"/>
  <c r="M83" i="17"/>
  <c r="M80" i="17"/>
  <c r="M133" i="17"/>
  <c r="M238" i="17"/>
  <c r="M286" i="17"/>
  <c r="M51" i="17"/>
  <c r="M144" i="17"/>
  <c r="M320" i="17"/>
  <c r="M26" i="17"/>
  <c r="M197" i="17"/>
  <c r="M292" i="17"/>
  <c r="M233" i="17"/>
  <c r="M130" i="17"/>
  <c r="M280" i="17"/>
  <c r="M264" i="17"/>
  <c r="M203" i="17"/>
  <c r="M194" i="17"/>
  <c r="M229" i="17"/>
  <c r="M20" i="17"/>
  <c r="M138" i="17"/>
  <c r="M304" i="17"/>
  <c r="M198" i="17"/>
  <c r="M275" i="17"/>
  <c r="M193" i="17"/>
  <c r="M318" i="17"/>
  <c r="M117" i="17"/>
  <c r="M307" i="17"/>
  <c r="M217" i="17"/>
  <c r="M313" i="17"/>
  <c r="M287" i="17"/>
  <c r="M266" i="17"/>
  <c r="M68" i="17"/>
  <c r="M316" i="17"/>
  <c r="M274" i="17"/>
  <c r="M23" i="17"/>
  <c r="M254" i="17"/>
  <c r="M244" i="17"/>
  <c r="M149" i="17"/>
  <c r="M222" i="17"/>
  <c r="M249" i="17"/>
  <c r="M311" i="17"/>
  <c r="M290" i="17"/>
  <c r="M72" i="17"/>
  <c r="M178" i="17"/>
  <c r="M160" i="17"/>
  <c r="M185" i="17"/>
  <c r="M214" i="17"/>
  <c r="M196" i="17"/>
  <c r="M91" i="17"/>
  <c r="M105" i="17"/>
  <c r="M57" i="17"/>
  <c r="M28" i="17"/>
  <c r="M38" i="17"/>
  <c r="M110" i="17"/>
  <c r="M118" i="17"/>
  <c r="M148" i="17"/>
  <c r="M289" i="17"/>
  <c r="M163" i="17"/>
  <c r="M48" i="17"/>
  <c r="M69" i="17"/>
  <c r="M200" i="17"/>
  <c r="M136" i="17"/>
  <c r="M272" i="17"/>
  <c r="M134" i="17"/>
  <c r="M63" i="17"/>
  <c r="M99" i="17"/>
  <c r="M248" i="17"/>
  <c r="M204" i="17"/>
  <c r="M46" i="17"/>
  <c r="M161" i="17"/>
  <c r="M302" i="17"/>
  <c r="M206" i="17"/>
  <c r="M132" i="17"/>
  <c r="M267" i="17"/>
  <c r="M188" i="17"/>
  <c r="M177" i="17"/>
  <c r="M230" i="17"/>
  <c r="M295" i="17"/>
  <c r="M84" i="17"/>
  <c r="M7" i="17"/>
  <c r="M122" i="17"/>
  <c r="M219" i="17"/>
  <c r="M296" i="17"/>
  <c r="M279" i="17"/>
  <c r="M232" i="17"/>
  <c r="M114" i="17"/>
  <c r="M40" i="17"/>
  <c r="M31" i="17"/>
  <c r="M44" i="17"/>
  <c r="M142" i="17"/>
  <c r="M150" i="17"/>
  <c r="M4" i="17"/>
  <c r="M61" i="17"/>
  <c r="M85" i="17"/>
  <c r="M62" i="17"/>
  <c r="M169" i="17"/>
  <c r="M32" i="17"/>
  <c r="M3" i="17"/>
  <c r="M231" i="17"/>
  <c r="M162" i="17"/>
  <c r="M14" i="17"/>
  <c r="M140" i="17"/>
  <c r="M29" i="17"/>
  <c r="M218" i="17"/>
  <c r="M124" i="17"/>
  <c r="M173" i="17"/>
  <c r="M305" i="17"/>
  <c r="M228" i="17"/>
  <c r="M236" i="17"/>
  <c r="M321" i="17"/>
  <c r="M147" i="17"/>
  <c r="M294" i="17"/>
  <c r="M209" i="17"/>
  <c r="M220" i="17"/>
  <c r="M246" i="17"/>
  <c r="M303" i="17"/>
  <c r="M282" i="17"/>
  <c r="M182" i="17"/>
  <c r="M129" i="17"/>
  <c r="M268" i="17"/>
  <c r="M115" i="17"/>
  <c r="M322" i="17"/>
  <c r="M15" i="17"/>
  <c r="M120" i="17"/>
  <c r="M43" i="17"/>
  <c r="M37" i="17"/>
  <c r="M53" i="17"/>
  <c r="M11" i="17"/>
  <c r="M176" i="17"/>
  <c r="M121" i="17"/>
  <c r="M175" i="17"/>
  <c r="M126" i="17"/>
  <c r="M73" i="17"/>
  <c r="M256" i="17"/>
  <c r="M56" i="17"/>
  <c r="M157" i="17"/>
  <c r="M81" i="17"/>
  <c r="M186" i="17"/>
  <c r="M16" i="17"/>
  <c r="M225" i="17"/>
  <c r="M239" i="17"/>
  <c r="M297" i="17"/>
  <c r="M247" i="17"/>
  <c r="M116" i="17"/>
  <c r="M192" i="17"/>
  <c r="M13" i="17"/>
  <c r="M64" i="17"/>
  <c r="M89" i="17"/>
  <c r="M106" i="17"/>
  <c r="M9" i="17"/>
  <c r="M137" i="17"/>
  <c r="M87" i="17"/>
  <c r="M95" i="17"/>
  <c r="M67" i="17"/>
  <c r="M47" i="17"/>
  <c r="M24" i="17"/>
  <c r="M70" i="17"/>
  <c r="M74" i="17"/>
  <c r="M153" i="17"/>
  <c r="M77" i="17"/>
  <c r="M187" i="17"/>
  <c r="M35" i="17"/>
  <c r="M75" i="17"/>
  <c r="M55" i="17"/>
  <c r="M262" i="17"/>
  <c r="M94" i="17"/>
  <c r="M167" i="17"/>
  <c r="M223" i="17"/>
  <c r="M39" i="17"/>
  <c r="M125" i="17"/>
  <c r="M237" i="17"/>
  <c r="M183" i="17"/>
  <c r="M19" i="17"/>
  <c r="M195" i="17"/>
  <c r="M278" i="17"/>
  <c r="M257" i="17"/>
  <c r="M308" i="17"/>
  <c r="M170" i="17"/>
  <c r="M300" i="17"/>
  <c r="M243" i="17"/>
  <c r="M158" i="17"/>
  <c r="M252" i="17"/>
  <c r="M255" i="17"/>
  <c r="M319" i="17"/>
  <c r="M298" i="17"/>
  <c r="M184" i="17"/>
  <c r="M215" i="17"/>
  <c r="M172" i="17"/>
  <c r="M18" i="17"/>
  <c r="M146" i="17"/>
  <c r="M103" i="17"/>
  <c r="M159" i="17"/>
  <c r="M50" i="17"/>
  <c r="M154" i="17"/>
  <c r="M213" i="17"/>
  <c r="M100" i="17"/>
  <c r="M190" i="17"/>
  <c r="M104" i="17"/>
  <c r="M96" i="17"/>
  <c r="M93" i="17"/>
  <c r="M312" i="17"/>
  <c r="M98" i="17"/>
  <c r="M191" i="17"/>
  <c r="M97" i="17"/>
  <c r="M265" i="17"/>
  <c r="M128" i="17"/>
  <c r="M10" i="17"/>
  <c r="M212" i="17"/>
  <c r="M205" i="17"/>
  <c r="M155" i="17"/>
  <c r="M281" i="17"/>
  <c r="M260" i="17"/>
  <c r="M82" i="17"/>
  <c r="M180" i="17"/>
  <c r="M241" i="17"/>
  <c r="M270" i="17"/>
  <c r="M166" i="17"/>
  <c r="M263" i="17"/>
  <c r="M242" i="17"/>
  <c r="M306" i="17"/>
  <c r="M168" i="17"/>
  <c r="M224" i="17"/>
  <c r="M258" i="17"/>
  <c r="M22" i="17"/>
  <c r="M152" i="17"/>
  <c r="M60" i="17"/>
  <c r="M21" i="17"/>
  <c r="M71" i="17"/>
  <c r="M54" i="17"/>
  <c r="M5" i="17"/>
  <c r="M78" i="17"/>
  <c r="M174" i="17"/>
  <c r="M227" i="17"/>
  <c r="M112" i="17"/>
  <c r="M156" i="17"/>
  <c r="M42" i="17"/>
  <c r="M127" i="17"/>
  <c r="M199" i="17"/>
  <c r="M108" i="17"/>
  <c r="M207" i="17"/>
  <c r="M135" i="17"/>
  <c r="M79" i="17"/>
  <c r="M76" i="17"/>
  <c r="M259" i="17"/>
  <c r="M45" i="17"/>
  <c r="M288" i="17"/>
  <c r="M164" i="17"/>
  <c r="M284" i="17"/>
  <c r="M291" i="17"/>
  <c r="M102" i="17"/>
  <c r="M201" i="17"/>
  <c r="M273" i="17"/>
  <c r="M310" i="17"/>
  <c r="M271" i="17"/>
  <c r="M250" i="17"/>
  <c r="M314" i="17"/>
  <c r="M208" i="17"/>
  <c r="M216" i="17"/>
  <c r="M226" i="17"/>
  <c r="M58" i="17"/>
  <c r="M299" i="17"/>
  <c r="M276" i="17"/>
  <c r="M189" i="17"/>
  <c r="M143" i="17"/>
  <c r="M119" i="17"/>
  <c r="M221" i="17"/>
  <c r="M113" i="17"/>
  <c r="M165" i="17"/>
  <c r="M202" i="17"/>
  <c r="M86" i="17"/>
  <c r="M151" i="17"/>
  <c r="M145" i="17"/>
  <c r="M49" i="17"/>
  <c r="M66" i="17"/>
  <c r="M234" i="17"/>
  <c r="M36" i="17"/>
  <c r="M283" i="17"/>
  <c r="M30" i="17"/>
  <c r="M139" i="17"/>
  <c r="M33" i="17"/>
  <c r="M251" i="17"/>
  <c r="M52" i="17"/>
  <c r="M210" i="17"/>
  <c r="M141" i="17"/>
  <c r="M59" i="17"/>
  <c r="M17" i="17"/>
  <c r="M65" i="17"/>
  <c r="M131" i="17"/>
  <c r="M107" i="17"/>
  <c r="M315" i="17"/>
  <c r="M111" i="17"/>
  <c r="M90" i="17"/>
  <c r="M123" i="17"/>
  <c r="M109" i="17"/>
  <c r="N2" i="16"/>
  <c r="O2" i="17" l="1"/>
  <c r="P299" i="17" s="1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P27" i="17" l="1"/>
  <c r="P38" i="17"/>
  <c r="P302" i="17"/>
  <c r="P7" i="17"/>
  <c r="P173" i="17"/>
  <c r="P35" i="17"/>
  <c r="P50" i="17"/>
  <c r="P129" i="17"/>
  <c r="P146" i="17"/>
  <c r="P53" i="17"/>
  <c r="P311" i="17"/>
  <c r="P15" i="17"/>
  <c r="P295" i="17"/>
  <c r="P288" i="17"/>
  <c r="P255" i="17"/>
  <c r="P124" i="17"/>
  <c r="P233" i="17"/>
  <c r="P136" i="17"/>
  <c r="P49" i="17"/>
  <c r="P271" i="17"/>
  <c r="P203" i="17"/>
  <c r="P209" i="17"/>
  <c r="P177" i="17"/>
  <c r="P110" i="17"/>
  <c r="P298" i="17"/>
  <c r="P133" i="17"/>
  <c r="P48" i="17"/>
  <c r="P34" i="17"/>
  <c r="P286" i="17"/>
  <c r="P206" i="17"/>
  <c r="P3" i="17"/>
  <c r="P279" i="17"/>
  <c r="P182" i="17"/>
  <c r="P25" i="17"/>
  <c r="P103" i="17"/>
  <c r="P157" i="17"/>
  <c r="P107" i="17"/>
  <c r="P227" i="17"/>
  <c r="P60" i="17"/>
  <c r="P175" i="17"/>
  <c r="P225" i="17"/>
  <c r="P37" i="17"/>
  <c r="P144" i="17"/>
  <c r="P164" i="17"/>
  <c r="P116" i="17"/>
  <c r="P244" i="17"/>
  <c r="P59" i="17"/>
  <c r="P112" i="17"/>
  <c r="P215" i="17"/>
  <c r="P89" i="17"/>
  <c r="P252" i="17"/>
  <c r="P272" i="17"/>
  <c r="P250" i="17"/>
  <c r="P93" i="17"/>
  <c r="P123" i="17"/>
  <c r="P245" i="17"/>
  <c r="P226" i="17"/>
  <c r="P213" i="17"/>
  <c r="P97" i="17"/>
  <c r="P160" i="17"/>
  <c r="P143" i="17"/>
  <c r="P309" i="17"/>
  <c r="P274" i="17"/>
  <c r="P92" i="17"/>
  <c r="P200" i="17"/>
  <c r="P260" i="17"/>
  <c r="P320" i="17"/>
  <c r="P145" i="17"/>
  <c r="P316" i="17"/>
  <c r="P290" i="17"/>
  <c r="P2" i="17"/>
  <c r="P282" i="17"/>
  <c r="P165" i="17"/>
  <c r="P14" i="17"/>
  <c r="P212" i="17"/>
  <c r="P61" i="17"/>
  <c r="P208" i="17"/>
  <c r="P125" i="17"/>
  <c r="P248" i="17"/>
  <c r="P138" i="17"/>
  <c r="P36" i="17"/>
  <c r="P51" i="17"/>
  <c r="P161" i="17"/>
  <c r="P256" i="17"/>
  <c r="P104" i="17"/>
  <c r="P276" i="17"/>
  <c r="P236" i="17"/>
  <c r="P264" i="17"/>
  <c r="P84" i="17"/>
  <c r="P56" i="17"/>
  <c r="P96" i="17"/>
  <c r="P189" i="17"/>
  <c r="P262" i="17"/>
  <c r="P193" i="17"/>
  <c r="P31" i="17"/>
  <c r="P87" i="17"/>
  <c r="P270" i="17"/>
  <c r="P33" i="17"/>
  <c r="P205" i="17"/>
  <c r="P216" i="17"/>
  <c r="P73" i="17"/>
  <c r="P41" i="17"/>
  <c r="P91" i="17"/>
  <c r="P115" i="17"/>
  <c r="P251" i="17"/>
  <c r="P301" i="17"/>
  <c r="P105" i="17"/>
  <c r="P220" i="17"/>
  <c r="P170" i="17"/>
  <c r="P79" i="17"/>
  <c r="P232" i="17"/>
  <c r="P292" i="17"/>
  <c r="P188" i="17"/>
  <c r="P16" i="17"/>
  <c r="P191" i="17"/>
  <c r="P158" i="17"/>
  <c r="P217" i="17"/>
  <c r="P4" i="17"/>
  <c r="P24" i="17"/>
  <c r="P306" i="17"/>
  <c r="P141" i="17"/>
  <c r="P280" i="17"/>
  <c r="P297" i="17"/>
  <c r="P128" i="17"/>
  <c r="P86" i="17"/>
  <c r="P19" i="17"/>
  <c r="P275" i="17"/>
  <c r="P40" i="17"/>
  <c r="P247" i="17"/>
  <c r="P10" i="17"/>
  <c r="P151" i="17"/>
  <c r="P45" i="17"/>
  <c r="P68" i="17"/>
  <c r="P169" i="17"/>
  <c r="P77" i="17"/>
  <c r="P22" i="17"/>
  <c r="P131" i="17"/>
  <c r="P166" i="17"/>
  <c r="P281" i="17"/>
  <c r="P70" i="17"/>
  <c r="P240" i="17"/>
  <c r="P289" i="17"/>
  <c r="P176" i="17"/>
  <c r="P242" i="17"/>
  <c r="P6" i="17"/>
  <c r="P163" i="17"/>
  <c r="P322" i="17"/>
  <c r="P184" i="17"/>
  <c r="P102" i="17"/>
  <c r="P106" i="17"/>
  <c r="P20" i="17"/>
  <c r="P296" i="17"/>
  <c r="P64" i="17"/>
  <c r="P21" i="17"/>
  <c r="P310" i="17"/>
  <c r="P254" i="17"/>
  <c r="P162" i="17"/>
  <c r="P55" i="17"/>
  <c r="P71" i="17"/>
  <c r="P313" i="17"/>
  <c r="P198" i="17"/>
  <c r="P9" i="17"/>
  <c r="P180" i="17"/>
  <c r="P127" i="17"/>
  <c r="P137" i="17"/>
  <c r="P241" i="17"/>
  <c r="P139" i="17"/>
  <c r="P317" i="17"/>
  <c r="P249" i="17"/>
  <c r="P218" i="17"/>
  <c r="P223" i="17"/>
  <c r="P174" i="17"/>
  <c r="P132" i="17"/>
  <c r="P152" i="17"/>
  <c r="P234" i="17"/>
  <c r="P190" i="17"/>
  <c r="P83" i="17"/>
  <c r="P81" i="17"/>
  <c r="P171" i="17"/>
  <c r="P80" i="17"/>
  <c r="P99" i="17"/>
  <c r="P121" i="17"/>
  <c r="P154" i="17"/>
  <c r="P221" i="17"/>
  <c r="P265" i="17"/>
  <c r="P307" i="17"/>
  <c r="P150" i="17"/>
  <c r="P47" i="17"/>
  <c r="P201" i="17"/>
  <c r="P269" i="17"/>
  <c r="P178" i="17"/>
  <c r="P228" i="17"/>
  <c r="P183" i="17"/>
  <c r="P42" i="17"/>
  <c r="P46" i="17"/>
  <c r="P287" i="17"/>
  <c r="P85" i="17"/>
  <c r="P74" i="17"/>
  <c r="P224" i="17"/>
  <c r="P17" i="17"/>
  <c r="P285" i="17"/>
  <c r="P222" i="17"/>
  <c r="P62" i="17"/>
  <c r="P153" i="17"/>
  <c r="P258" i="17"/>
  <c r="P65" i="17"/>
  <c r="P179" i="17"/>
  <c r="P196" i="17"/>
  <c r="P294" i="17"/>
  <c r="P257" i="17"/>
  <c r="P207" i="17"/>
  <c r="P192" i="17"/>
  <c r="P135" i="17"/>
  <c r="P111" i="17"/>
  <c r="P168" i="17"/>
  <c r="P26" i="17"/>
  <c r="P122" i="17"/>
  <c r="P95" i="17"/>
  <c r="P230" i="17"/>
  <c r="P197" i="17"/>
  <c r="P267" i="17"/>
  <c r="P186" i="17"/>
  <c r="P98" i="17"/>
  <c r="P66" i="17"/>
  <c r="P283" i="17"/>
  <c r="P23" i="17"/>
  <c r="P231" i="17"/>
  <c r="P75" i="17"/>
  <c r="P113" i="17"/>
  <c r="P181" i="17"/>
  <c r="P28" i="17"/>
  <c r="P303" i="17"/>
  <c r="P243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O2" i="16"/>
  <c r="P204" i="16" s="1"/>
  <c r="P256" i="16" l="1"/>
  <c r="P317" i="16"/>
  <c r="P155" i="16"/>
  <c r="P17" i="16"/>
  <c r="P166" i="16"/>
  <c r="P156" i="16"/>
  <c r="P280" i="16"/>
  <c r="P253" i="16"/>
  <c r="P302" i="16"/>
  <c r="P187" i="16"/>
  <c r="P67" i="16"/>
  <c r="P4" i="16"/>
  <c r="P282" i="16"/>
  <c r="P212" i="16"/>
  <c r="P270" i="16"/>
  <c r="P211" i="16"/>
  <c r="P124" i="16"/>
  <c r="P228" i="16"/>
  <c r="P281" i="16"/>
  <c r="P310" i="16"/>
  <c r="P42" i="16"/>
  <c r="P173" i="16"/>
  <c r="P240" i="16"/>
  <c r="P114" i="16"/>
  <c r="P138" i="16"/>
  <c r="P34" i="16"/>
  <c r="P117" i="16"/>
  <c r="P220" i="16"/>
  <c r="P40" i="16"/>
  <c r="P298" i="16"/>
  <c r="P242" i="16"/>
  <c r="P64" i="16"/>
  <c r="P195" i="16"/>
  <c r="P112" i="16"/>
  <c r="P33" i="16"/>
  <c r="P168" i="16"/>
  <c r="P141" i="16"/>
  <c r="P320" i="16"/>
  <c r="P71" i="16"/>
  <c r="P279" i="16"/>
  <c r="P116" i="16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V65" i="9" s="1"/>
  <c r="L67" i="9"/>
  <c r="V69" i="9" s="1"/>
  <c r="L75" i="9"/>
  <c r="V77" i="9" s="1"/>
  <c r="L79" i="9"/>
  <c r="V81" i="9" s="1"/>
  <c r="L56" i="9"/>
  <c r="L60" i="9"/>
  <c r="L64" i="9"/>
  <c r="V66" i="9" s="1"/>
  <c r="L72" i="9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74" i="9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5" i="1" l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2" i="9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N2" i="1" l="1"/>
  <c r="M322" i="1" s="1"/>
  <c r="M154" i="9"/>
  <c r="M322" i="9"/>
  <c r="M153" i="9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5" i="1"/>
  <c r="O2" i="9" l="1"/>
  <c r="P211" i="9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5" i="9" l="1"/>
  <c r="P217" i="9"/>
  <c r="P322" i="9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<sst xmlns="http://schemas.openxmlformats.org/spreadsheetml/2006/main" count="84" uniqueCount="19">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</sst>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'240828B007'!$A$2:$A$321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'240828B007'!$J$2:$J$321</c:f>
              <c:numCache>
                <c:formatCode>0.0</c:formatCode>
                <c:ptCount val="320"/>
                <c:pt idx="0">
                  <c:v>281.14798200624</c:v>
                </c:pt>
                <c:pt idx="1">
                  <c:v>273.97876983826001</c:v>
                </c:pt>
                <c:pt idx="2">
                  <c:v>287.20889689900002</c:v>
                </c:pt>
                <c:pt idx="3">
                  <c:v>279.99791846327003</c:v>
                </c:pt>
                <c:pt idx="4">
                  <c:v>282.91031867305998</c:v>
                </c:pt>
                <c:pt idx="5">
                  <c:v>426.09004922498002</c:v>
                </c:pt>
                <c:pt idx="6">
                  <c:v>443.11039923307004</c:v>
                </c:pt>
                <c:pt idx="7">
                  <c:v>387.22108894753001</c:v>
                </c:pt>
                <c:pt idx="8">
                  <c:v>395.72305581382994</c:v>
                </c:pt>
                <c:pt idx="9">
                  <c:v>373.81556754287999</c:v>
                </c:pt>
                <c:pt idx="10">
                  <c:v>309.11465544392001</c:v>
                </c:pt>
                <c:pt idx="11">
                  <c:v>481.57077938290001</c:v>
                </c:pt>
                <c:pt idx="12">
                  <c:v>435.77391474966998</c:v>
                </c:pt>
                <c:pt idx="13">
                  <c:v>388.75321187057</c:v>
                </c:pt>
                <c:pt idx="14">
                  <c:v>389.41730073950998</c:v>
                </c:pt>
                <c:pt idx="15">
                  <c:v>376.89763960766004</c:v>
                </c:pt>
                <c:pt idx="16">
                  <c:v>350.40176540468002</c:v>
                </c:pt>
                <c:pt idx="17">
                  <c:v>329.16642108725</c:v>
                </c:pt>
                <c:pt idx="18">
                  <c:v>308.51391438491004</c:v>
                </c:pt>
                <c:pt idx="19">
                  <c:v>309.89368329500002</c:v>
                </c:pt>
                <c:pt idx="20">
                  <c:v>309.36856973416997</c:v>
                </c:pt>
                <c:pt idx="21">
                  <c:v>303.43027085428002</c:v>
                </c:pt>
                <c:pt idx="22">
                  <c:v>264.57067561694998</c:v>
                </c:pt>
                <c:pt idx="23">
                  <c:v>261.99719517494998</c:v>
                </c:pt>
                <c:pt idx="24">
                  <c:v>264.54498128124999</c:v>
                </c:pt>
                <c:pt idx="25">
                  <c:v>281.26824315444003</c:v>
                </c:pt>
                <c:pt idx="26">
                  <c:v>288.42278456915005</c:v>
                </c:pt>
                <c:pt idx="27">
                  <c:v>282.50866655572003</c:v>
                </c:pt>
                <c:pt idx="28">
                  <c:v>283.16640883853</c:v>
                </c:pt>
                <c:pt idx="29">
                  <c:v>274.97825166043998</c:v>
                </c:pt>
                <c:pt idx="30">
                  <c:v>253.12026516583998</c:v>
                </c:pt>
                <c:pt idx="31">
                  <c:v>260.57232552158001</c:v>
                </c:pt>
                <c:pt idx="32">
                  <c:v>268.38033370148003</c:v>
                </c:pt>
                <c:pt idx="33">
                  <c:v>270.23205289196005</c:v>
                </c:pt>
                <c:pt idx="34">
                  <c:v>270.04529958495999</c:v>
                </c:pt>
                <c:pt idx="35">
                  <c:v>269.77922346449998</c:v>
                </c:pt>
                <c:pt idx="36">
                  <c:v>261.56479744416004</c:v>
                </c:pt>
                <c:pt idx="37">
                  <c:v>258.41719808262002</c:v>
                </c:pt>
                <c:pt idx="38">
                  <c:v>252.77725728853</c:v>
                </c:pt>
                <c:pt idx="39">
                  <c:v>248.45156298067002</c:v>
                </c:pt>
                <c:pt idx="40">
                  <c:v>260.80676947012</c:v>
                </c:pt>
                <c:pt idx="41">
                  <c:v>277.42406654587001</c:v>
                </c:pt>
                <c:pt idx="42">
                  <c:v>277.48423009396998</c:v>
                </c:pt>
                <c:pt idx="43">
                  <c:v>279.25399591286003</c:v>
                </c:pt>
                <c:pt idx="44">
                  <c:v>278.33853933412001</c:v>
                </c:pt>
                <c:pt idx="45">
                  <c:v>273.26596144724999</c:v>
                </c:pt>
                <c:pt idx="46">
                  <c:v>245.69243515338999</c:v>
                </c:pt>
                <c:pt idx="47">
                  <c:v>244.71827835868001</c:v>
                </c:pt>
                <c:pt idx="48">
                  <c:v>262.91662475520002</c:v>
                </c:pt>
                <c:pt idx="49">
                  <c:v>261.31280079715998</c:v>
                </c:pt>
                <c:pt idx="50">
                  <c:v>285.18276137270999</c:v>
                </c:pt>
                <c:pt idx="51">
                  <c:v>282.51392392625002</c:v>
                </c:pt>
                <c:pt idx="52">
                  <c:v>264.34245092091999</c:v>
                </c:pt>
                <c:pt idx="53">
                  <c:v>263.25747500458999</c:v>
                </c:pt>
                <c:pt idx="54">
                  <c:v>265.87650339718004</c:v>
                </c:pt>
                <c:pt idx="55">
                  <c:v>258.49194703395</c:v>
                </c:pt>
                <c:pt idx="56">
                  <c:v>255.76970482398997</c:v>
                </c:pt>
                <c:pt idx="57">
                  <c:v>270.07799801964001</c:v>
                </c:pt>
                <c:pt idx="58">
                  <c:v>262.77827736661999</c:v>
                </c:pt>
                <c:pt idx="59">
                  <c:v>264.01663652666002</c:v>
                </c:pt>
                <c:pt idx="60">
                  <c:v>249.67190668125002</c:v>
                </c:pt>
                <c:pt idx="61">
                  <c:v>240.79839454871995</c:v>
                </c:pt>
                <c:pt idx="62">
                  <c:v>247.85700788176001</c:v>
                </c:pt>
                <c:pt idx="63">
                  <c:v>268.69352622936003</c:v>
                </c:pt>
                <c:pt idx="64">
                  <c:v>271.82496877343999</c:v>
                </c:pt>
                <c:pt idx="65">
                  <c:v>269.59702341471996</c:v>
                </c:pt>
                <c:pt idx="66">
                  <c:v>258.44240802574996</c:v>
                </c:pt>
                <c:pt idx="67">
                  <c:v>252.48157491445002</c:v>
                </c:pt>
                <c:pt idx="68">
                  <c:v>273.22561163422995</c:v>
                </c:pt>
                <c:pt idx="69">
                  <c:v>269.95023970279999</c:v>
                </c:pt>
                <c:pt idx="70">
                  <c:v>269.66873017042002</c:v>
                </c:pt>
                <c:pt idx="71">
                  <c:v>279.99891344810999</c:v>
                </c:pt>
                <c:pt idx="72">
                  <c:v>284.43776703193998</c:v>
                </c:pt>
                <c:pt idx="73">
                  <c:v>283.81822837241998</c:v>
                </c:pt>
                <c:pt idx="74">
                  <c:v>281.31094469544996</c:v>
                </c:pt>
                <c:pt idx="75">
                  <c:v>286.55751827769001</c:v>
                </c:pt>
                <c:pt idx="76">
                  <c:v>283.62259045308997</c:v>
                </c:pt>
                <c:pt idx="77">
                  <c:v>288.99612431665003</c:v>
                </c:pt>
                <c:pt idx="78">
                  <c:v>271.23031687631999</c:v>
                </c:pt>
                <c:pt idx="79">
                  <c:v>268.21178124593001</c:v>
                </c:pt>
                <c:pt idx="80">
                  <c:v>271.55715357418995</c:v>
                </c:pt>
                <c:pt idx="81">
                  <c:v>277.53870108862998</c:v>
                </c:pt>
                <c:pt idx="82">
                  <c:v>271.57230672130999</c:v>
                </c:pt>
                <c:pt idx="83">
                  <c:v>264.97731468621998</c:v>
                </c:pt>
                <c:pt idx="84">
                  <c:v>272.62165885294002</c:v>
                </c:pt>
                <c:pt idx="85">
                  <c:v>265.52398823121996</c:v>
                </c:pt>
                <c:pt idx="86">
                  <c:v>265.44562044003004</c:v>
                </c:pt>
                <c:pt idx="87">
                  <c:v>269.52871803884</c:v>
                </c:pt>
                <c:pt idx="88">
                  <c:v>261.2983425832</c:v>
                </c:pt>
                <c:pt idx="89">
                  <c:v>265.46568480169003</c:v>
                </c:pt>
                <c:pt idx="90">
                  <c:v>266.95086706840999</c:v>
                </c:pt>
                <c:pt idx="91">
                  <c:v>280.50388607645004</c:v>
                </c:pt>
                <c:pt idx="92">
                  <c:v>271.97363174771999</c:v>
                </c:pt>
                <c:pt idx="93">
                  <c:v>265.97369410635997</c:v>
                </c:pt>
                <c:pt idx="94">
                  <c:v>272.31809515171005</c:v>
                </c:pt>
                <c:pt idx="95">
                  <c:v>274.43140645166</c:v>
                </c:pt>
                <c:pt idx="96">
                  <c:v>266.89992384689003</c:v>
                </c:pt>
                <c:pt idx="97">
                  <c:v>274.25515639732998</c:v>
                </c:pt>
                <c:pt idx="98">
                  <c:v>273.36857351799</c:v>
                </c:pt>
                <c:pt idx="99">
                  <c:v>269.54163950287</c:v>
                </c:pt>
                <c:pt idx="100">
                  <c:v>264.80000642482997</c:v>
                </c:pt>
                <c:pt idx="101">
                  <c:v>265.39513262547001</c:v>
                </c:pt>
                <c:pt idx="102">
                  <c:v>258.43669370763996</c:v>
                </c:pt>
                <c:pt idx="103">
                  <c:v>263.87249927721001</c:v>
                </c:pt>
                <c:pt idx="104">
                  <c:v>269.59577057316</c:v>
                </c:pt>
                <c:pt idx="105">
                  <c:v>260.54668110363002</c:v>
                </c:pt>
                <c:pt idx="106">
                  <c:v>277.40645355132</c:v>
                </c:pt>
                <c:pt idx="107">
                  <c:v>266.72350561321997</c:v>
                </c:pt>
                <c:pt idx="108">
                  <c:v>262.40971920641999</c:v>
                </c:pt>
                <c:pt idx="109">
                  <c:v>245.35999405861</c:v>
                </c:pt>
                <c:pt idx="110">
                  <c:v>249.44741052355999</c:v>
                </c:pt>
                <c:pt idx="111">
                  <c:v>287.09615027637</c:v>
                </c:pt>
                <c:pt idx="112">
                  <c:v>294.65701962745004</c:v>
                </c:pt>
                <c:pt idx="113">
                  <c:v>293.13714593112002</c:v>
                </c:pt>
                <c:pt idx="114">
                  <c:v>289.41011192428999</c:v>
                </c:pt>
                <c:pt idx="115">
                  <c:v>283.08979642742003</c:v>
                </c:pt>
                <c:pt idx="116">
                  <c:v>283.66730914953001</c:v>
                </c:pt>
                <c:pt idx="117">
                  <c:v>280.37877048489003</c:v>
                </c:pt>
                <c:pt idx="118">
                  <c:v>286.98991285542996</c:v>
                </c:pt>
                <c:pt idx="119">
                  <c:v>282.11175539099997</c:v>
                </c:pt>
                <c:pt idx="120">
                  <c:v>269.75449474903996</c:v>
                </c:pt>
                <c:pt idx="121">
                  <c:v>274.42625183422001</c:v>
                </c:pt>
                <c:pt idx="122">
                  <c:v>263.45193806771999</c:v>
                </c:pt>
                <c:pt idx="123">
                  <c:v>267.27138285226999</c:v>
                </c:pt>
                <c:pt idx="124">
                  <c:v>250.39498783400001</c:v>
                </c:pt>
                <c:pt idx="125">
                  <c:v>250.34093881502002</c:v>
                </c:pt>
                <c:pt idx="126">
                  <c:v>242.09145081926999</c:v>
                </c:pt>
                <c:pt idx="127">
                  <c:v>233.11443279243997</c:v>
                </c:pt>
                <c:pt idx="128">
                  <c:v>220.02697793504001</c:v>
                </c:pt>
                <c:pt idx="129">
                  <c:v>224.94340949364999</c:v>
                </c:pt>
                <c:pt idx="130">
                  <c:v>231.13808958261998</c:v>
                </c:pt>
                <c:pt idx="131">
                  <c:v>243.25433962975001</c:v>
                </c:pt>
                <c:pt idx="132">
                  <c:v>244.87401877615997</c:v>
                </c:pt>
                <c:pt idx="133">
                  <c:v>236.17469931757</c:v>
                </c:pt>
                <c:pt idx="134">
                  <c:v>236.81739622214999</c:v>
                </c:pt>
                <c:pt idx="135">
                  <c:v>239.97560984806</c:v>
                </c:pt>
                <c:pt idx="136">
                  <c:v>237.86011009313</c:v>
                </c:pt>
                <c:pt idx="137">
                  <c:v>245.06332805489001</c:v>
                </c:pt>
                <c:pt idx="138">
                  <c:v>237.92763073558001</c:v>
                </c:pt>
                <c:pt idx="139">
                  <c:v>253.18782748586997</c:v>
                </c:pt>
                <c:pt idx="140">
                  <c:v>254.19549046603998</c:v>
                </c:pt>
                <c:pt idx="141">
                  <c:v>246.58017887851</c:v>
                </c:pt>
                <c:pt idx="142">
                  <c:v>248.14118706849999</c:v>
                </c:pt>
                <c:pt idx="143">
                  <c:v>253.14845920893998</c:v>
                </c:pt>
                <c:pt idx="144">
                  <c:v>252.77322029240003</c:v>
                </c:pt>
                <c:pt idx="145">
                  <c:v>263.88289616154003</c:v>
                </c:pt>
                <c:pt idx="146">
                  <c:v>258.09177489668997</c:v>
                </c:pt>
                <c:pt idx="147">
                  <c:v>282.24307205066998</c:v>
                </c:pt>
                <c:pt idx="148">
                  <c:v>283.59699129058004</c:v>
                </c:pt>
                <c:pt idx="149">
                  <c:v>270.79255740301005</c:v>
                </c:pt>
                <c:pt idx="150">
                  <c:v>284.33012718680999</c:v>
                </c:pt>
                <c:pt idx="151">
                  <c:v>281.85868307185001</c:v>
                </c:pt>
                <c:pt idx="152">
                  <c:v>287.38580545764</c:v>
                </c:pt>
                <c:pt idx="153">
                  <c:v>280.70247767169997</c:v>
                </c:pt>
                <c:pt idx="154">
                  <c:v>277.42900963735002</c:v>
                </c:pt>
                <c:pt idx="155">
                  <c:v>273.47391460025</c:v>
                </c:pt>
                <c:pt idx="156">
                  <c:v>279.03586900060998</c:v>
                </c:pt>
                <c:pt idx="157">
                  <c:v>283.25711643492997</c:v>
                </c:pt>
                <c:pt idx="158">
                  <c:v>278.53663764368997</c:v>
                </c:pt>
                <c:pt idx="159">
                  <c:v>279.94351229258996</c:v>
                </c:pt>
                <c:pt idx="160">
                  <c:v>266.98383104619006</c:v>
                </c:pt>
                <c:pt idx="161">
                  <c:v>278.53281909639998</c:v>
                </c:pt>
                <c:pt idx="162">
                  <c:v>274.51854962183995</c:v>
                </c:pt>
                <c:pt idx="163">
                  <c:v>271.66636209282001</c:v>
                </c:pt>
                <c:pt idx="164">
                  <c:v>262.50986042049999</c:v>
                </c:pt>
                <c:pt idx="165">
                  <c:v>286.32095196389997</c:v>
                </c:pt>
                <c:pt idx="166">
                  <c:v>313.04152782513</c:v>
                </c:pt>
                <c:pt idx="167">
                  <c:v>338.93420245466001</c:v>
                </c:pt>
                <c:pt idx="168">
                  <c:v>346.38881172795999</c:v>
                </c:pt>
                <c:pt idx="169">
                  <c:v>342.01271702296003</c:v>
                </c:pt>
                <c:pt idx="170">
                  <c:v>345.44454726840996</c:v>
                </c:pt>
                <c:pt idx="171">
                  <c:v>348.71755566112</c:v>
                </c:pt>
                <c:pt idx="172">
                  <c:v>347.22300686049999</c:v>
                </c:pt>
                <c:pt idx="173">
                  <c:v>337.70160874955002</c:v>
                </c:pt>
                <c:pt idx="174">
                  <c:v>336.48128785492003</c:v>
                </c:pt>
                <c:pt idx="175">
                  <c:v>335.03655695057</c:v>
                </c:pt>
                <c:pt idx="176">
                  <c:v>332.62178109565002</c:v>
                </c:pt>
                <c:pt idx="177">
                  <c:v>330.03938468498995</c:v>
                </c:pt>
                <c:pt idx="178">
                  <c:v>332.44599215774997</c:v>
                </c:pt>
                <c:pt idx="179">
                  <c:v>334.40226030238</c:v>
                </c:pt>
                <c:pt idx="180">
                  <c:v>331.82170191908995</c:v>
                </c:pt>
                <c:pt idx="181">
                  <c:v>328.42413860112003</c:v>
                </c:pt>
                <c:pt idx="182">
                  <c:v>324.65011631218999</c:v>
                </c:pt>
                <c:pt idx="183">
                  <c:v>331.43456541632997</c:v>
                </c:pt>
                <c:pt idx="184">
                  <c:v>331.48584954941998</c:v>
                </c:pt>
                <c:pt idx="185">
                  <c:v>325.06535648304998</c:v>
                </c:pt>
                <c:pt idx="186">
                  <c:v>321.13605172869001</c:v>
                </c:pt>
                <c:pt idx="187">
                  <c:v>327.11819748751998</c:v>
                </c:pt>
                <c:pt idx="188">
                  <c:v>327.89905209996004</c:v>
                </c:pt>
                <c:pt idx="189">
                  <c:v>319.15980036603003</c:v>
                </c:pt>
                <c:pt idx="190">
                  <c:v>318.60673019808996</c:v>
                </c:pt>
                <c:pt idx="191">
                  <c:v>316.98991307060004</c:v>
                </c:pt>
                <c:pt idx="192">
                  <c:v>318.92407481013004</c:v>
                </c:pt>
                <c:pt idx="193">
                  <c:v>310.24864230259999</c:v>
                </c:pt>
                <c:pt idx="194">
                  <c:v>331.77304648507999</c:v>
                </c:pt>
                <c:pt idx="195">
                  <c:v>333.68177063469</c:v>
                </c:pt>
                <c:pt idx="196">
                  <c:v>336.28649328384</c:v>
                </c:pt>
                <c:pt idx="197">
                  <c:v>327.60718668926995</c:v>
                </c:pt>
                <c:pt idx="198">
                  <c:v>324.61286688393</c:v>
                </c:pt>
                <c:pt idx="199">
                  <c:v>333.39146102490997</c:v>
                </c:pt>
                <c:pt idx="200">
                  <c:v>345.33921772044005</c:v>
                </c:pt>
                <c:pt idx="201">
                  <c:v>349.65615262368999</c:v>
                </c:pt>
                <c:pt idx="202">
                  <c:v>351.39154228008999</c:v>
                </c:pt>
                <c:pt idx="203">
                  <c:v>339.99278529544995</c:v>
                </c:pt>
                <c:pt idx="204">
                  <c:v>342.90598208229005</c:v>
                </c:pt>
                <c:pt idx="205">
                  <c:v>360.0466684205</c:v>
                </c:pt>
                <c:pt idx="206">
                  <c:v>346.48105066163004</c:v>
                </c:pt>
                <c:pt idx="207">
                  <c:v>337.44674334291</c:v>
                </c:pt>
                <c:pt idx="208">
                  <c:v>322.53686415635002</c:v>
                </c:pt>
                <c:pt idx="209">
                  <c:v>330.62799186401003</c:v>
                </c:pt>
                <c:pt idx="210">
                  <c:v>339.43330555539001</c:v>
                </c:pt>
                <c:pt idx="211">
                  <c:v>336.95462748277004</c:v>
                </c:pt>
                <c:pt idx="212">
                  <c:v>329.61095773407999</c:v>
                </c:pt>
                <c:pt idx="213">
                  <c:v>314.36712793155999</c:v>
                </c:pt>
                <c:pt idx="214">
                  <c:v>319.87786400905998</c:v>
                </c:pt>
                <c:pt idx="215">
                  <c:v>312.98227215884998</c:v>
                </c:pt>
                <c:pt idx="216">
                  <c:v>325.51310948474998</c:v>
                </c:pt>
                <c:pt idx="217">
                  <c:v>320.00675929757995</c:v>
                </c:pt>
                <c:pt idx="218">
                  <c:v>317.02025196887996</c:v>
                </c:pt>
                <c:pt idx="219">
                  <c:v>319.13899983459999</c:v>
                </c:pt>
                <c:pt idx="220">
                  <c:v>322.07108661915998</c:v>
                </c:pt>
                <c:pt idx="221">
                  <c:v>317.57172193191002</c:v>
                </c:pt>
                <c:pt idx="222">
                  <c:v>313.86827490103002</c:v>
                </c:pt>
                <c:pt idx="223">
                  <c:v>311.24697133808002</c:v>
                </c:pt>
                <c:pt idx="224">
                  <c:v>304.97836896279</c:v>
                </c:pt>
                <c:pt idx="225">
                  <c:v>312.95656222901005</c:v>
                </c:pt>
                <c:pt idx="226">
                  <c:v>311.73688685291995</c:v>
                </c:pt>
                <c:pt idx="227">
                  <c:v>314.95790634543999</c:v>
                </c:pt>
                <c:pt idx="228">
                  <c:v>317.86895932815003</c:v>
                </c:pt>
                <c:pt idx="229">
                  <c:v>324.84504647278999</c:v>
                </c:pt>
                <c:pt idx="230">
                  <c:v>322.23891038389002</c:v>
                </c:pt>
                <c:pt idx="231">
                  <c:v>316.47103541697004</c:v>
                </c:pt>
                <c:pt idx="232">
                  <c:v>319.86268115117002</c:v>
                </c:pt>
                <c:pt idx="233">
                  <c:v>322.90720113700002</c:v>
                </c:pt>
                <c:pt idx="234">
                  <c:v>304.11780255558</c:v>
                </c:pt>
                <c:pt idx="235">
                  <c:v>306.31258894684998</c:v>
                </c:pt>
                <c:pt idx="236">
                  <c:v>305.62372875338997</c:v>
                </c:pt>
                <c:pt idx="237">
                  <c:v>300.88540444391003</c:v>
                </c:pt>
                <c:pt idx="238">
                  <c:v>300.26450170428996</c:v>
                </c:pt>
                <c:pt idx="239">
                  <c:v>312.88415372044</c:v>
                </c:pt>
                <c:pt idx="240">
                  <c:v>305.64537074945002</c:v>
                </c:pt>
                <c:pt idx="241">
                  <c:v>306.68127565456001</c:v>
                </c:pt>
                <c:pt idx="242">
                  <c:v>301.69396025576003</c:v>
                </c:pt>
                <c:pt idx="243">
                  <c:v>304.3023475631</c:v>
                </c:pt>
                <c:pt idx="244">
                  <c:v>310.69885716372005</c:v>
                </c:pt>
                <c:pt idx="245">
                  <c:v>311.73377981865997</c:v>
                </c:pt>
                <c:pt idx="246">
                  <c:v>322.20130688571999</c:v>
                </c:pt>
                <c:pt idx="247">
                  <c:v>336.40541876061002</c:v>
                </c:pt>
                <c:pt idx="248">
                  <c:v>330.26479536996999</c:v>
                </c:pt>
                <c:pt idx="249">
                  <c:v>324.12296884941998</c:v>
                </c:pt>
                <c:pt idx="250">
                  <c:v>321.66520572321002</c:v>
                </c:pt>
                <c:pt idx="251">
                  <c:v>311.33811046679</c:v>
                </c:pt>
                <c:pt idx="252">
                  <c:v>295.85193603443003</c:v>
                </c:pt>
                <c:pt idx="253">
                  <c:v>301.12294185202995</c:v>
                </c:pt>
                <c:pt idx="254">
                  <c:v>301.18269046501996</c:v>
                </c:pt>
                <c:pt idx="255">
                  <c:v>300.41176351927999</c:v>
                </c:pt>
                <c:pt idx="256">
                  <c:v>293.31948091011003</c:v>
                </c:pt>
                <c:pt idx="257">
                  <c:v>305.64409787056996</c:v>
                </c:pt>
                <c:pt idx="258">
                  <c:v>302.09465026788001</c:v>
                </c:pt>
                <c:pt idx="259">
                  <c:v>310.32441197723</c:v>
                </c:pt>
                <c:pt idx="260">
                  <c:v>307.34877936655005</c:v>
                </c:pt>
                <c:pt idx="261">
                  <c:v>310.60772194750001</c:v>
                </c:pt>
                <c:pt idx="262">
                  <c:v>304.20674767957001</c:v>
                </c:pt>
                <c:pt idx="263">
                  <c:v>306.07004830462</c:v>
                </c:pt>
                <c:pt idx="264">
                  <c:v>284.32016826435</c:v>
                </c:pt>
                <c:pt idx="265">
                  <c:v>299.69291181238998</c:v>
                </c:pt>
                <c:pt idx="266">
                  <c:v>293.64030464125005</c:v>
                </c:pt>
                <c:pt idx="267">
                  <c:v>301.27676544884997</c:v>
                </c:pt>
                <c:pt idx="268">
                  <c:v>300.73329185988996</c:v>
                </c:pt>
                <c:pt idx="269">
                  <c:v>301.93108057157997</c:v>
                </c:pt>
                <c:pt idx="270">
                  <c:v>303.39610687954996</c:v>
                </c:pt>
                <c:pt idx="271">
                  <c:v>293.42693138768004</c:v>
                </c:pt>
                <c:pt idx="272">
                  <c:v>287.06483267248001</c:v>
                </c:pt>
                <c:pt idx="273">
                  <c:v>293.02065151902997</c:v>
                </c:pt>
                <c:pt idx="274">
                  <c:v>310.83285024886999</c:v>
                </c:pt>
                <c:pt idx="275">
                  <c:v>306.74828614018998</c:v>
                </c:pt>
                <c:pt idx="276">
                  <c:v>308.99608666832</c:v>
                </c:pt>
                <c:pt idx="277">
                  <c:v>338.27274381299998</c:v>
                </c:pt>
                <c:pt idx="278">
                  <c:v>329.48586616776998</c:v>
                </c:pt>
                <c:pt idx="279">
                  <c:v>343.31253506368</c:v>
                </c:pt>
                <c:pt idx="280">
                  <c:v>337.83346170205999</c:v>
                </c:pt>
                <c:pt idx="281">
                  <c:v>334.39345490644001</c:v>
                </c:pt>
                <c:pt idx="282">
                  <c:v>336.9706038782</c:v>
                </c:pt>
                <c:pt idx="283">
                  <c:v>331.45248296815998</c:v>
                </c:pt>
                <c:pt idx="284">
                  <c:v>336.50797566002001</c:v>
                </c:pt>
                <c:pt idx="285">
                  <c:v>329.03891052045998</c:v>
                </c:pt>
                <c:pt idx="286">
                  <c:v>332.71225457771004</c:v>
                </c:pt>
                <c:pt idx="287">
                  <c:v>325.17440830551999</c:v>
                </c:pt>
                <c:pt idx="288">
                  <c:v>318.19378338694997</c:v>
                </c:pt>
                <c:pt idx="289">
                  <c:v>317.42422414484003</c:v>
                </c:pt>
                <c:pt idx="290">
                  <c:v>315.10400004510996</c:v>
                </c:pt>
                <c:pt idx="291">
                  <c:v>320.95004672920999</c:v>
                </c:pt>
                <c:pt idx="292">
                  <c:v>322.30576999208</c:v>
                </c:pt>
                <c:pt idx="293">
                  <c:v>317.82848376879997</c:v>
                </c:pt>
                <c:pt idx="294">
                  <c:v>320.96149598317999</c:v>
                </c:pt>
                <c:pt idx="295">
                  <c:v>322.57260856518997</c:v>
                </c:pt>
                <c:pt idx="296">
                  <c:v>325.20267372196002</c:v>
                </c:pt>
                <c:pt idx="297">
                  <c:v>325.34728946346996</c:v>
                </c:pt>
                <c:pt idx="298">
                  <c:v>325.26688679769001</c:v>
                </c:pt>
                <c:pt idx="299">
                  <c:v>324.67793798003999</c:v>
                </c:pt>
                <c:pt idx="300">
                  <c:v>323.81230048263001</c:v>
                </c:pt>
                <c:pt idx="301">
                  <c:v>324.59651787020005</c:v>
                </c:pt>
                <c:pt idx="302">
                  <c:v>320.31874366461</c:v>
                </c:pt>
                <c:pt idx="303">
                  <c:v>321.80776548103006</c:v>
                </c:pt>
                <c:pt idx="304">
                  <c:v>325.50921877443</c:v>
                </c:pt>
                <c:pt idx="305">
                  <c:v>327.57614566471</c:v>
                </c:pt>
                <c:pt idx="306">
                  <c:v>324.58182923077999</c:v>
                </c:pt>
                <c:pt idx="307">
                  <c:v>321.22565320665001</c:v>
                </c:pt>
                <c:pt idx="308">
                  <c:v>322.35882238730005</c:v>
                </c:pt>
                <c:pt idx="309">
                  <c:v>323.10408692275001</c:v>
                </c:pt>
                <c:pt idx="310">
                  <c:v>320.60558976453001</c:v>
                </c:pt>
                <c:pt idx="311">
                  <c:v>322.19467726725003</c:v>
                </c:pt>
                <c:pt idx="312">
                  <c:v>322.12953311042997</c:v>
                </c:pt>
                <c:pt idx="313">
                  <c:v>321.52352350837998</c:v>
                </c:pt>
                <c:pt idx="314">
                  <c:v>321.40599232945999</c:v>
                </c:pt>
                <c:pt idx="315">
                  <c:v>321.38040871749001</c:v>
                </c:pt>
                <c:pt idx="316">
                  <c:v>321.35941116843003</c:v>
                </c:pt>
                <c:pt idx="317">
                  <c:v>319.95518203044998</c:v>
                </c:pt>
                <c:pt idx="318">
                  <c:v>318.20153587405002</c:v>
                </c:pt>
                <c:pt idx="319">
                  <c:v>319.60693584183002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'240828B007'!$A$2:$A$321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'240828B007'!$P$2:$P$321</c:f>
              <c:numCache>
                <c:formatCode>General</c:formatCode>
                <c:ptCount val="320"/>
                <c:pt idx="0">
                  <c:v>36.772345330688481</c:v>
                </c:pt>
                <c:pt idx="1">
                  <c:v>36.160990154425818</c:v>
                </c:pt>
                <c:pt idx="2">
                  <c:v>30.386699748376817</c:v>
                </c:pt>
                <c:pt idx="3">
                  <c:v>36.245354576806328</c:v>
                </c:pt>
                <c:pt idx="4">
                  <c:v>36.609489410722368</c:v>
                </c:pt>
                <c:pt idx="5">
                  <c:v>23.693940679906859</c:v>
                </c:pt>
                <c:pt idx="6">
                  <c:v>15.890481047698243</c:v>
                </c:pt>
                <c:pt idx="7">
                  <c:v>15.142154871079008</c:v>
                </c:pt>
                <c:pt idx="8">
                  <c:v>13.923795534166203</c:v>
                </c:pt>
                <c:pt idx="9">
                  <c:v>15.560257398657139</c:v>
                </c:pt>
                <c:pt idx="10">
                  <c:v>18.478902638681586</c:v>
                </c:pt>
                <c:pt idx="11">
                  <c:v>12.553715997863421</c:v>
                </c:pt>
                <c:pt idx="12">
                  <c:v>14.699143123240486</c:v>
                </c:pt>
                <c:pt idx="13">
                  <c:v>15.200303421879003</c:v>
                </c:pt>
                <c:pt idx="14">
                  <c:v>20.656474636156794</c:v>
                </c:pt>
                <c:pt idx="15">
                  <c:v>16.244371563523828</c:v>
                </c:pt>
                <c:pt idx="16">
                  <c:v>27.046135595233068</c:v>
                </c:pt>
                <c:pt idx="17">
                  <c:v>31.661699953367371</c:v>
                </c:pt>
                <c:pt idx="18">
                  <c:v>37.442143082412635</c:v>
                </c:pt>
                <c:pt idx="19">
                  <c:v>42.597142371441812</c:v>
                </c:pt>
                <c:pt idx="20">
                  <c:v>41.373587667229998</c:v>
                </c:pt>
                <c:pt idx="21">
                  <c:v>44.48309625076152</c:v>
                </c:pt>
                <c:pt idx="22">
                  <c:v>47.289536951493098</c:v>
                </c:pt>
                <c:pt idx="23">
                  <c:v>47.821760384306003</c:v>
                </c:pt>
                <c:pt idx="24">
                  <c:v>43.202155632916181</c:v>
                </c:pt>
                <c:pt idx="25">
                  <c:v>36.771052597562345</c:v>
                </c:pt>
                <c:pt idx="26">
                  <c:v>37.366041965310906</c:v>
                </c:pt>
                <c:pt idx="27">
                  <c:v>36.159646868976921</c:v>
                </c:pt>
                <c:pt idx="28">
                  <c:v>36.385898267349269</c:v>
                </c:pt>
                <c:pt idx="29">
                  <c:v>38.196785716443344</c:v>
                </c:pt>
                <c:pt idx="30">
                  <c:v>32.16848905461179</c:v>
                </c:pt>
                <c:pt idx="31">
                  <c:v>29.043893960116023</c:v>
                </c:pt>
                <c:pt idx="32">
                  <c:v>23.286880513498367</c:v>
                </c:pt>
                <c:pt idx="33">
                  <c:v>16.303264019601883</c:v>
                </c:pt>
                <c:pt idx="34">
                  <c:v>13.886449040447522</c:v>
                </c:pt>
                <c:pt idx="35">
                  <c:v>13.960042634035682</c:v>
                </c:pt>
                <c:pt idx="36">
                  <c:v>13.558865092756136</c:v>
                </c:pt>
                <c:pt idx="37">
                  <c:v>9.683641431603851</c:v>
                </c:pt>
                <c:pt idx="38">
                  <c:v>10.756520798086667</c:v>
                </c:pt>
                <c:pt idx="39">
                  <c:v>11.577222448880953</c:v>
                </c:pt>
                <c:pt idx="40">
                  <c:v>13.369640718801964</c:v>
                </c:pt>
                <c:pt idx="41">
                  <c:v>12.366598694095462</c:v>
                </c:pt>
                <c:pt idx="42">
                  <c:v>11.773481410580459</c:v>
                </c:pt>
                <c:pt idx="43">
                  <c:v>14.167690750398995</c:v>
                </c:pt>
                <c:pt idx="44">
                  <c:v>18.323699029455458</c:v>
                </c:pt>
                <c:pt idx="45">
                  <c:v>15.253824427668869</c:v>
                </c:pt>
                <c:pt idx="46">
                  <c:v>16.644869190827364</c:v>
                </c:pt>
                <c:pt idx="47">
                  <c:v>17.960398466384738</c:v>
                </c:pt>
                <c:pt idx="48">
                  <c:v>13.198274607962679</c:v>
                </c:pt>
                <c:pt idx="49">
                  <c:v>13.240825556853316</c:v>
                </c:pt>
                <c:pt idx="50">
                  <c:v>9.3130479277273839</c:v>
                </c:pt>
                <c:pt idx="51">
                  <c:v>5.1029693857350091</c:v>
                </c:pt>
                <c:pt idx="52">
                  <c:v>2.5145441426649042</c:v>
                </c:pt>
                <c:pt idx="53">
                  <c:v>5.8374652268576908</c:v>
                </c:pt>
                <c:pt idx="54">
                  <c:v>9.3977300830751478</c:v>
                </c:pt>
                <c:pt idx="55">
                  <c:v>10.230452795655665</c:v>
                </c:pt>
                <c:pt idx="56">
                  <c:v>6.703504692703345</c:v>
                </c:pt>
                <c:pt idx="57">
                  <c:v>2.5020867883002409</c:v>
                </c:pt>
                <c:pt idx="58">
                  <c:v>1.2505763198527164</c:v>
                </c:pt>
                <c:pt idx="59">
                  <c:v>1.3087182859515947</c:v>
                </c:pt>
                <c:pt idx="60">
                  <c:v>6.4942826586126507</c:v>
                </c:pt>
                <c:pt idx="61">
                  <c:v>10.267958378463486</c:v>
                </c:pt>
                <c:pt idx="62">
                  <c:v>10.66706163438476</c:v>
                </c:pt>
                <c:pt idx="63">
                  <c:v>11.016082522897442</c:v>
                </c:pt>
                <c:pt idx="64">
                  <c:v>6.5906345900743775</c:v>
                </c:pt>
                <c:pt idx="65">
                  <c:v>5.1029927994420223</c:v>
                </c:pt>
                <c:pt idx="66">
                  <c:v>5.2098727860042162</c:v>
                </c:pt>
                <c:pt idx="67">
                  <c:v>4.9057215227085571</c:v>
                </c:pt>
                <c:pt idx="68">
                  <c:v>-0.3042330597015141</c:v>
                </c:pt>
                <c:pt idx="69">
                  <c:v>-1.1363929886763313</c:v>
                </c:pt>
                <c:pt idx="70">
                  <c:v>-2.3531185254602924</c:v>
                </c:pt>
                <c:pt idx="71">
                  <c:v>-5.6693510108083673</c:v>
                </c:pt>
                <c:pt idx="72">
                  <c:v>-5.8548529554288722</c:v>
                </c:pt>
                <c:pt idx="73">
                  <c:v>-6.9443638458376826</c:v>
                </c:pt>
                <c:pt idx="74">
                  <c:v>-6.0467383657568323</c:v>
                </c:pt>
                <c:pt idx="75">
                  <c:v>-7.536187634453527</c:v>
                </c:pt>
                <c:pt idx="76">
                  <c:v>-6.14719196601843</c:v>
                </c:pt>
                <c:pt idx="77">
                  <c:v>-6.8462748131414672</c:v>
                </c:pt>
                <c:pt idx="78">
                  <c:v>-5.7192848114050854</c:v>
                </c:pt>
                <c:pt idx="79">
                  <c:v>-5.6966169158986943</c:v>
                </c:pt>
                <c:pt idx="80">
                  <c:v>-6.721410212735206</c:v>
                </c:pt>
                <c:pt idx="81">
                  <c:v>-8.8577328190446281</c:v>
                </c:pt>
                <c:pt idx="82">
                  <c:v>-7.6457314283870481</c:v>
                </c:pt>
                <c:pt idx="83">
                  <c:v>-8.4285642976651705</c:v>
                </c:pt>
                <c:pt idx="84">
                  <c:v>-8.4545687945430767</c:v>
                </c:pt>
                <c:pt idx="85">
                  <c:v>-8.4518348820128448</c:v>
                </c:pt>
                <c:pt idx="86">
                  <c:v>-7.9877712356106159</c:v>
                </c:pt>
                <c:pt idx="87">
                  <c:v>-8.0660879337589222</c:v>
                </c:pt>
                <c:pt idx="88">
                  <c:v>-4.9039704993444593</c:v>
                </c:pt>
                <c:pt idx="89">
                  <c:v>-5.7300427201545983</c:v>
                </c:pt>
                <c:pt idx="90">
                  <c:v>-4.2373619683876651</c:v>
                </c:pt>
                <c:pt idx="91">
                  <c:v>-4.3806905493195574</c:v>
                </c:pt>
                <c:pt idx="92">
                  <c:v>-3.3307191619188403</c:v>
                </c:pt>
                <c:pt idx="93">
                  <c:v>-1.9858606512348085</c:v>
                </c:pt>
                <c:pt idx="94">
                  <c:v>-4.2317692184258213</c:v>
                </c:pt>
                <c:pt idx="95">
                  <c:v>-1.1340588940114302</c:v>
                </c:pt>
                <c:pt idx="96">
                  <c:v>0.25233480143506243</c:v>
                </c:pt>
                <c:pt idx="97">
                  <c:v>-2.5844223825272445</c:v>
                </c:pt>
                <c:pt idx="98">
                  <c:v>-1.7272149469462841</c:v>
                </c:pt>
                <c:pt idx="99">
                  <c:v>-2.7215118565269711</c:v>
                </c:pt>
                <c:pt idx="100">
                  <c:v>-2.558048707031372</c:v>
                </c:pt>
                <c:pt idx="101">
                  <c:v>-2.6133058358190384</c:v>
                </c:pt>
                <c:pt idx="102">
                  <c:v>-2.5524158873296119</c:v>
                </c:pt>
                <c:pt idx="103">
                  <c:v>-5.7345820872497866</c:v>
                </c:pt>
                <c:pt idx="104">
                  <c:v>-4.3407692313102606</c:v>
                </c:pt>
                <c:pt idx="105">
                  <c:v>-4.682589571652203</c:v>
                </c:pt>
                <c:pt idx="106">
                  <c:v>-7.5293819027126787</c:v>
                </c:pt>
                <c:pt idx="107">
                  <c:v>-8.1559148719446188</c:v>
                </c:pt>
                <c:pt idx="108">
                  <c:v>-5.4360821725351904</c:v>
                </c:pt>
                <c:pt idx="109">
                  <c:v>-3.3783736883869766</c:v>
                </c:pt>
                <c:pt idx="110">
                  <c:v>-3.4680145302536292</c:v>
                </c:pt>
                <c:pt idx="111">
                  <c:v>-7.684244868700957</c:v>
                </c:pt>
                <c:pt idx="112">
                  <c:v>-9.8970390104713832</c:v>
                </c:pt>
                <c:pt idx="113">
                  <c:v>-9.6645344768676757</c:v>
                </c:pt>
                <c:pt idx="114">
                  <c:v>-10.477537369624363</c:v>
                </c:pt>
                <c:pt idx="115">
                  <c:v>-10.458340733661048</c:v>
                </c:pt>
                <c:pt idx="116">
                  <c:v>-10.212540389375137</c:v>
                </c:pt>
                <c:pt idx="117">
                  <c:v>-10.624312296012398</c:v>
                </c:pt>
                <c:pt idx="118">
                  <c:v>-12.584201166624156</c:v>
                </c:pt>
                <c:pt idx="119">
                  <c:v>-11.144591084850033</c:v>
                </c:pt>
                <c:pt idx="120">
                  <c:v>-9.2037814208854627</c:v>
                </c:pt>
                <c:pt idx="121">
                  <c:v>-11.206961376150463</c:v>
                </c:pt>
                <c:pt idx="122">
                  <c:v>-9.5943083452846309</c:v>
                </c:pt>
                <c:pt idx="123">
                  <c:v>-12.179763667735214</c:v>
                </c:pt>
                <c:pt idx="124">
                  <c:v>-9.1677987710398998</c:v>
                </c:pt>
                <c:pt idx="125">
                  <c:v>-9.3572235805008788</c:v>
                </c:pt>
                <c:pt idx="126">
                  <c:v>-9.3350744251084805</c:v>
                </c:pt>
                <c:pt idx="127">
                  <c:v>-6.8608922481104466</c:v>
                </c:pt>
                <c:pt idx="128">
                  <c:v>-6.088806590498117</c:v>
                </c:pt>
                <c:pt idx="129">
                  <c:v>-6.154080407800441</c:v>
                </c:pt>
                <c:pt idx="130">
                  <c:v>-7.585980640773939</c:v>
                </c:pt>
                <c:pt idx="131">
                  <c:v>-8.0014104494701677</c:v>
                </c:pt>
                <c:pt idx="132">
                  <c:v>-9.1574347120232265</c:v>
                </c:pt>
                <c:pt idx="133">
                  <c:v>-8.8415497693030165</c:v>
                </c:pt>
                <c:pt idx="134">
                  <c:v>-9.5033587021896597</c:v>
                </c:pt>
                <c:pt idx="135">
                  <c:v>-9.109685670329899</c:v>
                </c:pt>
                <c:pt idx="136">
                  <c:v>-9.5792669880173662</c:v>
                </c:pt>
                <c:pt idx="137">
                  <c:v>-7.9848537975427156</c:v>
                </c:pt>
                <c:pt idx="138">
                  <c:v>-6.9867124813416126</c:v>
                </c:pt>
                <c:pt idx="139">
                  <c:v>-10.347564601782112</c:v>
                </c:pt>
                <c:pt idx="140">
                  <c:v>-11.397315263447622</c:v>
                </c:pt>
                <c:pt idx="141">
                  <c:v>-11.512800683532118</c:v>
                </c:pt>
                <c:pt idx="142">
                  <c:v>-11.346405950297605</c:v>
                </c:pt>
                <c:pt idx="143">
                  <c:v>-10.538517055685038</c:v>
                </c:pt>
                <c:pt idx="144">
                  <c:v>-9.5500600847389912</c:v>
                </c:pt>
                <c:pt idx="145">
                  <c:v>-10.624755472931325</c:v>
                </c:pt>
                <c:pt idx="146">
                  <c:v>-10.67887779227136</c:v>
                </c:pt>
                <c:pt idx="147">
                  <c:v>-11.41144557964529</c:v>
                </c:pt>
                <c:pt idx="148">
                  <c:v>-12.314670106456413</c:v>
                </c:pt>
                <c:pt idx="149">
                  <c:v>-11.892178594628527</c:v>
                </c:pt>
                <c:pt idx="150">
                  <c:v>-12.931866834606334</c:v>
                </c:pt>
                <c:pt idx="151">
                  <c:v>-11.699759874789892</c:v>
                </c:pt>
                <c:pt idx="152">
                  <c:v>-10.489438870204898</c:v>
                </c:pt>
                <c:pt idx="153">
                  <c:v>-9.4321040760196926</c:v>
                </c:pt>
                <c:pt idx="154">
                  <c:v>-8.0904946959726018</c:v>
                </c:pt>
                <c:pt idx="155">
                  <c:v>-8.3911569510423689</c:v>
                </c:pt>
                <c:pt idx="156">
                  <c:v>-9.0568860793282031</c:v>
                </c:pt>
                <c:pt idx="157">
                  <c:v>-7.3176247770659844</c:v>
                </c:pt>
                <c:pt idx="158">
                  <c:v>-9.8753176562345626</c:v>
                </c:pt>
                <c:pt idx="159">
                  <c:v>-9.7316184642902233</c:v>
                </c:pt>
                <c:pt idx="160">
                  <c:v>-7.5267683051094654</c:v>
                </c:pt>
                <c:pt idx="161">
                  <c:v>-8.2144839897544841</c:v>
                </c:pt>
                <c:pt idx="162">
                  <c:v>-7.6430623277769101</c:v>
                </c:pt>
                <c:pt idx="163">
                  <c:v>-8.7476153450478424</c:v>
                </c:pt>
                <c:pt idx="164">
                  <c:v>-6.8999280744063958</c:v>
                </c:pt>
                <c:pt idx="165">
                  <c:v>-9.8346112937911521</c:v>
                </c:pt>
                <c:pt idx="166">
                  <c:v>-9.19855245892151</c:v>
                </c:pt>
                <c:pt idx="167">
                  <c:v>-9.0568458739385385</c:v>
                </c:pt>
                <c:pt idx="168">
                  <c:v>-10.084171889772309</c:v>
                </c:pt>
                <c:pt idx="169">
                  <c:v>-8.5844337118773986</c:v>
                </c:pt>
                <c:pt idx="170">
                  <c:v>-9.5452412621450353</c:v>
                </c:pt>
                <c:pt idx="171">
                  <c:v>-9.7760472382508254</c:v>
                </c:pt>
                <c:pt idx="172">
                  <c:v>-9.5701552686853653</c:v>
                </c:pt>
                <c:pt idx="173">
                  <c:v>-7.0821791913360297</c:v>
                </c:pt>
                <c:pt idx="174">
                  <c:v>-8.5371998518459069</c:v>
                </c:pt>
                <c:pt idx="175">
                  <c:v>-7.8476308072025214</c:v>
                </c:pt>
                <c:pt idx="176">
                  <c:v>-8.0880307123584085</c:v>
                </c:pt>
                <c:pt idx="177">
                  <c:v>-8.118429914464194</c:v>
                </c:pt>
                <c:pt idx="178">
                  <c:v>-7.908742176407733</c:v>
                </c:pt>
                <c:pt idx="179">
                  <c:v>-8.4543204304929418</c:v>
                </c:pt>
                <c:pt idx="180">
                  <c:v>-6.8516386001991725</c:v>
                </c:pt>
                <c:pt idx="181">
                  <c:v>-6.4290104816616918</c:v>
                </c:pt>
                <c:pt idx="182">
                  <c:v>-6.6859826430126903</c:v>
                </c:pt>
                <c:pt idx="183">
                  <c:v>-6.5958702379115319</c:v>
                </c:pt>
                <c:pt idx="184">
                  <c:v>-6.8279080196631909</c:v>
                </c:pt>
                <c:pt idx="185">
                  <c:v>-7.3762717140626863</c:v>
                </c:pt>
                <c:pt idx="186">
                  <c:v>-5.3002332781043258</c:v>
                </c:pt>
                <c:pt idx="187">
                  <c:v>-3.919247980652417</c:v>
                </c:pt>
                <c:pt idx="188">
                  <c:v>-5.9255868408102392</c:v>
                </c:pt>
                <c:pt idx="189">
                  <c:v>-7.1933081441791309</c:v>
                </c:pt>
                <c:pt idx="190">
                  <c:v>-7.8588278533020954</c:v>
                </c:pt>
                <c:pt idx="191">
                  <c:v>-7.5348037228736784</c:v>
                </c:pt>
                <c:pt idx="192">
                  <c:v>-7.777561754714041</c:v>
                </c:pt>
                <c:pt idx="193">
                  <c:v>-7.3966233646269197</c:v>
                </c:pt>
                <c:pt idx="194">
                  <c:v>-6.92453586634542</c:v>
                </c:pt>
                <c:pt idx="195">
                  <c:v>-6.8051763584683318</c:v>
                </c:pt>
                <c:pt idx="196">
                  <c:v>-6.4780960408562889</c:v>
                </c:pt>
                <c:pt idx="197">
                  <c:v>-4.9638960015594158</c:v>
                </c:pt>
                <c:pt idx="198">
                  <c:v>-5.521526523051663</c:v>
                </c:pt>
                <c:pt idx="199">
                  <c:v>-7.0578345528279751</c:v>
                </c:pt>
                <c:pt idx="200">
                  <c:v>-7.6902632100160098</c:v>
                </c:pt>
                <c:pt idx="201">
                  <c:v>-9.5723239138368061</c:v>
                </c:pt>
                <c:pt idx="202">
                  <c:v>-7.9604151229031279</c:v>
                </c:pt>
                <c:pt idx="203">
                  <c:v>-6.6044155494829297</c:v>
                </c:pt>
                <c:pt idx="204">
                  <c:v>-8.4261924348901029</c:v>
                </c:pt>
                <c:pt idx="205">
                  <c:v>-7.3188948169855328</c:v>
                </c:pt>
                <c:pt idx="206">
                  <c:v>-6.2708246924712983</c:v>
                </c:pt>
                <c:pt idx="207">
                  <c:v>-5.7551369965578063</c:v>
                </c:pt>
                <c:pt idx="208">
                  <c:v>-3.4371374480509096</c:v>
                </c:pt>
                <c:pt idx="209">
                  <c:v>-5.3612148614260855</c:v>
                </c:pt>
                <c:pt idx="210">
                  <c:v>-6.795511941199579</c:v>
                </c:pt>
                <c:pt idx="211">
                  <c:v>-3.5121364281335996</c:v>
                </c:pt>
                <c:pt idx="212">
                  <c:v>-3.6242242202726183</c:v>
                </c:pt>
                <c:pt idx="213">
                  <c:v>-3.4540121318160297</c:v>
                </c:pt>
                <c:pt idx="214">
                  <c:v>-1.3621247938216601</c:v>
                </c:pt>
                <c:pt idx="215">
                  <c:v>-1.8126828613111994</c:v>
                </c:pt>
                <c:pt idx="216">
                  <c:v>-2.8909772068545911</c:v>
                </c:pt>
                <c:pt idx="217">
                  <c:v>-3.1412735588259069</c:v>
                </c:pt>
                <c:pt idx="218">
                  <c:v>-2.9684631365872938</c:v>
                </c:pt>
                <c:pt idx="219">
                  <c:v>-5.1328820130689969</c:v>
                </c:pt>
                <c:pt idx="220">
                  <c:v>-7.2596064456725298</c:v>
                </c:pt>
                <c:pt idx="221">
                  <c:v>-6.278498641575907</c:v>
                </c:pt>
                <c:pt idx="222">
                  <c:v>-6.5147620733462084</c:v>
                </c:pt>
                <c:pt idx="223">
                  <c:v>-7.1404518769594301</c:v>
                </c:pt>
                <c:pt idx="224">
                  <c:v>-6.0934373974307547</c:v>
                </c:pt>
                <c:pt idx="225">
                  <c:v>-6.9415849426121374</c:v>
                </c:pt>
                <c:pt idx="226">
                  <c:v>-6.7409070470438346</c:v>
                </c:pt>
                <c:pt idx="227">
                  <c:v>-5.2730962591607566</c:v>
                </c:pt>
                <c:pt idx="228">
                  <c:v>-7.3404614631695608</c:v>
                </c:pt>
                <c:pt idx="229">
                  <c:v>-5.5634257287987054</c:v>
                </c:pt>
                <c:pt idx="230">
                  <c:v>-7.3311827883698086</c:v>
                </c:pt>
                <c:pt idx="231">
                  <c:v>-7.3062395483675351</c:v>
                </c:pt>
                <c:pt idx="232">
                  <c:v>-7.1005132355175551</c:v>
                </c:pt>
                <c:pt idx="233">
                  <c:v>-5.694613442844199</c:v>
                </c:pt>
                <c:pt idx="234">
                  <c:v>-4.5859933811716083</c:v>
                </c:pt>
                <c:pt idx="235">
                  <c:v>-5.1619869580646016</c:v>
                </c:pt>
                <c:pt idx="236">
                  <c:v>-5.0464870839607912</c:v>
                </c:pt>
                <c:pt idx="237">
                  <c:v>-5.5652105215689609</c:v>
                </c:pt>
                <c:pt idx="238">
                  <c:v>-5.9433322247185982</c:v>
                </c:pt>
                <c:pt idx="239">
                  <c:v>-6.3007972621032708</c:v>
                </c:pt>
                <c:pt idx="240">
                  <c:v>-4.9128510991368683</c:v>
                </c:pt>
                <c:pt idx="241">
                  <c:v>-6.4571486378802074</c:v>
                </c:pt>
                <c:pt idx="242">
                  <c:v>-5.6111053208780826</c:v>
                </c:pt>
                <c:pt idx="243">
                  <c:v>-6.0034344968934485</c:v>
                </c:pt>
                <c:pt idx="244">
                  <c:v>-3.9995156213436731</c:v>
                </c:pt>
                <c:pt idx="245">
                  <c:v>-5.8458609733681426</c:v>
                </c:pt>
                <c:pt idx="246">
                  <c:v>-7.0558181828865809</c:v>
                </c:pt>
                <c:pt idx="247">
                  <c:v>-7.6899668544422521</c:v>
                </c:pt>
                <c:pt idx="248">
                  <c:v>-7.1058044512129896</c:v>
                </c:pt>
                <c:pt idx="249">
                  <c:v>-5.5876183412052427</c:v>
                </c:pt>
                <c:pt idx="250">
                  <c:v>-6.6538262391092591</c:v>
                </c:pt>
                <c:pt idx="251">
                  <c:v>-5.5731436098412042</c:v>
                </c:pt>
                <c:pt idx="252">
                  <c:v>-5.0975155081382066</c:v>
                </c:pt>
                <c:pt idx="253">
                  <c:v>-7.2293376491488468</c:v>
                </c:pt>
                <c:pt idx="254">
                  <c:v>-6.7527713556257973</c:v>
                </c:pt>
                <c:pt idx="255">
                  <c:v>-6.5834343186357653</c:v>
                </c:pt>
                <c:pt idx="256">
                  <c:v>-5.1397605511648035</c:v>
                </c:pt>
                <c:pt idx="257">
                  <c:v>-7.3486651831739813</c:v>
                </c:pt>
                <c:pt idx="258">
                  <c:v>-6.0076685427568668</c:v>
                </c:pt>
                <c:pt idx="259">
                  <c:v>-6.7994582776446642</c:v>
                </c:pt>
                <c:pt idx="260">
                  <c:v>-6.5084845365887132</c:v>
                </c:pt>
                <c:pt idx="261">
                  <c:v>-6.2959341515570362</c:v>
                </c:pt>
                <c:pt idx="262">
                  <c:v>-5.9903031825506385</c:v>
                </c:pt>
                <c:pt idx="263">
                  <c:v>-6.5339595462669973</c:v>
                </c:pt>
                <c:pt idx="264">
                  <c:v>-1.9125132026310796</c:v>
                </c:pt>
                <c:pt idx="265">
                  <c:v>-4.5367647281289312</c:v>
                </c:pt>
                <c:pt idx="266">
                  <c:v>-3.9353264752691492</c:v>
                </c:pt>
                <c:pt idx="267">
                  <c:v>-5.3093922991647755</c:v>
                </c:pt>
                <c:pt idx="268">
                  <c:v>-4.8055948125842569</c:v>
                </c:pt>
                <c:pt idx="269">
                  <c:v>-4.8073176833336495</c:v>
                </c:pt>
                <c:pt idx="270">
                  <c:v>-5.8066012927102149</c:v>
                </c:pt>
                <c:pt idx="271">
                  <c:v>-2.0313546435396979</c:v>
                </c:pt>
                <c:pt idx="272">
                  <c:v>-2.2828690997278436</c:v>
                </c:pt>
                <c:pt idx="273">
                  <c:v>-2.8032321851011894</c:v>
                </c:pt>
                <c:pt idx="274">
                  <c:v>-3.3014413018981648</c:v>
                </c:pt>
                <c:pt idx="275">
                  <c:v>-3.5420364191167133</c:v>
                </c:pt>
                <c:pt idx="276">
                  <c:v>-4.3760161317095951</c:v>
                </c:pt>
                <c:pt idx="277">
                  <c:v>-6.50910956511437</c:v>
                </c:pt>
                <c:pt idx="278">
                  <c:v>-6.6810491760292496</c:v>
                </c:pt>
                <c:pt idx="279">
                  <c:v>-6.9959448712394474</c:v>
                </c:pt>
                <c:pt idx="280">
                  <c:v>-7.6700506911973099</c:v>
                </c:pt>
                <c:pt idx="281">
                  <c:v>-8.686679309676764</c:v>
                </c:pt>
                <c:pt idx="282">
                  <c:v>-8.2306464708652527</c:v>
                </c:pt>
                <c:pt idx="283">
                  <c:v>-8.4123855342328699</c:v>
                </c:pt>
                <c:pt idx="284">
                  <c:v>-8.7704334110184519</c:v>
                </c:pt>
                <c:pt idx="285">
                  <c:v>-8.1798313145206905</c:v>
                </c:pt>
                <c:pt idx="286">
                  <c:v>-8.0495860843267533</c:v>
                </c:pt>
                <c:pt idx="287">
                  <c:v>-6.8041256050059244</c:v>
                </c:pt>
                <c:pt idx="288">
                  <c:v>-6.8815108191648058</c:v>
                </c:pt>
                <c:pt idx="289">
                  <c:v>-6.5655493349299183</c:v>
                </c:pt>
                <c:pt idx="290">
                  <c:v>-4.1676755702977051</c:v>
                </c:pt>
                <c:pt idx="291">
                  <c:v>-1.8466546662241523</c:v>
                </c:pt>
                <c:pt idx="292">
                  <c:v>-1.281152326225744</c:v>
                </c:pt>
                <c:pt idx="293">
                  <c:v>-2.7792599162230744</c:v>
                </c:pt>
                <c:pt idx="294">
                  <c:v>-2.551510836242262</c:v>
                </c:pt>
                <c:pt idx="295">
                  <c:v>-2.7759963527576681</c:v>
                </c:pt>
                <c:pt idx="296">
                  <c:v>-2.8214597636478924</c:v>
                </c:pt>
                <c:pt idx="297">
                  <c:v>-3.193010565625845</c:v>
                </c:pt>
                <c:pt idx="298">
                  <c:v>-1.9442962763943836</c:v>
                </c:pt>
                <c:pt idx="299">
                  <c:v>-2.6688973521207178</c:v>
                </c:pt>
                <c:pt idx="300">
                  <c:v>-3.0445866016570613</c:v>
                </c:pt>
                <c:pt idx="301">
                  <c:v>-2.3893595702608104</c:v>
                </c:pt>
                <c:pt idx="302">
                  <c:v>0.58592452132568984</c:v>
                </c:pt>
                <c:pt idx="303">
                  <c:v>1.4406515423980872</c:v>
                </c:pt>
                <c:pt idx="304">
                  <c:v>1.1395418554607479</c:v>
                </c:pt>
                <c:pt idx="305">
                  <c:v>-0.90270328601436289</c:v>
                </c:pt>
                <c:pt idx="306">
                  <c:v>-0.80891502654670167</c:v>
                </c:pt>
                <c:pt idx="307">
                  <c:v>-0.47927670111137877</c:v>
                </c:pt>
                <c:pt idx="308">
                  <c:v>0.83352737584925729</c:v>
                </c:pt>
                <c:pt idx="309">
                  <c:v>1.5601579668166028</c:v>
                </c:pt>
                <c:pt idx="310">
                  <c:v>0.36314443498289711</c:v>
                </c:pt>
                <c:pt idx="311">
                  <c:v>1.2978037113957268</c:v>
                </c:pt>
                <c:pt idx="312">
                  <c:v>1.3765143047997168</c:v>
                </c:pt>
                <c:pt idx="313">
                  <c:v>1.0898131461335618</c:v>
                </c:pt>
                <c:pt idx="314">
                  <c:v>0.44914019055152277</c:v>
                </c:pt>
                <c:pt idx="315">
                  <c:v>0.94631664650030312</c:v>
                </c:pt>
                <c:pt idx="316">
                  <c:v>-0.24012549848118273</c:v>
                </c:pt>
                <c:pt idx="317">
                  <c:v>1.2756638155980298</c:v>
                </c:pt>
                <c:pt idx="318">
                  <c:v>0.6074104420249673</c:v>
                </c:pt>
                <c:pt idx="319">
                  <c:v>0.18116017143733579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'240828B008'!$A$2:$A$321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'240828B008'!$J$2:$J$321</c:f>
              <c:numCache>
                <c:formatCode>0.0</c:formatCode>
                <c:ptCount val="320"/>
                <c:pt idx="0">
                  <c:v>757.51125154975989</c:v>
                </c:pt>
                <c:pt idx="1">
                  <c:v>734.58542619839</c:v>
                </c:pt>
                <c:pt idx="2">
                  <c:v>717.55421699966007</c:v>
                </c:pt>
                <c:pt idx="3">
                  <c:v>721.58775769943998</c:v>
                </c:pt>
                <c:pt idx="4">
                  <c:v>717.04180792821001</c:v>
                </c:pt>
                <c:pt idx="5">
                  <c:v>680.89135205117009</c:v>
                </c:pt>
                <c:pt idx="6">
                  <c:v>723.01782912566</c:v>
                </c:pt>
                <c:pt idx="7">
                  <c:v>653.16268391429003</c:v>
                </c:pt>
                <c:pt idx="8">
                  <c:v>608.2331726438</c:v>
                </c:pt>
                <c:pt idx="9">
                  <c:v>625.29072302933992</c:v>
                </c:pt>
                <c:pt idx="10">
                  <c:v>653.97694822266999</c:v>
                </c:pt>
                <c:pt idx="11">
                  <c:v>609.56598695062996</c:v>
                </c:pt>
                <c:pt idx="12">
                  <c:v>608.21600315187993</c:v>
                </c:pt>
                <c:pt idx="13">
                  <c:v>586.28532608696003</c:v>
                </c:pt>
                <c:pt idx="14">
                  <c:v>608.83961666229004</c:v>
                </c:pt>
                <c:pt idx="15">
                  <c:v>668.68441297316997</c:v>
                </c:pt>
                <c:pt idx="16">
                  <c:v>678.18609581256999</c:v>
                </c:pt>
                <c:pt idx="17">
                  <c:v>706.61382113821003</c:v>
                </c:pt>
                <c:pt idx="18">
                  <c:v>727.33062330624</c:v>
                </c:pt>
                <c:pt idx="19">
                  <c:v>676.29833767891</c:v>
                </c:pt>
                <c:pt idx="20">
                  <c:v>650.99599730096998</c:v>
                </c:pt>
                <c:pt idx="21">
                  <c:v>658.56955491746999</c:v>
                </c:pt>
                <c:pt idx="22">
                  <c:v>607.65335489619997</c:v>
                </c:pt>
                <c:pt idx="23">
                  <c:v>584.70925699784004</c:v>
                </c:pt>
                <c:pt idx="24">
                  <c:v>586.93938585077001</c:v>
                </c:pt>
                <c:pt idx="25">
                  <c:v>544.84743770830994</c:v>
                </c:pt>
                <c:pt idx="26">
                  <c:v>581.71631347461005</c:v>
                </c:pt>
                <c:pt idx="27">
                  <c:v>639.93571460303997</c:v>
                </c:pt>
                <c:pt idx="28">
                  <c:v>618.91227487207004</c:v>
                </c:pt>
                <c:pt idx="29">
                  <c:v>629.91884651062003</c:v>
                </c:pt>
                <c:pt idx="30">
                  <c:v>657.73998290317991</c:v>
                </c:pt>
                <c:pt idx="31">
                  <c:v>643.84694729855005</c:v>
                </c:pt>
                <c:pt idx="32">
                  <c:v>680.57458410385004</c:v>
                </c:pt>
                <c:pt idx="33">
                  <c:v>683.36098253984005</c:v>
                </c:pt>
                <c:pt idx="34">
                  <c:v>675.47007878674003</c:v>
                </c:pt>
                <c:pt idx="35">
                  <c:v>680.37543487985999</c:v>
                </c:pt>
                <c:pt idx="36">
                  <c:v>679.03890164412996</c:v>
                </c:pt>
                <c:pt idx="37">
                  <c:v>563.33031934373003</c:v>
                </c:pt>
                <c:pt idx="38">
                  <c:v>547.32964916136007</c:v>
                </c:pt>
                <c:pt idx="39">
                  <c:v>553.33097121511992</c:v>
                </c:pt>
                <c:pt idx="40">
                  <c:v>590.47831978320005</c:v>
                </c:pt>
                <c:pt idx="41">
                  <c:v>620.57859078591002</c:v>
                </c:pt>
                <c:pt idx="42">
                  <c:v>621.70731707316997</c:v>
                </c:pt>
                <c:pt idx="43">
                  <c:v>597.03658536584999</c:v>
                </c:pt>
                <c:pt idx="44">
                  <c:v>571.39295392952999</c:v>
                </c:pt>
                <c:pt idx="45">
                  <c:v>589.29067261983994</c:v>
                </c:pt>
                <c:pt idx="46">
                  <c:v>594.05091296813998</c:v>
                </c:pt>
                <c:pt idx="47">
                  <c:v>601.51346128215005</c:v>
                </c:pt>
                <c:pt idx="48">
                  <c:v>566.48287351726003</c:v>
                </c:pt>
                <c:pt idx="49">
                  <c:v>566.85361410991993</c:v>
                </c:pt>
                <c:pt idx="50">
                  <c:v>588.74944466656996</c:v>
                </c:pt>
                <c:pt idx="51">
                  <c:v>590.08057887955999</c:v>
                </c:pt>
                <c:pt idx="52">
                  <c:v>587.99105913190999</c:v>
                </c:pt>
                <c:pt idx="53">
                  <c:v>575.20056421876006</c:v>
                </c:pt>
                <c:pt idx="54">
                  <c:v>577.96731588195007</c:v>
                </c:pt>
                <c:pt idx="55">
                  <c:v>576.97774650822998</c:v>
                </c:pt>
                <c:pt idx="56">
                  <c:v>584.43270719794998</c:v>
                </c:pt>
                <c:pt idx="57">
                  <c:v>593.95240701034004</c:v>
                </c:pt>
                <c:pt idx="58">
                  <c:v>596.25356621697995</c:v>
                </c:pt>
                <c:pt idx="59">
                  <c:v>586.08505315822003</c:v>
                </c:pt>
                <c:pt idx="60">
                  <c:v>599.55472914618997</c:v>
                </c:pt>
                <c:pt idx="61">
                  <c:v>589.67793859256994</c:v>
                </c:pt>
                <c:pt idx="62">
                  <c:v>590.03924327703999</c:v>
                </c:pt>
                <c:pt idx="63">
                  <c:v>592.56542779712993</c:v>
                </c:pt>
                <c:pt idx="64">
                  <c:v>596.69222579587995</c:v>
                </c:pt>
                <c:pt idx="65">
                  <c:v>599.74150882991989</c:v>
                </c:pt>
                <c:pt idx="66">
                  <c:v>601.19952946782996</c:v>
                </c:pt>
                <c:pt idx="67">
                  <c:v>644.91525209207998</c:v>
                </c:pt>
                <c:pt idx="68">
                  <c:v>640.0813008130101</c:v>
                </c:pt>
                <c:pt idx="69">
                  <c:v>681.55962059620003</c:v>
                </c:pt>
                <c:pt idx="70">
                  <c:v>693.51444004979999</c:v>
                </c:pt>
                <c:pt idx="71">
                  <c:v>644.22981912316004</c:v>
                </c:pt>
                <c:pt idx="72">
                  <c:v>627.58624835909006</c:v>
                </c:pt>
                <c:pt idx="73">
                  <c:v>679.65032158496001</c:v>
                </c:pt>
                <c:pt idx="74">
                  <c:v>627.24520576267992</c:v>
                </c:pt>
                <c:pt idx="75">
                  <c:v>614.95612266749004</c:v>
                </c:pt>
                <c:pt idx="76">
                  <c:v>628.01176926054995</c:v>
                </c:pt>
                <c:pt idx="77">
                  <c:v>633.34238150545002</c:v>
                </c:pt>
                <c:pt idx="78">
                  <c:v>671.26667659485997</c:v>
                </c:pt>
                <c:pt idx="79">
                  <c:v>663.90052476980009</c:v>
                </c:pt>
                <c:pt idx="80">
                  <c:v>657.58319123110005</c:v>
                </c:pt>
                <c:pt idx="81">
                  <c:v>684.97229708995997</c:v>
                </c:pt>
                <c:pt idx="82">
                  <c:v>687.41353148349003</c:v>
                </c:pt>
                <c:pt idx="83">
                  <c:v>699.22155294427</c:v>
                </c:pt>
                <c:pt idx="84">
                  <c:v>666.68324501058999</c:v>
                </c:pt>
                <c:pt idx="85">
                  <c:v>641.02495514056</c:v>
                </c:pt>
                <c:pt idx="86">
                  <c:v>596.40883380222999</c:v>
                </c:pt>
                <c:pt idx="87">
                  <c:v>637.62113122487995</c:v>
                </c:pt>
                <c:pt idx="88">
                  <c:v>620.68534268788994</c:v>
                </c:pt>
                <c:pt idx="89">
                  <c:v>622.91965707309998</c:v>
                </c:pt>
                <c:pt idx="90">
                  <c:v>651.17772740142004</c:v>
                </c:pt>
                <c:pt idx="91">
                  <c:v>671.01883781388995</c:v>
                </c:pt>
                <c:pt idx="92">
                  <c:v>658.68442708851001</c:v>
                </c:pt>
                <c:pt idx="93">
                  <c:v>665.31324530340999</c:v>
                </c:pt>
                <c:pt idx="94">
                  <c:v>669.30290895854</c:v>
                </c:pt>
                <c:pt idx="95">
                  <c:v>654.7753619191601</c:v>
                </c:pt>
                <c:pt idx="96">
                  <c:v>648.35951984350004</c:v>
                </c:pt>
                <c:pt idx="97">
                  <c:v>660.12179861960999</c:v>
                </c:pt>
                <c:pt idx="98">
                  <c:v>661.47410949686002</c:v>
                </c:pt>
                <c:pt idx="99">
                  <c:v>635.25721410692995</c:v>
                </c:pt>
                <c:pt idx="100">
                  <c:v>637.96750370641996</c:v>
                </c:pt>
                <c:pt idx="101">
                  <c:v>650.78920573652999</c:v>
                </c:pt>
                <c:pt idx="102">
                  <c:v>653.73748599696</c:v>
                </c:pt>
                <c:pt idx="103">
                  <c:v>669.99043911311992</c:v>
                </c:pt>
                <c:pt idx="104">
                  <c:v>685.25864676108995</c:v>
                </c:pt>
                <c:pt idx="105">
                  <c:v>694.31726357509001</c:v>
                </c:pt>
                <c:pt idx="106">
                  <c:v>666.81300813007999</c:v>
                </c:pt>
                <c:pt idx="107">
                  <c:v>664.72628726286996</c:v>
                </c:pt>
                <c:pt idx="108">
                  <c:v>663.02981029810996</c:v>
                </c:pt>
                <c:pt idx="109">
                  <c:v>653.81707317072994</c:v>
                </c:pt>
                <c:pt idx="110">
                  <c:v>669.32384823847997</c:v>
                </c:pt>
                <c:pt idx="111">
                  <c:v>698.70867208671996</c:v>
                </c:pt>
                <c:pt idx="112">
                  <c:v>739.26287262873007</c:v>
                </c:pt>
                <c:pt idx="113">
                  <c:v>714.78184281843005</c:v>
                </c:pt>
                <c:pt idx="114">
                  <c:v>664.05628546109006</c:v>
                </c:pt>
                <c:pt idx="115">
                  <c:v>659.11686762050999</c:v>
                </c:pt>
                <c:pt idx="116">
                  <c:v>660.26999886010003</c:v>
                </c:pt>
                <c:pt idx="117">
                  <c:v>662.34137332554008</c:v>
                </c:pt>
                <c:pt idx="118">
                  <c:v>682.94855177181</c:v>
                </c:pt>
                <c:pt idx="119">
                  <c:v>708.63544435987001</c:v>
                </c:pt>
                <c:pt idx="120">
                  <c:v>697.54143742807992</c:v>
                </c:pt>
                <c:pt idx="121">
                  <c:v>679.71313806289004</c:v>
                </c:pt>
                <c:pt idx="122">
                  <c:v>680.10332999219997</c:v>
                </c:pt>
                <c:pt idx="123">
                  <c:v>688.34318224005006</c:v>
                </c:pt>
                <c:pt idx="124">
                  <c:v>672.34392842557997</c:v>
                </c:pt>
                <c:pt idx="125">
                  <c:v>652.63456583880998</c:v>
                </c:pt>
                <c:pt idx="126">
                  <c:v>655.08771578126994</c:v>
                </c:pt>
                <c:pt idx="127">
                  <c:v>641.95331699892995</c:v>
                </c:pt>
                <c:pt idx="128">
                  <c:v>679.02145376248006</c:v>
                </c:pt>
                <c:pt idx="129">
                  <c:v>685.60612679397002</c:v>
                </c:pt>
                <c:pt idx="130">
                  <c:v>658.67323765502999</c:v>
                </c:pt>
                <c:pt idx="131">
                  <c:v>610.78183178710992</c:v>
                </c:pt>
                <c:pt idx="132">
                  <c:v>639.06097560976002</c:v>
                </c:pt>
                <c:pt idx="133">
                  <c:v>624.08401084011007</c:v>
                </c:pt>
                <c:pt idx="134">
                  <c:v>648.00271002709997</c:v>
                </c:pt>
                <c:pt idx="135">
                  <c:v>649.20731707317998</c:v>
                </c:pt>
                <c:pt idx="136">
                  <c:v>661.31707317073005</c:v>
                </c:pt>
                <c:pt idx="137">
                  <c:v>670.65447154470996</c:v>
                </c:pt>
                <c:pt idx="138">
                  <c:v>656.86178861788005</c:v>
                </c:pt>
                <c:pt idx="139">
                  <c:v>661.60298102981005</c:v>
                </c:pt>
                <c:pt idx="140">
                  <c:v>656.96747967479007</c:v>
                </c:pt>
                <c:pt idx="141">
                  <c:v>677.03252032520004</c:v>
                </c:pt>
                <c:pt idx="142">
                  <c:v>711.15337059621004</c:v>
                </c:pt>
                <c:pt idx="143">
                  <c:v>703.51487201013003</c:v>
                </c:pt>
                <c:pt idx="144">
                  <c:v>645.85762469787005</c:v>
                </c:pt>
                <c:pt idx="145">
                  <c:v>584.9881381381399</c:v>
                </c:pt>
                <c:pt idx="146">
                  <c:v>605.30083864352002</c:v>
                </c:pt>
                <c:pt idx="147">
                  <c:v>611.84062843331003</c:v>
                </c:pt>
                <c:pt idx="148">
                  <c:v>653.71770306892006</c:v>
                </c:pt>
                <c:pt idx="149">
                  <c:v>602.19391465784997</c:v>
                </c:pt>
                <c:pt idx="150">
                  <c:v>590.20202285468008</c:v>
                </c:pt>
                <c:pt idx="151">
                  <c:v>563.74676383373003</c:v>
                </c:pt>
                <c:pt idx="152">
                  <c:v>614.73064774390002</c:v>
                </c:pt>
                <c:pt idx="153">
                  <c:v>616.08754153489997</c:v>
                </c:pt>
                <c:pt idx="154">
                  <c:v>566.5980406102899</c:v>
                </c:pt>
                <c:pt idx="155">
                  <c:v>592.75294072590998</c:v>
                </c:pt>
                <c:pt idx="156">
                  <c:v>598.97003286317999</c:v>
                </c:pt>
                <c:pt idx="157">
                  <c:v>559.30685197392006</c:v>
                </c:pt>
                <c:pt idx="158">
                  <c:v>569.64701897018995</c:v>
                </c:pt>
                <c:pt idx="159">
                  <c:v>560.52443052809008</c:v>
                </c:pt>
                <c:pt idx="160">
                  <c:v>562.81156156155998</c:v>
                </c:pt>
                <c:pt idx="161">
                  <c:v>562.91295685930004</c:v>
                </c:pt>
                <c:pt idx="162">
                  <c:v>614.67707479527007</c:v>
                </c:pt>
                <c:pt idx="163">
                  <c:v>665.81834395370993</c:v>
                </c:pt>
                <c:pt idx="164">
                  <c:v>695.10493664395995</c:v>
                </c:pt>
                <c:pt idx="165">
                  <c:v>616.94941771039998</c:v>
                </c:pt>
                <c:pt idx="166">
                  <c:v>586.09954194650993</c:v>
                </c:pt>
                <c:pt idx="167">
                  <c:v>594.88421630139999</c:v>
                </c:pt>
                <c:pt idx="168">
                  <c:v>602.50905060680998</c:v>
                </c:pt>
                <c:pt idx="169">
                  <c:v>586.73592332391001</c:v>
                </c:pt>
                <c:pt idx="170">
                  <c:v>627.04225948508997</c:v>
                </c:pt>
                <c:pt idx="171">
                  <c:v>640.28629079768996</c:v>
                </c:pt>
                <c:pt idx="172">
                  <c:v>687.31537572169009</c:v>
                </c:pt>
                <c:pt idx="173">
                  <c:v>666.15704901614004</c:v>
                </c:pt>
                <c:pt idx="174">
                  <c:v>573.81639198186008</c:v>
                </c:pt>
                <c:pt idx="175">
                  <c:v>579.13274714268005</c:v>
                </c:pt>
                <c:pt idx="176">
                  <c:v>581.74236700247002</c:v>
                </c:pt>
                <c:pt idx="177">
                  <c:v>605.41748041122003</c:v>
                </c:pt>
                <c:pt idx="178">
                  <c:v>651.64487966890999</c:v>
                </c:pt>
                <c:pt idx="179">
                  <c:v>639.39572680857009</c:v>
                </c:pt>
                <c:pt idx="180">
                  <c:v>681.63201307320003</c:v>
                </c:pt>
                <c:pt idx="181">
                  <c:v>668.66666666666993</c:v>
                </c:pt>
                <c:pt idx="182">
                  <c:v>700.58130081300999</c:v>
                </c:pt>
                <c:pt idx="183">
                  <c:v>696.90243902438988</c:v>
                </c:pt>
                <c:pt idx="184">
                  <c:v>663.44850948509009</c:v>
                </c:pt>
                <c:pt idx="185">
                  <c:v>645.35772357722999</c:v>
                </c:pt>
                <c:pt idx="186">
                  <c:v>588.78861788617996</c:v>
                </c:pt>
                <c:pt idx="187">
                  <c:v>652.38553449392998</c:v>
                </c:pt>
                <c:pt idx="188">
                  <c:v>701.11048883586</c:v>
                </c:pt>
                <c:pt idx="189">
                  <c:v>699.36055527903</c:v>
                </c:pt>
                <c:pt idx="190">
                  <c:v>716.70613904099002</c:v>
                </c:pt>
                <c:pt idx="191">
                  <c:v>740.18472429622989</c:v>
                </c:pt>
                <c:pt idx="192">
                  <c:v>724.91333466613003</c:v>
                </c:pt>
                <c:pt idx="193">
                  <c:v>727.48092985028006</c:v>
                </c:pt>
                <c:pt idx="194">
                  <c:v>685.07331336470997</c:v>
                </c:pt>
                <c:pt idx="195">
                  <c:v>627.23843451750008</c:v>
                </c:pt>
                <c:pt idx="196">
                  <c:v>576.39910956251993</c:v>
                </c:pt>
                <c:pt idx="197">
                  <c:v>577.93135888501001</c:v>
                </c:pt>
                <c:pt idx="198">
                  <c:v>621.15228734377001</c:v>
                </c:pt>
                <c:pt idx="199">
                  <c:v>630.43848238482008</c:v>
                </c:pt>
                <c:pt idx="200">
                  <c:v>614.46074885237999</c:v>
                </c:pt>
                <c:pt idx="201">
                  <c:v>631.13650793651004</c:v>
                </c:pt>
                <c:pt idx="202">
                  <c:v>666.96043804700003</c:v>
                </c:pt>
                <c:pt idx="203">
                  <c:v>596.15717789471</c:v>
                </c:pt>
                <c:pt idx="204">
                  <c:v>622.40823965905997</c:v>
                </c:pt>
                <c:pt idx="205">
                  <c:v>670.16892870969002</c:v>
                </c:pt>
                <c:pt idx="206">
                  <c:v>713.36010729495001</c:v>
                </c:pt>
                <c:pt idx="207">
                  <c:v>603.08891116307996</c:v>
                </c:pt>
                <c:pt idx="208">
                  <c:v>634.66618777147005</c:v>
                </c:pt>
                <c:pt idx="209">
                  <c:v>645.21920406876006</c:v>
                </c:pt>
                <c:pt idx="210">
                  <c:v>653.17914764079001</c:v>
                </c:pt>
                <c:pt idx="211">
                  <c:v>666.65619779485007</c:v>
                </c:pt>
                <c:pt idx="212">
                  <c:v>669.86627101007002</c:v>
                </c:pt>
                <c:pt idx="213">
                  <c:v>686.91656830407999</c:v>
                </c:pt>
                <c:pt idx="214">
                  <c:v>632.49168238628999</c:v>
                </c:pt>
                <c:pt idx="215">
                  <c:v>657.70316366206998</c:v>
                </c:pt>
                <c:pt idx="216">
                  <c:v>677.13500795333994</c:v>
                </c:pt>
                <c:pt idx="217">
                  <c:v>677.02561770501006</c:v>
                </c:pt>
                <c:pt idx="218">
                  <c:v>564.33292238659999</c:v>
                </c:pt>
                <c:pt idx="219">
                  <c:v>561.01949220312008</c:v>
                </c:pt>
                <c:pt idx="220">
                  <c:v>597.64518636988998</c:v>
                </c:pt>
                <c:pt idx="221">
                  <c:v>620.17676951532007</c:v>
                </c:pt>
                <c:pt idx="222">
                  <c:v>649.62771739130005</c:v>
                </c:pt>
                <c:pt idx="223">
                  <c:v>656.29661541180008</c:v>
                </c:pt>
                <c:pt idx="224">
                  <c:v>593.17733098952999</c:v>
                </c:pt>
                <c:pt idx="225">
                  <c:v>557.94046008119005</c:v>
                </c:pt>
                <c:pt idx="226">
                  <c:v>590.92413574338002</c:v>
                </c:pt>
                <c:pt idx="227">
                  <c:v>589.35143807459997</c:v>
                </c:pt>
                <c:pt idx="228">
                  <c:v>592.26934698980995</c:v>
                </c:pt>
                <c:pt idx="229">
                  <c:v>593.42429159744006</c:v>
                </c:pt>
                <c:pt idx="230">
                  <c:v>592.13613760630005</c:v>
                </c:pt>
                <c:pt idx="231">
                  <c:v>617.03943455650995</c:v>
                </c:pt>
                <c:pt idx="232">
                  <c:v>606.01639200175998</c:v>
                </c:pt>
                <c:pt idx="233">
                  <c:v>599.13527063649008</c:v>
                </c:pt>
                <c:pt idx="234">
                  <c:v>631.10112429502988</c:v>
                </c:pt>
                <c:pt idx="235">
                  <c:v>640.78324177835998</c:v>
                </c:pt>
                <c:pt idx="236">
                  <c:v>661.50265143192007</c:v>
                </c:pt>
                <c:pt idx="237">
                  <c:v>667.53004834102001</c:v>
                </c:pt>
                <c:pt idx="238">
                  <c:v>675.44664176371998</c:v>
                </c:pt>
                <c:pt idx="239">
                  <c:v>689.51490514905004</c:v>
                </c:pt>
                <c:pt idx="240">
                  <c:v>676.98931538494992</c:v>
                </c:pt>
                <c:pt idx="241">
                  <c:v>673.0199586832</c:v>
                </c:pt>
                <c:pt idx="242">
                  <c:v>688.37718246035001</c:v>
                </c:pt>
                <c:pt idx="243">
                  <c:v>705.24921142654</c:v>
                </c:pt>
                <c:pt idx="244">
                  <c:v>708.93435958949999</c:v>
                </c:pt>
                <c:pt idx="245">
                  <c:v>686.52192323553004</c:v>
                </c:pt>
                <c:pt idx="246">
                  <c:v>658.43253284435002</c:v>
                </c:pt>
                <c:pt idx="247">
                  <c:v>632.00018042300007</c:v>
                </c:pt>
                <c:pt idx="248">
                  <c:v>658.01452957463994</c:v>
                </c:pt>
                <c:pt idx="249">
                  <c:v>656.14296865794995</c:v>
                </c:pt>
                <c:pt idx="250">
                  <c:v>675.08351007423005</c:v>
                </c:pt>
                <c:pt idx="251">
                  <c:v>710.78981825144001</c:v>
                </c:pt>
                <c:pt idx="252">
                  <c:v>728.06499278308002</c:v>
                </c:pt>
                <c:pt idx="253">
                  <c:v>703.58585925532998</c:v>
                </c:pt>
                <c:pt idx="254">
                  <c:v>695.74571403323</c:v>
                </c:pt>
                <c:pt idx="255">
                  <c:v>705.07466198303007</c:v>
                </c:pt>
                <c:pt idx="256">
                  <c:v>709.45221367975</c:v>
                </c:pt>
                <c:pt idx="257">
                  <c:v>681.43321035113001</c:v>
                </c:pt>
                <c:pt idx="258">
                  <c:v>682.61075762931</c:v>
                </c:pt>
                <c:pt idx="259">
                  <c:v>684.56912041946998</c:v>
                </c:pt>
                <c:pt idx="260">
                  <c:v>696.50553419937</c:v>
                </c:pt>
                <c:pt idx="261">
                  <c:v>694.18642482620999</c:v>
                </c:pt>
                <c:pt idx="262">
                  <c:v>707.86234461529989</c:v>
                </c:pt>
                <c:pt idx="263">
                  <c:v>692.96488011076008</c:v>
                </c:pt>
                <c:pt idx="264">
                  <c:v>702.49582081417998</c:v>
                </c:pt>
                <c:pt idx="265">
                  <c:v>708.76831109343993</c:v>
                </c:pt>
                <c:pt idx="266">
                  <c:v>712.6343525391801</c:v>
                </c:pt>
                <c:pt idx="267">
                  <c:v>716.44648064686999</c:v>
                </c:pt>
                <c:pt idx="268">
                  <c:v>715.41332331802005</c:v>
                </c:pt>
                <c:pt idx="269">
                  <c:v>721.82194131819006</c:v>
                </c:pt>
                <c:pt idx="270">
                  <c:v>713.48026488329003</c:v>
                </c:pt>
                <c:pt idx="271">
                  <c:v>633.45107302424003</c:v>
                </c:pt>
                <c:pt idx="272">
                  <c:v>615.08000614418995</c:v>
                </c:pt>
                <c:pt idx="273">
                  <c:v>584.04201639182997</c:v>
                </c:pt>
                <c:pt idx="274">
                  <c:v>682.45452750074003</c:v>
                </c:pt>
                <c:pt idx="275">
                  <c:v>691.00233698693</c:v>
                </c:pt>
                <c:pt idx="276">
                  <c:v>632.21199653293002</c:v>
                </c:pt>
                <c:pt idx="277">
                  <c:v>638.80359983762003</c:v>
                </c:pt>
                <c:pt idx="278">
                  <c:v>634.03137926116005</c:v>
                </c:pt>
                <c:pt idx="279">
                  <c:v>656.51808147636007</c:v>
                </c:pt>
                <c:pt idx="280">
                  <c:v>693.5472389541701</c:v>
                </c:pt>
                <c:pt idx="281">
                  <c:v>618.17761100688006</c:v>
                </c:pt>
                <c:pt idx="282">
                  <c:v>639.43083900226998</c:v>
                </c:pt>
                <c:pt idx="283">
                  <c:v>661.68493446159005</c:v>
                </c:pt>
                <c:pt idx="284">
                  <c:v>585.11650351197</c:v>
                </c:pt>
                <c:pt idx="285">
                  <c:v>599.56340910348001</c:v>
                </c:pt>
                <c:pt idx="286">
                  <c:v>598.9081632653</c:v>
                </c:pt>
                <c:pt idx="287">
                  <c:v>593.97552679608998</c:v>
                </c:pt>
                <c:pt idx="288">
                  <c:v>582.94181737735994</c:v>
                </c:pt>
                <c:pt idx="289">
                  <c:v>596.33301255462004</c:v>
                </c:pt>
                <c:pt idx="290">
                  <c:v>547.10652065703994</c:v>
                </c:pt>
                <c:pt idx="291">
                  <c:v>553.66135169515007</c:v>
                </c:pt>
                <c:pt idx="292">
                  <c:v>548.34732039157007</c:v>
                </c:pt>
                <c:pt idx="293">
                  <c:v>571.98379195331006</c:v>
                </c:pt>
                <c:pt idx="294">
                  <c:v>547.31482474166</c:v>
                </c:pt>
                <c:pt idx="295">
                  <c:v>604.89846724378003</c:v>
                </c:pt>
                <c:pt idx="296">
                  <c:v>676.23670150987004</c:v>
                </c:pt>
                <c:pt idx="297">
                  <c:v>608.16841435762001</c:v>
                </c:pt>
                <c:pt idx="298">
                  <c:v>597.97787861598999</c:v>
                </c:pt>
                <c:pt idx="299">
                  <c:v>571.03419231181999</c:v>
                </c:pt>
                <c:pt idx="300">
                  <c:v>638.16779182839991</c:v>
                </c:pt>
                <c:pt idx="301">
                  <c:v>643.77453019400002</c:v>
                </c:pt>
                <c:pt idx="302">
                  <c:v>575.27376278550003</c:v>
                </c:pt>
                <c:pt idx="303">
                  <c:v>583.67696551110998</c:v>
                </c:pt>
                <c:pt idx="304">
                  <c:v>524.69244899700004</c:v>
                </c:pt>
                <c:pt idx="305">
                  <c:v>630.46316909478003</c:v>
                </c:pt>
                <c:pt idx="306">
                  <c:v>667.46900201888002</c:v>
                </c:pt>
                <c:pt idx="307">
                  <c:v>666.96143110134994</c:v>
                </c:pt>
                <c:pt idx="308">
                  <c:v>687.8578160065299</c:v>
                </c:pt>
                <c:pt idx="309">
                  <c:v>652.77449635942003</c:v>
                </c:pt>
                <c:pt idx="310">
                  <c:v>582.11765084408</c:v>
                </c:pt>
                <c:pt idx="311">
                  <c:v>549.92185230536006</c:v>
                </c:pt>
                <c:pt idx="312">
                  <c:v>571.04508131919999</c:v>
                </c:pt>
                <c:pt idx="313">
                  <c:v>586.68210131898002</c:v>
                </c:pt>
                <c:pt idx="314">
                  <c:v>593.65081650137995</c:v>
                </c:pt>
                <c:pt idx="315">
                  <c:v>615.29203024052003</c:v>
                </c:pt>
                <c:pt idx="316">
                  <c:v>630.47265703999994</c:v>
                </c:pt>
                <c:pt idx="317">
                  <c:v>595.11576417650997</c:v>
                </c:pt>
                <c:pt idx="318">
                  <c:v>614.59267194022993</c:v>
                </c:pt>
                <c:pt idx="319">
                  <c:v>654.35193849898008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'240828B008'!$A$2:$A$321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'240828B008'!$P$2:$P$321</c:f>
              <c:numCache>
                <c:formatCode>General</c:formatCode>
                <c:ptCount val="320"/>
                <c:pt idx="0">
                  <c:v>-49.622997189057664</c:v>
                </c:pt>
                <c:pt idx="1">
                  <c:v>-50.116592890190248</c:v>
                </c:pt>
                <c:pt idx="2">
                  <c:v>-50.647167386110489</c:v>
                </c:pt>
                <c:pt idx="3">
                  <c:v>-50.42300970583802</c:v>
                </c:pt>
                <c:pt idx="4">
                  <c:v>-51.187290980672998</c:v>
                </c:pt>
                <c:pt idx="5">
                  <c:v>-50.91135069794629</c:v>
                </c:pt>
                <c:pt idx="6">
                  <c:v>-47.192081560558947</c:v>
                </c:pt>
                <c:pt idx="7">
                  <c:v>-41.369913403781148</c:v>
                </c:pt>
                <c:pt idx="8">
                  <c:v>-37.835137691177238</c:v>
                </c:pt>
                <c:pt idx="9">
                  <c:v>-38.305013123437419</c:v>
                </c:pt>
                <c:pt idx="10">
                  <c:v>-40.177723083721943</c:v>
                </c:pt>
                <c:pt idx="11">
                  <c:v>-38.516544772149231</c:v>
                </c:pt>
                <c:pt idx="12">
                  <c:v>-38.163044814141159</c:v>
                </c:pt>
                <c:pt idx="13">
                  <c:v>-40.041327561931489</c:v>
                </c:pt>
                <c:pt idx="14">
                  <c:v>-39.058886429773729</c:v>
                </c:pt>
                <c:pt idx="15">
                  <c:v>-40.571305571572161</c:v>
                </c:pt>
                <c:pt idx="16">
                  <c:v>-40.551602452454091</c:v>
                </c:pt>
                <c:pt idx="17">
                  <c:v>-39.809307553291433</c:v>
                </c:pt>
                <c:pt idx="18">
                  <c:v>-41.35524286128075</c:v>
                </c:pt>
                <c:pt idx="19">
                  <c:v>-39.453825503559692</c:v>
                </c:pt>
                <c:pt idx="20">
                  <c:v>-38.44534888179404</c:v>
                </c:pt>
                <c:pt idx="21">
                  <c:v>-38.653271313640204</c:v>
                </c:pt>
                <c:pt idx="22">
                  <c:v>-37.550190968833782</c:v>
                </c:pt>
                <c:pt idx="23">
                  <c:v>-30.022132912051475</c:v>
                </c:pt>
                <c:pt idx="24">
                  <c:v>-18.454399929462856</c:v>
                </c:pt>
                <c:pt idx="25">
                  <c:v>-21.891662391190039</c:v>
                </c:pt>
                <c:pt idx="26">
                  <c:v>-24.037356585065211</c:v>
                </c:pt>
                <c:pt idx="27">
                  <c:v>-25.743359924094776</c:v>
                </c:pt>
                <c:pt idx="28">
                  <c:v>-24.580312713400339</c:v>
                </c:pt>
                <c:pt idx="29">
                  <c:v>-28.167650600040549</c:v>
                </c:pt>
                <c:pt idx="30">
                  <c:v>-29.97861746943834</c:v>
                </c:pt>
                <c:pt idx="31">
                  <c:v>-30.849961343749953</c:v>
                </c:pt>
                <c:pt idx="32">
                  <c:v>-32.643419094032289</c:v>
                </c:pt>
                <c:pt idx="33">
                  <c:v>-33.180832553922919</c:v>
                </c:pt>
                <c:pt idx="34">
                  <c:v>-33.818438253761904</c:v>
                </c:pt>
                <c:pt idx="35">
                  <c:v>-33.809090655245058</c:v>
                </c:pt>
                <c:pt idx="36">
                  <c:v>-33.612522834562839</c:v>
                </c:pt>
                <c:pt idx="37">
                  <c:v>-29.952153125797764</c:v>
                </c:pt>
                <c:pt idx="38">
                  <c:v>-15.727111005663531</c:v>
                </c:pt>
                <c:pt idx="39">
                  <c:v>-16.323105037475141</c:v>
                </c:pt>
                <c:pt idx="40">
                  <c:v>-21.040712113401181</c:v>
                </c:pt>
                <c:pt idx="41">
                  <c:v>-24.70104108165004</c:v>
                </c:pt>
                <c:pt idx="42">
                  <c:v>-25.06347842767045</c:v>
                </c:pt>
                <c:pt idx="43">
                  <c:v>-19.161336918646196</c:v>
                </c:pt>
                <c:pt idx="44">
                  <c:v>-12.677861396338805</c:v>
                </c:pt>
                <c:pt idx="45">
                  <c:v>-12.165273944710105</c:v>
                </c:pt>
                <c:pt idx="46">
                  <c:v>-9.3669469271875236</c:v>
                </c:pt>
                <c:pt idx="47">
                  <c:v>-6.494234018332282</c:v>
                </c:pt>
                <c:pt idx="48">
                  <c:v>-4.3622377712878686</c:v>
                </c:pt>
                <c:pt idx="49">
                  <c:v>-5.1612389197174027</c:v>
                </c:pt>
                <c:pt idx="50">
                  <c:v>-7.2089957185653137</c:v>
                </c:pt>
                <c:pt idx="51">
                  <c:v>-9.5506298479823375</c:v>
                </c:pt>
                <c:pt idx="52">
                  <c:v>-8.1549908161249061</c:v>
                </c:pt>
                <c:pt idx="53">
                  <c:v>-7.6743813945420873</c:v>
                </c:pt>
                <c:pt idx="54">
                  <c:v>-8.2574913754750909</c:v>
                </c:pt>
                <c:pt idx="55">
                  <c:v>-9.5451093928145774</c:v>
                </c:pt>
                <c:pt idx="56">
                  <c:v>-10.847692950344973</c:v>
                </c:pt>
                <c:pt idx="57">
                  <c:v>-12.346848198363046</c:v>
                </c:pt>
                <c:pt idx="58">
                  <c:v>-15.64326641383812</c:v>
                </c:pt>
                <c:pt idx="59">
                  <c:v>-11.257411657794494</c:v>
                </c:pt>
                <c:pt idx="60">
                  <c:v>-9.1042554617628326</c:v>
                </c:pt>
                <c:pt idx="61">
                  <c:v>-7.8169469065107089</c:v>
                </c:pt>
                <c:pt idx="62">
                  <c:v>-6.5569244175213326</c:v>
                </c:pt>
                <c:pt idx="63">
                  <c:v>-5.1539683528832025</c:v>
                </c:pt>
                <c:pt idx="64">
                  <c:v>-1.0823179312387321</c:v>
                </c:pt>
                <c:pt idx="65">
                  <c:v>1.1787337431031371</c:v>
                </c:pt>
                <c:pt idx="66">
                  <c:v>-5.0794373855021666</c:v>
                </c:pt>
                <c:pt idx="67">
                  <c:v>-3.1656509203258598</c:v>
                </c:pt>
                <c:pt idx="68">
                  <c:v>-3.3159792366496368</c:v>
                </c:pt>
                <c:pt idx="69">
                  <c:v>-8.8648588135514785</c:v>
                </c:pt>
                <c:pt idx="70">
                  <c:v>-12.343981428287334</c:v>
                </c:pt>
                <c:pt idx="71">
                  <c:v>-10.685516509280738</c:v>
                </c:pt>
                <c:pt idx="72">
                  <c:v>8.0312540085706701</c:v>
                </c:pt>
                <c:pt idx="73">
                  <c:v>3.0151209288994547</c:v>
                </c:pt>
                <c:pt idx="74">
                  <c:v>2.8021780679039554</c:v>
                </c:pt>
                <c:pt idx="75">
                  <c:v>7.0604093013788063</c:v>
                </c:pt>
                <c:pt idx="76">
                  <c:v>11.608908614060285</c:v>
                </c:pt>
                <c:pt idx="77">
                  <c:v>15.670617616074608</c:v>
                </c:pt>
                <c:pt idx="78">
                  <c:v>14.656693911300492</c:v>
                </c:pt>
                <c:pt idx="79">
                  <c:v>9.1459211722228044</c:v>
                </c:pt>
                <c:pt idx="80">
                  <c:v>3.5990213555058546</c:v>
                </c:pt>
                <c:pt idx="81">
                  <c:v>-0.13759339556073913</c:v>
                </c:pt>
                <c:pt idx="82">
                  <c:v>-3.8918721289782798</c:v>
                </c:pt>
                <c:pt idx="83">
                  <c:v>-6.2893881574153516</c:v>
                </c:pt>
                <c:pt idx="84">
                  <c:v>-10.113720248068566</c:v>
                </c:pt>
                <c:pt idx="85">
                  <c:v>-11.043821273132199</c:v>
                </c:pt>
                <c:pt idx="86">
                  <c:v>-8.359906275490335</c:v>
                </c:pt>
                <c:pt idx="87">
                  <c:v>-8.4649767827861879</c:v>
                </c:pt>
                <c:pt idx="88">
                  <c:v>-4.5936400645852462</c:v>
                </c:pt>
                <c:pt idx="89">
                  <c:v>-4.71815715159478</c:v>
                </c:pt>
                <c:pt idx="90">
                  <c:v>-5.5584708246665215</c:v>
                </c:pt>
                <c:pt idx="91">
                  <c:v>-5.3362984861012954</c:v>
                </c:pt>
                <c:pt idx="92">
                  <c:v>-1.3996780448989463</c:v>
                </c:pt>
                <c:pt idx="93">
                  <c:v>-1.245935951267104</c:v>
                </c:pt>
                <c:pt idx="94">
                  <c:v>3.3578963345397268</c:v>
                </c:pt>
                <c:pt idx="95">
                  <c:v>2.784344248616232</c:v>
                </c:pt>
                <c:pt idx="96">
                  <c:v>-1.0905054591704881</c:v>
                </c:pt>
                <c:pt idx="97">
                  <c:v>0.64327228191941366</c:v>
                </c:pt>
                <c:pt idx="98">
                  <c:v>1.3116201126421636</c:v>
                </c:pt>
                <c:pt idx="99">
                  <c:v>6.0677796731737166</c:v>
                </c:pt>
                <c:pt idx="100">
                  <c:v>16.205495861317225</c:v>
                </c:pt>
                <c:pt idx="101">
                  <c:v>25.517571499259073</c:v>
                </c:pt>
                <c:pt idx="102">
                  <c:v>25.130294046349832</c:v>
                </c:pt>
                <c:pt idx="103">
                  <c:v>28.113923033215659</c:v>
                </c:pt>
                <c:pt idx="104">
                  <c:v>31.057314816317138</c:v>
                </c:pt>
                <c:pt idx="105">
                  <c:v>21.606886843229852</c:v>
                </c:pt>
                <c:pt idx="106">
                  <c:v>30.265874624198513</c:v>
                </c:pt>
                <c:pt idx="107">
                  <c:v>38.616008218365032</c:v>
                </c:pt>
                <c:pt idx="108">
                  <c:v>39.667466020516152</c:v>
                </c:pt>
                <c:pt idx="109">
                  <c:v>37.583996007005148</c:v>
                </c:pt>
                <c:pt idx="110">
                  <c:v>38.351952842027728</c:v>
                </c:pt>
                <c:pt idx="111">
                  <c:v>42.492814462112747</c:v>
                </c:pt>
                <c:pt idx="112">
                  <c:v>33.049996343128448</c:v>
                </c:pt>
                <c:pt idx="113">
                  <c:v>26.448506287298244</c:v>
                </c:pt>
                <c:pt idx="114">
                  <c:v>29.251617134710301</c:v>
                </c:pt>
                <c:pt idx="115">
                  <c:v>36.656424652831731</c:v>
                </c:pt>
                <c:pt idx="116">
                  <c:v>38.676582287439835</c:v>
                </c:pt>
                <c:pt idx="117">
                  <c:v>38.520970860403587</c:v>
                </c:pt>
                <c:pt idx="118">
                  <c:v>33.689264838928828</c:v>
                </c:pt>
                <c:pt idx="119">
                  <c:v>42.814807397474667</c:v>
                </c:pt>
                <c:pt idx="120">
                  <c:v>47.24086602585075</c:v>
                </c:pt>
                <c:pt idx="121">
                  <c:v>43.719099934681907</c:v>
                </c:pt>
                <c:pt idx="122">
                  <c:v>40.887396961623544</c:v>
                </c:pt>
                <c:pt idx="123">
                  <c:v>38.518724445259814</c:v>
                </c:pt>
                <c:pt idx="124">
                  <c:v>35.417951074845973</c:v>
                </c:pt>
                <c:pt idx="125">
                  <c:v>27.744655962125353</c:v>
                </c:pt>
                <c:pt idx="126">
                  <c:v>25.323027905287322</c:v>
                </c:pt>
                <c:pt idx="127">
                  <c:v>19.665654125984531</c:v>
                </c:pt>
                <c:pt idx="128">
                  <c:v>22.381339817381736</c:v>
                </c:pt>
                <c:pt idx="129">
                  <c:v>17.097979001285783</c:v>
                </c:pt>
                <c:pt idx="130">
                  <c:v>10.319912846194415</c:v>
                </c:pt>
                <c:pt idx="131">
                  <c:v>5.9866658210674677</c:v>
                </c:pt>
                <c:pt idx="132">
                  <c:v>10.585692237730582</c:v>
                </c:pt>
                <c:pt idx="133">
                  <c:v>11.158630742791994</c:v>
                </c:pt>
                <c:pt idx="134">
                  <c:v>18.009739209469139</c:v>
                </c:pt>
                <c:pt idx="135">
                  <c:v>18.463068561203166</c:v>
                </c:pt>
                <c:pt idx="136">
                  <c:v>19.150729272281772</c:v>
                </c:pt>
                <c:pt idx="137">
                  <c:v>20.456456648688711</c:v>
                </c:pt>
                <c:pt idx="138">
                  <c:v>15.691698839651702</c:v>
                </c:pt>
                <c:pt idx="139">
                  <c:v>11.832239897171851</c:v>
                </c:pt>
                <c:pt idx="140">
                  <c:v>8.5792882365685426</c:v>
                </c:pt>
                <c:pt idx="141">
                  <c:v>8.8126504231946257</c:v>
                </c:pt>
                <c:pt idx="142">
                  <c:v>8.4672910599462714</c:v>
                </c:pt>
                <c:pt idx="143">
                  <c:v>1.7238964112449142</c:v>
                </c:pt>
                <c:pt idx="144">
                  <c:v>0.61564153560227541</c:v>
                </c:pt>
                <c:pt idx="145">
                  <c:v>-2.7798110802495146</c:v>
                </c:pt>
                <c:pt idx="146">
                  <c:v>5.4876067704746401</c:v>
                </c:pt>
                <c:pt idx="147">
                  <c:v>10.224385877661739</c:v>
                </c:pt>
                <c:pt idx="148">
                  <c:v>7.4328316099057545</c:v>
                </c:pt>
                <c:pt idx="149">
                  <c:v>0.43015745506363784</c:v>
                </c:pt>
                <c:pt idx="150">
                  <c:v>0.91104538919465317</c:v>
                </c:pt>
                <c:pt idx="151">
                  <c:v>5.1131128264468906</c:v>
                </c:pt>
                <c:pt idx="152">
                  <c:v>7.1953236782241952</c:v>
                </c:pt>
                <c:pt idx="153">
                  <c:v>1.6600940066714118</c:v>
                </c:pt>
                <c:pt idx="154">
                  <c:v>-0.30842970176812301</c:v>
                </c:pt>
                <c:pt idx="155">
                  <c:v>-1.2340651144847792</c:v>
                </c:pt>
                <c:pt idx="156">
                  <c:v>-1.6402203843994596</c:v>
                </c:pt>
                <c:pt idx="157">
                  <c:v>4.3455583861794986</c:v>
                </c:pt>
                <c:pt idx="158">
                  <c:v>10.240529413729067</c:v>
                </c:pt>
                <c:pt idx="159">
                  <c:v>12.676354065239931</c:v>
                </c:pt>
                <c:pt idx="160">
                  <c:v>8.9023003420965843</c:v>
                </c:pt>
                <c:pt idx="161">
                  <c:v>5.7857320583904839</c:v>
                </c:pt>
                <c:pt idx="162">
                  <c:v>-0.63982789626757663</c:v>
                </c:pt>
                <c:pt idx="163">
                  <c:v>-5.7341740956621869</c:v>
                </c:pt>
                <c:pt idx="164">
                  <c:v>-10.422855890040324</c:v>
                </c:pt>
                <c:pt idx="165">
                  <c:v>-6.0457591677084164</c:v>
                </c:pt>
                <c:pt idx="166">
                  <c:v>3.799693079537851</c:v>
                </c:pt>
                <c:pt idx="167">
                  <c:v>11.062959051467145</c:v>
                </c:pt>
                <c:pt idx="168">
                  <c:v>12.762358994204984</c:v>
                </c:pt>
                <c:pt idx="169">
                  <c:v>14.427197316271295</c:v>
                </c:pt>
                <c:pt idx="170">
                  <c:v>13.476003360630395</c:v>
                </c:pt>
                <c:pt idx="171">
                  <c:v>11.556859739269184</c:v>
                </c:pt>
                <c:pt idx="172">
                  <c:v>9.5465115486061922</c:v>
                </c:pt>
                <c:pt idx="173">
                  <c:v>4.676785751775089</c:v>
                </c:pt>
                <c:pt idx="174">
                  <c:v>12.543011803558185</c:v>
                </c:pt>
                <c:pt idx="175">
                  <c:v>16.986575112146014</c:v>
                </c:pt>
                <c:pt idx="176">
                  <c:v>18.035547302560058</c:v>
                </c:pt>
                <c:pt idx="177">
                  <c:v>14.21305178247197</c:v>
                </c:pt>
                <c:pt idx="178">
                  <c:v>13.103410467732731</c:v>
                </c:pt>
                <c:pt idx="179">
                  <c:v>14.33684206211934</c:v>
                </c:pt>
                <c:pt idx="180">
                  <c:v>11.067004774696624</c:v>
                </c:pt>
                <c:pt idx="181">
                  <c:v>10.902985654134678</c:v>
                </c:pt>
                <c:pt idx="182">
                  <c:v>3.8626259015058797</c:v>
                </c:pt>
                <c:pt idx="183">
                  <c:v>2.7980223262337076</c:v>
                </c:pt>
                <c:pt idx="184">
                  <c:v>12.43616717501161</c:v>
                </c:pt>
                <c:pt idx="185">
                  <c:v>18.996600183201899</c:v>
                </c:pt>
                <c:pt idx="186">
                  <c:v>38.405909857118573</c:v>
                </c:pt>
                <c:pt idx="187">
                  <c:v>38.004675063143942</c:v>
                </c:pt>
                <c:pt idx="188">
                  <c:v>35.897296100462214</c:v>
                </c:pt>
                <c:pt idx="189">
                  <c:v>40.095808629175941</c:v>
                </c:pt>
                <c:pt idx="190">
                  <c:v>41.255386087129537</c:v>
                </c:pt>
                <c:pt idx="191">
                  <c:v>34.420204706023142</c:v>
                </c:pt>
                <c:pt idx="192">
                  <c:v>30.851739891185321</c:v>
                </c:pt>
                <c:pt idx="193">
                  <c:v>26.239131267630018</c:v>
                </c:pt>
                <c:pt idx="194">
                  <c:v>23.458506933346634</c:v>
                </c:pt>
                <c:pt idx="195">
                  <c:v>21.814221075825486</c:v>
                </c:pt>
                <c:pt idx="196">
                  <c:v>23.540715198375299</c:v>
                </c:pt>
                <c:pt idx="197">
                  <c:v>31.498670384125401</c:v>
                </c:pt>
                <c:pt idx="198">
                  <c:v>30.811473325708487</c:v>
                </c:pt>
                <c:pt idx="199">
                  <c:v>31.044824602488912</c:v>
                </c:pt>
                <c:pt idx="200">
                  <c:v>32.393602837569716</c:v>
                </c:pt>
                <c:pt idx="201">
                  <c:v>31.783256658161662</c:v>
                </c:pt>
                <c:pt idx="202">
                  <c:v>29.436187727338385</c:v>
                </c:pt>
                <c:pt idx="203">
                  <c:v>24.680149654813043</c:v>
                </c:pt>
                <c:pt idx="204">
                  <c:v>26.227739055904166</c:v>
                </c:pt>
                <c:pt idx="205">
                  <c:v>28.058828486042646</c:v>
                </c:pt>
                <c:pt idx="206">
                  <c:v>18.376769704282925</c:v>
                </c:pt>
                <c:pt idx="207">
                  <c:v>19.927095495625132</c:v>
                </c:pt>
                <c:pt idx="208">
                  <c:v>22.080158221934649</c:v>
                </c:pt>
                <c:pt idx="209">
                  <c:v>25.034316545845265</c:v>
                </c:pt>
                <c:pt idx="210">
                  <c:v>30.354270676203587</c:v>
                </c:pt>
                <c:pt idx="211">
                  <c:v>31.212554958537204</c:v>
                </c:pt>
                <c:pt idx="212">
                  <c:v>32.073973264340808</c:v>
                </c:pt>
                <c:pt idx="213">
                  <c:v>22.495314216577626</c:v>
                </c:pt>
                <c:pt idx="214">
                  <c:v>20.103898847116639</c:v>
                </c:pt>
                <c:pt idx="215">
                  <c:v>14.999514499042879</c:v>
                </c:pt>
                <c:pt idx="216">
                  <c:v>11.76686376096373</c:v>
                </c:pt>
                <c:pt idx="217">
                  <c:v>9.4669331838402009</c:v>
                </c:pt>
                <c:pt idx="218">
                  <c:v>21.1780197555813</c:v>
                </c:pt>
                <c:pt idx="219">
                  <c:v>26.562104364731116</c:v>
                </c:pt>
                <c:pt idx="220">
                  <c:v>24.114253963603314</c:v>
                </c:pt>
                <c:pt idx="221">
                  <c:v>23.173761881594217</c:v>
                </c:pt>
                <c:pt idx="222">
                  <c:v>20.500168887809899</c:v>
                </c:pt>
                <c:pt idx="223">
                  <c:v>16.365953517274033</c:v>
                </c:pt>
                <c:pt idx="224">
                  <c:v>12.327480025972042</c:v>
                </c:pt>
                <c:pt idx="225">
                  <c:v>18.863865388002331</c:v>
                </c:pt>
                <c:pt idx="226">
                  <c:v>22.870607996510813</c:v>
                </c:pt>
                <c:pt idx="227">
                  <c:v>23.24275790844796</c:v>
                </c:pt>
                <c:pt idx="228">
                  <c:v>29.821635898965916</c:v>
                </c:pt>
                <c:pt idx="229">
                  <c:v>30.047651963505288</c:v>
                </c:pt>
                <c:pt idx="230">
                  <c:v>25.061175582999144</c:v>
                </c:pt>
                <c:pt idx="231">
                  <c:v>20.725560370859892</c:v>
                </c:pt>
                <c:pt idx="232">
                  <c:v>24.025880129221669</c:v>
                </c:pt>
                <c:pt idx="233">
                  <c:v>21.439498046405319</c:v>
                </c:pt>
                <c:pt idx="234">
                  <c:v>15.829826796553901</c:v>
                </c:pt>
                <c:pt idx="235">
                  <c:v>15.637531519945588</c:v>
                </c:pt>
                <c:pt idx="236">
                  <c:v>14.816644610473331</c:v>
                </c:pt>
                <c:pt idx="237">
                  <c:v>13.083370211055668</c:v>
                </c:pt>
                <c:pt idx="238">
                  <c:v>13.917333663708861</c:v>
                </c:pt>
                <c:pt idx="239">
                  <c:v>10.992892000467053</c:v>
                </c:pt>
                <c:pt idx="240">
                  <c:v>10.214567922812069</c:v>
                </c:pt>
                <c:pt idx="241">
                  <c:v>13.436075749383857</c:v>
                </c:pt>
                <c:pt idx="242">
                  <c:v>14.727843864028504</c:v>
                </c:pt>
                <c:pt idx="243">
                  <c:v>12.727802840824701</c:v>
                </c:pt>
                <c:pt idx="244">
                  <c:v>14.145395225729674</c:v>
                </c:pt>
                <c:pt idx="245">
                  <c:v>14.051869344249591</c:v>
                </c:pt>
                <c:pt idx="246">
                  <c:v>14.53165888194741</c:v>
                </c:pt>
                <c:pt idx="247">
                  <c:v>12.288772804846225</c:v>
                </c:pt>
                <c:pt idx="248">
                  <c:v>14.059629887890656</c:v>
                </c:pt>
                <c:pt idx="249">
                  <c:v>12.712859466382353</c:v>
                </c:pt>
                <c:pt idx="250">
                  <c:v>9.8317208103053808</c:v>
                </c:pt>
                <c:pt idx="251">
                  <c:v>11.643212286870597</c:v>
                </c:pt>
                <c:pt idx="252">
                  <c:v>12.928604215619055</c:v>
                </c:pt>
                <c:pt idx="253">
                  <c:v>17.084790474542004</c:v>
                </c:pt>
                <c:pt idx="254">
                  <c:v>16.140242209258783</c:v>
                </c:pt>
                <c:pt idx="255">
                  <c:v>15.843452225418384</c:v>
                </c:pt>
                <c:pt idx="256">
                  <c:v>17.773674231171523</c:v>
                </c:pt>
                <c:pt idx="257">
                  <c:v>17.590375418926794</c:v>
                </c:pt>
                <c:pt idx="258">
                  <c:v>15.788137903406543</c:v>
                </c:pt>
                <c:pt idx="259">
                  <c:v>13.755599245038342</c:v>
                </c:pt>
                <c:pt idx="260">
                  <c:v>15.522962544879935</c:v>
                </c:pt>
                <c:pt idx="261">
                  <c:v>16.476645900631155</c:v>
                </c:pt>
                <c:pt idx="262">
                  <c:v>15.430054157706962</c:v>
                </c:pt>
                <c:pt idx="263">
                  <c:v>17.987548952554409</c:v>
                </c:pt>
                <c:pt idx="264">
                  <c:v>18.422518611837415</c:v>
                </c:pt>
                <c:pt idx="265">
                  <c:v>14.35397615371628</c:v>
                </c:pt>
                <c:pt idx="266">
                  <c:v>16.929783213330357</c:v>
                </c:pt>
                <c:pt idx="267">
                  <c:v>18.127366779966607</c:v>
                </c:pt>
                <c:pt idx="268">
                  <c:v>16.826511472841041</c:v>
                </c:pt>
                <c:pt idx="269">
                  <c:v>18.107559267676312</c:v>
                </c:pt>
                <c:pt idx="270">
                  <c:v>15.842866394172844</c:v>
                </c:pt>
                <c:pt idx="271">
                  <c:v>27.995993438395367</c:v>
                </c:pt>
                <c:pt idx="272">
                  <c:v>34.990408614346009</c:v>
                </c:pt>
                <c:pt idx="273">
                  <c:v>40.691840272965166</c:v>
                </c:pt>
                <c:pt idx="274">
                  <c:v>36.515601559651664</c:v>
                </c:pt>
                <c:pt idx="275">
                  <c:v>34.126038751045883</c:v>
                </c:pt>
                <c:pt idx="276">
                  <c:v>38.853587677266802</c:v>
                </c:pt>
                <c:pt idx="277">
                  <c:v>33.830476018443235</c:v>
                </c:pt>
                <c:pt idx="278">
                  <c:v>31.649641031721494</c:v>
                </c:pt>
                <c:pt idx="279">
                  <c:v>29.270526985133838</c:v>
                </c:pt>
                <c:pt idx="280">
                  <c:v>21.360963235475815</c:v>
                </c:pt>
                <c:pt idx="281">
                  <c:v>23.263965574015486</c:v>
                </c:pt>
                <c:pt idx="282">
                  <c:v>21.087637143864558</c:v>
                </c:pt>
                <c:pt idx="283">
                  <c:v>18.292025866143803</c:v>
                </c:pt>
                <c:pt idx="284">
                  <c:v>19.155736784518691</c:v>
                </c:pt>
                <c:pt idx="285">
                  <c:v>16.938277759031912</c:v>
                </c:pt>
                <c:pt idx="286">
                  <c:v>16.750298962164944</c:v>
                </c:pt>
                <c:pt idx="287">
                  <c:v>15.745441306280449</c:v>
                </c:pt>
                <c:pt idx="288">
                  <c:v>13.450655506122816</c:v>
                </c:pt>
                <c:pt idx="289">
                  <c:v>12.023831895189209</c:v>
                </c:pt>
                <c:pt idx="290">
                  <c:v>11.803361807167205</c:v>
                </c:pt>
                <c:pt idx="291">
                  <c:v>9.3683408373702584</c:v>
                </c:pt>
                <c:pt idx="292">
                  <c:v>6.8311730969802253</c:v>
                </c:pt>
                <c:pt idx="293">
                  <c:v>4.9829343036513185</c:v>
                </c:pt>
                <c:pt idx="294">
                  <c:v>4.2622823744771114</c:v>
                </c:pt>
                <c:pt idx="295">
                  <c:v>3.5646546376756767</c:v>
                </c:pt>
                <c:pt idx="296">
                  <c:v>0.31462857116625498</c:v>
                </c:pt>
                <c:pt idx="297">
                  <c:v>-6.7523469021626481E-2</c:v>
                </c:pt>
                <c:pt idx="298">
                  <c:v>0.95844021679832359</c:v>
                </c:pt>
                <c:pt idx="299">
                  <c:v>4.1969854074959105</c:v>
                </c:pt>
                <c:pt idx="300">
                  <c:v>0.56867854253721284</c:v>
                </c:pt>
                <c:pt idx="301">
                  <c:v>-1.3186397669689913</c:v>
                </c:pt>
                <c:pt idx="302">
                  <c:v>1.0965930946654361</c:v>
                </c:pt>
                <c:pt idx="303">
                  <c:v>1.0924555324182046</c:v>
                </c:pt>
                <c:pt idx="304">
                  <c:v>4.3429411917131278</c:v>
                </c:pt>
                <c:pt idx="305">
                  <c:v>2.9263481246150231</c:v>
                </c:pt>
                <c:pt idx="306">
                  <c:v>-0.75448952314035622</c:v>
                </c:pt>
                <c:pt idx="307">
                  <c:v>-2.0403738404270859</c:v>
                </c:pt>
                <c:pt idx="308">
                  <c:v>-3.7218977686377457</c:v>
                </c:pt>
                <c:pt idx="309">
                  <c:v>-3.067117814096274</c:v>
                </c:pt>
                <c:pt idx="310">
                  <c:v>-1.0432781599403478</c:v>
                </c:pt>
                <c:pt idx="311">
                  <c:v>0.88685912292779168</c:v>
                </c:pt>
                <c:pt idx="312">
                  <c:v>-0.25258447681559199</c:v>
                </c:pt>
                <c:pt idx="313">
                  <c:v>-1.0965235667060991</c:v>
                </c:pt>
                <c:pt idx="314">
                  <c:v>-0.78316678713296739</c:v>
                </c:pt>
                <c:pt idx="315">
                  <c:v>-0.34457480437810845</c:v>
                </c:pt>
                <c:pt idx="316">
                  <c:v>-1.9246029327752447</c:v>
                </c:pt>
                <c:pt idx="317">
                  <c:v>0.77117776528282966</c:v>
                </c:pt>
                <c:pt idx="318">
                  <c:v>0.2162038369064187</c:v>
                </c:pt>
                <c:pt idx="319">
                  <c:v>-1.2083718547386142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'240828B012'!$A$2:$A$321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'240828B012'!$J$2:$J$321</c:f>
              <c:numCache>
                <c:formatCode>0.0</c:formatCode>
                <c:ptCount val="320"/>
                <c:pt idx="0">
                  <c:v>1301.39238029071</c:v>
                </c:pt>
                <c:pt idx="1">
                  <c:v>1318.4503676683698</c:v>
                </c:pt>
                <c:pt idx="2">
                  <c:v>1326.4193156157901</c:v>
                </c:pt>
                <c:pt idx="3">
                  <c:v>1300.0843591376702</c:v>
                </c:pt>
                <c:pt idx="4">
                  <c:v>1286.8543705247901</c:v>
                </c:pt>
                <c:pt idx="5">
                  <c:v>1260.19085557679</c:v>
                </c:pt>
                <c:pt idx="6">
                  <c:v>1351.7502055468699</c:v>
                </c:pt>
                <c:pt idx="7">
                  <c:v>1328.8127921563998</c:v>
                </c:pt>
                <c:pt idx="8">
                  <c:v>1171.9894814043</c:v>
                </c:pt>
                <c:pt idx="9">
                  <c:v>1170.8280238550701</c:v>
                </c:pt>
                <c:pt idx="10">
                  <c:v>1469.38288819131</c:v>
                </c:pt>
                <c:pt idx="11">
                  <c:v>1482.3280946630998</c:v>
                </c:pt>
                <c:pt idx="12">
                  <c:v>1460.20233759963</c:v>
                </c:pt>
                <c:pt idx="13">
                  <c:v>1504.16819088954</c:v>
                </c:pt>
                <c:pt idx="14">
                  <c:v>1461.1827763421402</c:v>
                </c:pt>
                <c:pt idx="15">
                  <c:v>1460.4898396291599</c:v>
                </c:pt>
                <c:pt idx="16">
                  <c:v>1470.90434172451</c:v>
                </c:pt>
                <c:pt idx="17">
                  <c:v>1416.25778287502</c:v>
                </c:pt>
                <c:pt idx="18">
                  <c:v>1463.9234952527499</c:v>
                </c:pt>
                <c:pt idx="19">
                  <c:v>1454.20949836918</c:v>
                </c:pt>
                <c:pt idx="20">
                  <c:v>1417.1085605334999</c:v>
                </c:pt>
                <c:pt idx="21">
                  <c:v>1489.7488749747799</c:v>
                </c:pt>
                <c:pt idx="22">
                  <c:v>1466.42153921504</c:v>
                </c:pt>
                <c:pt idx="23">
                  <c:v>1467.7838997062602</c:v>
                </c:pt>
                <c:pt idx="24">
                  <c:v>1497.8147224255999</c:v>
                </c:pt>
                <c:pt idx="25">
                  <c:v>1480.2183399468299</c:v>
                </c:pt>
                <c:pt idx="26">
                  <c:v>1496.6921793735899</c:v>
                </c:pt>
                <c:pt idx="27">
                  <c:v>1506.3473899140902</c:v>
                </c:pt>
                <c:pt idx="28">
                  <c:v>1582.3826766284901</c:v>
                </c:pt>
                <c:pt idx="29">
                  <c:v>1576.2663337526799</c:v>
                </c:pt>
                <c:pt idx="30">
                  <c:v>1617.86722839761</c:v>
                </c:pt>
                <c:pt idx="31">
                  <c:v>1528.1746777599399</c:v>
                </c:pt>
                <c:pt idx="32">
                  <c:v>1502.7457298361699</c:v>
                </c:pt>
                <c:pt idx="33">
                  <c:v>1558.2626482962801</c:v>
                </c:pt>
                <c:pt idx="34">
                  <c:v>1566.14191840188</c:v>
                </c:pt>
                <c:pt idx="35">
                  <c:v>1522.80904206224</c:v>
                </c:pt>
                <c:pt idx="36">
                  <c:v>1513.0497781480299</c:v>
                </c:pt>
                <c:pt idx="37">
                  <c:v>1491.7532502761499</c:v>
                </c:pt>
                <c:pt idx="38">
                  <c:v>1513.1493983840401</c:v>
                </c:pt>
                <c:pt idx="39">
                  <c:v>1519.10902133268</c:v>
                </c:pt>
                <c:pt idx="40">
                  <c:v>1503.3318730503102</c:v>
                </c:pt>
                <c:pt idx="41">
                  <c:v>1515.6251923039499</c:v>
                </c:pt>
                <c:pt idx="42">
                  <c:v>1527.0722733525899</c:v>
                </c:pt>
                <c:pt idx="43">
                  <c:v>1550.7473273133899</c:v>
                </c:pt>
                <c:pt idx="44">
                  <c:v>1518.3208697340899</c:v>
                </c:pt>
                <c:pt idx="45">
                  <c:v>1511.07160745484</c:v>
                </c:pt>
                <c:pt idx="46">
                  <c:v>1540.0520287322699</c:v>
                </c:pt>
                <c:pt idx="47">
                  <c:v>1500.53710929915</c:v>
                </c:pt>
                <c:pt idx="48">
                  <c:v>1472.7812560667799</c:v>
                </c:pt>
                <c:pt idx="49">
                  <c:v>1507.6197102149001</c:v>
                </c:pt>
                <c:pt idx="50">
                  <c:v>1476.3909587056201</c:v>
                </c:pt>
                <c:pt idx="51">
                  <c:v>1476.4708959188501</c:v>
                </c:pt>
                <c:pt idx="52">
                  <c:v>1527.2617032797</c:v>
                </c:pt>
                <c:pt idx="53">
                  <c:v>1507.0107924659601</c:v>
                </c:pt>
                <c:pt idx="54">
                  <c:v>1522.4213954207901</c:v>
                </c:pt>
                <c:pt idx="55">
                  <c:v>1509.8675355816799</c:v>
                </c:pt>
                <c:pt idx="56">
                  <c:v>1550.1404548267301</c:v>
                </c:pt>
                <c:pt idx="57">
                  <c:v>1504.5502559933202</c:v>
                </c:pt>
                <c:pt idx="58">
                  <c:v>1480.9572185125901</c:v>
                </c:pt>
                <c:pt idx="59">
                  <c:v>1473.9810845038201</c:v>
                </c:pt>
                <c:pt idx="60">
                  <c:v>1505.49162253432</c:v>
                </c:pt>
                <c:pt idx="61">
                  <c:v>1473.3486990559099</c:v>
                </c:pt>
                <c:pt idx="62">
                  <c:v>1480.0617756542699</c:v>
                </c:pt>
                <c:pt idx="63">
                  <c:v>1472.6955925243399</c:v>
                </c:pt>
                <c:pt idx="64">
                  <c:v>1526.3427421689601</c:v>
                </c:pt>
                <c:pt idx="65">
                  <c:v>1516.15539536407</c:v>
                </c:pt>
                <c:pt idx="66">
                  <c:v>1535.2430799220001</c:v>
                </c:pt>
                <c:pt idx="67">
                  <c:v>1529.9938953544599</c:v>
                </c:pt>
                <c:pt idx="68">
                  <c:v>1517.0544245652202</c:v>
                </c:pt>
                <c:pt idx="69">
                  <c:v>1502.20544650954</c:v>
                </c:pt>
                <c:pt idx="70">
                  <c:v>1516.9862273946699</c:v>
                </c:pt>
                <c:pt idx="71">
                  <c:v>1526.9702835195701</c:v>
                </c:pt>
                <c:pt idx="72">
                  <c:v>1517.9794414529199</c:v>
                </c:pt>
                <c:pt idx="73">
                  <c:v>1519.1297898211301</c:v>
                </c:pt>
                <c:pt idx="74">
                  <c:v>1520.7242159303501</c:v>
                </c:pt>
                <c:pt idx="75">
                  <c:v>1522.8515642792402</c:v>
                </c:pt>
                <c:pt idx="76">
                  <c:v>1519.3525370080599</c:v>
                </c:pt>
                <c:pt idx="77">
                  <c:v>1498.45486846926</c:v>
                </c:pt>
                <c:pt idx="78">
                  <c:v>1501.58379171256</c:v>
                </c:pt>
                <c:pt idx="79">
                  <c:v>1463.5750070306001</c:v>
                </c:pt>
                <c:pt idx="80">
                  <c:v>1489.1486234617901</c:v>
                </c:pt>
                <c:pt idx="81">
                  <c:v>1450.1666585855701</c:v>
                </c:pt>
                <c:pt idx="82">
                  <c:v>1416.31858108439</c:v>
                </c:pt>
                <c:pt idx="83">
                  <c:v>1409.60275307651</c:v>
                </c:pt>
                <c:pt idx="84">
                  <c:v>1442.0257125125399</c:v>
                </c:pt>
                <c:pt idx="85">
                  <c:v>1457.55408112804</c:v>
                </c:pt>
                <c:pt idx="86">
                  <c:v>1423.1896606898401</c:v>
                </c:pt>
                <c:pt idx="87">
                  <c:v>1376.7362612852701</c:v>
                </c:pt>
                <c:pt idx="88">
                  <c:v>1360.22814169763</c:v>
                </c:pt>
                <c:pt idx="89">
                  <c:v>1458.0211295468</c:v>
                </c:pt>
                <c:pt idx="90">
                  <c:v>1380.0538493613899</c:v>
                </c:pt>
                <c:pt idx="91">
                  <c:v>1403.1885222214501</c:v>
                </c:pt>
                <c:pt idx="92">
                  <c:v>1405.80308181651</c:v>
                </c:pt>
                <c:pt idx="93">
                  <c:v>1384.9210238457601</c:v>
                </c:pt>
                <c:pt idx="94">
                  <c:v>1371.4081467402002</c:v>
                </c:pt>
                <c:pt idx="95">
                  <c:v>1376.5170023564299</c:v>
                </c:pt>
                <c:pt idx="96">
                  <c:v>1386.8744242200798</c:v>
                </c:pt>
                <c:pt idx="97">
                  <c:v>1425.39466500045</c:v>
                </c:pt>
                <c:pt idx="98">
                  <c:v>1370.3909929827601</c:v>
                </c:pt>
                <c:pt idx="99">
                  <c:v>1415.8540784945201</c:v>
                </c:pt>
                <c:pt idx="100">
                  <c:v>1428.5047740703801</c:v>
                </c:pt>
                <c:pt idx="101">
                  <c:v>1434.4628254938102</c:v>
                </c:pt>
                <c:pt idx="102">
                  <c:v>1414.0912674617</c:v>
                </c:pt>
                <c:pt idx="103">
                  <c:v>1425.50060736353</c:v>
                </c:pt>
                <c:pt idx="104">
                  <c:v>1439.4308029731799</c:v>
                </c:pt>
                <c:pt idx="105">
                  <c:v>1428.5022221793301</c:v>
                </c:pt>
                <c:pt idx="106">
                  <c:v>1438.9928338448299</c:v>
                </c:pt>
                <c:pt idx="107">
                  <c:v>1450.28633547564</c:v>
                </c:pt>
                <c:pt idx="108">
                  <c:v>1385.2762955242501</c:v>
                </c:pt>
                <c:pt idx="109">
                  <c:v>1364.75141759795</c:v>
                </c:pt>
                <c:pt idx="110">
                  <c:v>1378.9022697006501</c:v>
                </c:pt>
                <c:pt idx="111">
                  <c:v>1378.98958176517</c:v>
                </c:pt>
                <c:pt idx="112">
                  <c:v>1393.9004844344399</c:v>
                </c:pt>
                <c:pt idx="113">
                  <c:v>1399.85429718409</c:v>
                </c:pt>
                <c:pt idx="114">
                  <c:v>1379.4056935518001</c:v>
                </c:pt>
                <c:pt idx="115">
                  <c:v>1390.26711829074</c:v>
                </c:pt>
                <c:pt idx="116">
                  <c:v>1320.7746588693999</c:v>
                </c:pt>
                <c:pt idx="117">
                  <c:v>1294.0618261825998</c:v>
                </c:pt>
                <c:pt idx="118">
                  <c:v>1356.661208577</c:v>
                </c:pt>
                <c:pt idx="119">
                  <c:v>1313.9333796537301</c:v>
                </c:pt>
                <c:pt idx="120">
                  <c:v>1358.6803133711601</c:v>
                </c:pt>
                <c:pt idx="121">
                  <c:v>1367.3592040757901</c:v>
                </c:pt>
                <c:pt idx="122">
                  <c:v>1384.5478900317598</c:v>
                </c:pt>
                <c:pt idx="123">
                  <c:v>1378.93000096125</c:v>
                </c:pt>
                <c:pt idx="124">
                  <c:v>1352.5086032875299</c:v>
                </c:pt>
                <c:pt idx="125">
                  <c:v>1292.8856099201901</c:v>
                </c:pt>
                <c:pt idx="126">
                  <c:v>1479.50696347139</c:v>
                </c:pt>
                <c:pt idx="127">
                  <c:v>1461.4172635861801</c:v>
                </c:pt>
                <c:pt idx="128">
                  <c:v>1432.2774301772499</c:v>
                </c:pt>
                <c:pt idx="129">
                  <c:v>1417.3237893702001</c:v>
                </c:pt>
                <c:pt idx="130">
                  <c:v>1430.20389580346</c:v>
                </c:pt>
                <c:pt idx="131">
                  <c:v>1437.3335958814801</c:v>
                </c:pt>
                <c:pt idx="132">
                  <c:v>1451.00089176395</c:v>
                </c:pt>
                <c:pt idx="133">
                  <c:v>1452.1134853991698</c:v>
                </c:pt>
                <c:pt idx="134">
                  <c:v>1476.6787625208499</c:v>
                </c:pt>
                <c:pt idx="135">
                  <c:v>1492.31232465995</c:v>
                </c:pt>
                <c:pt idx="136">
                  <c:v>1451.0284125476999</c:v>
                </c:pt>
                <c:pt idx="137">
                  <c:v>1481.5230803510901</c:v>
                </c:pt>
                <c:pt idx="138">
                  <c:v>1504.0983375636802</c:v>
                </c:pt>
                <c:pt idx="139">
                  <c:v>1460.0195462207801</c:v>
                </c:pt>
                <c:pt idx="140">
                  <c:v>1469.2736606537001</c:v>
                </c:pt>
                <c:pt idx="141">
                  <c:v>1468.26499056585</c:v>
                </c:pt>
                <c:pt idx="142">
                  <c:v>1462.5228150712801</c:v>
                </c:pt>
                <c:pt idx="143">
                  <c:v>1425.66733645864</c:v>
                </c:pt>
                <c:pt idx="144">
                  <c:v>1473.9309707566099</c:v>
                </c:pt>
                <c:pt idx="145">
                  <c:v>1443.8033475688101</c:v>
                </c:pt>
                <c:pt idx="146">
                  <c:v>1414.7605192005801</c:v>
                </c:pt>
                <c:pt idx="147">
                  <c:v>1472.69277487515</c:v>
                </c:pt>
                <c:pt idx="148">
                  <c:v>1437.9129521115399</c:v>
                </c:pt>
                <c:pt idx="149">
                  <c:v>1482.0792290890799</c:v>
                </c:pt>
                <c:pt idx="150">
                  <c:v>1444.92193516731</c:v>
                </c:pt>
                <c:pt idx="151">
                  <c:v>1436.4651918316799</c:v>
                </c:pt>
                <c:pt idx="152">
                  <c:v>1421.23110883354</c:v>
                </c:pt>
                <c:pt idx="153">
                  <c:v>1393.2659421410899</c:v>
                </c:pt>
                <c:pt idx="154">
                  <c:v>1432.18140470297</c:v>
                </c:pt>
                <c:pt idx="155">
                  <c:v>1444.9016688582899</c:v>
                </c:pt>
                <c:pt idx="156">
                  <c:v>1425.58059251238</c:v>
                </c:pt>
                <c:pt idx="157">
                  <c:v>1382.07700384073</c:v>
                </c:pt>
                <c:pt idx="158">
                  <c:v>1400.1173315390299</c:v>
                </c:pt>
                <c:pt idx="159">
                  <c:v>1429.9717196962401</c:v>
                </c:pt>
                <c:pt idx="160">
                  <c:v>1421.6480053830201</c:v>
                </c:pt>
                <c:pt idx="161">
                  <c:v>1446.1433624916301</c:v>
                </c:pt>
                <c:pt idx="162">
                  <c:v>1419.33616264542</c:v>
                </c:pt>
                <c:pt idx="163">
                  <c:v>1440.0442172549101</c:v>
                </c:pt>
                <c:pt idx="164">
                  <c:v>1390.3191989287898</c:v>
                </c:pt>
                <c:pt idx="165">
                  <c:v>1378.7920792079201</c:v>
                </c:pt>
                <c:pt idx="166">
                  <c:v>1391.7311968039</c:v>
                </c:pt>
                <c:pt idx="167">
                  <c:v>1396.09599714358</c:v>
                </c:pt>
                <c:pt idx="168">
                  <c:v>1407.54722752973</c:v>
                </c:pt>
                <c:pt idx="169">
                  <c:v>1401.0949858143301</c:v>
                </c:pt>
                <c:pt idx="170">
                  <c:v>1407.6842645668301</c:v>
                </c:pt>
                <c:pt idx="171">
                  <c:v>1392.26165827106</c:v>
                </c:pt>
                <c:pt idx="172">
                  <c:v>1412.4874850715</c:v>
                </c:pt>
                <c:pt idx="173">
                  <c:v>1382.6050236930801</c:v>
                </c:pt>
                <c:pt idx="174">
                  <c:v>1424.3527317247901</c:v>
                </c:pt>
                <c:pt idx="175">
                  <c:v>1431.6789678968098</c:v>
                </c:pt>
                <c:pt idx="176">
                  <c:v>1379.8834112443901</c:v>
                </c:pt>
                <c:pt idx="177">
                  <c:v>1431.9871354877198</c:v>
                </c:pt>
                <c:pt idx="178">
                  <c:v>1447.41182806082</c:v>
                </c:pt>
                <c:pt idx="179">
                  <c:v>1426.9238834534399</c:v>
                </c:pt>
                <c:pt idx="180">
                  <c:v>1495.80505922315</c:v>
                </c:pt>
                <c:pt idx="181">
                  <c:v>1497.9754459298399</c:v>
                </c:pt>
                <c:pt idx="182">
                  <c:v>1491.3506568555301</c:v>
                </c:pt>
                <c:pt idx="183">
                  <c:v>1500.6185865084601</c:v>
                </c:pt>
                <c:pt idx="184">
                  <c:v>1457.6828909349701</c:v>
                </c:pt>
                <c:pt idx="185">
                  <c:v>1469.2011981354299</c:v>
                </c:pt>
                <c:pt idx="186">
                  <c:v>1517.76607209604</c:v>
                </c:pt>
                <c:pt idx="187">
                  <c:v>1561.2179610298199</c:v>
                </c:pt>
                <c:pt idx="188">
                  <c:v>1564.5567006942799</c:v>
                </c:pt>
                <c:pt idx="189">
                  <c:v>1494.7970122818901</c:v>
                </c:pt>
                <c:pt idx="190">
                  <c:v>1507.1167518209199</c:v>
                </c:pt>
                <c:pt idx="191">
                  <c:v>1493.7434325356298</c:v>
                </c:pt>
                <c:pt idx="192">
                  <c:v>1486.99868179237</c:v>
                </c:pt>
                <c:pt idx="193">
                  <c:v>1487.8983863984399</c:v>
                </c:pt>
                <c:pt idx="194">
                  <c:v>1411.0636029944301</c:v>
                </c:pt>
                <c:pt idx="195">
                  <c:v>1419.8882637043801</c:v>
                </c:pt>
                <c:pt idx="196">
                  <c:v>1401.4886887225</c:v>
                </c:pt>
                <c:pt idx="197">
                  <c:v>1436.27669206374</c:v>
                </c:pt>
                <c:pt idx="198">
                  <c:v>1409.39877978032</c:v>
                </c:pt>
                <c:pt idx="199">
                  <c:v>1423.8668608037001</c:v>
                </c:pt>
                <c:pt idx="200">
                  <c:v>1423.5087264609001</c:v>
                </c:pt>
                <c:pt idx="201">
                  <c:v>1393.38768200354</c:v>
                </c:pt>
                <c:pt idx="202">
                  <c:v>1399.5828285769801</c:v>
                </c:pt>
                <c:pt idx="203">
                  <c:v>1374.3564065230298</c:v>
                </c:pt>
                <c:pt idx="204">
                  <c:v>1390.9908076102201</c:v>
                </c:pt>
                <c:pt idx="205">
                  <c:v>1486.5909028051099</c:v>
                </c:pt>
                <c:pt idx="206">
                  <c:v>1458.7399343135501</c:v>
                </c:pt>
                <c:pt idx="207">
                  <c:v>1499.7518540088899</c:v>
                </c:pt>
                <c:pt idx="208">
                  <c:v>1482.2507474276599</c:v>
                </c:pt>
                <c:pt idx="209">
                  <c:v>1457.9164508011099</c:v>
                </c:pt>
                <c:pt idx="210">
                  <c:v>1406.2641879081402</c:v>
                </c:pt>
                <c:pt idx="211">
                  <c:v>1465.8607190438099</c:v>
                </c:pt>
                <c:pt idx="212">
                  <c:v>1436.9548503349899</c:v>
                </c:pt>
                <c:pt idx="213">
                  <c:v>1438.5521599110598</c:v>
                </c:pt>
                <c:pt idx="214">
                  <c:v>1410.4814296531001</c:v>
                </c:pt>
                <c:pt idx="215">
                  <c:v>1398.1698072518</c:v>
                </c:pt>
                <c:pt idx="216">
                  <c:v>1400.1953088395298</c:v>
                </c:pt>
                <c:pt idx="217">
                  <c:v>1383.17961765014</c:v>
                </c:pt>
                <c:pt idx="218">
                  <c:v>1376.8092010758699</c:v>
                </c:pt>
                <c:pt idx="219">
                  <c:v>1393.5798270921</c:v>
                </c:pt>
                <c:pt idx="220">
                  <c:v>1449.5955057270201</c:v>
                </c:pt>
                <c:pt idx="221">
                  <c:v>1437.3726460881001</c:v>
                </c:pt>
                <c:pt idx="222">
                  <c:v>1473.0954863133002</c:v>
                </c:pt>
                <c:pt idx="223">
                  <c:v>1433.7862842167099</c:v>
                </c:pt>
                <c:pt idx="224">
                  <c:v>1457.73152785866</c:v>
                </c:pt>
                <c:pt idx="225">
                  <c:v>1332.79530601737</c:v>
                </c:pt>
                <c:pt idx="226">
                  <c:v>1332.52689202184</c:v>
                </c:pt>
                <c:pt idx="227">
                  <c:v>1358.97395621802</c:v>
                </c:pt>
                <c:pt idx="228">
                  <c:v>1293.53894421827</c:v>
                </c:pt>
                <c:pt idx="229">
                  <c:v>1312.1175817876301</c:v>
                </c:pt>
                <c:pt idx="230">
                  <c:v>1315.57284952245</c:v>
                </c:pt>
                <c:pt idx="231">
                  <c:v>1342.8823395096799</c:v>
                </c:pt>
                <c:pt idx="232">
                  <c:v>1289.2391949008199</c:v>
                </c:pt>
                <c:pt idx="233">
                  <c:v>1358.0839157067001</c:v>
                </c:pt>
                <c:pt idx="234">
                  <c:v>1346.58094348343</c:v>
                </c:pt>
                <c:pt idx="235">
                  <c:v>1431.1072516485299</c:v>
                </c:pt>
                <c:pt idx="236">
                  <c:v>1441.78981202468</c:v>
                </c:pt>
                <c:pt idx="237">
                  <c:v>1359.1678911369099</c:v>
                </c:pt>
                <c:pt idx="238">
                  <c:v>1317.9778337483099</c:v>
                </c:pt>
                <c:pt idx="239">
                  <c:v>1333.4915851234</c:v>
                </c:pt>
                <c:pt idx="240">
                  <c:v>1294.3002296720699</c:v>
                </c:pt>
                <c:pt idx="241">
                  <c:v>1288.32494354699</c:v>
                </c:pt>
                <c:pt idx="242">
                  <c:v>1381.0993353727899</c:v>
                </c:pt>
                <c:pt idx="243">
                  <c:v>1386.48844819333</c:v>
                </c:pt>
                <c:pt idx="244">
                  <c:v>1369.26890033525</c:v>
                </c:pt>
                <c:pt idx="245">
                  <c:v>1355.3262688951099</c:v>
                </c:pt>
                <c:pt idx="246">
                  <c:v>1415.99460015977</c:v>
                </c:pt>
                <c:pt idx="247">
                  <c:v>1406.1490219284701</c:v>
                </c:pt>
                <c:pt idx="248">
                  <c:v>1370.27554869194</c:v>
                </c:pt>
                <c:pt idx="249">
                  <c:v>1362.7635626244501</c:v>
                </c:pt>
                <c:pt idx="250">
                  <c:v>1342.45005628847</c:v>
                </c:pt>
                <c:pt idx="251">
                  <c:v>1348.3777844127299</c:v>
                </c:pt>
                <c:pt idx="252">
                  <c:v>1346.2916515776101</c:v>
                </c:pt>
                <c:pt idx="253">
                  <c:v>1341.0866336633701</c:v>
                </c:pt>
                <c:pt idx="254">
                  <c:v>1315.57951804912</c:v>
                </c:pt>
                <c:pt idx="255">
                  <c:v>1347.04005066522</c:v>
                </c:pt>
                <c:pt idx="256">
                  <c:v>1304.7969871596499</c:v>
                </c:pt>
                <c:pt idx="257">
                  <c:v>1333.5152527206101</c:v>
                </c:pt>
                <c:pt idx="258">
                  <c:v>1316.90091793433</c:v>
                </c:pt>
                <c:pt idx="259">
                  <c:v>1326.0779734241401</c:v>
                </c:pt>
                <c:pt idx="260">
                  <c:v>1279.8208882987501</c:v>
                </c:pt>
                <c:pt idx="261">
                  <c:v>1311.7145843616599</c:v>
                </c:pt>
                <c:pt idx="262">
                  <c:v>1345.4110863748999</c:v>
                </c:pt>
                <c:pt idx="263">
                  <c:v>1351.97431015288</c:v>
                </c:pt>
                <c:pt idx="264">
                  <c:v>1272.07558400371</c:v>
                </c:pt>
                <c:pt idx="265">
                  <c:v>1280.4393777073001</c:v>
                </c:pt>
                <c:pt idx="266">
                  <c:v>1270.2124516553199</c:v>
                </c:pt>
                <c:pt idx="267">
                  <c:v>1231.98506729579</c:v>
                </c:pt>
                <c:pt idx="268">
                  <c:v>1272.29044322401</c:v>
                </c:pt>
                <c:pt idx="269">
                  <c:v>1346.99541478424</c:v>
                </c:pt>
                <c:pt idx="270">
                  <c:v>1268.4530616168299</c:v>
                </c:pt>
                <c:pt idx="271">
                  <c:v>1251.27439279084</c:v>
                </c:pt>
                <c:pt idx="272">
                  <c:v>1249.01156211324</c:v>
                </c:pt>
                <c:pt idx="273">
                  <c:v>1225.8628577506199</c:v>
                </c:pt>
                <c:pt idx="274">
                  <c:v>1224.6394426905501</c:v>
                </c:pt>
                <c:pt idx="275">
                  <c:v>1228.39895516704</c:v>
                </c:pt>
                <c:pt idx="276">
                  <c:v>1222.95874131338</c:v>
                </c:pt>
                <c:pt idx="277">
                  <c:v>1239.88081573215</c:v>
                </c:pt>
                <c:pt idx="278">
                  <c:v>1192.2654560026599</c:v>
                </c:pt>
                <c:pt idx="279">
                  <c:v>1303.0360032487599</c:v>
                </c:pt>
                <c:pt idx="280">
                  <c:v>1278.2460956837899</c:v>
                </c:pt>
                <c:pt idx="281">
                  <c:v>1246.2024385055699</c:v>
                </c:pt>
                <c:pt idx="282">
                  <c:v>1301.8885264997</c:v>
                </c:pt>
                <c:pt idx="283">
                  <c:v>1284.3042321879202</c:v>
                </c:pt>
                <c:pt idx="284">
                  <c:v>1271.52818870125</c:v>
                </c:pt>
                <c:pt idx="285">
                  <c:v>1229.0918462434799</c:v>
                </c:pt>
                <c:pt idx="286">
                  <c:v>1209.8012750543699</c:v>
                </c:pt>
                <c:pt idx="287">
                  <c:v>1198.83366336634</c:v>
                </c:pt>
                <c:pt idx="288">
                  <c:v>1198.67818401353</c:v>
                </c:pt>
                <c:pt idx="289">
                  <c:v>1197.81359574982</c:v>
                </c:pt>
                <c:pt idx="290">
                  <c:v>1217.7019898574899</c:v>
                </c:pt>
                <c:pt idx="291">
                  <c:v>1198.2490557835899</c:v>
                </c:pt>
                <c:pt idx="292">
                  <c:v>1202.42080173868</c:v>
                </c:pt>
                <c:pt idx="293">
                  <c:v>1197.3711760444698</c:v>
                </c:pt>
                <c:pt idx="294">
                  <c:v>1167.1705964742698</c:v>
                </c:pt>
                <c:pt idx="295">
                  <c:v>1219.9987939494799</c:v>
                </c:pt>
                <c:pt idx="296">
                  <c:v>1224.2278837718</c:v>
                </c:pt>
                <c:pt idx="297">
                  <c:v>1219.3921071659402</c:v>
                </c:pt>
                <c:pt idx="298">
                  <c:v>1197.0014036846899</c:v>
                </c:pt>
                <c:pt idx="299">
                  <c:v>1205.7870525513799</c:v>
                </c:pt>
                <c:pt idx="300">
                  <c:v>1182.5684633702101</c:v>
                </c:pt>
                <c:pt idx="301">
                  <c:v>1174.0545383554499</c:v>
                </c:pt>
                <c:pt idx="302">
                  <c:v>1306.0548819793898</c:v>
                </c:pt>
                <c:pt idx="303">
                  <c:v>1347.6747688804498</c:v>
                </c:pt>
                <c:pt idx="304">
                  <c:v>1317.1843436975601</c:v>
                </c:pt>
                <c:pt idx="305">
                  <c:v>1281.58665392852</c:v>
                </c:pt>
                <c:pt idx="306">
                  <c:v>1293.1547283760901</c:v>
                </c:pt>
                <c:pt idx="307">
                  <c:v>1275.46694458918</c:v>
                </c:pt>
                <c:pt idx="308">
                  <c:v>1261.6694671221198</c:v>
                </c:pt>
                <c:pt idx="309">
                  <c:v>1271.54706696475</c:v>
                </c:pt>
                <c:pt idx="310">
                  <c:v>1279.2342140665901</c:v>
                </c:pt>
                <c:pt idx="311">
                  <c:v>1275.07096483842</c:v>
                </c:pt>
                <c:pt idx="312">
                  <c:v>1253.5187392933099</c:v>
                </c:pt>
                <c:pt idx="313">
                  <c:v>1264.85863263743</c:v>
                </c:pt>
                <c:pt idx="314">
                  <c:v>1204.4086611886801</c:v>
                </c:pt>
                <c:pt idx="315">
                  <c:v>1257.3796202201402</c:v>
                </c:pt>
                <c:pt idx="316">
                  <c:v>1292.0853023166301</c:v>
                </c:pt>
                <c:pt idx="317">
                  <c:v>1273.6160146111499</c:v>
                </c:pt>
                <c:pt idx="318">
                  <c:v>1234.7377144731602</c:v>
                </c:pt>
                <c:pt idx="319">
                  <c:v>1216.6295118985499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'240828B012'!$A$2:$A$321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'240828B012'!$P$2:$P$321</c:f>
              <c:numCache>
                <c:formatCode>General</c:formatCode>
                <c:ptCount val="320"/>
                <c:pt idx="0">
                  <c:v>-46.851566955054643</c:v>
                </c:pt>
                <c:pt idx="1">
                  <c:v>-47.716682012447784</c:v>
                </c:pt>
                <c:pt idx="2">
                  <c:v>-48.38715109684118</c:v>
                </c:pt>
                <c:pt idx="3">
                  <c:v>-48.372534397188481</c:v>
                </c:pt>
                <c:pt idx="4">
                  <c:v>-48.253106213776611</c:v>
                </c:pt>
                <c:pt idx="5">
                  <c:v>-47.612060351005077</c:v>
                </c:pt>
                <c:pt idx="6">
                  <c:v>-49.219817451907957</c:v>
                </c:pt>
                <c:pt idx="7">
                  <c:v>-48.959515683512819</c:v>
                </c:pt>
                <c:pt idx="8">
                  <c:v>-45.342354074665785</c:v>
                </c:pt>
                <c:pt idx="9">
                  <c:v>-44.133960090305429</c:v>
                </c:pt>
                <c:pt idx="10">
                  <c:v>-48.571898655117451</c:v>
                </c:pt>
                <c:pt idx="11">
                  <c:v>-49.644555838898299</c:v>
                </c:pt>
                <c:pt idx="12">
                  <c:v>-49.770259858709402</c:v>
                </c:pt>
                <c:pt idx="13">
                  <c:v>-47.813675647279439</c:v>
                </c:pt>
                <c:pt idx="14">
                  <c:v>-46.23323068293108</c:v>
                </c:pt>
                <c:pt idx="15">
                  <c:v>-44.177165292440769</c:v>
                </c:pt>
                <c:pt idx="16">
                  <c:v>-43.389091148977442</c:v>
                </c:pt>
                <c:pt idx="17">
                  <c:v>-42.590669923946336</c:v>
                </c:pt>
                <c:pt idx="18">
                  <c:v>-40.96688088411149</c:v>
                </c:pt>
                <c:pt idx="19">
                  <c:v>-41.350467282330641</c:v>
                </c:pt>
                <c:pt idx="20">
                  <c:v>-40.256997888827058</c:v>
                </c:pt>
                <c:pt idx="21">
                  <c:v>-38.781175934008409</c:v>
                </c:pt>
                <c:pt idx="22">
                  <c:v>-38.623482528368754</c:v>
                </c:pt>
                <c:pt idx="23">
                  <c:v>-35.548144507846828</c:v>
                </c:pt>
                <c:pt idx="24">
                  <c:v>-35.628661039554032</c:v>
                </c:pt>
                <c:pt idx="25">
                  <c:v>-33.429563682607579</c:v>
                </c:pt>
                <c:pt idx="26">
                  <c:v>-34.652916906617257</c:v>
                </c:pt>
                <c:pt idx="27">
                  <c:v>-33.591365976301105</c:v>
                </c:pt>
                <c:pt idx="28">
                  <c:v>-31.956315926431074</c:v>
                </c:pt>
                <c:pt idx="29">
                  <c:v>-31.536071382463497</c:v>
                </c:pt>
                <c:pt idx="30">
                  <c:v>-29.895863701093894</c:v>
                </c:pt>
                <c:pt idx="31">
                  <c:v>-26.856054356771867</c:v>
                </c:pt>
                <c:pt idx="32">
                  <c:v>-24.659739405193964</c:v>
                </c:pt>
                <c:pt idx="33">
                  <c:v>-22.54838982083724</c:v>
                </c:pt>
                <c:pt idx="34">
                  <c:v>-22.12124657889558</c:v>
                </c:pt>
                <c:pt idx="35">
                  <c:v>-18.463091249206144</c:v>
                </c:pt>
                <c:pt idx="36">
                  <c:v>-16.107841941159268</c:v>
                </c:pt>
                <c:pt idx="37">
                  <c:v>-11.591288861284497</c:v>
                </c:pt>
                <c:pt idx="38">
                  <c:v>-10.152029480162037</c:v>
                </c:pt>
                <c:pt idx="39">
                  <c:v>-11.842774175156414</c:v>
                </c:pt>
                <c:pt idx="40">
                  <c:v>-7.769848456584068</c:v>
                </c:pt>
                <c:pt idx="41">
                  <c:v>-4.9738292436576765</c:v>
                </c:pt>
                <c:pt idx="42">
                  <c:v>-4.8205727914080523</c:v>
                </c:pt>
                <c:pt idx="43">
                  <c:v>-1.3774096295654201</c:v>
                </c:pt>
                <c:pt idx="44">
                  <c:v>-2.1145066905705177</c:v>
                </c:pt>
                <c:pt idx="45">
                  <c:v>1.3733839787637989</c:v>
                </c:pt>
                <c:pt idx="46">
                  <c:v>0.35849736658002762</c:v>
                </c:pt>
                <c:pt idx="47">
                  <c:v>0.4783495493401918</c:v>
                </c:pt>
                <c:pt idx="48">
                  <c:v>-2.2996739914760211</c:v>
                </c:pt>
                <c:pt idx="49">
                  <c:v>-4.1855954977456182</c:v>
                </c:pt>
                <c:pt idx="50">
                  <c:v>-6.9591108724982238</c:v>
                </c:pt>
                <c:pt idx="51">
                  <c:v>-8.3245168120354229</c:v>
                </c:pt>
                <c:pt idx="52">
                  <c:v>-9.0294823457888604</c:v>
                </c:pt>
                <c:pt idx="53">
                  <c:v>-5.5386999694301631</c:v>
                </c:pt>
                <c:pt idx="54">
                  <c:v>-5.6009918138632955</c:v>
                </c:pt>
                <c:pt idx="55">
                  <c:v>-5.5502391320482483</c:v>
                </c:pt>
                <c:pt idx="56">
                  <c:v>-5.1454104601612869</c:v>
                </c:pt>
                <c:pt idx="57">
                  <c:v>-2.3915224639141046</c:v>
                </c:pt>
                <c:pt idx="58">
                  <c:v>-2.0957008314391601</c:v>
                </c:pt>
                <c:pt idx="59">
                  <c:v>-1.0618744166066556</c:v>
                </c:pt>
                <c:pt idx="60">
                  <c:v>-1.9096100141203745</c:v>
                </c:pt>
                <c:pt idx="61">
                  <c:v>-0.73112876118870929</c:v>
                </c:pt>
                <c:pt idx="62">
                  <c:v>-1.8129201978150182</c:v>
                </c:pt>
                <c:pt idx="63">
                  <c:v>-1.3103956567103747</c:v>
                </c:pt>
                <c:pt idx="64">
                  <c:v>1.0600333685715497</c:v>
                </c:pt>
                <c:pt idx="65">
                  <c:v>3.451126020621309</c:v>
                </c:pt>
                <c:pt idx="66">
                  <c:v>6.0223235495626959</c:v>
                </c:pt>
                <c:pt idx="67">
                  <c:v>7.778139466605678</c:v>
                </c:pt>
                <c:pt idx="68">
                  <c:v>8.9593728909918475</c:v>
                </c:pt>
                <c:pt idx="69">
                  <c:v>7.4139370587356579</c:v>
                </c:pt>
                <c:pt idx="70">
                  <c:v>4.7430319347763659</c:v>
                </c:pt>
                <c:pt idx="71">
                  <c:v>2.9675048380619993</c:v>
                </c:pt>
                <c:pt idx="72">
                  <c:v>0.3789186748435564</c:v>
                </c:pt>
                <c:pt idx="73">
                  <c:v>-1.629036876394065</c:v>
                </c:pt>
                <c:pt idx="74">
                  <c:v>-2.5174175905064078</c:v>
                </c:pt>
                <c:pt idx="75">
                  <c:v>-2.7029291597972254</c:v>
                </c:pt>
                <c:pt idx="76">
                  <c:v>-4.9739588865214479</c:v>
                </c:pt>
                <c:pt idx="77">
                  <c:v>-6.5003890830729603</c:v>
                </c:pt>
                <c:pt idx="78">
                  <c:v>-7.9600024842535904</c:v>
                </c:pt>
                <c:pt idx="79">
                  <c:v>-10.72659909239071</c:v>
                </c:pt>
                <c:pt idx="80">
                  <c:v>-10.8862103080195</c:v>
                </c:pt>
                <c:pt idx="81">
                  <c:v>-12.765229371739235</c:v>
                </c:pt>
                <c:pt idx="82">
                  <c:v>-14.565202073862205</c:v>
                </c:pt>
                <c:pt idx="83">
                  <c:v>-13.501672699538439</c:v>
                </c:pt>
                <c:pt idx="84">
                  <c:v>-12.14329313934417</c:v>
                </c:pt>
                <c:pt idx="85">
                  <c:v>-13.512538052663379</c:v>
                </c:pt>
                <c:pt idx="86">
                  <c:v>-14.423557480588132</c:v>
                </c:pt>
                <c:pt idx="87">
                  <c:v>-18.284694384554172</c:v>
                </c:pt>
                <c:pt idx="88">
                  <c:v>-18.766228432928141</c:v>
                </c:pt>
                <c:pt idx="89">
                  <c:v>-17.60006125116708</c:v>
                </c:pt>
                <c:pt idx="90">
                  <c:v>-17.331043422536297</c:v>
                </c:pt>
                <c:pt idx="91">
                  <c:v>-19.157990292329011</c:v>
                </c:pt>
                <c:pt idx="92">
                  <c:v>-18.860675307567078</c:v>
                </c:pt>
                <c:pt idx="93">
                  <c:v>-17.9968027880766</c:v>
                </c:pt>
                <c:pt idx="94">
                  <c:v>-17.659172974755364</c:v>
                </c:pt>
                <c:pt idx="95">
                  <c:v>-17.032512469910678</c:v>
                </c:pt>
                <c:pt idx="96">
                  <c:v>-15.44294361357445</c:v>
                </c:pt>
                <c:pt idx="97">
                  <c:v>-14.565447298243051</c:v>
                </c:pt>
                <c:pt idx="98">
                  <c:v>-18.234507832837714</c:v>
                </c:pt>
                <c:pt idx="99">
                  <c:v>-19.870327118890263</c:v>
                </c:pt>
                <c:pt idx="100">
                  <c:v>-15.023548277660581</c:v>
                </c:pt>
                <c:pt idx="101">
                  <c:v>-13.266408910372851</c:v>
                </c:pt>
                <c:pt idx="102">
                  <c:v>-15.046124815288941</c:v>
                </c:pt>
                <c:pt idx="103">
                  <c:v>-11.26762824248245</c:v>
                </c:pt>
                <c:pt idx="104">
                  <c:v>-6.1869755822447043</c:v>
                </c:pt>
                <c:pt idx="105">
                  <c:v>-4.0891987026602559</c:v>
                </c:pt>
                <c:pt idx="106">
                  <c:v>-7.2840630417380021</c:v>
                </c:pt>
                <c:pt idx="107">
                  <c:v>-6.3931880575702094</c:v>
                </c:pt>
                <c:pt idx="108">
                  <c:v>-11.317729279969864</c:v>
                </c:pt>
                <c:pt idx="109">
                  <c:v>-13.82904805707564</c:v>
                </c:pt>
                <c:pt idx="110">
                  <c:v>-12.844856826688106</c:v>
                </c:pt>
                <c:pt idx="111">
                  <c:v>-8.5412465113285752</c:v>
                </c:pt>
                <c:pt idx="112">
                  <c:v>-7.3001031829582343</c:v>
                </c:pt>
                <c:pt idx="113">
                  <c:v>-9.0909581596244564</c:v>
                </c:pt>
                <c:pt idx="114">
                  <c:v>-9.808716126678604</c:v>
                </c:pt>
                <c:pt idx="115">
                  <c:v>-8.4795067108146416</c:v>
                </c:pt>
                <c:pt idx="116">
                  <c:v>-10.443364338310051</c:v>
                </c:pt>
                <c:pt idx="117">
                  <c:v>-10.447316141025333</c:v>
                </c:pt>
                <c:pt idx="118">
                  <c:v>-4.9320367914329255</c:v>
                </c:pt>
                <c:pt idx="119">
                  <c:v>-5.1456469445534747</c:v>
                </c:pt>
                <c:pt idx="120">
                  <c:v>-5.5069880344713393</c:v>
                </c:pt>
                <c:pt idx="121">
                  <c:v>0.27385137599855491</c:v>
                </c:pt>
                <c:pt idx="122">
                  <c:v>1.2990402491460584</c:v>
                </c:pt>
                <c:pt idx="123">
                  <c:v>-4.7087597181713567</c:v>
                </c:pt>
                <c:pt idx="124">
                  <c:v>-8.9047410433526348</c:v>
                </c:pt>
                <c:pt idx="125">
                  <c:v>-13.210698279742495</c:v>
                </c:pt>
                <c:pt idx="126">
                  <c:v>-10.532688210666951</c:v>
                </c:pt>
                <c:pt idx="127">
                  <c:v>-10.580931289935881</c:v>
                </c:pt>
                <c:pt idx="128">
                  <c:v>-6.6192103070554467</c:v>
                </c:pt>
                <c:pt idx="129">
                  <c:v>-6.6076838137248224</c:v>
                </c:pt>
                <c:pt idx="130">
                  <c:v>-8.6779433428556132</c:v>
                </c:pt>
                <c:pt idx="131">
                  <c:v>-6.3899344151894644</c:v>
                </c:pt>
                <c:pt idx="132">
                  <c:v>-8.3541906692672203</c:v>
                </c:pt>
                <c:pt idx="133">
                  <c:v>-7.6821601909474913</c:v>
                </c:pt>
                <c:pt idx="134">
                  <c:v>-5.5069980683245134</c:v>
                </c:pt>
                <c:pt idx="135">
                  <c:v>-5.4019694313036561</c:v>
                </c:pt>
                <c:pt idx="136">
                  <c:v>-2.5846102425838571</c:v>
                </c:pt>
                <c:pt idx="137">
                  <c:v>3.772558820768829</c:v>
                </c:pt>
                <c:pt idx="138">
                  <c:v>2.6536596434976745</c:v>
                </c:pt>
                <c:pt idx="139">
                  <c:v>-2.317428269539624</c:v>
                </c:pt>
                <c:pt idx="140">
                  <c:v>-3.3228873006104283</c:v>
                </c:pt>
                <c:pt idx="141">
                  <c:v>-6.3521585309748652</c:v>
                </c:pt>
                <c:pt idx="142">
                  <c:v>-8.9622472156747044</c:v>
                </c:pt>
                <c:pt idx="143">
                  <c:v>-8.7720550679396716</c:v>
                </c:pt>
                <c:pt idx="144">
                  <c:v>-10.003264426850418</c:v>
                </c:pt>
                <c:pt idx="145">
                  <c:v>-10.404707047424793</c:v>
                </c:pt>
                <c:pt idx="146">
                  <c:v>-9.0575703325767911</c:v>
                </c:pt>
                <c:pt idx="147">
                  <c:v>-8.0814509761895614</c:v>
                </c:pt>
                <c:pt idx="148">
                  <c:v>-7.6415977964099966</c:v>
                </c:pt>
                <c:pt idx="149">
                  <c:v>-11.602703533347391</c:v>
                </c:pt>
                <c:pt idx="150">
                  <c:v>-13.92186971082246</c:v>
                </c:pt>
                <c:pt idx="151">
                  <c:v>-15.625395124687348</c:v>
                </c:pt>
                <c:pt idx="152">
                  <c:v>-14.732185885509482</c:v>
                </c:pt>
                <c:pt idx="153">
                  <c:v>-11.735180609878624</c:v>
                </c:pt>
                <c:pt idx="154">
                  <c:v>-14.29548303799066</c:v>
                </c:pt>
                <c:pt idx="155">
                  <c:v>-15.36954528292916</c:v>
                </c:pt>
                <c:pt idx="156">
                  <c:v>-17.514238492498528</c:v>
                </c:pt>
                <c:pt idx="157">
                  <c:v>-13.868918913930125</c:v>
                </c:pt>
                <c:pt idx="158">
                  <c:v>-9.6785300601821742</c:v>
                </c:pt>
                <c:pt idx="159">
                  <c:v>-8.9706351462179441</c:v>
                </c:pt>
                <c:pt idx="160">
                  <c:v>-11.07732778695617</c:v>
                </c:pt>
                <c:pt idx="161">
                  <c:v>-8.2545015266227768</c:v>
                </c:pt>
                <c:pt idx="162">
                  <c:v>-8.5479267161820438</c:v>
                </c:pt>
                <c:pt idx="163">
                  <c:v>-12.154076621763947</c:v>
                </c:pt>
                <c:pt idx="164">
                  <c:v>-13.704459917537438</c:v>
                </c:pt>
                <c:pt idx="165">
                  <c:v>-2.2700397298224715</c:v>
                </c:pt>
                <c:pt idx="166">
                  <c:v>1.343023139157224</c:v>
                </c:pt>
                <c:pt idx="167">
                  <c:v>1.7866347930750359</c:v>
                </c:pt>
                <c:pt idx="168">
                  <c:v>2.7074542891477607</c:v>
                </c:pt>
                <c:pt idx="169">
                  <c:v>2.7166300662125868</c:v>
                </c:pt>
                <c:pt idx="170">
                  <c:v>2.7846989091126702</c:v>
                </c:pt>
                <c:pt idx="171">
                  <c:v>2.2670552852776171</c:v>
                </c:pt>
                <c:pt idx="172">
                  <c:v>3.9655592420860435</c:v>
                </c:pt>
                <c:pt idx="173">
                  <c:v>-0.3013718595214383</c:v>
                </c:pt>
                <c:pt idx="174">
                  <c:v>-0.26482228527984425</c:v>
                </c:pt>
                <c:pt idx="175">
                  <c:v>4.8577297317735173</c:v>
                </c:pt>
                <c:pt idx="176">
                  <c:v>7.84012351394591</c:v>
                </c:pt>
                <c:pt idx="177">
                  <c:v>0.95048501260976548</c:v>
                </c:pt>
                <c:pt idx="178">
                  <c:v>-1.5568443070041651</c:v>
                </c:pt>
                <c:pt idx="179">
                  <c:v>-2.052212179017217</c:v>
                </c:pt>
                <c:pt idx="180">
                  <c:v>1.5013183439421729</c:v>
                </c:pt>
                <c:pt idx="181">
                  <c:v>2.2978837566152475</c:v>
                </c:pt>
                <c:pt idx="182">
                  <c:v>5.4600055086491057</c:v>
                </c:pt>
                <c:pt idx="183">
                  <c:v>2.8592044206695681</c:v>
                </c:pt>
                <c:pt idx="184">
                  <c:v>4.3568502611174686</c:v>
                </c:pt>
                <c:pt idx="185">
                  <c:v>1.5551641714259863</c:v>
                </c:pt>
                <c:pt idx="186">
                  <c:v>0.42342331825809532</c:v>
                </c:pt>
                <c:pt idx="187">
                  <c:v>-2.1458532883735306</c:v>
                </c:pt>
                <c:pt idx="188">
                  <c:v>-5.216065050259731</c:v>
                </c:pt>
                <c:pt idx="189">
                  <c:v>-0.76550754365693363</c:v>
                </c:pt>
                <c:pt idx="190">
                  <c:v>-4.0689442842399046</c:v>
                </c:pt>
                <c:pt idx="191">
                  <c:v>-6.5578108421537937</c:v>
                </c:pt>
                <c:pt idx="192">
                  <c:v>-6.6396941794937696</c:v>
                </c:pt>
                <c:pt idx="193">
                  <c:v>-7.264804315188937</c:v>
                </c:pt>
                <c:pt idx="194">
                  <c:v>1.746900524070381</c:v>
                </c:pt>
                <c:pt idx="195">
                  <c:v>0.76882984933699561</c:v>
                </c:pt>
                <c:pt idx="196">
                  <c:v>-2.2869583860363734E-3</c:v>
                </c:pt>
                <c:pt idx="197">
                  <c:v>1.8971719999663306</c:v>
                </c:pt>
                <c:pt idx="198">
                  <c:v>0.95376012393069831</c:v>
                </c:pt>
                <c:pt idx="199">
                  <c:v>4.695707167232225</c:v>
                </c:pt>
                <c:pt idx="200">
                  <c:v>6.7522893411582867</c:v>
                </c:pt>
                <c:pt idx="201">
                  <c:v>8.1787831775271886</c:v>
                </c:pt>
                <c:pt idx="202">
                  <c:v>6.3429734801025717</c:v>
                </c:pt>
                <c:pt idx="203">
                  <c:v>1.0127536768944072</c:v>
                </c:pt>
                <c:pt idx="204">
                  <c:v>1.696413752734079</c:v>
                </c:pt>
                <c:pt idx="205">
                  <c:v>0.10666518561580021</c:v>
                </c:pt>
                <c:pt idx="206">
                  <c:v>-2.7898122130463201</c:v>
                </c:pt>
                <c:pt idx="207">
                  <c:v>-3.9698325697102499</c:v>
                </c:pt>
                <c:pt idx="208">
                  <c:v>-4.5905088109291752</c:v>
                </c:pt>
                <c:pt idx="209">
                  <c:v>-1.6897661521814056</c:v>
                </c:pt>
                <c:pt idx="210">
                  <c:v>1.3816599307035877</c:v>
                </c:pt>
                <c:pt idx="211">
                  <c:v>-1.3074137270234436</c:v>
                </c:pt>
                <c:pt idx="212">
                  <c:v>-4.497442161892482</c:v>
                </c:pt>
                <c:pt idx="213">
                  <c:v>-6.3101784820679576</c:v>
                </c:pt>
                <c:pt idx="214">
                  <c:v>-5.6940352992867513</c:v>
                </c:pt>
                <c:pt idx="215">
                  <c:v>2.9950654067739646</c:v>
                </c:pt>
                <c:pt idx="216">
                  <c:v>3.6893158420538965</c:v>
                </c:pt>
                <c:pt idx="217">
                  <c:v>3.2182424993800258</c:v>
                </c:pt>
                <c:pt idx="218">
                  <c:v>-1.4425280416219635</c:v>
                </c:pt>
                <c:pt idx="219">
                  <c:v>-1.568848202503963</c:v>
                </c:pt>
                <c:pt idx="220">
                  <c:v>-3.4794604936497233</c:v>
                </c:pt>
                <c:pt idx="221">
                  <c:v>-3.8076942585420026</c:v>
                </c:pt>
                <c:pt idx="222">
                  <c:v>-5.9431083022961335</c:v>
                </c:pt>
                <c:pt idx="223">
                  <c:v>-6.7922429308706693</c:v>
                </c:pt>
                <c:pt idx="224">
                  <c:v>-6.7103228217919462</c:v>
                </c:pt>
                <c:pt idx="225">
                  <c:v>-2.427412146996375</c:v>
                </c:pt>
                <c:pt idx="226">
                  <c:v>1.2240107458114502</c:v>
                </c:pt>
                <c:pt idx="227">
                  <c:v>-1.0659807397285024</c:v>
                </c:pt>
                <c:pt idx="228">
                  <c:v>-0.92613124001205327</c:v>
                </c:pt>
                <c:pt idx="229">
                  <c:v>-0.37446473429226895</c:v>
                </c:pt>
                <c:pt idx="230">
                  <c:v>-1.9423825629240437</c:v>
                </c:pt>
                <c:pt idx="231">
                  <c:v>-6.7362739952590872E-2</c:v>
                </c:pt>
                <c:pt idx="232">
                  <c:v>-2.1273253288385012</c:v>
                </c:pt>
                <c:pt idx="233">
                  <c:v>-2.040699204433964</c:v>
                </c:pt>
                <c:pt idx="234">
                  <c:v>-2.8659174899739477</c:v>
                </c:pt>
                <c:pt idx="235">
                  <c:v>-4.3212528248872593</c:v>
                </c:pt>
                <c:pt idx="236">
                  <c:v>-5.1471722123707941</c:v>
                </c:pt>
                <c:pt idx="237">
                  <c:v>-5.2269806934363467</c:v>
                </c:pt>
                <c:pt idx="238">
                  <c:v>-3.7256800476363505</c:v>
                </c:pt>
                <c:pt idx="239">
                  <c:v>-3.2044781922256842</c:v>
                </c:pt>
                <c:pt idx="240">
                  <c:v>-4.9309032953721594</c:v>
                </c:pt>
                <c:pt idx="241">
                  <c:v>-6.3554039707595864</c:v>
                </c:pt>
                <c:pt idx="242">
                  <c:v>-6.3668459560290644</c:v>
                </c:pt>
                <c:pt idx="243">
                  <c:v>-5.2723421633410039</c:v>
                </c:pt>
                <c:pt idx="244">
                  <c:v>-7.2303676119551614</c:v>
                </c:pt>
                <c:pt idx="245">
                  <c:v>-5.8619567336012262</c:v>
                </c:pt>
                <c:pt idx="246">
                  <c:v>-3.6152632979486441</c:v>
                </c:pt>
                <c:pt idx="247">
                  <c:v>-3.0274586287376675</c:v>
                </c:pt>
                <c:pt idx="248">
                  <c:v>-2.9651160702900436</c:v>
                </c:pt>
                <c:pt idx="249">
                  <c:v>-1.1036223966316994</c:v>
                </c:pt>
                <c:pt idx="250">
                  <c:v>5.8505680521534345</c:v>
                </c:pt>
                <c:pt idx="251">
                  <c:v>1.6438936803337274</c:v>
                </c:pt>
                <c:pt idx="252">
                  <c:v>0.36132111356012386</c:v>
                </c:pt>
                <c:pt idx="253">
                  <c:v>-1.6198682024045685</c:v>
                </c:pt>
                <c:pt idx="254">
                  <c:v>-4.5821916875662891</c:v>
                </c:pt>
                <c:pt idx="255">
                  <c:v>-3.3824679667323583</c:v>
                </c:pt>
                <c:pt idx="256">
                  <c:v>-2.7834616141675941</c:v>
                </c:pt>
                <c:pt idx="257">
                  <c:v>-5.146029464509744</c:v>
                </c:pt>
                <c:pt idx="258">
                  <c:v>-5.5765271791745921</c:v>
                </c:pt>
                <c:pt idx="259">
                  <c:v>-4.6675685108058262</c:v>
                </c:pt>
                <c:pt idx="260">
                  <c:v>-6.1642102233900351</c:v>
                </c:pt>
                <c:pt idx="261">
                  <c:v>-5.7376714102143369</c:v>
                </c:pt>
                <c:pt idx="262">
                  <c:v>-6.3605413060978115</c:v>
                </c:pt>
                <c:pt idx="263">
                  <c:v>-6.5359199556324423</c:v>
                </c:pt>
                <c:pt idx="264">
                  <c:v>-5.6934181087559077</c:v>
                </c:pt>
                <c:pt idx="265">
                  <c:v>-6.7601994645966226</c:v>
                </c:pt>
                <c:pt idx="266">
                  <c:v>-6.8149721096917197</c:v>
                </c:pt>
                <c:pt idx="267">
                  <c:v>-5.8551227345079937</c:v>
                </c:pt>
                <c:pt idx="268">
                  <c:v>-5.5064286444787944</c:v>
                </c:pt>
                <c:pt idx="269">
                  <c:v>-6.0772861189505551</c:v>
                </c:pt>
                <c:pt idx="270">
                  <c:v>-5.3532721899523583</c:v>
                </c:pt>
                <c:pt idx="271">
                  <c:v>-5.2367061480026491</c:v>
                </c:pt>
                <c:pt idx="272">
                  <c:v>-4.7367021689276481</c:v>
                </c:pt>
                <c:pt idx="273">
                  <c:v>-4.7457932072585782</c:v>
                </c:pt>
                <c:pt idx="274">
                  <c:v>-4.7991691550943898</c:v>
                </c:pt>
                <c:pt idx="275">
                  <c:v>-4.170428997382019</c:v>
                </c:pt>
                <c:pt idx="276">
                  <c:v>-3.6503090950493227</c:v>
                </c:pt>
                <c:pt idx="277">
                  <c:v>-4.4215099605387911</c:v>
                </c:pt>
                <c:pt idx="278">
                  <c:v>-5.0433339051160164</c:v>
                </c:pt>
                <c:pt idx="279">
                  <c:v>-4.0140236803614213</c:v>
                </c:pt>
                <c:pt idx="280">
                  <c:v>-2.9229385164256882</c:v>
                </c:pt>
                <c:pt idx="281">
                  <c:v>-4.095896362596168</c:v>
                </c:pt>
                <c:pt idx="282">
                  <c:v>-4.3596204621317334</c:v>
                </c:pt>
                <c:pt idx="283">
                  <c:v>-4.3030332053060043</c:v>
                </c:pt>
                <c:pt idx="284">
                  <c:v>-4.2972007497139675</c:v>
                </c:pt>
                <c:pt idx="285">
                  <c:v>-1.8265720991101229</c:v>
                </c:pt>
                <c:pt idx="286">
                  <c:v>-3.7361899572336053</c:v>
                </c:pt>
                <c:pt idx="287">
                  <c:v>-3.7265901868966735</c:v>
                </c:pt>
                <c:pt idx="288">
                  <c:v>-3.0738148970253949</c:v>
                </c:pt>
                <c:pt idx="289">
                  <c:v>-4.0396611589821045</c:v>
                </c:pt>
                <c:pt idx="290">
                  <c:v>-3.5530284168298358</c:v>
                </c:pt>
                <c:pt idx="291">
                  <c:v>-3.68642190270387</c:v>
                </c:pt>
                <c:pt idx="292">
                  <c:v>-4.0480652719293664</c:v>
                </c:pt>
                <c:pt idx="293">
                  <c:v>-3.9744131641626925</c:v>
                </c:pt>
                <c:pt idx="294">
                  <c:v>-4.5985623118970285</c:v>
                </c:pt>
                <c:pt idx="295">
                  <c:v>-3.3112790936728462</c:v>
                </c:pt>
                <c:pt idx="296">
                  <c:v>-2.7578398654442684</c:v>
                </c:pt>
                <c:pt idx="297">
                  <c:v>-2.5857481908925464</c:v>
                </c:pt>
                <c:pt idx="298">
                  <c:v>-3.2538021441530782</c:v>
                </c:pt>
                <c:pt idx="299">
                  <c:v>-2.9285395157936445</c:v>
                </c:pt>
                <c:pt idx="300">
                  <c:v>-3.0392817271723578</c:v>
                </c:pt>
                <c:pt idx="301">
                  <c:v>-2.9722774065052651</c:v>
                </c:pt>
                <c:pt idx="302">
                  <c:v>-2.0846691207053745</c:v>
                </c:pt>
                <c:pt idx="303">
                  <c:v>-2.176020347284723</c:v>
                </c:pt>
                <c:pt idx="304">
                  <c:v>0.15523810456583259</c:v>
                </c:pt>
                <c:pt idx="305">
                  <c:v>0.87252555836307422</c:v>
                </c:pt>
                <c:pt idx="306">
                  <c:v>-0.47017566410852663</c:v>
                </c:pt>
                <c:pt idx="307">
                  <c:v>-0.17648510999082426</c:v>
                </c:pt>
                <c:pt idx="308">
                  <c:v>0.67912133331685354</c:v>
                </c:pt>
                <c:pt idx="309">
                  <c:v>0.25975642197599991</c:v>
                </c:pt>
                <c:pt idx="310">
                  <c:v>0.1638967934935944</c:v>
                </c:pt>
                <c:pt idx="311">
                  <c:v>5.6725127624167086E-2</c:v>
                </c:pt>
                <c:pt idx="312">
                  <c:v>0.19739274574580346</c:v>
                </c:pt>
                <c:pt idx="313">
                  <c:v>0.77306949422703974</c:v>
                </c:pt>
                <c:pt idx="314">
                  <c:v>-0.16058465472239924</c:v>
                </c:pt>
                <c:pt idx="315">
                  <c:v>0.98927351581451439</c:v>
                </c:pt>
                <c:pt idx="316">
                  <c:v>0.87344177389595024</c:v>
                </c:pt>
                <c:pt idx="317">
                  <c:v>1.0828702549800002</c:v>
                </c:pt>
                <c:pt idx="318">
                  <c:v>2.5694200734260355</c:v>
                </c:pt>
                <c:pt idx="319">
                  <c:v>3.6474514848739314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'240828B013'!$A$2:$A$321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'240828B013'!$J$2:$J$321</c:f>
              <c:numCache>
                <c:formatCode>0.0</c:formatCode>
                <c:ptCount val="320"/>
                <c:pt idx="0">
                  <c:v>1202.1342993348499</c:v>
                </c:pt>
                <c:pt idx="1">
                  <c:v>1063.94636618867</c:v>
                </c:pt>
                <c:pt idx="2">
                  <c:v>1102.22413559198</c:v>
                </c:pt>
                <c:pt idx="3">
                  <c:v>1047.6533002958399</c:v>
                </c:pt>
                <c:pt idx="4">
                  <c:v>1068.9864389214599</c:v>
                </c:pt>
                <c:pt idx="5">
                  <c:v>1112.3789621450101</c:v>
                </c:pt>
                <c:pt idx="6">
                  <c:v>940.49160181647994</c:v>
                </c:pt>
                <c:pt idx="7">
                  <c:v>774.12039720373991</c:v>
                </c:pt>
                <c:pt idx="8">
                  <c:v>1635.82933264552</c:v>
                </c:pt>
                <c:pt idx="9">
                  <c:v>1704.5196710036498</c:v>
                </c:pt>
                <c:pt idx="10">
                  <c:v>1769.6578567905299</c:v>
                </c:pt>
                <c:pt idx="11">
                  <c:v>1709.6979622813901</c:v>
                </c:pt>
                <c:pt idx="12">
                  <c:v>1336.9761659014598</c:v>
                </c:pt>
                <c:pt idx="13">
                  <c:v>1435.3789094220301</c:v>
                </c:pt>
                <c:pt idx="14">
                  <c:v>1226.2261450309002</c:v>
                </c:pt>
                <c:pt idx="15">
                  <c:v>1592.48458998976</c:v>
                </c:pt>
                <c:pt idx="16">
                  <c:v>1296.9167115698201</c:v>
                </c:pt>
                <c:pt idx="17">
                  <c:v>1389.9347626455799</c:v>
                </c:pt>
                <c:pt idx="18">
                  <c:v>1666.4608659355702</c:v>
                </c:pt>
                <c:pt idx="19">
                  <c:v>2226.8623344277598</c:v>
                </c:pt>
                <c:pt idx="20">
                  <c:v>2159.3145779086399</c:v>
                </c:pt>
                <c:pt idx="21">
                  <c:v>1888.88374403896</c:v>
                </c:pt>
                <c:pt idx="22">
                  <c:v>1891.5299773905999</c:v>
                </c:pt>
                <c:pt idx="23">
                  <c:v>1612.7907301503099</c:v>
                </c:pt>
                <c:pt idx="24">
                  <c:v>1632.5791402928501</c:v>
                </c:pt>
                <c:pt idx="25">
                  <c:v>1321.1177515351601</c:v>
                </c:pt>
                <c:pt idx="26">
                  <c:v>1331.87128956073</c:v>
                </c:pt>
                <c:pt idx="27">
                  <c:v>1698.1850165328299</c:v>
                </c:pt>
                <c:pt idx="28">
                  <c:v>1838.5522720831</c:v>
                </c:pt>
                <c:pt idx="29">
                  <c:v>1991.6978649032001</c:v>
                </c:pt>
                <c:pt idx="30">
                  <c:v>1993.9179688238401</c:v>
                </c:pt>
                <c:pt idx="31">
                  <c:v>2099.0246669815297</c:v>
                </c:pt>
                <c:pt idx="32">
                  <c:v>2144.6871037450101</c:v>
                </c:pt>
                <c:pt idx="33">
                  <c:v>2134.6732378751003</c:v>
                </c:pt>
                <c:pt idx="34">
                  <c:v>1875.73030845734</c:v>
                </c:pt>
                <c:pt idx="35">
                  <c:v>1808.83471894186</c:v>
                </c:pt>
                <c:pt idx="36">
                  <c:v>1510.3261029759501</c:v>
                </c:pt>
                <c:pt idx="37">
                  <c:v>1460.1039540090301</c:v>
                </c:pt>
                <c:pt idx="38">
                  <c:v>1577.69717679205</c:v>
                </c:pt>
                <c:pt idx="39">
                  <c:v>1564.3232914658799</c:v>
                </c:pt>
                <c:pt idx="40">
                  <c:v>1609.6721284104001</c:v>
                </c:pt>
                <c:pt idx="41">
                  <c:v>1768.2562396507901</c:v>
                </c:pt>
                <c:pt idx="42">
                  <c:v>1791.5521413517999</c:v>
                </c:pt>
                <c:pt idx="43">
                  <c:v>1779.0951264489399</c:v>
                </c:pt>
                <c:pt idx="44">
                  <c:v>1771.8105263158</c:v>
                </c:pt>
                <c:pt idx="45">
                  <c:v>1775.8960796186002</c:v>
                </c:pt>
                <c:pt idx="46">
                  <c:v>1732.05766290775</c:v>
                </c:pt>
                <c:pt idx="47">
                  <c:v>1730.45135941331</c:v>
                </c:pt>
                <c:pt idx="48">
                  <c:v>1787.9603516550098</c:v>
                </c:pt>
                <c:pt idx="49">
                  <c:v>1809.25796055245</c:v>
                </c:pt>
                <c:pt idx="50">
                  <c:v>1854.4767294283499</c:v>
                </c:pt>
                <c:pt idx="51">
                  <c:v>1980.7806822898601</c:v>
                </c:pt>
                <c:pt idx="52">
                  <c:v>1966.5430582286501</c:v>
                </c:pt>
                <c:pt idx="53">
                  <c:v>1982.8196762141899</c:v>
                </c:pt>
                <c:pt idx="54">
                  <c:v>2011.3150628091098</c:v>
                </c:pt>
                <c:pt idx="55">
                  <c:v>2096.7992859424999</c:v>
                </c:pt>
                <c:pt idx="56">
                  <c:v>2078.5631283236899</c:v>
                </c:pt>
                <c:pt idx="57">
                  <c:v>1996.9174624650002</c:v>
                </c:pt>
                <c:pt idx="58">
                  <c:v>2046.40618975138</c:v>
                </c:pt>
                <c:pt idx="59">
                  <c:v>2006.7843133514198</c:v>
                </c:pt>
                <c:pt idx="60">
                  <c:v>1805.32549318885</c:v>
                </c:pt>
                <c:pt idx="61">
                  <c:v>1771.0881837538</c:v>
                </c:pt>
                <c:pt idx="62">
                  <c:v>1788.8221797215201</c:v>
                </c:pt>
                <c:pt idx="63">
                  <c:v>1842.6021027115701</c:v>
                </c:pt>
                <c:pt idx="64">
                  <c:v>1823.9797376778099</c:v>
                </c:pt>
                <c:pt idx="65">
                  <c:v>1855.23776236921</c:v>
                </c:pt>
                <c:pt idx="66">
                  <c:v>1842.76094105264</c:v>
                </c:pt>
                <c:pt idx="67">
                  <c:v>1825.0035289474699</c:v>
                </c:pt>
                <c:pt idx="68">
                  <c:v>1812.0028505928201</c:v>
                </c:pt>
                <c:pt idx="69">
                  <c:v>1782.80963789764</c:v>
                </c:pt>
                <c:pt idx="70">
                  <c:v>1824.88104865378</c:v>
                </c:pt>
                <c:pt idx="71">
                  <c:v>1795.1029759092801</c:v>
                </c:pt>
                <c:pt idx="72">
                  <c:v>1801.0585923476401</c:v>
                </c:pt>
                <c:pt idx="73">
                  <c:v>1817.53768540386</c:v>
                </c:pt>
                <c:pt idx="74">
                  <c:v>1700.0573075105999</c:v>
                </c:pt>
                <c:pt idx="75">
                  <c:v>1757.46647975311</c:v>
                </c:pt>
                <c:pt idx="76">
                  <c:v>1744.88764488937</c:v>
                </c:pt>
                <c:pt idx="77">
                  <c:v>1738.6494543127901</c:v>
                </c:pt>
                <c:pt idx="78">
                  <c:v>1810.43387023931</c:v>
                </c:pt>
                <c:pt idx="79">
                  <c:v>1799.57613653466</c:v>
                </c:pt>
                <c:pt idx="80">
                  <c:v>1875.21672813491</c:v>
                </c:pt>
                <c:pt idx="81">
                  <c:v>1790.58050203217</c:v>
                </c:pt>
                <c:pt idx="82">
                  <c:v>1751.5517687791601</c:v>
                </c:pt>
                <c:pt idx="83">
                  <c:v>1710.3945581815099</c:v>
                </c:pt>
                <c:pt idx="84">
                  <c:v>1852.4433125094401</c:v>
                </c:pt>
                <c:pt idx="85">
                  <c:v>1830.81207662204</c:v>
                </c:pt>
                <c:pt idx="86">
                  <c:v>1769.24100933313</c:v>
                </c:pt>
                <c:pt idx="87">
                  <c:v>1742.34431732648</c:v>
                </c:pt>
                <c:pt idx="88">
                  <c:v>1863.9992962516599</c:v>
                </c:pt>
                <c:pt idx="89">
                  <c:v>1858.7386647598601</c:v>
                </c:pt>
                <c:pt idx="90">
                  <c:v>1830.7211952431501</c:v>
                </c:pt>
                <c:pt idx="91">
                  <c:v>1885.0742247478199</c:v>
                </c:pt>
                <c:pt idx="92">
                  <c:v>1813.3876034924201</c:v>
                </c:pt>
                <c:pt idx="93">
                  <c:v>1758.4416942646301</c:v>
                </c:pt>
                <c:pt idx="94">
                  <c:v>1764.9431393948701</c:v>
                </c:pt>
                <c:pt idx="95">
                  <c:v>1886.8781612223902</c:v>
                </c:pt>
                <c:pt idx="96">
                  <c:v>1799.85614556673</c:v>
                </c:pt>
                <c:pt idx="97">
                  <c:v>1757.32081514373</c:v>
                </c:pt>
                <c:pt idx="98">
                  <c:v>1816.08130362785</c:v>
                </c:pt>
                <c:pt idx="99">
                  <c:v>1777.72534999253</c:v>
                </c:pt>
                <c:pt idx="100">
                  <c:v>1729.0686775553099</c:v>
                </c:pt>
                <c:pt idx="101">
                  <c:v>1702.22713758842</c:v>
                </c:pt>
                <c:pt idx="102">
                  <c:v>1901.0934216468399</c:v>
                </c:pt>
                <c:pt idx="103">
                  <c:v>1757.7864556676</c:v>
                </c:pt>
                <c:pt idx="104">
                  <c:v>1705.12086030407</c:v>
                </c:pt>
                <c:pt idx="105">
                  <c:v>1654.5708828842901</c:v>
                </c:pt>
                <c:pt idx="106">
                  <c:v>1715.1666867379602</c:v>
                </c:pt>
                <c:pt idx="107">
                  <c:v>1695.3381830498099</c:v>
                </c:pt>
                <c:pt idx="108">
                  <c:v>1688.4472151136399</c:v>
                </c:pt>
                <c:pt idx="109">
                  <c:v>1819.39797154898</c:v>
                </c:pt>
                <c:pt idx="110">
                  <c:v>1773.7755532138899</c:v>
                </c:pt>
                <c:pt idx="111">
                  <c:v>1677.8099390336199</c:v>
                </c:pt>
                <c:pt idx="112">
                  <c:v>1635.8280219779999</c:v>
                </c:pt>
                <c:pt idx="113">
                  <c:v>1793.33473957555</c:v>
                </c:pt>
                <c:pt idx="114">
                  <c:v>1633.6903545085099</c:v>
                </c:pt>
                <c:pt idx="115">
                  <c:v>1641.45557353601</c:v>
                </c:pt>
                <c:pt idx="116">
                  <c:v>1668.95417732949</c:v>
                </c:pt>
                <c:pt idx="117">
                  <c:v>1764.3825718801399</c:v>
                </c:pt>
                <c:pt idx="118">
                  <c:v>1639.1708603040699</c:v>
                </c:pt>
                <c:pt idx="119">
                  <c:v>1654.4329670330001</c:v>
                </c:pt>
                <c:pt idx="120">
                  <c:v>1652.8219215715999</c:v>
                </c:pt>
                <c:pt idx="121">
                  <c:v>1656.1728398313599</c:v>
                </c:pt>
                <c:pt idx="122">
                  <c:v>1658.9392029204</c:v>
                </c:pt>
                <c:pt idx="123">
                  <c:v>1671.4161824477001</c:v>
                </c:pt>
                <c:pt idx="124">
                  <c:v>1664.43220307088</c:v>
                </c:pt>
                <c:pt idx="125">
                  <c:v>1647.8076057504102</c:v>
                </c:pt>
                <c:pt idx="126">
                  <c:v>1679.3701136214202</c:v>
                </c:pt>
                <c:pt idx="127">
                  <c:v>1655.7707693467401</c:v>
                </c:pt>
                <c:pt idx="128">
                  <c:v>1707.62421473119</c:v>
                </c:pt>
                <c:pt idx="129">
                  <c:v>1678.89085376196</c:v>
                </c:pt>
                <c:pt idx="130">
                  <c:v>1758.63119395584</c:v>
                </c:pt>
                <c:pt idx="131">
                  <c:v>1829.9993932918601</c:v>
                </c:pt>
                <c:pt idx="132">
                  <c:v>1813.57675430227</c:v>
                </c:pt>
                <c:pt idx="133">
                  <c:v>1653.0971763269602</c:v>
                </c:pt>
                <c:pt idx="134">
                  <c:v>1803.50945356019</c:v>
                </c:pt>
                <c:pt idx="135">
                  <c:v>1805.1267349088801</c:v>
                </c:pt>
                <c:pt idx="136">
                  <c:v>1795.21102664456</c:v>
                </c:pt>
                <c:pt idx="137">
                  <c:v>1755.4308332078699</c:v>
                </c:pt>
                <c:pt idx="138">
                  <c:v>1840.5439221737199</c:v>
                </c:pt>
                <c:pt idx="139">
                  <c:v>1802.90674394095</c:v>
                </c:pt>
                <c:pt idx="140">
                  <c:v>1754.08486752978</c:v>
                </c:pt>
                <c:pt idx="141">
                  <c:v>1729.8476215565602</c:v>
                </c:pt>
                <c:pt idx="142">
                  <c:v>1742.9687791660399</c:v>
                </c:pt>
                <c:pt idx="143">
                  <c:v>1768.0251430076801</c:v>
                </c:pt>
                <c:pt idx="144">
                  <c:v>1727.1938807767701</c:v>
                </c:pt>
                <c:pt idx="145">
                  <c:v>1708.01198253798</c:v>
                </c:pt>
                <c:pt idx="146">
                  <c:v>1771.0585315369399</c:v>
                </c:pt>
                <c:pt idx="147">
                  <c:v>1805.4766746952</c:v>
                </c:pt>
                <c:pt idx="148">
                  <c:v>1789.0941210045298</c:v>
                </c:pt>
                <c:pt idx="149">
                  <c:v>1783.6380753614401</c:v>
                </c:pt>
                <c:pt idx="150">
                  <c:v>1786.4878685538999</c:v>
                </c:pt>
                <c:pt idx="151">
                  <c:v>1726.8505293515</c:v>
                </c:pt>
                <c:pt idx="152">
                  <c:v>1667.9975562555001</c:v>
                </c:pt>
                <c:pt idx="153">
                  <c:v>1754.30358359194</c:v>
                </c:pt>
                <c:pt idx="154">
                  <c:v>1725.6959093317</c:v>
                </c:pt>
                <c:pt idx="155">
                  <c:v>1734.58201392567</c:v>
                </c:pt>
                <c:pt idx="156">
                  <c:v>1779.39560281537</c:v>
                </c:pt>
                <c:pt idx="157">
                  <c:v>1744.2628044139801</c:v>
                </c:pt>
                <c:pt idx="158">
                  <c:v>1718.5732115676899</c:v>
                </c:pt>
                <c:pt idx="159">
                  <c:v>1653.47876712329</c:v>
                </c:pt>
                <c:pt idx="160">
                  <c:v>1738.98769020601</c:v>
                </c:pt>
                <c:pt idx="161">
                  <c:v>1741.0401320532801</c:v>
                </c:pt>
                <c:pt idx="162">
                  <c:v>1721.78318665343</c:v>
                </c:pt>
                <c:pt idx="163">
                  <c:v>1633.5514578709999</c:v>
                </c:pt>
                <c:pt idx="164">
                  <c:v>1782.40538432272</c:v>
                </c:pt>
                <c:pt idx="165">
                  <c:v>1817.5160197868699</c:v>
                </c:pt>
                <c:pt idx="166">
                  <c:v>1819.1214802131301</c:v>
                </c:pt>
                <c:pt idx="167">
                  <c:v>1896.8458523591901</c:v>
                </c:pt>
                <c:pt idx="168">
                  <c:v>1760.1176560121901</c:v>
                </c:pt>
                <c:pt idx="169">
                  <c:v>1602.69155251138</c:v>
                </c:pt>
                <c:pt idx="170">
                  <c:v>1657.87012412018</c:v>
                </c:pt>
                <c:pt idx="171">
                  <c:v>1746.1260894075101</c:v>
                </c:pt>
                <c:pt idx="172">
                  <c:v>1774.4964556913899</c:v>
                </c:pt>
                <c:pt idx="173">
                  <c:v>1648.56253771345</c:v>
                </c:pt>
                <c:pt idx="174">
                  <c:v>1582.33808818842</c:v>
                </c:pt>
                <c:pt idx="175">
                  <c:v>1644.82491773168</c:v>
                </c:pt>
                <c:pt idx="176">
                  <c:v>1648.44707277877</c:v>
                </c:pt>
                <c:pt idx="177">
                  <c:v>1648.5711754802301</c:v>
                </c:pt>
                <c:pt idx="178">
                  <c:v>1619.9848817631901</c:v>
                </c:pt>
                <c:pt idx="179">
                  <c:v>1603.3114257289101</c:v>
                </c:pt>
                <c:pt idx="180">
                  <c:v>1589.70952832695</c:v>
                </c:pt>
                <c:pt idx="181">
                  <c:v>1559.8909573862102</c:v>
                </c:pt>
                <c:pt idx="182">
                  <c:v>1612.66665783703</c:v>
                </c:pt>
                <c:pt idx="183">
                  <c:v>1572.9384963716998</c:v>
                </c:pt>
                <c:pt idx="184">
                  <c:v>1554.5884215312601</c:v>
                </c:pt>
                <c:pt idx="185">
                  <c:v>1534.0467856534299</c:v>
                </c:pt>
                <c:pt idx="186">
                  <c:v>1613.33637810491</c:v>
                </c:pt>
                <c:pt idx="187">
                  <c:v>1612.5751655878</c:v>
                </c:pt>
                <c:pt idx="188">
                  <c:v>1621.8143496913699</c:v>
                </c:pt>
                <c:pt idx="189">
                  <c:v>1597.67174469365</c:v>
                </c:pt>
                <c:pt idx="190">
                  <c:v>1633.72720909226</c:v>
                </c:pt>
                <c:pt idx="191">
                  <c:v>1616.3157346078299</c:v>
                </c:pt>
                <c:pt idx="192">
                  <c:v>1635.1363766370901</c:v>
                </c:pt>
                <c:pt idx="193">
                  <c:v>1654.1980957399301</c:v>
                </c:pt>
                <c:pt idx="194">
                  <c:v>1589.00868604584</c:v>
                </c:pt>
                <c:pt idx="195">
                  <c:v>1519.71910123155</c:v>
                </c:pt>
                <c:pt idx="196">
                  <c:v>1671.0794821616801</c:v>
                </c:pt>
                <c:pt idx="197">
                  <c:v>1688.6865648051</c:v>
                </c:pt>
                <c:pt idx="198">
                  <c:v>1673.49620696799</c:v>
                </c:pt>
                <c:pt idx="199">
                  <c:v>1746.70216690848</c:v>
                </c:pt>
                <c:pt idx="200">
                  <c:v>2014.5178082191801</c:v>
                </c:pt>
                <c:pt idx="201">
                  <c:v>1857.57665525111</c:v>
                </c:pt>
                <c:pt idx="202">
                  <c:v>1837.4872907153499</c:v>
                </c:pt>
                <c:pt idx="203">
                  <c:v>1582.38915525111</c:v>
                </c:pt>
                <c:pt idx="204">
                  <c:v>1612.4337328767101</c:v>
                </c:pt>
                <c:pt idx="205">
                  <c:v>1624.8765946951198</c:v>
                </c:pt>
                <c:pt idx="206">
                  <c:v>1575.85936708141</c:v>
                </c:pt>
                <c:pt idx="207">
                  <c:v>1601.6189951797901</c:v>
                </c:pt>
                <c:pt idx="208">
                  <c:v>1641.3652752110199</c:v>
                </c:pt>
                <c:pt idx="209">
                  <c:v>1622.2629165317001</c:v>
                </c:pt>
                <c:pt idx="210">
                  <c:v>1576.4309657629199</c:v>
                </c:pt>
                <c:pt idx="211">
                  <c:v>1533.8326671366701</c:v>
                </c:pt>
                <c:pt idx="212">
                  <c:v>1603.0129765465699</c:v>
                </c:pt>
                <c:pt idx="213">
                  <c:v>1563.50901175531</c:v>
                </c:pt>
                <c:pt idx="214">
                  <c:v>1561.84810143461</c:v>
                </c:pt>
                <c:pt idx="215">
                  <c:v>1579.1954884066699</c:v>
                </c:pt>
                <c:pt idx="216">
                  <c:v>1565.6444471964901</c:v>
                </c:pt>
                <c:pt idx="217">
                  <c:v>1613.87970354563</c:v>
                </c:pt>
                <c:pt idx="218">
                  <c:v>1545.9958218225199</c:v>
                </c:pt>
                <c:pt idx="219">
                  <c:v>1548.3848062839099</c:v>
                </c:pt>
                <c:pt idx="220">
                  <c:v>1459.99061207457</c:v>
                </c:pt>
                <c:pt idx="221">
                  <c:v>1556.4246082040402</c:v>
                </c:pt>
                <c:pt idx="222">
                  <c:v>1527.1426365120201</c:v>
                </c:pt>
                <c:pt idx="223">
                  <c:v>1469.32762493837</c:v>
                </c:pt>
                <c:pt idx="224">
                  <c:v>1461.5695973893398</c:v>
                </c:pt>
                <c:pt idx="225">
                  <c:v>1536.83162448296</c:v>
                </c:pt>
                <c:pt idx="226">
                  <c:v>1530.43491063639</c:v>
                </c:pt>
                <c:pt idx="227">
                  <c:v>1491.60336963536</c:v>
                </c:pt>
                <c:pt idx="228">
                  <c:v>1504.2401358479299</c:v>
                </c:pt>
                <c:pt idx="229">
                  <c:v>1406.6765112131998</c:v>
                </c:pt>
                <c:pt idx="230">
                  <c:v>1438.3332191780801</c:v>
                </c:pt>
                <c:pt idx="231">
                  <c:v>1453.3471270928701</c:v>
                </c:pt>
                <c:pt idx="232">
                  <c:v>1424.39654688272</c:v>
                </c:pt>
                <c:pt idx="233">
                  <c:v>1390.69680492315</c:v>
                </c:pt>
                <c:pt idx="234">
                  <c:v>1351.94135309692</c:v>
                </c:pt>
                <c:pt idx="235">
                  <c:v>1366.8800083829901</c:v>
                </c:pt>
                <c:pt idx="236">
                  <c:v>1350.9654676396501</c:v>
                </c:pt>
                <c:pt idx="237">
                  <c:v>1350.7214472154899</c:v>
                </c:pt>
                <c:pt idx="238">
                  <c:v>1230.02239345508</c:v>
                </c:pt>
                <c:pt idx="239">
                  <c:v>1261.7568112632998</c:v>
                </c:pt>
                <c:pt idx="240">
                  <c:v>1349.0955859969799</c:v>
                </c:pt>
                <c:pt idx="241">
                  <c:v>1312.7001712328799</c:v>
                </c:pt>
                <c:pt idx="242">
                  <c:v>1480.50020899435</c:v>
                </c:pt>
                <c:pt idx="243">
                  <c:v>1478.1955313206499</c:v>
                </c:pt>
                <c:pt idx="244">
                  <c:v>1507.1534189576998</c:v>
                </c:pt>
                <c:pt idx="245">
                  <c:v>1508.04641954668</c:v>
                </c:pt>
                <c:pt idx="246">
                  <c:v>1496.50898865727</c:v>
                </c:pt>
                <c:pt idx="247">
                  <c:v>1519.36186232972</c:v>
                </c:pt>
                <c:pt idx="248">
                  <c:v>1462.2098911329199</c:v>
                </c:pt>
                <c:pt idx="249">
                  <c:v>1456.93344099708</c:v>
                </c:pt>
                <c:pt idx="250">
                  <c:v>1417.5580358330099</c:v>
                </c:pt>
                <c:pt idx="251">
                  <c:v>1455.8507878141099</c:v>
                </c:pt>
                <c:pt idx="252">
                  <c:v>1463.14661344719</c:v>
                </c:pt>
                <c:pt idx="253">
                  <c:v>1442.0202164345799</c:v>
                </c:pt>
                <c:pt idx="254">
                  <c:v>1439.3066626022201</c:v>
                </c:pt>
                <c:pt idx="255">
                  <c:v>1400.48684626671</c:v>
                </c:pt>
                <c:pt idx="256">
                  <c:v>1387.82656276797</c:v>
                </c:pt>
                <c:pt idx="257">
                  <c:v>1381.11938765785</c:v>
                </c:pt>
                <c:pt idx="258">
                  <c:v>1383.2156419684802</c:v>
                </c:pt>
                <c:pt idx="259">
                  <c:v>1368.30112408786</c:v>
                </c:pt>
                <c:pt idx="260">
                  <c:v>1418.21543077099</c:v>
                </c:pt>
                <c:pt idx="261">
                  <c:v>1399.21727234995</c:v>
                </c:pt>
                <c:pt idx="262">
                  <c:v>1383.9433072946001</c:v>
                </c:pt>
                <c:pt idx="263">
                  <c:v>1367.1903203894701</c:v>
                </c:pt>
                <c:pt idx="264">
                  <c:v>1349.4066002491199</c:v>
                </c:pt>
                <c:pt idx="265">
                  <c:v>1410.7888297671702</c:v>
                </c:pt>
                <c:pt idx="266">
                  <c:v>1414.1702026491798</c:v>
                </c:pt>
                <c:pt idx="267">
                  <c:v>1410.0765538322501</c:v>
                </c:pt>
                <c:pt idx="268">
                  <c:v>1381.9356994604</c:v>
                </c:pt>
                <c:pt idx="269">
                  <c:v>1367.6563870334599</c:v>
                </c:pt>
                <c:pt idx="270">
                  <c:v>1386.64174119774</c:v>
                </c:pt>
                <c:pt idx="271">
                  <c:v>1462.0968225215699</c:v>
                </c:pt>
                <c:pt idx="272">
                  <c:v>1305.5167478018</c:v>
                </c:pt>
                <c:pt idx="273">
                  <c:v>1356.4148307483802</c:v>
                </c:pt>
                <c:pt idx="274">
                  <c:v>1414.4361537143</c:v>
                </c:pt>
                <c:pt idx="275">
                  <c:v>1274.0882008878102</c:v>
                </c:pt>
                <c:pt idx="276">
                  <c:v>1251.4257892430098</c:v>
                </c:pt>
                <c:pt idx="277">
                  <c:v>1258.3834625716802</c:v>
                </c:pt>
                <c:pt idx="278">
                  <c:v>1375.65251776634</c:v>
                </c:pt>
                <c:pt idx="279">
                  <c:v>1361.20172614168</c:v>
                </c:pt>
                <c:pt idx="280">
                  <c:v>1340.8374054528001</c:v>
                </c:pt>
                <c:pt idx="281">
                  <c:v>1332.22296568673</c:v>
                </c:pt>
                <c:pt idx="282">
                  <c:v>1321.72289897734</c:v>
                </c:pt>
                <c:pt idx="283">
                  <c:v>1329.9743801653001</c:v>
                </c:pt>
                <c:pt idx="284">
                  <c:v>1338.6861843842701</c:v>
                </c:pt>
                <c:pt idx="285">
                  <c:v>1319.6294237518</c:v>
                </c:pt>
                <c:pt idx="286">
                  <c:v>1366.1740183920101</c:v>
                </c:pt>
                <c:pt idx="287">
                  <c:v>1407.4656732934</c:v>
                </c:pt>
                <c:pt idx="288">
                  <c:v>1591.49970793844</c:v>
                </c:pt>
                <c:pt idx="289">
                  <c:v>1574.06746007723</c:v>
                </c:pt>
                <c:pt idx="290">
                  <c:v>1572.9244683266099</c:v>
                </c:pt>
                <c:pt idx="291">
                  <c:v>1531.26811851964</c:v>
                </c:pt>
                <c:pt idx="292">
                  <c:v>1464.45214939834</c:v>
                </c:pt>
                <c:pt idx="293">
                  <c:v>1564.3485350076501</c:v>
                </c:pt>
                <c:pt idx="294">
                  <c:v>1552.8107876712299</c:v>
                </c:pt>
                <c:pt idx="295">
                  <c:v>1531.0900304413799</c:v>
                </c:pt>
                <c:pt idx="296">
                  <c:v>1542.66073059357</c:v>
                </c:pt>
                <c:pt idx="297">
                  <c:v>1542.2297945205501</c:v>
                </c:pt>
                <c:pt idx="298">
                  <c:v>1541.3217465753401</c:v>
                </c:pt>
                <c:pt idx="299">
                  <c:v>1485.6236681887599</c:v>
                </c:pt>
                <c:pt idx="300">
                  <c:v>1530.8626522069899</c:v>
                </c:pt>
                <c:pt idx="301">
                  <c:v>1516.8108066971199</c:v>
                </c:pt>
                <c:pt idx="302">
                  <c:v>1552.7275494672599</c:v>
                </c:pt>
                <c:pt idx="303">
                  <c:v>1431.94526255711</c:v>
                </c:pt>
                <c:pt idx="304">
                  <c:v>1460.9159436834202</c:v>
                </c:pt>
                <c:pt idx="305">
                  <c:v>1545.8465450692399</c:v>
                </c:pt>
                <c:pt idx="306">
                  <c:v>1525.9186407326101</c:v>
                </c:pt>
                <c:pt idx="307">
                  <c:v>1532.41549231817</c:v>
                </c:pt>
                <c:pt idx="308">
                  <c:v>1463.09493680471</c:v>
                </c:pt>
                <c:pt idx="309">
                  <c:v>1463.6694770301601</c:v>
                </c:pt>
                <c:pt idx="310">
                  <c:v>1458.05478695229</c:v>
                </c:pt>
                <c:pt idx="311">
                  <c:v>1452.22007871034</c:v>
                </c:pt>
                <c:pt idx="312">
                  <c:v>1292.59654885336</c:v>
                </c:pt>
                <c:pt idx="313">
                  <c:v>1336.7458412169799</c:v>
                </c:pt>
                <c:pt idx="314">
                  <c:v>1508.19239007035</c:v>
                </c:pt>
                <c:pt idx="315">
                  <c:v>1515.92501324455</c:v>
                </c:pt>
                <c:pt idx="316">
                  <c:v>1570.2357980776401</c:v>
                </c:pt>
                <c:pt idx="317">
                  <c:v>1633.34088776203</c:v>
                </c:pt>
                <c:pt idx="318">
                  <c:v>1622.32272004842</c:v>
                </c:pt>
                <c:pt idx="319">
                  <c:v>1573.1810111254501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'240828B013'!$A$2:$A$321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'240828B013'!$P$2:$P$321</c:f>
              <c:numCache>
                <c:formatCode>General</c:formatCode>
                <c:ptCount val="320"/>
                <c:pt idx="0">
                  <c:v>-41.302003908887514</c:v>
                </c:pt>
                <c:pt idx="1">
                  <c:v>-34.269866128065004</c:v>
                </c:pt>
                <c:pt idx="2">
                  <c:v>-38.241494748607977</c:v>
                </c:pt>
                <c:pt idx="3">
                  <c:v>-39.995600764945813</c:v>
                </c:pt>
                <c:pt idx="4">
                  <c:v>-41.333437579116278</c:v>
                </c:pt>
                <c:pt idx="5">
                  <c:v>-42.112405811559583</c:v>
                </c:pt>
                <c:pt idx="6">
                  <c:v>-42.401489834373777</c:v>
                </c:pt>
                <c:pt idx="7">
                  <c:v>-43.880159683504388</c:v>
                </c:pt>
                <c:pt idx="8">
                  <c:v>-42.748531196262604</c:v>
                </c:pt>
                <c:pt idx="9">
                  <c:v>-42.74510657162029</c:v>
                </c:pt>
                <c:pt idx="10">
                  <c:v>-38.426257884451516</c:v>
                </c:pt>
                <c:pt idx="11">
                  <c:v>-36.306307489808127</c:v>
                </c:pt>
                <c:pt idx="12">
                  <c:v>-34.594612181743543</c:v>
                </c:pt>
                <c:pt idx="13">
                  <c:v>-33.418008610542188</c:v>
                </c:pt>
                <c:pt idx="14">
                  <c:v>-28.073792498252718</c:v>
                </c:pt>
                <c:pt idx="15">
                  <c:v>-36.076697771823788</c:v>
                </c:pt>
                <c:pt idx="16">
                  <c:v>-38.649677328868769</c:v>
                </c:pt>
                <c:pt idx="17">
                  <c:v>-42.35085109048903</c:v>
                </c:pt>
                <c:pt idx="18">
                  <c:v>-35.812157262073811</c:v>
                </c:pt>
                <c:pt idx="19">
                  <c:v>-34.34301944316239</c:v>
                </c:pt>
                <c:pt idx="20">
                  <c:v>-33.149578797681109</c:v>
                </c:pt>
                <c:pt idx="21">
                  <c:v>-31.380128869146233</c:v>
                </c:pt>
                <c:pt idx="22">
                  <c:v>-33.990365618382846</c:v>
                </c:pt>
                <c:pt idx="23">
                  <c:v>-33.607129741265105</c:v>
                </c:pt>
                <c:pt idx="24">
                  <c:v>-26.053998121658505</c:v>
                </c:pt>
                <c:pt idx="25">
                  <c:v>-23.401412692243881</c:v>
                </c:pt>
                <c:pt idx="26">
                  <c:v>-25.845341609317927</c:v>
                </c:pt>
                <c:pt idx="27">
                  <c:v>-24.83507396955897</c:v>
                </c:pt>
                <c:pt idx="28">
                  <c:v>-23.300635693594103</c:v>
                </c:pt>
                <c:pt idx="29">
                  <c:v>-23.064424300860427</c:v>
                </c:pt>
                <c:pt idx="30">
                  <c:v>-25.334429785481881</c:v>
                </c:pt>
                <c:pt idx="31">
                  <c:v>-26.103887475416236</c:v>
                </c:pt>
                <c:pt idx="32">
                  <c:v>-26.122285833712006</c:v>
                </c:pt>
                <c:pt idx="33">
                  <c:v>-27.080221736892142</c:v>
                </c:pt>
                <c:pt idx="34">
                  <c:v>-27.001318069755538</c:v>
                </c:pt>
                <c:pt idx="35">
                  <c:v>-28.285162265739768</c:v>
                </c:pt>
                <c:pt idx="36">
                  <c:v>-30.884031097327831</c:v>
                </c:pt>
                <c:pt idx="37">
                  <c:v>-32.820050877130399</c:v>
                </c:pt>
                <c:pt idx="38">
                  <c:v>-33.938943911264147</c:v>
                </c:pt>
                <c:pt idx="39">
                  <c:v>-33.680682496499166</c:v>
                </c:pt>
                <c:pt idx="40">
                  <c:v>-33.88352331743716</c:v>
                </c:pt>
                <c:pt idx="41">
                  <c:v>-32.369745404496875</c:v>
                </c:pt>
                <c:pt idx="42">
                  <c:v>-30.76462577101222</c:v>
                </c:pt>
                <c:pt idx="43">
                  <c:v>-30.592822139235903</c:v>
                </c:pt>
                <c:pt idx="44">
                  <c:v>-29.92079239172898</c:v>
                </c:pt>
                <c:pt idx="45">
                  <c:v>-31.049407722858867</c:v>
                </c:pt>
                <c:pt idx="46">
                  <c:v>-32.71183040061706</c:v>
                </c:pt>
                <c:pt idx="47">
                  <c:v>-31.027479008529014</c:v>
                </c:pt>
                <c:pt idx="48">
                  <c:v>-22.740650551269454</c:v>
                </c:pt>
                <c:pt idx="49">
                  <c:v>-16.866189532567116</c:v>
                </c:pt>
                <c:pt idx="50">
                  <c:v>-15.498909729579049</c:v>
                </c:pt>
                <c:pt idx="51">
                  <c:v>-15.16436145859427</c:v>
                </c:pt>
                <c:pt idx="52">
                  <c:v>-12.879766352865024</c:v>
                </c:pt>
                <c:pt idx="53">
                  <c:v>-12.009666971806547</c:v>
                </c:pt>
                <c:pt idx="54">
                  <c:v>-11.106396249862609</c:v>
                </c:pt>
                <c:pt idx="55">
                  <c:v>-11.673650006151725</c:v>
                </c:pt>
                <c:pt idx="56">
                  <c:v>-10.623126358940279</c:v>
                </c:pt>
                <c:pt idx="57">
                  <c:v>-9.6309941256299609</c:v>
                </c:pt>
                <c:pt idx="58">
                  <c:v>-10.338203450552928</c:v>
                </c:pt>
                <c:pt idx="59">
                  <c:v>-9.9873662600420605</c:v>
                </c:pt>
                <c:pt idx="60">
                  <c:v>-13.997341362731822</c:v>
                </c:pt>
                <c:pt idx="61">
                  <c:v>-9.6766107955008334</c:v>
                </c:pt>
                <c:pt idx="62">
                  <c:v>-3.4180914947950143</c:v>
                </c:pt>
                <c:pt idx="63">
                  <c:v>-4.7726440971659789</c:v>
                </c:pt>
                <c:pt idx="64">
                  <c:v>-1.6372007388011305</c:v>
                </c:pt>
                <c:pt idx="65">
                  <c:v>-1.9284296321136405</c:v>
                </c:pt>
                <c:pt idx="66">
                  <c:v>0.30946630710125822</c:v>
                </c:pt>
                <c:pt idx="67">
                  <c:v>1.0008101858370138</c:v>
                </c:pt>
                <c:pt idx="68">
                  <c:v>1.9156695181388472</c:v>
                </c:pt>
                <c:pt idx="69">
                  <c:v>1.219515412159794</c:v>
                </c:pt>
                <c:pt idx="70">
                  <c:v>2.8438065469586449</c:v>
                </c:pt>
                <c:pt idx="71">
                  <c:v>2.6914639858455032</c:v>
                </c:pt>
                <c:pt idx="72">
                  <c:v>1.2974786491621169</c:v>
                </c:pt>
                <c:pt idx="73">
                  <c:v>1.5940729391084898</c:v>
                </c:pt>
                <c:pt idx="74">
                  <c:v>2.7425391612936099</c:v>
                </c:pt>
                <c:pt idx="75">
                  <c:v>0.77250609800155523</c:v>
                </c:pt>
                <c:pt idx="76">
                  <c:v>1.8389423232740583</c:v>
                </c:pt>
                <c:pt idx="77">
                  <c:v>3.6819320639533646</c:v>
                </c:pt>
                <c:pt idx="78">
                  <c:v>5.6507572627533653</c:v>
                </c:pt>
                <c:pt idx="79">
                  <c:v>7.8713576675207966</c:v>
                </c:pt>
                <c:pt idx="80">
                  <c:v>7.1167115779082986</c:v>
                </c:pt>
                <c:pt idx="81">
                  <c:v>7.3344388561995881</c:v>
                </c:pt>
                <c:pt idx="82">
                  <c:v>8.3457223056538847</c:v>
                </c:pt>
                <c:pt idx="83">
                  <c:v>10.827285220334479</c:v>
                </c:pt>
                <c:pt idx="84">
                  <c:v>9.0409888507645384</c:v>
                </c:pt>
                <c:pt idx="85">
                  <c:v>5.7761780979369304</c:v>
                </c:pt>
                <c:pt idx="86">
                  <c:v>8.3947467701626888</c:v>
                </c:pt>
                <c:pt idx="87">
                  <c:v>7.3025374107957672</c:v>
                </c:pt>
                <c:pt idx="88">
                  <c:v>9.0610083003418449</c:v>
                </c:pt>
                <c:pt idx="89">
                  <c:v>12.667779259658882</c:v>
                </c:pt>
                <c:pt idx="90">
                  <c:v>12.287667328587423</c:v>
                </c:pt>
                <c:pt idx="91">
                  <c:v>13.234083871852038</c:v>
                </c:pt>
                <c:pt idx="92">
                  <c:v>14.507233499036392</c:v>
                </c:pt>
                <c:pt idx="93">
                  <c:v>14.031278977799813</c:v>
                </c:pt>
                <c:pt idx="94">
                  <c:v>18.442727466262387</c:v>
                </c:pt>
                <c:pt idx="95">
                  <c:v>16.45646367441573</c:v>
                </c:pt>
                <c:pt idx="96">
                  <c:v>15.403427275807772</c:v>
                </c:pt>
                <c:pt idx="97">
                  <c:v>13.019411885330145</c:v>
                </c:pt>
                <c:pt idx="98">
                  <c:v>17.237275188791624</c:v>
                </c:pt>
                <c:pt idx="99">
                  <c:v>17.337615394515353</c:v>
                </c:pt>
                <c:pt idx="100">
                  <c:v>19.726297485965755</c:v>
                </c:pt>
                <c:pt idx="101">
                  <c:v>18.501240861024939</c:v>
                </c:pt>
                <c:pt idx="102">
                  <c:v>20.687970897300222</c:v>
                </c:pt>
                <c:pt idx="103">
                  <c:v>15.113573956086471</c:v>
                </c:pt>
                <c:pt idx="104">
                  <c:v>17.857260052500223</c:v>
                </c:pt>
                <c:pt idx="105">
                  <c:v>16.656725976200416</c:v>
                </c:pt>
                <c:pt idx="106">
                  <c:v>16.786362874795792</c:v>
                </c:pt>
                <c:pt idx="107">
                  <c:v>15.551677873029899</c:v>
                </c:pt>
                <c:pt idx="108">
                  <c:v>21.565458075585546</c:v>
                </c:pt>
                <c:pt idx="109">
                  <c:v>19.831407134120226</c:v>
                </c:pt>
                <c:pt idx="110">
                  <c:v>16.475161033691538</c:v>
                </c:pt>
                <c:pt idx="111">
                  <c:v>17.782521714957916</c:v>
                </c:pt>
                <c:pt idx="112">
                  <c:v>14.922506731435995</c:v>
                </c:pt>
                <c:pt idx="113">
                  <c:v>17.592590134280087</c:v>
                </c:pt>
                <c:pt idx="114">
                  <c:v>15.66314828163136</c:v>
                </c:pt>
                <c:pt idx="115">
                  <c:v>11.278249228026992</c:v>
                </c:pt>
                <c:pt idx="116">
                  <c:v>10.145462307178191</c:v>
                </c:pt>
                <c:pt idx="117">
                  <c:v>13.676961233720519</c:v>
                </c:pt>
                <c:pt idx="118">
                  <c:v>13.3927491771719</c:v>
                </c:pt>
                <c:pt idx="119">
                  <c:v>10.280185780752005</c:v>
                </c:pt>
                <c:pt idx="120">
                  <c:v>11.499569208124482</c:v>
                </c:pt>
                <c:pt idx="121">
                  <c:v>13.866396722920662</c:v>
                </c:pt>
                <c:pt idx="122">
                  <c:v>15.053599264452494</c:v>
                </c:pt>
                <c:pt idx="123">
                  <c:v>16.41173561458929</c:v>
                </c:pt>
                <c:pt idx="124">
                  <c:v>19.965427803653547</c:v>
                </c:pt>
                <c:pt idx="125">
                  <c:v>20.888321242161183</c:v>
                </c:pt>
                <c:pt idx="126">
                  <c:v>22.765745944774043</c:v>
                </c:pt>
                <c:pt idx="127">
                  <c:v>26.590166235558076</c:v>
                </c:pt>
                <c:pt idx="128">
                  <c:v>28.140955799416258</c:v>
                </c:pt>
                <c:pt idx="129">
                  <c:v>31.276314693117296</c:v>
                </c:pt>
                <c:pt idx="130">
                  <c:v>28.483591570973438</c:v>
                </c:pt>
                <c:pt idx="131">
                  <c:v>28.379280192669992</c:v>
                </c:pt>
                <c:pt idx="132">
                  <c:v>31.735029449324248</c:v>
                </c:pt>
                <c:pt idx="133">
                  <c:v>35.149010287921925</c:v>
                </c:pt>
                <c:pt idx="134">
                  <c:v>27.829310121016643</c:v>
                </c:pt>
                <c:pt idx="135">
                  <c:v>29.607169614720341</c:v>
                </c:pt>
                <c:pt idx="136">
                  <c:v>26.935893925224068</c:v>
                </c:pt>
                <c:pt idx="137">
                  <c:v>26.494798530546809</c:v>
                </c:pt>
                <c:pt idx="138">
                  <c:v>25.795110839737184</c:v>
                </c:pt>
                <c:pt idx="139">
                  <c:v>23.475250984818576</c:v>
                </c:pt>
                <c:pt idx="140">
                  <c:v>24.899245649852254</c:v>
                </c:pt>
                <c:pt idx="141">
                  <c:v>23.527569330192364</c:v>
                </c:pt>
                <c:pt idx="142">
                  <c:v>22.392095121470025</c:v>
                </c:pt>
                <c:pt idx="143">
                  <c:v>23.629145849673005</c:v>
                </c:pt>
                <c:pt idx="144">
                  <c:v>25.213883582907776</c:v>
                </c:pt>
                <c:pt idx="145">
                  <c:v>23.214177074633209</c:v>
                </c:pt>
                <c:pt idx="146">
                  <c:v>20.972540237269971</c:v>
                </c:pt>
                <c:pt idx="147">
                  <c:v>21.373905068911657</c:v>
                </c:pt>
                <c:pt idx="148">
                  <c:v>25.621753289829709</c:v>
                </c:pt>
                <c:pt idx="149">
                  <c:v>26.129227852614566</c:v>
                </c:pt>
                <c:pt idx="150">
                  <c:v>26.446075602331799</c:v>
                </c:pt>
                <c:pt idx="151">
                  <c:v>26.142253474241016</c:v>
                </c:pt>
                <c:pt idx="152">
                  <c:v>27.169845190478902</c:v>
                </c:pt>
                <c:pt idx="153">
                  <c:v>31.913540940539605</c:v>
                </c:pt>
                <c:pt idx="154">
                  <c:v>37.816637620079163</c:v>
                </c:pt>
                <c:pt idx="155">
                  <c:v>40.717547053378752</c:v>
                </c:pt>
                <c:pt idx="156">
                  <c:v>38.986179736226866</c:v>
                </c:pt>
                <c:pt idx="157">
                  <c:v>40.511112904454876</c:v>
                </c:pt>
                <c:pt idx="158">
                  <c:v>39.667327103854525</c:v>
                </c:pt>
                <c:pt idx="159">
                  <c:v>34.90270486940797</c:v>
                </c:pt>
                <c:pt idx="160">
                  <c:v>37.387049512484097</c:v>
                </c:pt>
                <c:pt idx="161">
                  <c:v>39.314538787030578</c:v>
                </c:pt>
                <c:pt idx="162">
                  <c:v>44.754489285947528</c:v>
                </c:pt>
                <c:pt idx="163">
                  <c:v>37.651777239573832</c:v>
                </c:pt>
                <c:pt idx="164">
                  <c:v>40.936978594185838</c:v>
                </c:pt>
                <c:pt idx="165">
                  <c:v>43.739379135346773</c:v>
                </c:pt>
                <c:pt idx="166">
                  <c:v>44.381841513820127</c:v>
                </c:pt>
                <c:pt idx="167">
                  <c:v>47.902434169882426</c:v>
                </c:pt>
                <c:pt idx="168">
                  <c:v>45.892884161067911</c:v>
                </c:pt>
                <c:pt idx="169">
                  <c:v>37.117261432631011</c:v>
                </c:pt>
                <c:pt idx="170">
                  <c:v>38.717546148390781</c:v>
                </c:pt>
                <c:pt idx="171">
                  <c:v>37.512175820682138</c:v>
                </c:pt>
                <c:pt idx="172">
                  <c:v>41.833680783463869</c:v>
                </c:pt>
                <c:pt idx="173">
                  <c:v>39.622152835343876</c:v>
                </c:pt>
                <c:pt idx="174">
                  <c:v>41.327797646294691</c:v>
                </c:pt>
                <c:pt idx="175">
                  <c:v>37.206206099613993</c:v>
                </c:pt>
                <c:pt idx="176">
                  <c:v>41.1268188672435</c:v>
                </c:pt>
                <c:pt idx="177">
                  <c:v>37.892493303007775</c:v>
                </c:pt>
                <c:pt idx="178">
                  <c:v>36.940467828353292</c:v>
                </c:pt>
                <c:pt idx="179">
                  <c:v>35.81700097349804</c:v>
                </c:pt>
                <c:pt idx="180">
                  <c:v>33.308075201718438</c:v>
                </c:pt>
                <c:pt idx="181">
                  <c:v>32.986327564814971</c:v>
                </c:pt>
                <c:pt idx="182">
                  <c:v>30.154069004293969</c:v>
                </c:pt>
                <c:pt idx="183">
                  <c:v>30.313590613554847</c:v>
                </c:pt>
                <c:pt idx="184">
                  <c:v>29.350811328556318</c:v>
                </c:pt>
                <c:pt idx="185">
                  <c:v>23.935338183131798</c:v>
                </c:pt>
                <c:pt idx="186">
                  <c:v>28.063632427872353</c:v>
                </c:pt>
                <c:pt idx="187">
                  <c:v>29.337596351573492</c:v>
                </c:pt>
                <c:pt idx="188">
                  <c:v>26.70107180602438</c:v>
                </c:pt>
                <c:pt idx="189">
                  <c:v>26.091078318201149</c:v>
                </c:pt>
                <c:pt idx="190">
                  <c:v>28.015045733728762</c:v>
                </c:pt>
                <c:pt idx="191">
                  <c:v>28.478355032007258</c:v>
                </c:pt>
                <c:pt idx="192">
                  <c:v>28.898090127608071</c:v>
                </c:pt>
                <c:pt idx="193">
                  <c:v>28.702828170823718</c:v>
                </c:pt>
                <c:pt idx="194">
                  <c:v>32.01182199218934</c:v>
                </c:pt>
                <c:pt idx="195">
                  <c:v>25.313843825968561</c:v>
                </c:pt>
                <c:pt idx="196">
                  <c:v>29.048665839753191</c:v>
                </c:pt>
                <c:pt idx="197">
                  <c:v>30.18377782520859</c:v>
                </c:pt>
                <c:pt idx="198">
                  <c:v>33.316371824138898</c:v>
                </c:pt>
                <c:pt idx="199">
                  <c:v>31.091670227043643</c:v>
                </c:pt>
                <c:pt idx="200">
                  <c:v>23.495866566889603</c:v>
                </c:pt>
                <c:pt idx="201">
                  <c:v>18.529261634690027</c:v>
                </c:pt>
                <c:pt idx="202">
                  <c:v>15.306761342974493</c:v>
                </c:pt>
                <c:pt idx="203">
                  <c:v>9.4355208231492149</c:v>
                </c:pt>
                <c:pt idx="204">
                  <c:v>8.612316386536742</c:v>
                </c:pt>
                <c:pt idx="205">
                  <c:v>13.125053506306781</c:v>
                </c:pt>
                <c:pt idx="206">
                  <c:v>16.328298765735312</c:v>
                </c:pt>
                <c:pt idx="207">
                  <c:v>12.346090925873062</c:v>
                </c:pt>
                <c:pt idx="208">
                  <c:v>13.282211532582677</c:v>
                </c:pt>
                <c:pt idx="209">
                  <c:v>12.470494762966558</c:v>
                </c:pt>
                <c:pt idx="210">
                  <c:v>15.113966512370089</c:v>
                </c:pt>
                <c:pt idx="211">
                  <c:v>15.117763193745182</c:v>
                </c:pt>
                <c:pt idx="212">
                  <c:v>9.8900988776945002</c:v>
                </c:pt>
                <c:pt idx="213">
                  <c:v>9.791783278581665</c:v>
                </c:pt>
                <c:pt idx="214">
                  <c:v>11.489611082315932</c:v>
                </c:pt>
                <c:pt idx="215">
                  <c:v>12.382249074646522</c:v>
                </c:pt>
                <c:pt idx="216">
                  <c:v>9.4663486279021605</c:v>
                </c:pt>
                <c:pt idx="217">
                  <c:v>5.9371184690466299</c:v>
                </c:pt>
                <c:pt idx="218">
                  <c:v>5.8607409501188004</c:v>
                </c:pt>
                <c:pt idx="219">
                  <c:v>9.2151351169161586</c:v>
                </c:pt>
                <c:pt idx="220">
                  <c:v>11.579997734646335</c:v>
                </c:pt>
                <c:pt idx="221">
                  <c:v>10.151112608190662</c:v>
                </c:pt>
                <c:pt idx="222">
                  <c:v>8.1182835930743806</c:v>
                </c:pt>
                <c:pt idx="223">
                  <c:v>8.9637898834594267</c:v>
                </c:pt>
                <c:pt idx="224">
                  <c:v>3.4675166436973224</c:v>
                </c:pt>
                <c:pt idx="225">
                  <c:v>6.2540984989892277</c:v>
                </c:pt>
                <c:pt idx="226">
                  <c:v>6.717196614197289</c:v>
                </c:pt>
                <c:pt idx="227">
                  <c:v>8.6844619991366869</c:v>
                </c:pt>
                <c:pt idx="228">
                  <c:v>2.7590656651678831</c:v>
                </c:pt>
                <c:pt idx="229">
                  <c:v>0.9465093212248048</c:v>
                </c:pt>
                <c:pt idx="230">
                  <c:v>-1.8943543311217881</c:v>
                </c:pt>
                <c:pt idx="231">
                  <c:v>-2.6262453168522053</c:v>
                </c:pt>
                <c:pt idx="232">
                  <c:v>-1.3842963057243483</c:v>
                </c:pt>
                <c:pt idx="233">
                  <c:v>1.5442540440295685</c:v>
                </c:pt>
                <c:pt idx="234">
                  <c:v>1.4217222783450281</c:v>
                </c:pt>
                <c:pt idx="235">
                  <c:v>3.0914850335644743</c:v>
                </c:pt>
                <c:pt idx="236">
                  <c:v>3.0551096136941345</c:v>
                </c:pt>
                <c:pt idx="237">
                  <c:v>0.55464191178363409</c:v>
                </c:pt>
                <c:pt idx="238">
                  <c:v>-4.3696984882480914</c:v>
                </c:pt>
                <c:pt idx="239">
                  <c:v>-4.9652034510607939</c:v>
                </c:pt>
                <c:pt idx="240">
                  <c:v>-5.9911363710112528</c:v>
                </c:pt>
                <c:pt idx="241">
                  <c:v>-6.883809696798167</c:v>
                </c:pt>
                <c:pt idx="242">
                  <c:v>-8.3476873897182351</c:v>
                </c:pt>
                <c:pt idx="243">
                  <c:v>-8.8178644275023768</c:v>
                </c:pt>
                <c:pt idx="244">
                  <c:v>-8.2900055449315619</c:v>
                </c:pt>
                <c:pt idx="245">
                  <c:v>-9.7663114935341433</c:v>
                </c:pt>
                <c:pt idx="246">
                  <c:v>-11.162967409971944</c:v>
                </c:pt>
                <c:pt idx="247">
                  <c:v>-11.564638543248314</c:v>
                </c:pt>
                <c:pt idx="248">
                  <c:v>-10.808384678833887</c:v>
                </c:pt>
                <c:pt idx="249">
                  <c:v>-11.126928509737047</c:v>
                </c:pt>
                <c:pt idx="250">
                  <c:v>-11.011974589539356</c:v>
                </c:pt>
                <c:pt idx="251">
                  <c:v>-13.090002488711654</c:v>
                </c:pt>
                <c:pt idx="252">
                  <c:v>-12.238075100099417</c:v>
                </c:pt>
                <c:pt idx="253">
                  <c:v>-12.317579613966261</c:v>
                </c:pt>
                <c:pt idx="254">
                  <c:v>-12.862841140385928</c:v>
                </c:pt>
                <c:pt idx="255">
                  <c:v>-12.408223276989633</c:v>
                </c:pt>
                <c:pt idx="256">
                  <c:v>-13.210904735337174</c:v>
                </c:pt>
                <c:pt idx="257">
                  <c:v>-12.919857065354481</c:v>
                </c:pt>
                <c:pt idx="258">
                  <c:v>-12.601096726932923</c:v>
                </c:pt>
                <c:pt idx="259">
                  <c:v>-11.58652328836757</c:v>
                </c:pt>
                <c:pt idx="260">
                  <c:v>-13.12813636824821</c:v>
                </c:pt>
                <c:pt idx="261">
                  <c:v>-12.734675696709955</c:v>
                </c:pt>
                <c:pt idx="262">
                  <c:v>-12.897491341111273</c:v>
                </c:pt>
                <c:pt idx="263">
                  <c:v>-13.058556765086992</c:v>
                </c:pt>
                <c:pt idx="264">
                  <c:v>-12.887196251589961</c:v>
                </c:pt>
                <c:pt idx="265">
                  <c:v>-13.299568241728018</c:v>
                </c:pt>
                <c:pt idx="266">
                  <c:v>-11.242735993910609</c:v>
                </c:pt>
                <c:pt idx="267">
                  <c:v>-11.667099587739568</c:v>
                </c:pt>
                <c:pt idx="268">
                  <c:v>-10.857414074602886</c:v>
                </c:pt>
                <c:pt idx="269">
                  <c:v>-10.438864426359562</c:v>
                </c:pt>
                <c:pt idx="270">
                  <c:v>-10.908635987832819</c:v>
                </c:pt>
                <c:pt idx="271">
                  <c:v>-12.198328211184458</c:v>
                </c:pt>
                <c:pt idx="272">
                  <c:v>-10.132867501776532</c:v>
                </c:pt>
                <c:pt idx="273">
                  <c:v>-10.118313085529</c:v>
                </c:pt>
                <c:pt idx="274">
                  <c:v>-5.4182665555001694</c:v>
                </c:pt>
                <c:pt idx="275">
                  <c:v>-7.5746087102600477</c:v>
                </c:pt>
                <c:pt idx="276">
                  <c:v>-8.8103649157116273</c:v>
                </c:pt>
                <c:pt idx="277">
                  <c:v>-9.5827483307908423</c:v>
                </c:pt>
                <c:pt idx="278">
                  <c:v>-4.4091765326201182</c:v>
                </c:pt>
                <c:pt idx="279">
                  <c:v>0.49457484081262532</c:v>
                </c:pt>
                <c:pt idx="280">
                  <c:v>2.4099070081353635</c:v>
                </c:pt>
                <c:pt idx="281">
                  <c:v>-0.19076452278084449</c:v>
                </c:pt>
                <c:pt idx="282">
                  <c:v>1.5802691053009619</c:v>
                </c:pt>
                <c:pt idx="283">
                  <c:v>-1.4320437124074985</c:v>
                </c:pt>
                <c:pt idx="284">
                  <c:v>1.7854427514041549</c:v>
                </c:pt>
                <c:pt idx="285">
                  <c:v>-0.41153039727951757</c:v>
                </c:pt>
                <c:pt idx="286">
                  <c:v>-2.0412799437296862</c:v>
                </c:pt>
                <c:pt idx="287">
                  <c:v>2.0676776283864138</c:v>
                </c:pt>
                <c:pt idx="288">
                  <c:v>-0.42068065417781186</c:v>
                </c:pt>
                <c:pt idx="289">
                  <c:v>-1.4920590289515483</c:v>
                </c:pt>
                <c:pt idx="290">
                  <c:v>-2.0236022391964532</c:v>
                </c:pt>
                <c:pt idx="291">
                  <c:v>-2.8073389367186103</c:v>
                </c:pt>
                <c:pt idx="292">
                  <c:v>-0.8928138471599234</c:v>
                </c:pt>
                <c:pt idx="293">
                  <c:v>-2.5907576792614089</c:v>
                </c:pt>
                <c:pt idx="294">
                  <c:v>-2.4037694949699611</c:v>
                </c:pt>
                <c:pt idx="295">
                  <c:v>0.22370390215988431</c:v>
                </c:pt>
                <c:pt idx="296">
                  <c:v>-1.713161223825703</c:v>
                </c:pt>
                <c:pt idx="297">
                  <c:v>-2.2207128116095194</c:v>
                </c:pt>
                <c:pt idx="298">
                  <c:v>-1.1141676317787053</c:v>
                </c:pt>
                <c:pt idx="299">
                  <c:v>2.5515776042710638</c:v>
                </c:pt>
                <c:pt idx="300">
                  <c:v>1.9298521169996061</c:v>
                </c:pt>
                <c:pt idx="301">
                  <c:v>1.3606917438963577</c:v>
                </c:pt>
                <c:pt idx="302">
                  <c:v>1.6696618029603871</c:v>
                </c:pt>
                <c:pt idx="303">
                  <c:v>3.4860579474278217</c:v>
                </c:pt>
                <c:pt idx="304">
                  <c:v>3.8215190334250764</c:v>
                </c:pt>
                <c:pt idx="305">
                  <c:v>1.8678837938774711</c:v>
                </c:pt>
                <c:pt idx="306">
                  <c:v>-0.17642681621415462</c:v>
                </c:pt>
                <c:pt idx="307">
                  <c:v>-0.67822753886090403</c:v>
                </c:pt>
                <c:pt idx="308">
                  <c:v>1.4177073778616252</c:v>
                </c:pt>
                <c:pt idx="309">
                  <c:v>-0.1194632242208734</c:v>
                </c:pt>
                <c:pt idx="310">
                  <c:v>0.41660668150567326</c:v>
                </c:pt>
                <c:pt idx="311">
                  <c:v>-0.85096853936946992</c:v>
                </c:pt>
                <c:pt idx="312">
                  <c:v>-2.6823121349182748</c:v>
                </c:pt>
                <c:pt idx="313">
                  <c:v>-2.0840418450149998</c:v>
                </c:pt>
                <c:pt idx="314">
                  <c:v>-2.9433743409645343</c:v>
                </c:pt>
                <c:pt idx="315">
                  <c:v>-1.9954793476201313</c:v>
                </c:pt>
                <c:pt idx="316">
                  <c:v>-2.967916025433559</c:v>
                </c:pt>
                <c:pt idx="317">
                  <c:v>-1.8760036703333181</c:v>
                </c:pt>
                <c:pt idx="318">
                  <c:v>-1.3544401336964074</c:v>
                </c:pt>
                <c:pt idx="319">
                  <c:v>-0.66629211285067946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opLeftCell="D1" zoomScale="75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405.55732484075997</v>
      </c>
      <c r="E2">
        <v>239.59235668790001</v>
      </c>
      <c r="F2">
        <v>124.40934283452</v>
      </c>
      <c r="G2">
        <v>110.65083135392</v>
      </c>
      <c r="H2" s="4"/>
      <c r="I2" s="5">
        <f>E2-G2</f>
        <v>128.94152533398</v>
      </c>
      <c r="J2" s="5">
        <f>D2-F2</f>
        <v>281.14798200624</v>
      </c>
      <c r="K2" s="9">
        <f>I2*1</f>
        <v>128.94152533398</v>
      </c>
      <c r="L2" s="6">
        <f t="shared" ref="L2:L65" si="0">K2/J2</f>
        <v>0.45862511412626172</v>
      </c>
      <c r="M2" s="6">
        <f>L2+ABS($N$2)*A2</f>
        <v>0.45862511412626172</v>
      </c>
      <c r="N2" s="4">
        <f>LINEST(V64:V103,U64:U103)</f>
        <v>-1.7106969513584083E-4</v>
      </c>
      <c r="O2" s="7">
        <f>AVERAGE(M62:M81)</f>
        <v>0.33532006270521786</v>
      </c>
      <c r="P2" s="4">
        <f>(M2-$O$2)/$O$2*100</f>
        <v>36.772345330688481</v>
      </c>
    </row>
    <row r="3" spans="1:16" x14ac:dyDescent="0.2">
      <c r="A3" s="8">
        <v>0.5</v>
      </c>
      <c r="B3" s="8">
        <v>1</v>
      </c>
      <c r="D3">
        <v>397.88375796178002</v>
      </c>
      <c r="E3">
        <v>235.35111464968</v>
      </c>
      <c r="F3">
        <v>123.90498812352</v>
      </c>
      <c r="G3">
        <v>110.28266033254</v>
      </c>
      <c r="I3" s="9">
        <f t="shared" ref="I3:I66" si="1">E3-G3</f>
        <v>125.06845431714</v>
      </c>
      <c r="J3" s="9">
        <f t="shared" ref="J3:J66" si="2">D3-F3</f>
        <v>273.97876983826001</v>
      </c>
      <c r="K3" s="9">
        <f t="shared" ref="K3:K66" si="3">I3*1</f>
        <v>125.06845431714</v>
      </c>
      <c r="L3" s="10">
        <f t="shared" si="0"/>
        <v>0.45648958271829826</v>
      </c>
      <c r="M3" s="10">
        <f t="shared" ref="M3:M66" si="4">L3+ABS($N$2)*A3</f>
        <v>0.45657511756586616</v>
      </c>
      <c r="P3" s="8">
        <f t="shared" ref="P3:P66" si="5">(M3-$O$2)/$O$2*100</f>
        <v>36.160990154425818</v>
      </c>
    </row>
    <row r="4" spans="1:16" ht="16" x14ac:dyDescent="0.2">
      <c r="A4" s="8">
        <v>1</v>
      </c>
      <c r="B4" s="8">
        <v>2</v>
      </c>
      <c r="D4">
        <v>411.40525477707001</v>
      </c>
      <c r="E4">
        <v>235.80254777069999</v>
      </c>
      <c r="F4">
        <v>124.19635787807</v>
      </c>
      <c r="G4">
        <v>110.28028503563</v>
      </c>
      <c r="I4" s="9">
        <f t="shared" si="1"/>
        <v>125.52226273506999</v>
      </c>
      <c r="J4" s="9">
        <f t="shared" si="2"/>
        <v>287.20889689900002</v>
      </c>
      <c r="K4" s="9">
        <f t="shared" si="3"/>
        <v>125.52226273506999</v>
      </c>
      <c r="L4" s="10">
        <f t="shared" si="0"/>
        <v>0.43704169366038542</v>
      </c>
      <c r="M4" s="10">
        <f t="shared" si="4"/>
        <v>0.43721276335552128</v>
      </c>
      <c r="N4" s="1" t="s">
        <v>7</v>
      </c>
      <c r="P4" s="8">
        <f t="shared" si="5"/>
        <v>30.386699748376817</v>
      </c>
    </row>
    <row r="5" spans="1:16" x14ac:dyDescent="0.2">
      <c r="A5" s="8">
        <v>1.5</v>
      </c>
      <c r="B5" s="8">
        <v>3</v>
      </c>
      <c r="D5">
        <v>404.19585987261001</v>
      </c>
      <c r="E5">
        <v>237.90286624204001</v>
      </c>
      <c r="F5">
        <v>124.19794140934</v>
      </c>
      <c r="G5">
        <v>110.05542359462</v>
      </c>
      <c r="I5" s="9">
        <f t="shared" si="1"/>
        <v>127.84744264742001</v>
      </c>
      <c r="J5" s="9">
        <f t="shared" si="2"/>
        <v>279.99791846327003</v>
      </c>
      <c r="K5" s="9">
        <f t="shared" si="3"/>
        <v>127.84744264742001</v>
      </c>
      <c r="L5" s="10">
        <f t="shared" si="0"/>
        <v>0.45660140385718961</v>
      </c>
      <c r="M5" s="10">
        <f t="shared" si="4"/>
        <v>0.45685800839989338</v>
      </c>
      <c r="N5" s="8">
        <f>RSQ(V64:V83,U64:U83)</f>
        <v>0.85613672522872319</v>
      </c>
      <c r="P5" s="8">
        <f t="shared" si="5"/>
        <v>36.245354576806328</v>
      </c>
    </row>
    <row r="6" spans="1:16" x14ac:dyDescent="0.2">
      <c r="A6" s="8">
        <v>2</v>
      </c>
      <c r="B6" s="8">
        <v>4</v>
      </c>
      <c r="D6">
        <v>406.96178343948998</v>
      </c>
      <c r="E6">
        <v>240.08439490446</v>
      </c>
      <c r="F6">
        <v>124.05146476643</v>
      </c>
      <c r="G6">
        <v>110.58590657166</v>
      </c>
      <c r="I6" s="9">
        <f t="shared" si="1"/>
        <v>129.49848833279998</v>
      </c>
      <c r="J6" s="9">
        <f t="shared" si="2"/>
        <v>282.91031867305998</v>
      </c>
      <c r="K6" s="9">
        <f t="shared" si="3"/>
        <v>129.49848833279998</v>
      </c>
      <c r="L6" s="10">
        <f t="shared" si="0"/>
        <v>0.45773688616304054</v>
      </c>
      <c r="M6" s="10">
        <f t="shared" si="4"/>
        <v>0.4580790255533122</v>
      </c>
      <c r="P6" s="8">
        <f t="shared" si="5"/>
        <v>36.609489410722368</v>
      </c>
    </row>
    <row r="7" spans="1:16" x14ac:dyDescent="0.2">
      <c r="A7" s="8">
        <v>2.5</v>
      </c>
      <c r="B7" s="8">
        <v>5</v>
      </c>
      <c r="D7">
        <v>550.73217115688999</v>
      </c>
      <c r="E7">
        <v>287.36291600634001</v>
      </c>
      <c r="F7">
        <v>124.64212193191</v>
      </c>
      <c r="G7">
        <v>110.81551860649</v>
      </c>
      <c r="I7" s="9">
        <f t="shared" si="1"/>
        <v>176.54739739985001</v>
      </c>
      <c r="J7" s="9">
        <f t="shared" si="2"/>
        <v>426.09004922498002</v>
      </c>
      <c r="K7" s="9">
        <f t="shared" si="3"/>
        <v>176.54739739985001</v>
      </c>
      <c r="L7" s="10">
        <f t="shared" si="0"/>
        <v>0.41434292521257904</v>
      </c>
      <c r="M7" s="10">
        <f t="shared" si="4"/>
        <v>0.41477059945041866</v>
      </c>
      <c r="P7" s="8">
        <f t="shared" si="5"/>
        <v>23.693940679906859</v>
      </c>
    </row>
    <row r="8" spans="1:16" x14ac:dyDescent="0.2">
      <c r="A8" s="8">
        <v>3</v>
      </c>
      <c r="B8" s="8">
        <v>6</v>
      </c>
      <c r="D8">
        <v>567.43423137876005</v>
      </c>
      <c r="E8">
        <v>282.42234548336</v>
      </c>
      <c r="F8">
        <v>124.32383214569001</v>
      </c>
      <c r="G8">
        <v>110.45526524149</v>
      </c>
      <c r="I8" s="9">
        <f t="shared" si="1"/>
        <v>171.96708024187001</v>
      </c>
      <c r="J8" s="9">
        <f t="shared" si="2"/>
        <v>443.11039923307004</v>
      </c>
      <c r="K8" s="9">
        <f t="shared" si="3"/>
        <v>171.96708024187001</v>
      </c>
      <c r="L8" s="10">
        <f t="shared" si="0"/>
        <v>0.38809082463311284</v>
      </c>
      <c r="M8" s="10">
        <f t="shared" si="4"/>
        <v>0.38860403371852037</v>
      </c>
      <c r="P8" s="8">
        <f t="shared" si="5"/>
        <v>15.890481047698243</v>
      </c>
    </row>
    <row r="9" spans="1:16" x14ac:dyDescent="0.2">
      <c r="A9" s="8">
        <v>3.5</v>
      </c>
      <c r="B9" s="8">
        <v>7</v>
      </c>
      <c r="D9">
        <v>512.23534072899997</v>
      </c>
      <c r="E9">
        <v>259.76545166403002</v>
      </c>
      <c r="F9">
        <v>125.01425178146999</v>
      </c>
      <c r="G9">
        <v>110.49326999208</v>
      </c>
      <c r="I9" s="9">
        <f t="shared" si="1"/>
        <v>149.27218167195002</v>
      </c>
      <c r="J9" s="9">
        <f t="shared" si="2"/>
        <v>387.22108894753001</v>
      </c>
      <c r="K9" s="9">
        <f t="shared" si="3"/>
        <v>149.27218167195002</v>
      </c>
      <c r="L9" s="10">
        <f t="shared" si="0"/>
        <v>0.38549600198086575</v>
      </c>
      <c r="M9" s="10">
        <f t="shared" si="4"/>
        <v>0.38609474591384119</v>
      </c>
      <c r="P9" s="8">
        <f t="shared" si="5"/>
        <v>15.142154871079008</v>
      </c>
    </row>
    <row r="10" spans="1:16" x14ac:dyDescent="0.2">
      <c r="A10" s="8">
        <v>4</v>
      </c>
      <c r="B10" s="8">
        <v>8</v>
      </c>
      <c r="D10">
        <v>520.21949286845995</v>
      </c>
      <c r="E10">
        <v>261.58795562598999</v>
      </c>
      <c r="F10">
        <v>124.49643705462999</v>
      </c>
      <c r="G10">
        <v>110.68883610451</v>
      </c>
      <c r="I10" s="9">
        <f t="shared" si="1"/>
        <v>150.89911952147997</v>
      </c>
      <c r="J10" s="9">
        <f t="shared" si="2"/>
        <v>395.72305581382994</v>
      </c>
      <c r="K10" s="9">
        <f t="shared" si="3"/>
        <v>150.89911952147997</v>
      </c>
      <c r="L10" s="10">
        <f t="shared" si="0"/>
        <v>0.3813250638407869</v>
      </c>
      <c r="M10" s="10">
        <f t="shared" si="4"/>
        <v>0.38200934262133029</v>
      </c>
      <c r="P10" s="8">
        <f t="shared" si="5"/>
        <v>13.923795534166203</v>
      </c>
    </row>
    <row r="11" spans="1:16" x14ac:dyDescent="0.2">
      <c r="A11" s="8">
        <v>4.5</v>
      </c>
      <c r="B11" s="8">
        <v>9</v>
      </c>
      <c r="D11">
        <v>498.06180665609998</v>
      </c>
      <c r="E11">
        <v>255.01505546751</v>
      </c>
      <c r="F11">
        <v>124.24623911322</v>
      </c>
      <c r="G11">
        <v>110.45051464766</v>
      </c>
      <c r="I11" s="9">
        <f t="shared" si="1"/>
        <v>144.56454081984998</v>
      </c>
      <c r="J11" s="9">
        <f t="shared" si="2"/>
        <v>373.81556754287999</v>
      </c>
      <c r="K11" s="9">
        <f t="shared" si="3"/>
        <v>144.56454081984998</v>
      </c>
      <c r="L11" s="10">
        <f t="shared" si="0"/>
        <v>0.38672691394337699</v>
      </c>
      <c r="M11" s="10">
        <f t="shared" si="4"/>
        <v>0.38749672757148829</v>
      </c>
      <c r="P11" s="8">
        <f t="shared" si="5"/>
        <v>15.560257398657139</v>
      </c>
    </row>
    <row r="12" spans="1:16" x14ac:dyDescent="0.2">
      <c r="A12" s="8">
        <v>5</v>
      </c>
      <c r="B12" s="8">
        <v>10</v>
      </c>
      <c r="D12">
        <v>433.80982567352999</v>
      </c>
      <c r="E12">
        <v>233.24405705230001</v>
      </c>
      <c r="F12">
        <v>124.69517022961</v>
      </c>
      <c r="G12">
        <v>110.70229612035</v>
      </c>
      <c r="I12" s="9">
        <f t="shared" si="1"/>
        <v>122.54176093195001</v>
      </c>
      <c r="J12" s="9">
        <f t="shared" si="2"/>
        <v>309.11465544392001</v>
      </c>
      <c r="K12" s="9">
        <f t="shared" si="3"/>
        <v>122.54176093195001</v>
      </c>
      <c r="L12" s="10">
        <f t="shared" si="0"/>
        <v>0.39642818214480191</v>
      </c>
      <c r="M12" s="10">
        <f t="shared" si="4"/>
        <v>0.39728353062048111</v>
      </c>
      <c r="P12" s="8">
        <f t="shared" si="5"/>
        <v>18.478902638681586</v>
      </c>
    </row>
    <row r="13" spans="1:16" x14ac:dyDescent="0.2">
      <c r="A13" s="8">
        <v>5.5</v>
      </c>
      <c r="B13" s="8">
        <v>11</v>
      </c>
      <c r="D13">
        <v>605.72359015091001</v>
      </c>
      <c r="E13">
        <v>291.91739475774</v>
      </c>
      <c r="F13">
        <v>124.15281076801</v>
      </c>
      <c r="G13">
        <v>110.61836896279</v>
      </c>
      <c r="I13" s="9">
        <f t="shared" si="1"/>
        <v>181.29902579495001</v>
      </c>
      <c r="J13" s="9">
        <f t="shared" si="2"/>
        <v>481.57077938290001</v>
      </c>
      <c r="K13" s="9">
        <f t="shared" si="3"/>
        <v>181.29902579495001</v>
      </c>
      <c r="L13" s="10">
        <f t="shared" si="0"/>
        <v>0.37647430773784135</v>
      </c>
      <c r="M13" s="10">
        <f t="shared" si="4"/>
        <v>0.37741519106108845</v>
      </c>
      <c r="P13" s="8">
        <f t="shared" si="5"/>
        <v>12.553715997863421</v>
      </c>
    </row>
    <row r="14" spans="1:16" x14ac:dyDescent="0.2">
      <c r="A14" s="8">
        <v>6</v>
      </c>
      <c r="B14" s="8">
        <v>12</v>
      </c>
      <c r="D14">
        <v>560.11358220809996</v>
      </c>
      <c r="E14">
        <v>278.06354249404001</v>
      </c>
      <c r="F14">
        <v>124.33966745843</v>
      </c>
      <c r="G14">
        <v>110.90815518607</v>
      </c>
      <c r="I14" s="9">
        <f t="shared" si="1"/>
        <v>167.15538730796999</v>
      </c>
      <c r="J14" s="9">
        <f t="shared" si="2"/>
        <v>435.77391474966998</v>
      </c>
      <c r="K14" s="9">
        <f t="shared" si="3"/>
        <v>167.15538730796999</v>
      </c>
      <c r="L14" s="10">
        <f t="shared" si="0"/>
        <v>0.38358282047238251</v>
      </c>
      <c r="M14" s="10">
        <f t="shared" si="4"/>
        <v>0.38460923864319757</v>
      </c>
      <c r="P14" s="8">
        <f t="shared" si="5"/>
        <v>14.699143123240486</v>
      </c>
    </row>
    <row r="15" spans="1:16" x14ac:dyDescent="0.2">
      <c r="A15" s="8">
        <v>6.5</v>
      </c>
      <c r="B15" s="8">
        <v>13</v>
      </c>
      <c r="D15">
        <v>513.57664813344002</v>
      </c>
      <c r="E15">
        <v>260.37013502780002</v>
      </c>
      <c r="F15">
        <v>124.82343626287</v>
      </c>
      <c r="G15">
        <v>110.63103721298999</v>
      </c>
      <c r="I15" s="9">
        <f t="shared" si="1"/>
        <v>149.73909781481001</v>
      </c>
      <c r="J15" s="9">
        <f t="shared" si="2"/>
        <v>388.75321187057</v>
      </c>
      <c r="K15" s="9">
        <f t="shared" si="3"/>
        <v>149.73909781481001</v>
      </c>
      <c r="L15" s="10">
        <f t="shared" si="0"/>
        <v>0.38517777665246294</v>
      </c>
      <c r="M15" s="10">
        <f t="shared" si="4"/>
        <v>0.3862897296708459</v>
      </c>
      <c r="P15" s="8">
        <f t="shared" si="5"/>
        <v>15.200303421879003</v>
      </c>
    </row>
    <row r="16" spans="1:16" x14ac:dyDescent="0.2">
      <c r="A16" s="8">
        <v>7</v>
      </c>
      <c r="B16" s="8">
        <v>14</v>
      </c>
      <c r="D16">
        <v>514.01270849880996</v>
      </c>
      <c r="E16">
        <v>267.72359015091001</v>
      </c>
      <c r="F16">
        <v>124.5954077593</v>
      </c>
      <c r="G16">
        <v>110.63737133808</v>
      </c>
      <c r="I16" s="9">
        <f t="shared" si="1"/>
        <v>157.08621881283</v>
      </c>
      <c r="J16" s="9">
        <f t="shared" si="2"/>
        <v>389.41730073950998</v>
      </c>
      <c r="K16" s="9">
        <f t="shared" si="3"/>
        <v>157.08621881283</v>
      </c>
      <c r="L16" s="10">
        <f t="shared" si="0"/>
        <v>0.40338787854191538</v>
      </c>
      <c r="M16" s="10">
        <f t="shared" si="4"/>
        <v>0.40458536640786624</v>
      </c>
      <c r="P16" s="8">
        <f t="shared" si="5"/>
        <v>20.656474636156794</v>
      </c>
    </row>
    <row r="17" spans="1:16" x14ac:dyDescent="0.2">
      <c r="A17" s="8">
        <v>7.5</v>
      </c>
      <c r="B17" s="8">
        <v>15</v>
      </c>
      <c r="D17">
        <v>501.42970611597002</v>
      </c>
      <c r="E17">
        <v>257.02303415409</v>
      </c>
      <c r="F17">
        <v>124.53206650831</v>
      </c>
      <c r="G17">
        <v>110.5954077593</v>
      </c>
      <c r="I17" s="9">
        <f t="shared" si="1"/>
        <v>146.42762639479</v>
      </c>
      <c r="J17" s="9">
        <f t="shared" si="2"/>
        <v>376.89763960766004</v>
      </c>
      <c r="K17" s="9">
        <f t="shared" si="3"/>
        <v>146.42762639479</v>
      </c>
      <c r="L17" s="10">
        <f t="shared" si="0"/>
        <v>0.38850767690457572</v>
      </c>
      <c r="M17" s="10">
        <f t="shared" si="4"/>
        <v>0.38979069961809454</v>
      </c>
      <c r="P17" s="8">
        <f t="shared" si="5"/>
        <v>16.244371563523828</v>
      </c>
    </row>
    <row r="18" spans="1:16" x14ac:dyDescent="0.2">
      <c r="A18" s="8">
        <v>8</v>
      </c>
      <c r="B18" s="8">
        <v>16</v>
      </c>
      <c r="D18">
        <v>475.35742652899</v>
      </c>
      <c r="E18">
        <v>259.68705321684001</v>
      </c>
      <c r="F18">
        <v>124.95566112431</v>
      </c>
      <c r="G18">
        <v>110.89152810768</v>
      </c>
      <c r="I18" s="9">
        <f t="shared" si="1"/>
        <v>148.79552510916</v>
      </c>
      <c r="J18" s="9">
        <f t="shared" si="2"/>
        <v>350.40176540468002</v>
      </c>
      <c r="K18" s="9">
        <f t="shared" si="3"/>
        <v>148.79552510916</v>
      </c>
      <c r="L18" s="10">
        <f t="shared" si="0"/>
        <v>0.4246426239814049</v>
      </c>
      <c r="M18" s="10">
        <f t="shared" si="4"/>
        <v>0.42601118154249162</v>
      </c>
      <c r="P18" s="8">
        <f t="shared" si="5"/>
        <v>27.046135595233068</v>
      </c>
    </row>
    <row r="19" spans="1:16" x14ac:dyDescent="0.2">
      <c r="A19" s="8">
        <v>8.5</v>
      </c>
      <c r="B19" s="8">
        <v>17</v>
      </c>
      <c r="D19">
        <v>453.79745830024001</v>
      </c>
      <c r="E19">
        <v>255.37490071485001</v>
      </c>
      <c r="F19">
        <v>124.63103721298999</v>
      </c>
      <c r="G19">
        <v>110.53048297703999</v>
      </c>
      <c r="I19" s="9">
        <f t="shared" si="1"/>
        <v>144.84441773781003</v>
      </c>
      <c r="J19" s="9">
        <f t="shared" si="2"/>
        <v>329.16642108725</v>
      </c>
      <c r="K19" s="9">
        <f t="shared" si="3"/>
        <v>144.84441773781003</v>
      </c>
      <c r="L19" s="10">
        <f t="shared" si="0"/>
        <v>0.44003400243373264</v>
      </c>
      <c r="M19" s="10">
        <f t="shared" si="4"/>
        <v>0.44148809484238727</v>
      </c>
      <c r="P19" s="8">
        <f t="shared" si="5"/>
        <v>31.661699953367371</v>
      </c>
    </row>
    <row r="20" spans="1:16" x14ac:dyDescent="0.2">
      <c r="A20" s="8">
        <v>9</v>
      </c>
      <c r="B20" s="8">
        <v>18</v>
      </c>
      <c r="D20">
        <v>433.26846703733003</v>
      </c>
      <c r="E20">
        <v>252.47815726767001</v>
      </c>
      <c r="F20">
        <v>124.75455265242</v>
      </c>
      <c r="G20">
        <v>110.76801266824999</v>
      </c>
      <c r="I20" s="9">
        <f t="shared" si="1"/>
        <v>141.71014459942</v>
      </c>
      <c r="J20" s="9">
        <f t="shared" si="2"/>
        <v>308.51391438491004</v>
      </c>
      <c r="K20" s="9">
        <f t="shared" si="3"/>
        <v>141.71014459942</v>
      </c>
      <c r="L20" s="10">
        <f t="shared" si="0"/>
        <v>0.45933145311111873</v>
      </c>
      <c r="M20" s="10">
        <f t="shared" si="4"/>
        <v>0.46087108036734131</v>
      </c>
      <c r="P20" s="8">
        <f t="shared" si="5"/>
        <v>37.442143082412635</v>
      </c>
    </row>
    <row r="21" spans="1:16" x14ac:dyDescent="0.2">
      <c r="A21" s="8">
        <v>9.5</v>
      </c>
      <c r="B21" s="8">
        <v>19</v>
      </c>
      <c r="D21">
        <v>434.43050039714001</v>
      </c>
      <c r="E21">
        <v>258.36378077839998</v>
      </c>
      <c r="F21">
        <v>124.53681710214001</v>
      </c>
      <c r="G21">
        <v>110.68962787015001</v>
      </c>
      <c r="I21" s="9">
        <f t="shared" si="1"/>
        <v>147.67415290824999</v>
      </c>
      <c r="J21" s="9">
        <f t="shared" si="2"/>
        <v>309.89368329500002</v>
      </c>
      <c r="K21" s="9">
        <f t="shared" si="3"/>
        <v>147.67415290824999</v>
      </c>
      <c r="L21" s="10">
        <f t="shared" si="0"/>
        <v>0.47653166511197698</v>
      </c>
      <c r="M21" s="10">
        <f t="shared" si="4"/>
        <v>0.47815682721576747</v>
      </c>
      <c r="P21" s="8">
        <f t="shared" si="5"/>
        <v>42.597142371441812</v>
      </c>
    </row>
    <row r="22" spans="1:16" x14ac:dyDescent="0.2">
      <c r="A22" s="8">
        <v>10</v>
      </c>
      <c r="B22" s="8">
        <v>20</v>
      </c>
      <c r="D22">
        <v>433.62589356631997</v>
      </c>
      <c r="E22">
        <v>256.97061159651003</v>
      </c>
      <c r="F22">
        <v>124.25732383215001</v>
      </c>
      <c r="G22">
        <v>110.84243863816</v>
      </c>
      <c r="I22" s="9">
        <f t="shared" si="1"/>
        <v>146.12817295835004</v>
      </c>
      <c r="J22" s="9">
        <f t="shared" si="2"/>
        <v>309.36856973416997</v>
      </c>
      <c r="K22" s="9">
        <f t="shared" si="3"/>
        <v>146.12817295835004</v>
      </c>
      <c r="L22" s="10">
        <f t="shared" si="0"/>
        <v>0.47234330586301337</v>
      </c>
      <c r="M22" s="10">
        <f t="shared" si="4"/>
        <v>0.47405400281437177</v>
      </c>
      <c r="P22" s="8">
        <f t="shared" si="5"/>
        <v>41.373587667229998</v>
      </c>
    </row>
    <row r="23" spans="1:16" x14ac:dyDescent="0.2">
      <c r="A23" s="8">
        <v>10.5</v>
      </c>
      <c r="B23" s="8">
        <v>21</v>
      </c>
      <c r="D23">
        <v>428.10802223987002</v>
      </c>
      <c r="E23">
        <v>257.09610802224</v>
      </c>
      <c r="F23">
        <v>124.67775138559</v>
      </c>
      <c r="G23">
        <v>110.63499604117</v>
      </c>
      <c r="I23" s="9">
        <f t="shared" si="1"/>
        <v>146.46111198107002</v>
      </c>
      <c r="J23" s="9">
        <f t="shared" si="2"/>
        <v>303.43027085428002</v>
      </c>
      <c r="K23" s="9">
        <f t="shared" si="3"/>
        <v>146.46111198107002</v>
      </c>
      <c r="L23" s="10">
        <f t="shared" si="0"/>
        <v>0.48268457714756746</v>
      </c>
      <c r="M23" s="10">
        <f t="shared" si="4"/>
        <v>0.48448080894649381</v>
      </c>
      <c r="P23" s="8">
        <f t="shared" si="5"/>
        <v>44.48309625076152</v>
      </c>
    </row>
    <row r="24" spans="1:16" x14ac:dyDescent="0.2">
      <c r="A24" s="8">
        <v>11</v>
      </c>
      <c r="B24" s="8">
        <v>22</v>
      </c>
      <c r="D24">
        <v>389.44082605241999</v>
      </c>
      <c r="E24">
        <v>240.84193804607</v>
      </c>
      <c r="F24">
        <v>124.87015043546999</v>
      </c>
      <c r="G24">
        <v>110.67062549485</v>
      </c>
      <c r="I24" s="9">
        <f t="shared" si="1"/>
        <v>130.17131255122001</v>
      </c>
      <c r="J24" s="9">
        <f t="shared" si="2"/>
        <v>264.57067561694998</v>
      </c>
      <c r="K24" s="9">
        <f t="shared" si="3"/>
        <v>130.17131255122001</v>
      </c>
      <c r="L24" s="10">
        <f t="shared" si="0"/>
        <v>0.49200960101747743</v>
      </c>
      <c r="M24" s="10">
        <f t="shared" si="4"/>
        <v>0.49389136766397168</v>
      </c>
      <c r="P24" s="8">
        <f t="shared" si="5"/>
        <v>47.289536951493098</v>
      </c>
    </row>
    <row r="25" spans="1:16" x14ac:dyDescent="0.2">
      <c r="A25" s="8">
        <v>11.5</v>
      </c>
      <c r="B25" s="8">
        <v>23</v>
      </c>
      <c r="D25">
        <v>386.11437648928</v>
      </c>
      <c r="E25">
        <v>239.85702938840001</v>
      </c>
      <c r="F25">
        <v>124.11718131433</v>
      </c>
      <c r="G25">
        <v>110.50673000792</v>
      </c>
      <c r="I25" s="9">
        <f t="shared" si="1"/>
        <v>129.35029938048001</v>
      </c>
      <c r="J25" s="9">
        <f t="shared" si="2"/>
        <v>261.99719517494998</v>
      </c>
      <c r="K25" s="9">
        <f t="shared" si="3"/>
        <v>129.35029938048001</v>
      </c>
      <c r="L25" s="10">
        <f t="shared" si="0"/>
        <v>0.49370871811854961</v>
      </c>
      <c r="M25" s="10">
        <f t="shared" si="4"/>
        <v>0.49567601961261176</v>
      </c>
      <c r="P25" s="8">
        <f t="shared" si="5"/>
        <v>47.821760384306003</v>
      </c>
    </row>
    <row r="26" spans="1:16" x14ac:dyDescent="0.2">
      <c r="A26" s="8">
        <v>12</v>
      </c>
      <c r="B26" s="8">
        <v>24</v>
      </c>
      <c r="D26">
        <v>389.0778395552</v>
      </c>
      <c r="E26">
        <v>236.96346306593</v>
      </c>
      <c r="F26">
        <v>124.53285827395</v>
      </c>
      <c r="G26">
        <v>110.47585114806</v>
      </c>
      <c r="I26" s="9">
        <f t="shared" si="1"/>
        <v>126.48761191787</v>
      </c>
      <c r="J26" s="9">
        <f t="shared" si="2"/>
        <v>264.54498128124999</v>
      </c>
      <c r="K26" s="9">
        <f t="shared" si="3"/>
        <v>126.48761191787</v>
      </c>
      <c r="L26" s="10">
        <f t="shared" si="0"/>
        <v>0.47813272172188809</v>
      </c>
      <c r="M26" s="10">
        <f t="shared" si="4"/>
        <v>0.4801855580635182</v>
      </c>
      <c r="P26" s="8">
        <f t="shared" si="5"/>
        <v>43.202155632916181</v>
      </c>
    </row>
    <row r="27" spans="1:16" x14ac:dyDescent="0.2">
      <c r="A27" s="8">
        <v>12.5</v>
      </c>
      <c r="B27" s="8">
        <v>25</v>
      </c>
      <c r="D27">
        <v>406.19777601270999</v>
      </c>
      <c r="E27">
        <v>238.90706910246001</v>
      </c>
      <c r="F27">
        <v>124.92953285826999</v>
      </c>
      <c r="G27">
        <v>110.51306413301999</v>
      </c>
      <c r="I27" s="9">
        <f t="shared" si="1"/>
        <v>128.39400496944</v>
      </c>
      <c r="J27" s="9">
        <f t="shared" si="2"/>
        <v>281.26824315444003</v>
      </c>
      <c r="K27" s="9">
        <f t="shared" si="3"/>
        <v>128.39400496944</v>
      </c>
      <c r="L27" s="10">
        <f t="shared" si="0"/>
        <v>0.45648240814353452</v>
      </c>
      <c r="M27" s="10">
        <f t="shared" si="4"/>
        <v>0.45862077933273254</v>
      </c>
      <c r="P27" s="8">
        <f t="shared" si="5"/>
        <v>36.771052597562345</v>
      </c>
    </row>
    <row r="28" spans="1:16" x14ac:dyDescent="0.2">
      <c r="A28" s="8">
        <v>13</v>
      </c>
      <c r="B28" s="8">
        <v>26</v>
      </c>
      <c r="D28">
        <v>412.71098726115002</v>
      </c>
      <c r="E28">
        <v>242.58678343949001</v>
      </c>
      <c r="F28">
        <v>124.288202692</v>
      </c>
      <c r="G28">
        <v>110.37608867775</v>
      </c>
      <c r="I28" s="9">
        <f t="shared" si="1"/>
        <v>132.21069476174</v>
      </c>
      <c r="J28" s="9">
        <f t="shared" si="2"/>
        <v>288.42278456915005</v>
      </c>
      <c r="K28" s="9">
        <f t="shared" si="3"/>
        <v>132.21069476174</v>
      </c>
      <c r="L28" s="10">
        <f t="shared" si="0"/>
        <v>0.45839199201699049</v>
      </c>
      <c r="M28" s="10">
        <f t="shared" si="4"/>
        <v>0.46061589805375641</v>
      </c>
      <c r="P28" s="8">
        <f t="shared" si="5"/>
        <v>37.366041965310906</v>
      </c>
    </row>
    <row r="29" spans="1:16" x14ac:dyDescent="0.2">
      <c r="A29" s="8">
        <v>13.5</v>
      </c>
      <c r="B29" s="8">
        <v>27</v>
      </c>
      <c r="D29">
        <v>407.06369426752002</v>
      </c>
      <c r="E29">
        <v>239.03184713376001</v>
      </c>
      <c r="F29">
        <v>124.55502771179999</v>
      </c>
      <c r="G29">
        <v>110.69912905779999</v>
      </c>
      <c r="I29" s="9">
        <f t="shared" si="1"/>
        <v>128.33271807596003</v>
      </c>
      <c r="J29" s="9">
        <f t="shared" si="2"/>
        <v>282.50866655572003</v>
      </c>
      <c r="K29" s="9">
        <f t="shared" si="3"/>
        <v>128.33271807596003</v>
      </c>
      <c r="L29" s="10">
        <f t="shared" si="0"/>
        <v>0.45426117237592278</v>
      </c>
      <c r="M29" s="10">
        <f t="shared" si="4"/>
        <v>0.45657061326025661</v>
      </c>
      <c r="P29" s="8">
        <f t="shared" si="5"/>
        <v>36.159646868976921</v>
      </c>
    </row>
    <row r="30" spans="1:16" x14ac:dyDescent="0.2">
      <c r="A30" s="8">
        <v>14</v>
      </c>
      <c r="B30" s="8">
        <v>28</v>
      </c>
      <c r="D30">
        <v>407.59633757962001</v>
      </c>
      <c r="E30">
        <v>239.04697452228999</v>
      </c>
      <c r="F30">
        <v>124.42992874109</v>
      </c>
      <c r="G30">
        <v>110.22486144101001</v>
      </c>
      <c r="I30" s="9">
        <f t="shared" si="1"/>
        <v>128.82211308127998</v>
      </c>
      <c r="J30" s="9">
        <f t="shared" si="2"/>
        <v>283.16640883853</v>
      </c>
      <c r="K30" s="9">
        <f t="shared" si="3"/>
        <v>128.82211308127998</v>
      </c>
      <c r="L30" s="10">
        <f t="shared" si="0"/>
        <v>0.45493430385924843</v>
      </c>
      <c r="M30" s="10">
        <f t="shared" si="4"/>
        <v>0.45732927959115022</v>
      </c>
      <c r="P30" s="8">
        <f t="shared" si="5"/>
        <v>36.385898267349269</v>
      </c>
    </row>
    <row r="31" spans="1:16" x14ac:dyDescent="0.2">
      <c r="A31" s="8">
        <v>14.5</v>
      </c>
      <c r="B31" s="8">
        <v>29</v>
      </c>
      <c r="D31">
        <v>399.93312101910999</v>
      </c>
      <c r="E31">
        <v>237.24840764331</v>
      </c>
      <c r="F31">
        <v>124.95486935867</v>
      </c>
      <c r="G31">
        <v>110.50514647663999</v>
      </c>
      <c r="I31" s="9">
        <f t="shared" si="1"/>
        <v>126.74326116667001</v>
      </c>
      <c r="J31" s="9">
        <f t="shared" si="2"/>
        <v>274.97825166043998</v>
      </c>
      <c r="K31" s="9">
        <f t="shared" si="3"/>
        <v>126.74326116667001</v>
      </c>
      <c r="L31" s="10">
        <f t="shared" si="0"/>
        <v>0.46092103794150369</v>
      </c>
      <c r="M31" s="10">
        <f t="shared" si="4"/>
        <v>0.46340154852097337</v>
      </c>
      <c r="P31" s="8">
        <f t="shared" si="5"/>
        <v>38.196785716443344</v>
      </c>
    </row>
    <row r="32" spans="1:16" x14ac:dyDescent="0.2">
      <c r="A32" s="8">
        <v>15</v>
      </c>
      <c r="B32" s="8">
        <v>30</v>
      </c>
      <c r="D32">
        <v>377.27070063693998</v>
      </c>
      <c r="E32">
        <v>221.95063694268001</v>
      </c>
      <c r="F32">
        <v>124.1504354711</v>
      </c>
      <c r="G32">
        <v>110.42042755344001</v>
      </c>
      <c r="I32" s="9">
        <f t="shared" si="1"/>
        <v>111.53020938924</v>
      </c>
      <c r="J32" s="9">
        <f t="shared" si="2"/>
        <v>253.12026516583998</v>
      </c>
      <c r="K32" s="9">
        <f t="shared" si="3"/>
        <v>111.53020938924</v>
      </c>
      <c r="L32" s="10">
        <f t="shared" si="0"/>
        <v>0.44062141494742568</v>
      </c>
      <c r="M32" s="10">
        <f t="shared" si="4"/>
        <v>0.44318746037446327</v>
      </c>
      <c r="P32" s="8">
        <f t="shared" si="5"/>
        <v>32.16848905461179</v>
      </c>
    </row>
    <row r="33" spans="1:16" x14ac:dyDescent="0.2">
      <c r="A33" s="8">
        <v>15.5</v>
      </c>
      <c r="B33" s="8">
        <v>31</v>
      </c>
      <c r="D33">
        <v>385.12101910828</v>
      </c>
      <c r="E33">
        <v>222.49601910828</v>
      </c>
      <c r="F33">
        <v>124.5486935867</v>
      </c>
      <c r="G33">
        <v>110.43467933492001</v>
      </c>
      <c r="I33" s="9">
        <f t="shared" si="1"/>
        <v>112.06133977335999</v>
      </c>
      <c r="J33" s="9">
        <f t="shared" si="2"/>
        <v>260.57232552158001</v>
      </c>
      <c r="K33" s="9">
        <f t="shared" si="3"/>
        <v>112.06133977335999</v>
      </c>
      <c r="L33" s="10">
        <f t="shared" si="0"/>
        <v>0.43005848586971035</v>
      </c>
      <c r="M33" s="10">
        <f t="shared" si="4"/>
        <v>0.4327100661443159</v>
      </c>
      <c r="P33" s="8">
        <f t="shared" si="5"/>
        <v>29.043893960116023</v>
      </c>
    </row>
    <row r="34" spans="1:16" x14ac:dyDescent="0.2">
      <c r="A34" s="8">
        <v>16</v>
      </c>
      <c r="B34" s="8">
        <v>32</v>
      </c>
      <c r="D34">
        <v>392.76592356688002</v>
      </c>
      <c r="E34">
        <v>220.57085987260999</v>
      </c>
      <c r="F34">
        <v>124.38558986539999</v>
      </c>
      <c r="G34">
        <v>110.35550277118</v>
      </c>
      <c r="I34" s="9">
        <f t="shared" si="1"/>
        <v>110.21535710142999</v>
      </c>
      <c r="J34" s="9">
        <f t="shared" si="2"/>
        <v>268.38033370148003</v>
      </c>
      <c r="K34" s="9">
        <f t="shared" si="3"/>
        <v>110.21535710142999</v>
      </c>
      <c r="L34" s="10">
        <f t="shared" si="0"/>
        <v>0.41066852992299629</v>
      </c>
      <c r="M34" s="10">
        <f t="shared" si="4"/>
        <v>0.41340564504516975</v>
      </c>
      <c r="P34" s="8">
        <f t="shared" si="5"/>
        <v>23.286880513498367</v>
      </c>
    </row>
    <row r="35" spans="1:16" x14ac:dyDescent="0.2">
      <c r="A35" s="8">
        <v>16.5</v>
      </c>
      <c r="B35" s="8">
        <v>33</v>
      </c>
      <c r="D35">
        <v>394.72611464968003</v>
      </c>
      <c r="E35">
        <v>214.96974522292999</v>
      </c>
      <c r="F35">
        <v>124.49406175772</v>
      </c>
      <c r="G35">
        <v>110.34520981788999</v>
      </c>
      <c r="I35" s="9">
        <f t="shared" si="1"/>
        <v>104.62453540503999</v>
      </c>
      <c r="J35" s="9">
        <f t="shared" si="2"/>
        <v>270.23205289196005</v>
      </c>
      <c r="K35" s="9">
        <f t="shared" si="3"/>
        <v>104.62453540503999</v>
      </c>
      <c r="L35" s="10">
        <f t="shared" si="0"/>
        <v>0.38716552786900277</v>
      </c>
      <c r="M35" s="10">
        <f t="shared" si="4"/>
        <v>0.38998817783874412</v>
      </c>
      <c r="P35" s="8">
        <f t="shared" si="5"/>
        <v>16.303264019601883</v>
      </c>
    </row>
    <row r="36" spans="1:16" x14ac:dyDescent="0.2">
      <c r="A36" s="8">
        <v>17</v>
      </c>
      <c r="B36" s="8">
        <v>34</v>
      </c>
      <c r="D36">
        <v>394.60191082802999</v>
      </c>
      <c r="E36">
        <v>212.60907643312001</v>
      </c>
      <c r="F36">
        <v>124.55661124306999</v>
      </c>
      <c r="G36">
        <v>110.26840855107</v>
      </c>
      <c r="I36" s="9">
        <f t="shared" si="1"/>
        <v>102.34066788205001</v>
      </c>
      <c r="J36" s="9">
        <f t="shared" si="2"/>
        <v>270.04529958495999</v>
      </c>
      <c r="K36" s="9">
        <f t="shared" si="3"/>
        <v>102.34066788205001</v>
      </c>
      <c r="L36" s="10">
        <f t="shared" si="0"/>
        <v>0.3789759275178653</v>
      </c>
      <c r="M36" s="10">
        <f t="shared" si="4"/>
        <v>0.38188411233517461</v>
      </c>
      <c r="P36" s="8">
        <f t="shared" si="5"/>
        <v>13.886449040447522</v>
      </c>
    </row>
    <row r="37" spans="1:16" x14ac:dyDescent="0.2">
      <c r="A37" s="8">
        <v>17.5</v>
      </c>
      <c r="B37" s="8">
        <v>35</v>
      </c>
      <c r="D37">
        <v>394.16560509554</v>
      </c>
      <c r="E37">
        <v>212.83519108280001</v>
      </c>
      <c r="F37">
        <v>124.38638163104</v>
      </c>
      <c r="G37">
        <v>110.55186064925</v>
      </c>
      <c r="I37" s="9">
        <f t="shared" si="1"/>
        <v>102.28333043355001</v>
      </c>
      <c r="J37" s="9">
        <f t="shared" si="2"/>
        <v>269.77922346449998</v>
      </c>
      <c r="K37" s="9">
        <f t="shared" si="3"/>
        <v>102.28333043355001</v>
      </c>
      <c r="L37" s="10">
        <f t="shared" si="0"/>
        <v>0.37913716675446424</v>
      </c>
      <c r="M37" s="10">
        <f t="shared" si="4"/>
        <v>0.38213088641934145</v>
      </c>
      <c r="P37" s="8">
        <f t="shared" si="5"/>
        <v>13.960042634035682</v>
      </c>
    </row>
    <row r="38" spans="1:16" x14ac:dyDescent="0.2">
      <c r="A38" s="8">
        <v>18</v>
      </c>
      <c r="B38" s="8">
        <v>36</v>
      </c>
      <c r="D38">
        <v>385.76273885350003</v>
      </c>
      <c r="E38">
        <v>208.95780254777</v>
      </c>
      <c r="F38">
        <v>124.19794140934</v>
      </c>
      <c r="G38">
        <v>110.1631037213</v>
      </c>
      <c r="I38" s="9">
        <f t="shared" si="1"/>
        <v>98.794698826469997</v>
      </c>
      <c r="J38" s="9">
        <f t="shared" si="2"/>
        <v>261.56479744416004</v>
      </c>
      <c r="K38" s="9">
        <f t="shared" si="3"/>
        <v>98.794698826469997</v>
      </c>
      <c r="L38" s="10">
        <f t="shared" si="0"/>
        <v>0.37770640312391851</v>
      </c>
      <c r="M38" s="10">
        <f t="shared" si="4"/>
        <v>0.38078565763636363</v>
      </c>
      <c r="P38" s="8">
        <f t="shared" si="5"/>
        <v>13.558865092756136</v>
      </c>
    </row>
    <row r="39" spans="1:16" x14ac:dyDescent="0.2">
      <c r="A39" s="8">
        <v>18.5</v>
      </c>
      <c r="B39" s="8">
        <v>37</v>
      </c>
      <c r="D39">
        <v>383.70302547771001</v>
      </c>
      <c r="E39">
        <v>204.73168789809</v>
      </c>
      <c r="F39">
        <v>125.28582739509</v>
      </c>
      <c r="G39">
        <v>110.50593824228</v>
      </c>
      <c r="I39" s="9">
        <f t="shared" si="1"/>
        <v>94.225749655810006</v>
      </c>
      <c r="J39" s="9">
        <f t="shared" si="2"/>
        <v>258.41719808262002</v>
      </c>
      <c r="K39" s="9">
        <f t="shared" si="3"/>
        <v>94.225749655810006</v>
      </c>
      <c r="L39" s="10">
        <f t="shared" si="0"/>
        <v>0.36462646586580727</v>
      </c>
      <c r="M39" s="10">
        <f t="shared" si="4"/>
        <v>0.36779125522582035</v>
      </c>
      <c r="P39" s="8">
        <f t="shared" si="5"/>
        <v>9.683641431603851</v>
      </c>
    </row>
    <row r="40" spans="1:16" x14ac:dyDescent="0.2">
      <c r="A40" s="8">
        <v>19</v>
      </c>
      <c r="B40" s="8">
        <v>38</v>
      </c>
      <c r="D40">
        <v>377.66799363056998</v>
      </c>
      <c r="E40">
        <v>203.29219745223</v>
      </c>
      <c r="F40">
        <v>124.89073634204</v>
      </c>
      <c r="G40">
        <v>110.2351543943</v>
      </c>
      <c r="I40" s="9">
        <f t="shared" si="1"/>
        <v>93.057043057930002</v>
      </c>
      <c r="J40" s="9">
        <f t="shared" si="2"/>
        <v>252.77725728853</v>
      </c>
      <c r="K40" s="9">
        <f t="shared" si="3"/>
        <v>93.057043057930002</v>
      </c>
      <c r="L40" s="10">
        <f t="shared" si="0"/>
        <v>0.36813851078268089</v>
      </c>
      <c r="M40" s="10">
        <f t="shared" si="4"/>
        <v>0.37138883499026187</v>
      </c>
      <c r="P40" s="8">
        <f t="shared" si="5"/>
        <v>10.756520798086667</v>
      </c>
    </row>
    <row r="41" spans="1:16" x14ac:dyDescent="0.2">
      <c r="A41" s="8">
        <v>19.5</v>
      </c>
      <c r="B41" s="8">
        <v>39</v>
      </c>
      <c r="D41">
        <v>373.33200636943002</v>
      </c>
      <c r="E41">
        <v>202.78423566878999</v>
      </c>
      <c r="F41">
        <v>124.88044338876</v>
      </c>
      <c r="G41">
        <v>110.65716547901999</v>
      </c>
      <c r="I41" s="9">
        <f t="shared" si="1"/>
        <v>92.127070189769995</v>
      </c>
      <c r="J41" s="9">
        <f t="shared" si="2"/>
        <v>248.45156298067002</v>
      </c>
      <c r="K41" s="9">
        <f t="shared" si="3"/>
        <v>92.127070189769995</v>
      </c>
      <c r="L41" s="10">
        <f t="shared" si="0"/>
        <v>0.37080495322517915</v>
      </c>
      <c r="M41" s="10">
        <f t="shared" si="4"/>
        <v>0.37414081228032803</v>
      </c>
      <c r="P41" s="8">
        <f t="shared" si="5"/>
        <v>11.577222448880953</v>
      </c>
    </row>
    <row r="42" spans="1:16" x14ac:dyDescent="0.2">
      <c r="A42" s="8">
        <v>20</v>
      </c>
      <c r="B42" s="8">
        <v>40</v>
      </c>
      <c r="D42">
        <v>385.9928343949</v>
      </c>
      <c r="E42">
        <v>208.62659235669</v>
      </c>
      <c r="F42">
        <v>125.18606492478</v>
      </c>
      <c r="G42">
        <v>110.3729216152</v>
      </c>
      <c r="I42" s="9">
        <f t="shared" si="1"/>
        <v>98.253670741489998</v>
      </c>
      <c r="J42" s="9">
        <f t="shared" si="2"/>
        <v>260.80676947012</v>
      </c>
      <c r="K42" s="9">
        <f t="shared" si="3"/>
        <v>98.253670741489998</v>
      </c>
      <c r="L42" s="10">
        <f t="shared" si="0"/>
        <v>0.37672975644425011</v>
      </c>
      <c r="M42" s="10">
        <f t="shared" si="4"/>
        <v>0.38015115034696695</v>
      </c>
      <c r="P42" s="8">
        <f t="shared" si="5"/>
        <v>13.369640718801964</v>
      </c>
    </row>
    <row r="43" spans="1:16" x14ac:dyDescent="0.2">
      <c r="A43" s="8">
        <v>20.5</v>
      </c>
      <c r="B43" s="8">
        <v>41</v>
      </c>
      <c r="D43">
        <v>401.70197628458999</v>
      </c>
      <c r="E43">
        <v>213.70197628458999</v>
      </c>
      <c r="F43">
        <v>124.27790973872</v>
      </c>
      <c r="G43">
        <v>110.14489311164</v>
      </c>
      <c r="I43" s="9">
        <f t="shared" si="1"/>
        <v>103.55708317294999</v>
      </c>
      <c r="J43" s="9">
        <f t="shared" si="2"/>
        <v>277.42406654587001</v>
      </c>
      <c r="K43" s="9">
        <f t="shared" si="3"/>
        <v>103.55708317294999</v>
      </c>
      <c r="L43" s="10">
        <f t="shared" si="0"/>
        <v>0.37328082045047667</v>
      </c>
      <c r="M43" s="10">
        <f t="shared" si="4"/>
        <v>0.37678774920076141</v>
      </c>
      <c r="P43" s="8">
        <f t="shared" si="5"/>
        <v>12.366598694095462</v>
      </c>
    </row>
    <row r="44" spans="1:16" x14ac:dyDescent="0.2">
      <c r="A44" s="8">
        <v>21</v>
      </c>
      <c r="B44" s="8">
        <v>42</v>
      </c>
      <c r="D44">
        <v>402.20869565216998</v>
      </c>
      <c r="E44">
        <v>213.51541501976001</v>
      </c>
      <c r="F44">
        <v>124.7244655582</v>
      </c>
      <c r="G44">
        <v>110.51148060174</v>
      </c>
      <c r="I44" s="9">
        <f t="shared" si="1"/>
        <v>103.00393441802001</v>
      </c>
      <c r="J44" s="9">
        <f t="shared" si="2"/>
        <v>277.48423009396998</v>
      </c>
      <c r="K44" s="9">
        <f t="shared" si="3"/>
        <v>103.00393441802001</v>
      </c>
      <c r="L44" s="10">
        <f t="shared" si="0"/>
        <v>0.37120644435591077</v>
      </c>
      <c r="M44" s="10">
        <f t="shared" si="4"/>
        <v>0.37479890795376342</v>
      </c>
      <c r="P44" s="8">
        <f t="shared" si="5"/>
        <v>11.773481410580459</v>
      </c>
    </row>
    <row r="45" spans="1:16" x14ac:dyDescent="0.2">
      <c r="A45" s="8">
        <v>21.5</v>
      </c>
      <c r="B45" s="8">
        <v>43</v>
      </c>
      <c r="D45">
        <v>403.60158102767002</v>
      </c>
      <c r="E45">
        <v>216.46086956522001</v>
      </c>
      <c r="F45">
        <v>124.34758511481</v>
      </c>
      <c r="G45">
        <v>110.58194774347</v>
      </c>
      <c r="I45" s="9">
        <f t="shared" si="1"/>
        <v>105.87892182175001</v>
      </c>
      <c r="J45" s="9">
        <f t="shared" si="2"/>
        <v>279.25399591286003</v>
      </c>
      <c r="K45" s="9">
        <f t="shared" si="3"/>
        <v>105.87892182175001</v>
      </c>
      <c r="L45" s="10">
        <f t="shared" si="0"/>
        <v>0.37914917376791651</v>
      </c>
      <c r="M45" s="10">
        <f t="shared" si="4"/>
        <v>0.38282717221333712</v>
      </c>
      <c r="P45" s="8">
        <f t="shared" si="5"/>
        <v>14.167690750398995</v>
      </c>
    </row>
    <row r="46" spans="1:16" x14ac:dyDescent="0.2">
      <c r="A46" s="8">
        <v>22</v>
      </c>
      <c r="B46" s="8">
        <v>44</v>
      </c>
      <c r="D46">
        <v>402.59586316627002</v>
      </c>
      <c r="E46">
        <v>220.11455847254999</v>
      </c>
      <c r="F46">
        <v>124.25732383215001</v>
      </c>
      <c r="G46">
        <v>110.72763262074</v>
      </c>
      <c r="I46" s="9">
        <f t="shared" si="1"/>
        <v>109.38692585180999</v>
      </c>
      <c r="J46" s="9">
        <f t="shared" si="2"/>
        <v>278.33853933412001</v>
      </c>
      <c r="K46" s="9">
        <f t="shared" si="3"/>
        <v>109.38692585180999</v>
      </c>
      <c r="L46" s="10">
        <f t="shared" si="0"/>
        <v>0.39299956848771478</v>
      </c>
      <c r="M46" s="10">
        <f t="shared" si="4"/>
        <v>0.39676310178070329</v>
      </c>
      <c r="P46" s="8">
        <f t="shared" si="5"/>
        <v>18.323699029455458</v>
      </c>
    </row>
    <row r="47" spans="1:16" x14ac:dyDescent="0.2">
      <c r="A47" s="8">
        <v>22.5</v>
      </c>
      <c r="B47" s="8">
        <v>45</v>
      </c>
      <c r="D47">
        <v>397.31821797932002</v>
      </c>
      <c r="E47">
        <v>214.76054097056999</v>
      </c>
      <c r="F47">
        <v>124.05225653207</v>
      </c>
      <c r="G47">
        <v>110.2034837688</v>
      </c>
      <c r="I47" s="9">
        <f t="shared" si="1"/>
        <v>104.55705720176999</v>
      </c>
      <c r="J47" s="9">
        <f t="shared" si="2"/>
        <v>273.26596144724999</v>
      </c>
      <c r="K47" s="9">
        <f t="shared" si="3"/>
        <v>104.55705720176999</v>
      </c>
      <c r="L47" s="10">
        <f t="shared" si="0"/>
        <v>0.38262012820046454</v>
      </c>
      <c r="M47" s="10">
        <f t="shared" si="4"/>
        <v>0.38646919634102095</v>
      </c>
      <c r="P47" s="8">
        <f t="shared" si="5"/>
        <v>15.253824427668869</v>
      </c>
    </row>
    <row r="48" spans="1:16" x14ac:dyDescent="0.2">
      <c r="A48" s="8">
        <v>23</v>
      </c>
      <c r="B48" s="8">
        <v>46</v>
      </c>
      <c r="D48">
        <v>370.27279936558</v>
      </c>
      <c r="E48">
        <v>205.27993655828999</v>
      </c>
      <c r="F48">
        <v>124.58036421219001</v>
      </c>
      <c r="G48">
        <v>110.14806017418999</v>
      </c>
      <c r="I48" s="9">
        <f t="shared" si="1"/>
        <v>95.131876384099996</v>
      </c>
      <c r="J48" s="9">
        <f t="shared" si="2"/>
        <v>245.69243515338999</v>
      </c>
      <c r="K48" s="9">
        <f t="shared" si="3"/>
        <v>95.131876384099996</v>
      </c>
      <c r="L48" s="10">
        <f t="shared" si="0"/>
        <v>0.38719904552497736</v>
      </c>
      <c r="M48" s="10">
        <f t="shared" si="4"/>
        <v>0.39113364851310167</v>
      </c>
      <c r="P48" s="8">
        <f t="shared" si="5"/>
        <v>16.644869190827364</v>
      </c>
    </row>
    <row r="49" spans="1:25" x14ac:dyDescent="0.2">
      <c r="A49" s="8">
        <v>23.5</v>
      </c>
      <c r="B49" s="8">
        <v>47</v>
      </c>
      <c r="D49">
        <v>369.09278350516001</v>
      </c>
      <c r="E49">
        <v>206.07454401269001</v>
      </c>
      <c r="F49">
        <v>124.37450514648</v>
      </c>
      <c r="G49">
        <v>110.26128266033</v>
      </c>
      <c r="I49" s="9">
        <f t="shared" si="1"/>
        <v>95.813261352360016</v>
      </c>
      <c r="J49" s="9">
        <f t="shared" si="2"/>
        <v>244.71827835868001</v>
      </c>
      <c r="K49" s="9">
        <f t="shared" si="3"/>
        <v>95.813261352360016</v>
      </c>
      <c r="L49" s="10">
        <f t="shared" si="0"/>
        <v>0.39152474426911388</v>
      </c>
      <c r="M49" s="10">
        <f t="shared" si="4"/>
        <v>0.39554488210480615</v>
      </c>
      <c r="P49" s="8">
        <f t="shared" si="5"/>
        <v>17.960398466384738</v>
      </c>
    </row>
    <row r="50" spans="1:25" x14ac:dyDescent="0.2">
      <c r="A50" s="8">
        <v>24</v>
      </c>
      <c r="B50" s="8">
        <v>48</v>
      </c>
      <c r="D50">
        <v>386.84853291039002</v>
      </c>
      <c r="E50">
        <v>209.11974623315001</v>
      </c>
      <c r="F50">
        <v>123.93190815519</v>
      </c>
      <c r="G50">
        <v>110.40221694378999</v>
      </c>
      <c r="I50" s="9">
        <f t="shared" si="1"/>
        <v>98.717529289360016</v>
      </c>
      <c r="J50" s="9">
        <f t="shared" si="2"/>
        <v>262.91662475520002</v>
      </c>
      <c r="K50" s="9">
        <f t="shared" si="3"/>
        <v>98.717529289360016</v>
      </c>
      <c r="L50" s="10">
        <f t="shared" si="0"/>
        <v>0.37547085271338498</v>
      </c>
      <c r="M50" s="10">
        <f t="shared" si="4"/>
        <v>0.37957652539664516</v>
      </c>
      <c r="P50" s="8">
        <f t="shared" si="5"/>
        <v>13.198274607962679</v>
      </c>
    </row>
    <row r="51" spans="1:25" x14ac:dyDescent="0.2">
      <c r="A51" s="8">
        <v>24.5</v>
      </c>
      <c r="B51" s="8">
        <v>49</v>
      </c>
      <c r="D51">
        <v>385.53370340998998</v>
      </c>
      <c r="E51">
        <v>208.76764472641</v>
      </c>
      <c r="F51">
        <v>124.22090261283</v>
      </c>
      <c r="G51">
        <v>110.63737133808</v>
      </c>
      <c r="I51" s="9">
        <f t="shared" si="1"/>
        <v>98.130273388329996</v>
      </c>
      <c r="J51" s="9">
        <f t="shared" si="2"/>
        <v>261.31280079715998</v>
      </c>
      <c r="K51" s="9">
        <f t="shared" si="3"/>
        <v>98.130273388329996</v>
      </c>
      <c r="L51" s="10">
        <f t="shared" si="0"/>
        <v>0.37552799973431883</v>
      </c>
      <c r="M51" s="10">
        <f t="shared" si="4"/>
        <v>0.37971920726514691</v>
      </c>
      <c r="P51" s="8">
        <f t="shared" si="5"/>
        <v>13.240825556853316</v>
      </c>
    </row>
    <row r="52" spans="1:25" x14ac:dyDescent="0.2">
      <c r="A52" s="8">
        <v>25</v>
      </c>
      <c r="B52" s="8">
        <v>50</v>
      </c>
      <c r="D52">
        <v>409.18276137270999</v>
      </c>
      <c r="E52">
        <v>213.41819632881001</v>
      </c>
      <c r="F52">
        <v>124</v>
      </c>
      <c r="G52">
        <v>110.10451306413</v>
      </c>
      <c r="I52" s="9">
        <f t="shared" si="1"/>
        <v>103.31368326468001</v>
      </c>
      <c r="J52" s="9">
        <f t="shared" si="2"/>
        <v>285.18276137270999</v>
      </c>
      <c r="K52" s="9">
        <f t="shared" si="3"/>
        <v>103.31368326468001</v>
      </c>
      <c r="L52" s="10">
        <f t="shared" si="0"/>
        <v>0.36227183847784428</v>
      </c>
      <c r="M52" s="10">
        <f t="shared" si="4"/>
        <v>0.36654858085624031</v>
      </c>
      <c r="P52" s="8">
        <f t="shared" si="5"/>
        <v>9.3130479277273839</v>
      </c>
    </row>
    <row r="53" spans="1:25" x14ac:dyDescent="0.2">
      <c r="A53" s="8">
        <v>25.5</v>
      </c>
      <c r="B53" s="8">
        <v>51</v>
      </c>
      <c r="D53">
        <v>407.01431980907</v>
      </c>
      <c r="E53">
        <v>208.54892601431999</v>
      </c>
      <c r="F53">
        <v>124.50039588282</v>
      </c>
      <c r="G53">
        <v>110.21456848773001</v>
      </c>
      <c r="I53" s="9">
        <f t="shared" si="1"/>
        <v>98.334357526589983</v>
      </c>
      <c r="J53" s="9">
        <f t="shared" si="2"/>
        <v>282.51392392625002</v>
      </c>
      <c r="K53" s="9">
        <f t="shared" si="3"/>
        <v>98.334357526589983</v>
      </c>
      <c r="L53" s="10">
        <f t="shared" si="0"/>
        <v>0.34806906562332862</v>
      </c>
      <c r="M53" s="10">
        <f t="shared" si="4"/>
        <v>0.35243134284929256</v>
      </c>
      <c r="P53" s="8">
        <f t="shared" si="5"/>
        <v>5.1029693857350091</v>
      </c>
      <c r="S53" s="11"/>
      <c r="U53" s="12"/>
    </row>
    <row r="54" spans="1:25" x14ac:dyDescent="0.2">
      <c r="A54" s="8">
        <v>26</v>
      </c>
      <c r="B54" s="8">
        <v>52</v>
      </c>
      <c r="D54">
        <v>388.41925218774998</v>
      </c>
      <c r="E54">
        <v>199.76213206046</v>
      </c>
      <c r="F54">
        <v>124.07680126683</v>
      </c>
      <c r="G54">
        <v>110.06967537609</v>
      </c>
      <c r="I54" s="9">
        <f t="shared" si="1"/>
        <v>89.692456684370001</v>
      </c>
      <c r="J54" s="9">
        <f t="shared" si="2"/>
        <v>264.34245092091999</v>
      </c>
      <c r="K54" s="9">
        <f t="shared" si="3"/>
        <v>89.692456684370001</v>
      </c>
      <c r="L54" s="10">
        <f t="shared" si="0"/>
        <v>0.33930402162762036</v>
      </c>
      <c r="M54" s="10">
        <f t="shared" si="4"/>
        <v>0.3437518337011522</v>
      </c>
      <c r="P54" s="8">
        <f t="shared" si="5"/>
        <v>2.5145441426649042</v>
      </c>
      <c r="S54" s="11"/>
    </row>
    <row r="55" spans="1:25" x14ac:dyDescent="0.2">
      <c r="A55" s="8">
        <v>26.5</v>
      </c>
      <c r="B55" s="8">
        <v>53</v>
      </c>
      <c r="D55">
        <v>387.36515513127</v>
      </c>
      <c r="E55">
        <v>202.66109785203</v>
      </c>
      <c r="F55">
        <v>124.10768012667999</v>
      </c>
      <c r="G55">
        <v>110.42596991291001</v>
      </c>
      <c r="I55" s="9">
        <f t="shared" si="1"/>
        <v>92.235127939119991</v>
      </c>
      <c r="J55" s="9">
        <f t="shared" si="2"/>
        <v>263.25747500458999</v>
      </c>
      <c r="K55" s="9">
        <f t="shared" si="3"/>
        <v>92.235127939119991</v>
      </c>
      <c r="L55" s="10">
        <f t="shared" si="0"/>
        <v>0.35036090784321255</v>
      </c>
      <c r="M55" s="10">
        <f t="shared" si="4"/>
        <v>0.35489425476431236</v>
      </c>
      <c r="P55" s="8">
        <f t="shared" si="5"/>
        <v>5.8374652268576908</v>
      </c>
      <c r="S55" s="11"/>
    </row>
    <row r="56" spans="1:25" x14ac:dyDescent="0.2">
      <c r="A56" s="8">
        <v>27</v>
      </c>
      <c r="B56" s="8">
        <v>54</v>
      </c>
      <c r="D56">
        <v>390.01189532117002</v>
      </c>
      <c r="E56">
        <v>206.53925455986999</v>
      </c>
      <c r="F56">
        <v>124.13539192399</v>
      </c>
      <c r="G56">
        <v>110.2351543943</v>
      </c>
      <c r="I56" s="9">
        <f t="shared" si="1"/>
        <v>96.304100165569992</v>
      </c>
      <c r="J56" s="9">
        <f t="shared" si="2"/>
        <v>265.87650339718004</v>
      </c>
      <c r="K56" s="9">
        <f t="shared" si="3"/>
        <v>96.304100165569992</v>
      </c>
      <c r="L56" s="10">
        <f t="shared" si="0"/>
        <v>0.36221365534398486</v>
      </c>
      <c r="M56" s="10">
        <f t="shared" si="4"/>
        <v>0.36683253711265257</v>
      </c>
      <c r="P56" s="8">
        <f t="shared" si="5"/>
        <v>9.3977300830751478</v>
      </c>
      <c r="S56" s="11"/>
    </row>
    <row r="57" spans="1:25" x14ac:dyDescent="0.2">
      <c r="A57" s="8">
        <v>27.5</v>
      </c>
      <c r="B57" s="8">
        <v>55</v>
      </c>
      <c r="D57">
        <v>382.6645519429</v>
      </c>
      <c r="E57">
        <v>204.75495638382</v>
      </c>
      <c r="F57">
        <v>124.17260490895001</v>
      </c>
      <c r="G57">
        <v>110.42596991291001</v>
      </c>
      <c r="I57" s="9">
        <f t="shared" si="1"/>
        <v>94.328986470909996</v>
      </c>
      <c r="J57" s="9">
        <f t="shared" si="2"/>
        <v>258.49194703395</v>
      </c>
      <c r="K57" s="9">
        <f t="shared" si="3"/>
        <v>94.328986470909996</v>
      </c>
      <c r="L57" s="10">
        <f t="shared" si="0"/>
        <v>0.36492040681840254</v>
      </c>
      <c r="M57" s="10">
        <f t="shared" si="4"/>
        <v>0.36962482343463815</v>
      </c>
      <c r="P57" s="8">
        <f t="shared" si="5"/>
        <v>10.230452795655665</v>
      </c>
      <c r="S57" s="11"/>
    </row>
    <row r="58" spans="1:25" x14ac:dyDescent="0.2">
      <c r="A58" s="8">
        <v>28</v>
      </c>
      <c r="B58" s="8">
        <v>56</v>
      </c>
      <c r="D58">
        <v>379.56859635209997</v>
      </c>
      <c r="E58">
        <v>200.39651070579001</v>
      </c>
      <c r="F58">
        <v>123.79889152811</v>
      </c>
      <c r="G58">
        <v>110.10768012667999</v>
      </c>
      <c r="I58" s="9">
        <f t="shared" si="1"/>
        <v>90.288830579110012</v>
      </c>
      <c r="J58" s="9">
        <f t="shared" si="2"/>
        <v>255.76970482398997</v>
      </c>
      <c r="K58" s="9">
        <f t="shared" si="3"/>
        <v>90.288830579110012</v>
      </c>
      <c r="L58" s="10">
        <f t="shared" si="0"/>
        <v>0.35300830738043437</v>
      </c>
      <c r="M58" s="10">
        <f t="shared" si="4"/>
        <v>0.35779825884423794</v>
      </c>
      <c r="P58" s="8">
        <f t="shared" si="5"/>
        <v>6.703504692703345</v>
      </c>
      <c r="S58" s="11"/>
    </row>
    <row r="59" spans="1:25" x14ac:dyDescent="0.2">
      <c r="A59" s="8">
        <v>28.5</v>
      </c>
      <c r="B59" s="8">
        <v>57</v>
      </c>
      <c r="D59">
        <v>393.75574940523001</v>
      </c>
      <c r="E59">
        <v>201.67882632831001</v>
      </c>
      <c r="F59">
        <v>123.67775138559</v>
      </c>
      <c r="G59">
        <v>110.16706254949</v>
      </c>
      <c r="I59" s="9">
        <f t="shared" si="1"/>
        <v>91.511763778820011</v>
      </c>
      <c r="J59" s="9">
        <f t="shared" si="2"/>
        <v>270.07799801964001</v>
      </c>
      <c r="K59" s="9">
        <f t="shared" si="3"/>
        <v>91.511763778820011</v>
      </c>
      <c r="L59" s="10">
        <f t="shared" si="0"/>
        <v>0.33883457538131373</v>
      </c>
      <c r="M59" s="10">
        <f t="shared" si="4"/>
        <v>0.3437100616926852</v>
      </c>
      <c r="P59" s="8">
        <f t="shared" si="5"/>
        <v>2.5020867883002409</v>
      </c>
      <c r="R59" s="1"/>
      <c r="S59" s="11"/>
    </row>
    <row r="60" spans="1:25" x14ac:dyDescent="0.2">
      <c r="A60" s="8">
        <v>29</v>
      </c>
      <c r="B60" s="8">
        <v>58</v>
      </c>
      <c r="D60">
        <v>386.48215701824</v>
      </c>
      <c r="E60">
        <v>198.1371927042</v>
      </c>
      <c r="F60">
        <v>123.70387965162</v>
      </c>
      <c r="G60">
        <v>110.22406967537999</v>
      </c>
      <c r="I60" s="9">
        <f t="shared" si="1"/>
        <v>87.91312302882001</v>
      </c>
      <c r="J60" s="9">
        <f t="shared" si="2"/>
        <v>262.77827736661999</v>
      </c>
      <c r="K60" s="9">
        <f t="shared" si="3"/>
        <v>87.91312302882001</v>
      </c>
      <c r="L60" s="10">
        <f t="shared" si="0"/>
        <v>0.33455247484618522</v>
      </c>
      <c r="M60" s="10">
        <f t="shared" si="4"/>
        <v>0.33951349600512459</v>
      </c>
      <c r="P60" s="8">
        <f t="shared" si="5"/>
        <v>1.2505763198527164</v>
      </c>
      <c r="S60" s="11"/>
    </row>
    <row r="61" spans="1:25" x14ac:dyDescent="0.2">
      <c r="A61" s="8">
        <v>29.5</v>
      </c>
      <c r="B61" s="8">
        <v>59</v>
      </c>
      <c r="C61" s="2"/>
      <c r="D61">
        <v>388.16865552904</v>
      </c>
      <c r="E61">
        <v>198.66984884646001</v>
      </c>
      <c r="F61">
        <v>124.15201900238</v>
      </c>
      <c r="G61">
        <v>110.3135391924</v>
      </c>
      <c r="I61" s="9">
        <f t="shared" si="1"/>
        <v>88.356309654060013</v>
      </c>
      <c r="J61" s="9">
        <f t="shared" si="2"/>
        <v>264.01663652666002</v>
      </c>
      <c r="K61" s="9">
        <f t="shared" si="3"/>
        <v>88.356309654060013</v>
      </c>
      <c r="L61" s="10">
        <f t="shared" si="0"/>
        <v>0.33466190167579807</v>
      </c>
      <c r="M61" s="10">
        <f t="shared" si="4"/>
        <v>0.3397084576823054</v>
      </c>
      <c r="P61" s="8">
        <f t="shared" si="5"/>
        <v>1.3087182859515947</v>
      </c>
      <c r="S61" s="11"/>
    </row>
    <row r="62" spans="1:25" x14ac:dyDescent="0.2">
      <c r="A62" s="8">
        <v>30</v>
      </c>
      <c r="B62" s="8">
        <v>60</v>
      </c>
      <c r="D62">
        <v>373.60302307080002</v>
      </c>
      <c r="E62">
        <v>197.99602227526</v>
      </c>
      <c r="F62">
        <v>123.93111638955</v>
      </c>
      <c r="G62">
        <v>110.12034837688</v>
      </c>
      <c r="I62" s="9">
        <f t="shared" si="1"/>
        <v>87.875673898380001</v>
      </c>
      <c r="J62" s="9">
        <f t="shared" si="2"/>
        <v>249.67190668125002</v>
      </c>
      <c r="K62" s="9">
        <f t="shared" si="3"/>
        <v>87.875673898380001</v>
      </c>
      <c r="L62" s="10">
        <f t="shared" si="0"/>
        <v>0.35196460453425665</v>
      </c>
      <c r="M62" s="10">
        <f t="shared" si="4"/>
        <v>0.35709669538833189</v>
      </c>
      <c r="P62" s="8">
        <f t="shared" si="5"/>
        <v>6.4942826586126507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365.06205250596997</v>
      </c>
      <c r="E63">
        <v>197.80270485282</v>
      </c>
      <c r="F63">
        <v>124.26365795725</v>
      </c>
      <c r="G63">
        <v>110.02375296912</v>
      </c>
      <c r="I63" s="9">
        <f t="shared" si="1"/>
        <v>87.778951883700003</v>
      </c>
      <c r="J63" s="9">
        <f t="shared" si="2"/>
        <v>240.79839454871995</v>
      </c>
      <c r="K63" s="9">
        <f t="shared" si="3"/>
        <v>87.778951883700003</v>
      </c>
      <c r="L63" s="10">
        <f t="shared" si="0"/>
        <v>0.36453296147678416</v>
      </c>
      <c r="M63" s="10">
        <f t="shared" si="4"/>
        <v>0.36975058717842729</v>
      </c>
      <c r="P63" s="8">
        <f t="shared" si="5"/>
        <v>10.267958378463486</v>
      </c>
    </row>
    <row r="64" spans="1:25" x14ac:dyDescent="0.2">
      <c r="A64" s="8">
        <v>31</v>
      </c>
      <c r="B64" s="8">
        <v>62</v>
      </c>
      <c r="D64">
        <v>372.06682577565999</v>
      </c>
      <c r="E64">
        <v>200.63325377883999</v>
      </c>
      <c r="F64">
        <v>124.2098178939</v>
      </c>
      <c r="G64">
        <v>109.97070467141999</v>
      </c>
      <c r="I64" s="9">
        <f t="shared" si="1"/>
        <v>90.662549107419991</v>
      </c>
      <c r="J64" s="9">
        <f t="shared" si="2"/>
        <v>247.85700788176001</v>
      </c>
      <c r="K64" s="9">
        <f t="shared" si="3"/>
        <v>90.662549107419991</v>
      </c>
      <c r="L64" s="10">
        <f t="shared" si="0"/>
        <v>0.36578569991723003</v>
      </c>
      <c r="M64" s="10">
        <f t="shared" si="4"/>
        <v>0.37108886046644107</v>
      </c>
      <c r="P64" s="8">
        <f t="shared" si="5"/>
        <v>10.66706163438476</v>
      </c>
      <c r="U64" s="8">
        <v>30.5</v>
      </c>
      <c r="V64" s="10">
        <f>L62</f>
        <v>0.35196460453425665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392.65393794749002</v>
      </c>
      <c r="E65">
        <v>208.52426412092001</v>
      </c>
      <c r="F65">
        <v>123.96041171813</v>
      </c>
      <c r="G65">
        <v>109.94853523357</v>
      </c>
      <c r="I65" s="9">
        <f t="shared" si="1"/>
        <v>98.57572888735001</v>
      </c>
      <c r="J65" s="9">
        <f t="shared" si="2"/>
        <v>268.69352622936003</v>
      </c>
      <c r="K65" s="9">
        <f t="shared" si="3"/>
        <v>98.57572888735001</v>
      </c>
      <c r="L65" s="10">
        <f t="shared" si="0"/>
        <v>0.36687050213187711</v>
      </c>
      <c r="M65" s="10">
        <f t="shared" si="4"/>
        <v>0.37225919752865611</v>
      </c>
      <c r="P65" s="8">
        <f t="shared" si="5"/>
        <v>11.016082522897442</v>
      </c>
      <c r="U65" s="8">
        <v>31</v>
      </c>
      <c r="V65" s="10">
        <f t="shared" ref="V65:V83" si="6">L63</f>
        <v>0.36453296147678416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395.82259347653002</v>
      </c>
      <c r="E66">
        <v>205.86077963405</v>
      </c>
      <c r="F66">
        <v>123.99762470309</v>
      </c>
      <c r="G66">
        <v>110.19319081552</v>
      </c>
      <c r="I66" s="9">
        <f t="shared" si="1"/>
        <v>95.667588818530007</v>
      </c>
      <c r="J66" s="9">
        <f t="shared" si="2"/>
        <v>271.82496877343999</v>
      </c>
      <c r="K66" s="9">
        <f t="shared" si="3"/>
        <v>95.667588818530007</v>
      </c>
      <c r="L66" s="10">
        <f t="shared" ref="L66:L129" si="7">K66/J66</f>
        <v>0.35194555250098014</v>
      </c>
      <c r="M66" s="10">
        <f t="shared" si="4"/>
        <v>0.35741978274532704</v>
      </c>
      <c r="P66" s="8">
        <f t="shared" si="5"/>
        <v>6.5906345900743775</v>
      </c>
      <c r="U66" s="8">
        <v>31.5</v>
      </c>
      <c r="V66" s="10">
        <f t="shared" si="6"/>
        <v>0.36578569991723003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393.50676213205998</v>
      </c>
      <c r="E67">
        <v>203.52665075576999</v>
      </c>
      <c r="F67">
        <v>123.90973871734001</v>
      </c>
      <c r="G67">
        <v>110.01108471892</v>
      </c>
      <c r="I67" s="9">
        <f t="shared" ref="I67:I130" si="8">E67-G67</f>
        <v>93.515566036849989</v>
      </c>
      <c r="J67" s="9">
        <f t="shared" ref="J67:J130" si="9">D67-F67</f>
        <v>269.59702341471996</v>
      </c>
      <c r="K67" s="9">
        <f t="shared" ref="K67:K130" si="10">I67*1</f>
        <v>93.515566036849989</v>
      </c>
      <c r="L67" s="10">
        <f t="shared" si="7"/>
        <v>0.3468716562682348</v>
      </c>
      <c r="M67" s="10">
        <f t="shared" ref="M67:M130" si="11">L67+ABS($N$2)*A67</f>
        <v>0.3524314213601496</v>
      </c>
      <c r="P67" s="8">
        <f t="shared" ref="P67:P130" si="12">(M67-$O$2)/$O$2*100</f>
        <v>5.1029927994420223</v>
      </c>
      <c r="U67" s="8">
        <v>32</v>
      </c>
      <c r="V67" s="10">
        <f t="shared" si="6"/>
        <v>0.36687050213187711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382.29355608591999</v>
      </c>
      <c r="E68">
        <v>199.89976133651999</v>
      </c>
      <c r="F68">
        <v>123.85114806017</v>
      </c>
      <c r="G68">
        <v>110.18289786223001</v>
      </c>
      <c r="I68" s="9">
        <f t="shared" si="8"/>
        <v>89.71686347428998</v>
      </c>
      <c r="J68" s="9">
        <f t="shared" si="9"/>
        <v>258.44240802574996</v>
      </c>
      <c r="K68" s="9">
        <f t="shared" si="10"/>
        <v>89.71686347428998</v>
      </c>
      <c r="L68" s="10">
        <f t="shared" si="7"/>
        <v>0.34714451145862651</v>
      </c>
      <c r="M68" s="10">
        <f t="shared" si="11"/>
        <v>0.35278981139810928</v>
      </c>
      <c r="P68" s="8">
        <f t="shared" si="12"/>
        <v>5.2098727860042162</v>
      </c>
      <c r="U68" s="8">
        <v>32.5</v>
      </c>
      <c r="V68" s="10">
        <f t="shared" si="6"/>
        <v>0.35194555250098014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376.70485282419003</v>
      </c>
      <c r="E69">
        <v>197.73508353221999</v>
      </c>
      <c r="F69">
        <v>124.22327790974001</v>
      </c>
      <c r="G69">
        <v>110.3665874901</v>
      </c>
      <c r="I69" s="9">
        <f t="shared" si="8"/>
        <v>87.368496042119986</v>
      </c>
      <c r="J69" s="9">
        <f t="shared" si="9"/>
        <v>252.48157491445002</v>
      </c>
      <c r="K69" s="9">
        <f t="shared" si="10"/>
        <v>87.368496042119986</v>
      </c>
      <c r="L69" s="10">
        <f t="shared" si="7"/>
        <v>0.3460390964042569</v>
      </c>
      <c r="M69" s="10">
        <f t="shared" si="11"/>
        <v>0.35176993119130756</v>
      </c>
      <c r="P69" s="8">
        <f t="shared" si="12"/>
        <v>4.9057215227085571</v>
      </c>
      <c r="U69" s="8">
        <v>33</v>
      </c>
      <c r="V69" s="10">
        <f t="shared" si="6"/>
        <v>0.3468716562682348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397.32458233889997</v>
      </c>
      <c r="E70">
        <v>200.06603023071</v>
      </c>
      <c r="F70">
        <v>124.09897070466999</v>
      </c>
      <c r="G70">
        <v>110.31591448931</v>
      </c>
      <c r="I70" s="9">
        <f t="shared" si="8"/>
        <v>89.750115741399995</v>
      </c>
      <c r="J70" s="9">
        <f t="shared" si="9"/>
        <v>273.22561163422995</v>
      </c>
      <c r="K70" s="9">
        <f t="shared" si="10"/>
        <v>89.750115741399995</v>
      </c>
      <c r="L70" s="10">
        <f t="shared" si="7"/>
        <v>0.32848353858403817</v>
      </c>
      <c r="M70" s="10">
        <f t="shared" si="11"/>
        <v>0.33429990821865674</v>
      </c>
      <c r="P70" s="8">
        <f t="shared" si="12"/>
        <v>-0.3042330597015141</v>
      </c>
      <c r="U70" s="8">
        <v>33.5</v>
      </c>
      <c r="V70" s="10">
        <f t="shared" si="6"/>
        <v>0.34714451145862651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393.35879077167999</v>
      </c>
      <c r="E71">
        <v>197.99761336515999</v>
      </c>
      <c r="F71">
        <v>123.40855106888</v>
      </c>
      <c r="G71">
        <v>110.09976247031</v>
      </c>
      <c r="I71" s="9">
        <f t="shared" si="8"/>
        <v>87.897850894849995</v>
      </c>
      <c r="J71" s="9">
        <f t="shared" si="9"/>
        <v>269.95023970279999</v>
      </c>
      <c r="K71" s="9">
        <f t="shared" si="10"/>
        <v>87.897850894849995</v>
      </c>
      <c r="L71" s="10">
        <f t="shared" si="7"/>
        <v>0.32560760454082416</v>
      </c>
      <c r="M71" s="10">
        <f t="shared" si="11"/>
        <v>0.33150950902301068</v>
      </c>
      <c r="P71" s="8">
        <f t="shared" si="12"/>
        <v>-1.1363929886763313</v>
      </c>
      <c r="U71" s="8">
        <v>34</v>
      </c>
      <c r="V71" s="10">
        <f t="shared" si="6"/>
        <v>0.3460390964042569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394.10103420843001</v>
      </c>
      <c r="E72">
        <v>196.74940334128999</v>
      </c>
      <c r="F72">
        <v>124.43230403801</v>
      </c>
      <c r="G72">
        <v>110.06650831354</v>
      </c>
      <c r="I72" s="9">
        <f t="shared" si="8"/>
        <v>86.682895027749993</v>
      </c>
      <c r="J72" s="9">
        <f t="shared" si="9"/>
        <v>269.66873017042002</v>
      </c>
      <c r="K72" s="9">
        <f t="shared" si="10"/>
        <v>86.682895027749993</v>
      </c>
      <c r="L72" s="10">
        <f t="shared" si="7"/>
        <v>0.32144214486036188</v>
      </c>
      <c r="M72" s="10">
        <f t="shared" si="11"/>
        <v>0.32742958419011631</v>
      </c>
      <c r="P72" s="8">
        <f t="shared" si="12"/>
        <v>-2.3531185254602924</v>
      </c>
      <c r="U72" s="8">
        <v>34.5</v>
      </c>
      <c r="V72" s="10">
        <f t="shared" si="6"/>
        <v>0.32848353858403817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403.60461416070001</v>
      </c>
      <c r="E73">
        <v>197.27525855210999</v>
      </c>
      <c r="F73">
        <v>123.60570071258999</v>
      </c>
      <c r="G73">
        <v>110.40934283452</v>
      </c>
      <c r="I73" s="9">
        <f t="shared" si="8"/>
        <v>86.865915717589985</v>
      </c>
      <c r="J73" s="9">
        <f t="shared" si="9"/>
        <v>279.99891344810999</v>
      </c>
      <c r="K73" s="9">
        <f t="shared" si="10"/>
        <v>86.865915717589985</v>
      </c>
      <c r="L73" s="10">
        <f t="shared" si="7"/>
        <v>0.310236617163474</v>
      </c>
      <c r="M73" s="10">
        <f t="shared" si="11"/>
        <v>0.31630959134079634</v>
      </c>
      <c r="P73" s="8">
        <f t="shared" si="12"/>
        <v>-5.6693510108083673</v>
      </c>
      <c r="U73" s="8">
        <v>35</v>
      </c>
      <c r="V73" s="10">
        <f t="shared" si="6"/>
        <v>0.32560760454082416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408.31662688941998</v>
      </c>
      <c r="E74">
        <v>197.78918058869999</v>
      </c>
      <c r="F74">
        <v>123.87885985747999</v>
      </c>
      <c r="G74">
        <v>109.74742676168</v>
      </c>
      <c r="I74" s="9">
        <f t="shared" si="8"/>
        <v>88.041753827019988</v>
      </c>
      <c r="J74" s="9">
        <f t="shared" si="9"/>
        <v>284.43776703193998</v>
      </c>
      <c r="K74" s="9">
        <f t="shared" si="10"/>
        <v>88.041753827019988</v>
      </c>
      <c r="L74" s="10">
        <f t="shared" si="7"/>
        <v>0.30952905707888517</v>
      </c>
      <c r="M74" s="10">
        <f t="shared" si="11"/>
        <v>0.31568756610377546</v>
      </c>
      <c r="P74" s="8">
        <f t="shared" si="12"/>
        <v>-5.8548529554288722</v>
      </c>
      <c r="U74" s="8">
        <v>35.5</v>
      </c>
      <c r="V74" s="10">
        <f t="shared" si="6"/>
        <v>0.32144214486036188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407.57040572791999</v>
      </c>
      <c r="E75">
        <v>197.0477326969</v>
      </c>
      <c r="F75">
        <v>123.7521773555</v>
      </c>
      <c r="G75">
        <v>110.25890736341999</v>
      </c>
      <c r="I75" s="9">
        <f t="shared" si="8"/>
        <v>86.788825333480005</v>
      </c>
      <c r="J75" s="9">
        <f t="shared" si="9"/>
        <v>283.81822837241998</v>
      </c>
      <c r="K75" s="9">
        <f t="shared" si="10"/>
        <v>86.788825333480005</v>
      </c>
      <c r="L75" s="10">
        <f t="shared" si="7"/>
        <v>0.30579017363041827</v>
      </c>
      <c r="M75" s="10">
        <f t="shared" si="11"/>
        <v>0.31203421750287647</v>
      </c>
      <c r="P75" s="8">
        <f t="shared" si="12"/>
        <v>-6.9443638458376826</v>
      </c>
      <c r="U75" s="8">
        <v>36</v>
      </c>
      <c r="V75" s="10">
        <f t="shared" si="6"/>
        <v>0.310236617163474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405.28719172632998</v>
      </c>
      <c r="E76">
        <v>196.66030230708</v>
      </c>
      <c r="F76">
        <v>123.97624703088</v>
      </c>
      <c r="G76">
        <v>109.81551860649</v>
      </c>
      <c r="I76" s="9">
        <f t="shared" si="8"/>
        <v>86.84478370059</v>
      </c>
      <c r="J76" s="9">
        <f t="shared" si="9"/>
        <v>281.31094469544996</v>
      </c>
      <c r="K76" s="9">
        <f t="shared" si="10"/>
        <v>86.84478370059</v>
      </c>
      <c r="L76" s="10">
        <f t="shared" si="7"/>
        <v>0.30871455710551549</v>
      </c>
      <c r="M76" s="10">
        <f t="shared" si="11"/>
        <v>0.31504413582554158</v>
      </c>
      <c r="P76" s="8">
        <f t="shared" si="12"/>
        <v>-6.0467383657568323</v>
      </c>
      <c r="U76" s="8">
        <v>36.5</v>
      </c>
      <c r="V76" s="10">
        <f t="shared" si="6"/>
        <v>0.30952905707888517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410.19093078758999</v>
      </c>
      <c r="E77">
        <v>197.01431980907</v>
      </c>
      <c r="F77">
        <v>123.6334125099</v>
      </c>
      <c r="G77">
        <v>110.00554235945999</v>
      </c>
      <c r="I77" s="9">
        <f t="shared" si="8"/>
        <v>87.008777449610008</v>
      </c>
      <c r="J77" s="9">
        <f t="shared" si="9"/>
        <v>286.55751827769001</v>
      </c>
      <c r="K77" s="9">
        <f t="shared" si="10"/>
        <v>87.008777449610008</v>
      </c>
      <c r="L77" s="10">
        <f t="shared" si="7"/>
        <v>0.30363460003619136</v>
      </c>
      <c r="M77" s="10">
        <f t="shared" si="11"/>
        <v>0.31004971360378542</v>
      </c>
      <c r="P77" s="8">
        <f t="shared" si="12"/>
        <v>-7.536187634453527</v>
      </c>
      <c r="U77" s="8">
        <v>37</v>
      </c>
      <c r="V77" s="10">
        <f t="shared" si="6"/>
        <v>0.30579017363041827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407.55529037391</v>
      </c>
      <c r="E78">
        <v>197.22434367541999</v>
      </c>
      <c r="F78">
        <v>123.93269992082</v>
      </c>
      <c r="G78">
        <v>109.80997624702999</v>
      </c>
      <c r="I78" s="9">
        <f t="shared" si="8"/>
        <v>87.414367428389994</v>
      </c>
      <c r="J78" s="9">
        <f t="shared" si="9"/>
        <v>283.62259045308997</v>
      </c>
      <c r="K78" s="9">
        <f t="shared" si="10"/>
        <v>87.414367428389994</v>
      </c>
      <c r="L78" s="10">
        <f t="shared" si="7"/>
        <v>0.30820664633499278</v>
      </c>
      <c r="M78" s="10">
        <f t="shared" si="11"/>
        <v>0.31470729475015474</v>
      </c>
      <c r="P78" s="8">
        <f t="shared" si="12"/>
        <v>-6.14719196601843</v>
      </c>
      <c r="U78" s="8">
        <v>37.5</v>
      </c>
      <c r="V78" s="10">
        <f t="shared" si="6"/>
        <v>0.30871455710551549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412.68416865553002</v>
      </c>
      <c r="E79">
        <v>198.37151949085001</v>
      </c>
      <c r="F79">
        <v>123.68804433888</v>
      </c>
      <c r="G79">
        <v>110.00316706255001</v>
      </c>
      <c r="I79" s="9">
        <f t="shared" si="8"/>
        <v>88.3683524283</v>
      </c>
      <c r="J79" s="9">
        <f t="shared" si="9"/>
        <v>288.99612431665003</v>
      </c>
      <c r="K79" s="9">
        <f t="shared" si="10"/>
        <v>88.3683524283</v>
      </c>
      <c r="L79" s="10">
        <f t="shared" si="7"/>
        <v>0.30577694644609049</v>
      </c>
      <c r="M79" s="10">
        <f t="shared" si="11"/>
        <v>0.31236312970882035</v>
      </c>
      <c r="P79" s="8">
        <f t="shared" si="12"/>
        <v>-6.8462748131414672</v>
      </c>
      <c r="U79" s="8">
        <v>38</v>
      </c>
      <c r="V79" s="10">
        <f t="shared" si="6"/>
        <v>0.30363460003619136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394.98170246618997</v>
      </c>
      <c r="E80">
        <v>194.06603023071</v>
      </c>
      <c r="F80">
        <v>123.75138558987</v>
      </c>
      <c r="G80">
        <v>110.12826603325</v>
      </c>
      <c r="I80" s="9">
        <f t="shared" si="8"/>
        <v>83.937764197459998</v>
      </c>
      <c r="J80" s="9">
        <f t="shared" si="9"/>
        <v>271.23031687631999</v>
      </c>
      <c r="K80" s="9">
        <f t="shared" si="10"/>
        <v>83.937764197459998</v>
      </c>
      <c r="L80" s="10">
        <f t="shared" si="7"/>
        <v>0.3094704351790265</v>
      </c>
      <c r="M80" s="10">
        <f t="shared" si="11"/>
        <v>0.31614215328932432</v>
      </c>
      <c r="P80" s="8">
        <f t="shared" si="12"/>
        <v>-5.7192848114050854</v>
      </c>
      <c r="U80" s="8">
        <v>38.5</v>
      </c>
      <c r="V80" s="10">
        <f t="shared" si="6"/>
        <v>0.30820664633499278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392.24661893397001</v>
      </c>
      <c r="E81">
        <v>192.89021479714</v>
      </c>
      <c r="F81">
        <v>124.03483768804</v>
      </c>
      <c r="G81">
        <v>109.88915281077</v>
      </c>
      <c r="I81" s="9">
        <f t="shared" si="8"/>
        <v>83.001061986370004</v>
      </c>
      <c r="J81" s="9">
        <f t="shared" si="9"/>
        <v>268.21178124593001</v>
      </c>
      <c r="K81" s="9">
        <f t="shared" si="10"/>
        <v>83.001061986370004</v>
      </c>
      <c r="L81" s="10">
        <f t="shared" si="7"/>
        <v>0.30946091033288459</v>
      </c>
      <c r="M81" s="10">
        <f t="shared" si="11"/>
        <v>0.31621816329075031</v>
      </c>
      <c r="P81" s="8">
        <f t="shared" si="12"/>
        <v>-5.6966169158986943</v>
      </c>
      <c r="U81" s="8">
        <v>39</v>
      </c>
      <c r="V81" s="10">
        <f t="shared" si="6"/>
        <v>0.30577694644609049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395.28082736674997</v>
      </c>
      <c r="E82">
        <v>192.99284009547</v>
      </c>
      <c r="F82">
        <v>123.72367379256001</v>
      </c>
      <c r="G82">
        <v>109.91290577989</v>
      </c>
      <c r="H82" s="13"/>
      <c r="I82" s="14">
        <f t="shared" si="8"/>
        <v>83.079934315580005</v>
      </c>
      <c r="J82" s="14">
        <f t="shared" si="9"/>
        <v>271.55715357418995</v>
      </c>
      <c r="K82" s="9">
        <f t="shared" si="10"/>
        <v>83.079934315580005</v>
      </c>
      <c r="L82" s="15">
        <f t="shared" si="7"/>
        <v>0.30593903795976563</v>
      </c>
      <c r="M82" s="15">
        <f t="shared" si="11"/>
        <v>0.31278182576519925</v>
      </c>
      <c r="N82" s="13"/>
      <c r="O82" s="13"/>
      <c r="P82" s="13">
        <f t="shared" si="12"/>
        <v>-6.721410212735206</v>
      </c>
      <c r="U82" s="8">
        <v>39.5</v>
      </c>
      <c r="V82" s="10">
        <f t="shared" si="6"/>
        <v>0.3094704351790265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401.22991249005997</v>
      </c>
      <c r="E83">
        <v>192.86873508353</v>
      </c>
      <c r="F83">
        <v>123.69121140143</v>
      </c>
      <c r="G83">
        <v>109.97070467141999</v>
      </c>
      <c r="I83" s="9">
        <f t="shared" si="8"/>
        <v>82.898030412110003</v>
      </c>
      <c r="J83" s="9">
        <f t="shared" si="9"/>
        <v>277.53870108862998</v>
      </c>
      <c r="K83" s="9">
        <f t="shared" si="10"/>
        <v>82.898030412110003</v>
      </c>
      <c r="L83" s="10">
        <f t="shared" si="7"/>
        <v>0.29868998480913522</v>
      </c>
      <c r="M83" s="10">
        <f t="shared" si="11"/>
        <v>0.30561830746213675</v>
      </c>
      <c r="P83" s="8">
        <f t="shared" si="12"/>
        <v>-8.8577328190446281</v>
      </c>
      <c r="U83" s="8">
        <v>40</v>
      </c>
      <c r="V83" s="10">
        <f t="shared" si="6"/>
        <v>0.30946091033288459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394.97056483691</v>
      </c>
      <c r="E84">
        <v>192.34049323786999</v>
      </c>
      <c r="F84">
        <v>123.3982581156</v>
      </c>
      <c r="G84">
        <v>110.144101346</v>
      </c>
      <c r="I84" s="9">
        <f t="shared" si="8"/>
        <v>82.196391891869993</v>
      </c>
      <c r="J84" s="9">
        <f t="shared" si="9"/>
        <v>271.57230672130999</v>
      </c>
      <c r="K84" s="9">
        <f t="shared" si="10"/>
        <v>82.196391891869993</v>
      </c>
      <c r="L84" s="10">
        <f t="shared" si="7"/>
        <v>0.30266853378470837</v>
      </c>
      <c r="M84" s="10">
        <f t="shared" si="11"/>
        <v>0.30968239128527786</v>
      </c>
      <c r="P84" s="8">
        <f t="shared" si="12"/>
        <v>-7.6457314283870481</v>
      </c>
      <c r="U84" s="8">
        <v>150.5</v>
      </c>
      <c r="V84" s="10">
        <f>L302</f>
        <v>0.29945049873305063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389.05807478123</v>
      </c>
      <c r="E85">
        <v>189.80827366746001</v>
      </c>
      <c r="F85">
        <v>124.08076009501001</v>
      </c>
      <c r="G85">
        <v>110.32620744259999</v>
      </c>
      <c r="I85" s="9">
        <f t="shared" si="8"/>
        <v>79.48206622486002</v>
      </c>
      <c r="J85" s="9">
        <f t="shared" si="9"/>
        <v>264.97731468621998</v>
      </c>
      <c r="K85" s="9">
        <f t="shared" si="10"/>
        <v>79.48206622486002</v>
      </c>
      <c r="L85" s="10">
        <f t="shared" si="7"/>
        <v>0.29995800326900002</v>
      </c>
      <c r="M85" s="10">
        <f t="shared" si="11"/>
        <v>0.30705739561713741</v>
      </c>
      <c r="P85" s="8">
        <f t="shared" si="12"/>
        <v>-8.4285642976651705</v>
      </c>
      <c r="U85" s="8">
        <v>151</v>
      </c>
      <c r="V85" s="10">
        <f t="shared" ref="V85:V103" si="13">L303</f>
        <v>0.30156207157802212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396.52585521082</v>
      </c>
      <c r="E86">
        <v>191.73508353221999</v>
      </c>
      <c r="F86">
        <v>123.90419635788</v>
      </c>
      <c r="G86">
        <v>110.00712589074</v>
      </c>
      <c r="I86" s="9">
        <f t="shared" si="8"/>
        <v>81.727957641479989</v>
      </c>
      <c r="J86" s="9">
        <f t="shared" si="9"/>
        <v>272.62165885294002</v>
      </c>
      <c r="K86" s="9">
        <f t="shared" si="10"/>
        <v>81.727957641479989</v>
      </c>
      <c r="L86" s="10">
        <f t="shared" si="7"/>
        <v>0.29978527012619494</v>
      </c>
      <c r="M86" s="10">
        <f t="shared" si="11"/>
        <v>0.30697019732190023</v>
      </c>
      <c r="P86" s="8">
        <f t="shared" si="12"/>
        <v>-8.4545687945430767</v>
      </c>
      <c r="U86" s="8">
        <v>151.5</v>
      </c>
      <c r="V86" s="10">
        <f t="shared" si="13"/>
        <v>0.31145326121202044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389.13285600635999</v>
      </c>
      <c r="E87">
        <v>189.56961018298</v>
      </c>
      <c r="F87">
        <v>123.60886777514</v>
      </c>
      <c r="G87">
        <v>109.98970704671</v>
      </c>
      <c r="I87" s="9">
        <f t="shared" si="8"/>
        <v>79.579903136270005</v>
      </c>
      <c r="J87" s="9">
        <f t="shared" si="9"/>
        <v>265.52398823121996</v>
      </c>
      <c r="K87" s="9">
        <f t="shared" si="10"/>
        <v>79.579903136270005</v>
      </c>
      <c r="L87" s="10">
        <f t="shared" si="7"/>
        <v>0.29970890263583766</v>
      </c>
      <c r="M87" s="10">
        <f t="shared" si="11"/>
        <v>0.30697936467911091</v>
      </c>
      <c r="P87" s="8">
        <f t="shared" si="12"/>
        <v>-8.4518348820128448</v>
      </c>
      <c r="U87" s="8">
        <v>152</v>
      </c>
      <c r="V87" s="10">
        <f t="shared" si="13"/>
        <v>0.31423379754747094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389.30310262530003</v>
      </c>
      <c r="E88">
        <v>189.96181384248001</v>
      </c>
      <c r="F88">
        <v>123.85748218527</v>
      </c>
      <c r="G88">
        <v>110.01504354711</v>
      </c>
      <c r="I88" s="9">
        <f t="shared" si="8"/>
        <v>79.946770295370015</v>
      </c>
      <c r="J88" s="9">
        <f t="shared" si="9"/>
        <v>265.44562044003004</v>
      </c>
      <c r="K88" s="9">
        <f t="shared" si="10"/>
        <v>79.946770295370015</v>
      </c>
      <c r="L88" s="10">
        <f t="shared" si="7"/>
        <v>0.30117946629837783</v>
      </c>
      <c r="M88" s="10">
        <f t="shared" si="11"/>
        <v>0.30853546318921898</v>
      </c>
      <c r="P88" s="8">
        <f t="shared" si="12"/>
        <v>-7.9877712356106159</v>
      </c>
      <c r="U88" s="8">
        <v>152.5</v>
      </c>
      <c r="V88" s="10">
        <f t="shared" si="13"/>
        <v>0.31313858150885326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392.96181384248001</v>
      </c>
      <c r="E89">
        <v>191.07080350039999</v>
      </c>
      <c r="F89">
        <v>123.43309580364</v>
      </c>
      <c r="G89">
        <v>109.98812351543999</v>
      </c>
      <c r="I89" s="9">
        <f t="shared" si="8"/>
        <v>81.082679984959995</v>
      </c>
      <c r="J89" s="9">
        <f t="shared" si="9"/>
        <v>269.52871803884</v>
      </c>
      <c r="K89" s="9">
        <f t="shared" si="10"/>
        <v>81.082679984959995</v>
      </c>
      <c r="L89" s="10">
        <f t="shared" si="7"/>
        <v>0.30083131984947037</v>
      </c>
      <c r="M89" s="10">
        <f t="shared" si="11"/>
        <v>0.30827285158787943</v>
      </c>
      <c r="P89" s="8">
        <f t="shared" si="12"/>
        <v>-8.0660879337589222</v>
      </c>
      <c r="U89" s="8">
        <v>153</v>
      </c>
      <c r="V89" s="10">
        <f t="shared" si="13"/>
        <v>0.3062049889722967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384.80111376293002</v>
      </c>
      <c r="E90">
        <v>191.22275258552</v>
      </c>
      <c r="F90">
        <v>123.50277117973</v>
      </c>
      <c r="G90">
        <v>109.86777513856001</v>
      </c>
      <c r="I90" s="9">
        <f t="shared" si="8"/>
        <v>81.354977446959992</v>
      </c>
      <c r="J90" s="9">
        <f t="shared" si="9"/>
        <v>261.2983425832</v>
      </c>
      <c r="K90" s="9">
        <f t="shared" si="10"/>
        <v>81.354977446959992</v>
      </c>
      <c r="L90" s="10">
        <f t="shared" si="7"/>
        <v>0.31134899916579362</v>
      </c>
      <c r="M90" s="10">
        <f t="shared" si="11"/>
        <v>0.31887606575177063</v>
      </c>
      <c r="P90" s="8">
        <f t="shared" si="12"/>
        <v>-4.9039704993444593</v>
      </c>
      <c r="U90" s="8">
        <v>153.5</v>
      </c>
      <c r="V90" s="10">
        <f t="shared" si="13"/>
        <v>0.30643394497518589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389.19331742243003</v>
      </c>
      <c r="E91">
        <v>191.77804295943</v>
      </c>
      <c r="F91">
        <v>123.72763262074</v>
      </c>
      <c r="G91">
        <v>109.88361045131001</v>
      </c>
      <c r="I91" s="9">
        <f t="shared" si="8"/>
        <v>81.894432508119991</v>
      </c>
      <c r="J91" s="9">
        <f t="shared" si="9"/>
        <v>265.46568480169003</v>
      </c>
      <c r="K91" s="9">
        <f t="shared" si="10"/>
        <v>81.894432508119991</v>
      </c>
      <c r="L91" s="10">
        <f t="shared" si="7"/>
        <v>0.30849347842941477</v>
      </c>
      <c r="M91" s="10">
        <f t="shared" si="11"/>
        <v>0.31610607986295969</v>
      </c>
      <c r="P91" s="8">
        <f t="shared" si="12"/>
        <v>-5.7300427201545983</v>
      </c>
      <c r="U91" s="8">
        <v>154</v>
      </c>
      <c r="V91" s="10">
        <f t="shared" si="13"/>
        <v>0.30745375356716814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390.49085123309999</v>
      </c>
      <c r="E92">
        <v>193.5107398568</v>
      </c>
      <c r="F92">
        <v>123.53998416469</v>
      </c>
      <c r="G92">
        <v>109.84481393508</v>
      </c>
      <c r="I92" s="9">
        <f t="shared" si="8"/>
        <v>83.665925921720003</v>
      </c>
      <c r="J92" s="9">
        <f t="shared" si="9"/>
        <v>266.95086706840999</v>
      </c>
      <c r="K92" s="9">
        <f t="shared" si="10"/>
        <v>83.665925921720003</v>
      </c>
      <c r="L92" s="10">
        <f t="shared" si="7"/>
        <v>0.31341320161466046</v>
      </c>
      <c r="M92" s="10">
        <f t="shared" si="11"/>
        <v>0.32111133789577329</v>
      </c>
      <c r="P92" s="8">
        <f t="shared" si="12"/>
        <v>-4.2373619683876651</v>
      </c>
      <c r="U92" s="8">
        <v>154.5</v>
      </c>
      <c r="V92" s="10">
        <f t="shared" si="13"/>
        <v>0.31177031417366124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403.90135242641003</v>
      </c>
      <c r="E93">
        <v>197.88862370723999</v>
      </c>
      <c r="F93">
        <v>123.39746634996</v>
      </c>
      <c r="G93">
        <v>110.13380839272</v>
      </c>
      <c r="I93" s="9">
        <f t="shared" si="8"/>
        <v>87.754815314519988</v>
      </c>
      <c r="J93" s="9">
        <f t="shared" si="9"/>
        <v>280.50388607645004</v>
      </c>
      <c r="K93" s="9">
        <f t="shared" si="10"/>
        <v>87.754815314519988</v>
      </c>
      <c r="L93" s="10">
        <f t="shared" si="7"/>
        <v>0.31284705727963719</v>
      </c>
      <c r="M93" s="10">
        <f t="shared" si="11"/>
        <v>0.32063072840831797</v>
      </c>
      <c r="P93" s="8">
        <f t="shared" si="12"/>
        <v>-4.3806905493195574</v>
      </c>
      <c r="U93" s="8">
        <v>155</v>
      </c>
      <c r="V93" s="10">
        <f t="shared" si="13"/>
        <v>0.31412131747936034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395.44948289578002</v>
      </c>
      <c r="E94">
        <v>195.96976929197001</v>
      </c>
      <c r="F94">
        <v>123.47585114806</v>
      </c>
      <c r="G94">
        <v>109.94932699921</v>
      </c>
      <c r="I94" s="9">
        <f t="shared" si="8"/>
        <v>86.020442292760009</v>
      </c>
      <c r="J94" s="9">
        <f t="shared" si="9"/>
        <v>271.97363174771999</v>
      </c>
      <c r="K94" s="9">
        <f t="shared" si="10"/>
        <v>86.020442292760009</v>
      </c>
      <c r="L94" s="10">
        <f t="shared" si="7"/>
        <v>0.31628228714668821</v>
      </c>
      <c r="M94" s="10">
        <f t="shared" si="11"/>
        <v>0.3241514931229369</v>
      </c>
      <c r="P94" s="8">
        <f t="shared" si="12"/>
        <v>-3.3307191619188403</v>
      </c>
      <c r="U94" s="8">
        <v>155.5</v>
      </c>
      <c r="V94" s="10">
        <f t="shared" si="13"/>
        <v>0.31002195610625771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389.62927605409999</v>
      </c>
      <c r="E95">
        <v>195.20047732697</v>
      </c>
      <c r="F95">
        <v>123.65558194774</v>
      </c>
      <c r="G95">
        <v>109.90102929533001</v>
      </c>
      <c r="I95" s="9">
        <f t="shared" si="8"/>
        <v>85.299448031639997</v>
      </c>
      <c r="J95" s="9">
        <f t="shared" si="9"/>
        <v>265.97369410635997</v>
      </c>
      <c r="K95" s="9">
        <f t="shared" si="10"/>
        <v>85.299448031639997</v>
      </c>
      <c r="L95" s="10">
        <f t="shared" si="7"/>
        <v>0.32070633270044246</v>
      </c>
      <c r="M95" s="10">
        <f t="shared" si="11"/>
        <v>0.32866107352425905</v>
      </c>
      <c r="P95" s="8">
        <f t="shared" si="12"/>
        <v>-1.9858606512348085</v>
      </c>
      <c r="U95" s="8">
        <v>156</v>
      </c>
      <c r="V95" s="10">
        <f t="shared" si="13"/>
        <v>0.31307052133043739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395.79236276850003</v>
      </c>
      <c r="E96">
        <v>195.23468575974999</v>
      </c>
      <c r="F96">
        <v>123.47426761679</v>
      </c>
      <c r="G96">
        <v>109.9746634996</v>
      </c>
      <c r="I96" s="9">
        <f t="shared" si="8"/>
        <v>85.260022260149995</v>
      </c>
      <c r="J96" s="9">
        <f t="shared" si="9"/>
        <v>272.31809515171005</v>
      </c>
      <c r="K96" s="9">
        <f t="shared" si="10"/>
        <v>85.260022260149995</v>
      </c>
      <c r="L96" s="10">
        <f t="shared" si="7"/>
        <v>0.31308981583706774</v>
      </c>
      <c r="M96" s="10">
        <f t="shared" si="11"/>
        <v>0.32113009150845229</v>
      </c>
      <c r="P96" s="8">
        <f t="shared" si="12"/>
        <v>-4.2317692184258213</v>
      </c>
      <c r="U96" s="8">
        <v>156.5</v>
      </c>
      <c r="V96" s="10">
        <f t="shared" si="13"/>
        <v>0.31324891889402739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397.97772474145</v>
      </c>
      <c r="E97">
        <v>198.95385839299999</v>
      </c>
      <c r="F97">
        <v>123.54631828978999</v>
      </c>
      <c r="G97">
        <v>110.20506730008</v>
      </c>
      <c r="I97" s="9">
        <f t="shared" si="8"/>
        <v>88.748791092919987</v>
      </c>
      <c r="J97" s="9">
        <f t="shared" si="9"/>
        <v>274.43140645166</v>
      </c>
      <c r="K97" s="9">
        <f t="shared" si="10"/>
        <v>88.748791092919987</v>
      </c>
      <c r="L97" s="10">
        <f t="shared" si="7"/>
        <v>0.32339152519175218</v>
      </c>
      <c r="M97" s="10">
        <f t="shared" si="11"/>
        <v>0.33151733571070463</v>
      </c>
      <c r="P97" s="8">
        <f t="shared" si="12"/>
        <v>-1.1340588940114302</v>
      </c>
      <c r="U97" s="8">
        <v>157</v>
      </c>
      <c r="V97" s="10">
        <f t="shared" si="13"/>
        <v>0.31220201754144355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390.26730310263002</v>
      </c>
      <c r="E98">
        <v>197.63484486874</v>
      </c>
      <c r="F98">
        <v>123.36737925574</v>
      </c>
      <c r="G98">
        <v>110.10372129850001</v>
      </c>
      <c r="I98" s="9">
        <f t="shared" si="8"/>
        <v>87.531123570239998</v>
      </c>
      <c r="J98" s="9">
        <f t="shared" si="9"/>
        <v>266.89992384689003</v>
      </c>
      <c r="K98" s="9">
        <f t="shared" si="10"/>
        <v>87.531123570239998</v>
      </c>
      <c r="L98" s="10">
        <f t="shared" si="7"/>
        <v>0.32795484655309665</v>
      </c>
      <c r="M98" s="10">
        <f t="shared" si="11"/>
        <v>0.336166191919617</v>
      </c>
      <c r="P98" s="8">
        <f t="shared" si="12"/>
        <v>0.25233480143506243</v>
      </c>
      <c r="U98" s="8">
        <v>157.5</v>
      </c>
      <c r="V98" s="10">
        <f t="shared" si="13"/>
        <v>0.30996817773748253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397.71042163881998</v>
      </c>
      <c r="E99">
        <v>197.14797136038001</v>
      </c>
      <c r="F99">
        <v>123.45526524149</v>
      </c>
      <c r="G99">
        <v>109.8368962787</v>
      </c>
      <c r="I99" s="9">
        <f t="shared" si="8"/>
        <v>87.311075081680016</v>
      </c>
      <c r="J99" s="9">
        <f t="shared" si="9"/>
        <v>274.25515639732998</v>
      </c>
      <c r="K99" s="9">
        <f t="shared" si="10"/>
        <v>87.311075081680016</v>
      </c>
      <c r="L99" s="10">
        <f t="shared" si="7"/>
        <v>0.31835709573747156</v>
      </c>
      <c r="M99" s="10">
        <f t="shared" si="11"/>
        <v>0.32665397595155982</v>
      </c>
      <c r="P99" s="8">
        <f t="shared" si="12"/>
        <v>-2.5844223825272445</v>
      </c>
      <c r="U99" s="8">
        <v>158</v>
      </c>
      <c r="V99" s="10">
        <f t="shared" si="13"/>
        <v>0.31154977529375766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396.91805887033001</v>
      </c>
      <c r="E100">
        <v>197.21638822593999</v>
      </c>
      <c r="F100">
        <v>123.54948535234</v>
      </c>
      <c r="G100">
        <v>109.42517814727</v>
      </c>
      <c r="I100" s="9">
        <f t="shared" si="8"/>
        <v>87.791210078669991</v>
      </c>
      <c r="J100" s="9">
        <f t="shared" si="9"/>
        <v>273.36857351799</v>
      </c>
      <c r="K100" s="9">
        <f t="shared" si="10"/>
        <v>87.791210078669991</v>
      </c>
      <c r="L100" s="10">
        <f t="shared" si="7"/>
        <v>0.32114594940040747</v>
      </c>
      <c r="M100" s="10">
        <f t="shared" si="11"/>
        <v>0.32952836446206368</v>
      </c>
      <c r="P100" s="8">
        <f t="shared" si="12"/>
        <v>-1.7272149469462841</v>
      </c>
      <c r="U100" s="8">
        <v>158.5</v>
      </c>
      <c r="V100" s="10">
        <f t="shared" si="13"/>
        <v>0.3074858619016767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393.01511535402</v>
      </c>
      <c r="E101">
        <v>195.32060461416</v>
      </c>
      <c r="F101">
        <v>123.47347585115</v>
      </c>
      <c r="G101">
        <v>109.6801266825</v>
      </c>
      <c r="I101" s="9">
        <f t="shared" si="8"/>
        <v>85.640477931660001</v>
      </c>
      <c r="J101" s="9">
        <f t="shared" si="9"/>
        <v>269.54163950287</v>
      </c>
      <c r="K101" s="9">
        <f t="shared" si="10"/>
        <v>85.640477931660001</v>
      </c>
      <c r="L101" s="10">
        <f t="shared" si="7"/>
        <v>0.31772633753215757</v>
      </c>
      <c r="M101" s="10">
        <f t="shared" si="11"/>
        <v>0.32619428744138168</v>
      </c>
      <c r="P101" s="8">
        <f t="shared" si="12"/>
        <v>-2.7215118565269711</v>
      </c>
      <c r="U101" s="8">
        <v>159</v>
      </c>
      <c r="V101" s="10">
        <f t="shared" si="13"/>
        <v>0.31248307273255815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388.23468575974999</v>
      </c>
      <c r="E102">
        <v>193.9785202864</v>
      </c>
      <c r="F102">
        <v>123.43467933492001</v>
      </c>
      <c r="G102">
        <v>109.72209026128</v>
      </c>
      <c r="I102" s="9">
        <f t="shared" si="8"/>
        <v>84.256430025119997</v>
      </c>
      <c r="J102" s="9">
        <f t="shared" si="9"/>
        <v>264.80000642482997</v>
      </c>
      <c r="K102" s="9">
        <f t="shared" si="10"/>
        <v>84.256430025119997</v>
      </c>
      <c r="L102" s="10">
        <f t="shared" si="7"/>
        <v>0.31818892741997823</v>
      </c>
      <c r="M102" s="10">
        <f t="shared" si="11"/>
        <v>0.32674241217677025</v>
      </c>
      <c r="P102" s="8">
        <f t="shared" si="12"/>
        <v>-2.558048707031372</v>
      </c>
      <c r="U102" s="8">
        <v>159.5</v>
      </c>
      <c r="V102" s="10">
        <f t="shared" si="13"/>
        <v>0.31015675025369532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388.67541766110003</v>
      </c>
      <c r="E103">
        <v>194.37629276054</v>
      </c>
      <c r="F103">
        <v>123.28028503563</v>
      </c>
      <c r="G103">
        <v>110.00237529691</v>
      </c>
      <c r="I103" s="9">
        <f t="shared" si="8"/>
        <v>84.373917463629994</v>
      </c>
      <c r="J103" s="9">
        <f t="shared" si="9"/>
        <v>265.39513262547001</v>
      </c>
      <c r="K103" s="9">
        <f t="shared" si="10"/>
        <v>84.373917463629994</v>
      </c>
      <c r="L103" s="10">
        <f t="shared" si="7"/>
        <v>0.31791810433351037</v>
      </c>
      <c r="M103" s="10">
        <f t="shared" si="11"/>
        <v>0.32655712393787034</v>
      </c>
      <c r="P103" s="8">
        <f t="shared" si="12"/>
        <v>-2.6133058358190384</v>
      </c>
      <c r="U103" s="8">
        <v>160</v>
      </c>
      <c r="V103" s="10">
        <f t="shared" si="13"/>
        <v>0.30864191273151181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382.09069212410998</v>
      </c>
      <c r="E104">
        <v>191.99284009547</v>
      </c>
      <c r="F104">
        <v>123.65399841647</v>
      </c>
      <c r="G104">
        <v>109.80047505938001</v>
      </c>
      <c r="I104" s="9">
        <f t="shared" si="8"/>
        <v>82.192365036089996</v>
      </c>
      <c r="J104" s="9">
        <f t="shared" si="9"/>
        <v>258.43669370763996</v>
      </c>
      <c r="K104" s="9">
        <f t="shared" si="10"/>
        <v>82.192365036089996</v>
      </c>
      <c r="L104" s="10">
        <f t="shared" si="7"/>
        <v>0.31803674569939838</v>
      </c>
      <c r="M104" s="10">
        <f t="shared" si="11"/>
        <v>0.32676130015132626</v>
      </c>
      <c r="P104" s="8">
        <f t="shared" si="12"/>
        <v>-2.5524158873296119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387.66109785203003</v>
      </c>
      <c r="E105">
        <v>191.12649164678001</v>
      </c>
      <c r="F105">
        <v>123.78859857482</v>
      </c>
      <c r="G105">
        <v>110.04354711006</v>
      </c>
      <c r="I105" s="9">
        <f t="shared" si="8"/>
        <v>81.082944536720007</v>
      </c>
      <c r="J105" s="9">
        <f t="shared" si="9"/>
        <v>263.87249927721001</v>
      </c>
      <c r="K105" s="9">
        <f t="shared" si="10"/>
        <v>81.082944536720007</v>
      </c>
      <c r="L105" s="10">
        <f t="shared" si="7"/>
        <v>0.3072807691548739</v>
      </c>
      <c r="M105" s="10">
        <f t="shared" si="11"/>
        <v>0.31609085845436968</v>
      </c>
      <c r="P105" s="8">
        <f t="shared" si="12"/>
        <v>-5.7345820872497866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393.07637231503998</v>
      </c>
      <c r="E106">
        <v>193.70246618933999</v>
      </c>
      <c r="F106">
        <v>123.48060174187999</v>
      </c>
      <c r="G106">
        <v>109.62391132225</v>
      </c>
      <c r="I106" s="9">
        <f t="shared" si="8"/>
        <v>84.078554867089991</v>
      </c>
      <c r="J106" s="9">
        <f t="shared" si="9"/>
        <v>269.59577057316</v>
      </c>
      <c r="K106" s="9">
        <f t="shared" si="10"/>
        <v>84.078554867089991</v>
      </c>
      <c r="L106" s="10">
        <f t="shared" si="7"/>
        <v>0.31186896844983575</v>
      </c>
      <c r="M106" s="10">
        <f t="shared" si="11"/>
        <v>0.32076459259689949</v>
      </c>
      <c r="P106" s="8">
        <f t="shared" si="12"/>
        <v>-4.3407692313102606</v>
      </c>
      <c r="X106" s="8">
        <v>-13</v>
      </c>
    </row>
    <row r="107" spans="1:25" x14ac:dyDescent="0.2">
      <c r="A107" s="8">
        <v>52.5</v>
      </c>
      <c r="B107" s="8">
        <v>105</v>
      </c>
      <c r="D107">
        <v>384.40970564836999</v>
      </c>
      <c r="E107">
        <v>190.75656324581999</v>
      </c>
      <c r="F107">
        <v>123.86302454474</v>
      </c>
      <c r="G107">
        <v>109.82106096595</v>
      </c>
      <c r="I107" s="9">
        <f t="shared" si="8"/>
        <v>80.935502279869993</v>
      </c>
      <c r="J107" s="9">
        <f t="shared" si="9"/>
        <v>260.54668110363002</v>
      </c>
      <c r="K107" s="9">
        <f t="shared" si="10"/>
        <v>80.935502279869993</v>
      </c>
      <c r="L107" s="10">
        <f t="shared" si="7"/>
        <v>0.31063724142269405</v>
      </c>
      <c r="M107" s="10">
        <f t="shared" si="11"/>
        <v>0.3196184004173257</v>
      </c>
      <c r="P107" s="8">
        <f t="shared" si="12"/>
        <v>-4.682589571652203</v>
      </c>
      <c r="X107" s="8">
        <v>-13</v>
      </c>
    </row>
    <row r="108" spans="1:25" x14ac:dyDescent="0.2">
      <c r="A108" s="8">
        <v>53</v>
      </c>
      <c r="B108" s="8">
        <v>106</v>
      </c>
      <c r="D108">
        <v>400.89180588702999</v>
      </c>
      <c r="E108">
        <v>193.11933174224001</v>
      </c>
      <c r="F108">
        <v>123.48535233571</v>
      </c>
      <c r="G108">
        <v>109.61836896279</v>
      </c>
      <c r="I108" s="9">
        <f t="shared" si="8"/>
        <v>83.500962779450006</v>
      </c>
      <c r="J108" s="9">
        <f t="shared" si="9"/>
        <v>277.40645355132</v>
      </c>
      <c r="K108" s="9">
        <f t="shared" si="10"/>
        <v>83.500962779450006</v>
      </c>
      <c r="L108" s="10">
        <f t="shared" si="7"/>
        <v>0.30100584074552683</v>
      </c>
      <c r="M108" s="10">
        <f t="shared" si="11"/>
        <v>0.31007253458772638</v>
      </c>
      <c r="P108" s="8">
        <f t="shared" si="12"/>
        <v>-7.5293819027126787</v>
      </c>
      <c r="X108" s="8">
        <v>-13</v>
      </c>
    </row>
    <row r="109" spans="1:25" x14ac:dyDescent="0.2">
      <c r="A109" s="8">
        <v>53.5</v>
      </c>
      <c r="B109" s="8">
        <v>107</v>
      </c>
      <c r="D109">
        <v>389.79793158312998</v>
      </c>
      <c r="E109">
        <v>189.80509148767001</v>
      </c>
      <c r="F109">
        <v>123.07442596991</v>
      </c>
      <c r="G109">
        <v>110.10292953286</v>
      </c>
      <c r="I109" s="9">
        <f t="shared" si="8"/>
        <v>79.702161954810009</v>
      </c>
      <c r="J109" s="9">
        <f t="shared" si="9"/>
        <v>266.72350561321997</v>
      </c>
      <c r="K109" s="9">
        <f t="shared" si="10"/>
        <v>79.702161954810009</v>
      </c>
      <c r="L109" s="10">
        <f t="shared" si="7"/>
        <v>0.29881941515266147</v>
      </c>
      <c r="M109" s="10">
        <f t="shared" si="11"/>
        <v>0.30797164384242898</v>
      </c>
      <c r="P109" s="8">
        <f t="shared" si="12"/>
        <v>-8.1559148719446188</v>
      </c>
      <c r="X109" s="8">
        <v>-13</v>
      </c>
    </row>
    <row r="110" spans="1:25" x14ac:dyDescent="0.2">
      <c r="A110" s="8">
        <v>54</v>
      </c>
      <c r="B110" s="8">
        <v>108</v>
      </c>
      <c r="D110">
        <v>385.89507154212998</v>
      </c>
      <c r="E110">
        <v>190.41017488076</v>
      </c>
      <c r="F110">
        <v>123.48535233571</v>
      </c>
      <c r="G110">
        <v>109.62628661916</v>
      </c>
      <c r="I110" s="9">
        <f t="shared" si="8"/>
        <v>80.783888261599998</v>
      </c>
      <c r="J110" s="9">
        <f t="shared" si="9"/>
        <v>262.40971920641999</v>
      </c>
      <c r="K110" s="9">
        <f t="shared" si="10"/>
        <v>80.783888261599998</v>
      </c>
      <c r="L110" s="10">
        <f t="shared" si="7"/>
        <v>0.30785402501823028</v>
      </c>
      <c r="M110" s="10">
        <f t="shared" si="11"/>
        <v>0.31709178855556569</v>
      </c>
      <c r="P110" s="8">
        <f t="shared" si="12"/>
        <v>-5.4360821725351904</v>
      </c>
      <c r="X110" s="8">
        <v>-13</v>
      </c>
    </row>
    <row r="111" spans="1:25" x14ac:dyDescent="0.2">
      <c r="A111" s="8">
        <v>54.5</v>
      </c>
      <c r="B111" s="8">
        <v>109</v>
      </c>
      <c r="D111">
        <v>368.73449920509</v>
      </c>
      <c r="E111">
        <v>186.89745627981</v>
      </c>
      <c r="F111">
        <v>123.37450514648</v>
      </c>
      <c r="G111">
        <v>109.69041963578999</v>
      </c>
      <c r="I111" s="9">
        <f t="shared" si="8"/>
        <v>77.207036644020008</v>
      </c>
      <c r="J111" s="9">
        <f t="shared" si="9"/>
        <v>245.35999405861</v>
      </c>
      <c r="K111" s="9">
        <f t="shared" si="10"/>
        <v>77.207036644020008</v>
      </c>
      <c r="L111" s="10">
        <f t="shared" si="7"/>
        <v>0.31466839954999876</v>
      </c>
      <c r="M111" s="10">
        <f t="shared" si="11"/>
        <v>0.32399169793490207</v>
      </c>
      <c r="P111" s="8">
        <f t="shared" si="12"/>
        <v>-3.3783736883869766</v>
      </c>
      <c r="X111" s="8">
        <v>-13</v>
      </c>
    </row>
    <row r="112" spans="1:25" x14ac:dyDescent="0.2">
      <c r="A112" s="8">
        <v>55</v>
      </c>
      <c r="B112" s="8">
        <v>110</v>
      </c>
      <c r="D112">
        <v>373.01589825118998</v>
      </c>
      <c r="E112">
        <v>188.05723370429001</v>
      </c>
      <c r="F112">
        <v>123.56848772763</v>
      </c>
      <c r="G112">
        <v>109.66033254157</v>
      </c>
      <c r="I112" s="9">
        <f t="shared" si="8"/>
        <v>78.396901162720013</v>
      </c>
      <c r="J112" s="9">
        <f t="shared" si="9"/>
        <v>249.44741052355999</v>
      </c>
      <c r="K112" s="9">
        <f t="shared" si="10"/>
        <v>78.396901162720013</v>
      </c>
      <c r="L112" s="10">
        <f t="shared" si="7"/>
        <v>0.31428228097527405</v>
      </c>
      <c r="M112" s="10">
        <f t="shared" si="11"/>
        <v>0.32369111420774532</v>
      </c>
      <c r="P112" s="8">
        <f t="shared" si="12"/>
        <v>-3.4680145302536292</v>
      </c>
      <c r="X112" s="8">
        <v>-13</v>
      </c>
    </row>
    <row r="113" spans="1:24" x14ac:dyDescent="0.2">
      <c r="A113" s="8">
        <v>55.5</v>
      </c>
      <c r="B113" s="8">
        <v>111</v>
      </c>
      <c r="D113">
        <v>410.71531100479001</v>
      </c>
      <c r="E113">
        <v>195.56459330144</v>
      </c>
      <c r="F113">
        <v>123.61916072842</v>
      </c>
      <c r="G113">
        <v>109.41884402217001</v>
      </c>
      <c r="I113" s="9">
        <f t="shared" si="8"/>
        <v>86.145749279269992</v>
      </c>
      <c r="J113" s="9">
        <f t="shared" si="9"/>
        <v>287.09615027637</v>
      </c>
      <c r="K113" s="9">
        <f t="shared" si="10"/>
        <v>86.145749279269992</v>
      </c>
      <c r="L113" s="10">
        <f t="shared" si="7"/>
        <v>0.30005887991302815</v>
      </c>
      <c r="M113" s="10">
        <f t="shared" si="11"/>
        <v>0.30955324799306733</v>
      </c>
      <c r="P113" s="8">
        <f t="shared" si="12"/>
        <v>-7.684244868700957</v>
      </c>
      <c r="X113" s="8">
        <v>-13</v>
      </c>
    </row>
    <row r="114" spans="1:24" x14ac:dyDescent="0.2">
      <c r="A114" s="8">
        <v>56</v>
      </c>
      <c r="B114" s="8">
        <v>112</v>
      </c>
      <c r="D114">
        <v>417.86842105263003</v>
      </c>
      <c r="E114">
        <v>195.69776714514001</v>
      </c>
      <c r="F114">
        <v>123.21140142518</v>
      </c>
      <c r="G114">
        <v>109.49485352336001</v>
      </c>
      <c r="I114" s="9">
        <f t="shared" si="8"/>
        <v>86.202913621779999</v>
      </c>
      <c r="J114" s="9">
        <f t="shared" si="9"/>
        <v>294.65701962745004</v>
      </c>
      <c r="K114" s="9">
        <f t="shared" si="10"/>
        <v>86.202913621779999</v>
      </c>
      <c r="L114" s="10">
        <f t="shared" si="7"/>
        <v>0.29255340236173827</v>
      </c>
      <c r="M114" s="10">
        <f t="shared" si="11"/>
        <v>0.30213330528934534</v>
      </c>
      <c r="P114" s="8">
        <f t="shared" si="12"/>
        <v>-9.8970390104713832</v>
      </c>
      <c r="X114" s="8">
        <v>-13</v>
      </c>
    </row>
    <row r="115" spans="1:24" x14ac:dyDescent="0.2">
      <c r="A115" s="8">
        <v>56.5</v>
      </c>
      <c r="B115" s="8">
        <v>113</v>
      </c>
      <c r="D115">
        <v>416.35725677830999</v>
      </c>
      <c r="E115">
        <v>195.51913875598001</v>
      </c>
      <c r="F115">
        <v>123.22011084719</v>
      </c>
      <c r="G115">
        <v>109.55740300871</v>
      </c>
      <c r="I115" s="9">
        <f t="shared" si="8"/>
        <v>85.961735747270012</v>
      </c>
      <c r="J115" s="9">
        <f t="shared" si="9"/>
        <v>293.13714593112002</v>
      </c>
      <c r="K115" s="9">
        <f t="shared" si="10"/>
        <v>85.961735747270012</v>
      </c>
      <c r="L115" s="10">
        <f t="shared" si="7"/>
        <v>0.29324750186204274</v>
      </c>
      <c r="M115" s="10">
        <f t="shared" si="11"/>
        <v>0.30291293963721777</v>
      </c>
      <c r="P115" s="8">
        <f t="shared" si="12"/>
        <v>-9.6645344768676757</v>
      </c>
      <c r="X115" s="8">
        <v>-13</v>
      </c>
    </row>
    <row r="116" spans="1:24" x14ac:dyDescent="0.2">
      <c r="A116" s="8">
        <v>57</v>
      </c>
      <c r="B116" s="8">
        <v>114</v>
      </c>
      <c r="D116">
        <v>412.32856006364</v>
      </c>
      <c r="E116">
        <v>193.42322991249</v>
      </c>
      <c r="F116">
        <v>122.91844813935001</v>
      </c>
      <c r="G116">
        <v>109.36817102137999</v>
      </c>
      <c r="I116" s="9">
        <f t="shared" si="8"/>
        <v>84.055058891110008</v>
      </c>
      <c r="J116" s="9">
        <f t="shared" si="9"/>
        <v>289.41011192428999</v>
      </c>
      <c r="K116" s="9">
        <f t="shared" si="10"/>
        <v>84.055058891110008</v>
      </c>
      <c r="L116" s="10">
        <f t="shared" si="7"/>
        <v>0.29043580520468787</v>
      </c>
      <c r="M116" s="10">
        <f t="shared" si="11"/>
        <v>0.30018677782743081</v>
      </c>
      <c r="P116" s="8">
        <f t="shared" si="12"/>
        <v>-10.477537369624363</v>
      </c>
      <c r="X116" s="8">
        <v>-13</v>
      </c>
    </row>
    <row r="117" spans="1:24" x14ac:dyDescent="0.2">
      <c r="A117" s="8">
        <v>57.5</v>
      </c>
      <c r="B117" s="8">
        <v>115</v>
      </c>
      <c r="D117">
        <v>406.56881463803001</v>
      </c>
      <c r="E117">
        <v>191.92521877486001</v>
      </c>
      <c r="F117">
        <v>123.47901821060999</v>
      </c>
      <c r="G117">
        <v>109.711797308</v>
      </c>
      <c r="I117" s="9">
        <f t="shared" si="8"/>
        <v>82.213421466860012</v>
      </c>
      <c r="J117" s="9">
        <f t="shared" si="9"/>
        <v>283.08979642742003</v>
      </c>
      <c r="K117" s="9">
        <f t="shared" si="10"/>
        <v>82.213421466860012</v>
      </c>
      <c r="L117" s="10">
        <f t="shared" si="7"/>
        <v>0.29041464052886945</v>
      </c>
      <c r="M117" s="10">
        <f t="shared" si="11"/>
        <v>0.30025114799918029</v>
      </c>
      <c r="P117" s="8">
        <f t="shared" si="12"/>
        <v>-10.458340733661048</v>
      </c>
      <c r="X117" s="8">
        <v>-13</v>
      </c>
    </row>
    <row r="118" spans="1:24" x14ac:dyDescent="0.2">
      <c r="A118" s="8">
        <v>58</v>
      </c>
      <c r="B118" s="8">
        <v>116</v>
      </c>
      <c r="D118">
        <v>406.80190930788001</v>
      </c>
      <c r="E118">
        <v>192.00477326968999</v>
      </c>
      <c r="F118">
        <v>123.13460015835</v>
      </c>
      <c r="G118">
        <v>109.41409342835</v>
      </c>
      <c r="I118" s="9">
        <f t="shared" si="8"/>
        <v>82.590679841339991</v>
      </c>
      <c r="J118" s="9">
        <f t="shared" si="9"/>
        <v>283.66730914953001</v>
      </c>
      <c r="K118" s="9">
        <f t="shared" si="10"/>
        <v>82.590679841339991</v>
      </c>
      <c r="L118" s="10">
        <f t="shared" si="7"/>
        <v>0.29115332354989071</v>
      </c>
      <c r="M118" s="10">
        <f t="shared" si="11"/>
        <v>0.30107536586776945</v>
      </c>
      <c r="P118" s="8">
        <f t="shared" si="12"/>
        <v>-10.212540389375137</v>
      </c>
      <c r="X118" s="8">
        <v>-13</v>
      </c>
    </row>
    <row r="119" spans="1:24" x14ac:dyDescent="0.2">
      <c r="A119" s="8">
        <v>58.5</v>
      </c>
      <c r="B119" s="8">
        <v>117</v>
      </c>
      <c r="D119">
        <v>403.27742448331003</v>
      </c>
      <c r="E119">
        <v>190.70111287757999</v>
      </c>
      <c r="F119">
        <v>122.89865399842</v>
      </c>
      <c r="G119">
        <v>109.47901821060999</v>
      </c>
      <c r="I119" s="9">
        <f t="shared" si="8"/>
        <v>81.222094666969994</v>
      </c>
      <c r="J119" s="9">
        <f t="shared" si="9"/>
        <v>280.37877048489003</v>
      </c>
      <c r="K119" s="9">
        <f t="shared" si="10"/>
        <v>81.222094666969994</v>
      </c>
      <c r="L119" s="10">
        <f t="shared" si="7"/>
        <v>0.28968703488678421</v>
      </c>
      <c r="M119" s="10">
        <f t="shared" si="11"/>
        <v>0.29969461205223091</v>
      </c>
      <c r="P119" s="8">
        <f t="shared" si="12"/>
        <v>-10.624312296012398</v>
      </c>
      <c r="X119" s="8">
        <v>-13</v>
      </c>
    </row>
    <row r="120" spans="1:24" x14ac:dyDescent="0.2">
      <c r="A120" s="8">
        <v>59</v>
      </c>
      <c r="B120" s="8">
        <v>118</v>
      </c>
      <c r="D120">
        <v>410.25198728139998</v>
      </c>
      <c r="E120">
        <v>191.0492845787</v>
      </c>
      <c r="F120">
        <v>123.26207442597</v>
      </c>
      <c r="G120">
        <v>109.82264449723</v>
      </c>
      <c r="I120" s="9">
        <f t="shared" si="8"/>
        <v>81.226640081469995</v>
      </c>
      <c r="J120" s="9">
        <f t="shared" si="9"/>
        <v>286.98991285542996</v>
      </c>
      <c r="K120" s="9">
        <f t="shared" si="10"/>
        <v>81.226640081469995</v>
      </c>
      <c r="L120" s="10">
        <f t="shared" si="7"/>
        <v>0.28302959944932837</v>
      </c>
      <c r="M120" s="10">
        <f t="shared" si="11"/>
        <v>0.29312271146234298</v>
      </c>
      <c r="P120" s="8">
        <f t="shared" si="12"/>
        <v>-12.584201166624156</v>
      </c>
      <c r="X120" s="8">
        <v>-13</v>
      </c>
    </row>
    <row r="121" spans="1:24" x14ac:dyDescent="0.2">
      <c r="A121" s="8">
        <v>59.5</v>
      </c>
      <c r="B121" s="8">
        <v>119</v>
      </c>
      <c r="D121">
        <v>405.02941176471001</v>
      </c>
      <c r="E121">
        <v>190.79888712242001</v>
      </c>
      <c r="F121">
        <v>122.91765637371</v>
      </c>
      <c r="G121">
        <v>109.61520190024</v>
      </c>
      <c r="I121" s="9">
        <f t="shared" si="8"/>
        <v>81.183685222180017</v>
      </c>
      <c r="J121" s="9">
        <f t="shared" si="9"/>
        <v>282.11175539099997</v>
      </c>
      <c r="K121" s="9">
        <f t="shared" si="10"/>
        <v>81.183685222180017</v>
      </c>
      <c r="L121" s="10">
        <f t="shared" si="7"/>
        <v>0.2877713660306761</v>
      </c>
      <c r="M121" s="10">
        <f t="shared" si="11"/>
        <v>0.29795001289125861</v>
      </c>
      <c r="P121" s="8">
        <f t="shared" si="12"/>
        <v>-11.144591084850033</v>
      </c>
      <c r="X121" s="8">
        <v>-13</v>
      </c>
    </row>
    <row r="122" spans="1:24" x14ac:dyDescent="0.2">
      <c r="A122" s="8">
        <v>60</v>
      </c>
      <c r="B122" s="8">
        <v>120</v>
      </c>
      <c r="D122">
        <v>392.78537360889999</v>
      </c>
      <c r="E122">
        <v>189.15818759935999</v>
      </c>
      <c r="F122">
        <v>123.03087885986</v>
      </c>
      <c r="G122">
        <v>109.79809976247</v>
      </c>
      <c r="I122" s="9">
        <f t="shared" si="8"/>
        <v>79.360087836889988</v>
      </c>
      <c r="J122" s="9">
        <f t="shared" si="9"/>
        <v>269.75449474903996</v>
      </c>
      <c r="K122" s="9">
        <f t="shared" si="10"/>
        <v>79.360087836889988</v>
      </c>
      <c r="L122" s="10">
        <f t="shared" si="7"/>
        <v>0.29419375536530307</v>
      </c>
      <c r="M122" s="10">
        <f t="shared" si="11"/>
        <v>0.30445793707345353</v>
      </c>
      <c r="P122" s="8">
        <f t="shared" si="12"/>
        <v>-9.2037814208854627</v>
      </c>
      <c r="X122" s="8">
        <v>-13</v>
      </c>
    </row>
    <row r="123" spans="1:24" x14ac:dyDescent="0.2">
      <c r="A123" s="8">
        <v>60.5</v>
      </c>
      <c r="B123" s="8">
        <v>121</v>
      </c>
      <c r="D123">
        <v>397.67803330689998</v>
      </c>
      <c r="E123">
        <v>188.43854084060001</v>
      </c>
      <c r="F123">
        <v>123.25178147267999</v>
      </c>
      <c r="G123">
        <v>109.57086302454999</v>
      </c>
      <c r="I123" s="9">
        <f t="shared" si="8"/>
        <v>78.867677816050019</v>
      </c>
      <c r="J123" s="9">
        <f t="shared" si="9"/>
        <v>274.42625183422001</v>
      </c>
      <c r="K123" s="9">
        <f t="shared" si="10"/>
        <v>78.867677816050019</v>
      </c>
      <c r="L123" s="10">
        <f t="shared" si="7"/>
        <v>0.28739115623564221</v>
      </c>
      <c r="M123" s="10">
        <f t="shared" si="11"/>
        <v>0.29774087279136058</v>
      </c>
      <c r="P123" s="8">
        <f t="shared" si="12"/>
        <v>-11.206961376150463</v>
      </c>
      <c r="X123" s="8">
        <v>-13</v>
      </c>
    </row>
    <row r="124" spans="1:24" x14ac:dyDescent="0.2">
      <c r="A124" s="8">
        <v>61</v>
      </c>
      <c r="B124" s="8">
        <v>122</v>
      </c>
      <c r="D124">
        <v>386.39888977001999</v>
      </c>
      <c r="E124">
        <v>186.66058683585001</v>
      </c>
      <c r="F124">
        <v>122.9469517023</v>
      </c>
      <c r="G124">
        <v>109.54473475851</v>
      </c>
      <c r="I124" s="9">
        <f t="shared" si="8"/>
        <v>77.115852077340008</v>
      </c>
      <c r="J124" s="9">
        <f t="shared" si="9"/>
        <v>263.45193806771999</v>
      </c>
      <c r="K124" s="9">
        <f t="shared" si="10"/>
        <v>77.115852077340008</v>
      </c>
      <c r="L124" s="10">
        <f t="shared" si="7"/>
        <v>0.29271317054239121</v>
      </c>
      <c r="M124" s="10">
        <f t="shared" si="11"/>
        <v>0.30314842194567748</v>
      </c>
      <c r="P124" s="8">
        <f t="shared" si="12"/>
        <v>-9.5943083452846309</v>
      </c>
      <c r="X124" s="8">
        <v>-13</v>
      </c>
    </row>
    <row r="125" spans="1:24" x14ac:dyDescent="0.2">
      <c r="A125" s="8">
        <v>61.5</v>
      </c>
      <c r="B125" s="8">
        <v>123</v>
      </c>
      <c r="D125">
        <v>390.37827121331998</v>
      </c>
      <c r="E125">
        <v>185.47898493259001</v>
      </c>
      <c r="F125">
        <v>123.10688836105</v>
      </c>
      <c r="G125">
        <v>109.58511480602</v>
      </c>
      <c r="I125" s="9">
        <f t="shared" si="8"/>
        <v>75.893870126570008</v>
      </c>
      <c r="J125" s="9">
        <f t="shared" si="9"/>
        <v>267.27138285226999</v>
      </c>
      <c r="K125" s="9">
        <f t="shared" si="10"/>
        <v>75.893870126570008</v>
      </c>
      <c r="L125" s="10">
        <f t="shared" si="7"/>
        <v>0.28395808528636657</v>
      </c>
      <c r="M125" s="10">
        <f t="shared" si="11"/>
        <v>0.2944788715372208</v>
      </c>
      <c r="P125" s="8">
        <f t="shared" si="12"/>
        <v>-12.179763667735214</v>
      </c>
      <c r="X125" s="8">
        <v>-13</v>
      </c>
    </row>
    <row r="126" spans="1:24" x14ac:dyDescent="0.2">
      <c r="A126" s="8">
        <v>62</v>
      </c>
      <c r="B126" s="8">
        <v>124</v>
      </c>
      <c r="D126">
        <v>373.57392686805002</v>
      </c>
      <c r="E126">
        <v>183.27980922098999</v>
      </c>
      <c r="F126">
        <v>123.17893903405</v>
      </c>
      <c r="G126">
        <v>109.67062549485</v>
      </c>
      <c r="I126" s="9">
        <f t="shared" si="8"/>
        <v>73.609183726139989</v>
      </c>
      <c r="J126" s="9">
        <f t="shared" si="9"/>
        <v>250.39498783400001</v>
      </c>
      <c r="K126" s="9">
        <f t="shared" si="10"/>
        <v>73.609183726139989</v>
      </c>
      <c r="L126" s="10">
        <f t="shared" si="7"/>
        <v>0.29397227301905654</v>
      </c>
      <c r="M126" s="10">
        <f t="shared" si="11"/>
        <v>0.30457859411747867</v>
      </c>
      <c r="P126" s="8">
        <f t="shared" si="12"/>
        <v>-9.1677987710398998</v>
      </c>
      <c r="X126" s="8">
        <v>-13</v>
      </c>
    </row>
    <row r="127" spans="1:24" x14ac:dyDescent="0.2">
      <c r="A127" s="8">
        <v>62.5</v>
      </c>
      <c r="B127" s="8">
        <v>125</v>
      </c>
      <c r="D127">
        <v>373.32114467409002</v>
      </c>
      <c r="E127">
        <v>182.89109697933</v>
      </c>
      <c r="F127">
        <v>122.98020585907</v>
      </c>
      <c r="G127">
        <v>109.47822644497001</v>
      </c>
      <c r="I127" s="9">
        <f t="shared" si="8"/>
        <v>73.412870534359996</v>
      </c>
      <c r="J127" s="9">
        <f t="shared" si="9"/>
        <v>250.34093881502002</v>
      </c>
      <c r="K127" s="9">
        <f t="shared" si="10"/>
        <v>73.412870534359996</v>
      </c>
      <c r="L127" s="10">
        <f t="shared" si="7"/>
        <v>0.29325155878162484</v>
      </c>
      <c r="M127" s="10">
        <f t="shared" si="11"/>
        <v>0.30394341472761488</v>
      </c>
      <c r="P127" s="8">
        <f t="shared" si="12"/>
        <v>-9.3572235805008788</v>
      </c>
      <c r="X127" s="8">
        <v>-13</v>
      </c>
    </row>
    <row r="128" spans="1:24" x14ac:dyDescent="0.2">
      <c r="A128" s="8">
        <v>63</v>
      </c>
      <c r="B128" s="8">
        <v>126</v>
      </c>
      <c r="D128">
        <v>365.30047694754001</v>
      </c>
      <c r="E128">
        <v>180.71860095389999</v>
      </c>
      <c r="F128">
        <v>123.20902612827</v>
      </c>
      <c r="G128">
        <v>109.72763262074</v>
      </c>
      <c r="I128" s="9">
        <f t="shared" si="8"/>
        <v>70.990968333159998</v>
      </c>
      <c r="J128" s="9">
        <f t="shared" si="9"/>
        <v>242.09145081926999</v>
      </c>
      <c r="K128" s="9">
        <f t="shared" si="10"/>
        <v>70.990968333159998</v>
      </c>
      <c r="L128" s="10">
        <f t="shared" si="7"/>
        <v>0.29324029449580735</v>
      </c>
      <c r="M128" s="10">
        <f t="shared" si="11"/>
        <v>0.30401768528936535</v>
      </c>
      <c r="P128" s="8">
        <f t="shared" si="12"/>
        <v>-9.3350744251084805</v>
      </c>
      <c r="X128" s="8">
        <v>-13</v>
      </c>
    </row>
    <row r="129" spans="1:24" x14ac:dyDescent="0.2">
      <c r="A129" s="8">
        <v>63.5</v>
      </c>
      <c r="B129" s="8">
        <v>127</v>
      </c>
      <c r="D129">
        <v>356.10572337042998</v>
      </c>
      <c r="E129">
        <v>179.66454689983999</v>
      </c>
      <c r="F129">
        <v>122.99129057799</v>
      </c>
      <c r="G129">
        <v>109.3919239905</v>
      </c>
      <c r="I129" s="9">
        <f t="shared" si="8"/>
        <v>70.272622909339987</v>
      </c>
      <c r="J129" s="9">
        <f t="shared" si="9"/>
        <v>233.11443279243997</v>
      </c>
      <c r="K129" s="9">
        <f t="shared" si="10"/>
        <v>70.272622909339987</v>
      </c>
      <c r="L129" s="10">
        <f t="shared" si="7"/>
        <v>0.30145118887559058</v>
      </c>
      <c r="M129" s="10">
        <f t="shared" si="11"/>
        <v>0.31231411451671648</v>
      </c>
      <c r="P129" s="8">
        <f t="shared" si="12"/>
        <v>-6.8608922481104466</v>
      </c>
      <c r="X129" s="8">
        <v>-13</v>
      </c>
    </row>
    <row r="130" spans="1:24" x14ac:dyDescent="0.2">
      <c r="A130" s="8">
        <v>64</v>
      </c>
      <c r="B130" s="8">
        <v>128</v>
      </c>
      <c r="D130">
        <v>343.21462639110001</v>
      </c>
      <c r="E130">
        <v>175.83704292528</v>
      </c>
      <c r="F130">
        <v>123.18764845606</v>
      </c>
      <c r="G130">
        <v>108.95882818686</v>
      </c>
      <c r="I130" s="9">
        <f t="shared" si="8"/>
        <v>66.878214738419999</v>
      </c>
      <c r="J130" s="9">
        <f t="shared" si="9"/>
        <v>220.02697793504001</v>
      </c>
      <c r="K130" s="9">
        <f t="shared" si="10"/>
        <v>66.878214738419999</v>
      </c>
      <c r="L130" s="10">
        <f t="shared" ref="L130:L193" si="14">K130/J130</f>
        <v>0.30395461213926633</v>
      </c>
      <c r="M130" s="10">
        <f t="shared" si="11"/>
        <v>0.31490307262796013</v>
      </c>
      <c r="P130" s="8">
        <f t="shared" si="12"/>
        <v>-6.088806590498117</v>
      </c>
      <c r="X130" s="8">
        <v>-13</v>
      </c>
    </row>
    <row r="131" spans="1:24" x14ac:dyDescent="0.2">
      <c r="A131" s="8">
        <v>64.5</v>
      </c>
      <c r="B131" s="8">
        <v>129</v>
      </c>
      <c r="D131">
        <v>348.17539682540001</v>
      </c>
      <c r="E131">
        <v>177.69761904762001</v>
      </c>
      <c r="F131">
        <v>123.23198733175001</v>
      </c>
      <c r="G131">
        <v>109.39350752177</v>
      </c>
      <c r="I131" s="9">
        <f t="shared" ref="I131:I194" si="15">E131-G131</f>
        <v>68.304111525850004</v>
      </c>
      <c r="J131" s="9">
        <f t="shared" ref="J131:J194" si="16">D131-F131</f>
        <v>224.94340949364999</v>
      </c>
      <c r="K131" s="9">
        <f t="shared" ref="K131:K194" si="17">I131*1</f>
        <v>68.304111525850004</v>
      </c>
      <c r="L131" s="10">
        <f t="shared" si="14"/>
        <v>0.30365020108659013</v>
      </c>
      <c r="M131" s="10">
        <f t="shared" ref="M131:M181" si="18">L131+ABS($N$2)*A131</f>
        <v>0.31468419642285189</v>
      </c>
      <c r="P131" s="8">
        <f t="shared" ref="P131:P194" si="19">(M131-$O$2)/$O$2*100</f>
        <v>-6.154080407800441</v>
      </c>
      <c r="X131" s="8">
        <v>-13</v>
      </c>
    </row>
    <row r="132" spans="1:24" x14ac:dyDescent="0.2">
      <c r="A132" s="8">
        <v>65</v>
      </c>
      <c r="B132" s="8">
        <v>130</v>
      </c>
      <c r="D132">
        <v>354.13571428570998</v>
      </c>
      <c r="E132">
        <v>178.72380952380999</v>
      </c>
      <c r="F132">
        <v>122.99762470309</v>
      </c>
      <c r="G132">
        <v>109.66825019794</v>
      </c>
      <c r="I132" s="9">
        <f t="shared" si="15"/>
        <v>69.055559325869993</v>
      </c>
      <c r="J132" s="9">
        <f t="shared" si="16"/>
        <v>231.13808958261998</v>
      </c>
      <c r="K132" s="9">
        <f t="shared" si="17"/>
        <v>69.055559325869993</v>
      </c>
      <c r="L132" s="10">
        <f t="shared" si="14"/>
        <v>0.29876321747993934</v>
      </c>
      <c r="M132" s="10">
        <f t="shared" si="18"/>
        <v>0.309882747663769</v>
      </c>
      <c r="P132" s="8">
        <f t="shared" si="19"/>
        <v>-7.585980640773939</v>
      </c>
      <c r="X132" s="8">
        <v>-13</v>
      </c>
    </row>
    <row r="133" spans="1:24" x14ac:dyDescent="0.2">
      <c r="A133" s="8">
        <v>65.5</v>
      </c>
      <c r="B133" s="8">
        <v>131</v>
      </c>
      <c r="D133">
        <v>366.07698412697999</v>
      </c>
      <c r="E133">
        <v>181.94523809524</v>
      </c>
      <c r="F133">
        <v>122.82264449723</v>
      </c>
      <c r="G133">
        <v>109.62945368171</v>
      </c>
      <c r="I133" s="9">
        <f t="shared" si="15"/>
        <v>72.315784413529997</v>
      </c>
      <c r="J133" s="9">
        <f t="shared" si="16"/>
        <v>243.25433962975001</v>
      </c>
      <c r="K133" s="9">
        <f t="shared" si="17"/>
        <v>72.315784413529997</v>
      </c>
      <c r="L133" s="10">
        <f t="shared" si="14"/>
        <v>0.29728466313735508</v>
      </c>
      <c r="M133" s="10">
        <f t="shared" si="18"/>
        <v>0.30848972816875264</v>
      </c>
      <c r="P133" s="8">
        <f t="shared" si="19"/>
        <v>-8.0014104494701677</v>
      </c>
      <c r="X133" s="8">
        <v>-13</v>
      </c>
    </row>
    <row r="134" spans="1:24" x14ac:dyDescent="0.2">
      <c r="A134" s="8">
        <v>66</v>
      </c>
      <c r="B134" s="8">
        <v>132</v>
      </c>
      <c r="D134">
        <v>367.96190476190998</v>
      </c>
      <c r="E134">
        <v>181.21746031746</v>
      </c>
      <c r="F134">
        <v>123.08788598575001</v>
      </c>
      <c r="G134">
        <v>109.39034045922</v>
      </c>
      <c r="I134" s="9">
        <f t="shared" si="15"/>
        <v>71.827119858239996</v>
      </c>
      <c r="J134" s="9">
        <f t="shared" si="16"/>
        <v>244.87401877615997</v>
      </c>
      <c r="K134" s="9">
        <f t="shared" si="17"/>
        <v>71.827119858239996</v>
      </c>
      <c r="L134" s="10">
        <f t="shared" si="14"/>
        <v>0.29332274700770672</v>
      </c>
      <c r="M134" s="10">
        <f t="shared" si="18"/>
        <v>0.30461334688667219</v>
      </c>
      <c r="P134" s="8">
        <f t="shared" si="19"/>
        <v>-9.1574347120232265</v>
      </c>
      <c r="X134" s="8">
        <v>-13</v>
      </c>
    </row>
    <row r="135" spans="1:24" x14ac:dyDescent="0.2">
      <c r="A135" s="8">
        <v>66.5</v>
      </c>
      <c r="B135" s="8">
        <v>133</v>
      </c>
      <c r="D135">
        <v>359.21507936507999</v>
      </c>
      <c r="E135">
        <v>178.76190476190999</v>
      </c>
      <c r="F135">
        <v>123.04038004751</v>
      </c>
      <c r="G135">
        <v>109.25653206651</v>
      </c>
      <c r="I135" s="9">
        <f t="shared" si="15"/>
        <v>69.505372695399984</v>
      </c>
      <c r="J135" s="9">
        <f t="shared" si="16"/>
        <v>236.17469931757</v>
      </c>
      <c r="K135" s="9">
        <f t="shared" si="17"/>
        <v>69.505372695399984</v>
      </c>
      <c r="L135" s="10">
        <f t="shared" si="14"/>
        <v>0.29429643774814451</v>
      </c>
      <c r="M135" s="10">
        <f t="shared" si="18"/>
        <v>0.30567257247467794</v>
      </c>
      <c r="P135" s="8">
        <f t="shared" si="19"/>
        <v>-8.8415497693030165</v>
      </c>
      <c r="X135" s="8">
        <v>-13</v>
      </c>
    </row>
    <row r="136" spans="1:24" x14ac:dyDescent="0.2">
      <c r="A136" s="8">
        <v>67</v>
      </c>
      <c r="B136" s="8">
        <v>134</v>
      </c>
      <c r="D136">
        <v>360.12380952381</v>
      </c>
      <c r="E136">
        <v>178.94444444443999</v>
      </c>
      <c r="F136">
        <v>123.30641330166</v>
      </c>
      <c r="G136">
        <v>109.79572446556</v>
      </c>
      <c r="I136" s="9">
        <f t="shared" si="15"/>
        <v>69.148719978879996</v>
      </c>
      <c r="J136" s="9">
        <f t="shared" si="16"/>
        <v>236.81739622214999</v>
      </c>
      <c r="K136" s="9">
        <f t="shared" si="17"/>
        <v>69.148719978879996</v>
      </c>
      <c r="L136" s="10">
        <f t="shared" si="14"/>
        <v>0.29199172477183238</v>
      </c>
      <c r="M136" s="10">
        <f t="shared" si="18"/>
        <v>0.30345339434593371</v>
      </c>
      <c r="P136" s="8">
        <f t="shared" si="19"/>
        <v>-9.5033587021896597</v>
      </c>
      <c r="X136" s="8">
        <v>-13</v>
      </c>
    </row>
    <row r="137" spans="1:24" x14ac:dyDescent="0.2">
      <c r="A137" s="8">
        <v>67.5</v>
      </c>
      <c r="B137" s="8">
        <v>135</v>
      </c>
      <c r="D137">
        <v>363.06507936508001</v>
      </c>
      <c r="E137">
        <v>179.56984126984</v>
      </c>
      <c r="F137">
        <v>123.08946951702001</v>
      </c>
      <c r="G137">
        <v>109.20269200317</v>
      </c>
      <c r="I137" s="9">
        <f t="shared" si="15"/>
        <v>70.367149266669998</v>
      </c>
      <c r="J137" s="9">
        <f t="shared" si="16"/>
        <v>239.97560984806</v>
      </c>
      <c r="K137" s="9">
        <f t="shared" si="17"/>
        <v>70.367149266669998</v>
      </c>
      <c r="L137" s="10">
        <f t="shared" si="14"/>
        <v>0.29322625458155016</v>
      </c>
      <c r="M137" s="10">
        <f t="shared" si="18"/>
        <v>0.30477345900321939</v>
      </c>
      <c r="P137" s="8">
        <f t="shared" si="19"/>
        <v>-9.109685670329899</v>
      </c>
      <c r="X137" s="8">
        <v>-13</v>
      </c>
    </row>
    <row r="138" spans="1:24" x14ac:dyDescent="0.2">
      <c r="A138" s="8">
        <v>68</v>
      </c>
      <c r="B138" s="8">
        <v>136</v>
      </c>
      <c r="D138">
        <v>361.10634920634999</v>
      </c>
      <c r="E138">
        <v>179.17063492064</v>
      </c>
      <c r="F138">
        <v>123.24623911322</v>
      </c>
      <c r="G138">
        <v>109.81868566903999</v>
      </c>
      <c r="I138" s="9">
        <f t="shared" si="15"/>
        <v>69.351949251600004</v>
      </c>
      <c r="J138" s="9">
        <f t="shared" si="16"/>
        <v>237.86011009313</v>
      </c>
      <c r="K138" s="9">
        <f t="shared" si="17"/>
        <v>69.351949251600004</v>
      </c>
      <c r="L138" s="10">
        <f t="shared" si="14"/>
        <v>0.29156611936506061</v>
      </c>
      <c r="M138" s="10">
        <f t="shared" si="18"/>
        <v>0.3031988586342978</v>
      </c>
      <c r="P138" s="8">
        <f t="shared" si="19"/>
        <v>-9.5792669880173662</v>
      </c>
      <c r="X138" s="8">
        <v>-13</v>
      </c>
    </row>
    <row r="139" spans="1:24" x14ac:dyDescent="0.2">
      <c r="A139" s="8">
        <v>68.5</v>
      </c>
      <c r="B139" s="8">
        <v>137</v>
      </c>
      <c r="D139">
        <v>367.66111111111002</v>
      </c>
      <c r="E139">
        <v>181.79841269841</v>
      </c>
      <c r="F139">
        <v>122.59778305622</v>
      </c>
      <c r="G139">
        <v>109.05700712589</v>
      </c>
      <c r="I139" s="9">
        <f t="shared" si="15"/>
        <v>72.741405572520009</v>
      </c>
      <c r="J139" s="9">
        <f t="shared" si="16"/>
        <v>245.06332805489001</v>
      </c>
      <c r="K139" s="9">
        <f t="shared" si="17"/>
        <v>72.741405572520009</v>
      </c>
      <c r="L139" s="10">
        <f t="shared" si="14"/>
        <v>0.29682697182757256</v>
      </c>
      <c r="M139" s="10">
        <f t="shared" si="18"/>
        <v>0.30854524594437766</v>
      </c>
      <c r="P139" s="8">
        <f t="shared" si="19"/>
        <v>-7.9848537975427156</v>
      </c>
      <c r="X139" s="8">
        <v>-13</v>
      </c>
    </row>
    <row r="140" spans="1:24" x14ac:dyDescent="0.2">
      <c r="A140" s="8">
        <v>69</v>
      </c>
      <c r="B140" s="8">
        <v>138</v>
      </c>
      <c r="D140">
        <v>360.86587301587002</v>
      </c>
      <c r="E140">
        <v>180.78174603175</v>
      </c>
      <c r="F140">
        <v>122.93824228029</v>
      </c>
      <c r="G140">
        <v>109.38242280285</v>
      </c>
      <c r="I140" s="9">
        <f t="shared" si="15"/>
        <v>71.399323228900002</v>
      </c>
      <c r="J140" s="9">
        <f t="shared" si="16"/>
        <v>237.92763073558001</v>
      </c>
      <c r="K140" s="9">
        <f t="shared" si="17"/>
        <v>71.399323228900002</v>
      </c>
      <c r="L140" s="10">
        <f t="shared" si="14"/>
        <v>0.30008840506737688</v>
      </c>
      <c r="M140" s="10">
        <f t="shared" si="18"/>
        <v>0.31189221403174988</v>
      </c>
      <c r="P140" s="8">
        <f t="shared" si="19"/>
        <v>-6.9867124813416126</v>
      </c>
      <c r="X140" s="8">
        <v>-13</v>
      </c>
    </row>
    <row r="141" spans="1:24" x14ac:dyDescent="0.2">
      <c r="A141" s="8">
        <v>69.5</v>
      </c>
      <c r="B141" s="8">
        <v>139</v>
      </c>
      <c r="D141">
        <v>376.17515923566998</v>
      </c>
      <c r="E141">
        <v>182.43312101910999</v>
      </c>
      <c r="F141">
        <v>122.98733174980001</v>
      </c>
      <c r="G141">
        <v>109.32937450515</v>
      </c>
      <c r="I141" s="9">
        <f t="shared" si="15"/>
        <v>73.10374651395999</v>
      </c>
      <c r="J141" s="9">
        <f t="shared" si="16"/>
        <v>253.18782748586997</v>
      </c>
      <c r="K141" s="9">
        <f t="shared" si="17"/>
        <v>73.10374651395999</v>
      </c>
      <c r="L141" s="10">
        <f t="shared" si="14"/>
        <v>0.2887332587821182</v>
      </c>
      <c r="M141" s="10">
        <f t="shared" si="18"/>
        <v>0.30062260259405915</v>
      </c>
      <c r="P141" s="8">
        <f t="shared" si="19"/>
        <v>-10.347564601782112</v>
      </c>
      <c r="X141" s="8">
        <v>-13</v>
      </c>
    </row>
    <row r="142" spans="1:24" x14ac:dyDescent="0.2">
      <c r="A142" s="8">
        <v>70</v>
      </c>
      <c r="B142" s="8">
        <v>140</v>
      </c>
      <c r="D142">
        <v>376.70063694267998</v>
      </c>
      <c r="E142">
        <v>181.84792993631001</v>
      </c>
      <c r="F142">
        <v>122.50514647663999</v>
      </c>
      <c r="G142">
        <v>109.36975455264999</v>
      </c>
      <c r="I142" s="9">
        <f t="shared" si="15"/>
        <v>72.478175383660016</v>
      </c>
      <c r="J142" s="9">
        <f t="shared" si="16"/>
        <v>254.19549046603998</v>
      </c>
      <c r="K142" s="9">
        <f t="shared" si="17"/>
        <v>72.478175383660016</v>
      </c>
      <c r="L142" s="10">
        <f t="shared" si="14"/>
        <v>0.28512769935760507</v>
      </c>
      <c r="M142" s="10">
        <f t="shared" si="18"/>
        <v>0.29710257801711393</v>
      </c>
      <c r="P142" s="8">
        <f t="shared" si="19"/>
        <v>-11.397315263447622</v>
      </c>
      <c r="X142" s="8">
        <v>-13</v>
      </c>
    </row>
    <row r="143" spans="1:24" x14ac:dyDescent="0.2">
      <c r="A143" s="8">
        <v>70.5</v>
      </c>
      <c r="B143" s="8">
        <v>141</v>
      </c>
      <c r="D143">
        <v>368.96656050954999</v>
      </c>
      <c r="E143">
        <v>179.47133757962001</v>
      </c>
      <c r="F143">
        <v>122.38638163104</v>
      </c>
      <c r="G143">
        <v>109.28107680127</v>
      </c>
      <c r="I143" s="9">
        <f t="shared" si="15"/>
        <v>70.190260778350009</v>
      </c>
      <c r="J143" s="9">
        <f t="shared" si="16"/>
        <v>246.58017887851</v>
      </c>
      <c r="K143" s="9">
        <f t="shared" si="17"/>
        <v>70.190260778350009</v>
      </c>
      <c r="L143" s="10">
        <f t="shared" si="14"/>
        <v>0.28465491872699444</v>
      </c>
      <c r="M143" s="10">
        <f t="shared" si="18"/>
        <v>0.29671533223407121</v>
      </c>
      <c r="P143" s="8">
        <f t="shared" si="19"/>
        <v>-11.512800683532118</v>
      </c>
      <c r="X143" s="8">
        <v>-13</v>
      </c>
    </row>
    <row r="144" spans="1:24" x14ac:dyDescent="0.2">
      <c r="A144" s="8">
        <v>71</v>
      </c>
      <c r="B144" s="8">
        <v>142</v>
      </c>
      <c r="D144">
        <v>370.61703821655999</v>
      </c>
      <c r="E144">
        <v>180.36703821655999</v>
      </c>
      <c r="F144">
        <v>122.47585114806</v>
      </c>
      <c r="G144">
        <v>109.61520190024</v>
      </c>
      <c r="I144" s="9">
        <f t="shared" si="15"/>
        <v>70.751836316319995</v>
      </c>
      <c r="J144" s="9">
        <f t="shared" si="16"/>
        <v>248.14118706849999</v>
      </c>
      <c r="K144" s="9">
        <f t="shared" si="17"/>
        <v>70.751836316319995</v>
      </c>
      <c r="L144" s="10">
        <f t="shared" si="14"/>
        <v>0.28512733880324664</v>
      </c>
      <c r="M144" s="10">
        <f t="shared" si="18"/>
        <v>0.29727328715789136</v>
      </c>
      <c r="P144" s="8">
        <f t="shared" si="19"/>
        <v>-11.346405950297605</v>
      </c>
    </row>
    <row r="145" spans="1:16" x14ac:dyDescent="0.2">
      <c r="A145" s="8">
        <v>71.5</v>
      </c>
      <c r="B145" s="8">
        <v>143</v>
      </c>
      <c r="D145">
        <v>375.92914012738999</v>
      </c>
      <c r="E145">
        <v>182.08041401273999</v>
      </c>
      <c r="F145">
        <v>122.78068091845</v>
      </c>
      <c r="G145">
        <v>109.23673792557</v>
      </c>
      <c r="I145" s="9">
        <f t="shared" si="15"/>
        <v>72.843676087169996</v>
      </c>
      <c r="J145" s="9">
        <f t="shared" si="16"/>
        <v>253.14845920893998</v>
      </c>
      <c r="K145" s="9">
        <f t="shared" si="17"/>
        <v>72.843676087169996</v>
      </c>
      <c r="L145" s="10">
        <f t="shared" si="14"/>
        <v>0.28775081750368209</v>
      </c>
      <c r="M145" s="10">
        <f t="shared" si="18"/>
        <v>0.29998230070589471</v>
      </c>
      <c r="P145" s="8">
        <f t="shared" si="19"/>
        <v>-10.538517055685038</v>
      </c>
    </row>
    <row r="146" spans="1:16" x14ac:dyDescent="0.2">
      <c r="A146" s="8">
        <v>72</v>
      </c>
      <c r="B146" s="8">
        <v>144</v>
      </c>
      <c r="D146">
        <v>375.22531847134002</v>
      </c>
      <c r="E146">
        <v>182.72054140127</v>
      </c>
      <c r="F146">
        <v>122.45209817894001</v>
      </c>
      <c r="G146">
        <v>109.16864608076</v>
      </c>
      <c r="I146" s="9">
        <f t="shared" si="15"/>
        <v>73.551895320509999</v>
      </c>
      <c r="J146" s="9">
        <f t="shared" si="16"/>
        <v>252.77322029240003</v>
      </c>
      <c r="K146" s="9">
        <f t="shared" si="17"/>
        <v>73.551895320509999</v>
      </c>
      <c r="L146" s="10">
        <f t="shared" si="14"/>
        <v>0.29097977719090456</v>
      </c>
      <c r="M146" s="10">
        <f t="shared" si="18"/>
        <v>0.30329679524068509</v>
      </c>
      <c r="P146" s="8">
        <f t="shared" si="19"/>
        <v>-9.5500600847389912</v>
      </c>
    </row>
    <row r="147" spans="1:16" x14ac:dyDescent="0.2">
      <c r="A147" s="8">
        <v>72.5</v>
      </c>
      <c r="B147" s="8">
        <v>145</v>
      </c>
      <c r="D147">
        <v>386.51630867144002</v>
      </c>
      <c r="E147">
        <v>185.22991249006</v>
      </c>
      <c r="F147">
        <v>122.6334125099</v>
      </c>
      <c r="G147">
        <v>109.41884402217001</v>
      </c>
      <c r="I147" s="9">
        <f t="shared" si="15"/>
        <v>75.811068467889996</v>
      </c>
      <c r="J147" s="9">
        <f t="shared" si="16"/>
        <v>263.88289616154003</v>
      </c>
      <c r="K147" s="9">
        <f t="shared" si="17"/>
        <v>75.811068467889996</v>
      </c>
      <c r="L147" s="10">
        <f t="shared" si="14"/>
        <v>0.28729057309375999</v>
      </c>
      <c r="M147" s="10">
        <f t="shared" si="18"/>
        <v>0.29969312599110848</v>
      </c>
      <c r="P147" s="8">
        <f t="shared" si="19"/>
        <v>-10.624755472931325</v>
      </c>
    </row>
    <row r="148" spans="1:16" x14ac:dyDescent="0.2">
      <c r="A148" s="8">
        <v>73</v>
      </c>
      <c r="B148" s="8">
        <v>146</v>
      </c>
      <c r="D148">
        <v>380.48528241845997</v>
      </c>
      <c r="E148">
        <v>183.34049323786999</v>
      </c>
      <c r="F148">
        <v>122.39350752177</v>
      </c>
      <c r="G148">
        <v>109.26207442597</v>
      </c>
      <c r="I148" s="9">
        <f t="shared" si="15"/>
        <v>74.078418811899994</v>
      </c>
      <c r="J148" s="9">
        <f t="shared" si="16"/>
        <v>258.09177489668997</v>
      </c>
      <c r="K148" s="9">
        <f t="shared" si="17"/>
        <v>74.078418811899994</v>
      </c>
      <c r="L148" s="10">
        <f t="shared" si="14"/>
        <v>0.28702355525104356</v>
      </c>
      <c r="M148" s="10">
        <f t="shared" si="18"/>
        <v>0.29951164299595995</v>
      </c>
      <c r="P148" s="8">
        <f t="shared" si="19"/>
        <v>-10.67887779227136</v>
      </c>
    </row>
    <row r="149" spans="1:16" x14ac:dyDescent="0.2">
      <c r="A149" s="8">
        <v>73.5</v>
      </c>
      <c r="B149" s="8">
        <v>147</v>
      </c>
      <c r="D149">
        <v>405.17181314330998</v>
      </c>
      <c r="E149">
        <v>189.49881235154001</v>
      </c>
      <c r="F149">
        <v>122.92874109264</v>
      </c>
      <c r="G149">
        <v>109.20585906572001</v>
      </c>
      <c r="I149" s="9">
        <f t="shared" si="15"/>
        <v>80.292953285820005</v>
      </c>
      <c r="J149" s="9">
        <f t="shared" si="16"/>
        <v>282.24307205066998</v>
      </c>
      <c r="K149" s="9">
        <f t="shared" si="17"/>
        <v>80.292953285820005</v>
      </c>
      <c r="L149" s="10">
        <f t="shared" si="14"/>
        <v>0.28448157363949517</v>
      </c>
      <c r="M149" s="10">
        <f t="shared" si="18"/>
        <v>0.29705519623197946</v>
      </c>
      <c r="P149" s="8">
        <f t="shared" si="19"/>
        <v>-11.41144557964529</v>
      </c>
    </row>
    <row r="150" spans="1:16" x14ac:dyDescent="0.2">
      <c r="A150" s="8">
        <v>74</v>
      </c>
      <c r="B150" s="8">
        <v>148</v>
      </c>
      <c r="D150">
        <v>406.25890736342001</v>
      </c>
      <c r="E150">
        <v>189.21219319081999</v>
      </c>
      <c r="F150">
        <v>122.66191607284</v>
      </c>
      <c r="G150">
        <v>109.41726049090001</v>
      </c>
      <c r="I150" s="9">
        <f t="shared" si="15"/>
        <v>79.794932699919983</v>
      </c>
      <c r="J150" s="9">
        <f t="shared" si="16"/>
        <v>283.59699129058004</v>
      </c>
      <c r="K150" s="9">
        <f t="shared" si="17"/>
        <v>79.794932699919983</v>
      </c>
      <c r="L150" s="10">
        <f t="shared" si="14"/>
        <v>0.28136734574225525</v>
      </c>
      <c r="M150" s="10">
        <f t="shared" si="18"/>
        <v>0.2940265031823075</v>
      </c>
      <c r="P150" s="8">
        <f t="shared" si="19"/>
        <v>-12.314670106456413</v>
      </c>
    </row>
    <row r="151" spans="1:16" x14ac:dyDescent="0.2">
      <c r="A151" s="8">
        <v>74.5</v>
      </c>
      <c r="B151" s="8">
        <v>149</v>
      </c>
      <c r="D151">
        <v>393.70704671417002</v>
      </c>
      <c r="E151">
        <v>186.14489311163999</v>
      </c>
      <c r="F151">
        <v>122.91448931116</v>
      </c>
      <c r="G151">
        <v>109.59224069675</v>
      </c>
      <c r="I151" s="9">
        <f t="shared" si="15"/>
        <v>76.552652414889991</v>
      </c>
      <c r="J151" s="9">
        <f t="shared" si="16"/>
        <v>270.79255740301005</v>
      </c>
      <c r="K151" s="9">
        <f t="shared" si="17"/>
        <v>76.552652414889991</v>
      </c>
      <c r="L151" s="10">
        <f t="shared" si="14"/>
        <v>0.28269850969707283</v>
      </c>
      <c r="M151" s="10">
        <f t="shared" si="18"/>
        <v>0.29544320198469298</v>
      </c>
      <c r="P151" s="8">
        <f t="shared" si="19"/>
        <v>-11.892178594628527</v>
      </c>
    </row>
    <row r="152" spans="1:16" x14ac:dyDescent="0.2">
      <c r="A152" s="8">
        <v>75</v>
      </c>
      <c r="B152" s="8">
        <v>150</v>
      </c>
      <c r="D152">
        <v>407.27866242037999</v>
      </c>
      <c r="E152">
        <v>188.69904458599001</v>
      </c>
      <c r="F152">
        <v>122.94853523357</v>
      </c>
      <c r="G152">
        <v>109.33491686460999</v>
      </c>
      <c r="I152" s="9">
        <f t="shared" si="15"/>
        <v>79.364127721380015</v>
      </c>
      <c r="J152" s="9">
        <f t="shared" si="16"/>
        <v>284.33012718680999</v>
      </c>
      <c r="K152" s="9">
        <f t="shared" si="17"/>
        <v>79.364127721380015</v>
      </c>
      <c r="L152" s="10">
        <f t="shared" si="14"/>
        <v>0.27912669159127257</v>
      </c>
      <c r="M152" s="10">
        <f t="shared" si="18"/>
        <v>0.29195691872646062</v>
      </c>
      <c r="P152" s="8">
        <f t="shared" si="19"/>
        <v>-12.931866834606334</v>
      </c>
    </row>
    <row r="153" spans="1:16" x14ac:dyDescent="0.2">
      <c r="A153" s="8">
        <v>75.5</v>
      </c>
      <c r="B153" s="8">
        <v>151</v>
      </c>
      <c r="D153">
        <v>404.50238853502998</v>
      </c>
      <c r="E153">
        <v>189.41878980892</v>
      </c>
      <c r="F153">
        <v>122.64370546318</v>
      </c>
      <c r="G153">
        <v>109.60411718131</v>
      </c>
      <c r="I153" s="9">
        <f t="shared" si="15"/>
        <v>79.814672627609994</v>
      </c>
      <c r="J153" s="9">
        <f t="shared" si="16"/>
        <v>281.85868307185001</v>
      </c>
      <c r="K153" s="9">
        <f t="shared" si="17"/>
        <v>79.814672627609994</v>
      </c>
      <c r="L153" s="10">
        <f t="shared" si="14"/>
        <v>0.28317265857395651</v>
      </c>
      <c r="M153" s="10">
        <f t="shared" si="18"/>
        <v>0.29608842055671247</v>
      </c>
      <c r="P153" s="8">
        <f t="shared" si="19"/>
        <v>-11.699759874789892</v>
      </c>
    </row>
    <row r="154" spans="1:16" x14ac:dyDescent="0.2">
      <c r="A154" s="8">
        <v>76</v>
      </c>
      <c r="B154" s="8">
        <v>152</v>
      </c>
      <c r="D154">
        <v>409.75318471337999</v>
      </c>
      <c r="E154">
        <v>191.96178343949001</v>
      </c>
      <c r="F154">
        <v>122.36737925574</v>
      </c>
      <c r="G154">
        <v>109.44022169438</v>
      </c>
      <c r="I154" s="9">
        <f t="shared" si="15"/>
        <v>82.521561745110006</v>
      </c>
      <c r="J154" s="9">
        <f t="shared" si="16"/>
        <v>287.38580545764</v>
      </c>
      <c r="K154" s="9">
        <f t="shared" si="17"/>
        <v>82.521561745110006</v>
      </c>
      <c r="L154" s="10">
        <f t="shared" si="14"/>
        <v>0.28714557287789738</v>
      </c>
      <c r="M154" s="10">
        <f t="shared" si="18"/>
        <v>0.3001468697082213</v>
      </c>
      <c r="P154" s="8">
        <f t="shared" si="19"/>
        <v>-10.489438870204898</v>
      </c>
    </row>
    <row r="155" spans="1:16" x14ac:dyDescent="0.2">
      <c r="A155" s="8">
        <v>76.5</v>
      </c>
      <c r="B155" s="8">
        <v>153</v>
      </c>
      <c r="D155">
        <v>403.31847133757998</v>
      </c>
      <c r="E155">
        <v>191.22292993631001</v>
      </c>
      <c r="F155">
        <v>122.61599366588</v>
      </c>
      <c r="G155">
        <v>109.64924782264001</v>
      </c>
      <c r="I155" s="9">
        <f t="shared" si="15"/>
        <v>81.573682113670003</v>
      </c>
      <c r="J155" s="9">
        <f t="shared" si="16"/>
        <v>280.70247767169997</v>
      </c>
      <c r="K155" s="9">
        <f t="shared" si="17"/>
        <v>81.573682113670003</v>
      </c>
      <c r="L155" s="10">
        <f t="shared" si="14"/>
        <v>0.2906054937251954</v>
      </c>
      <c r="M155" s="10">
        <f t="shared" si="18"/>
        <v>0.30369232540308722</v>
      </c>
      <c r="P155" s="8">
        <f t="shared" si="19"/>
        <v>-9.4321040760196926</v>
      </c>
    </row>
    <row r="156" spans="1:16" x14ac:dyDescent="0.2">
      <c r="A156" s="8">
        <v>77</v>
      </c>
      <c r="B156" s="8">
        <v>154</v>
      </c>
      <c r="D156">
        <v>400.26273885350003</v>
      </c>
      <c r="E156">
        <v>190.91719745223</v>
      </c>
      <c r="F156">
        <v>122.83372921615</v>
      </c>
      <c r="G156">
        <v>109.07046714173001</v>
      </c>
      <c r="I156" s="9">
        <f t="shared" si="15"/>
        <v>81.846730310499993</v>
      </c>
      <c r="J156" s="9">
        <f t="shared" si="16"/>
        <v>277.42900963735002</v>
      </c>
      <c r="K156" s="9">
        <f t="shared" si="17"/>
        <v>81.846730310499993</v>
      </c>
      <c r="L156" s="10">
        <f t="shared" si="14"/>
        <v>0.29501864429206048</v>
      </c>
      <c r="M156" s="10">
        <f t="shared" si="18"/>
        <v>0.30819101081752021</v>
      </c>
      <c r="P156" s="8">
        <f t="shared" si="19"/>
        <v>-8.0904946959726018</v>
      </c>
    </row>
    <row r="157" spans="1:16" x14ac:dyDescent="0.2">
      <c r="A157" s="8">
        <v>77.5</v>
      </c>
      <c r="B157" s="8">
        <v>155</v>
      </c>
      <c r="D157">
        <v>395.93630573247998</v>
      </c>
      <c r="E157">
        <v>189.56449044586</v>
      </c>
      <c r="F157">
        <v>122.46239113223</v>
      </c>
      <c r="G157">
        <v>109.18368962787</v>
      </c>
      <c r="I157" s="9">
        <f t="shared" si="15"/>
        <v>80.380800817990007</v>
      </c>
      <c r="J157" s="9">
        <f t="shared" si="16"/>
        <v>273.47391460025</v>
      </c>
      <c r="K157" s="9">
        <f t="shared" si="17"/>
        <v>80.380800817990007</v>
      </c>
      <c r="L157" s="10">
        <f t="shared" si="14"/>
        <v>0.29392492858226166</v>
      </c>
      <c r="M157" s="10">
        <f t="shared" si="18"/>
        <v>0.30718282995528934</v>
      </c>
      <c r="P157" s="8">
        <f t="shared" si="19"/>
        <v>-8.3911569510423689</v>
      </c>
    </row>
    <row r="158" spans="1:16" x14ac:dyDescent="0.2">
      <c r="A158" s="8">
        <v>78</v>
      </c>
      <c r="B158" s="8">
        <v>156</v>
      </c>
      <c r="D158">
        <v>401.61464968153001</v>
      </c>
      <c r="E158">
        <v>190.83359872611999</v>
      </c>
      <c r="F158">
        <v>122.57878068092</v>
      </c>
      <c r="G158">
        <v>109.46476642914</v>
      </c>
      <c r="I158" s="9">
        <f t="shared" si="15"/>
        <v>81.368832296979988</v>
      </c>
      <c r="J158" s="9">
        <f t="shared" si="16"/>
        <v>279.03586900060998</v>
      </c>
      <c r="K158" s="9">
        <f t="shared" si="17"/>
        <v>81.368832296979988</v>
      </c>
      <c r="L158" s="10">
        <f t="shared" si="14"/>
        <v>0.2916070704042788</v>
      </c>
      <c r="M158" s="10">
        <f t="shared" si="18"/>
        <v>0.30495050662487438</v>
      </c>
      <c r="P158" s="8">
        <f t="shared" si="19"/>
        <v>-9.0568860793282031</v>
      </c>
    </row>
    <row r="159" spans="1:16" x14ac:dyDescent="0.2">
      <c r="A159" s="8">
        <v>78.5</v>
      </c>
      <c r="B159" s="8">
        <v>157</v>
      </c>
      <c r="D159">
        <v>405.96257961782999</v>
      </c>
      <c r="E159">
        <v>193.48168789809</v>
      </c>
      <c r="F159">
        <v>122.7054631829</v>
      </c>
      <c r="G159">
        <v>109.2541567696</v>
      </c>
      <c r="I159" s="9">
        <f t="shared" si="15"/>
        <v>84.22753112849</v>
      </c>
      <c r="J159" s="9">
        <f t="shared" si="16"/>
        <v>283.25711643492997</v>
      </c>
      <c r="K159" s="9">
        <f t="shared" si="17"/>
        <v>84.22753112849</v>
      </c>
      <c r="L159" s="10">
        <f t="shared" si="14"/>
        <v>0.29735362764606416</v>
      </c>
      <c r="M159" s="10">
        <f t="shared" si="18"/>
        <v>0.31078259871422764</v>
      </c>
      <c r="P159" s="8">
        <f t="shared" si="19"/>
        <v>-7.3176247770659844</v>
      </c>
    </row>
    <row r="160" spans="1:16" x14ac:dyDescent="0.2">
      <c r="A160" s="8">
        <v>79</v>
      </c>
      <c r="B160" s="8">
        <v>158</v>
      </c>
      <c r="D160">
        <v>400.77733439744998</v>
      </c>
      <c r="E160">
        <v>189.73423782921</v>
      </c>
      <c r="F160">
        <v>122.24069675376001</v>
      </c>
      <c r="G160">
        <v>109.32304038005</v>
      </c>
      <c r="I160" s="9">
        <f t="shared" si="15"/>
        <v>80.411197449159999</v>
      </c>
      <c r="J160" s="9">
        <f t="shared" si="16"/>
        <v>278.53663764368997</v>
      </c>
      <c r="K160" s="9">
        <f t="shared" si="17"/>
        <v>80.411197449159999</v>
      </c>
      <c r="L160" s="10">
        <f t="shared" si="14"/>
        <v>0.28869163543226123</v>
      </c>
      <c r="M160" s="10">
        <f t="shared" si="18"/>
        <v>0.30220614134799267</v>
      </c>
      <c r="P160" s="8">
        <f t="shared" si="19"/>
        <v>-9.8753176562345626</v>
      </c>
    </row>
    <row r="161" spans="1:16" x14ac:dyDescent="0.2">
      <c r="A161" s="8">
        <v>79.5</v>
      </c>
      <c r="B161" s="8">
        <v>159</v>
      </c>
      <c r="D161">
        <v>402.66560255386997</v>
      </c>
      <c r="E161">
        <v>190.04389465283001</v>
      </c>
      <c r="F161">
        <v>122.72209026128</v>
      </c>
      <c r="G161">
        <v>109.11559778306</v>
      </c>
      <c r="I161" s="9">
        <f t="shared" si="15"/>
        <v>80.928296869770008</v>
      </c>
      <c r="J161" s="9">
        <f t="shared" si="16"/>
        <v>279.94351229258996</v>
      </c>
      <c r="K161" s="9">
        <f t="shared" si="17"/>
        <v>80.928296869770008</v>
      </c>
      <c r="L161" s="10">
        <f t="shared" si="14"/>
        <v>0.28908795280522798</v>
      </c>
      <c r="M161" s="10">
        <f t="shared" si="18"/>
        <v>0.30268799356852732</v>
      </c>
      <c r="P161" s="8">
        <f t="shared" si="19"/>
        <v>-9.7316184642902233</v>
      </c>
    </row>
    <row r="162" spans="1:16" x14ac:dyDescent="0.2">
      <c r="A162" s="8">
        <v>80</v>
      </c>
      <c r="B162" s="4">
        <v>160</v>
      </c>
      <c r="C162" s="4" t="s">
        <v>6</v>
      </c>
      <c r="D162">
        <v>389.55786113328003</v>
      </c>
      <c r="E162">
        <v>188.28092577813001</v>
      </c>
      <c r="F162">
        <v>122.57403008708999</v>
      </c>
      <c r="G162">
        <v>109.14806017418999</v>
      </c>
      <c r="H162" s="4"/>
      <c r="I162" s="5">
        <f t="shared" si="15"/>
        <v>79.132865603940019</v>
      </c>
      <c r="J162" s="5">
        <f t="shared" si="16"/>
        <v>266.98383104619006</v>
      </c>
      <c r="K162" s="9">
        <f t="shared" si="17"/>
        <v>79.132865603940019</v>
      </c>
      <c r="L162" s="6">
        <f t="shared" si="14"/>
        <v>0.29639572289398108</v>
      </c>
      <c r="M162" s="6">
        <f t="shared" si="18"/>
        <v>0.31008129850484834</v>
      </c>
      <c r="N162" s="4"/>
      <c r="O162" s="4"/>
      <c r="P162" s="4">
        <f t="shared" si="19"/>
        <v>-7.5267683051094654</v>
      </c>
    </row>
    <row r="163" spans="1:16" x14ac:dyDescent="0.2">
      <c r="A163" s="8">
        <v>80.5</v>
      </c>
      <c r="B163" s="8">
        <v>161</v>
      </c>
      <c r="D163">
        <v>401.39505187549997</v>
      </c>
      <c r="E163">
        <v>191.18196328811001</v>
      </c>
      <c r="F163">
        <v>122.8622327791</v>
      </c>
      <c r="G163">
        <v>109.29216152019001</v>
      </c>
      <c r="I163" s="9">
        <f t="shared" si="15"/>
        <v>81.889801767920005</v>
      </c>
      <c r="J163" s="9">
        <f t="shared" si="16"/>
        <v>278.53281909639998</v>
      </c>
      <c r="K163" s="9">
        <f t="shared" si="17"/>
        <v>81.889801767920005</v>
      </c>
      <c r="L163" s="10">
        <f t="shared" si="14"/>
        <v>0.29400413938142783</v>
      </c>
      <c r="M163" s="10">
        <f t="shared" si="18"/>
        <v>0.30777524983986304</v>
      </c>
      <c r="P163" s="8">
        <f t="shared" si="19"/>
        <v>-8.2144839897544841</v>
      </c>
    </row>
    <row r="164" spans="1:16" x14ac:dyDescent="0.2">
      <c r="A164" s="8">
        <v>81</v>
      </c>
      <c r="B164" s="8">
        <v>162</v>
      </c>
      <c r="D164">
        <v>396.99281723862998</v>
      </c>
      <c r="E164">
        <v>190.28970470869999</v>
      </c>
      <c r="F164">
        <v>122.47426761679</v>
      </c>
      <c r="G164">
        <v>109.07759303246</v>
      </c>
      <c r="I164" s="9">
        <f t="shared" si="15"/>
        <v>81.212111676239985</v>
      </c>
      <c r="J164" s="9">
        <f t="shared" si="16"/>
        <v>274.51854962183995</v>
      </c>
      <c r="K164" s="9">
        <f t="shared" si="17"/>
        <v>81.212111676239985</v>
      </c>
      <c r="L164" s="10">
        <f t="shared" si="14"/>
        <v>0.29583469600911433</v>
      </c>
      <c r="M164" s="10">
        <f t="shared" si="18"/>
        <v>0.30969134131511744</v>
      </c>
      <c r="P164" s="8">
        <f t="shared" si="19"/>
        <v>-7.6430623277769101</v>
      </c>
    </row>
    <row r="165" spans="1:16" x14ac:dyDescent="0.2">
      <c r="A165" s="8">
        <v>81.5</v>
      </c>
      <c r="B165" s="8">
        <v>163</v>
      </c>
      <c r="D165">
        <v>394.36153232242998</v>
      </c>
      <c r="E165">
        <v>188.50359138069001</v>
      </c>
      <c r="F165">
        <v>122.69517022961</v>
      </c>
      <c r="G165">
        <v>109.16468725257</v>
      </c>
      <c r="I165" s="9">
        <f t="shared" si="15"/>
        <v>79.338904128120006</v>
      </c>
      <c r="J165" s="9">
        <f t="shared" si="16"/>
        <v>271.66636209282001</v>
      </c>
      <c r="K165" s="9">
        <f t="shared" si="17"/>
        <v>79.338904128120006</v>
      </c>
      <c r="L165" s="10">
        <f t="shared" si="14"/>
        <v>0.29204537329142116</v>
      </c>
      <c r="M165" s="10">
        <f t="shared" si="18"/>
        <v>0.30598755344499218</v>
      </c>
      <c r="P165" s="8">
        <f t="shared" si="19"/>
        <v>-8.7476153450478424</v>
      </c>
    </row>
    <row r="166" spans="1:16" x14ac:dyDescent="0.2">
      <c r="A166" s="8">
        <v>82</v>
      </c>
      <c r="B166" s="8">
        <v>164</v>
      </c>
      <c r="D166">
        <v>384.59537110934002</v>
      </c>
      <c r="E166">
        <v>187.84437350358999</v>
      </c>
      <c r="F166">
        <v>122.08551068884</v>
      </c>
      <c r="G166">
        <v>109.57561361837</v>
      </c>
      <c r="I166" s="9">
        <f t="shared" si="15"/>
        <v>78.268759885219993</v>
      </c>
      <c r="J166" s="9">
        <f t="shared" si="16"/>
        <v>262.50986042049999</v>
      </c>
      <c r="K166" s="9">
        <f t="shared" si="17"/>
        <v>78.268759885219993</v>
      </c>
      <c r="L166" s="10">
        <f t="shared" si="14"/>
        <v>0.29815550455836443</v>
      </c>
      <c r="M166" s="10">
        <f t="shared" si="18"/>
        <v>0.3121832195595034</v>
      </c>
      <c r="P166" s="8">
        <f t="shared" si="19"/>
        <v>-6.8999280744063958</v>
      </c>
    </row>
    <row r="167" spans="1:16" x14ac:dyDescent="0.2">
      <c r="A167" s="8">
        <v>82.5</v>
      </c>
      <c r="B167" s="8">
        <v>165</v>
      </c>
      <c r="D167">
        <v>408.23623304069997</v>
      </c>
      <c r="E167">
        <v>191.64804469274</v>
      </c>
      <c r="F167">
        <v>121.9152810768</v>
      </c>
      <c r="G167">
        <v>109.12193190815999</v>
      </c>
      <c r="I167" s="9">
        <f t="shared" si="15"/>
        <v>82.526112784580008</v>
      </c>
      <c r="J167" s="9">
        <f t="shared" si="16"/>
        <v>286.32095196389997</v>
      </c>
      <c r="K167" s="9">
        <f t="shared" si="17"/>
        <v>82.526112784580008</v>
      </c>
      <c r="L167" s="10">
        <f t="shared" si="14"/>
        <v>0.28822938809935605</v>
      </c>
      <c r="M167" s="10">
        <f t="shared" si="18"/>
        <v>0.30234263794806293</v>
      </c>
      <c r="P167" s="8">
        <f t="shared" si="19"/>
        <v>-9.8346112937911521</v>
      </c>
    </row>
    <row r="168" spans="1:16" x14ac:dyDescent="0.2">
      <c r="A168" s="8">
        <v>83</v>
      </c>
      <c r="B168" s="8">
        <v>166</v>
      </c>
      <c r="D168">
        <v>435.72482157017998</v>
      </c>
      <c r="E168">
        <v>200.05709754162999</v>
      </c>
      <c r="F168">
        <v>122.68329374504999</v>
      </c>
      <c r="G168">
        <v>109.18844022169</v>
      </c>
      <c r="I168" s="9">
        <f t="shared" si="15"/>
        <v>90.868657319939985</v>
      </c>
      <c r="J168" s="9">
        <f t="shared" si="16"/>
        <v>313.04152782513</v>
      </c>
      <c r="K168" s="9">
        <f t="shared" si="17"/>
        <v>90.868657319939985</v>
      </c>
      <c r="L168" s="10">
        <f t="shared" si="14"/>
        <v>0.29027668613571511</v>
      </c>
      <c r="M168" s="10">
        <f t="shared" si="18"/>
        <v>0.30447547083198989</v>
      </c>
      <c r="P168" s="8">
        <f t="shared" si="19"/>
        <v>-9.19855245892151</v>
      </c>
    </row>
    <row r="169" spans="1:16" x14ac:dyDescent="0.2">
      <c r="A169" s="8">
        <v>83.5</v>
      </c>
      <c r="B169" s="8">
        <v>167</v>
      </c>
      <c r="D169">
        <v>461.44885011895002</v>
      </c>
      <c r="E169">
        <v>207.83267248216001</v>
      </c>
      <c r="F169">
        <v>122.51464766429</v>
      </c>
      <c r="G169">
        <v>109.31591448931</v>
      </c>
      <c r="I169" s="9">
        <f t="shared" si="15"/>
        <v>98.516757992850003</v>
      </c>
      <c r="J169" s="9">
        <f t="shared" si="16"/>
        <v>338.93420245466001</v>
      </c>
      <c r="K169" s="9">
        <f t="shared" si="17"/>
        <v>98.516757992850003</v>
      </c>
      <c r="L169" s="10">
        <f t="shared" si="14"/>
        <v>0.29066632189776953</v>
      </c>
      <c r="M169" s="10">
        <f t="shared" si="18"/>
        <v>0.30495064144161221</v>
      </c>
      <c r="P169" s="8">
        <f t="shared" si="19"/>
        <v>-9.0568458739385385</v>
      </c>
    </row>
    <row r="170" spans="1:16" x14ac:dyDescent="0.2">
      <c r="A170" s="8">
        <v>84</v>
      </c>
      <c r="B170" s="8">
        <v>168</v>
      </c>
      <c r="D170">
        <v>469.51153540175</v>
      </c>
      <c r="E170">
        <v>208.64041368337001</v>
      </c>
      <c r="F170">
        <v>123.12272367379001</v>
      </c>
      <c r="G170">
        <v>109.17973079968</v>
      </c>
      <c r="I170" s="9">
        <f t="shared" si="15"/>
        <v>99.460682883690012</v>
      </c>
      <c r="J170" s="9">
        <f t="shared" si="16"/>
        <v>346.38881172795999</v>
      </c>
      <c r="K170" s="9">
        <f t="shared" si="17"/>
        <v>99.460682883690012</v>
      </c>
      <c r="L170" s="10">
        <f t="shared" si="14"/>
        <v>0.28713595680972076</v>
      </c>
      <c r="M170" s="10">
        <f t="shared" si="18"/>
        <v>0.3015058112011314</v>
      </c>
      <c r="P170" s="8">
        <f t="shared" si="19"/>
        <v>-10.084171889772309</v>
      </c>
    </row>
    <row r="171" spans="1:16" x14ac:dyDescent="0.2">
      <c r="A171" s="8">
        <v>84.5</v>
      </c>
      <c r="B171" s="8">
        <v>169</v>
      </c>
      <c r="D171">
        <v>464.54320000000001</v>
      </c>
      <c r="E171">
        <v>209.09200000000001</v>
      </c>
      <c r="F171">
        <v>122.53048297703999</v>
      </c>
      <c r="G171">
        <v>109.19714964371001</v>
      </c>
      <c r="I171" s="9">
        <f t="shared" si="15"/>
        <v>99.894850356290007</v>
      </c>
      <c r="J171" s="9">
        <f t="shared" si="16"/>
        <v>342.01271702296003</v>
      </c>
      <c r="K171" s="9">
        <f t="shared" si="17"/>
        <v>99.894850356290007</v>
      </c>
      <c r="L171" s="10">
        <f t="shared" si="14"/>
        <v>0.29207934496068416</v>
      </c>
      <c r="M171" s="10">
        <f t="shared" si="18"/>
        <v>0.30653473419966271</v>
      </c>
      <c r="P171" s="8">
        <f t="shared" si="19"/>
        <v>-8.5844337118773986</v>
      </c>
    </row>
    <row r="172" spans="1:16" x14ac:dyDescent="0.2">
      <c r="A172" s="8">
        <v>85</v>
      </c>
      <c r="B172" s="8">
        <v>170</v>
      </c>
      <c r="D172">
        <v>468.26639999999998</v>
      </c>
      <c r="E172">
        <v>209.1704</v>
      </c>
      <c r="F172">
        <v>122.82185273159</v>
      </c>
      <c r="G172">
        <v>109.41567695962</v>
      </c>
      <c r="I172" s="9">
        <f t="shared" si="15"/>
        <v>99.75472304038</v>
      </c>
      <c r="J172" s="9">
        <f t="shared" si="16"/>
        <v>345.44454726840996</v>
      </c>
      <c r="K172" s="9">
        <f t="shared" si="17"/>
        <v>99.75472304038</v>
      </c>
      <c r="L172" s="10">
        <f t="shared" si="14"/>
        <v>0.28877202963308235</v>
      </c>
      <c r="M172" s="10">
        <f t="shared" si="18"/>
        <v>0.3033129537196288</v>
      </c>
      <c r="P172" s="8">
        <f t="shared" si="19"/>
        <v>-9.5452412621450353</v>
      </c>
    </row>
    <row r="173" spans="1:16" x14ac:dyDescent="0.2">
      <c r="A173" s="8">
        <v>85.5</v>
      </c>
      <c r="B173" s="8">
        <v>171</v>
      </c>
      <c r="D173">
        <v>471.40559999999999</v>
      </c>
      <c r="E173">
        <v>210.03120000000001</v>
      </c>
      <c r="F173">
        <v>122.68804433888</v>
      </c>
      <c r="G173">
        <v>109.63103721298999</v>
      </c>
      <c r="I173" s="9">
        <f t="shared" si="15"/>
        <v>100.40016278701002</v>
      </c>
      <c r="J173" s="9">
        <f t="shared" si="16"/>
        <v>348.71755566112</v>
      </c>
      <c r="K173" s="9">
        <f t="shared" si="17"/>
        <v>100.40016278701002</v>
      </c>
      <c r="L173" s="10">
        <f t="shared" si="14"/>
        <v>0.28791255604170907</v>
      </c>
      <c r="M173" s="10">
        <f t="shared" si="18"/>
        <v>0.30253901497582347</v>
      </c>
      <c r="P173" s="8">
        <f t="shared" si="19"/>
        <v>-9.7760472382508254</v>
      </c>
    </row>
    <row r="174" spans="1:16" x14ac:dyDescent="0.2">
      <c r="A174" s="8">
        <v>86</v>
      </c>
      <c r="B174" s="8">
        <v>172</v>
      </c>
      <c r="D174">
        <v>470.16441620334001</v>
      </c>
      <c r="E174">
        <v>209.54884829229999</v>
      </c>
      <c r="F174">
        <v>122.94140934284</v>
      </c>
      <c r="G174">
        <v>109.36896278702</v>
      </c>
      <c r="I174" s="9">
        <f t="shared" si="15"/>
        <v>100.17988550528</v>
      </c>
      <c r="J174" s="9">
        <f t="shared" si="16"/>
        <v>347.22300686049999</v>
      </c>
      <c r="K174" s="9">
        <f t="shared" si="17"/>
        <v>100.17988550528</v>
      </c>
      <c r="L174" s="10">
        <f t="shared" si="14"/>
        <v>0.28851741827559307</v>
      </c>
      <c r="M174" s="10">
        <f t="shared" si="18"/>
        <v>0.30322941205727538</v>
      </c>
      <c r="P174" s="8">
        <f t="shared" si="19"/>
        <v>-9.5701552686853653</v>
      </c>
    </row>
    <row r="175" spans="1:16" x14ac:dyDescent="0.2">
      <c r="A175" s="8">
        <v>86.5</v>
      </c>
      <c r="B175" s="8">
        <v>173</v>
      </c>
      <c r="D175">
        <v>460.53296266878999</v>
      </c>
      <c r="E175">
        <v>209.60921366164001</v>
      </c>
      <c r="F175">
        <v>122.83135391924</v>
      </c>
      <c r="G175">
        <v>109.38796516231</v>
      </c>
      <c r="I175" s="9">
        <f t="shared" si="15"/>
        <v>100.22124849933002</v>
      </c>
      <c r="J175" s="9">
        <f t="shared" si="16"/>
        <v>337.70160874955002</v>
      </c>
      <c r="K175" s="9">
        <f t="shared" si="17"/>
        <v>100.22124849933002</v>
      </c>
      <c r="L175" s="10">
        <f t="shared" si="14"/>
        <v>0.29677456637068378</v>
      </c>
      <c r="M175" s="10">
        <f t="shared" si="18"/>
        <v>0.31157209499993399</v>
      </c>
      <c r="P175" s="8">
        <f t="shared" si="19"/>
        <v>-7.0821791913360297</v>
      </c>
    </row>
    <row r="176" spans="1:16" x14ac:dyDescent="0.2">
      <c r="A176" s="8">
        <v>87</v>
      </c>
      <c r="B176" s="8">
        <v>174</v>
      </c>
      <c r="D176">
        <v>458.96664019063002</v>
      </c>
      <c r="E176">
        <v>207.80778395551999</v>
      </c>
      <c r="F176">
        <v>122.48535233571</v>
      </c>
      <c r="G176">
        <v>109.61916072842</v>
      </c>
      <c r="I176" s="9">
        <f t="shared" si="15"/>
        <v>98.188623227099995</v>
      </c>
      <c r="J176" s="9">
        <f t="shared" si="16"/>
        <v>336.48128785492003</v>
      </c>
      <c r="K176" s="9">
        <f t="shared" si="17"/>
        <v>98.188623227099995</v>
      </c>
      <c r="L176" s="10">
        <f t="shared" si="14"/>
        <v>0.29181005533192023</v>
      </c>
      <c r="M176" s="10">
        <f t="shared" si="18"/>
        <v>0.3066931188087384</v>
      </c>
      <c r="P176" s="8">
        <f t="shared" si="19"/>
        <v>-8.5371998518459069</v>
      </c>
    </row>
    <row r="177" spans="1:16" x14ac:dyDescent="0.2">
      <c r="A177" s="8">
        <v>87.5</v>
      </c>
      <c r="B177" s="8">
        <v>175</v>
      </c>
      <c r="D177">
        <v>458.05714285713998</v>
      </c>
      <c r="E177">
        <v>208.00317460318001</v>
      </c>
      <c r="F177">
        <v>123.02058590657001</v>
      </c>
      <c r="G177">
        <v>109.49010292953</v>
      </c>
      <c r="I177" s="9">
        <f t="shared" si="15"/>
        <v>98.513071673650018</v>
      </c>
      <c r="J177" s="9">
        <f t="shared" si="16"/>
        <v>335.03655695057</v>
      </c>
      <c r="K177" s="9">
        <f t="shared" si="17"/>
        <v>98.513071673650018</v>
      </c>
      <c r="L177" s="10">
        <f t="shared" si="14"/>
        <v>0.2940367838372463</v>
      </c>
      <c r="M177" s="10">
        <f t="shared" si="18"/>
        <v>0.30900538216163237</v>
      </c>
      <c r="P177" s="8">
        <f t="shared" si="19"/>
        <v>-7.8476308072025214</v>
      </c>
    </row>
    <row r="178" spans="1:16" x14ac:dyDescent="0.2">
      <c r="A178" s="8">
        <v>88</v>
      </c>
      <c r="B178" s="8">
        <v>176</v>
      </c>
      <c r="D178">
        <v>455.76984126984001</v>
      </c>
      <c r="E178">
        <v>206.88571428571001</v>
      </c>
      <c r="F178">
        <v>123.14806017418999</v>
      </c>
      <c r="G178">
        <v>109.3792557403</v>
      </c>
      <c r="I178" s="9">
        <f t="shared" si="15"/>
        <v>97.506458545410013</v>
      </c>
      <c r="J178" s="9">
        <f t="shared" si="16"/>
        <v>332.62178109565002</v>
      </c>
      <c r="K178" s="9">
        <f t="shared" si="17"/>
        <v>97.506458545410013</v>
      </c>
      <c r="L178" s="10">
        <f t="shared" si="14"/>
        <v>0.29314513987696639</v>
      </c>
      <c r="M178" s="10">
        <f t="shared" si="18"/>
        <v>0.30819927304892036</v>
      </c>
      <c r="P178" s="8">
        <f t="shared" si="19"/>
        <v>-8.0880307123584085</v>
      </c>
    </row>
    <row r="179" spans="1:16" x14ac:dyDescent="0.2">
      <c r="A179" s="8">
        <v>88.5</v>
      </c>
      <c r="B179" s="8">
        <v>177</v>
      </c>
      <c r="D179">
        <v>452.91428571428997</v>
      </c>
      <c r="E179">
        <v>205.8</v>
      </c>
      <c r="F179">
        <v>122.87490102930001</v>
      </c>
      <c r="G179">
        <v>109.11243072051001</v>
      </c>
      <c r="I179" s="9">
        <f t="shared" si="15"/>
        <v>96.687569279490006</v>
      </c>
      <c r="J179" s="9">
        <f t="shared" si="16"/>
        <v>330.03938468498995</v>
      </c>
      <c r="K179" s="9">
        <f t="shared" si="17"/>
        <v>96.687569279490006</v>
      </c>
      <c r="L179" s="10">
        <f t="shared" si="14"/>
        <v>0.29295767040583542</v>
      </c>
      <c r="M179" s="10">
        <f t="shared" si="18"/>
        <v>0.30809733842535736</v>
      </c>
      <c r="P179" s="8">
        <f t="shared" si="19"/>
        <v>-8.118429914464194</v>
      </c>
    </row>
    <row r="180" spans="1:16" x14ac:dyDescent="0.2">
      <c r="A180" s="8">
        <v>89</v>
      </c>
      <c r="B180" s="8">
        <v>178</v>
      </c>
      <c r="D180">
        <v>455.76269841269999</v>
      </c>
      <c r="E180">
        <v>207.05714285714001</v>
      </c>
      <c r="F180">
        <v>123.31670625495001</v>
      </c>
      <c r="G180">
        <v>109.45922406968</v>
      </c>
      <c r="I180" s="9">
        <f t="shared" si="15"/>
        <v>97.597918787460003</v>
      </c>
      <c r="J180" s="9">
        <f t="shared" si="16"/>
        <v>332.44599215774997</v>
      </c>
      <c r="K180" s="9">
        <f t="shared" si="17"/>
        <v>97.597918787460003</v>
      </c>
      <c r="L180" s="10">
        <f t="shared" si="14"/>
        <v>0.2935752606130036</v>
      </c>
      <c r="M180" s="10">
        <f t="shared" si="18"/>
        <v>0.30880046348009343</v>
      </c>
      <c r="P180" s="8">
        <f t="shared" si="19"/>
        <v>-7.908742176407733</v>
      </c>
    </row>
    <row r="181" spans="1:16" x14ac:dyDescent="0.2">
      <c r="A181" s="8">
        <v>89.5</v>
      </c>
      <c r="B181" s="8">
        <v>179</v>
      </c>
      <c r="D181">
        <v>457.68492063491999</v>
      </c>
      <c r="E181">
        <v>206.91349206349</v>
      </c>
      <c r="F181">
        <v>123.28266033254</v>
      </c>
      <c r="G181">
        <v>109.38163103721</v>
      </c>
      <c r="I181" s="9">
        <f t="shared" si="15"/>
        <v>97.531861026279998</v>
      </c>
      <c r="J181" s="9">
        <f t="shared" si="16"/>
        <v>334.40226030238</v>
      </c>
      <c r="K181" s="9">
        <f t="shared" si="17"/>
        <v>97.531861026279998</v>
      </c>
      <c r="L181" s="10">
        <f t="shared" si="14"/>
        <v>0.29166029242173114</v>
      </c>
      <c r="M181" s="10">
        <f t="shared" si="18"/>
        <v>0.30697103013638888</v>
      </c>
      <c r="P181" s="8">
        <f t="shared" si="19"/>
        <v>-8.4543204304929418</v>
      </c>
    </row>
    <row r="182" spans="1:16" x14ac:dyDescent="0.2">
      <c r="A182" s="8">
        <v>90</v>
      </c>
      <c r="B182" s="8">
        <v>180</v>
      </c>
      <c r="D182">
        <v>454.60317460317998</v>
      </c>
      <c r="E182">
        <v>207.84761904761999</v>
      </c>
      <c r="F182">
        <v>122.78147268409001</v>
      </c>
      <c r="G182">
        <v>109.3135391924</v>
      </c>
      <c r="I182" s="9">
        <f t="shared" si="15"/>
        <v>98.534079855219986</v>
      </c>
      <c r="J182" s="9">
        <f t="shared" si="16"/>
        <v>331.82170191908995</v>
      </c>
      <c r="K182" s="9">
        <f t="shared" si="17"/>
        <v>98.534079855219986</v>
      </c>
      <c r="L182" s="10">
        <f t="shared" si="14"/>
        <v>0.29694887129246939</v>
      </c>
      <c r="M182" s="10">
        <f>L182+ABS($N$2)*A182</f>
        <v>0.31234514385469508</v>
      </c>
      <c r="P182" s="8">
        <f t="shared" si="19"/>
        <v>-6.8516386001991725</v>
      </c>
    </row>
    <row r="183" spans="1:16" x14ac:dyDescent="0.2">
      <c r="A183" s="8">
        <v>90.5</v>
      </c>
      <c r="B183" s="8">
        <v>181</v>
      </c>
      <c r="D183">
        <v>451.42176330421</v>
      </c>
      <c r="E183">
        <v>207.41382049244999</v>
      </c>
      <c r="F183">
        <v>122.99762470309</v>
      </c>
      <c r="G183">
        <v>109.4513064133</v>
      </c>
      <c r="I183" s="9">
        <f t="shared" si="15"/>
        <v>97.962514079149983</v>
      </c>
      <c r="J183" s="9">
        <f t="shared" si="16"/>
        <v>328.42413860112003</v>
      </c>
      <c r="K183" s="9">
        <f t="shared" si="17"/>
        <v>97.962514079149983</v>
      </c>
      <c r="L183" s="10">
        <f t="shared" si="14"/>
        <v>0.29828049331699125</v>
      </c>
      <c r="M183" s="10">
        <f t="shared" ref="M183:M241" si="20">L183+ABS($N$2)*A183</f>
        <v>0.31376230072678485</v>
      </c>
      <c r="P183" s="8">
        <f t="shared" si="19"/>
        <v>-6.4290104816616918</v>
      </c>
    </row>
    <row r="184" spans="1:16" x14ac:dyDescent="0.2">
      <c r="A184" s="8">
        <v>91</v>
      </c>
      <c r="B184" s="8">
        <v>182</v>
      </c>
      <c r="D184">
        <v>447.52422557584998</v>
      </c>
      <c r="E184">
        <v>205.87132644956</v>
      </c>
      <c r="F184">
        <v>122.87410926366</v>
      </c>
      <c r="G184">
        <v>109.34204275534</v>
      </c>
      <c r="I184" s="9">
        <f t="shared" si="15"/>
        <v>96.529283694219998</v>
      </c>
      <c r="J184" s="9">
        <f t="shared" si="16"/>
        <v>324.65011631218999</v>
      </c>
      <c r="K184" s="9">
        <f t="shared" si="17"/>
        <v>96.529283694219998</v>
      </c>
      <c r="L184" s="10">
        <f t="shared" si="14"/>
        <v>0.29733327925684622</v>
      </c>
      <c r="M184" s="10">
        <f t="shared" si="20"/>
        <v>0.31290062151420772</v>
      </c>
      <c r="P184" s="8">
        <f t="shared" si="19"/>
        <v>-6.6859826430126903</v>
      </c>
    </row>
    <row r="185" spans="1:16" x14ac:dyDescent="0.2">
      <c r="A185" s="8">
        <v>91.5</v>
      </c>
      <c r="B185" s="8">
        <v>183</v>
      </c>
      <c r="D185">
        <v>454.37122416533998</v>
      </c>
      <c r="E185">
        <v>207.98887122417</v>
      </c>
      <c r="F185">
        <v>122.93665874900999</v>
      </c>
      <c r="G185">
        <v>109.37054631829</v>
      </c>
      <c r="I185" s="9">
        <f t="shared" si="15"/>
        <v>98.618324905880002</v>
      </c>
      <c r="J185" s="9">
        <f t="shared" si="16"/>
        <v>331.43456541632997</v>
      </c>
      <c r="K185" s="9">
        <f t="shared" si="17"/>
        <v>98.618324905880002</v>
      </c>
      <c r="L185" s="10">
        <f t="shared" si="14"/>
        <v>0.29754990938256864</v>
      </c>
      <c r="M185" s="10">
        <f t="shared" si="20"/>
        <v>0.31320278648749811</v>
      </c>
      <c r="P185" s="8">
        <f t="shared" si="19"/>
        <v>-6.5958702379115319</v>
      </c>
    </row>
    <row r="186" spans="1:16" x14ac:dyDescent="0.2">
      <c r="A186" s="8">
        <v>92</v>
      </c>
      <c r="B186" s="8">
        <v>184</v>
      </c>
      <c r="D186">
        <v>454.12559618441998</v>
      </c>
      <c r="E186">
        <v>207.53100158983</v>
      </c>
      <c r="F186">
        <v>122.63974663499999</v>
      </c>
      <c r="G186">
        <v>109.18368962787</v>
      </c>
      <c r="I186" s="9">
        <f t="shared" si="15"/>
        <v>98.347311961960003</v>
      </c>
      <c r="J186" s="9">
        <f t="shared" si="16"/>
        <v>331.48584954941998</v>
      </c>
      <c r="K186" s="9">
        <f t="shared" si="17"/>
        <v>98.347311961960003</v>
      </c>
      <c r="L186" s="10">
        <f t="shared" si="14"/>
        <v>0.29668630529973128</v>
      </c>
      <c r="M186" s="10">
        <f t="shared" si="20"/>
        <v>0.31242471725222865</v>
      </c>
      <c r="P186" s="8">
        <f t="shared" si="19"/>
        <v>-6.8279080196631909</v>
      </c>
    </row>
    <row r="187" spans="1:16" x14ac:dyDescent="0.2">
      <c r="A187" s="8">
        <v>92.5</v>
      </c>
      <c r="B187" s="8">
        <v>185</v>
      </c>
      <c r="D187">
        <v>447.51507936508</v>
      </c>
      <c r="E187">
        <v>205.25396825396999</v>
      </c>
      <c r="F187">
        <v>122.44972288203</v>
      </c>
      <c r="G187">
        <v>109.43705463182999</v>
      </c>
      <c r="I187" s="9">
        <f t="shared" si="15"/>
        <v>95.816913622139992</v>
      </c>
      <c r="J187" s="9">
        <f t="shared" si="16"/>
        <v>325.06535648304998</v>
      </c>
      <c r="K187" s="9">
        <f t="shared" si="17"/>
        <v>95.816913622139992</v>
      </c>
      <c r="L187" s="10">
        <f t="shared" si="14"/>
        <v>0.29476199696825034</v>
      </c>
      <c r="M187" s="10">
        <f t="shared" si="20"/>
        <v>0.31058594376831561</v>
      </c>
      <c r="P187" s="8">
        <f t="shared" si="19"/>
        <v>-7.3762717140626863</v>
      </c>
    </row>
    <row r="188" spans="1:16" x14ac:dyDescent="0.2">
      <c r="A188" s="8">
        <v>93</v>
      </c>
      <c r="B188" s="8">
        <v>186</v>
      </c>
      <c r="D188">
        <v>443.61111111111001</v>
      </c>
      <c r="E188">
        <v>206.24920634921</v>
      </c>
      <c r="F188">
        <v>122.47505938242</v>
      </c>
      <c r="G188">
        <v>109.38242280285</v>
      </c>
      <c r="I188" s="9">
        <f t="shared" si="15"/>
        <v>96.866783546359997</v>
      </c>
      <c r="J188" s="9">
        <f t="shared" si="16"/>
        <v>321.13605172869001</v>
      </c>
      <c r="K188" s="9">
        <f t="shared" si="17"/>
        <v>96.866783546359997</v>
      </c>
      <c r="L188" s="10">
        <f t="shared" si="14"/>
        <v>0.30163783550592244</v>
      </c>
      <c r="M188" s="10">
        <f t="shared" si="20"/>
        <v>0.31754731715355561</v>
      </c>
      <c r="P188" s="8">
        <f t="shared" si="19"/>
        <v>-5.3002332781043258</v>
      </c>
    </row>
    <row r="189" spans="1:16" x14ac:dyDescent="0.2">
      <c r="A189" s="8">
        <v>93.5</v>
      </c>
      <c r="B189" s="8">
        <v>187</v>
      </c>
      <c r="D189">
        <v>449.59167333866998</v>
      </c>
      <c r="E189">
        <v>209.47157726181001</v>
      </c>
      <c r="F189">
        <v>122.47347585115</v>
      </c>
      <c r="G189">
        <v>109.3135391924</v>
      </c>
      <c r="I189" s="9">
        <f t="shared" si="15"/>
        <v>100.15803806941001</v>
      </c>
      <c r="J189" s="9">
        <f t="shared" si="16"/>
        <v>327.11819748751998</v>
      </c>
      <c r="K189" s="9">
        <f t="shared" si="17"/>
        <v>100.15803806941001</v>
      </c>
      <c r="L189" s="10">
        <f t="shared" si="14"/>
        <v>0.30618302142372006</v>
      </c>
      <c r="M189" s="10">
        <f t="shared" si="20"/>
        <v>0.32217803791892119</v>
      </c>
      <c r="P189" s="8">
        <f t="shared" si="19"/>
        <v>-3.919247980652417</v>
      </c>
    </row>
    <row r="190" spans="1:16" x14ac:dyDescent="0.2">
      <c r="A190" s="8">
        <v>94</v>
      </c>
      <c r="B190" s="8">
        <v>188</v>
      </c>
      <c r="D190">
        <v>450.75020016013002</v>
      </c>
      <c r="E190">
        <v>207.42674139311001</v>
      </c>
      <c r="F190">
        <v>122.85114806017</v>
      </c>
      <c r="G190">
        <v>109.26365795725</v>
      </c>
      <c r="I190" s="9">
        <f t="shared" si="15"/>
        <v>98.163083435860003</v>
      </c>
      <c r="J190" s="9">
        <f t="shared" si="16"/>
        <v>327.89905209996004</v>
      </c>
      <c r="K190" s="9">
        <f t="shared" si="17"/>
        <v>98.163083435860003</v>
      </c>
      <c r="L190" s="10">
        <f t="shared" si="14"/>
        <v>0.29936982985219179</v>
      </c>
      <c r="M190" s="10">
        <f t="shared" si="20"/>
        <v>0.31545038119496083</v>
      </c>
      <c r="P190" s="8">
        <f t="shared" si="19"/>
        <v>-5.9255868408102392</v>
      </c>
    </row>
    <row r="191" spans="1:16" x14ac:dyDescent="0.2">
      <c r="A191" s="8">
        <v>94.5</v>
      </c>
      <c r="B191" s="8">
        <v>189</v>
      </c>
      <c r="D191">
        <v>441.77341873499</v>
      </c>
      <c r="E191">
        <v>203.68614891914001</v>
      </c>
      <c r="F191">
        <v>122.61361836896</v>
      </c>
      <c r="G191">
        <v>109.5233570863</v>
      </c>
      <c r="I191" s="9">
        <f t="shared" si="15"/>
        <v>94.162791832840014</v>
      </c>
      <c r="J191" s="9">
        <f t="shared" si="16"/>
        <v>319.15980036603003</v>
      </c>
      <c r="K191" s="9">
        <f t="shared" si="17"/>
        <v>94.162791832840014</v>
      </c>
      <c r="L191" s="10">
        <f t="shared" si="14"/>
        <v>0.29503337113523992</v>
      </c>
      <c r="M191" s="10">
        <f t="shared" si="20"/>
        <v>0.31119945732557686</v>
      </c>
      <c r="P191" s="8">
        <f t="shared" si="19"/>
        <v>-7.1933081441791309</v>
      </c>
    </row>
    <row r="192" spans="1:16" x14ac:dyDescent="0.2">
      <c r="A192" s="8">
        <v>95</v>
      </c>
      <c r="B192" s="8">
        <v>190</v>
      </c>
      <c r="D192">
        <v>441.09287429943998</v>
      </c>
      <c r="E192">
        <v>202.57806244995999</v>
      </c>
      <c r="F192">
        <v>122.48614410135001</v>
      </c>
      <c r="G192">
        <v>109.31670625495001</v>
      </c>
      <c r="I192" s="9">
        <f t="shared" si="15"/>
        <v>93.261356195009981</v>
      </c>
      <c r="J192" s="9">
        <f t="shared" si="16"/>
        <v>318.60673019808996</v>
      </c>
      <c r="K192" s="9">
        <f t="shared" si="17"/>
        <v>93.261356195009981</v>
      </c>
      <c r="L192" s="10">
        <f t="shared" si="14"/>
        <v>0.29271621518172525</v>
      </c>
      <c r="M192" s="10">
        <f t="shared" si="20"/>
        <v>0.30896783621963014</v>
      </c>
      <c r="P192" s="8">
        <f t="shared" si="19"/>
        <v>-7.8588278533020954</v>
      </c>
    </row>
    <row r="193" spans="1:16" x14ac:dyDescent="0.2">
      <c r="A193" s="8">
        <v>95.5</v>
      </c>
      <c r="B193" s="8">
        <v>191</v>
      </c>
      <c r="D193">
        <v>439.94715772618002</v>
      </c>
      <c r="E193">
        <v>202.50760608486999</v>
      </c>
      <c r="F193">
        <v>122.95724465558</v>
      </c>
      <c r="G193">
        <v>109.40221694378999</v>
      </c>
      <c r="I193" s="9">
        <f t="shared" si="15"/>
        <v>93.105389141079996</v>
      </c>
      <c r="J193" s="9">
        <f t="shared" si="16"/>
        <v>316.98991307060004</v>
      </c>
      <c r="K193" s="9">
        <f t="shared" si="17"/>
        <v>93.105389141079996</v>
      </c>
      <c r="L193" s="10">
        <f t="shared" si="14"/>
        <v>0.29371719825148995</v>
      </c>
      <c r="M193" s="10">
        <f t="shared" si="20"/>
        <v>0.31005435413696275</v>
      </c>
      <c r="P193" s="8">
        <f t="shared" si="19"/>
        <v>-7.5348037228736784</v>
      </c>
    </row>
    <row r="194" spans="1:16" x14ac:dyDescent="0.2">
      <c r="A194" s="8">
        <v>96</v>
      </c>
      <c r="B194" s="8">
        <v>192</v>
      </c>
      <c r="D194">
        <v>441.50760608487002</v>
      </c>
      <c r="E194">
        <v>202.59087269816001</v>
      </c>
      <c r="F194">
        <v>122.58353127474</v>
      </c>
      <c r="G194">
        <v>109.20427553444</v>
      </c>
      <c r="I194" s="9">
        <f t="shared" si="15"/>
        <v>93.386597163720012</v>
      </c>
      <c r="J194" s="9">
        <f t="shared" si="16"/>
        <v>318.92407481013004</v>
      </c>
      <c r="K194" s="9">
        <f t="shared" si="17"/>
        <v>93.386597163720012</v>
      </c>
      <c r="L194" s="10">
        <f t="shared" ref="L194:L257" si="21">K194/J194</f>
        <v>0.29281764701933299</v>
      </c>
      <c r="M194" s="10">
        <f t="shared" si="20"/>
        <v>0.3092403377523737</v>
      </c>
      <c r="P194" s="8">
        <f t="shared" si="19"/>
        <v>-7.777561754714041</v>
      </c>
    </row>
    <row r="195" spans="1:16" x14ac:dyDescent="0.2">
      <c r="A195" s="8">
        <v>96.5</v>
      </c>
      <c r="B195" s="8">
        <v>193</v>
      </c>
      <c r="D195">
        <v>433.28823058447</v>
      </c>
      <c r="E195">
        <v>200.84707766213</v>
      </c>
      <c r="F195">
        <v>123.03958828187</v>
      </c>
      <c r="G195">
        <v>109.63103721298999</v>
      </c>
      <c r="I195" s="9">
        <f t="shared" ref="I195:I241" si="22">E195-G195</f>
        <v>91.21604044914001</v>
      </c>
      <c r="J195" s="9">
        <f t="shared" ref="J195:J241" si="23">D195-F195</f>
        <v>310.24864230259999</v>
      </c>
      <c r="K195" s="9">
        <f t="shared" ref="K195:K258" si="24">I195*1</f>
        <v>91.21604044914001</v>
      </c>
      <c r="L195" s="10">
        <f t="shared" si="21"/>
        <v>0.29400947502027341</v>
      </c>
      <c r="M195" s="10">
        <f t="shared" si="20"/>
        <v>0.31051770060088207</v>
      </c>
      <c r="P195" s="8">
        <f t="shared" ref="P195:P241" si="25">(M195-$O$2)/$O$2*100</f>
        <v>-7.3966233646269197</v>
      </c>
    </row>
    <row r="196" spans="1:16" x14ac:dyDescent="0.2">
      <c r="A196" s="8">
        <v>97</v>
      </c>
      <c r="B196" s="8">
        <v>194</v>
      </c>
      <c r="D196">
        <v>454.07154213037001</v>
      </c>
      <c r="E196">
        <v>207.21701112878</v>
      </c>
      <c r="F196">
        <v>122.29849564529</v>
      </c>
      <c r="G196">
        <v>109.1757719715</v>
      </c>
      <c r="I196" s="9">
        <f t="shared" si="22"/>
        <v>98.041239157280003</v>
      </c>
      <c r="J196" s="9">
        <f t="shared" si="23"/>
        <v>331.77304648507999</v>
      </c>
      <c r="K196" s="9">
        <f t="shared" si="24"/>
        <v>98.041239157280003</v>
      </c>
      <c r="L196" s="10">
        <f t="shared" si="21"/>
        <v>0.29550694426796653</v>
      </c>
      <c r="M196" s="10">
        <f t="shared" si="20"/>
        <v>0.31210070469614309</v>
      </c>
      <c r="P196" s="8">
        <f t="shared" si="25"/>
        <v>-6.92453586634542</v>
      </c>
    </row>
    <row r="197" spans="1:16" x14ac:dyDescent="0.2">
      <c r="A197" s="8">
        <v>97.5</v>
      </c>
      <c r="B197" s="8">
        <v>195</v>
      </c>
      <c r="D197">
        <v>456.61526232115</v>
      </c>
      <c r="E197">
        <v>208.21939586645999</v>
      </c>
      <c r="F197">
        <v>122.93349168646</v>
      </c>
      <c r="G197">
        <v>109.50910530483</v>
      </c>
      <c r="I197" s="9">
        <f t="shared" si="22"/>
        <v>98.710290561629989</v>
      </c>
      <c r="J197" s="9">
        <f t="shared" si="23"/>
        <v>333.68177063469</v>
      </c>
      <c r="K197" s="9">
        <f t="shared" si="24"/>
        <v>98.710290561629989</v>
      </c>
      <c r="L197" s="10">
        <f t="shared" si="21"/>
        <v>0.29582164579705672</v>
      </c>
      <c r="M197" s="10">
        <f t="shared" si="20"/>
        <v>0.31250094107280119</v>
      </c>
      <c r="P197" s="8">
        <f t="shared" si="25"/>
        <v>-6.8051763584683318</v>
      </c>
    </row>
    <row r="198" spans="1:16" x14ac:dyDescent="0.2">
      <c r="A198" s="8">
        <v>98</v>
      </c>
      <c r="B198" s="8">
        <v>196</v>
      </c>
      <c r="D198">
        <v>458.96820349761998</v>
      </c>
      <c r="E198">
        <v>209.35612082671</v>
      </c>
      <c r="F198">
        <v>122.68171021377999</v>
      </c>
      <c r="G198">
        <v>109.53523357086</v>
      </c>
      <c r="I198" s="9">
        <f t="shared" si="22"/>
        <v>99.820887255849996</v>
      </c>
      <c r="J198" s="9">
        <f t="shared" si="23"/>
        <v>336.28649328384</v>
      </c>
      <c r="K198" s="9">
        <f t="shared" si="24"/>
        <v>99.820887255849996</v>
      </c>
      <c r="L198" s="10">
        <f t="shared" si="21"/>
        <v>0.29683287687560189</v>
      </c>
      <c r="M198" s="10">
        <f t="shared" si="20"/>
        <v>0.31359770699891432</v>
      </c>
      <c r="P198" s="8">
        <f t="shared" si="25"/>
        <v>-6.4780960408562889</v>
      </c>
    </row>
    <row r="199" spans="1:16" x14ac:dyDescent="0.2">
      <c r="A199" s="8">
        <v>98.5</v>
      </c>
      <c r="B199" s="8">
        <v>197</v>
      </c>
      <c r="D199">
        <v>449.97535771064997</v>
      </c>
      <c r="E199">
        <v>208.07790143084</v>
      </c>
      <c r="F199">
        <v>122.36817102137999</v>
      </c>
      <c r="G199">
        <v>109.19794140934</v>
      </c>
      <c r="I199" s="9">
        <f t="shared" si="22"/>
        <v>98.879960021499997</v>
      </c>
      <c r="J199" s="9">
        <f t="shared" si="23"/>
        <v>327.60718668926995</v>
      </c>
      <c r="K199" s="9">
        <f t="shared" si="24"/>
        <v>98.879960021499997</v>
      </c>
      <c r="L199" s="10">
        <f t="shared" si="21"/>
        <v>0.3018247585492867</v>
      </c>
      <c r="M199" s="10">
        <f t="shared" si="20"/>
        <v>0.31867512352016703</v>
      </c>
      <c r="P199" s="8">
        <f t="shared" si="25"/>
        <v>-4.9638960015594158</v>
      </c>
    </row>
    <row r="200" spans="1:16" x14ac:dyDescent="0.2">
      <c r="A200" s="8">
        <v>99</v>
      </c>
      <c r="B200" s="8">
        <v>198</v>
      </c>
      <c r="D200">
        <v>447.41017488076</v>
      </c>
      <c r="E200">
        <v>206.45230524642</v>
      </c>
      <c r="F200">
        <v>122.79730799683</v>
      </c>
      <c r="G200">
        <v>109.11084718923</v>
      </c>
      <c r="I200" s="9">
        <f t="shared" si="22"/>
        <v>97.341458057189996</v>
      </c>
      <c r="J200" s="9">
        <f t="shared" si="23"/>
        <v>324.61286688393</v>
      </c>
      <c r="K200" s="9">
        <f t="shared" si="24"/>
        <v>97.341458057189996</v>
      </c>
      <c r="L200" s="10">
        <f t="shared" si="21"/>
        <v>0.29986937668738756</v>
      </c>
      <c r="M200" s="10">
        <f t="shared" si="20"/>
        <v>0.31680527650583579</v>
      </c>
      <c r="P200" s="8">
        <f t="shared" si="25"/>
        <v>-5.521526523051663</v>
      </c>
    </row>
    <row r="201" spans="1:16" x14ac:dyDescent="0.2">
      <c r="A201" s="8">
        <v>99.5</v>
      </c>
      <c r="B201" s="8">
        <v>199</v>
      </c>
      <c r="D201">
        <v>456.06921241049997</v>
      </c>
      <c r="E201">
        <v>207.47096260939</v>
      </c>
      <c r="F201">
        <v>122.67775138559</v>
      </c>
      <c r="G201">
        <v>109.24307205066999</v>
      </c>
      <c r="I201" s="9">
        <f t="shared" si="22"/>
        <v>98.227890558720006</v>
      </c>
      <c r="J201" s="9">
        <f t="shared" si="23"/>
        <v>333.39146102490997</v>
      </c>
      <c r="K201" s="9">
        <f t="shared" si="24"/>
        <v>98.227890558720006</v>
      </c>
      <c r="L201" s="10">
        <f t="shared" si="21"/>
        <v>0.29463229279102837</v>
      </c>
      <c r="M201" s="10">
        <f t="shared" si="20"/>
        <v>0.31165372745704456</v>
      </c>
      <c r="P201" s="8">
        <f t="shared" si="25"/>
        <v>-7.0578345528279751</v>
      </c>
    </row>
    <row r="202" spans="1:16" x14ac:dyDescent="0.2">
      <c r="A202" s="8">
        <v>100</v>
      </c>
      <c r="B202" s="8">
        <v>200</v>
      </c>
      <c r="D202">
        <v>468.23866348449002</v>
      </c>
      <c r="E202">
        <v>210.26173428799001</v>
      </c>
      <c r="F202">
        <v>122.89944576405</v>
      </c>
      <c r="G202">
        <v>109.27553444181</v>
      </c>
      <c r="I202" s="9">
        <f t="shared" si="22"/>
        <v>100.98619984618001</v>
      </c>
      <c r="J202" s="9">
        <f t="shared" si="23"/>
        <v>345.33921772044005</v>
      </c>
      <c r="K202" s="9">
        <f t="shared" si="24"/>
        <v>100.98619984618001</v>
      </c>
      <c r="L202" s="10">
        <f t="shared" si="21"/>
        <v>0.29242609777361178</v>
      </c>
      <c r="M202" s="10">
        <f t="shared" si="20"/>
        <v>0.30953306728719587</v>
      </c>
      <c r="P202" s="8">
        <f t="shared" si="25"/>
        <v>-7.6902632100160098</v>
      </c>
    </row>
    <row r="203" spans="1:16" x14ac:dyDescent="0.2">
      <c r="A203" s="8">
        <v>100.5</v>
      </c>
      <c r="B203" s="8">
        <v>201</v>
      </c>
      <c r="D203">
        <v>472.12012728718997</v>
      </c>
      <c r="E203">
        <v>209.53062848050999</v>
      </c>
      <c r="F203">
        <v>122.4639746635</v>
      </c>
      <c r="G203">
        <v>109.51860649248</v>
      </c>
      <c r="I203" s="9">
        <f t="shared" si="22"/>
        <v>100.01202198802999</v>
      </c>
      <c r="J203" s="9">
        <f t="shared" si="23"/>
        <v>349.65615262368999</v>
      </c>
      <c r="K203" s="9">
        <f t="shared" si="24"/>
        <v>100.01202198802999</v>
      </c>
      <c r="L203" s="10">
        <f t="shared" si="21"/>
        <v>0.28602963579384172</v>
      </c>
      <c r="M203" s="10">
        <f t="shared" si="20"/>
        <v>0.30322214015499371</v>
      </c>
      <c r="P203" s="8">
        <f t="shared" si="25"/>
        <v>-9.5723239138368061</v>
      </c>
    </row>
    <row r="204" spans="1:16" x14ac:dyDescent="0.2">
      <c r="A204" s="8">
        <v>101</v>
      </c>
      <c r="B204" s="8">
        <v>202</v>
      </c>
      <c r="D204">
        <v>473.91964996022</v>
      </c>
      <c r="E204">
        <v>211.82418456643001</v>
      </c>
      <c r="F204">
        <v>122.52810768013001</v>
      </c>
      <c r="G204">
        <v>109.44655581948</v>
      </c>
      <c r="I204" s="9">
        <f t="shared" si="22"/>
        <v>102.37762874695001</v>
      </c>
      <c r="J204" s="9">
        <f t="shared" si="23"/>
        <v>351.39154228008999</v>
      </c>
      <c r="K204" s="9">
        <f t="shared" si="24"/>
        <v>102.37762874695001</v>
      </c>
      <c r="L204" s="10">
        <f t="shared" si="21"/>
        <v>0.29134915451478349</v>
      </c>
      <c r="M204" s="10">
        <f t="shared" si="20"/>
        <v>0.30862719372350345</v>
      </c>
      <c r="P204" s="8">
        <f t="shared" si="25"/>
        <v>-7.9604151229031279</v>
      </c>
    </row>
    <row r="205" spans="1:16" x14ac:dyDescent="0.2">
      <c r="A205" s="8">
        <v>101.5</v>
      </c>
      <c r="B205" s="8">
        <v>203</v>
      </c>
      <c r="D205">
        <v>463.14797136037998</v>
      </c>
      <c r="E205">
        <v>209.87907716786</v>
      </c>
      <c r="F205">
        <v>123.15518606493001</v>
      </c>
      <c r="G205">
        <v>109.30562153603</v>
      </c>
      <c r="I205" s="9">
        <f t="shared" si="22"/>
        <v>100.57345563183</v>
      </c>
      <c r="J205" s="9">
        <f t="shared" si="23"/>
        <v>339.99278529544995</v>
      </c>
      <c r="K205" s="9">
        <f t="shared" si="24"/>
        <v>100.57345563183</v>
      </c>
      <c r="L205" s="10">
        <f t="shared" si="21"/>
        <v>0.29581055828709069</v>
      </c>
      <c r="M205" s="10">
        <f t="shared" si="20"/>
        <v>0.31317413234337854</v>
      </c>
      <c r="P205" s="8">
        <f t="shared" si="25"/>
        <v>-6.6044155494829297</v>
      </c>
    </row>
    <row r="206" spans="1:16" x14ac:dyDescent="0.2">
      <c r="A206" s="8">
        <v>102</v>
      </c>
      <c r="B206" s="8">
        <v>204</v>
      </c>
      <c r="D206">
        <v>465.20922832140002</v>
      </c>
      <c r="E206">
        <v>208.32856006364</v>
      </c>
      <c r="F206">
        <v>122.30324623911</v>
      </c>
      <c r="G206">
        <v>109.01741884402</v>
      </c>
      <c r="I206" s="9">
        <f t="shared" si="22"/>
        <v>99.311141219619998</v>
      </c>
      <c r="J206" s="9">
        <f t="shared" si="23"/>
        <v>342.90598208229005</v>
      </c>
      <c r="K206" s="9">
        <f t="shared" si="24"/>
        <v>99.311141219619998</v>
      </c>
      <c r="L206" s="10">
        <f t="shared" si="21"/>
        <v>0.28961624004502629</v>
      </c>
      <c r="M206" s="10">
        <f t="shared" si="20"/>
        <v>0.30706534894888204</v>
      </c>
      <c r="P206" s="8">
        <f t="shared" si="25"/>
        <v>-8.4261924348901029</v>
      </c>
    </row>
    <row r="207" spans="1:16" x14ac:dyDescent="0.2">
      <c r="A207" s="8">
        <v>102.5</v>
      </c>
      <c r="B207" s="8">
        <v>205</v>
      </c>
      <c r="D207">
        <v>482.64365971107998</v>
      </c>
      <c r="E207">
        <v>214.60754414125</v>
      </c>
      <c r="F207">
        <v>122.59699129057999</v>
      </c>
      <c r="G207">
        <v>109.02612826603</v>
      </c>
      <c r="I207" s="9">
        <f t="shared" si="22"/>
        <v>105.58141587522</v>
      </c>
      <c r="J207" s="9">
        <f t="shared" si="23"/>
        <v>360.0466684205</v>
      </c>
      <c r="K207" s="9">
        <f t="shared" si="24"/>
        <v>105.58141587522</v>
      </c>
      <c r="L207" s="10">
        <f t="shared" si="21"/>
        <v>0.29324369626414937</v>
      </c>
      <c r="M207" s="10">
        <f t="shared" si="20"/>
        <v>0.31077834001557303</v>
      </c>
      <c r="P207" s="8">
        <f t="shared" si="25"/>
        <v>-7.3188948169855328</v>
      </c>
    </row>
    <row r="208" spans="1:16" x14ac:dyDescent="0.2">
      <c r="A208" s="8">
        <v>103</v>
      </c>
      <c r="B208" s="8">
        <v>206</v>
      </c>
      <c r="D208">
        <v>469.06299840510002</v>
      </c>
      <c r="E208">
        <v>211.7288676236</v>
      </c>
      <c r="F208">
        <v>122.58194774347</v>
      </c>
      <c r="G208">
        <v>108.93745051465</v>
      </c>
      <c r="I208" s="9">
        <f t="shared" si="22"/>
        <v>102.79141710895</v>
      </c>
      <c r="J208" s="9">
        <f t="shared" si="23"/>
        <v>346.48105066163004</v>
      </c>
      <c r="K208" s="9">
        <f t="shared" si="24"/>
        <v>102.79141710895</v>
      </c>
      <c r="L208" s="10">
        <f t="shared" si="21"/>
        <v>0.2966725508152972</v>
      </c>
      <c r="M208" s="10">
        <f t="shared" si="20"/>
        <v>0.31429272941428882</v>
      </c>
      <c r="P208" s="8">
        <f t="shared" si="25"/>
        <v>-6.2708246924712983</v>
      </c>
    </row>
    <row r="209" spans="1:16" x14ac:dyDescent="0.2">
      <c r="A209" s="8">
        <v>103.5</v>
      </c>
      <c r="B209" s="8">
        <v>207</v>
      </c>
      <c r="D209">
        <v>460.02631578947</v>
      </c>
      <c r="E209">
        <v>209.88357256777999</v>
      </c>
      <c r="F209">
        <v>122.57957244655999</v>
      </c>
      <c r="G209">
        <v>109.21773555028</v>
      </c>
      <c r="I209" s="9">
        <f t="shared" si="22"/>
        <v>100.6658370175</v>
      </c>
      <c r="J209" s="9">
        <f t="shared" si="23"/>
        <v>337.44674334291</v>
      </c>
      <c r="K209" s="9">
        <f t="shared" si="24"/>
        <v>100.6658370175</v>
      </c>
      <c r="L209" s="10">
        <f t="shared" si="21"/>
        <v>0.29831622027302951</v>
      </c>
      <c r="M209" s="10">
        <f t="shared" si="20"/>
        <v>0.31602193371958903</v>
      </c>
      <c r="P209" s="8">
        <f t="shared" si="25"/>
        <v>-5.7551369965578063</v>
      </c>
    </row>
    <row r="210" spans="1:16" x14ac:dyDescent="0.2">
      <c r="A210" s="8">
        <v>104</v>
      </c>
      <c r="B210" s="8">
        <v>208</v>
      </c>
      <c r="D210">
        <v>445.05942947701999</v>
      </c>
      <c r="E210">
        <v>207.78843106181</v>
      </c>
      <c r="F210">
        <v>122.52256532067</v>
      </c>
      <c r="G210">
        <v>109.0910530483</v>
      </c>
      <c r="I210" s="9">
        <f t="shared" si="22"/>
        <v>98.697378013510004</v>
      </c>
      <c r="J210" s="9">
        <f t="shared" si="23"/>
        <v>322.53686415635002</v>
      </c>
      <c r="K210" s="9">
        <f t="shared" si="24"/>
        <v>98.697378013510004</v>
      </c>
      <c r="L210" s="10">
        <f t="shared" si="21"/>
        <v>0.3060034029650216</v>
      </c>
      <c r="M210" s="10">
        <f t="shared" si="20"/>
        <v>0.32379465125914902</v>
      </c>
      <c r="P210" s="8">
        <f t="shared" si="25"/>
        <v>-3.4371374480509096</v>
      </c>
    </row>
    <row r="211" spans="1:16" x14ac:dyDescent="0.2">
      <c r="A211" s="8">
        <v>104.5</v>
      </c>
      <c r="B211" s="8">
        <v>209</v>
      </c>
      <c r="D211">
        <v>453.15372424723</v>
      </c>
      <c r="E211">
        <v>207.97781299524999</v>
      </c>
      <c r="F211">
        <v>122.52573238322</v>
      </c>
      <c r="G211">
        <v>108.96595407759</v>
      </c>
      <c r="I211" s="9">
        <f t="shared" si="22"/>
        <v>99.011858917659993</v>
      </c>
      <c r="J211" s="9">
        <f t="shared" si="23"/>
        <v>330.62799186401003</v>
      </c>
      <c r="K211" s="9">
        <f t="shared" si="24"/>
        <v>99.011858917659993</v>
      </c>
      <c r="L211" s="10">
        <f t="shared" si="21"/>
        <v>0.29946605052842706</v>
      </c>
      <c r="M211" s="10">
        <f t="shared" si="20"/>
        <v>0.31734283367012245</v>
      </c>
      <c r="P211" s="8">
        <f t="shared" si="25"/>
        <v>-5.3612148614260855</v>
      </c>
    </row>
    <row r="212" spans="1:16" x14ac:dyDescent="0.2">
      <c r="A212" s="8">
        <v>105</v>
      </c>
      <c r="B212" s="8">
        <v>210</v>
      </c>
      <c r="D212">
        <v>461.87748607795999</v>
      </c>
      <c r="E212">
        <v>209.30946698489001</v>
      </c>
      <c r="F212">
        <v>122.44418052256999</v>
      </c>
      <c r="G212">
        <v>109.32224861441</v>
      </c>
      <c r="I212" s="9">
        <f t="shared" si="22"/>
        <v>99.987218370480008</v>
      </c>
      <c r="J212" s="9">
        <f t="shared" si="23"/>
        <v>339.43330555539001</v>
      </c>
      <c r="K212" s="9">
        <f t="shared" si="24"/>
        <v>99.987218370480008</v>
      </c>
      <c r="L212" s="10">
        <f t="shared" si="21"/>
        <v>0.29457102981358357</v>
      </c>
      <c r="M212" s="10">
        <f t="shared" si="20"/>
        <v>0.31253334780284686</v>
      </c>
      <c r="P212" s="8">
        <f t="shared" si="25"/>
        <v>-6.795511941199579</v>
      </c>
    </row>
    <row r="213" spans="1:16" x14ac:dyDescent="0.2">
      <c r="A213" s="8">
        <v>105.5</v>
      </c>
      <c r="B213" s="8">
        <v>211</v>
      </c>
      <c r="D213">
        <v>459.28241845664002</v>
      </c>
      <c r="E213">
        <v>212.46141607000999</v>
      </c>
      <c r="F213">
        <v>122.32779097386999</v>
      </c>
      <c r="G213">
        <v>109.5233570863</v>
      </c>
      <c r="I213" s="9">
        <f t="shared" si="22"/>
        <v>102.93805898370999</v>
      </c>
      <c r="J213" s="9">
        <f t="shared" si="23"/>
        <v>336.95462748277004</v>
      </c>
      <c r="K213" s="9">
        <f t="shared" si="24"/>
        <v>102.93805898370999</v>
      </c>
      <c r="L213" s="10">
        <f t="shared" si="21"/>
        <v>0.30549531179527628</v>
      </c>
      <c r="M213" s="10">
        <f t="shared" si="20"/>
        <v>0.32354316463210747</v>
      </c>
      <c r="P213" s="8">
        <f t="shared" si="25"/>
        <v>-3.5121364281335996</v>
      </c>
    </row>
    <row r="214" spans="1:16" x14ac:dyDescent="0.2">
      <c r="A214" s="8">
        <v>106</v>
      </c>
      <c r="B214" s="8">
        <v>212</v>
      </c>
      <c r="D214">
        <v>452.10660302307002</v>
      </c>
      <c r="E214">
        <v>209.86793953858</v>
      </c>
      <c r="F214">
        <v>122.49564528899</v>
      </c>
      <c r="G214">
        <v>109.32541567696001</v>
      </c>
      <c r="I214" s="9">
        <f t="shared" si="22"/>
        <v>100.54252386162</v>
      </c>
      <c r="J214" s="9">
        <f t="shared" si="23"/>
        <v>329.61095773407999</v>
      </c>
      <c r="K214" s="9">
        <f t="shared" si="24"/>
        <v>100.54252386162</v>
      </c>
      <c r="L214" s="10">
        <f t="shared" si="21"/>
        <v>0.30503392409282287</v>
      </c>
      <c r="M214" s="10">
        <f t="shared" si="20"/>
        <v>0.32316731177722202</v>
      </c>
      <c r="P214" s="8">
        <f t="shared" si="25"/>
        <v>-3.6242242202726183</v>
      </c>
    </row>
    <row r="215" spans="1:16" x14ac:dyDescent="0.2">
      <c r="A215" s="8">
        <v>106.5</v>
      </c>
      <c r="B215" s="8">
        <v>213</v>
      </c>
      <c r="D215">
        <v>436.78042959427</v>
      </c>
      <c r="E215">
        <v>205.34287987271</v>
      </c>
      <c r="F215">
        <v>122.41330166271</v>
      </c>
      <c r="G215">
        <v>109.29770387965</v>
      </c>
      <c r="I215" s="9">
        <f t="shared" si="22"/>
        <v>96.045175993059999</v>
      </c>
      <c r="J215" s="9">
        <f t="shared" si="23"/>
        <v>314.36712793155999</v>
      </c>
      <c r="K215" s="9">
        <f t="shared" si="24"/>
        <v>96.045175993059999</v>
      </c>
      <c r="L215" s="10">
        <f t="shared" si="21"/>
        <v>0.30551914452699946</v>
      </c>
      <c r="M215" s="10">
        <f t="shared" si="20"/>
        <v>0.32373806705896652</v>
      </c>
      <c r="P215" s="8">
        <f t="shared" si="25"/>
        <v>-3.4540121318160297</v>
      </c>
    </row>
    <row r="216" spans="1:16" x14ac:dyDescent="0.2">
      <c r="A216" s="8">
        <v>107</v>
      </c>
      <c r="B216" s="8">
        <v>214</v>
      </c>
      <c r="D216">
        <v>442.62370723945997</v>
      </c>
      <c r="E216">
        <v>208.97295147176001</v>
      </c>
      <c r="F216">
        <v>122.7458432304</v>
      </c>
      <c r="G216">
        <v>109.02771179731</v>
      </c>
      <c r="I216" s="9">
        <f t="shared" si="22"/>
        <v>99.945239674450008</v>
      </c>
      <c r="J216" s="9">
        <f t="shared" si="23"/>
        <v>319.87786400905998</v>
      </c>
      <c r="K216" s="9">
        <f t="shared" si="24"/>
        <v>99.945239674450008</v>
      </c>
      <c r="L216" s="10">
        <f t="shared" si="21"/>
        <v>0.31244812761291679</v>
      </c>
      <c r="M216" s="10">
        <f t="shared" si="20"/>
        <v>0.33075258499245175</v>
      </c>
      <c r="P216" s="8">
        <f t="shared" si="25"/>
        <v>-1.3621247938216601</v>
      </c>
    </row>
    <row r="217" spans="1:16" x14ac:dyDescent="0.2">
      <c r="A217" s="8">
        <v>107.5</v>
      </c>
      <c r="B217" s="8">
        <v>215</v>
      </c>
      <c r="D217">
        <v>435.26097366321</v>
      </c>
      <c r="E217">
        <v>206.36552274541</v>
      </c>
      <c r="F217">
        <v>122.27870150436</v>
      </c>
      <c r="G217">
        <v>109.07442596991</v>
      </c>
      <c r="I217" s="9">
        <f t="shared" si="22"/>
        <v>97.291096775500009</v>
      </c>
      <c r="J217" s="9">
        <f t="shared" si="23"/>
        <v>312.98227215884998</v>
      </c>
      <c r="K217" s="9">
        <f t="shared" si="24"/>
        <v>97.291096775500009</v>
      </c>
      <c r="L217" s="10">
        <f t="shared" si="21"/>
        <v>0.31085178117091949</v>
      </c>
      <c r="M217" s="10">
        <f t="shared" si="20"/>
        <v>0.32924177339802241</v>
      </c>
      <c r="P217" s="8">
        <f t="shared" si="25"/>
        <v>-1.8126828613111994</v>
      </c>
    </row>
    <row r="218" spans="1:16" x14ac:dyDescent="0.2">
      <c r="A218" s="8">
        <v>108</v>
      </c>
      <c r="B218" s="8">
        <v>216</v>
      </c>
      <c r="D218">
        <v>448.00954653937998</v>
      </c>
      <c r="E218">
        <v>208.94272076371999</v>
      </c>
      <c r="F218">
        <v>122.49643705462999</v>
      </c>
      <c r="G218">
        <v>108.96120348377001</v>
      </c>
      <c r="I218" s="9">
        <f t="shared" si="22"/>
        <v>99.981517279949983</v>
      </c>
      <c r="J218" s="9">
        <f t="shared" si="23"/>
        <v>325.51310948474998</v>
      </c>
      <c r="K218" s="9">
        <f t="shared" si="24"/>
        <v>99.981517279949983</v>
      </c>
      <c r="L218" s="10">
        <f t="shared" si="21"/>
        <v>0.30715050904772867</v>
      </c>
      <c r="M218" s="10">
        <f t="shared" si="20"/>
        <v>0.32562603612239949</v>
      </c>
      <c r="P218" s="8">
        <f t="shared" si="25"/>
        <v>-2.8909772068545911</v>
      </c>
    </row>
    <row r="219" spans="1:16" x14ac:dyDescent="0.2">
      <c r="A219" s="8">
        <v>108.5</v>
      </c>
      <c r="B219" s="8">
        <v>217</v>
      </c>
      <c r="D219">
        <v>442.92283214001998</v>
      </c>
      <c r="E219">
        <v>207.29753381066001</v>
      </c>
      <c r="F219">
        <v>122.91607284244</v>
      </c>
      <c r="G219">
        <v>109.30324623911</v>
      </c>
      <c r="I219" s="9">
        <f t="shared" si="22"/>
        <v>97.994287571550018</v>
      </c>
      <c r="J219" s="9">
        <f t="shared" si="23"/>
        <v>320.00675929757995</v>
      </c>
      <c r="K219" s="9">
        <f t="shared" si="24"/>
        <v>97.994287571550018</v>
      </c>
      <c r="L219" s="10">
        <f t="shared" si="21"/>
        <v>0.30622568031578168</v>
      </c>
      <c r="M219" s="10">
        <f t="shared" si="20"/>
        <v>0.3247867422380204</v>
      </c>
      <c r="P219" s="8">
        <f t="shared" si="25"/>
        <v>-3.1412735588259069</v>
      </c>
    </row>
    <row r="220" spans="1:16" x14ac:dyDescent="0.2">
      <c r="A220" s="8">
        <v>109</v>
      </c>
      <c r="B220" s="8">
        <v>218</v>
      </c>
      <c r="D220">
        <v>439.14455917394997</v>
      </c>
      <c r="E220">
        <v>206.37092930898001</v>
      </c>
      <c r="F220">
        <v>122.12430720507</v>
      </c>
      <c r="G220">
        <v>109.13460015835</v>
      </c>
      <c r="I220" s="9">
        <f t="shared" si="22"/>
        <v>97.236329150630013</v>
      </c>
      <c r="J220" s="9">
        <f t="shared" si="23"/>
        <v>317.02025196887996</v>
      </c>
      <c r="K220" s="9">
        <f t="shared" si="24"/>
        <v>97.236329150630013</v>
      </c>
      <c r="L220" s="10">
        <f t="shared" si="21"/>
        <v>0.30671961348442539</v>
      </c>
      <c r="M220" s="10">
        <f t="shared" si="20"/>
        <v>0.32536621025423207</v>
      </c>
      <c r="P220" s="8">
        <f t="shared" si="25"/>
        <v>-2.9684631365872938</v>
      </c>
    </row>
    <row r="221" spans="1:16" x14ac:dyDescent="0.2">
      <c r="A221" s="8">
        <v>109.5</v>
      </c>
      <c r="B221" s="8">
        <v>219</v>
      </c>
      <c r="D221">
        <v>441.38919777601001</v>
      </c>
      <c r="E221">
        <v>204.84749801429999</v>
      </c>
      <c r="F221">
        <v>122.25019794140999</v>
      </c>
      <c r="G221">
        <v>109.30482977039</v>
      </c>
      <c r="I221" s="9">
        <f t="shared" si="22"/>
        <v>95.542668243909986</v>
      </c>
      <c r="J221" s="9">
        <f t="shared" si="23"/>
        <v>319.13899983459999</v>
      </c>
      <c r="K221" s="9">
        <f t="shared" si="24"/>
        <v>95.542668243909986</v>
      </c>
      <c r="L221" s="10">
        <f t="shared" si="21"/>
        <v>0.29937634790303547</v>
      </c>
      <c r="M221" s="10">
        <f t="shared" si="20"/>
        <v>0.31810847952041005</v>
      </c>
      <c r="P221" s="8">
        <f t="shared" si="25"/>
        <v>-5.1328820130689969</v>
      </c>
    </row>
    <row r="222" spans="1:16" x14ac:dyDescent="0.2">
      <c r="A222" s="8">
        <v>110</v>
      </c>
      <c r="B222" s="8">
        <v>220</v>
      </c>
      <c r="D222">
        <v>444.44479999999999</v>
      </c>
      <c r="E222">
        <v>203.26159999999999</v>
      </c>
      <c r="F222">
        <v>122.37371338084</v>
      </c>
      <c r="G222">
        <v>109.16547901820999</v>
      </c>
      <c r="I222" s="9">
        <f t="shared" si="22"/>
        <v>94.096120981789994</v>
      </c>
      <c r="J222" s="9">
        <f t="shared" si="23"/>
        <v>322.07108661915998</v>
      </c>
      <c r="K222" s="9">
        <f t="shared" si="24"/>
        <v>94.096120981789994</v>
      </c>
      <c r="L222" s="10">
        <f t="shared" si="21"/>
        <v>0.29215947935449421</v>
      </c>
      <c r="M222" s="10">
        <f t="shared" si="20"/>
        <v>0.3109771458194367</v>
      </c>
      <c r="P222" s="8">
        <f t="shared" si="25"/>
        <v>-7.2596064456725298</v>
      </c>
    </row>
    <row r="223" spans="1:16" x14ac:dyDescent="0.2">
      <c r="A223" s="8">
        <v>110.5</v>
      </c>
      <c r="B223" s="8">
        <v>221</v>
      </c>
      <c r="D223">
        <v>439.92959999999999</v>
      </c>
      <c r="E223">
        <v>202.952</v>
      </c>
      <c r="F223">
        <v>122.35787806809</v>
      </c>
      <c r="G223">
        <v>109.15281076801</v>
      </c>
      <c r="I223" s="9">
        <f t="shared" si="22"/>
        <v>93.799189231989999</v>
      </c>
      <c r="J223" s="9">
        <f t="shared" si="23"/>
        <v>317.57172193191002</v>
      </c>
      <c r="K223" s="9">
        <f t="shared" si="24"/>
        <v>93.799189231989999</v>
      </c>
      <c r="L223" s="10">
        <f t="shared" si="21"/>
        <v>0.29536379581082889</v>
      </c>
      <c r="M223" s="10">
        <f t="shared" si="20"/>
        <v>0.31426699712333928</v>
      </c>
      <c r="P223" s="8">
        <f t="shared" si="25"/>
        <v>-6.278498641575907</v>
      </c>
    </row>
    <row r="224" spans="1:16" x14ac:dyDescent="0.2">
      <c r="A224" s="8">
        <v>111</v>
      </c>
      <c r="B224" s="8">
        <v>222</v>
      </c>
      <c r="D224">
        <v>436.20240000000001</v>
      </c>
      <c r="E224">
        <v>201.60480000000001</v>
      </c>
      <c r="F224">
        <v>122.33412509897001</v>
      </c>
      <c r="G224">
        <v>109.17498020586</v>
      </c>
      <c r="I224" s="9">
        <f t="shared" si="22"/>
        <v>92.429819794140016</v>
      </c>
      <c r="J224" s="9">
        <f t="shared" si="23"/>
        <v>313.86827490103002</v>
      </c>
      <c r="K224" s="9">
        <f t="shared" si="24"/>
        <v>92.429819794140016</v>
      </c>
      <c r="L224" s="10">
        <f t="shared" si="21"/>
        <v>0.29448602227569926</v>
      </c>
      <c r="M224" s="10">
        <f t="shared" si="20"/>
        <v>0.3134747584357776</v>
      </c>
      <c r="P224" s="8">
        <f t="shared" si="25"/>
        <v>-6.5147620733462084</v>
      </c>
    </row>
    <row r="225" spans="1:16" x14ac:dyDescent="0.2">
      <c r="A225" s="8">
        <v>111.5</v>
      </c>
      <c r="B225" s="8">
        <v>223</v>
      </c>
      <c r="D225">
        <v>433.6096</v>
      </c>
      <c r="E225">
        <v>200.4248</v>
      </c>
      <c r="F225">
        <v>122.36262866192</v>
      </c>
      <c r="G225">
        <v>109.44655581948</v>
      </c>
      <c r="I225" s="9">
        <f t="shared" si="22"/>
        <v>90.978244180520008</v>
      </c>
      <c r="J225" s="9">
        <f t="shared" si="23"/>
        <v>311.24697133808002</v>
      </c>
      <c r="K225" s="9">
        <f t="shared" si="24"/>
        <v>90.978244180520008</v>
      </c>
      <c r="L225" s="10">
        <f t="shared" si="21"/>
        <v>0.29230242398631534</v>
      </c>
      <c r="M225" s="10">
        <f t="shared" si="20"/>
        <v>0.31137669499396159</v>
      </c>
      <c r="P225" s="8">
        <f t="shared" si="25"/>
        <v>-7.1404518769594301</v>
      </c>
    </row>
    <row r="226" spans="1:16" x14ac:dyDescent="0.2">
      <c r="A226" s="8">
        <v>112</v>
      </c>
      <c r="B226" s="8">
        <v>224</v>
      </c>
      <c r="D226">
        <v>427.36</v>
      </c>
      <c r="E226">
        <v>199.28319999999999</v>
      </c>
      <c r="F226">
        <v>122.38163103721</v>
      </c>
      <c r="G226">
        <v>109.09263657957</v>
      </c>
      <c r="I226" s="9">
        <f t="shared" si="22"/>
        <v>90.190563420429996</v>
      </c>
      <c r="J226" s="9">
        <f t="shared" si="23"/>
        <v>304.97836896279</v>
      </c>
      <c r="K226" s="9">
        <f t="shared" si="24"/>
        <v>90.190563420429996</v>
      </c>
      <c r="L226" s="10">
        <f t="shared" si="21"/>
        <v>0.29572773874803571</v>
      </c>
      <c r="M226" s="10">
        <f t="shared" si="20"/>
        <v>0.31488754460324986</v>
      </c>
      <c r="P226" s="8">
        <f t="shared" si="25"/>
        <v>-6.0934373974307547</v>
      </c>
    </row>
    <row r="227" spans="1:16" x14ac:dyDescent="0.2">
      <c r="A227" s="8">
        <v>112.5</v>
      </c>
      <c r="B227" s="8">
        <v>225</v>
      </c>
      <c r="D227">
        <v>435.37936507937002</v>
      </c>
      <c r="E227">
        <v>201.20873015872999</v>
      </c>
      <c r="F227">
        <v>122.42280285036</v>
      </c>
      <c r="G227">
        <v>109.57561361837</v>
      </c>
      <c r="I227" s="9">
        <f t="shared" si="22"/>
        <v>91.633116540359993</v>
      </c>
      <c r="J227" s="9">
        <f t="shared" si="23"/>
        <v>312.95656222901005</v>
      </c>
      <c r="K227" s="9">
        <f t="shared" si="24"/>
        <v>91.633116540359993</v>
      </c>
      <c r="L227" s="10">
        <f t="shared" si="21"/>
        <v>0.29279819502013277</v>
      </c>
      <c r="M227" s="10">
        <f t="shared" si="20"/>
        <v>0.31204353572291488</v>
      </c>
      <c r="P227" s="8">
        <f t="shared" si="25"/>
        <v>-6.9415849426121374</v>
      </c>
    </row>
    <row r="228" spans="1:16" x14ac:dyDescent="0.2">
      <c r="A228" s="8">
        <v>113</v>
      </c>
      <c r="B228" s="8">
        <v>226</v>
      </c>
      <c r="D228">
        <v>434.22936507936998</v>
      </c>
      <c r="E228">
        <v>200.61666666667</v>
      </c>
      <c r="F228">
        <v>122.49247822645</v>
      </c>
      <c r="G228">
        <v>109.15756136184</v>
      </c>
      <c r="I228" s="9">
        <f t="shared" si="22"/>
        <v>91.459105304830004</v>
      </c>
      <c r="J228" s="9">
        <f t="shared" si="23"/>
        <v>311.73688685291995</v>
      </c>
      <c r="K228" s="9">
        <f t="shared" si="24"/>
        <v>91.459105304830004</v>
      </c>
      <c r="L228" s="10">
        <f t="shared" si="21"/>
        <v>0.29338557341782001</v>
      </c>
      <c r="M228" s="10">
        <f t="shared" si="20"/>
        <v>0.31271644896817002</v>
      </c>
      <c r="P228" s="8">
        <f t="shared" si="25"/>
        <v>-6.7409070470438346</v>
      </c>
    </row>
    <row r="229" spans="1:16" x14ac:dyDescent="0.2">
      <c r="A229" s="8">
        <v>113.5</v>
      </c>
      <c r="B229" s="8">
        <v>227</v>
      </c>
      <c r="D229">
        <v>437.61190476191001</v>
      </c>
      <c r="E229">
        <v>203.07936507937001</v>
      </c>
      <c r="F229">
        <v>122.65399841647</v>
      </c>
      <c r="G229">
        <v>109.15201900238</v>
      </c>
      <c r="I229" s="9">
        <f t="shared" si="22"/>
        <v>93.927346076990005</v>
      </c>
      <c r="J229" s="9">
        <f t="shared" si="23"/>
        <v>314.95790634543999</v>
      </c>
      <c r="K229" s="9">
        <f t="shared" si="24"/>
        <v>93.927346076990005</v>
      </c>
      <c r="L229" s="10">
        <f t="shared" si="21"/>
        <v>0.2982219026245756</v>
      </c>
      <c r="M229" s="10">
        <f t="shared" si="20"/>
        <v>0.31763831302249351</v>
      </c>
      <c r="P229" s="8">
        <f t="shared" si="25"/>
        <v>-5.2730962591607566</v>
      </c>
    </row>
    <row r="230" spans="1:16" x14ac:dyDescent="0.2">
      <c r="A230" s="8">
        <v>114</v>
      </c>
      <c r="B230" s="8">
        <v>228</v>
      </c>
      <c r="D230">
        <v>440.12390786338</v>
      </c>
      <c r="E230">
        <v>201.81572676728001</v>
      </c>
      <c r="F230">
        <v>122.25494853523</v>
      </c>
      <c r="G230">
        <v>109.25098970705</v>
      </c>
      <c r="I230" s="9">
        <f t="shared" si="22"/>
        <v>92.564737060230016</v>
      </c>
      <c r="J230" s="9">
        <f t="shared" si="23"/>
        <v>317.86895932815003</v>
      </c>
      <c r="K230" s="9">
        <f t="shared" si="24"/>
        <v>92.564737060230016</v>
      </c>
      <c r="L230" s="10">
        <f t="shared" si="21"/>
        <v>0.29120407747857946</v>
      </c>
      <c r="M230" s="10">
        <f t="shared" si="20"/>
        <v>0.31070602272406533</v>
      </c>
      <c r="P230" s="8">
        <f t="shared" si="25"/>
        <v>-7.3404614631695608</v>
      </c>
    </row>
    <row r="231" spans="1:16" x14ac:dyDescent="0.2">
      <c r="A231" s="8">
        <v>114.5</v>
      </c>
      <c r="B231" s="8">
        <v>229</v>
      </c>
      <c r="D231">
        <v>447.42936951317</v>
      </c>
      <c r="E231">
        <v>205.96648044693001</v>
      </c>
      <c r="F231">
        <v>122.58432304038</v>
      </c>
      <c r="G231">
        <v>109.46239113223</v>
      </c>
      <c r="I231" s="9">
        <f t="shared" si="22"/>
        <v>96.504089314700011</v>
      </c>
      <c r="J231" s="9">
        <f t="shared" si="23"/>
        <v>324.84504647278999</v>
      </c>
      <c r="K231" s="9">
        <f t="shared" si="24"/>
        <v>96.504089314700011</v>
      </c>
      <c r="L231" s="10">
        <f t="shared" si="21"/>
        <v>0.29707729996979804</v>
      </c>
      <c r="M231" s="10">
        <f t="shared" si="20"/>
        <v>0.31666478006285181</v>
      </c>
      <c r="P231" s="8">
        <f t="shared" si="25"/>
        <v>-5.5634257287987054</v>
      </c>
    </row>
    <row r="232" spans="1:16" x14ac:dyDescent="0.2">
      <c r="A232" s="8">
        <v>115</v>
      </c>
      <c r="B232" s="8">
        <v>230</v>
      </c>
      <c r="D232">
        <v>444.67438148444</v>
      </c>
      <c r="E232">
        <v>203.25299281724</v>
      </c>
      <c r="F232">
        <v>122.43547110055</v>
      </c>
      <c r="G232">
        <v>109.46080760095001</v>
      </c>
      <c r="I232" s="9">
        <f t="shared" si="22"/>
        <v>93.792185216289994</v>
      </c>
      <c r="J232" s="9">
        <f t="shared" si="23"/>
        <v>322.23891038389002</v>
      </c>
      <c r="K232" s="9">
        <f t="shared" si="24"/>
        <v>93.792185216289994</v>
      </c>
      <c r="L232" s="10">
        <f t="shared" si="21"/>
        <v>0.2910641210416004</v>
      </c>
      <c r="M232" s="10">
        <f t="shared" si="20"/>
        <v>0.31073713598222208</v>
      </c>
      <c r="P232" s="8">
        <f t="shared" si="25"/>
        <v>-7.3311827883698086</v>
      </c>
    </row>
    <row r="233" spans="1:16" x14ac:dyDescent="0.2">
      <c r="A233" s="8">
        <v>115.5</v>
      </c>
      <c r="B233" s="8">
        <v>231</v>
      </c>
      <c r="D233">
        <v>438.81070287540001</v>
      </c>
      <c r="E233">
        <v>201.49281150159999</v>
      </c>
      <c r="F233">
        <v>122.33966745843</v>
      </c>
      <c r="G233">
        <v>109.38004750594</v>
      </c>
      <c r="I233" s="9">
        <f t="shared" si="22"/>
        <v>92.112763995659989</v>
      </c>
      <c r="J233" s="9">
        <f t="shared" si="23"/>
        <v>316.47103541697004</v>
      </c>
      <c r="K233" s="9">
        <f t="shared" si="24"/>
        <v>92.112763995659989</v>
      </c>
      <c r="L233" s="10">
        <f t="shared" si="21"/>
        <v>0.29106222588204878</v>
      </c>
      <c r="M233" s="10">
        <f t="shared" si="20"/>
        <v>0.31082077567023841</v>
      </c>
      <c r="P233" s="8">
        <f t="shared" si="25"/>
        <v>-7.3062395483675351</v>
      </c>
    </row>
    <row r="234" spans="1:16" x14ac:dyDescent="0.2">
      <c r="A234" s="8">
        <v>116</v>
      </c>
      <c r="B234" s="8">
        <v>232</v>
      </c>
      <c r="D234">
        <v>441.77875399361</v>
      </c>
      <c r="E234">
        <v>202.57827476038</v>
      </c>
      <c r="F234">
        <v>121.91607284244</v>
      </c>
      <c r="G234">
        <v>109.28503562944999</v>
      </c>
      <c r="I234" s="9">
        <f t="shared" si="22"/>
        <v>93.293239130930004</v>
      </c>
      <c r="J234" s="9">
        <f t="shared" si="23"/>
        <v>319.86268115117002</v>
      </c>
      <c r="K234" s="9">
        <f t="shared" si="24"/>
        <v>93.293239130930004</v>
      </c>
      <c r="L234" s="10">
        <f t="shared" si="21"/>
        <v>0.29166653263573056</v>
      </c>
      <c r="M234" s="10">
        <f t="shared" si="20"/>
        <v>0.3115106172714881</v>
      </c>
      <c r="P234" s="8">
        <f t="shared" si="25"/>
        <v>-7.1005132355175551</v>
      </c>
    </row>
    <row r="235" spans="1:16" x14ac:dyDescent="0.2">
      <c r="A235" s="8">
        <v>116.5</v>
      </c>
      <c r="B235" s="8">
        <v>233</v>
      </c>
      <c r="D235">
        <v>445.41393114492001</v>
      </c>
      <c r="E235">
        <v>204.68775020016</v>
      </c>
      <c r="F235">
        <v>122.50673000792</v>
      </c>
      <c r="G235">
        <v>109.01187648456001</v>
      </c>
      <c r="I235" s="9">
        <f t="shared" si="22"/>
        <v>95.675873715599991</v>
      </c>
      <c r="J235" s="9">
        <f t="shared" si="23"/>
        <v>322.90720113700002</v>
      </c>
      <c r="K235" s="9">
        <f t="shared" si="24"/>
        <v>95.675873715599991</v>
      </c>
      <c r="L235" s="10">
        <f t="shared" si="21"/>
        <v>0.29629526185452748</v>
      </c>
      <c r="M235" s="10">
        <f t="shared" si="20"/>
        <v>0.31622488133785293</v>
      </c>
      <c r="P235" s="8">
        <f t="shared" si="25"/>
        <v>-5.694613442844199</v>
      </c>
    </row>
    <row r="236" spans="1:16" x14ac:dyDescent="0.2">
      <c r="A236" s="8">
        <v>117</v>
      </c>
      <c r="B236" s="8">
        <v>234</v>
      </c>
      <c r="D236">
        <v>426.05604483587001</v>
      </c>
      <c r="E236">
        <v>200.44675740592999</v>
      </c>
      <c r="F236">
        <v>121.93824228029</v>
      </c>
      <c r="G236">
        <v>109.23357086303</v>
      </c>
      <c r="I236" s="9">
        <f t="shared" si="22"/>
        <v>91.21318654289999</v>
      </c>
      <c r="J236" s="9">
        <f t="shared" si="23"/>
        <v>304.11780255558</v>
      </c>
      <c r="K236" s="9">
        <f t="shared" si="24"/>
        <v>91.21318654289999</v>
      </c>
      <c r="L236" s="10">
        <f t="shared" si="21"/>
        <v>0.29992715249292268</v>
      </c>
      <c r="M236" s="10">
        <f t="shared" si="20"/>
        <v>0.31994230682381608</v>
      </c>
      <c r="P236" s="8">
        <f t="shared" si="25"/>
        <v>-4.5859933811716083</v>
      </c>
    </row>
    <row r="237" spans="1:16" x14ac:dyDescent="0.2">
      <c r="A237" s="8">
        <v>117.5</v>
      </c>
      <c r="B237" s="8">
        <v>235</v>
      </c>
      <c r="D237">
        <v>428.27141713370997</v>
      </c>
      <c r="E237">
        <v>200.23939151320999</v>
      </c>
      <c r="F237">
        <v>121.95882818686</v>
      </c>
      <c r="G237">
        <v>108.98574821853001</v>
      </c>
      <c r="I237" s="9">
        <f t="shared" si="22"/>
        <v>91.253643294679989</v>
      </c>
      <c r="J237" s="9">
        <f t="shared" si="23"/>
        <v>306.31258894684998</v>
      </c>
      <c r="K237" s="9">
        <f t="shared" si="24"/>
        <v>91.253643294679989</v>
      </c>
      <c r="L237" s="10">
        <f t="shared" si="21"/>
        <v>0.29791019562213916</v>
      </c>
      <c r="M237" s="10">
        <f t="shared" si="20"/>
        <v>0.31801088480060047</v>
      </c>
      <c r="P237" s="8">
        <f t="shared" si="25"/>
        <v>-5.1619869580646016</v>
      </c>
    </row>
    <row r="238" spans="1:16" x14ac:dyDescent="0.2">
      <c r="A238" s="8">
        <v>118</v>
      </c>
      <c r="B238" s="8">
        <v>236</v>
      </c>
      <c r="D238">
        <v>427.84067253802999</v>
      </c>
      <c r="E238">
        <v>200.33146517214001</v>
      </c>
      <c r="F238">
        <v>122.21694378463999</v>
      </c>
      <c r="G238">
        <v>109.19081551860999</v>
      </c>
      <c r="I238" s="9">
        <f t="shared" si="22"/>
        <v>91.140649653530019</v>
      </c>
      <c r="J238" s="9">
        <f t="shared" si="23"/>
        <v>305.62372875338997</v>
      </c>
      <c r="K238" s="9">
        <f t="shared" si="24"/>
        <v>91.140649653530019</v>
      </c>
      <c r="L238" s="10">
        <f t="shared" si="21"/>
        <v>0.2982119550248406</v>
      </c>
      <c r="M238" s="10">
        <f t="shared" si="20"/>
        <v>0.31839817905086981</v>
      </c>
      <c r="P238" s="8">
        <f t="shared" si="25"/>
        <v>-5.0464870839607912</v>
      </c>
    </row>
    <row r="239" spans="1:16" x14ac:dyDescent="0.2">
      <c r="A239" s="8">
        <v>118.5</v>
      </c>
      <c r="B239" s="8">
        <v>237</v>
      </c>
      <c r="D239">
        <v>423.44755804644001</v>
      </c>
      <c r="E239">
        <v>198.53482786229</v>
      </c>
      <c r="F239">
        <v>122.56215360253</v>
      </c>
      <c r="G239">
        <v>109.35629453682</v>
      </c>
      <c r="I239" s="9">
        <f t="shared" si="22"/>
        <v>89.178533325469999</v>
      </c>
      <c r="J239" s="9">
        <f t="shared" si="23"/>
        <v>300.88540444391003</v>
      </c>
      <c r="K239" s="9">
        <f t="shared" si="24"/>
        <v>89.178533325469999</v>
      </c>
      <c r="L239" s="10">
        <f t="shared" si="21"/>
        <v>0.29638703642101832</v>
      </c>
      <c r="M239" s="10">
        <f t="shared" si="20"/>
        <v>0.31665879529461544</v>
      </c>
      <c r="P239" s="8">
        <f t="shared" si="25"/>
        <v>-5.5652105215689609</v>
      </c>
    </row>
    <row r="240" spans="1:16" x14ac:dyDescent="0.2">
      <c r="A240" s="8">
        <v>119</v>
      </c>
      <c r="B240" s="8">
        <v>238</v>
      </c>
      <c r="D240">
        <v>422.71897518013998</v>
      </c>
      <c r="E240">
        <v>197.69895916733</v>
      </c>
      <c r="F240">
        <v>122.45447347584999</v>
      </c>
      <c r="G240">
        <v>109.11084718923</v>
      </c>
      <c r="I240" s="9">
        <f t="shared" si="22"/>
        <v>88.588111978100002</v>
      </c>
      <c r="J240" s="9">
        <f t="shared" si="23"/>
        <v>300.26450170428996</v>
      </c>
      <c r="K240" s="9">
        <f t="shared" si="24"/>
        <v>88.588111978100002</v>
      </c>
      <c r="L240" s="10">
        <f t="shared" si="21"/>
        <v>0.29503358364134696</v>
      </c>
      <c r="M240" s="10">
        <f t="shared" si="20"/>
        <v>0.31539087736251203</v>
      </c>
      <c r="P240" s="8">
        <f t="shared" si="25"/>
        <v>-5.9433322247185982</v>
      </c>
    </row>
    <row r="241" spans="1:16" x14ac:dyDescent="0.2">
      <c r="A241" s="8">
        <v>119.5</v>
      </c>
      <c r="B241" s="8">
        <v>239</v>
      </c>
      <c r="D241">
        <v>434.97758206564998</v>
      </c>
      <c r="E241">
        <v>200.76701361088999</v>
      </c>
      <c r="F241">
        <v>122.09342834521</v>
      </c>
      <c r="G241">
        <v>108.85748218527</v>
      </c>
      <c r="I241" s="9">
        <f t="shared" si="22"/>
        <v>91.909531425619988</v>
      </c>
      <c r="J241" s="9">
        <f t="shared" si="23"/>
        <v>312.88415372044</v>
      </c>
      <c r="K241" s="9">
        <f t="shared" si="24"/>
        <v>91.909531425619988</v>
      </c>
      <c r="L241" s="10">
        <f t="shared" si="21"/>
        <v>0.29374939680627155</v>
      </c>
      <c r="M241" s="10">
        <f t="shared" si="20"/>
        <v>0.31419222537500452</v>
      </c>
      <c r="P241" s="8">
        <f t="shared" si="25"/>
        <v>-6.3007972621032708</v>
      </c>
    </row>
    <row r="242" spans="1:16" x14ac:dyDescent="0.2">
      <c r="A242" s="8">
        <v>120</v>
      </c>
      <c r="B242" s="8">
        <v>240</v>
      </c>
      <c r="D242">
        <v>427.52581413821002</v>
      </c>
      <c r="E242">
        <v>200.17474185862</v>
      </c>
      <c r="F242">
        <v>121.88044338876</v>
      </c>
      <c r="G242">
        <v>108.99524940617999</v>
      </c>
      <c r="I242" s="9">
        <f>E242-G242</f>
        <v>91.179492452440002</v>
      </c>
      <c r="J242" s="9">
        <f>D242-F242</f>
        <v>305.64537074945002</v>
      </c>
      <c r="K242" s="9">
        <f t="shared" si="24"/>
        <v>91.179492452440002</v>
      </c>
      <c r="L242" s="10">
        <f t="shared" si="21"/>
        <v>0.29831792390267725</v>
      </c>
      <c r="M242" s="10">
        <f>L242+ABS($N$2)*A242</f>
        <v>0.31884628731897813</v>
      </c>
      <c r="O242" s="11"/>
      <c r="P242" s="8">
        <f>(M242-$O$2)/$O$2*100</f>
        <v>-4.9128510991368683</v>
      </c>
    </row>
    <row r="243" spans="1:16" x14ac:dyDescent="0.2">
      <c r="A243" s="8">
        <v>120.5</v>
      </c>
      <c r="B243" s="8">
        <v>241</v>
      </c>
      <c r="D243">
        <v>429.11278792693003</v>
      </c>
      <c r="E243">
        <v>199.02541699762</v>
      </c>
      <c r="F243">
        <v>122.43151227237</v>
      </c>
      <c r="G243">
        <v>109.15122723674</v>
      </c>
      <c r="I243" s="9">
        <f t="shared" ref="I243:I274" si="26">E243-G243</f>
        <v>89.87418976088</v>
      </c>
      <c r="J243" s="9">
        <f t="shared" ref="J243:J274" si="27">D243-F243</f>
        <v>306.68127565456001</v>
      </c>
      <c r="K243" s="9">
        <f t="shared" si="24"/>
        <v>89.87418976088</v>
      </c>
      <c r="L243" s="10">
        <f t="shared" si="21"/>
        <v>0.29305404957983999</v>
      </c>
      <c r="M243" s="10">
        <f t="shared" ref="M243:M274" si="28">L243+ABS($N$2)*A243</f>
        <v>0.31366794784370883</v>
      </c>
      <c r="P243" s="8">
        <f t="shared" ref="P243:P274" si="29">(M243-$O$2)/$O$2*100</f>
        <v>-6.4571486378802074</v>
      </c>
    </row>
    <row r="244" spans="1:16" x14ac:dyDescent="0.2">
      <c r="A244" s="8">
        <v>121</v>
      </c>
      <c r="B244" s="8">
        <v>242</v>
      </c>
      <c r="D244">
        <v>423.61795075457002</v>
      </c>
      <c r="E244">
        <v>198.13979348689</v>
      </c>
      <c r="F244">
        <v>121.92399049881</v>
      </c>
      <c r="G244">
        <v>108.89707046714</v>
      </c>
      <c r="I244" s="9">
        <f t="shared" si="26"/>
        <v>89.242723019750002</v>
      </c>
      <c r="J244" s="9">
        <f t="shared" si="27"/>
        <v>301.69396025576003</v>
      </c>
      <c r="K244" s="9">
        <f t="shared" si="24"/>
        <v>89.242723019750002</v>
      </c>
      <c r="L244" s="10">
        <f t="shared" si="21"/>
        <v>0.29580546771335692</v>
      </c>
      <c r="M244" s="10">
        <f t="shared" si="28"/>
        <v>0.31650490082479366</v>
      </c>
      <c r="N244" s="1"/>
      <c r="P244" s="8">
        <f t="shared" si="29"/>
        <v>-5.6111053208780826</v>
      </c>
    </row>
    <row r="245" spans="1:16" x14ac:dyDescent="0.2">
      <c r="A245" s="8">
        <v>121.5</v>
      </c>
      <c r="B245" s="8">
        <v>243</v>
      </c>
      <c r="D245">
        <v>426.46624305004002</v>
      </c>
      <c r="E245">
        <v>198.89277204129999</v>
      </c>
      <c r="F245">
        <v>122.16389548694001</v>
      </c>
      <c r="G245">
        <v>109.30482977039</v>
      </c>
      <c r="I245" s="9">
        <f t="shared" si="26"/>
        <v>89.587942270909991</v>
      </c>
      <c r="J245" s="9">
        <f t="shared" si="27"/>
        <v>304.3023475631</v>
      </c>
      <c r="K245" s="9">
        <f t="shared" si="24"/>
        <v>89.587942270909991</v>
      </c>
      <c r="L245" s="10">
        <f t="shared" si="21"/>
        <v>0.29440437442676343</v>
      </c>
      <c r="M245" s="10">
        <f t="shared" si="28"/>
        <v>0.31518934238576807</v>
      </c>
      <c r="P245" s="8">
        <f t="shared" si="29"/>
        <v>-6.0034344968934485</v>
      </c>
    </row>
    <row r="246" spans="1:16" x14ac:dyDescent="0.2">
      <c r="A246" s="8">
        <v>122</v>
      </c>
      <c r="B246" s="8">
        <v>244</v>
      </c>
      <c r="D246">
        <v>432.73131955485002</v>
      </c>
      <c r="E246">
        <v>202.65421303657001</v>
      </c>
      <c r="F246">
        <v>122.03246239113</v>
      </c>
      <c r="G246">
        <v>109.12193190815999</v>
      </c>
      <c r="I246" s="9">
        <f t="shared" si="26"/>
        <v>93.53228112841002</v>
      </c>
      <c r="J246" s="9">
        <f t="shared" si="27"/>
        <v>310.69885716372005</v>
      </c>
      <c r="K246" s="9">
        <f t="shared" si="24"/>
        <v>93.53228112841002</v>
      </c>
      <c r="L246" s="10">
        <f t="shared" si="21"/>
        <v>0.30103838160925067</v>
      </c>
      <c r="M246" s="10">
        <f t="shared" si="28"/>
        <v>0.32190888441582327</v>
      </c>
      <c r="P246" s="8">
        <f t="shared" si="29"/>
        <v>-3.9995156213436731</v>
      </c>
    </row>
    <row r="247" spans="1:16" x14ac:dyDescent="0.2">
      <c r="A247" s="8">
        <v>122.5</v>
      </c>
      <c r="B247" s="8">
        <v>245</v>
      </c>
      <c r="D247">
        <v>433.75278219396</v>
      </c>
      <c r="E247">
        <v>200.89984101748999</v>
      </c>
      <c r="F247">
        <v>122.0190023753</v>
      </c>
      <c r="G247">
        <v>109.01266825019999</v>
      </c>
      <c r="I247" s="9">
        <f t="shared" si="26"/>
        <v>91.887172767289997</v>
      </c>
      <c r="J247" s="9">
        <f t="shared" si="27"/>
        <v>311.73377981865997</v>
      </c>
      <c r="K247" s="9">
        <f t="shared" si="24"/>
        <v>91.887172767289997</v>
      </c>
      <c r="L247" s="10">
        <f t="shared" si="21"/>
        <v>0.29476168036951944</v>
      </c>
      <c r="M247" s="10">
        <f t="shared" si="28"/>
        <v>0.31571771802365994</v>
      </c>
      <c r="P247" s="8">
        <f t="shared" si="29"/>
        <v>-5.8458609733681426</v>
      </c>
    </row>
    <row r="248" spans="1:16" x14ac:dyDescent="0.2">
      <c r="A248" s="8">
        <v>123</v>
      </c>
      <c r="B248" s="8">
        <v>246</v>
      </c>
      <c r="D248">
        <v>444.54176610978999</v>
      </c>
      <c r="E248">
        <v>202.75576770088</v>
      </c>
      <c r="F248">
        <v>122.34045922407</v>
      </c>
      <c r="G248">
        <v>109.11797307997</v>
      </c>
      <c r="I248" s="9">
        <f t="shared" si="26"/>
        <v>93.63779462091</v>
      </c>
      <c r="J248" s="9">
        <f t="shared" si="27"/>
        <v>322.20130688571999</v>
      </c>
      <c r="K248" s="9">
        <f t="shared" si="24"/>
        <v>93.63779462091</v>
      </c>
      <c r="L248" s="10">
        <f t="shared" si="21"/>
        <v>0.29061891624828801</v>
      </c>
      <c r="M248" s="10">
        <f t="shared" si="28"/>
        <v>0.31166048874999641</v>
      </c>
      <c r="P248" s="8">
        <f t="shared" si="29"/>
        <v>-7.0558181828865809</v>
      </c>
    </row>
    <row r="249" spans="1:16" x14ac:dyDescent="0.2">
      <c r="A249" s="8">
        <v>123.5</v>
      </c>
      <c r="B249" s="8">
        <v>247</v>
      </c>
      <c r="D249">
        <v>458.50438946527998</v>
      </c>
      <c r="E249">
        <v>206.03591380686001</v>
      </c>
      <c r="F249">
        <v>122.09897070466999</v>
      </c>
      <c r="G249">
        <v>109.01425178146999</v>
      </c>
      <c r="I249" s="9">
        <f t="shared" si="26"/>
        <v>97.021662025390015</v>
      </c>
      <c r="J249" s="9">
        <f t="shared" si="27"/>
        <v>336.40541876061002</v>
      </c>
      <c r="K249" s="9">
        <f t="shared" si="24"/>
        <v>97.021662025390015</v>
      </c>
      <c r="L249" s="10">
        <f t="shared" si="21"/>
        <v>0.28840695367761526</v>
      </c>
      <c r="M249" s="10">
        <f t="shared" si="28"/>
        <v>0.30953406102689163</v>
      </c>
      <c r="P249" s="8">
        <f t="shared" si="29"/>
        <v>-7.6899668544422521</v>
      </c>
    </row>
    <row r="250" spans="1:16" x14ac:dyDescent="0.2">
      <c r="A250" s="8">
        <v>124</v>
      </c>
      <c r="B250" s="8">
        <v>248</v>
      </c>
      <c r="D250">
        <v>452.14365522744998</v>
      </c>
      <c r="E250">
        <v>204.89784517159001</v>
      </c>
      <c r="F250">
        <v>121.87885985747999</v>
      </c>
      <c r="G250">
        <v>109.02850356294999</v>
      </c>
      <c r="I250" s="9">
        <f t="shared" si="26"/>
        <v>95.869341608640013</v>
      </c>
      <c r="J250" s="9">
        <f t="shared" si="27"/>
        <v>330.26479536996999</v>
      </c>
      <c r="K250" s="9">
        <f t="shared" si="24"/>
        <v>95.869341608640013</v>
      </c>
      <c r="L250" s="10">
        <f t="shared" si="21"/>
        <v>0.29028023256685603</v>
      </c>
      <c r="M250" s="10">
        <f t="shared" si="28"/>
        <v>0.3114928747637003</v>
      </c>
      <c r="P250" s="8">
        <f t="shared" si="29"/>
        <v>-7.1058044512129896</v>
      </c>
    </row>
    <row r="251" spans="1:16" x14ac:dyDescent="0.2">
      <c r="A251" s="8">
        <v>124.5</v>
      </c>
      <c r="B251" s="8">
        <v>249</v>
      </c>
      <c r="D251">
        <v>446.43096568236001</v>
      </c>
      <c r="E251">
        <v>204.72226656026001</v>
      </c>
      <c r="F251">
        <v>122.30799683294001</v>
      </c>
      <c r="G251">
        <v>109.01346001584</v>
      </c>
      <c r="I251" s="9">
        <f t="shared" si="26"/>
        <v>95.708806544420014</v>
      </c>
      <c r="J251" s="9">
        <f t="shared" si="27"/>
        <v>324.12296884941998</v>
      </c>
      <c r="K251" s="9">
        <f t="shared" si="24"/>
        <v>95.708806544420014</v>
      </c>
      <c r="L251" s="10">
        <f t="shared" si="21"/>
        <v>0.29528548033534802</v>
      </c>
      <c r="M251" s="10">
        <f t="shared" si="28"/>
        <v>0.31658365737976019</v>
      </c>
      <c r="P251" s="8">
        <f t="shared" si="29"/>
        <v>-5.5876183412052427</v>
      </c>
    </row>
    <row r="252" spans="1:16" x14ac:dyDescent="0.2">
      <c r="A252" s="8">
        <v>125</v>
      </c>
      <c r="B252" s="8">
        <v>250</v>
      </c>
      <c r="D252">
        <v>444.21548284118001</v>
      </c>
      <c r="E252">
        <v>202.93854748602999</v>
      </c>
      <c r="F252">
        <v>122.55027711797</v>
      </c>
      <c r="G252">
        <v>109.13301662708</v>
      </c>
      <c r="I252" s="9">
        <f t="shared" si="26"/>
        <v>93.805530858949993</v>
      </c>
      <c r="J252" s="9">
        <f t="shared" si="27"/>
        <v>321.66520572321002</v>
      </c>
      <c r="K252" s="9">
        <f t="shared" si="24"/>
        <v>93.805530858949993</v>
      </c>
      <c r="L252" s="10">
        <f t="shared" si="21"/>
        <v>0.29162473649596032</v>
      </c>
      <c r="M252" s="10">
        <f t="shared" si="28"/>
        <v>0.31300844838794045</v>
      </c>
      <c r="P252" s="8">
        <f t="shared" si="29"/>
        <v>-6.6538262391092591</v>
      </c>
    </row>
    <row r="253" spans="1:16" x14ac:dyDescent="0.2">
      <c r="A253" s="8">
        <v>125.5</v>
      </c>
      <c r="B253" s="8">
        <v>251</v>
      </c>
      <c r="D253">
        <v>433.60335195531002</v>
      </c>
      <c r="E253">
        <v>200.99840383080999</v>
      </c>
      <c r="F253">
        <v>122.26524148852</v>
      </c>
      <c r="G253">
        <v>109.10292953286</v>
      </c>
      <c r="I253" s="9">
        <f t="shared" si="26"/>
        <v>91.895474297949988</v>
      </c>
      <c r="J253" s="9">
        <f t="shared" si="27"/>
        <v>311.33811046679</v>
      </c>
      <c r="K253" s="9">
        <f t="shared" si="24"/>
        <v>91.895474297949988</v>
      </c>
      <c r="L253" s="10">
        <f t="shared" si="21"/>
        <v>0.29516294731849846</v>
      </c>
      <c r="M253" s="10">
        <f t="shared" si="28"/>
        <v>0.31663219405804649</v>
      </c>
      <c r="P253" s="8">
        <f t="shared" si="29"/>
        <v>-5.5731436098412042</v>
      </c>
    </row>
    <row r="254" spans="1:16" x14ac:dyDescent="0.2">
      <c r="A254" s="8">
        <v>126</v>
      </c>
      <c r="B254" s="8">
        <v>252</v>
      </c>
      <c r="D254">
        <v>418.19952114924001</v>
      </c>
      <c r="E254">
        <v>196.38627294493</v>
      </c>
      <c r="F254">
        <v>122.34758511481</v>
      </c>
      <c r="G254">
        <v>108.61520190024</v>
      </c>
      <c r="I254" s="9">
        <f t="shared" si="26"/>
        <v>87.771071044690004</v>
      </c>
      <c r="J254" s="9">
        <f t="shared" si="27"/>
        <v>295.85193603443003</v>
      </c>
      <c r="K254" s="9">
        <f t="shared" si="24"/>
        <v>87.771071044690004</v>
      </c>
      <c r="L254" s="10">
        <f t="shared" si="21"/>
        <v>0.29667228891980468</v>
      </c>
      <c r="M254" s="10">
        <f t="shared" si="28"/>
        <v>0.31822707050692062</v>
      </c>
      <c r="P254" s="8">
        <f t="shared" si="29"/>
        <v>-5.0975155081382066</v>
      </c>
    </row>
    <row r="255" spans="1:16" x14ac:dyDescent="0.2">
      <c r="A255" s="8">
        <v>126.5</v>
      </c>
      <c r="B255" s="8">
        <v>253</v>
      </c>
      <c r="D255">
        <v>423.20686900958998</v>
      </c>
      <c r="E255">
        <v>196.06230031948999</v>
      </c>
      <c r="F255">
        <v>122.08392715756</v>
      </c>
      <c r="G255">
        <v>108.90577988915</v>
      </c>
      <c r="I255" s="9">
        <f t="shared" si="26"/>
        <v>87.156520430339995</v>
      </c>
      <c r="J255" s="9">
        <f t="shared" si="27"/>
        <v>301.12294185202995</v>
      </c>
      <c r="K255" s="9">
        <f t="shared" si="24"/>
        <v>87.156520430339995</v>
      </c>
      <c r="L255" s="10">
        <f t="shared" si="21"/>
        <v>0.28943832673223618</v>
      </c>
      <c r="M255" s="10">
        <f t="shared" si="28"/>
        <v>0.31107864316692002</v>
      </c>
      <c r="P255" s="8">
        <f t="shared" si="29"/>
        <v>-7.2293376491488468</v>
      </c>
    </row>
    <row r="256" spans="1:16" x14ac:dyDescent="0.2">
      <c r="A256" s="8">
        <v>127</v>
      </c>
      <c r="B256" s="8">
        <v>254</v>
      </c>
      <c r="D256">
        <v>422.96257961782999</v>
      </c>
      <c r="E256">
        <v>196.55254777069999</v>
      </c>
      <c r="F256">
        <v>121.77988915281</v>
      </c>
      <c r="G256">
        <v>108.92319873318</v>
      </c>
      <c r="I256" s="9">
        <f t="shared" si="26"/>
        <v>87.629349037519987</v>
      </c>
      <c r="J256" s="9">
        <f t="shared" si="27"/>
        <v>301.18269046501996</v>
      </c>
      <c r="K256" s="9">
        <f t="shared" si="24"/>
        <v>87.629349037519987</v>
      </c>
      <c r="L256" s="10">
        <f t="shared" si="21"/>
        <v>0.29095081427894165</v>
      </c>
      <c r="M256" s="10">
        <f t="shared" si="28"/>
        <v>0.31267666556119345</v>
      </c>
      <c r="P256" s="8">
        <f t="shared" si="29"/>
        <v>-6.7527713556257973</v>
      </c>
    </row>
    <row r="257" spans="1:16" x14ac:dyDescent="0.2">
      <c r="A257" s="8">
        <v>127.5</v>
      </c>
      <c r="B257" s="8">
        <v>255</v>
      </c>
      <c r="D257">
        <v>422.57961783439998</v>
      </c>
      <c r="E257">
        <v>196.36624203822001</v>
      </c>
      <c r="F257">
        <v>122.16785431512</v>
      </c>
      <c r="G257">
        <v>108.81631037213</v>
      </c>
      <c r="I257" s="9">
        <f t="shared" si="26"/>
        <v>87.549931666090004</v>
      </c>
      <c r="J257" s="9">
        <f t="shared" si="27"/>
        <v>300.41176351927999</v>
      </c>
      <c r="K257" s="9">
        <f t="shared" si="24"/>
        <v>87.549931666090004</v>
      </c>
      <c r="L257" s="10">
        <f t="shared" si="21"/>
        <v>0.29143310048999188</v>
      </c>
      <c r="M257" s="10">
        <f t="shared" si="28"/>
        <v>0.31324448661981158</v>
      </c>
      <c r="P257" s="8">
        <f t="shared" si="29"/>
        <v>-6.5834343186357653</v>
      </c>
    </row>
    <row r="258" spans="1:16" x14ac:dyDescent="0.2">
      <c r="A258" s="8">
        <v>128</v>
      </c>
      <c r="B258" s="8">
        <v>256</v>
      </c>
      <c r="D258">
        <v>415.65043894653002</v>
      </c>
      <c r="E258">
        <v>195.87310454908001</v>
      </c>
      <c r="F258">
        <v>122.33095803642</v>
      </c>
      <c r="G258">
        <v>108.99524940617999</v>
      </c>
      <c r="I258" s="9">
        <f t="shared" si="26"/>
        <v>86.877855142900017</v>
      </c>
      <c r="J258" s="9">
        <f t="shared" si="27"/>
        <v>293.31948091011003</v>
      </c>
      <c r="K258" s="9">
        <f t="shared" si="24"/>
        <v>86.877855142900017</v>
      </c>
      <c r="L258" s="10">
        <f t="shared" ref="L258:L321" si="30">K258/J258</f>
        <v>0.29618849342476639</v>
      </c>
      <c r="M258" s="10">
        <f t="shared" si="28"/>
        <v>0.31808541440215399</v>
      </c>
      <c r="P258" s="8">
        <f t="shared" si="29"/>
        <v>-5.1397605511648035</v>
      </c>
    </row>
    <row r="259" spans="1:16" x14ac:dyDescent="0.2">
      <c r="A259" s="8">
        <v>128.5</v>
      </c>
      <c r="B259" s="8">
        <v>257</v>
      </c>
      <c r="D259">
        <v>427.34956105346998</v>
      </c>
      <c r="E259">
        <v>197.29050279329999</v>
      </c>
      <c r="F259">
        <v>121.7054631829</v>
      </c>
      <c r="G259">
        <v>109.05225653207</v>
      </c>
      <c r="I259" s="9">
        <f t="shared" si="26"/>
        <v>88.238246261229989</v>
      </c>
      <c r="J259" s="9">
        <f t="shared" si="27"/>
        <v>305.64409787056996</v>
      </c>
      <c r="K259" s="9">
        <f t="shared" ref="K259:K322" si="31">I259*1</f>
        <v>88.238246261229989</v>
      </c>
      <c r="L259" s="10">
        <f t="shared" si="30"/>
        <v>0.28869605818004679</v>
      </c>
      <c r="M259" s="10">
        <f t="shared" si="28"/>
        <v>0.31067851400500235</v>
      </c>
      <c r="P259" s="8">
        <f t="shared" si="29"/>
        <v>-7.3486651831739813</v>
      </c>
    </row>
    <row r="260" spans="1:16" x14ac:dyDescent="0.2">
      <c r="A260" s="8">
        <v>129</v>
      </c>
      <c r="B260" s="8">
        <v>258</v>
      </c>
      <c r="D260">
        <v>424.13582208102002</v>
      </c>
      <c r="E260">
        <v>197.43208895948999</v>
      </c>
      <c r="F260">
        <v>122.04117181314</v>
      </c>
      <c r="G260">
        <v>108.88598574821999</v>
      </c>
      <c r="I260" s="9">
        <f t="shared" si="26"/>
        <v>88.546103211269994</v>
      </c>
      <c r="J260" s="9">
        <f t="shared" si="27"/>
        <v>302.09465026788001</v>
      </c>
      <c r="K260" s="9">
        <f t="shared" si="31"/>
        <v>88.546103211269994</v>
      </c>
      <c r="L260" s="10">
        <f t="shared" si="30"/>
        <v>0.29310715410800042</v>
      </c>
      <c r="M260" s="10">
        <f t="shared" si="28"/>
        <v>0.31517514478052389</v>
      </c>
      <c r="P260" s="8">
        <f t="shared" si="29"/>
        <v>-6.0076685427568668</v>
      </c>
    </row>
    <row r="261" spans="1:16" x14ac:dyDescent="0.2">
      <c r="A261" s="8">
        <v>129.5</v>
      </c>
      <c r="B261" s="8">
        <v>259</v>
      </c>
      <c r="D261">
        <v>432.68308181096</v>
      </c>
      <c r="E261">
        <v>199.05083399522999</v>
      </c>
      <c r="F261">
        <v>122.35866983373</v>
      </c>
      <c r="G261">
        <v>108.94299287411</v>
      </c>
      <c r="I261" s="9">
        <f t="shared" si="26"/>
        <v>90.107841121119989</v>
      </c>
      <c r="J261" s="9">
        <f t="shared" si="27"/>
        <v>310.32441197723</v>
      </c>
      <c r="K261" s="9">
        <f t="shared" si="31"/>
        <v>90.107841121119989</v>
      </c>
      <c r="L261" s="10">
        <f t="shared" si="30"/>
        <v>0.29036658942491328</v>
      </c>
      <c r="M261" s="10">
        <f t="shared" si="28"/>
        <v>0.31252011494500465</v>
      </c>
      <c r="P261" s="8">
        <f t="shared" si="29"/>
        <v>-6.7994582776446642</v>
      </c>
    </row>
    <row r="262" spans="1:16" x14ac:dyDescent="0.2">
      <c r="A262" s="8">
        <v>130</v>
      </c>
      <c r="B262" s="8">
        <v>260</v>
      </c>
      <c r="D262">
        <v>429.12708498809002</v>
      </c>
      <c r="E262">
        <v>198.37092930898001</v>
      </c>
      <c r="F262">
        <v>121.77830562154</v>
      </c>
      <c r="G262">
        <v>108.85352335709</v>
      </c>
      <c r="I262" s="9">
        <f t="shared" si="26"/>
        <v>89.517405951890012</v>
      </c>
      <c r="J262" s="9">
        <f t="shared" si="27"/>
        <v>307.34877936655005</v>
      </c>
      <c r="K262" s="9">
        <f t="shared" si="31"/>
        <v>89.517405951890012</v>
      </c>
      <c r="L262" s="10">
        <f t="shared" si="30"/>
        <v>0.29125674790830985</v>
      </c>
      <c r="M262" s="10">
        <f t="shared" si="28"/>
        <v>0.31349580827596918</v>
      </c>
      <c r="P262" s="8">
        <f t="shared" si="29"/>
        <v>-6.5084845365887132</v>
      </c>
    </row>
    <row r="263" spans="1:16" x14ac:dyDescent="0.2">
      <c r="A263" s="8">
        <v>130.5</v>
      </c>
      <c r="B263" s="8">
        <v>261</v>
      </c>
      <c r="D263">
        <v>433.13820492453999</v>
      </c>
      <c r="E263">
        <v>199.58856235107001</v>
      </c>
      <c r="F263">
        <v>122.53048297703999</v>
      </c>
      <c r="G263">
        <v>108.92715756136</v>
      </c>
      <c r="I263" s="9">
        <f t="shared" si="26"/>
        <v>90.661404789710005</v>
      </c>
      <c r="J263" s="9">
        <f t="shared" si="27"/>
        <v>310.60772194750001</v>
      </c>
      <c r="K263" s="9">
        <f t="shared" si="31"/>
        <v>90.661404789710005</v>
      </c>
      <c r="L263" s="10">
        <f t="shared" si="30"/>
        <v>0.29188393714511035</v>
      </c>
      <c r="M263" s="10">
        <f t="shared" si="28"/>
        <v>0.31420853236033758</v>
      </c>
      <c r="P263" s="8">
        <f t="shared" si="29"/>
        <v>-6.2959341515570362</v>
      </c>
    </row>
    <row r="264" spans="1:16" x14ac:dyDescent="0.2">
      <c r="A264" s="8">
        <v>131</v>
      </c>
      <c r="B264" s="8">
        <v>262</v>
      </c>
      <c r="D264">
        <v>426.53057982526002</v>
      </c>
      <c r="E264">
        <v>197.8832406672</v>
      </c>
      <c r="F264">
        <v>122.32383214569001</v>
      </c>
      <c r="G264">
        <v>108.80443388757</v>
      </c>
      <c r="I264" s="9">
        <f t="shared" si="26"/>
        <v>89.07880677963</v>
      </c>
      <c r="J264" s="9">
        <f t="shared" si="27"/>
        <v>304.20674767957001</v>
      </c>
      <c r="K264" s="9">
        <f t="shared" si="31"/>
        <v>89.07880677963</v>
      </c>
      <c r="L264" s="10">
        <f t="shared" si="30"/>
        <v>0.29282324425446127</v>
      </c>
      <c r="M264" s="10">
        <f t="shared" si="28"/>
        <v>0.3152333743172564</v>
      </c>
      <c r="P264" s="8">
        <f t="shared" si="29"/>
        <v>-5.9903031825506385</v>
      </c>
    </row>
    <row r="265" spans="1:16" x14ac:dyDescent="0.2">
      <c r="A265" s="8">
        <v>131.5</v>
      </c>
      <c r="B265" s="8">
        <v>263</v>
      </c>
      <c r="D265">
        <v>428.36775218426999</v>
      </c>
      <c r="E265">
        <v>198.21922160445001</v>
      </c>
      <c r="F265">
        <v>122.29770387965</v>
      </c>
      <c r="G265">
        <v>109.17893903405</v>
      </c>
      <c r="I265" s="9">
        <f t="shared" si="26"/>
        <v>89.040282570400009</v>
      </c>
      <c r="J265" s="9">
        <f t="shared" si="27"/>
        <v>306.07004830462</v>
      </c>
      <c r="K265" s="9">
        <f t="shared" si="31"/>
        <v>89.040282570400009</v>
      </c>
      <c r="L265" s="10">
        <f t="shared" si="30"/>
        <v>0.29091472054717871</v>
      </c>
      <c r="M265" s="10">
        <f t="shared" si="28"/>
        <v>0.3134103854575418</v>
      </c>
      <c r="P265" s="8">
        <f t="shared" si="29"/>
        <v>-6.5339595462669973</v>
      </c>
    </row>
    <row r="266" spans="1:16" x14ac:dyDescent="0.2">
      <c r="A266" s="8">
        <v>132</v>
      </c>
      <c r="B266" s="8">
        <v>264</v>
      </c>
      <c r="D266">
        <v>406.34312946783001</v>
      </c>
      <c r="E266">
        <v>195.87291501191001</v>
      </c>
      <c r="F266">
        <v>122.02296120347999</v>
      </c>
      <c r="G266">
        <v>108.77830562154</v>
      </c>
      <c r="I266" s="9">
        <f t="shared" si="26"/>
        <v>87.09460939037001</v>
      </c>
      <c r="J266" s="9">
        <f t="shared" si="27"/>
        <v>284.32016826435</v>
      </c>
      <c r="K266" s="9">
        <f t="shared" si="31"/>
        <v>87.09460939037001</v>
      </c>
      <c r="L266" s="10">
        <f t="shared" si="30"/>
        <v>0.30632582247697876</v>
      </c>
      <c r="M266" s="10">
        <f t="shared" si="28"/>
        <v>0.32890702223490975</v>
      </c>
      <c r="P266" s="8">
        <f t="shared" si="29"/>
        <v>-1.9125132026310796</v>
      </c>
    </row>
    <row r="267" spans="1:16" x14ac:dyDescent="0.2">
      <c r="A267" s="8">
        <v>132.5</v>
      </c>
      <c r="B267" s="8">
        <v>265</v>
      </c>
      <c r="D267">
        <v>422.04920634921001</v>
      </c>
      <c r="E267">
        <v>198.29920634921001</v>
      </c>
      <c r="F267">
        <v>122.35629453682</v>
      </c>
      <c r="G267">
        <v>109.15835312746999</v>
      </c>
      <c r="I267" s="9">
        <f t="shared" si="26"/>
        <v>89.140853221740016</v>
      </c>
      <c r="J267" s="9">
        <f t="shared" si="27"/>
        <v>299.69291181238998</v>
      </c>
      <c r="K267" s="9">
        <f t="shared" si="31"/>
        <v>89.140853221740016</v>
      </c>
      <c r="L267" s="10">
        <f t="shared" si="30"/>
        <v>0.29744064576856882</v>
      </c>
      <c r="M267" s="10">
        <f t="shared" si="28"/>
        <v>0.32010738037406772</v>
      </c>
      <c r="P267" s="8">
        <f t="shared" si="29"/>
        <v>-4.5367647281289312</v>
      </c>
    </row>
    <row r="268" spans="1:16" x14ac:dyDescent="0.2">
      <c r="A268" s="8">
        <v>133</v>
      </c>
      <c r="B268" s="8">
        <v>266</v>
      </c>
      <c r="D268">
        <v>415.56825396825002</v>
      </c>
      <c r="E268">
        <v>196.78412698413001</v>
      </c>
      <c r="F268">
        <v>121.92794932699999</v>
      </c>
      <c r="G268">
        <v>108.87648456057001</v>
      </c>
      <c r="I268" s="9">
        <f t="shared" si="26"/>
        <v>87.907642423560006</v>
      </c>
      <c r="J268" s="9">
        <f t="shared" si="27"/>
        <v>293.64030464125005</v>
      </c>
      <c r="K268" s="9">
        <f t="shared" si="31"/>
        <v>87.907642423560006</v>
      </c>
      <c r="L268" s="10">
        <f t="shared" si="30"/>
        <v>0.29937185404762345</v>
      </c>
      <c r="M268" s="10">
        <f t="shared" si="28"/>
        <v>0.32212412350069031</v>
      </c>
      <c r="P268" s="8">
        <f t="shared" si="29"/>
        <v>-3.9353264752691492</v>
      </c>
    </row>
    <row r="269" spans="1:16" x14ac:dyDescent="0.2">
      <c r="A269" s="8">
        <v>133.5</v>
      </c>
      <c r="B269" s="8">
        <v>267</v>
      </c>
      <c r="D269">
        <v>423.18492063491999</v>
      </c>
      <c r="E269">
        <v>197.66111111110999</v>
      </c>
      <c r="F269">
        <v>121.90815518607</v>
      </c>
      <c r="G269">
        <v>108.88123515439</v>
      </c>
      <c r="I269" s="9">
        <f t="shared" si="26"/>
        <v>88.779875956719991</v>
      </c>
      <c r="J269" s="9">
        <f t="shared" si="27"/>
        <v>301.27676544884997</v>
      </c>
      <c r="K269" s="9">
        <f t="shared" si="31"/>
        <v>88.779875956719991</v>
      </c>
      <c r="L269" s="10">
        <f t="shared" si="30"/>
        <v>0.29467880081775777</v>
      </c>
      <c r="M269" s="10">
        <f t="shared" si="28"/>
        <v>0.31751660511839253</v>
      </c>
      <c r="P269" s="8">
        <f t="shared" si="29"/>
        <v>-5.3093922991647755</v>
      </c>
    </row>
    <row r="270" spans="1:16" x14ac:dyDescent="0.2">
      <c r="A270" s="8">
        <v>134</v>
      </c>
      <c r="B270" s="8">
        <v>268</v>
      </c>
      <c r="D270">
        <v>422.71587301586999</v>
      </c>
      <c r="E270">
        <v>197.95952380951999</v>
      </c>
      <c r="F270">
        <v>121.98258115598</v>
      </c>
      <c r="G270">
        <v>108.85748218527</v>
      </c>
      <c r="I270" s="9">
        <f t="shared" si="26"/>
        <v>89.102041624249992</v>
      </c>
      <c r="J270" s="9">
        <f t="shared" si="27"/>
        <v>300.73329185988996</v>
      </c>
      <c r="K270" s="9">
        <f t="shared" si="31"/>
        <v>89.102041624249992</v>
      </c>
      <c r="L270" s="10">
        <f t="shared" si="30"/>
        <v>0.29628260001809897</v>
      </c>
      <c r="M270" s="10">
        <f t="shared" si="28"/>
        <v>0.31920593916630163</v>
      </c>
      <c r="P270" s="8">
        <f t="shared" si="29"/>
        <v>-4.8055948125842569</v>
      </c>
    </row>
    <row r="271" spans="1:16" x14ac:dyDescent="0.2">
      <c r="A271" s="8">
        <v>134.5</v>
      </c>
      <c r="B271" s="8">
        <v>269</v>
      </c>
      <c r="D271">
        <v>423.65158730158998</v>
      </c>
      <c r="E271">
        <v>198.09206349205999</v>
      </c>
      <c r="F271">
        <v>121.72050673001</v>
      </c>
      <c r="G271">
        <v>108.66270783848</v>
      </c>
      <c r="I271" s="9">
        <f t="shared" si="26"/>
        <v>89.429355653579989</v>
      </c>
      <c r="J271" s="9">
        <f t="shared" si="27"/>
        <v>301.93108057157997</v>
      </c>
      <c r="K271" s="9">
        <f t="shared" si="31"/>
        <v>89.429355653579989</v>
      </c>
      <c r="L271" s="10">
        <f t="shared" si="30"/>
        <v>0.29619128803925382</v>
      </c>
      <c r="M271" s="10">
        <f t="shared" si="28"/>
        <v>0.31920016203502444</v>
      </c>
      <c r="P271" s="8">
        <f t="shared" si="29"/>
        <v>-4.8073176833336495</v>
      </c>
    </row>
    <row r="272" spans="1:16" x14ac:dyDescent="0.2">
      <c r="A272" s="8">
        <v>135</v>
      </c>
      <c r="B272" s="8">
        <v>270</v>
      </c>
      <c r="D272">
        <v>425.65659777424997</v>
      </c>
      <c r="E272">
        <v>197.71224165341999</v>
      </c>
      <c r="F272">
        <v>122.2604908947</v>
      </c>
      <c r="G272">
        <v>108.89152810768</v>
      </c>
      <c r="I272" s="9">
        <f t="shared" si="26"/>
        <v>88.820713545739991</v>
      </c>
      <c r="J272" s="9">
        <f t="shared" si="27"/>
        <v>303.39610687954996</v>
      </c>
      <c r="K272" s="9">
        <f t="shared" si="31"/>
        <v>88.820713545739991</v>
      </c>
      <c r="L272" s="10">
        <f t="shared" si="30"/>
        <v>0.29275495476612146</v>
      </c>
      <c r="M272" s="10">
        <f t="shared" si="28"/>
        <v>0.31584936360945998</v>
      </c>
      <c r="P272" s="8">
        <f t="shared" si="29"/>
        <v>-5.8066012927102149</v>
      </c>
    </row>
    <row r="273" spans="1:16" x14ac:dyDescent="0.2">
      <c r="A273" s="8">
        <v>135.5</v>
      </c>
      <c r="B273" s="8">
        <v>271</v>
      </c>
      <c r="D273">
        <v>415.65179282869002</v>
      </c>
      <c r="E273">
        <v>198.52828685259001</v>
      </c>
      <c r="F273">
        <v>122.22486144101001</v>
      </c>
      <c r="G273">
        <v>108.93665874900999</v>
      </c>
      <c r="I273" s="9">
        <f t="shared" si="26"/>
        <v>89.591628103580021</v>
      </c>
      <c r="J273" s="9">
        <f t="shared" si="27"/>
        <v>293.42693138768004</v>
      </c>
      <c r="K273" s="9">
        <f t="shared" si="31"/>
        <v>89.591628103580021</v>
      </c>
      <c r="L273" s="10">
        <f t="shared" si="30"/>
        <v>0.30532857934982877</v>
      </c>
      <c r="M273" s="10">
        <f t="shared" si="28"/>
        <v>0.32850852304073519</v>
      </c>
      <c r="P273" s="8">
        <f t="shared" si="29"/>
        <v>-2.0313546435396979</v>
      </c>
    </row>
    <row r="274" spans="1:16" x14ac:dyDescent="0.2">
      <c r="A274" s="8">
        <v>136</v>
      </c>
      <c r="B274" s="8">
        <v>272</v>
      </c>
      <c r="D274">
        <v>408.73545816733002</v>
      </c>
      <c r="E274">
        <v>196.25258964143001</v>
      </c>
      <c r="F274">
        <v>121.67062549485</v>
      </c>
      <c r="G274">
        <v>108.87015043546999</v>
      </c>
      <c r="I274" s="9">
        <f t="shared" si="26"/>
        <v>87.382439205960011</v>
      </c>
      <c r="J274" s="9">
        <f t="shared" si="27"/>
        <v>287.06483267248001</v>
      </c>
      <c r="K274" s="9">
        <f t="shared" si="31"/>
        <v>87.382439205960011</v>
      </c>
      <c r="L274" s="10">
        <f t="shared" si="30"/>
        <v>0.30439966607005808</v>
      </c>
      <c r="M274" s="10">
        <f t="shared" si="28"/>
        <v>0.32766514460853241</v>
      </c>
      <c r="P274" s="8">
        <f t="shared" si="29"/>
        <v>-2.2828690997278436</v>
      </c>
    </row>
    <row r="275" spans="1:16" x14ac:dyDescent="0.2">
      <c r="A275" s="8">
        <v>136.5</v>
      </c>
      <c r="B275" s="8">
        <v>273</v>
      </c>
      <c r="D275">
        <v>415.01035856573998</v>
      </c>
      <c r="E275">
        <v>197.42071713147001</v>
      </c>
      <c r="F275">
        <v>121.98970704671</v>
      </c>
      <c r="G275">
        <v>108.76167854315</v>
      </c>
      <c r="I275" s="9">
        <f>E275-G275</f>
        <v>88.659038588320016</v>
      </c>
      <c r="J275" s="9">
        <f>D275-F275</f>
        <v>293.02065151902997</v>
      </c>
      <c r="K275" s="9">
        <f t="shared" si="31"/>
        <v>88.659038588320016</v>
      </c>
      <c r="L275" s="10">
        <f t="shared" si="30"/>
        <v>0.30256924939832142</v>
      </c>
      <c r="M275" s="10">
        <f>L275+ABS($N$2)*A275</f>
        <v>0.3259202627843637</v>
      </c>
      <c r="O275" s="11"/>
      <c r="P275" s="8">
        <f>(M275-$O$2)/$O$2*100</f>
        <v>-2.8032321851011894</v>
      </c>
    </row>
    <row r="276" spans="1:16" x14ac:dyDescent="0.2">
      <c r="A276" s="8">
        <v>137</v>
      </c>
      <c r="B276" s="8">
        <v>274</v>
      </c>
      <c r="D276">
        <v>432.58898643255998</v>
      </c>
      <c r="E276">
        <v>202.37829209896</v>
      </c>
      <c r="F276">
        <v>121.75613618369</v>
      </c>
      <c r="G276">
        <v>108.87569279493</v>
      </c>
      <c r="I276" s="9">
        <f t="shared" ref="I276:I291" si="32">E276-G276</f>
        <v>93.502599304029999</v>
      </c>
      <c r="J276" s="9">
        <f t="shared" ref="J276:J291" si="33">D276-F276</f>
        <v>310.83285024886999</v>
      </c>
      <c r="K276" s="9">
        <f t="shared" si="31"/>
        <v>93.502599304029999</v>
      </c>
      <c r="L276" s="10">
        <f t="shared" si="30"/>
        <v>0.30081311942790678</v>
      </c>
      <c r="M276" s="10">
        <f t="shared" ref="M276:M291" si="34">L276+ABS($N$2)*A276</f>
        <v>0.32424966766151697</v>
      </c>
      <c r="P276" s="8">
        <f t="shared" ref="P276:P291" si="35">(M276-$O$2)/$O$2*100</f>
        <v>-3.3014413018981648</v>
      </c>
    </row>
    <row r="277" spans="1:16" x14ac:dyDescent="0.2">
      <c r="A277" s="8">
        <v>137.5</v>
      </c>
      <c r="B277" s="8">
        <v>275</v>
      </c>
      <c r="D277">
        <v>429.10853950518998</v>
      </c>
      <c r="E277">
        <v>200.92498004788999</v>
      </c>
      <c r="F277">
        <v>122.36025336500001</v>
      </c>
      <c r="G277">
        <v>108.92478226445</v>
      </c>
      <c r="I277" s="9">
        <f t="shared" si="32"/>
        <v>92.000197783439987</v>
      </c>
      <c r="J277" s="9">
        <f t="shared" si="33"/>
        <v>306.74828614018998</v>
      </c>
      <c r="K277" s="9">
        <f t="shared" si="31"/>
        <v>92.000197783439987</v>
      </c>
      <c r="L277" s="10">
        <f t="shared" si="30"/>
        <v>0.29992082088241595</v>
      </c>
      <c r="M277" s="10">
        <f t="shared" si="34"/>
        <v>0.32344290396359404</v>
      </c>
      <c r="N277" s="1"/>
      <c r="P277" s="8">
        <f t="shared" si="35"/>
        <v>-3.5420364191167133</v>
      </c>
    </row>
    <row r="278" spans="1:16" x14ac:dyDescent="0.2">
      <c r="A278" s="8">
        <v>138</v>
      </c>
      <c r="B278" s="8">
        <v>276</v>
      </c>
      <c r="D278">
        <v>430.6057462091</v>
      </c>
      <c r="E278">
        <v>200.69672785315001</v>
      </c>
      <c r="F278">
        <v>121.60965954078</v>
      </c>
      <c r="G278">
        <v>108.91290577989</v>
      </c>
      <c r="I278" s="9">
        <f t="shared" si="32"/>
        <v>91.783822073260012</v>
      </c>
      <c r="J278" s="9">
        <f t="shared" si="33"/>
        <v>308.99608666832</v>
      </c>
      <c r="K278" s="9">
        <f t="shared" si="31"/>
        <v>91.783822073260012</v>
      </c>
      <c r="L278" s="10">
        <f t="shared" si="30"/>
        <v>0.29703878473963274</v>
      </c>
      <c r="M278" s="10">
        <f t="shared" si="34"/>
        <v>0.32064640266837879</v>
      </c>
      <c r="P278" s="8">
        <f t="shared" si="35"/>
        <v>-4.3760161317095951</v>
      </c>
    </row>
    <row r="279" spans="1:16" x14ac:dyDescent="0.2">
      <c r="A279" s="8">
        <v>138.5</v>
      </c>
      <c r="B279" s="8">
        <v>277</v>
      </c>
      <c r="D279">
        <v>460.47543581616998</v>
      </c>
      <c r="E279">
        <v>206.94928684627999</v>
      </c>
      <c r="F279">
        <v>122.20269200317</v>
      </c>
      <c r="G279">
        <v>108.91765637371</v>
      </c>
      <c r="I279" s="9">
        <f t="shared" si="32"/>
        <v>98.031630472569987</v>
      </c>
      <c r="J279" s="9">
        <f t="shared" si="33"/>
        <v>338.27274381299998</v>
      </c>
      <c r="K279" s="9">
        <f t="shared" si="31"/>
        <v>98.031630472569987</v>
      </c>
      <c r="L279" s="10">
        <f t="shared" si="30"/>
        <v>0.28980055965361107</v>
      </c>
      <c r="M279" s="10">
        <f t="shared" si="34"/>
        <v>0.31349371242992502</v>
      </c>
      <c r="P279" s="8">
        <f t="shared" si="35"/>
        <v>-6.50910956511437</v>
      </c>
    </row>
    <row r="280" spans="1:16" x14ac:dyDescent="0.2">
      <c r="A280" s="8">
        <v>139</v>
      </c>
      <c r="B280" s="8">
        <v>278</v>
      </c>
      <c r="D280">
        <v>451.64896988906997</v>
      </c>
      <c r="E280">
        <v>204.27337559430001</v>
      </c>
      <c r="F280">
        <v>122.1631037213</v>
      </c>
      <c r="G280">
        <v>109.0063341251</v>
      </c>
      <c r="I280" s="9">
        <f t="shared" si="32"/>
        <v>95.267041469200009</v>
      </c>
      <c r="J280" s="9">
        <f t="shared" si="33"/>
        <v>329.48586616776998</v>
      </c>
      <c r="K280" s="9">
        <f t="shared" si="31"/>
        <v>95.267041469200009</v>
      </c>
      <c r="L280" s="10">
        <f t="shared" si="30"/>
        <v>0.28913847679490828</v>
      </c>
      <c r="M280" s="10">
        <f t="shared" si="34"/>
        <v>0.31291716441879014</v>
      </c>
      <c r="P280" s="8">
        <f t="shared" si="35"/>
        <v>-6.6810491760292496</v>
      </c>
    </row>
    <row r="281" spans="1:16" x14ac:dyDescent="0.2">
      <c r="A281" s="8">
        <v>139.5</v>
      </c>
      <c r="B281" s="8">
        <v>279</v>
      </c>
      <c r="D281">
        <v>465.62369895916999</v>
      </c>
      <c r="E281">
        <v>207.54203362690001</v>
      </c>
      <c r="F281">
        <v>122.31116389549</v>
      </c>
      <c r="G281">
        <v>108.66904196358</v>
      </c>
      <c r="I281" s="9">
        <f t="shared" si="32"/>
        <v>98.872991663320008</v>
      </c>
      <c r="J281" s="9">
        <f t="shared" si="33"/>
        <v>343.31253506368</v>
      </c>
      <c r="K281" s="9">
        <f t="shared" si="31"/>
        <v>98.872991663320008</v>
      </c>
      <c r="L281" s="10">
        <f t="shared" si="30"/>
        <v>0.28799703350470546</v>
      </c>
      <c r="M281" s="10">
        <f t="shared" si="34"/>
        <v>0.31186125597615527</v>
      </c>
      <c r="P281" s="8">
        <f t="shared" si="35"/>
        <v>-6.9959448712394474</v>
      </c>
    </row>
    <row r="282" spans="1:16" x14ac:dyDescent="0.2">
      <c r="A282" s="8">
        <v>140</v>
      </c>
      <c r="B282" s="8">
        <v>280</v>
      </c>
      <c r="D282">
        <v>459.69015212170001</v>
      </c>
      <c r="E282">
        <v>205.33226581265001</v>
      </c>
      <c r="F282">
        <v>121.85669041964</v>
      </c>
      <c r="G282">
        <v>108.82977038797</v>
      </c>
      <c r="I282" s="9">
        <f t="shared" si="32"/>
        <v>96.502495424680006</v>
      </c>
      <c r="J282" s="9">
        <f t="shared" si="33"/>
        <v>337.83346170205999</v>
      </c>
      <c r="K282" s="9">
        <f t="shared" si="31"/>
        <v>96.502495424680006</v>
      </c>
      <c r="L282" s="10">
        <f t="shared" si="30"/>
        <v>0.28565108659895533</v>
      </c>
      <c r="M282" s="10">
        <f t="shared" si="34"/>
        <v>0.30960084391797305</v>
      </c>
      <c r="P282" s="8">
        <f t="shared" si="35"/>
        <v>-7.6700506911973099</v>
      </c>
    </row>
    <row r="283" spans="1:16" x14ac:dyDescent="0.2">
      <c r="A283" s="8">
        <v>140.5</v>
      </c>
      <c r="B283" s="8">
        <v>281</v>
      </c>
      <c r="D283">
        <v>456.63811048839</v>
      </c>
      <c r="E283">
        <v>203.47958366693001</v>
      </c>
      <c r="F283">
        <v>122.24465558195</v>
      </c>
      <c r="G283">
        <v>109.12826603325</v>
      </c>
      <c r="I283" s="9">
        <f t="shared" si="32"/>
        <v>94.351317633680011</v>
      </c>
      <c r="J283" s="9">
        <f t="shared" si="33"/>
        <v>334.39345490644001</v>
      </c>
      <c r="K283" s="9">
        <f t="shared" si="31"/>
        <v>94.351317633680011</v>
      </c>
      <c r="L283" s="10">
        <f t="shared" si="30"/>
        <v>0.28215659203042293</v>
      </c>
      <c r="M283" s="10">
        <f t="shared" si="34"/>
        <v>0.30619188419700855</v>
      </c>
      <c r="P283" s="8">
        <f t="shared" si="35"/>
        <v>-8.686679309676764</v>
      </c>
    </row>
    <row r="284" spans="1:16" x14ac:dyDescent="0.2">
      <c r="A284" s="8">
        <v>141</v>
      </c>
      <c r="B284" s="8">
        <v>282</v>
      </c>
      <c r="D284">
        <v>458.77662129703998</v>
      </c>
      <c r="E284">
        <v>204.60848678943</v>
      </c>
      <c r="F284">
        <v>121.80601741884</v>
      </c>
      <c r="G284">
        <v>109.04354711006</v>
      </c>
      <c r="I284" s="9">
        <f t="shared" si="32"/>
        <v>95.564939679369999</v>
      </c>
      <c r="J284" s="9">
        <f t="shared" si="33"/>
        <v>336.9706038782</v>
      </c>
      <c r="K284" s="9">
        <f t="shared" si="31"/>
        <v>95.564939679369999</v>
      </c>
      <c r="L284" s="10">
        <f t="shared" si="30"/>
        <v>0.28360022678391411</v>
      </c>
      <c r="M284" s="10">
        <f t="shared" si="34"/>
        <v>0.30772105379806769</v>
      </c>
      <c r="P284" s="8">
        <f t="shared" si="35"/>
        <v>-8.2306464708652527</v>
      </c>
    </row>
    <row r="285" spans="1:16" x14ac:dyDescent="0.2">
      <c r="A285" s="8">
        <v>141.5</v>
      </c>
      <c r="B285" s="8">
        <v>283</v>
      </c>
      <c r="D285">
        <v>453.24899919936001</v>
      </c>
      <c r="E285">
        <v>202.64851881505001</v>
      </c>
      <c r="F285">
        <v>121.7965162312</v>
      </c>
      <c r="G285">
        <v>108.87885985747999</v>
      </c>
      <c r="I285" s="9">
        <f t="shared" si="32"/>
        <v>93.769658957570016</v>
      </c>
      <c r="J285" s="9">
        <f t="shared" si="33"/>
        <v>331.45248296815998</v>
      </c>
      <c r="K285" s="9">
        <f t="shared" si="31"/>
        <v>93.769658957570016</v>
      </c>
      <c r="L285" s="10">
        <f t="shared" si="30"/>
        <v>0.28290528439510204</v>
      </c>
      <c r="M285" s="10">
        <f t="shared" si="34"/>
        <v>0.30711164625682352</v>
      </c>
      <c r="P285" s="8">
        <f t="shared" si="35"/>
        <v>-8.4123855342328699</v>
      </c>
    </row>
    <row r="286" spans="1:16" x14ac:dyDescent="0.2">
      <c r="A286" s="8">
        <v>142</v>
      </c>
      <c r="B286" s="8">
        <v>284</v>
      </c>
      <c r="D286">
        <v>458.32666132906002</v>
      </c>
      <c r="E286">
        <v>203.98799039231</v>
      </c>
      <c r="F286">
        <v>121.81868566903999</v>
      </c>
      <c r="G286">
        <v>109.22090261283</v>
      </c>
      <c r="I286" s="9">
        <f t="shared" si="32"/>
        <v>94.767087779479994</v>
      </c>
      <c r="J286" s="9">
        <f t="shared" si="33"/>
        <v>336.50797566002001</v>
      </c>
      <c r="K286" s="9">
        <f t="shared" si="31"/>
        <v>94.767087779479994</v>
      </c>
      <c r="L286" s="10">
        <f t="shared" si="30"/>
        <v>0.28161914318258202</v>
      </c>
      <c r="M286" s="10">
        <f t="shared" si="34"/>
        <v>0.30591103989187141</v>
      </c>
      <c r="P286" s="8">
        <f t="shared" si="35"/>
        <v>-8.7704334110184519</v>
      </c>
    </row>
    <row r="287" spans="1:16" x14ac:dyDescent="0.2">
      <c r="A287" s="8">
        <v>142.5</v>
      </c>
      <c r="B287" s="8">
        <v>285</v>
      </c>
      <c r="D287">
        <v>450.85601265822999</v>
      </c>
      <c r="E287">
        <v>202.33860759493999</v>
      </c>
      <c r="F287">
        <v>121.81710213776999</v>
      </c>
      <c r="G287">
        <v>109.05146476643</v>
      </c>
      <c r="I287" s="9">
        <f t="shared" si="32"/>
        <v>93.287142828509985</v>
      </c>
      <c r="J287" s="9">
        <f t="shared" si="33"/>
        <v>329.03891052045998</v>
      </c>
      <c r="K287" s="9">
        <f t="shared" si="31"/>
        <v>93.287142828509985</v>
      </c>
      <c r="L287" s="10">
        <f t="shared" si="30"/>
        <v>0.28351401565532869</v>
      </c>
      <c r="M287" s="10">
        <f t="shared" si="34"/>
        <v>0.30789144721218603</v>
      </c>
      <c r="P287" s="8">
        <f t="shared" si="35"/>
        <v>-8.1798313145206905</v>
      </c>
    </row>
    <row r="288" spans="1:16" x14ac:dyDescent="0.2">
      <c r="A288" s="8">
        <v>143</v>
      </c>
      <c r="B288" s="8">
        <v>286</v>
      </c>
      <c r="D288">
        <v>454.42246835443001</v>
      </c>
      <c r="E288">
        <v>203.41297468354</v>
      </c>
      <c r="F288">
        <v>121.71021377672</v>
      </c>
      <c r="G288">
        <v>108.96753760887</v>
      </c>
      <c r="I288" s="9">
        <f t="shared" si="32"/>
        <v>94.445437074669996</v>
      </c>
      <c r="J288" s="9">
        <f t="shared" si="33"/>
        <v>332.71225457771004</v>
      </c>
      <c r="K288" s="9">
        <f t="shared" si="31"/>
        <v>94.445437074669996</v>
      </c>
      <c r="L288" s="10">
        <f t="shared" si="30"/>
        <v>0.28386521919531765</v>
      </c>
      <c r="M288" s="10">
        <f t="shared" si="34"/>
        <v>0.3083281855997429</v>
      </c>
      <c r="P288" s="8">
        <f t="shared" si="35"/>
        <v>-8.0495860843267533</v>
      </c>
    </row>
    <row r="289" spans="1:16" x14ac:dyDescent="0.2">
      <c r="A289" s="8">
        <v>143.5</v>
      </c>
      <c r="B289" s="8">
        <v>287</v>
      </c>
      <c r="D289">
        <v>446.72231012658</v>
      </c>
      <c r="E289">
        <v>202.84572784810001</v>
      </c>
      <c r="F289">
        <v>121.54790182105999</v>
      </c>
      <c r="G289">
        <v>109.2098178939</v>
      </c>
      <c r="I289" s="9">
        <f t="shared" si="32"/>
        <v>93.635909954200017</v>
      </c>
      <c r="J289" s="9">
        <f t="shared" si="33"/>
        <v>325.17440830551999</v>
      </c>
      <c r="K289" s="9">
        <f t="shared" si="31"/>
        <v>93.635909954200017</v>
      </c>
      <c r="L289" s="10">
        <f t="shared" si="30"/>
        <v>0.28795596320797706</v>
      </c>
      <c r="M289" s="10">
        <f t="shared" si="34"/>
        <v>0.31250446445997021</v>
      </c>
      <c r="P289" s="8">
        <f t="shared" si="35"/>
        <v>-6.8041256050059244</v>
      </c>
    </row>
    <row r="290" spans="1:16" x14ac:dyDescent="0.2">
      <c r="A290" s="8">
        <v>144</v>
      </c>
      <c r="B290" s="8">
        <v>288</v>
      </c>
      <c r="D290">
        <v>440.25158227847999</v>
      </c>
      <c r="E290">
        <v>200.27531645569999</v>
      </c>
      <c r="F290">
        <v>122.05779889153</v>
      </c>
      <c r="G290">
        <v>108.75930324623999</v>
      </c>
      <c r="I290" s="9">
        <f t="shared" si="32"/>
        <v>91.516013209459999</v>
      </c>
      <c r="J290" s="9">
        <f t="shared" si="33"/>
        <v>318.19378338694997</v>
      </c>
      <c r="K290" s="9">
        <f t="shared" si="31"/>
        <v>91.516013209459999</v>
      </c>
      <c r="L290" s="10">
        <f t="shared" si="30"/>
        <v>0.28761094021176697</v>
      </c>
      <c r="M290" s="10">
        <f t="shared" si="34"/>
        <v>0.31224497631132808</v>
      </c>
      <c r="P290" s="8">
        <f t="shared" si="35"/>
        <v>-6.8815108191648058</v>
      </c>
    </row>
    <row r="291" spans="1:16" x14ac:dyDescent="0.2">
      <c r="A291" s="8">
        <v>144.5</v>
      </c>
      <c r="B291" s="8">
        <v>289</v>
      </c>
      <c r="D291">
        <v>439.20490506329003</v>
      </c>
      <c r="E291">
        <v>200.35759493671</v>
      </c>
      <c r="F291">
        <v>121.78068091845</v>
      </c>
      <c r="G291">
        <v>108.75376088678</v>
      </c>
      <c r="I291" s="9">
        <f t="shared" si="32"/>
        <v>91.603834049930001</v>
      </c>
      <c r="J291" s="9">
        <f t="shared" si="33"/>
        <v>317.42422414484003</v>
      </c>
      <c r="K291" s="9">
        <f t="shared" si="31"/>
        <v>91.603834049930001</v>
      </c>
      <c r="L291" s="10">
        <f t="shared" si="30"/>
        <v>0.28858488761125983</v>
      </c>
      <c r="M291" s="10">
        <f t="shared" si="34"/>
        <v>0.31330445855838884</v>
      </c>
      <c r="P291" s="8">
        <f t="shared" si="35"/>
        <v>-6.5655493349299183</v>
      </c>
    </row>
    <row r="292" spans="1:16" x14ac:dyDescent="0.2">
      <c r="A292" s="8">
        <v>145</v>
      </c>
      <c r="B292" s="8">
        <v>290</v>
      </c>
      <c r="D292">
        <v>436.64794303797999</v>
      </c>
      <c r="E292">
        <v>202.13053797468001</v>
      </c>
      <c r="F292">
        <v>121.54394299287</v>
      </c>
      <c r="G292">
        <v>108.68962787015001</v>
      </c>
      <c r="I292" s="9">
        <f>E292-G292</f>
        <v>93.440910104530005</v>
      </c>
      <c r="J292" s="9">
        <f>D292-F292</f>
        <v>315.10400004510996</v>
      </c>
      <c r="K292" s="9">
        <f t="shared" si="31"/>
        <v>93.440910104530005</v>
      </c>
      <c r="L292" s="10">
        <f t="shared" si="30"/>
        <v>0.29653990457484863</v>
      </c>
      <c r="M292" s="10">
        <f>L292+ABS($N$2)*A292</f>
        <v>0.32134501036954555</v>
      </c>
      <c r="O292" s="11"/>
      <c r="P292" s="8">
        <f>(M292-$O$2)/$O$2*100</f>
        <v>-4.1676755702977051</v>
      </c>
    </row>
    <row r="293" spans="1:16" x14ac:dyDescent="0.2">
      <c r="A293" s="8">
        <v>145.5</v>
      </c>
      <c r="B293" s="8">
        <v>291</v>
      </c>
      <c r="D293">
        <v>443.09098101266</v>
      </c>
      <c r="E293">
        <v>206.42879746835001</v>
      </c>
      <c r="F293">
        <v>122.14093428344999</v>
      </c>
      <c r="G293">
        <v>108.78384798099999</v>
      </c>
      <c r="I293" s="9">
        <f t="shared" ref="I293:I301" si="36">E293-G293</f>
        <v>97.644949487350019</v>
      </c>
      <c r="J293" s="9">
        <f t="shared" ref="J293:J301" si="37">D293-F293</f>
        <v>320.95004672920999</v>
      </c>
      <c r="K293" s="9">
        <f t="shared" si="31"/>
        <v>97.644949487350019</v>
      </c>
      <c r="L293" s="10">
        <f t="shared" si="30"/>
        <v>0.30423721847822138</v>
      </c>
      <c r="M293" s="10">
        <f t="shared" ref="M293:M301" si="38">L293+ABS($N$2)*A293</f>
        <v>0.3291278591204862</v>
      </c>
      <c r="P293" s="8">
        <f t="shared" ref="P293:P301" si="39">(M293-$O$2)/$O$2*100</f>
        <v>-1.8466546662241523</v>
      </c>
    </row>
    <row r="294" spans="1:16" x14ac:dyDescent="0.2">
      <c r="A294" s="8">
        <v>146</v>
      </c>
      <c r="B294" s="8">
        <v>292</v>
      </c>
      <c r="D294">
        <v>443.8125</v>
      </c>
      <c r="E294">
        <v>207.40110759493999</v>
      </c>
      <c r="F294">
        <v>121.50673000792</v>
      </c>
      <c r="G294">
        <v>108.76009501188</v>
      </c>
      <c r="I294" s="9">
        <f t="shared" si="36"/>
        <v>98.64101258305999</v>
      </c>
      <c r="J294" s="9">
        <f t="shared" si="37"/>
        <v>322.30576999208</v>
      </c>
      <c r="K294" s="9">
        <f t="shared" si="31"/>
        <v>98.64101258305999</v>
      </c>
      <c r="L294" s="10">
        <f t="shared" si="30"/>
        <v>0.30604792643173556</v>
      </c>
      <c r="M294" s="10">
        <f t="shared" si="38"/>
        <v>0.33102410192156834</v>
      </c>
      <c r="N294" s="1"/>
      <c r="P294" s="8">
        <f t="shared" si="39"/>
        <v>-1.281152326225744</v>
      </c>
    </row>
    <row r="295" spans="1:16" x14ac:dyDescent="0.2">
      <c r="A295" s="8">
        <v>146.5</v>
      </c>
      <c r="B295" s="8">
        <v>293</v>
      </c>
      <c r="D295">
        <v>439.625</v>
      </c>
      <c r="E295">
        <v>204.30254777069999</v>
      </c>
      <c r="F295">
        <v>121.7965162312</v>
      </c>
      <c r="G295">
        <v>108.65558194774</v>
      </c>
      <c r="I295" s="9">
        <f t="shared" si="36"/>
        <v>95.646965822959984</v>
      </c>
      <c r="J295" s="9">
        <f t="shared" si="37"/>
        <v>317.82848376879997</v>
      </c>
      <c r="K295" s="9">
        <f t="shared" si="31"/>
        <v>95.646965822959984</v>
      </c>
      <c r="L295" s="10">
        <f t="shared" si="30"/>
        <v>0.30093893627399698</v>
      </c>
      <c r="M295" s="10">
        <f t="shared" si="38"/>
        <v>0.32600064661139766</v>
      </c>
      <c r="P295" s="8">
        <f t="shared" si="39"/>
        <v>-2.7792599162230744</v>
      </c>
    </row>
    <row r="296" spans="1:16" x14ac:dyDescent="0.2">
      <c r="A296" s="8">
        <v>147</v>
      </c>
      <c r="B296" s="8">
        <v>294</v>
      </c>
      <c r="D296">
        <v>442.62420382165999</v>
      </c>
      <c r="E296">
        <v>205.69108280255</v>
      </c>
      <c r="F296">
        <v>121.66270783848</v>
      </c>
      <c r="G296">
        <v>108.88361045131001</v>
      </c>
      <c r="I296" s="9">
        <f t="shared" si="36"/>
        <v>96.807472351239994</v>
      </c>
      <c r="J296" s="9">
        <f t="shared" si="37"/>
        <v>320.96149598317999</v>
      </c>
      <c r="K296" s="9">
        <f t="shared" si="31"/>
        <v>96.807472351239994</v>
      </c>
      <c r="L296" s="10">
        <f t="shared" si="30"/>
        <v>0.3016170897842313</v>
      </c>
      <c r="M296" s="10">
        <f t="shared" si="38"/>
        <v>0.32676433496919988</v>
      </c>
      <c r="P296" s="8">
        <f t="shared" si="39"/>
        <v>-2.551510836242262</v>
      </c>
    </row>
    <row r="297" spans="1:16" x14ac:dyDescent="0.2">
      <c r="A297" s="8">
        <v>147.5</v>
      </c>
      <c r="B297" s="8">
        <v>295</v>
      </c>
      <c r="D297">
        <v>444.45780254776997</v>
      </c>
      <c r="E297">
        <v>206.00796178344001</v>
      </c>
      <c r="F297">
        <v>121.88519398258001</v>
      </c>
      <c r="G297">
        <v>108.98495645289</v>
      </c>
      <c r="I297" s="9">
        <f t="shared" si="36"/>
        <v>97.023005330550006</v>
      </c>
      <c r="J297" s="9">
        <f t="shared" si="37"/>
        <v>322.57260856518997</v>
      </c>
      <c r="K297" s="9">
        <f t="shared" si="31"/>
        <v>97.023005330550006</v>
      </c>
      <c r="L297" s="10">
        <f t="shared" si="30"/>
        <v>0.30077880996191975</v>
      </c>
      <c r="M297" s="10">
        <f t="shared" si="38"/>
        <v>0.32601158999445629</v>
      </c>
      <c r="P297" s="8">
        <f t="shared" si="39"/>
        <v>-2.7759963527576681</v>
      </c>
    </row>
    <row r="298" spans="1:16" x14ac:dyDescent="0.2">
      <c r="A298" s="8">
        <v>148</v>
      </c>
      <c r="B298" s="8">
        <v>296</v>
      </c>
      <c r="D298">
        <v>446.71098726115002</v>
      </c>
      <c r="E298">
        <v>206.48964968153001</v>
      </c>
      <c r="F298">
        <v>121.50831353919</v>
      </c>
      <c r="G298">
        <v>108.75296912114</v>
      </c>
      <c r="I298" s="9">
        <f t="shared" si="36"/>
        <v>97.736680560390013</v>
      </c>
      <c r="J298" s="9">
        <f t="shared" si="37"/>
        <v>325.20267372196002</v>
      </c>
      <c r="K298" s="9">
        <f t="shared" si="31"/>
        <v>97.736680560390013</v>
      </c>
      <c r="L298" s="10">
        <f t="shared" si="30"/>
        <v>0.30054082717644681</v>
      </c>
      <c r="M298" s="10">
        <f t="shared" si="38"/>
        <v>0.32585914205655125</v>
      </c>
      <c r="P298" s="8">
        <f t="shared" si="39"/>
        <v>-2.8214597636478924</v>
      </c>
    </row>
    <row r="299" spans="1:16" x14ac:dyDescent="0.2">
      <c r="A299" s="8">
        <v>148.5</v>
      </c>
      <c r="B299" s="8">
        <v>297</v>
      </c>
      <c r="D299">
        <v>446.94665605095997</v>
      </c>
      <c r="E299">
        <v>206.03184713376001</v>
      </c>
      <c r="F299">
        <v>121.59936658749</v>
      </c>
      <c r="G299">
        <v>108.68487727633</v>
      </c>
      <c r="I299" s="9">
        <f t="shared" si="36"/>
        <v>97.346969857430011</v>
      </c>
      <c r="J299" s="9">
        <f t="shared" si="37"/>
        <v>325.34728946346996</v>
      </c>
      <c r="K299" s="9">
        <f t="shared" si="31"/>
        <v>97.346969857430011</v>
      </c>
      <c r="L299" s="10">
        <f t="shared" si="30"/>
        <v>0.2992094079467047</v>
      </c>
      <c r="M299" s="10">
        <f t="shared" si="38"/>
        <v>0.32461325767437704</v>
      </c>
      <c r="P299" s="8">
        <f t="shared" si="39"/>
        <v>-3.193010565625845</v>
      </c>
    </row>
    <row r="300" spans="1:16" x14ac:dyDescent="0.2">
      <c r="A300" s="8">
        <v>149</v>
      </c>
      <c r="B300" s="8">
        <v>298</v>
      </c>
      <c r="D300">
        <v>447.01114649682</v>
      </c>
      <c r="E300">
        <v>207.40684713376001</v>
      </c>
      <c r="F300">
        <v>121.74425969913</v>
      </c>
      <c r="G300">
        <v>108.74980205859001</v>
      </c>
      <c r="I300" s="9">
        <f t="shared" si="36"/>
        <v>98.657045075170004</v>
      </c>
      <c r="J300" s="9">
        <f t="shared" si="37"/>
        <v>325.26688679769001</v>
      </c>
      <c r="K300" s="9">
        <f t="shared" si="31"/>
        <v>98.657045075170004</v>
      </c>
      <c r="L300" s="10">
        <f t="shared" si="30"/>
        <v>0.30331106263679669</v>
      </c>
      <c r="M300" s="10">
        <f t="shared" si="38"/>
        <v>0.32880044721203699</v>
      </c>
      <c r="P300" s="8">
        <f t="shared" si="39"/>
        <v>-1.9442962763943836</v>
      </c>
    </row>
    <row r="301" spans="1:16" x14ac:dyDescent="0.2">
      <c r="A301" s="8">
        <v>149.5</v>
      </c>
      <c r="B301" s="8">
        <v>299</v>
      </c>
      <c r="D301">
        <v>446.60509554139998</v>
      </c>
      <c r="E301">
        <v>206.54299363057001</v>
      </c>
      <c r="F301">
        <v>121.92715756136</v>
      </c>
      <c r="G301">
        <v>108.88123515439</v>
      </c>
      <c r="I301" s="9">
        <f t="shared" si="36"/>
        <v>97.661758476180012</v>
      </c>
      <c r="J301" s="9">
        <f t="shared" si="37"/>
        <v>324.67793798003999</v>
      </c>
      <c r="K301" s="9">
        <f t="shared" si="31"/>
        <v>97.661758476180012</v>
      </c>
      <c r="L301" s="10">
        <f t="shared" si="30"/>
        <v>0.30079579500774056</v>
      </c>
      <c r="M301" s="10">
        <f t="shared" si="38"/>
        <v>0.32637071443054877</v>
      </c>
      <c r="P301" s="8">
        <f t="shared" si="39"/>
        <v>-2.6688973521207178</v>
      </c>
    </row>
    <row r="302" spans="1:16" x14ac:dyDescent="0.2">
      <c r="A302" s="8">
        <v>150</v>
      </c>
      <c r="B302" s="8">
        <v>300</v>
      </c>
      <c r="D302">
        <v>445.84792993630998</v>
      </c>
      <c r="E302">
        <v>205.67834394905</v>
      </c>
      <c r="F302">
        <v>122.03562945368</v>
      </c>
      <c r="G302">
        <v>108.71258907363</v>
      </c>
      <c r="I302" s="9">
        <f>E302-G302</f>
        <v>96.965754875420004</v>
      </c>
      <c r="J302" s="9">
        <f>D302-F302</f>
        <v>323.81230048263001</v>
      </c>
      <c r="K302" s="9">
        <f t="shared" si="31"/>
        <v>96.965754875420004</v>
      </c>
      <c r="L302" s="10">
        <f t="shared" si="30"/>
        <v>0.29945049873305063</v>
      </c>
      <c r="M302" s="10">
        <f>L302+ABS($N$2)*A302</f>
        <v>0.32511095300342674</v>
      </c>
      <c r="O302" s="11"/>
      <c r="P302" s="8">
        <f>(M302-$O$2)/$O$2*100</f>
        <v>-3.0445866016570613</v>
      </c>
    </row>
    <row r="303" spans="1:16" x14ac:dyDescent="0.2">
      <c r="A303" s="8">
        <v>150.5</v>
      </c>
      <c r="B303" s="8">
        <v>301</v>
      </c>
      <c r="D303">
        <v>446.34315286624002</v>
      </c>
      <c r="E303">
        <v>206.71656050954999</v>
      </c>
      <c r="F303">
        <v>121.74663499604</v>
      </c>
      <c r="G303">
        <v>108.8305621536</v>
      </c>
      <c r="I303" s="9">
        <f t="shared" ref="I303:I309" si="40">E303-G303</f>
        <v>97.885998355949994</v>
      </c>
      <c r="J303" s="9">
        <f t="shared" ref="J303:J309" si="41">D303-F303</f>
        <v>324.59651787020005</v>
      </c>
      <c r="K303" s="9">
        <f t="shared" si="31"/>
        <v>97.885998355949994</v>
      </c>
      <c r="L303" s="10">
        <f t="shared" si="30"/>
        <v>0.30156207157802212</v>
      </c>
      <c r="M303" s="10">
        <f t="shared" ref="M303:M309" si="42">L303+ABS($N$2)*A303</f>
        <v>0.32730806069596619</v>
      </c>
      <c r="P303" s="8">
        <f t="shared" ref="P303:P309" si="43">(M303-$O$2)/$O$2*100</f>
        <v>-2.3893595702608104</v>
      </c>
    </row>
    <row r="304" spans="1:16" x14ac:dyDescent="0.2">
      <c r="A304" s="8">
        <v>151</v>
      </c>
      <c r="B304" s="8">
        <v>302</v>
      </c>
      <c r="D304">
        <v>441.79617834394998</v>
      </c>
      <c r="E304">
        <v>208.47611464968</v>
      </c>
      <c r="F304">
        <v>121.47743467934001</v>
      </c>
      <c r="G304">
        <v>108.711797308</v>
      </c>
      <c r="I304" s="9">
        <f t="shared" si="40"/>
        <v>99.764317341679998</v>
      </c>
      <c r="J304" s="9">
        <f t="shared" si="41"/>
        <v>320.31874366461</v>
      </c>
      <c r="K304" s="9">
        <f t="shared" si="31"/>
        <v>99.764317341679998</v>
      </c>
      <c r="L304" s="10">
        <f t="shared" si="30"/>
        <v>0.31145326121202044</v>
      </c>
      <c r="M304" s="10">
        <f t="shared" si="42"/>
        <v>0.33728478517753241</v>
      </c>
      <c r="N304" s="1"/>
      <c r="P304" s="8">
        <f t="shared" si="43"/>
        <v>0.58592452132568984</v>
      </c>
    </row>
    <row r="305" spans="1:16" x14ac:dyDescent="0.2">
      <c r="A305" s="8">
        <v>151.5</v>
      </c>
      <c r="B305" s="8">
        <v>303</v>
      </c>
      <c r="D305">
        <v>443.60111464968003</v>
      </c>
      <c r="E305">
        <v>210.17038216560999</v>
      </c>
      <c r="F305">
        <v>121.79334916865</v>
      </c>
      <c r="G305">
        <v>109.04750593823999</v>
      </c>
      <c r="I305" s="9">
        <f t="shared" si="40"/>
        <v>101.12287622737</v>
      </c>
      <c r="J305" s="9">
        <f t="shared" si="41"/>
        <v>321.80776548103006</v>
      </c>
      <c r="K305" s="9">
        <f t="shared" si="31"/>
        <v>101.12287622737</v>
      </c>
      <c r="L305" s="10">
        <f t="shared" si="30"/>
        <v>0.31423379754747094</v>
      </c>
      <c r="M305" s="10">
        <f t="shared" si="42"/>
        <v>0.34015085636055081</v>
      </c>
      <c r="P305" s="8">
        <f t="shared" si="43"/>
        <v>1.4406515423980872</v>
      </c>
    </row>
    <row r="306" spans="1:16" x14ac:dyDescent="0.2">
      <c r="A306" s="8">
        <v>152</v>
      </c>
      <c r="B306" s="8">
        <v>304</v>
      </c>
      <c r="D306">
        <v>447.44904458599001</v>
      </c>
      <c r="E306">
        <v>210.85031847133999</v>
      </c>
      <c r="F306">
        <v>121.93982581156</v>
      </c>
      <c r="G306">
        <v>108.92082343625999</v>
      </c>
      <c r="I306" s="9">
        <f t="shared" si="40"/>
        <v>101.92949503508</v>
      </c>
      <c r="J306" s="9">
        <f t="shared" si="41"/>
        <v>325.50921877443</v>
      </c>
      <c r="K306" s="9">
        <f t="shared" si="31"/>
        <v>101.92949503508</v>
      </c>
      <c r="L306" s="10">
        <f t="shared" si="30"/>
        <v>0.31313858150885326</v>
      </c>
      <c r="M306" s="10">
        <f t="shared" si="42"/>
        <v>0.33914117516950104</v>
      </c>
      <c r="P306" s="8">
        <f t="shared" si="43"/>
        <v>1.1395418554607479</v>
      </c>
    </row>
    <row r="307" spans="1:16" x14ac:dyDescent="0.2">
      <c r="A307" s="8">
        <v>152.5</v>
      </c>
      <c r="B307" s="8">
        <v>305</v>
      </c>
      <c r="D307">
        <v>449.23885350319</v>
      </c>
      <c r="E307">
        <v>209.25477707005999</v>
      </c>
      <c r="F307">
        <v>121.66270783848</v>
      </c>
      <c r="G307">
        <v>108.94932699921</v>
      </c>
      <c r="I307" s="9">
        <f t="shared" si="40"/>
        <v>100.30545007084999</v>
      </c>
      <c r="J307" s="9">
        <f t="shared" si="41"/>
        <v>327.57614566471</v>
      </c>
      <c r="K307" s="9">
        <f t="shared" si="31"/>
        <v>100.30545007084999</v>
      </c>
      <c r="L307" s="10">
        <f t="shared" si="30"/>
        <v>0.3062049889722967</v>
      </c>
      <c r="M307" s="10">
        <f t="shared" si="42"/>
        <v>0.33229311748051243</v>
      </c>
      <c r="P307" s="8">
        <f t="shared" si="43"/>
        <v>-0.90270328601436289</v>
      </c>
    </row>
    <row r="308" spans="1:16" x14ac:dyDescent="0.2">
      <c r="A308" s="8">
        <v>153</v>
      </c>
      <c r="B308" s="8">
        <v>306</v>
      </c>
      <c r="D308">
        <v>446.26433121018999</v>
      </c>
      <c r="E308">
        <v>208.37579617834001</v>
      </c>
      <c r="F308">
        <v>121.68250197941001</v>
      </c>
      <c r="G308">
        <v>108.91290577989</v>
      </c>
      <c r="I308" s="9">
        <f t="shared" si="40"/>
        <v>99.462890398450014</v>
      </c>
      <c r="J308" s="9">
        <f t="shared" si="41"/>
        <v>324.58182923077999</v>
      </c>
      <c r="K308" s="9">
        <f t="shared" si="31"/>
        <v>99.462890398450014</v>
      </c>
      <c r="L308" s="10">
        <f t="shared" si="30"/>
        <v>0.30643394497518589</v>
      </c>
      <c r="M308" s="10">
        <f t="shared" si="42"/>
        <v>0.33260760833096953</v>
      </c>
      <c r="P308" s="8">
        <f t="shared" si="43"/>
        <v>-0.80891502654670167</v>
      </c>
    </row>
    <row r="309" spans="1:16" x14ac:dyDescent="0.2">
      <c r="A309" s="8">
        <v>153.5</v>
      </c>
      <c r="B309" s="8">
        <v>307</v>
      </c>
      <c r="D309">
        <v>443</v>
      </c>
      <c r="E309">
        <v>207.63535031846999</v>
      </c>
      <c r="F309">
        <v>121.77434679335001</v>
      </c>
      <c r="G309">
        <v>108.87331749802</v>
      </c>
      <c r="I309" s="9">
        <f t="shared" si="40"/>
        <v>98.762032820449988</v>
      </c>
      <c r="J309" s="9">
        <f t="shared" si="41"/>
        <v>321.22565320665001</v>
      </c>
      <c r="K309" s="9">
        <f t="shared" si="31"/>
        <v>98.762032820449988</v>
      </c>
      <c r="L309" s="10">
        <f t="shared" si="30"/>
        <v>0.30745375356716814</v>
      </c>
      <c r="M309" s="10">
        <f t="shared" si="42"/>
        <v>0.33371295177051968</v>
      </c>
      <c r="P309" s="8">
        <f t="shared" si="43"/>
        <v>-0.47927670111137877</v>
      </c>
    </row>
    <row r="310" spans="1:16" x14ac:dyDescent="0.2">
      <c r="A310" s="8">
        <v>154</v>
      </c>
      <c r="B310" s="8">
        <v>308</v>
      </c>
      <c r="D310">
        <v>444.17038216561002</v>
      </c>
      <c r="E310">
        <v>209.13057324841</v>
      </c>
      <c r="F310">
        <v>121.81155977831</v>
      </c>
      <c r="G310">
        <v>108.62866191607</v>
      </c>
      <c r="I310" s="9">
        <f>E310-G310</f>
        <v>100.50191133234</v>
      </c>
      <c r="J310" s="9">
        <f>D310-F310</f>
        <v>322.35882238730005</v>
      </c>
      <c r="K310" s="9">
        <f t="shared" si="31"/>
        <v>100.50191133234</v>
      </c>
      <c r="L310" s="10">
        <f t="shared" si="30"/>
        <v>0.31177031417366124</v>
      </c>
      <c r="M310" s="10">
        <f>L310+ABS($N$2)*A310</f>
        <v>0.33811504722458074</v>
      </c>
      <c r="O310" s="11"/>
      <c r="P310" s="8">
        <f>(M310-$O$2)/$O$2*100</f>
        <v>0.83352737584925729</v>
      </c>
    </row>
    <row r="311" spans="1:16" x14ac:dyDescent="0.2">
      <c r="A311" s="8">
        <v>154.5</v>
      </c>
      <c r="B311" s="8">
        <v>309</v>
      </c>
      <c r="D311">
        <v>444.78025477707001</v>
      </c>
      <c r="E311">
        <v>210.25318471337999</v>
      </c>
      <c r="F311">
        <v>121.67616785432</v>
      </c>
      <c r="G311">
        <v>108.75930324623999</v>
      </c>
      <c r="I311" s="9">
        <f t="shared" ref="I311:I319" si="44">E311-G311</f>
        <v>101.49388146714</v>
      </c>
      <c r="J311" s="9">
        <f t="shared" ref="J311:J319" si="45">D311-F311</f>
        <v>323.10408692275001</v>
      </c>
      <c r="K311" s="9">
        <f t="shared" si="31"/>
        <v>101.49388146714</v>
      </c>
      <c r="L311" s="10">
        <f t="shared" si="30"/>
        <v>0.31412131747936034</v>
      </c>
      <c r="M311" s="10">
        <f t="shared" ref="M311:M319" si="46">L311+ABS($N$2)*A311</f>
        <v>0.34055158537784774</v>
      </c>
      <c r="P311" s="8">
        <f t="shared" ref="P311:P319" si="47">(M311-$O$2)/$O$2*100</f>
        <v>1.5601579668166028</v>
      </c>
    </row>
    <row r="312" spans="1:16" x14ac:dyDescent="0.2">
      <c r="A312" s="8">
        <v>155</v>
      </c>
      <c r="B312" s="8">
        <v>310</v>
      </c>
      <c r="D312">
        <v>442.69426751591999</v>
      </c>
      <c r="E312">
        <v>208.37101910828</v>
      </c>
      <c r="F312">
        <v>122.08867775138999</v>
      </c>
      <c r="G312">
        <v>108.97624703088</v>
      </c>
      <c r="I312" s="9">
        <f t="shared" si="44"/>
        <v>99.394772077399992</v>
      </c>
      <c r="J312" s="9">
        <f t="shared" si="45"/>
        <v>320.60558976453001</v>
      </c>
      <c r="K312" s="9">
        <f t="shared" si="31"/>
        <v>99.394772077399992</v>
      </c>
      <c r="L312" s="10">
        <f t="shared" si="30"/>
        <v>0.31002195610625771</v>
      </c>
      <c r="M312" s="10">
        <f t="shared" si="46"/>
        <v>0.33653775885231302</v>
      </c>
      <c r="N312" s="1"/>
      <c r="P312" s="8">
        <f t="shared" si="47"/>
        <v>0.36314443498289711</v>
      </c>
    </row>
    <row r="313" spans="1:16" x14ac:dyDescent="0.2">
      <c r="A313" s="8">
        <v>155.5</v>
      </c>
      <c r="B313" s="8">
        <v>311</v>
      </c>
      <c r="D313">
        <v>443.98248407643001</v>
      </c>
      <c r="E313">
        <v>209.625</v>
      </c>
      <c r="F313">
        <v>121.78780680918</v>
      </c>
      <c r="G313">
        <v>108.75534441805</v>
      </c>
      <c r="I313" s="9">
        <f t="shared" si="44"/>
        <v>100.86965558195</v>
      </c>
      <c r="J313" s="9">
        <f t="shared" si="45"/>
        <v>322.19467726725003</v>
      </c>
      <c r="K313" s="9">
        <f t="shared" si="31"/>
        <v>100.86965558195</v>
      </c>
      <c r="L313" s="10">
        <f t="shared" si="30"/>
        <v>0.31307052133043739</v>
      </c>
      <c r="M313" s="10">
        <f t="shared" si="46"/>
        <v>0.33967185892406065</v>
      </c>
      <c r="P313" s="8">
        <f t="shared" si="47"/>
        <v>1.2978037113957268</v>
      </c>
    </row>
    <row r="314" spans="1:16" x14ac:dyDescent="0.2">
      <c r="A314" s="8">
        <v>156</v>
      </c>
      <c r="B314" s="8">
        <v>312</v>
      </c>
      <c r="D314">
        <v>443.51433121018999</v>
      </c>
      <c r="E314">
        <v>209.88535031846999</v>
      </c>
      <c r="F314">
        <v>121.38479809976</v>
      </c>
      <c r="G314">
        <v>108.97862232779001</v>
      </c>
      <c r="I314" s="9">
        <f t="shared" si="44"/>
        <v>100.90672799067998</v>
      </c>
      <c r="J314" s="9">
        <f t="shared" si="45"/>
        <v>322.12953311042997</v>
      </c>
      <c r="K314" s="9">
        <f t="shared" si="31"/>
        <v>100.90672799067998</v>
      </c>
      <c r="L314" s="10">
        <f t="shared" si="30"/>
        <v>0.31324891889402739</v>
      </c>
      <c r="M314" s="10">
        <f t="shared" si="46"/>
        <v>0.33993579133521856</v>
      </c>
      <c r="P314" s="8">
        <f t="shared" si="47"/>
        <v>1.3765143047997168</v>
      </c>
    </row>
    <row r="315" spans="1:16" x14ac:dyDescent="0.2">
      <c r="A315" s="8">
        <v>156.5</v>
      </c>
      <c r="B315" s="8">
        <v>313</v>
      </c>
      <c r="D315">
        <v>443.45859872611999</v>
      </c>
      <c r="E315">
        <v>209.18710191082999</v>
      </c>
      <c r="F315">
        <v>121.93507521774001</v>
      </c>
      <c r="G315">
        <v>108.80680918448</v>
      </c>
      <c r="I315" s="9">
        <f t="shared" si="44"/>
        <v>100.38029272634999</v>
      </c>
      <c r="J315" s="9">
        <f t="shared" si="45"/>
        <v>321.52352350837998</v>
      </c>
      <c r="K315" s="9">
        <f t="shared" si="31"/>
        <v>100.38029272634999</v>
      </c>
      <c r="L315" s="10">
        <f t="shared" si="30"/>
        <v>0.31220201754144355</v>
      </c>
      <c r="M315" s="10">
        <f t="shared" si="46"/>
        <v>0.33897442483020263</v>
      </c>
      <c r="P315" s="8">
        <f t="shared" si="47"/>
        <v>1.0898131461335618</v>
      </c>
    </row>
    <row r="316" spans="1:16" x14ac:dyDescent="0.2">
      <c r="A316" s="8">
        <v>157</v>
      </c>
      <c r="B316" s="8">
        <v>314</v>
      </c>
      <c r="D316">
        <v>442.82404458599001</v>
      </c>
      <c r="E316">
        <v>208.16719745223</v>
      </c>
      <c r="F316">
        <v>121.41805225653</v>
      </c>
      <c r="G316">
        <v>108.54156769596</v>
      </c>
      <c r="I316" s="9">
        <f t="shared" si="44"/>
        <v>99.625629756270001</v>
      </c>
      <c r="J316" s="9">
        <f t="shared" si="45"/>
        <v>321.40599232945999</v>
      </c>
      <c r="K316" s="9">
        <f t="shared" si="31"/>
        <v>99.625629756270001</v>
      </c>
      <c r="L316" s="10">
        <f t="shared" si="30"/>
        <v>0.30996817773748253</v>
      </c>
      <c r="M316" s="10">
        <f t="shared" si="46"/>
        <v>0.33682611987380956</v>
      </c>
      <c r="P316" s="8">
        <f t="shared" si="47"/>
        <v>0.44914019055152277</v>
      </c>
    </row>
    <row r="317" spans="1:16" x14ac:dyDescent="0.2">
      <c r="A317" s="8">
        <v>157.5</v>
      </c>
      <c r="B317" s="8">
        <v>315</v>
      </c>
      <c r="D317">
        <v>442.77945859873</v>
      </c>
      <c r="E317">
        <v>208.87579617834001</v>
      </c>
      <c r="F317">
        <v>121.39904988124</v>
      </c>
      <c r="G317">
        <v>108.74980205859001</v>
      </c>
      <c r="I317" s="9">
        <f t="shared" si="44"/>
        <v>100.12599411975</v>
      </c>
      <c r="J317" s="9">
        <f t="shared" si="45"/>
        <v>321.38040871749001</v>
      </c>
      <c r="K317" s="9">
        <f t="shared" si="31"/>
        <v>100.12599411975</v>
      </c>
      <c r="L317" s="10">
        <f t="shared" si="30"/>
        <v>0.31154977529375766</v>
      </c>
      <c r="M317" s="10">
        <f t="shared" si="46"/>
        <v>0.33849325227765259</v>
      </c>
      <c r="P317" s="8">
        <f t="shared" si="47"/>
        <v>0.94631664650030312</v>
      </c>
    </row>
    <row r="318" spans="1:16" x14ac:dyDescent="0.2">
      <c r="A318" s="8">
        <v>158</v>
      </c>
      <c r="B318" s="8">
        <v>316</v>
      </c>
      <c r="D318">
        <v>443.13375796178002</v>
      </c>
      <c r="E318">
        <v>207.63136942675001</v>
      </c>
      <c r="F318">
        <v>121.77434679335001</v>
      </c>
      <c r="G318">
        <v>108.81789390341</v>
      </c>
      <c r="I318" s="9">
        <f t="shared" si="44"/>
        <v>98.813475523340017</v>
      </c>
      <c r="J318" s="9">
        <f t="shared" si="45"/>
        <v>321.35941116843003</v>
      </c>
      <c r="K318" s="9">
        <f t="shared" si="31"/>
        <v>98.813475523340017</v>
      </c>
      <c r="L318" s="10">
        <f t="shared" si="30"/>
        <v>0.3074858619016767</v>
      </c>
      <c r="M318" s="10">
        <f t="shared" si="46"/>
        <v>0.33451487373313954</v>
      </c>
      <c r="P318" s="8">
        <f t="shared" si="47"/>
        <v>-0.24012549848118273</v>
      </c>
    </row>
    <row r="319" spans="1:16" x14ac:dyDescent="0.2">
      <c r="A319" s="8">
        <v>158.5</v>
      </c>
      <c r="B319" s="8">
        <v>317</v>
      </c>
      <c r="D319">
        <v>441.77070063693998</v>
      </c>
      <c r="E319">
        <v>208.92436305733</v>
      </c>
      <c r="F319">
        <v>121.81551860649</v>
      </c>
      <c r="G319">
        <v>108.94378463975001</v>
      </c>
      <c r="I319" s="9">
        <f t="shared" si="44"/>
        <v>99.980578417579991</v>
      </c>
      <c r="J319" s="9">
        <f t="shared" si="45"/>
        <v>319.95518203044998</v>
      </c>
      <c r="K319" s="9">
        <f t="shared" si="31"/>
        <v>99.980578417579991</v>
      </c>
      <c r="L319" s="10">
        <f t="shared" si="30"/>
        <v>0.31248307273255815</v>
      </c>
      <c r="M319" s="10">
        <f t="shared" si="46"/>
        <v>0.33959761941158895</v>
      </c>
      <c r="P319" s="8">
        <f t="shared" si="47"/>
        <v>1.2756638155980298</v>
      </c>
    </row>
    <row r="320" spans="1:16" x14ac:dyDescent="0.2">
      <c r="A320" s="8">
        <v>159</v>
      </c>
      <c r="B320" s="8">
        <v>318</v>
      </c>
      <c r="D320">
        <v>439.79140127389002</v>
      </c>
      <c r="E320">
        <v>207.20621019108</v>
      </c>
      <c r="F320">
        <v>121.58986539983999</v>
      </c>
      <c r="G320">
        <v>108.51385589864999</v>
      </c>
      <c r="I320" s="9">
        <f>E320-G320</f>
        <v>98.692354292430011</v>
      </c>
      <c r="J320" s="9">
        <f>D320-F320</f>
        <v>318.20153587405002</v>
      </c>
      <c r="K320" s="9">
        <f t="shared" si="31"/>
        <v>98.692354292430011</v>
      </c>
      <c r="L320" s="10">
        <f t="shared" si="30"/>
        <v>0.31015675025369532</v>
      </c>
      <c r="M320" s="10">
        <f>L320+ABS($N$2)*A320</f>
        <v>0.33735683178029402</v>
      </c>
      <c r="O320" s="11"/>
      <c r="P320" s="8">
        <f>(M320-$O$2)/$O$2*100</f>
        <v>0.6074104420249673</v>
      </c>
    </row>
    <row r="321" spans="1:16" x14ac:dyDescent="0.2">
      <c r="A321" s="8">
        <v>159.5</v>
      </c>
      <c r="B321" s="8">
        <v>319</v>
      </c>
      <c r="D321">
        <v>441.38999205719</v>
      </c>
      <c r="E321">
        <v>207.37331215250001</v>
      </c>
      <c r="F321">
        <v>121.78305621536001</v>
      </c>
      <c r="G321">
        <v>108.72921615202</v>
      </c>
      <c r="I321" s="9">
        <f t="shared" ref="I321:I322" si="48">E321-G321</f>
        <v>98.644096000480005</v>
      </c>
      <c r="J321" s="9">
        <f t="shared" ref="J321:J322" si="49">D321-F321</f>
        <v>319.60693584183002</v>
      </c>
      <c r="K321" s="9">
        <f t="shared" si="31"/>
        <v>98.644096000480005</v>
      </c>
      <c r="L321" s="10">
        <f t="shared" si="30"/>
        <v>0.30864191273151181</v>
      </c>
      <c r="M321" s="10">
        <f t="shared" ref="M321:M322" si="50">L321+ABS($N$2)*A321</f>
        <v>0.33592752910567841</v>
      </c>
      <c r="P321" s="8">
        <f t="shared" ref="P321:P322" si="51">(M321-$O$2)/$O$2*100</f>
        <v>0.18116017143733579</v>
      </c>
    </row>
    <row r="322" spans="1:16" x14ac:dyDescent="0.2">
      <c r="A322" s="8">
        <v>160</v>
      </c>
      <c r="D322">
        <v>446.47577442415002</v>
      </c>
      <c r="E322">
        <v>210.05003971406001</v>
      </c>
      <c r="F322">
        <v>121.56848772763</v>
      </c>
      <c r="G322">
        <v>108.70942201109</v>
      </c>
      <c r="I322" s="9">
        <f t="shared" si="48"/>
        <v>101.34061770297001</v>
      </c>
      <c r="J322" s="9">
        <f t="shared" si="49"/>
        <v>324.90728669652003</v>
      </c>
      <c r="K322" s="9">
        <f t="shared" si="31"/>
        <v>101.34061770297001</v>
      </c>
      <c r="L322" s="10">
        <f t="shared" ref="L322" si="52">K322/J322</f>
        <v>0.31190626327081211</v>
      </c>
      <c r="M322" s="10">
        <f t="shared" si="50"/>
        <v>0.33927741449254667</v>
      </c>
      <c r="P322" s="8">
        <f t="shared" si="51"/>
        <v>1.1801714920970134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topLeftCell="E1" zoomScale="66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901.89878542509996</v>
      </c>
      <c r="E2">
        <v>304.82860998651</v>
      </c>
      <c r="F2">
        <v>144.38753387534001</v>
      </c>
      <c r="G2">
        <v>121.17073170732</v>
      </c>
      <c r="H2" s="4"/>
      <c r="I2" s="5">
        <f>E2-G2</f>
        <v>183.65787827919002</v>
      </c>
      <c r="J2" s="5">
        <f>D2-F2</f>
        <v>757.51125154975989</v>
      </c>
      <c r="K2" s="9">
        <f>I2*1</f>
        <v>183.65787827919002</v>
      </c>
      <c r="L2" s="6">
        <f t="shared" ref="L2:L65" si="0">K2/J2</f>
        <v>0.24244904336859976</v>
      </c>
      <c r="M2" s="6">
        <f>L2+ABS($N$2)*A2</f>
        <v>0.24244904336859976</v>
      </c>
      <c r="N2" s="4">
        <f>LINEST(V64:V103,U64:U103)</f>
        <v>-1.3613400584142458E-3</v>
      </c>
      <c r="O2" s="7">
        <f>AVERAGE(M62:M81)</f>
        <v>0.48126928923992607</v>
      </c>
      <c r="P2" s="4">
        <f>(M2-$O$2)/$O$2*100</f>
        <v>-49.622997189057664</v>
      </c>
    </row>
    <row r="3" spans="1:16" x14ac:dyDescent="0.2">
      <c r="A3" s="8">
        <v>0.5</v>
      </c>
      <c r="B3" s="8">
        <v>1</v>
      </c>
      <c r="D3">
        <v>879.65182186234995</v>
      </c>
      <c r="E3">
        <v>297.12685560054001</v>
      </c>
      <c r="F3">
        <v>145.06639566396001</v>
      </c>
      <c r="G3">
        <v>121.27235772358</v>
      </c>
      <c r="I3" s="9">
        <f t="shared" ref="I3:I66" si="1">E3-G3</f>
        <v>175.85449787696001</v>
      </c>
      <c r="J3" s="9">
        <f t="shared" ref="J3:J66" si="2">D3-F3</f>
        <v>734.58542619839</v>
      </c>
      <c r="K3" s="9">
        <f t="shared" ref="K3:K66" si="3">I3*1</f>
        <v>175.85449787696001</v>
      </c>
      <c r="L3" s="10">
        <f t="shared" si="0"/>
        <v>0.23939284881683301</v>
      </c>
      <c r="M3" s="10">
        <f t="shared" ref="M3:M66" si="4">L3+ABS($N$2)*A3</f>
        <v>0.24007351884604014</v>
      </c>
      <c r="P3" s="8">
        <f t="shared" ref="P3:P66" si="5">(M3-$O$2)/$O$2*100</f>
        <v>-50.116592890190248</v>
      </c>
    </row>
    <row r="4" spans="1:16" ht="16" x14ac:dyDescent="0.2">
      <c r="A4" s="8">
        <v>1</v>
      </c>
      <c r="B4" s="8">
        <v>2</v>
      </c>
      <c r="D4">
        <v>862.66261808367005</v>
      </c>
      <c r="E4">
        <v>291.32793522267002</v>
      </c>
      <c r="F4">
        <v>145.10840108401001</v>
      </c>
      <c r="G4">
        <v>121.87127371274001</v>
      </c>
      <c r="I4" s="9">
        <f t="shared" si="1"/>
        <v>169.45666150993003</v>
      </c>
      <c r="J4" s="9">
        <f t="shared" si="2"/>
        <v>717.55421699966007</v>
      </c>
      <c r="K4" s="9">
        <f t="shared" si="3"/>
        <v>169.45666150993003</v>
      </c>
      <c r="L4" s="10">
        <f t="shared" si="0"/>
        <v>0.23615868668222223</v>
      </c>
      <c r="M4" s="10">
        <f t="shared" si="4"/>
        <v>0.23752002674063646</v>
      </c>
      <c r="N4" s="1" t="s">
        <v>7</v>
      </c>
      <c r="P4" s="8">
        <f t="shared" si="5"/>
        <v>-50.647167386110489</v>
      </c>
    </row>
    <row r="5" spans="1:16" x14ac:dyDescent="0.2">
      <c r="A5" s="8">
        <v>1.5</v>
      </c>
      <c r="B5" s="8">
        <v>3</v>
      </c>
      <c r="D5">
        <v>867.07827260458998</v>
      </c>
      <c r="E5">
        <v>292.65991902834003</v>
      </c>
      <c r="F5">
        <v>145.49051490515001</v>
      </c>
      <c r="G5">
        <v>121.96341463415</v>
      </c>
      <c r="I5" s="9">
        <f t="shared" si="1"/>
        <v>170.69650439419001</v>
      </c>
      <c r="J5" s="9">
        <f t="shared" si="2"/>
        <v>721.58775769943998</v>
      </c>
      <c r="K5" s="9">
        <f t="shared" si="3"/>
        <v>170.69650439419001</v>
      </c>
      <c r="L5" s="10">
        <f t="shared" si="0"/>
        <v>0.23655681872763915</v>
      </c>
      <c r="M5" s="10">
        <f t="shared" si="4"/>
        <v>0.23859882881526051</v>
      </c>
      <c r="N5" s="8">
        <f>RSQ(V64:V83,U64:U83)</f>
        <v>0.50605646778984992</v>
      </c>
      <c r="P5" s="8">
        <f t="shared" si="5"/>
        <v>-50.42300970583802</v>
      </c>
    </row>
    <row r="6" spans="1:16" x14ac:dyDescent="0.2">
      <c r="A6" s="8">
        <v>2</v>
      </c>
      <c r="B6" s="8">
        <v>4</v>
      </c>
      <c r="D6">
        <v>862.38191632928999</v>
      </c>
      <c r="E6">
        <v>287.74898785425</v>
      </c>
      <c r="F6">
        <v>145.34010840107999</v>
      </c>
      <c r="G6">
        <v>121.25338753388</v>
      </c>
      <c r="I6" s="9">
        <f t="shared" si="1"/>
        <v>166.49560032036999</v>
      </c>
      <c r="J6" s="9">
        <f t="shared" si="2"/>
        <v>717.04180792821001</v>
      </c>
      <c r="K6" s="9">
        <f t="shared" si="3"/>
        <v>166.49560032036999</v>
      </c>
      <c r="L6" s="10">
        <f t="shared" si="0"/>
        <v>0.23219789763923984</v>
      </c>
      <c r="M6" s="10">
        <f t="shared" si="4"/>
        <v>0.23492057775606834</v>
      </c>
      <c r="P6" s="8">
        <f t="shared" si="5"/>
        <v>-51.187290980672998</v>
      </c>
    </row>
    <row r="7" spans="1:16" x14ac:dyDescent="0.2">
      <c r="A7" s="8">
        <v>2.5</v>
      </c>
      <c r="B7" s="8">
        <v>5</v>
      </c>
      <c r="D7">
        <v>826.39406207827005</v>
      </c>
      <c r="E7">
        <v>280.25775978408001</v>
      </c>
      <c r="F7">
        <v>145.50271002709999</v>
      </c>
      <c r="G7">
        <v>121.71544715447</v>
      </c>
      <c r="I7" s="9">
        <f t="shared" si="1"/>
        <v>158.54231262961002</v>
      </c>
      <c r="J7" s="9">
        <f t="shared" si="2"/>
        <v>680.89135205117009</v>
      </c>
      <c r="K7" s="9">
        <f t="shared" si="3"/>
        <v>158.54231262961002</v>
      </c>
      <c r="L7" s="10">
        <f t="shared" si="0"/>
        <v>0.23284524344743818</v>
      </c>
      <c r="M7" s="10">
        <f t="shared" si="4"/>
        <v>0.2362485935934738</v>
      </c>
      <c r="P7" s="8">
        <f t="shared" si="5"/>
        <v>-50.91135069794629</v>
      </c>
    </row>
    <row r="8" spans="1:16" x14ac:dyDescent="0.2">
      <c r="A8" s="8">
        <v>3</v>
      </c>
      <c r="B8" s="8">
        <v>6</v>
      </c>
      <c r="D8">
        <v>868.94736842104999</v>
      </c>
      <c r="E8">
        <v>303.30499325236002</v>
      </c>
      <c r="F8">
        <v>145.92953929538999</v>
      </c>
      <c r="G8">
        <v>122.50406504065</v>
      </c>
      <c r="I8" s="9">
        <f t="shared" si="1"/>
        <v>180.80092821171002</v>
      </c>
      <c r="J8" s="9">
        <f t="shared" si="2"/>
        <v>723.01782912566</v>
      </c>
      <c r="K8" s="9">
        <f t="shared" si="3"/>
        <v>180.80092821171002</v>
      </c>
      <c r="L8" s="10">
        <f t="shared" si="0"/>
        <v>0.25006427356065508</v>
      </c>
      <c r="M8" s="10">
        <f t="shared" si="4"/>
        <v>0.25414829373589781</v>
      </c>
      <c r="P8" s="8">
        <f t="shared" si="5"/>
        <v>-47.192081560558947</v>
      </c>
    </row>
    <row r="9" spans="1:16" x14ac:dyDescent="0.2">
      <c r="A9" s="8">
        <v>3.5</v>
      </c>
      <c r="B9" s="8">
        <v>7</v>
      </c>
      <c r="D9">
        <v>798.97975708501997</v>
      </c>
      <c r="E9">
        <v>302.95546558705001</v>
      </c>
      <c r="F9">
        <v>145.81707317073</v>
      </c>
      <c r="G9">
        <v>121.76558265583</v>
      </c>
      <c r="I9" s="9">
        <f t="shared" si="1"/>
        <v>181.18988293122001</v>
      </c>
      <c r="J9" s="9">
        <f t="shared" si="2"/>
        <v>653.16268391429003</v>
      </c>
      <c r="K9" s="9">
        <f t="shared" si="3"/>
        <v>181.18988293122001</v>
      </c>
      <c r="L9" s="10">
        <f t="shared" si="0"/>
        <v>0.27740391083792576</v>
      </c>
      <c r="M9" s="10">
        <f t="shared" si="4"/>
        <v>0.28216860104237562</v>
      </c>
      <c r="P9" s="8">
        <f t="shared" si="5"/>
        <v>-41.369913403781148</v>
      </c>
    </row>
    <row r="10" spans="1:16" x14ac:dyDescent="0.2">
      <c r="A10" s="8">
        <v>4</v>
      </c>
      <c r="B10" s="8">
        <v>8</v>
      </c>
      <c r="D10">
        <v>754.08141112619001</v>
      </c>
      <c r="E10">
        <v>300.62957937585003</v>
      </c>
      <c r="F10">
        <v>145.84823848239</v>
      </c>
      <c r="G10">
        <v>121.9701897019</v>
      </c>
      <c r="I10" s="9">
        <f t="shared" si="1"/>
        <v>178.65938967395005</v>
      </c>
      <c r="J10" s="9">
        <f t="shared" si="2"/>
        <v>608.2331726438</v>
      </c>
      <c r="K10" s="9">
        <f t="shared" si="3"/>
        <v>178.65938967395005</v>
      </c>
      <c r="L10" s="10">
        <f t="shared" si="0"/>
        <v>0.29373503075699303</v>
      </c>
      <c r="M10" s="10">
        <f t="shared" si="4"/>
        <v>0.29918039099065002</v>
      </c>
      <c r="P10" s="8">
        <f t="shared" si="5"/>
        <v>-37.835137691177238</v>
      </c>
    </row>
    <row r="11" spans="1:16" x14ac:dyDescent="0.2">
      <c r="A11" s="8">
        <v>4.5</v>
      </c>
      <c r="B11" s="8">
        <v>9</v>
      </c>
      <c r="D11">
        <v>771.55359565806998</v>
      </c>
      <c r="E11">
        <v>303.65943012212</v>
      </c>
      <c r="F11">
        <v>146.26287262873001</v>
      </c>
      <c r="G11">
        <v>121.82926829268</v>
      </c>
      <c r="I11" s="9">
        <f t="shared" si="1"/>
        <v>181.83016182943999</v>
      </c>
      <c r="J11" s="9">
        <f t="shared" si="2"/>
        <v>625.29072302933992</v>
      </c>
      <c r="K11" s="9">
        <f t="shared" si="3"/>
        <v>181.83016182943999</v>
      </c>
      <c r="L11" s="10">
        <f t="shared" si="0"/>
        <v>0.29079299457463426</v>
      </c>
      <c r="M11" s="10">
        <f t="shared" si="4"/>
        <v>0.29691902483749838</v>
      </c>
      <c r="P11" s="8">
        <f t="shared" si="5"/>
        <v>-38.305013123437419</v>
      </c>
    </row>
    <row r="12" spans="1:16" x14ac:dyDescent="0.2">
      <c r="A12" s="8">
        <v>5</v>
      </c>
      <c r="B12" s="8">
        <v>10</v>
      </c>
      <c r="D12">
        <v>799.98778833106996</v>
      </c>
      <c r="E12">
        <v>305.47625508819999</v>
      </c>
      <c r="F12">
        <v>146.0108401084</v>
      </c>
      <c r="G12">
        <v>121.64363143631</v>
      </c>
      <c r="I12" s="9">
        <f t="shared" si="1"/>
        <v>183.83262365189</v>
      </c>
      <c r="J12" s="9">
        <f t="shared" si="2"/>
        <v>653.97694822266999</v>
      </c>
      <c r="K12" s="9">
        <f t="shared" si="3"/>
        <v>183.83262365189</v>
      </c>
      <c r="L12" s="10">
        <f t="shared" si="0"/>
        <v>0.2810995466300405</v>
      </c>
      <c r="M12" s="10">
        <f t="shared" si="4"/>
        <v>0.28790624692211175</v>
      </c>
      <c r="P12" s="8">
        <f t="shared" si="5"/>
        <v>-40.177723083721943</v>
      </c>
    </row>
    <row r="13" spans="1:16" x14ac:dyDescent="0.2">
      <c r="A13" s="8">
        <v>5.5</v>
      </c>
      <c r="B13" s="8">
        <v>11</v>
      </c>
      <c r="D13">
        <v>755.84918478261</v>
      </c>
      <c r="E13">
        <v>297.83152173912998</v>
      </c>
      <c r="F13">
        <v>146.28319783198</v>
      </c>
      <c r="G13">
        <v>122.0243902439</v>
      </c>
      <c r="I13" s="9">
        <f t="shared" si="1"/>
        <v>175.80713149522998</v>
      </c>
      <c r="J13" s="9">
        <f t="shared" si="2"/>
        <v>609.56598695062996</v>
      </c>
      <c r="K13" s="9">
        <f t="shared" si="3"/>
        <v>175.80713149522998</v>
      </c>
      <c r="L13" s="10">
        <f t="shared" si="0"/>
        <v>0.28841361765394724</v>
      </c>
      <c r="M13" s="10">
        <f t="shared" si="4"/>
        <v>0.29590098797522557</v>
      </c>
      <c r="P13" s="8">
        <f t="shared" si="5"/>
        <v>-38.516544772149231</v>
      </c>
    </row>
    <row r="14" spans="1:16" x14ac:dyDescent="0.2">
      <c r="A14" s="8">
        <v>6</v>
      </c>
      <c r="B14" s="8">
        <v>12</v>
      </c>
      <c r="D14">
        <v>754.70516304347996</v>
      </c>
      <c r="E14">
        <v>298.21875</v>
      </c>
      <c r="F14">
        <v>146.4891598916</v>
      </c>
      <c r="G14">
        <v>122.18021680216999</v>
      </c>
      <c r="I14" s="9">
        <f t="shared" si="1"/>
        <v>176.03853319783002</v>
      </c>
      <c r="J14" s="9">
        <f t="shared" si="2"/>
        <v>608.21600315187993</v>
      </c>
      <c r="K14" s="9">
        <f t="shared" si="3"/>
        <v>176.03853319783002</v>
      </c>
      <c r="L14" s="10">
        <f t="shared" si="0"/>
        <v>0.28943423436010901</v>
      </c>
      <c r="M14" s="10">
        <f t="shared" si="4"/>
        <v>0.29760227471059447</v>
      </c>
      <c r="P14" s="8">
        <f t="shared" si="5"/>
        <v>-38.163044814141159</v>
      </c>
    </row>
    <row r="15" spans="1:16" x14ac:dyDescent="0.2">
      <c r="A15" s="8">
        <v>6.5</v>
      </c>
      <c r="B15" s="8">
        <v>13</v>
      </c>
      <c r="D15">
        <v>732.28532608696003</v>
      </c>
      <c r="E15">
        <v>286.61956521739</v>
      </c>
      <c r="F15">
        <v>146</v>
      </c>
      <c r="G15">
        <v>122.62737127371</v>
      </c>
      <c r="I15" s="9">
        <f t="shared" si="1"/>
        <v>163.99219394368001</v>
      </c>
      <c r="J15" s="9">
        <f t="shared" si="2"/>
        <v>586.28532608696003</v>
      </c>
      <c r="K15" s="9">
        <f t="shared" si="3"/>
        <v>163.99219394368001</v>
      </c>
      <c r="L15" s="10">
        <f t="shared" si="0"/>
        <v>0.27971396630069517</v>
      </c>
      <c r="M15" s="10">
        <f t="shared" si="4"/>
        <v>0.28856267668038776</v>
      </c>
      <c r="P15" s="8">
        <f t="shared" si="5"/>
        <v>-40.041327561931489</v>
      </c>
    </row>
    <row r="16" spans="1:16" x14ac:dyDescent="0.2">
      <c r="A16" s="8">
        <v>7</v>
      </c>
      <c r="B16" s="8">
        <v>14</v>
      </c>
      <c r="D16">
        <v>754.89381720430003</v>
      </c>
      <c r="E16">
        <v>295.04301075269001</v>
      </c>
      <c r="F16">
        <v>146.05420054200999</v>
      </c>
      <c r="G16">
        <v>122.27777777778</v>
      </c>
      <c r="I16" s="9">
        <f t="shared" si="1"/>
        <v>172.76523297491002</v>
      </c>
      <c r="J16" s="9">
        <f t="shared" si="2"/>
        <v>608.83961666229004</v>
      </c>
      <c r="K16" s="9">
        <f t="shared" si="3"/>
        <v>172.76523297491002</v>
      </c>
      <c r="L16" s="10">
        <f t="shared" si="0"/>
        <v>0.28376148372542437</v>
      </c>
      <c r="M16" s="10">
        <f t="shared" si="4"/>
        <v>0.29329086413432409</v>
      </c>
      <c r="P16" s="8">
        <f t="shared" si="5"/>
        <v>-39.058886429773729</v>
      </c>
    </row>
    <row r="17" spans="1:16" x14ac:dyDescent="0.2">
      <c r="A17" s="8">
        <v>7.5</v>
      </c>
      <c r="B17" s="8">
        <v>15</v>
      </c>
      <c r="D17">
        <v>814.81720430107998</v>
      </c>
      <c r="E17">
        <v>306.95295698925003</v>
      </c>
      <c r="F17">
        <v>146.13279132791001</v>
      </c>
      <c r="G17">
        <v>122.52845528455001</v>
      </c>
      <c r="I17" s="9">
        <f t="shared" si="1"/>
        <v>184.42450170470002</v>
      </c>
      <c r="J17" s="9">
        <f t="shared" si="2"/>
        <v>668.68441297316997</v>
      </c>
      <c r="K17" s="9">
        <f t="shared" si="3"/>
        <v>184.42450170470002</v>
      </c>
      <c r="L17" s="10">
        <f t="shared" si="0"/>
        <v>0.27580200484215533</v>
      </c>
      <c r="M17" s="10">
        <f t="shared" si="4"/>
        <v>0.28601205528026219</v>
      </c>
      <c r="P17" s="8">
        <f t="shared" si="5"/>
        <v>-40.571305571572161</v>
      </c>
    </row>
    <row r="18" spans="1:16" x14ac:dyDescent="0.2">
      <c r="A18" s="8">
        <v>8</v>
      </c>
      <c r="B18" s="8">
        <v>16</v>
      </c>
      <c r="D18">
        <v>824.94354838710001</v>
      </c>
      <c r="E18">
        <v>308.49059139784998</v>
      </c>
      <c r="F18">
        <v>146.75745257452999</v>
      </c>
      <c r="G18">
        <v>121.84281842818</v>
      </c>
      <c r="I18" s="9">
        <f t="shared" si="1"/>
        <v>186.64777296966997</v>
      </c>
      <c r="J18" s="9">
        <f t="shared" si="2"/>
        <v>678.18609581256999</v>
      </c>
      <c r="K18" s="9">
        <f t="shared" si="3"/>
        <v>186.64777296966997</v>
      </c>
      <c r="L18" s="10">
        <f t="shared" si="0"/>
        <v>0.27521615987428583</v>
      </c>
      <c r="M18" s="10">
        <f t="shared" si="4"/>
        <v>0.28610688034159981</v>
      </c>
      <c r="P18" s="8">
        <f t="shared" si="5"/>
        <v>-40.551602452454091</v>
      </c>
    </row>
    <row r="19" spans="1:16" x14ac:dyDescent="0.2">
      <c r="A19" s="8">
        <v>8.5</v>
      </c>
      <c r="B19" s="8">
        <v>17</v>
      </c>
      <c r="D19">
        <v>853.9647696477</v>
      </c>
      <c r="E19">
        <v>318.64634146342001</v>
      </c>
      <c r="F19">
        <v>147.35094850949</v>
      </c>
      <c r="G19">
        <v>122.13143631436</v>
      </c>
      <c r="I19" s="9">
        <f t="shared" si="1"/>
        <v>196.51490514906001</v>
      </c>
      <c r="J19" s="9">
        <f t="shared" si="2"/>
        <v>706.61382113821003</v>
      </c>
      <c r="K19" s="9">
        <f t="shared" si="3"/>
        <v>196.51490514906001</v>
      </c>
      <c r="L19" s="10">
        <f t="shared" si="0"/>
        <v>0.27810792723034311</v>
      </c>
      <c r="M19" s="10">
        <f t="shared" si="4"/>
        <v>0.28967931772686417</v>
      </c>
      <c r="P19" s="8">
        <f t="shared" si="5"/>
        <v>-39.809307553291433</v>
      </c>
    </row>
    <row r="20" spans="1:16" x14ac:dyDescent="0.2">
      <c r="A20" s="8">
        <v>9</v>
      </c>
      <c r="B20" s="8">
        <v>18</v>
      </c>
      <c r="D20">
        <v>874.34688346884002</v>
      </c>
      <c r="E20">
        <v>318.98373983739998</v>
      </c>
      <c r="F20">
        <v>147.01626016259999</v>
      </c>
      <c r="G20">
        <v>122.61382113821</v>
      </c>
      <c r="I20" s="9">
        <f t="shared" si="1"/>
        <v>196.36991869918998</v>
      </c>
      <c r="J20" s="9">
        <f t="shared" si="2"/>
        <v>727.33062330624</v>
      </c>
      <c r="K20" s="9">
        <f t="shared" si="3"/>
        <v>196.36991869918998</v>
      </c>
      <c r="L20" s="10">
        <f t="shared" si="0"/>
        <v>0.26998714533226675</v>
      </c>
      <c r="M20" s="10">
        <f t="shared" si="4"/>
        <v>0.28223920585799495</v>
      </c>
      <c r="P20" s="8">
        <f t="shared" si="5"/>
        <v>-41.35524286128075</v>
      </c>
    </row>
    <row r="21" spans="1:16" x14ac:dyDescent="0.2">
      <c r="A21" s="8">
        <v>9.5</v>
      </c>
      <c r="B21" s="8">
        <v>19</v>
      </c>
      <c r="D21">
        <v>823.82679296345998</v>
      </c>
      <c r="E21">
        <v>310.62922868741998</v>
      </c>
      <c r="F21">
        <v>147.52845528455001</v>
      </c>
      <c r="G21">
        <v>122.30894308943</v>
      </c>
      <c r="I21" s="9">
        <f t="shared" si="1"/>
        <v>188.32028559798999</v>
      </c>
      <c r="J21" s="9">
        <f t="shared" si="2"/>
        <v>676.29833767891</v>
      </c>
      <c r="K21" s="9">
        <f t="shared" si="3"/>
        <v>188.32028559798999</v>
      </c>
      <c r="L21" s="10">
        <f t="shared" si="0"/>
        <v>0.27845741310604832</v>
      </c>
      <c r="M21" s="10">
        <f t="shared" si="4"/>
        <v>0.29139014366098365</v>
      </c>
      <c r="P21" s="8">
        <f t="shared" si="5"/>
        <v>-39.453825503559692</v>
      </c>
    </row>
    <row r="22" spans="1:16" x14ac:dyDescent="0.2">
      <c r="A22" s="8">
        <v>10</v>
      </c>
      <c r="B22" s="8">
        <v>20</v>
      </c>
      <c r="D22">
        <v>797.95399188091994</v>
      </c>
      <c r="E22">
        <v>307.53179972935999</v>
      </c>
      <c r="F22">
        <v>146.95799457995</v>
      </c>
      <c r="G22">
        <v>123.54065040650001</v>
      </c>
      <c r="I22" s="9">
        <f t="shared" si="1"/>
        <v>183.99114932286</v>
      </c>
      <c r="J22" s="9">
        <f t="shared" si="2"/>
        <v>650.99599730096998</v>
      </c>
      <c r="K22" s="9">
        <f t="shared" si="3"/>
        <v>183.99114932286</v>
      </c>
      <c r="L22" s="10">
        <f t="shared" si="0"/>
        <v>0.28263023134656357</v>
      </c>
      <c r="M22" s="10">
        <f t="shared" si="4"/>
        <v>0.29624363193070602</v>
      </c>
      <c r="P22" s="8">
        <f t="shared" si="5"/>
        <v>-38.44534888179404</v>
      </c>
    </row>
    <row r="23" spans="1:16" x14ac:dyDescent="0.2">
      <c r="A23" s="8">
        <v>10.5</v>
      </c>
      <c r="B23" s="8">
        <v>21</v>
      </c>
      <c r="D23">
        <v>805.66847090662998</v>
      </c>
      <c r="E23">
        <v>308.00135317997001</v>
      </c>
      <c r="F23">
        <v>147.09891598915999</v>
      </c>
      <c r="G23">
        <v>122.97696476965</v>
      </c>
      <c r="I23" s="9">
        <f t="shared" si="1"/>
        <v>185.02438841032</v>
      </c>
      <c r="J23" s="9">
        <f t="shared" si="2"/>
        <v>658.56955491746999</v>
      </c>
      <c r="K23" s="9">
        <f t="shared" si="3"/>
        <v>185.02438841032</v>
      </c>
      <c r="L23" s="10">
        <f t="shared" si="0"/>
        <v>0.28094889450744004</v>
      </c>
      <c r="M23" s="10">
        <f t="shared" si="4"/>
        <v>0.29524296512078962</v>
      </c>
      <c r="P23" s="8">
        <f t="shared" si="5"/>
        <v>-38.653271313640204</v>
      </c>
    </row>
    <row r="24" spans="1:16" x14ac:dyDescent="0.2">
      <c r="A24" s="8">
        <v>11</v>
      </c>
      <c r="B24" s="8">
        <v>22</v>
      </c>
      <c r="D24">
        <v>754.82408660351996</v>
      </c>
      <c r="E24">
        <v>296.51014884979998</v>
      </c>
      <c r="F24">
        <v>147.17073170731999</v>
      </c>
      <c r="G24">
        <v>122.97831978320001</v>
      </c>
      <c r="I24" s="9">
        <f t="shared" si="1"/>
        <v>173.53182906659998</v>
      </c>
      <c r="J24" s="9">
        <f t="shared" si="2"/>
        <v>607.65335489619997</v>
      </c>
      <c r="K24" s="9">
        <f t="shared" si="3"/>
        <v>173.53182906659998</v>
      </c>
      <c r="L24" s="10">
        <f t="shared" si="0"/>
        <v>0.28557701141342812</v>
      </c>
      <c r="M24" s="10">
        <f t="shared" si="4"/>
        <v>0.30055175205598483</v>
      </c>
      <c r="P24" s="8">
        <f t="shared" si="5"/>
        <v>-37.550190968833782</v>
      </c>
    </row>
    <row r="25" spans="1:16" x14ac:dyDescent="0.2">
      <c r="A25" s="8">
        <v>11.5</v>
      </c>
      <c r="B25" s="8">
        <v>23</v>
      </c>
      <c r="D25">
        <v>731.56833558863002</v>
      </c>
      <c r="E25">
        <v>310.92828146143</v>
      </c>
      <c r="F25">
        <v>146.85907859079001</v>
      </c>
      <c r="G25">
        <v>123.16260162602001</v>
      </c>
      <c r="I25" s="9">
        <f t="shared" si="1"/>
        <v>187.76567983541</v>
      </c>
      <c r="J25" s="9">
        <f t="shared" si="2"/>
        <v>584.70925699784004</v>
      </c>
      <c r="K25" s="9">
        <f t="shared" si="3"/>
        <v>187.76567983541</v>
      </c>
      <c r="L25" s="10">
        <f t="shared" si="0"/>
        <v>0.32112657288766616</v>
      </c>
      <c r="M25" s="10">
        <f t="shared" si="4"/>
        <v>0.33678198355943001</v>
      </c>
      <c r="P25" s="8">
        <f t="shared" si="5"/>
        <v>-30.022132912051475</v>
      </c>
    </row>
    <row r="26" spans="1:16" x14ac:dyDescent="0.2">
      <c r="A26" s="8">
        <v>12</v>
      </c>
      <c r="B26" s="8">
        <v>24</v>
      </c>
      <c r="D26">
        <v>735.75239398085</v>
      </c>
      <c r="E26">
        <v>343.95485636115001</v>
      </c>
      <c r="F26">
        <v>148.81300813007999</v>
      </c>
      <c r="G26">
        <v>123.19647696477</v>
      </c>
      <c r="I26" s="9">
        <f t="shared" si="1"/>
        <v>220.75837939638001</v>
      </c>
      <c r="J26" s="9">
        <f t="shared" si="2"/>
        <v>586.93938585077001</v>
      </c>
      <c r="K26" s="9">
        <f t="shared" si="3"/>
        <v>220.75837939638001</v>
      </c>
      <c r="L26" s="10">
        <f t="shared" si="0"/>
        <v>0.37611784916493585</v>
      </c>
      <c r="M26" s="10">
        <f t="shared" si="4"/>
        <v>0.39245392986590677</v>
      </c>
      <c r="P26" s="8">
        <f t="shared" si="5"/>
        <v>-18.454399929462856</v>
      </c>
    </row>
    <row r="27" spans="1:16" x14ac:dyDescent="0.2">
      <c r="A27" s="8">
        <v>12.5</v>
      </c>
      <c r="B27" s="8">
        <v>25</v>
      </c>
      <c r="D27">
        <v>692.48700410396998</v>
      </c>
      <c r="E27">
        <v>318.66073871408997</v>
      </c>
      <c r="F27">
        <v>147.63956639566001</v>
      </c>
      <c r="G27">
        <v>123.11788617886</v>
      </c>
      <c r="I27" s="9">
        <f t="shared" si="1"/>
        <v>195.54285253522997</v>
      </c>
      <c r="J27" s="9">
        <f t="shared" si="2"/>
        <v>544.84743770830994</v>
      </c>
      <c r="K27" s="9">
        <f t="shared" si="3"/>
        <v>195.54285253522997</v>
      </c>
      <c r="L27" s="10">
        <f t="shared" si="0"/>
        <v>0.35889469051686351</v>
      </c>
      <c r="M27" s="10">
        <f t="shared" si="4"/>
        <v>0.37591144124704157</v>
      </c>
      <c r="P27" s="8">
        <f t="shared" si="5"/>
        <v>-21.891662391190039</v>
      </c>
    </row>
    <row r="28" spans="1:16" x14ac:dyDescent="0.2">
      <c r="A28" s="8">
        <v>13</v>
      </c>
      <c r="B28" s="8">
        <v>26</v>
      </c>
      <c r="D28">
        <v>729.43989071038004</v>
      </c>
      <c r="E28">
        <v>325.06557377049</v>
      </c>
      <c r="F28">
        <v>147.72357723576999</v>
      </c>
      <c r="G28">
        <v>122.69376693767001</v>
      </c>
      <c r="I28" s="9">
        <f t="shared" si="1"/>
        <v>202.37180683282</v>
      </c>
      <c r="J28" s="9">
        <f t="shared" si="2"/>
        <v>581.71631347461005</v>
      </c>
      <c r="K28" s="9">
        <f t="shared" si="3"/>
        <v>202.37180683282</v>
      </c>
      <c r="L28" s="10">
        <f t="shared" si="0"/>
        <v>0.34788745329153098</v>
      </c>
      <c r="M28" s="10">
        <f t="shared" si="4"/>
        <v>0.36558487405091616</v>
      </c>
      <c r="P28" s="8">
        <f t="shared" si="5"/>
        <v>-24.037356585065211</v>
      </c>
    </row>
    <row r="29" spans="1:16" x14ac:dyDescent="0.2">
      <c r="A29" s="8">
        <v>13.5</v>
      </c>
      <c r="B29" s="8">
        <v>27</v>
      </c>
      <c r="D29">
        <v>788.09289617486002</v>
      </c>
      <c r="E29">
        <v>339.94262295082001</v>
      </c>
      <c r="F29">
        <v>148.15718157181999</v>
      </c>
      <c r="G29">
        <v>123.00677506775</v>
      </c>
      <c r="I29" s="9">
        <f t="shared" si="1"/>
        <v>216.93584788307001</v>
      </c>
      <c r="J29" s="9">
        <f t="shared" si="2"/>
        <v>639.93571460303997</v>
      </c>
      <c r="K29" s="9">
        <f t="shared" si="3"/>
        <v>216.93584788307001</v>
      </c>
      <c r="L29" s="10">
        <f t="shared" si="0"/>
        <v>0.33899631311816686</v>
      </c>
      <c r="M29" s="10">
        <f t="shared" si="4"/>
        <v>0.35737440390675917</v>
      </c>
      <c r="P29" s="8">
        <f t="shared" si="5"/>
        <v>-25.743359924094776</v>
      </c>
    </row>
    <row r="30" spans="1:16" x14ac:dyDescent="0.2">
      <c r="A30" s="8">
        <v>14</v>
      </c>
      <c r="B30" s="8">
        <v>28</v>
      </c>
      <c r="D30">
        <v>767.31471389646003</v>
      </c>
      <c r="E30">
        <v>335.69346049045998</v>
      </c>
      <c r="F30">
        <v>148.40243902438999</v>
      </c>
      <c r="G30">
        <v>122.84146341463</v>
      </c>
      <c r="I30" s="9">
        <f t="shared" si="1"/>
        <v>212.85199707582998</v>
      </c>
      <c r="J30" s="9">
        <f t="shared" si="2"/>
        <v>618.91227487207004</v>
      </c>
      <c r="K30" s="9">
        <f t="shared" si="3"/>
        <v>212.85199707582998</v>
      </c>
      <c r="L30" s="10">
        <f t="shared" si="0"/>
        <v>0.34391303213339364</v>
      </c>
      <c r="M30" s="10">
        <f t="shared" si="4"/>
        <v>0.36297179295119308</v>
      </c>
      <c r="P30" s="8">
        <f t="shared" si="5"/>
        <v>-24.580312713400339</v>
      </c>
    </row>
    <row r="31" spans="1:16" x14ac:dyDescent="0.2">
      <c r="A31" s="8">
        <v>14.5</v>
      </c>
      <c r="B31" s="8">
        <v>29</v>
      </c>
      <c r="D31">
        <v>777.84161073825999</v>
      </c>
      <c r="E31">
        <v>328.59194630872997</v>
      </c>
      <c r="F31">
        <v>147.92276422763999</v>
      </c>
      <c r="G31">
        <v>123.25880758808</v>
      </c>
      <c r="I31" s="9">
        <f t="shared" si="1"/>
        <v>205.33313872064997</v>
      </c>
      <c r="J31" s="9">
        <f t="shared" si="2"/>
        <v>629.91884651062003</v>
      </c>
      <c r="K31" s="9">
        <f t="shared" si="3"/>
        <v>205.33313872064997</v>
      </c>
      <c r="L31" s="10">
        <f t="shared" si="0"/>
        <v>0.32596760655451856</v>
      </c>
      <c r="M31" s="10">
        <f t="shared" si="4"/>
        <v>0.34570703740152514</v>
      </c>
      <c r="P31" s="8">
        <f t="shared" si="5"/>
        <v>-28.167650600040549</v>
      </c>
    </row>
    <row r="32" spans="1:16" x14ac:dyDescent="0.2">
      <c r="A32" s="8">
        <v>15</v>
      </c>
      <c r="B32" s="8">
        <v>30</v>
      </c>
      <c r="D32">
        <v>807.12751677851998</v>
      </c>
      <c r="E32">
        <v>330.63624161074</v>
      </c>
      <c r="F32">
        <v>149.38753387534001</v>
      </c>
      <c r="G32">
        <v>122.41463414634001</v>
      </c>
      <c r="I32" s="9">
        <f t="shared" si="1"/>
        <v>208.22160746439999</v>
      </c>
      <c r="J32" s="9">
        <f t="shared" si="2"/>
        <v>657.73998290317991</v>
      </c>
      <c r="K32" s="9">
        <f t="shared" si="3"/>
        <v>208.22160746439999</v>
      </c>
      <c r="L32" s="10">
        <f t="shared" si="0"/>
        <v>0.31657130914459014</v>
      </c>
      <c r="M32" s="10">
        <f t="shared" si="4"/>
        <v>0.33699141002080385</v>
      </c>
      <c r="P32" s="8">
        <f t="shared" si="5"/>
        <v>-29.97861746943834</v>
      </c>
    </row>
    <row r="33" spans="1:16" x14ac:dyDescent="0.2">
      <c r="A33" s="8">
        <v>15.5</v>
      </c>
      <c r="B33" s="8">
        <v>31</v>
      </c>
      <c r="D33">
        <v>791.99057873486004</v>
      </c>
      <c r="E33">
        <v>324.05787348587</v>
      </c>
      <c r="F33">
        <v>148.14363143630999</v>
      </c>
      <c r="G33">
        <v>123.37262872629</v>
      </c>
      <c r="I33" s="9">
        <f t="shared" si="1"/>
        <v>200.68524475958</v>
      </c>
      <c r="J33" s="9">
        <f t="shared" si="2"/>
        <v>643.84694729855005</v>
      </c>
      <c r="K33" s="9">
        <f t="shared" si="3"/>
        <v>200.68524475958</v>
      </c>
      <c r="L33" s="10">
        <f t="shared" si="0"/>
        <v>0.31169712864464794</v>
      </c>
      <c r="M33" s="10">
        <f t="shared" si="4"/>
        <v>0.33279789955006872</v>
      </c>
      <c r="P33" s="8">
        <f t="shared" si="5"/>
        <v>-30.849961343749953</v>
      </c>
    </row>
    <row r="34" spans="1:16" x14ac:dyDescent="0.2">
      <c r="A34" s="8">
        <v>16</v>
      </c>
      <c r="B34" s="8">
        <v>32</v>
      </c>
      <c r="D34">
        <v>827.79138627187001</v>
      </c>
      <c r="E34">
        <v>328.96769851952001</v>
      </c>
      <c r="F34">
        <v>147.21680216802</v>
      </c>
      <c r="G34">
        <v>123.17208672087</v>
      </c>
      <c r="I34" s="9">
        <f t="shared" si="1"/>
        <v>205.79561179865001</v>
      </c>
      <c r="J34" s="9">
        <f t="shared" si="2"/>
        <v>680.57458410385004</v>
      </c>
      <c r="K34" s="9">
        <f t="shared" si="3"/>
        <v>205.79561179865001</v>
      </c>
      <c r="L34" s="10">
        <f t="shared" si="0"/>
        <v>0.30238509724783863</v>
      </c>
      <c r="M34" s="10">
        <f t="shared" si="4"/>
        <v>0.32416653818246655</v>
      </c>
      <c r="P34" s="8">
        <f t="shared" si="5"/>
        <v>-32.643419094032289</v>
      </c>
    </row>
    <row r="35" spans="1:16" x14ac:dyDescent="0.2">
      <c r="A35" s="8">
        <v>16.5</v>
      </c>
      <c r="B35" s="8">
        <v>33</v>
      </c>
      <c r="D35">
        <v>831.31897711979002</v>
      </c>
      <c r="E35">
        <v>327.53566621803998</v>
      </c>
      <c r="F35">
        <v>147.95799457995</v>
      </c>
      <c r="G35">
        <v>123.13008130081001</v>
      </c>
      <c r="I35" s="9">
        <f t="shared" si="1"/>
        <v>204.40558491722999</v>
      </c>
      <c r="J35" s="9">
        <f t="shared" si="2"/>
        <v>683.36098253984005</v>
      </c>
      <c r="K35" s="9">
        <f t="shared" si="3"/>
        <v>204.40558491722999</v>
      </c>
      <c r="L35" s="10">
        <f t="shared" si="0"/>
        <v>0.2991180212799362</v>
      </c>
      <c r="M35" s="10">
        <f t="shared" si="4"/>
        <v>0.32158013224377124</v>
      </c>
      <c r="P35" s="8">
        <f t="shared" si="5"/>
        <v>-33.180832553922919</v>
      </c>
    </row>
    <row r="36" spans="1:16" x14ac:dyDescent="0.2">
      <c r="A36" s="8">
        <v>17</v>
      </c>
      <c r="B36" s="8">
        <v>34</v>
      </c>
      <c r="D36">
        <v>823.98362892223997</v>
      </c>
      <c r="E36">
        <v>323.28240109141001</v>
      </c>
      <c r="F36">
        <v>148.5135501355</v>
      </c>
      <c r="G36">
        <v>123.76964769648001</v>
      </c>
      <c r="I36" s="9">
        <f t="shared" si="1"/>
        <v>199.51275339493</v>
      </c>
      <c r="J36" s="9">
        <f t="shared" si="2"/>
        <v>675.47007878674003</v>
      </c>
      <c r="K36" s="9">
        <f t="shared" si="3"/>
        <v>199.51275339493</v>
      </c>
      <c r="L36" s="10">
        <f t="shared" si="0"/>
        <v>0.2953687508309607</v>
      </c>
      <c r="M36" s="10">
        <f t="shared" si="4"/>
        <v>0.31851153182400288</v>
      </c>
      <c r="P36" s="8">
        <f t="shared" si="5"/>
        <v>-33.818438253761904</v>
      </c>
    </row>
    <row r="37" spans="1:16" x14ac:dyDescent="0.2">
      <c r="A37" s="8">
        <v>17.5</v>
      </c>
      <c r="B37" s="8">
        <v>35</v>
      </c>
      <c r="D37">
        <v>829.21418826739</v>
      </c>
      <c r="E37">
        <v>324.10095497954001</v>
      </c>
      <c r="F37">
        <v>148.83875338753001</v>
      </c>
      <c r="G37">
        <v>123.57181571816</v>
      </c>
      <c r="I37" s="9">
        <f t="shared" si="1"/>
        <v>200.52913926138001</v>
      </c>
      <c r="J37" s="9">
        <f t="shared" si="2"/>
        <v>680.37543487985999</v>
      </c>
      <c r="K37" s="9">
        <f t="shared" si="3"/>
        <v>200.52913926138001</v>
      </c>
      <c r="L37" s="10">
        <f t="shared" si="0"/>
        <v>0.2947330679226966</v>
      </c>
      <c r="M37" s="10">
        <f t="shared" si="4"/>
        <v>0.31855651894494591</v>
      </c>
      <c r="P37" s="8">
        <f t="shared" si="5"/>
        <v>-33.809090655245058</v>
      </c>
    </row>
    <row r="38" spans="1:16" x14ac:dyDescent="0.2">
      <c r="A38" s="8">
        <v>18</v>
      </c>
      <c r="B38" s="8">
        <v>36</v>
      </c>
      <c r="D38">
        <v>827.14188267394002</v>
      </c>
      <c r="E38">
        <v>323.35334242838002</v>
      </c>
      <c r="F38">
        <v>148.10298102981</v>
      </c>
      <c r="G38">
        <v>123.0379403794</v>
      </c>
      <c r="I38" s="9">
        <f t="shared" si="1"/>
        <v>200.31540204898002</v>
      </c>
      <c r="J38" s="9">
        <f t="shared" si="2"/>
        <v>679.03890164412996</v>
      </c>
      <c r="K38" s="9">
        <f t="shared" si="3"/>
        <v>200.31540204898002</v>
      </c>
      <c r="L38" s="10">
        <f t="shared" si="0"/>
        <v>0.29499841844696123</v>
      </c>
      <c r="M38" s="10">
        <f t="shared" si="4"/>
        <v>0.31950253949841767</v>
      </c>
      <c r="P38" s="8">
        <f t="shared" si="5"/>
        <v>-33.612522834562839</v>
      </c>
    </row>
    <row r="39" spans="1:16" x14ac:dyDescent="0.2">
      <c r="A39" s="8">
        <v>18.5</v>
      </c>
      <c r="B39" s="8">
        <v>37</v>
      </c>
      <c r="D39">
        <v>712.11216216215996</v>
      </c>
      <c r="E39">
        <v>299.12972972973</v>
      </c>
      <c r="F39">
        <v>148.78184281842999</v>
      </c>
      <c r="G39">
        <v>123.40785907858999</v>
      </c>
      <c r="I39" s="9">
        <f t="shared" si="1"/>
        <v>175.72187065114002</v>
      </c>
      <c r="J39" s="9">
        <f t="shared" si="2"/>
        <v>563.33031934373003</v>
      </c>
      <c r="K39" s="9">
        <f t="shared" si="3"/>
        <v>175.72187065114002</v>
      </c>
      <c r="L39" s="10">
        <f t="shared" si="0"/>
        <v>0.31193398369868131</v>
      </c>
      <c r="M39" s="10">
        <f t="shared" si="4"/>
        <v>0.33711877477934488</v>
      </c>
      <c r="P39" s="8">
        <f t="shared" si="5"/>
        <v>-29.952153125797764</v>
      </c>
    </row>
    <row r="40" spans="1:16" x14ac:dyDescent="0.2">
      <c r="A40" s="8">
        <v>19</v>
      </c>
      <c r="B40" s="8">
        <v>38</v>
      </c>
      <c r="D40">
        <v>695.35945945946003</v>
      </c>
      <c r="E40">
        <v>331.18378378377997</v>
      </c>
      <c r="F40">
        <v>148.02981029809999</v>
      </c>
      <c r="G40">
        <v>123.35501355014</v>
      </c>
      <c r="I40" s="9">
        <f t="shared" si="1"/>
        <v>207.82877023363997</v>
      </c>
      <c r="J40" s="9">
        <f t="shared" si="2"/>
        <v>547.32964916136007</v>
      </c>
      <c r="K40" s="9">
        <f t="shared" si="3"/>
        <v>207.82877023363997</v>
      </c>
      <c r="L40" s="10">
        <f t="shared" si="0"/>
        <v>0.37971407277512437</v>
      </c>
      <c r="M40" s="10">
        <f t="shared" si="4"/>
        <v>0.40557953388499501</v>
      </c>
      <c r="P40" s="8">
        <f t="shared" si="5"/>
        <v>-15.727111005663531</v>
      </c>
    </row>
    <row r="41" spans="1:16" x14ac:dyDescent="0.2">
      <c r="A41" s="8">
        <v>19.5</v>
      </c>
      <c r="B41" s="8">
        <v>39</v>
      </c>
      <c r="D41">
        <v>701.87162162161997</v>
      </c>
      <c r="E41">
        <v>331.44459459460001</v>
      </c>
      <c r="F41">
        <v>148.54065040649999</v>
      </c>
      <c r="G41">
        <v>123.30081300813001</v>
      </c>
      <c r="I41" s="9">
        <f t="shared" si="1"/>
        <v>208.14378158647</v>
      </c>
      <c r="J41" s="9">
        <f t="shared" si="2"/>
        <v>553.33097121511992</v>
      </c>
      <c r="K41" s="9">
        <f t="shared" si="3"/>
        <v>208.14378158647</v>
      </c>
      <c r="L41" s="10">
        <f t="shared" si="0"/>
        <v>0.37616506650510512</v>
      </c>
      <c r="M41" s="10">
        <f t="shared" si="4"/>
        <v>0.40271119764418289</v>
      </c>
      <c r="P41" s="8">
        <f t="shared" si="5"/>
        <v>-16.323105037475141</v>
      </c>
    </row>
    <row r="42" spans="1:16" x14ac:dyDescent="0.2">
      <c r="A42" s="8">
        <v>20</v>
      </c>
      <c r="B42" s="8">
        <v>40</v>
      </c>
      <c r="D42">
        <v>738.71409214092</v>
      </c>
      <c r="E42">
        <v>331.77506775068002</v>
      </c>
      <c r="F42">
        <v>148.23577235772001</v>
      </c>
      <c r="G42">
        <v>123.46612466125001</v>
      </c>
      <c r="I42" s="9">
        <f t="shared" si="1"/>
        <v>208.30894308943002</v>
      </c>
      <c r="J42" s="9">
        <f t="shared" si="2"/>
        <v>590.47831978320005</v>
      </c>
      <c r="K42" s="9">
        <f t="shared" si="3"/>
        <v>208.30894308943002</v>
      </c>
      <c r="L42" s="10">
        <f t="shared" si="0"/>
        <v>0.35278000243245627</v>
      </c>
      <c r="M42" s="10">
        <f t="shared" si="4"/>
        <v>0.38000680360074118</v>
      </c>
      <c r="P42" s="8">
        <f t="shared" si="5"/>
        <v>-21.040712113401181</v>
      </c>
    </row>
    <row r="43" spans="1:16" x14ac:dyDescent="0.2">
      <c r="A43" s="8">
        <v>20.5</v>
      </c>
      <c r="B43" s="8">
        <v>41</v>
      </c>
      <c r="D43">
        <v>769.31165311653001</v>
      </c>
      <c r="E43">
        <v>331.28319783197998</v>
      </c>
      <c r="F43">
        <v>148.73306233061999</v>
      </c>
      <c r="G43">
        <v>123.71002710027</v>
      </c>
      <c r="I43" s="9">
        <f t="shared" si="1"/>
        <v>207.57317073170998</v>
      </c>
      <c r="J43" s="9">
        <f t="shared" si="2"/>
        <v>620.57859078591002</v>
      </c>
      <c r="K43" s="9">
        <f t="shared" si="3"/>
        <v>207.57317073170998</v>
      </c>
      <c r="L43" s="10">
        <f t="shared" si="0"/>
        <v>0.33448329319391473</v>
      </c>
      <c r="M43" s="10">
        <f t="shared" si="4"/>
        <v>0.36239076439140677</v>
      </c>
      <c r="P43" s="8">
        <f t="shared" si="5"/>
        <v>-24.70104108165004</v>
      </c>
    </row>
    <row r="44" spans="1:16" x14ac:dyDescent="0.2">
      <c r="A44" s="8">
        <v>21</v>
      </c>
      <c r="B44" s="8">
        <v>42</v>
      </c>
      <c r="D44">
        <v>769.97425474254999</v>
      </c>
      <c r="E44">
        <v>330.16531165312</v>
      </c>
      <c r="F44">
        <v>148.26693766938001</v>
      </c>
      <c r="G44">
        <v>123.72222222222</v>
      </c>
      <c r="I44" s="9">
        <f t="shared" si="1"/>
        <v>206.44308943089999</v>
      </c>
      <c r="J44" s="9">
        <f t="shared" si="2"/>
        <v>621.70731707316997</v>
      </c>
      <c r="K44" s="9">
        <f t="shared" si="3"/>
        <v>206.44308943089999</v>
      </c>
      <c r="L44" s="10">
        <f t="shared" si="0"/>
        <v>0.33205832352557513</v>
      </c>
      <c r="M44" s="10">
        <f t="shared" si="4"/>
        <v>0.3606464647522743</v>
      </c>
      <c r="P44" s="8">
        <f t="shared" si="5"/>
        <v>-25.06347842767045</v>
      </c>
    </row>
    <row r="45" spans="1:16" x14ac:dyDescent="0.2">
      <c r="A45" s="8">
        <v>21.5</v>
      </c>
      <c r="B45" s="8">
        <v>43</v>
      </c>
      <c r="D45">
        <v>745.33468834687994</v>
      </c>
      <c r="E45">
        <v>337.89566395664002</v>
      </c>
      <c r="F45">
        <v>148.29810298103001</v>
      </c>
      <c r="G45">
        <v>123.09214092141001</v>
      </c>
      <c r="I45" s="9">
        <f t="shared" si="1"/>
        <v>214.80352303523</v>
      </c>
      <c r="J45" s="9">
        <f t="shared" si="2"/>
        <v>597.03658536584999</v>
      </c>
      <c r="K45" s="9">
        <f t="shared" si="3"/>
        <v>214.80352303523</v>
      </c>
      <c r="L45" s="10">
        <f t="shared" si="0"/>
        <v>0.35978284798678367</v>
      </c>
      <c r="M45" s="10">
        <f t="shared" si="4"/>
        <v>0.38905165924268997</v>
      </c>
      <c r="P45" s="8">
        <f t="shared" si="5"/>
        <v>-19.161336918646196</v>
      </c>
    </row>
    <row r="46" spans="1:16" x14ac:dyDescent="0.2">
      <c r="A46" s="8">
        <v>22</v>
      </c>
      <c r="B46" s="8">
        <v>44</v>
      </c>
      <c r="D46">
        <v>719.64092140921002</v>
      </c>
      <c r="E46">
        <v>346.59620596206003</v>
      </c>
      <c r="F46">
        <v>148.24796747968</v>
      </c>
      <c r="G46">
        <v>123.57859078591</v>
      </c>
      <c r="I46" s="9">
        <f t="shared" si="1"/>
        <v>223.01761517615003</v>
      </c>
      <c r="J46" s="9">
        <f t="shared" si="2"/>
        <v>571.39295392952999</v>
      </c>
      <c r="K46" s="9">
        <f t="shared" si="3"/>
        <v>223.01761517615003</v>
      </c>
      <c r="L46" s="10">
        <f t="shared" si="0"/>
        <v>0.3903051545218299</v>
      </c>
      <c r="M46" s="10">
        <f t="shared" si="4"/>
        <v>0.42025463580694333</v>
      </c>
      <c r="P46" s="8">
        <f t="shared" si="5"/>
        <v>-12.677861396338805</v>
      </c>
    </row>
    <row r="47" spans="1:16" x14ac:dyDescent="0.2">
      <c r="A47" s="8">
        <v>22.5</v>
      </c>
      <c r="B47" s="8">
        <v>45</v>
      </c>
      <c r="D47">
        <v>737.75273224043997</v>
      </c>
      <c r="E47">
        <v>354.53142076503002</v>
      </c>
      <c r="F47">
        <v>148.4620596206</v>
      </c>
      <c r="G47">
        <v>123.4756097561</v>
      </c>
      <c r="I47" s="9">
        <f t="shared" si="1"/>
        <v>231.05581100893002</v>
      </c>
      <c r="J47" s="9">
        <f t="shared" si="2"/>
        <v>589.29067261983994</v>
      </c>
      <c r="K47" s="9">
        <f t="shared" si="3"/>
        <v>231.05581100893002</v>
      </c>
      <c r="L47" s="10">
        <f t="shared" si="0"/>
        <v>0.39209141047780932</v>
      </c>
      <c r="M47" s="10">
        <f t="shared" si="4"/>
        <v>0.42272156179212983</v>
      </c>
      <c r="P47" s="8">
        <f t="shared" si="5"/>
        <v>-12.165273944710105</v>
      </c>
    </row>
    <row r="48" spans="1:16" x14ac:dyDescent="0.2">
      <c r="A48" s="8">
        <v>23</v>
      </c>
      <c r="B48" s="8">
        <v>46</v>
      </c>
      <c r="D48">
        <v>742.42896174862994</v>
      </c>
      <c r="E48">
        <v>363.91530054645</v>
      </c>
      <c r="F48">
        <v>148.37804878048999</v>
      </c>
      <c r="G48">
        <v>123.39701897019</v>
      </c>
      <c r="I48" s="9">
        <f t="shared" si="1"/>
        <v>240.51828157625999</v>
      </c>
      <c r="J48" s="9">
        <f t="shared" si="2"/>
        <v>594.05091296813998</v>
      </c>
      <c r="K48" s="9">
        <f t="shared" si="3"/>
        <v>240.51828157625999</v>
      </c>
      <c r="L48" s="10">
        <f t="shared" si="0"/>
        <v>0.40487822899644194</v>
      </c>
      <c r="M48" s="10">
        <f t="shared" si="4"/>
        <v>0.43618905033996958</v>
      </c>
      <c r="P48" s="8">
        <f t="shared" si="5"/>
        <v>-9.3669469271875236</v>
      </c>
    </row>
    <row r="49" spans="1:25" x14ac:dyDescent="0.2">
      <c r="A49" s="8">
        <v>23.5</v>
      </c>
      <c r="B49" s="8">
        <v>47</v>
      </c>
      <c r="D49">
        <v>749.98907103825002</v>
      </c>
      <c r="E49">
        <v>374.41803278689002</v>
      </c>
      <c r="F49">
        <v>148.4756097561</v>
      </c>
      <c r="G49">
        <v>122.97154471544999</v>
      </c>
      <c r="I49" s="9">
        <f t="shared" si="1"/>
        <v>251.44648807144003</v>
      </c>
      <c r="J49" s="9">
        <f t="shared" si="2"/>
        <v>601.51346128215005</v>
      </c>
      <c r="K49" s="9">
        <f t="shared" si="3"/>
        <v>251.44648807144003</v>
      </c>
      <c r="L49" s="10">
        <f t="shared" si="0"/>
        <v>0.41802304396558604</v>
      </c>
      <c r="M49" s="10">
        <f t="shared" si="4"/>
        <v>0.45001453533832081</v>
      </c>
      <c r="P49" s="8">
        <f t="shared" si="5"/>
        <v>-6.494234018332282</v>
      </c>
    </row>
    <row r="50" spans="1:25" x14ac:dyDescent="0.2">
      <c r="A50" s="8">
        <v>24</v>
      </c>
      <c r="B50" s="8">
        <v>48</v>
      </c>
      <c r="D50">
        <v>715.22677595627999</v>
      </c>
      <c r="E50">
        <v>365.76366120219001</v>
      </c>
      <c r="F50">
        <v>148.74390243901999</v>
      </c>
      <c r="G50">
        <v>123.53387533874999</v>
      </c>
      <c r="I50" s="9">
        <f t="shared" si="1"/>
        <v>242.22978586344001</v>
      </c>
      <c r="J50" s="9">
        <f t="shared" si="2"/>
        <v>566.48287351726003</v>
      </c>
      <c r="K50" s="9">
        <f t="shared" si="3"/>
        <v>242.22978586344001</v>
      </c>
      <c r="L50" s="10">
        <f t="shared" si="0"/>
        <v>0.42760301712115145</v>
      </c>
      <c r="M50" s="10">
        <f t="shared" si="4"/>
        <v>0.46027517852309335</v>
      </c>
      <c r="P50" s="8">
        <f t="shared" si="5"/>
        <v>-4.3622377712878686</v>
      </c>
    </row>
    <row r="51" spans="1:25" x14ac:dyDescent="0.2">
      <c r="A51" s="8">
        <v>24.5</v>
      </c>
      <c r="B51" s="8">
        <v>49</v>
      </c>
      <c r="D51">
        <v>715.49453551912995</v>
      </c>
      <c r="E51">
        <v>363.02868852459</v>
      </c>
      <c r="F51">
        <v>148.64092140920999</v>
      </c>
      <c r="G51">
        <v>123.20596205962001</v>
      </c>
      <c r="I51" s="9">
        <f t="shared" si="1"/>
        <v>239.82272646497</v>
      </c>
      <c r="J51" s="9">
        <f t="shared" si="2"/>
        <v>566.85361410991993</v>
      </c>
      <c r="K51" s="9">
        <f t="shared" si="3"/>
        <v>239.82272646497</v>
      </c>
      <c r="L51" s="10">
        <f t="shared" si="0"/>
        <v>0.42307699994387865</v>
      </c>
      <c r="M51" s="10">
        <f t="shared" si="4"/>
        <v>0.45642983137502768</v>
      </c>
      <c r="P51" s="8">
        <f t="shared" si="5"/>
        <v>-5.1612389197174027</v>
      </c>
    </row>
    <row r="52" spans="1:25" x14ac:dyDescent="0.2">
      <c r="A52" s="8">
        <v>25</v>
      </c>
      <c r="B52" s="8">
        <v>50</v>
      </c>
      <c r="D52">
        <v>737.01502732239999</v>
      </c>
      <c r="E52">
        <v>365.98497267760001</v>
      </c>
      <c r="F52">
        <v>148.26558265583</v>
      </c>
      <c r="G52">
        <v>123.10162601626</v>
      </c>
      <c r="I52" s="9">
        <f t="shared" si="1"/>
        <v>242.88334666134</v>
      </c>
      <c r="J52" s="9">
        <f t="shared" si="2"/>
        <v>588.74944466656996</v>
      </c>
      <c r="K52" s="9">
        <f t="shared" si="3"/>
        <v>242.88334666134</v>
      </c>
      <c r="L52" s="10">
        <f t="shared" si="0"/>
        <v>0.41254110532349392</v>
      </c>
      <c r="M52" s="10">
        <f t="shared" si="4"/>
        <v>0.44657460678385008</v>
      </c>
      <c r="P52" s="8">
        <f t="shared" si="5"/>
        <v>-7.2089957185653137</v>
      </c>
    </row>
    <row r="53" spans="1:25" x14ac:dyDescent="0.2">
      <c r="A53" s="8">
        <v>25.5</v>
      </c>
      <c r="B53" s="8">
        <v>51</v>
      </c>
      <c r="D53">
        <v>739.41120218578999</v>
      </c>
      <c r="E53">
        <v>359.84972677595999</v>
      </c>
      <c r="F53">
        <v>149.33062330623</v>
      </c>
      <c r="G53">
        <v>123.46883468835</v>
      </c>
      <c r="I53" s="9">
        <f t="shared" si="1"/>
        <v>236.38089208760999</v>
      </c>
      <c r="J53" s="9">
        <f t="shared" si="2"/>
        <v>590.08057887955999</v>
      </c>
      <c r="K53" s="9">
        <f t="shared" si="3"/>
        <v>236.38089208760999</v>
      </c>
      <c r="L53" s="10">
        <f t="shared" si="0"/>
        <v>0.40059086936304195</v>
      </c>
      <c r="M53" s="10">
        <f t="shared" si="4"/>
        <v>0.43530504085260524</v>
      </c>
      <c r="P53" s="8">
        <f t="shared" si="5"/>
        <v>-9.5506298479823375</v>
      </c>
      <c r="S53" s="11"/>
      <c r="U53" s="12"/>
    </row>
    <row r="54" spans="1:25" x14ac:dyDescent="0.2">
      <c r="A54" s="8">
        <v>26</v>
      </c>
      <c r="B54" s="8">
        <v>52</v>
      </c>
      <c r="D54">
        <v>736.73360655737997</v>
      </c>
      <c r="E54">
        <v>362.60928961748999</v>
      </c>
      <c r="F54">
        <v>148.74254742547001</v>
      </c>
      <c r="G54">
        <v>123.51626016260001</v>
      </c>
      <c r="I54" s="9">
        <f t="shared" si="1"/>
        <v>239.09302945488997</v>
      </c>
      <c r="J54" s="9">
        <f t="shared" si="2"/>
        <v>587.99105913190999</v>
      </c>
      <c r="K54" s="9">
        <f t="shared" si="3"/>
        <v>239.09302945488997</v>
      </c>
      <c r="L54" s="10">
        <f t="shared" si="0"/>
        <v>0.40662698138281012</v>
      </c>
      <c r="M54" s="10">
        <f t="shared" si="4"/>
        <v>0.44202182290158049</v>
      </c>
      <c r="P54" s="8">
        <f t="shared" si="5"/>
        <v>-8.1549908161249061</v>
      </c>
      <c r="S54" s="11"/>
    </row>
    <row r="55" spans="1:25" x14ac:dyDescent="0.2">
      <c r="A55" s="8">
        <v>26.5</v>
      </c>
      <c r="B55" s="8">
        <v>53</v>
      </c>
      <c r="D55">
        <v>724.33606557377004</v>
      </c>
      <c r="E55">
        <v>358.21311475409999</v>
      </c>
      <c r="F55">
        <v>149.13550135501001</v>
      </c>
      <c r="G55">
        <v>123.38211382114</v>
      </c>
      <c r="I55" s="9">
        <f t="shared" si="1"/>
        <v>234.83100093295999</v>
      </c>
      <c r="J55" s="9">
        <f t="shared" si="2"/>
        <v>575.20056421876006</v>
      </c>
      <c r="K55" s="9">
        <f t="shared" si="3"/>
        <v>234.83100093295999</v>
      </c>
      <c r="L55" s="10">
        <f t="shared" si="0"/>
        <v>0.40825933690087474</v>
      </c>
      <c r="M55" s="10">
        <f t="shared" si="4"/>
        <v>0.44433484844885224</v>
      </c>
      <c r="P55" s="8">
        <f t="shared" si="5"/>
        <v>-7.6743813945420873</v>
      </c>
      <c r="S55" s="11"/>
    </row>
    <row r="56" spans="1:25" x14ac:dyDescent="0.2">
      <c r="A56" s="8">
        <v>27</v>
      </c>
      <c r="B56" s="8">
        <v>54</v>
      </c>
      <c r="D56">
        <v>727.08791208791001</v>
      </c>
      <c r="E56">
        <v>357.3543956044</v>
      </c>
      <c r="F56">
        <v>149.12059620596</v>
      </c>
      <c r="G56">
        <v>123.40921409214</v>
      </c>
      <c r="I56" s="9">
        <f t="shared" si="1"/>
        <v>233.94518151225998</v>
      </c>
      <c r="J56" s="9">
        <f t="shared" si="2"/>
        <v>577.96731588195007</v>
      </c>
      <c r="K56" s="9">
        <f t="shared" si="3"/>
        <v>233.94518151225998</v>
      </c>
      <c r="L56" s="10">
        <f t="shared" si="0"/>
        <v>0.40477233761094428</v>
      </c>
      <c r="M56" s="10">
        <f t="shared" si="4"/>
        <v>0.44152851918812891</v>
      </c>
      <c r="P56" s="8">
        <f t="shared" si="5"/>
        <v>-8.2574913754750909</v>
      </c>
      <c r="S56" s="11"/>
    </row>
    <row r="57" spans="1:25" x14ac:dyDescent="0.2">
      <c r="A57" s="8">
        <v>27.5</v>
      </c>
      <c r="B57" s="8">
        <v>55</v>
      </c>
      <c r="D57">
        <v>726.05769230768999</v>
      </c>
      <c r="E57">
        <v>353.53983516483999</v>
      </c>
      <c r="F57">
        <v>149.07994579946001</v>
      </c>
      <c r="G57">
        <v>123.96341463415</v>
      </c>
      <c r="I57" s="9">
        <f t="shared" si="1"/>
        <v>229.57642053068997</v>
      </c>
      <c r="J57" s="9">
        <f t="shared" si="2"/>
        <v>576.97774650822998</v>
      </c>
      <c r="K57" s="9">
        <f t="shared" si="3"/>
        <v>229.57642053068997</v>
      </c>
      <c r="L57" s="10">
        <f t="shared" si="0"/>
        <v>0.39789475750156217</v>
      </c>
      <c r="M57" s="10">
        <f t="shared" si="4"/>
        <v>0.43533160910795393</v>
      </c>
      <c r="P57" s="8">
        <f t="shared" si="5"/>
        <v>-9.5451093928145774</v>
      </c>
      <c r="S57" s="11"/>
    </row>
    <row r="58" spans="1:25" x14ac:dyDescent="0.2">
      <c r="A58" s="8">
        <v>28</v>
      </c>
      <c r="B58" s="8">
        <v>56</v>
      </c>
      <c r="D58">
        <v>732.83379120878999</v>
      </c>
      <c r="E58">
        <v>351.80769230768999</v>
      </c>
      <c r="F58">
        <v>148.40108401084001</v>
      </c>
      <c r="G58">
        <v>123.32655826558</v>
      </c>
      <c r="I58" s="9">
        <f t="shared" si="1"/>
        <v>228.48113404211</v>
      </c>
      <c r="J58" s="9">
        <f t="shared" si="2"/>
        <v>584.43270719794998</v>
      </c>
      <c r="K58" s="9">
        <f t="shared" si="3"/>
        <v>228.48113404211</v>
      </c>
      <c r="L58" s="10">
        <f t="shared" si="0"/>
        <v>0.39094515284327236</v>
      </c>
      <c r="M58" s="10">
        <f t="shared" si="4"/>
        <v>0.42906267447887125</v>
      </c>
      <c r="P58" s="8">
        <f t="shared" si="5"/>
        <v>-10.847692950344973</v>
      </c>
      <c r="S58" s="11"/>
    </row>
    <row r="59" spans="1:25" x14ac:dyDescent="0.2">
      <c r="A59" s="8">
        <v>28.5</v>
      </c>
      <c r="B59" s="8">
        <v>57</v>
      </c>
      <c r="D59">
        <v>742.98763736264004</v>
      </c>
      <c r="E59">
        <v>350.97252747252998</v>
      </c>
      <c r="F59">
        <v>149.0352303523</v>
      </c>
      <c r="G59">
        <v>123.45934959349999</v>
      </c>
      <c r="I59" s="9">
        <f t="shared" si="1"/>
        <v>227.51317787902997</v>
      </c>
      <c r="J59" s="9">
        <f t="shared" si="2"/>
        <v>593.95240701034004</v>
      </c>
      <c r="K59" s="9">
        <f t="shared" si="3"/>
        <v>227.51317787902997</v>
      </c>
      <c r="L59" s="10">
        <f t="shared" si="0"/>
        <v>0.38304950900732559</v>
      </c>
      <c r="M59" s="10">
        <f t="shared" si="4"/>
        <v>0.42184770067213162</v>
      </c>
      <c r="P59" s="8">
        <f t="shared" si="5"/>
        <v>-12.346848198363046</v>
      </c>
      <c r="R59" s="1"/>
      <c r="S59" s="11"/>
    </row>
    <row r="60" spans="1:25" x14ac:dyDescent="0.2">
      <c r="A60" s="8">
        <v>29</v>
      </c>
      <c r="B60" s="8">
        <v>58</v>
      </c>
      <c r="D60">
        <v>744.81318681318999</v>
      </c>
      <c r="E60">
        <v>342.27197802197998</v>
      </c>
      <c r="F60">
        <v>148.55962059621001</v>
      </c>
      <c r="G60">
        <v>123.74254742546999</v>
      </c>
      <c r="I60" s="9">
        <f t="shared" si="1"/>
        <v>218.52943059651</v>
      </c>
      <c r="J60" s="9">
        <f t="shared" si="2"/>
        <v>596.25356621697995</v>
      </c>
      <c r="K60" s="9">
        <f t="shared" si="3"/>
        <v>218.52943059651</v>
      </c>
      <c r="L60" s="10">
        <f t="shared" si="0"/>
        <v>0.36650419046212618</v>
      </c>
      <c r="M60" s="10">
        <f t="shared" si="4"/>
        <v>0.40598305215613928</v>
      </c>
      <c r="P60" s="8">
        <f t="shared" si="5"/>
        <v>-15.64326641383812</v>
      </c>
      <c r="S60" s="11"/>
    </row>
    <row r="61" spans="1:25" x14ac:dyDescent="0.2">
      <c r="A61" s="8">
        <v>29.5</v>
      </c>
      <c r="B61" s="8">
        <v>59</v>
      </c>
      <c r="C61" s="2"/>
      <c r="D61">
        <v>735.57692307692002</v>
      </c>
      <c r="E61">
        <v>350.16895604396001</v>
      </c>
      <c r="F61">
        <v>149.49186991869999</v>
      </c>
      <c r="G61">
        <v>123.39430894309</v>
      </c>
      <c r="I61" s="9">
        <f t="shared" si="1"/>
        <v>226.77464710087003</v>
      </c>
      <c r="J61" s="9">
        <f t="shared" si="2"/>
        <v>586.08505315822003</v>
      </c>
      <c r="K61" s="9">
        <f t="shared" si="3"/>
        <v>226.77464710087003</v>
      </c>
      <c r="L61" s="10">
        <f t="shared" si="0"/>
        <v>0.3869312924444257</v>
      </c>
      <c r="M61" s="10">
        <f t="shared" si="4"/>
        <v>0.42709082416764593</v>
      </c>
      <c r="P61" s="8">
        <f t="shared" si="5"/>
        <v>-11.257411657794494</v>
      </c>
      <c r="S61" s="11"/>
    </row>
    <row r="62" spans="1:25" x14ac:dyDescent="0.2">
      <c r="A62" s="8">
        <v>30</v>
      </c>
      <c r="B62" s="8">
        <v>60</v>
      </c>
      <c r="D62">
        <v>748.73901098901001</v>
      </c>
      <c r="E62">
        <v>361.19505494506001</v>
      </c>
      <c r="F62">
        <v>149.18428184282001</v>
      </c>
      <c r="G62">
        <v>123.40379403794</v>
      </c>
      <c r="I62" s="9">
        <f t="shared" si="1"/>
        <v>237.79126090712001</v>
      </c>
      <c r="J62" s="9">
        <f t="shared" si="2"/>
        <v>599.55472914618997</v>
      </c>
      <c r="K62" s="9">
        <f t="shared" si="3"/>
        <v>237.79126090712001</v>
      </c>
      <c r="L62" s="10">
        <f t="shared" si="0"/>
        <v>0.39661310193608557</v>
      </c>
      <c r="M62" s="10">
        <f t="shared" si="4"/>
        <v>0.43745330368851293</v>
      </c>
      <c r="P62" s="8">
        <f t="shared" si="5"/>
        <v>-9.1042554617628326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738.63186813186996</v>
      </c>
      <c r="E63">
        <v>359.99313186812998</v>
      </c>
      <c r="F63">
        <v>148.95392953929999</v>
      </c>
      <c r="G63">
        <v>122.86720867209</v>
      </c>
      <c r="I63" s="9">
        <f t="shared" si="1"/>
        <v>237.12592319603999</v>
      </c>
      <c r="J63" s="9">
        <f t="shared" si="2"/>
        <v>589.67793859256994</v>
      </c>
      <c r="K63" s="9">
        <f t="shared" si="3"/>
        <v>237.12592319603999</v>
      </c>
      <c r="L63" s="10">
        <f t="shared" si="0"/>
        <v>0.4021278526410651</v>
      </c>
      <c r="M63" s="10">
        <f t="shared" si="4"/>
        <v>0.44364872442269959</v>
      </c>
      <c r="P63" s="8">
        <f t="shared" si="5"/>
        <v>-7.8169469065107089</v>
      </c>
    </row>
    <row r="64" spans="1:25" x14ac:dyDescent="0.2">
      <c r="A64" s="8">
        <v>31</v>
      </c>
      <c r="B64" s="8">
        <v>62</v>
      </c>
      <c r="D64">
        <v>738.59615384614995</v>
      </c>
      <c r="E64">
        <v>364.33653846153999</v>
      </c>
      <c r="F64">
        <v>148.55691056910999</v>
      </c>
      <c r="G64">
        <v>123.88888888888999</v>
      </c>
      <c r="I64" s="9">
        <f t="shared" si="1"/>
        <v>240.44764957264999</v>
      </c>
      <c r="J64" s="9">
        <f t="shared" si="2"/>
        <v>590.03924327703999</v>
      </c>
      <c r="K64" s="9">
        <f t="shared" si="3"/>
        <v>240.44764957264999</v>
      </c>
      <c r="L64" s="10">
        <f t="shared" si="0"/>
        <v>0.40751128388888036</v>
      </c>
      <c r="M64" s="10">
        <f t="shared" si="4"/>
        <v>0.44971282569972199</v>
      </c>
      <c r="P64" s="8">
        <f t="shared" si="5"/>
        <v>-6.5569244175213326</v>
      </c>
      <c r="U64" s="8">
        <v>30.5</v>
      </c>
      <c r="V64" s="10">
        <f>L62</f>
        <v>0.39661310193608557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740.92857142856997</v>
      </c>
      <c r="E65">
        <v>368.71703296702998</v>
      </c>
      <c r="F65">
        <v>148.36314363144001</v>
      </c>
      <c r="G65">
        <v>123.64227642276001</v>
      </c>
      <c r="I65" s="9">
        <f t="shared" si="1"/>
        <v>245.07475654426997</v>
      </c>
      <c r="J65" s="9">
        <f t="shared" si="2"/>
        <v>592.56542779712993</v>
      </c>
      <c r="K65" s="9">
        <f t="shared" si="3"/>
        <v>245.07475654426997</v>
      </c>
      <c r="L65" s="10">
        <f t="shared" si="0"/>
        <v>0.4135826105403056</v>
      </c>
      <c r="M65" s="10">
        <f t="shared" si="4"/>
        <v>0.45646482238035435</v>
      </c>
      <c r="P65" s="8">
        <f t="shared" si="5"/>
        <v>-5.1539683528832025</v>
      </c>
      <c r="U65" s="8">
        <v>31</v>
      </c>
      <c r="V65" s="10">
        <f t="shared" ref="V65:V83" si="6">L63</f>
        <v>0.4021278526410651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745.48626373625996</v>
      </c>
      <c r="E66">
        <v>381.61263736263999</v>
      </c>
      <c r="F66">
        <v>148.79403794038001</v>
      </c>
      <c r="G66">
        <v>123.54471544715</v>
      </c>
      <c r="I66" s="9">
        <f t="shared" si="1"/>
        <v>258.06792191548999</v>
      </c>
      <c r="J66" s="9">
        <f t="shared" si="2"/>
        <v>596.69222579587995</v>
      </c>
      <c r="K66" s="9">
        <f t="shared" si="3"/>
        <v>258.06792191548999</v>
      </c>
      <c r="L66" s="10">
        <f t="shared" ref="L66:L129" si="7">K66/J66</f>
        <v>0.43249754355568126</v>
      </c>
      <c r="M66" s="10">
        <f t="shared" si="4"/>
        <v>0.47606042542493715</v>
      </c>
      <c r="P66" s="8">
        <f t="shared" si="5"/>
        <v>-1.0823179312387321</v>
      </c>
      <c r="U66" s="8">
        <v>31.5</v>
      </c>
      <c r="V66" s="10">
        <f t="shared" si="6"/>
        <v>0.40751128388888036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748.52335164834994</v>
      </c>
      <c r="E67">
        <v>388.64972527472997</v>
      </c>
      <c r="F67">
        <v>148.78184281842999</v>
      </c>
      <c r="G67">
        <v>123.14498644987</v>
      </c>
      <c r="I67" s="9">
        <f t="shared" ref="I67:I130" si="8">E67-G67</f>
        <v>265.50473882485994</v>
      </c>
      <c r="J67" s="9">
        <f t="shared" ref="J67:J130" si="9">D67-F67</f>
        <v>599.74150882991989</v>
      </c>
      <c r="K67" s="9">
        <f t="shared" ref="K67:K130" si="10">I67*1</f>
        <v>265.50473882485994</v>
      </c>
      <c r="L67" s="10">
        <f t="shared" si="7"/>
        <v>0.44269862084892669</v>
      </c>
      <c r="M67" s="10">
        <f t="shared" ref="M67:M130" si="11">L67+ABS($N$2)*A67</f>
        <v>0.48694217274738971</v>
      </c>
      <c r="P67" s="8">
        <f t="shared" ref="P67:P130" si="12">(M67-$O$2)/$O$2*100</f>
        <v>1.1787337431031371</v>
      </c>
      <c r="U67" s="8">
        <v>32</v>
      </c>
      <c r="V67" s="10">
        <f t="shared" si="6"/>
        <v>0.4135826105403056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750.22527472527997</v>
      </c>
      <c r="E68">
        <v>370.96428571428999</v>
      </c>
      <c r="F68">
        <v>149.02574525745001</v>
      </c>
      <c r="G68">
        <v>123.33062330623</v>
      </c>
      <c r="I68" s="9">
        <f t="shared" si="8"/>
        <v>247.63366240805999</v>
      </c>
      <c r="J68" s="9">
        <f t="shared" si="9"/>
        <v>601.19952946782996</v>
      </c>
      <c r="K68" s="9">
        <f t="shared" si="10"/>
        <v>247.63366240805999</v>
      </c>
      <c r="L68" s="10">
        <f t="shared" si="7"/>
        <v>0.41189929510966261</v>
      </c>
      <c r="M68" s="10">
        <f t="shared" si="11"/>
        <v>0.4568235170373327</v>
      </c>
      <c r="P68" s="8">
        <f t="shared" si="12"/>
        <v>-5.0794373855021666</v>
      </c>
      <c r="U68" s="8">
        <v>32.5</v>
      </c>
      <c r="V68" s="10">
        <f t="shared" si="6"/>
        <v>0.43249754355568126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793.1456043956</v>
      </c>
      <c r="E69">
        <v>394.71565934066001</v>
      </c>
      <c r="F69">
        <v>148.23035230351999</v>
      </c>
      <c r="G69">
        <v>123.57452574526</v>
      </c>
      <c r="I69" s="9">
        <f t="shared" si="8"/>
        <v>271.14113359539999</v>
      </c>
      <c r="J69" s="9">
        <f t="shared" si="9"/>
        <v>644.91525209207998</v>
      </c>
      <c r="K69" s="9">
        <f t="shared" si="10"/>
        <v>271.14113359539999</v>
      </c>
      <c r="L69" s="10">
        <f t="shared" si="7"/>
        <v>0.4204290915989794</v>
      </c>
      <c r="M69" s="10">
        <f t="shared" si="11"/>
        <v>0.46603398355585662</v>
      </c>
      <c r="P69" s="8">
        <f t="shared" si="12"/>
        <v>-3.1656509203258598</v>
      </c>
      <c r="U69" s="8">
        <v>33</v>
      </c>
      <c r="V69" s="10">
        <f t="shared" si="6"/>
        <v>0.44269862084892669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789.31842818428004</v>
      </c>
      <c r="E70">
        <v>391.63279132791001</v>
      </c>
      <c r="F70">
        <v>149.23712737126999</v>
      </c>
      <c r="G70">
        <v>123.42276422764</v>
      </c>
      <c r="I70" s="9">
        <f t="shared" si="8"/>
        <v>268.21002710027</v>
      </c>
      <c r="J70" s="9">
        <f t="shared" si="9"/>
        <v>640.0813008130101</v>
      </c>
      <c r="K70" s="9">
        <f t="shared" si="10"/>
        <v>268.21002710027</v>
      </c>
      <c r="L70" s="10">
        <f t="shared" si="7"/>
        <v>0.41902493755027448</v>
      </c>
      <c r="M70" s="10">
        <f t="shared" si="11"/>
        <v>0.46531049953635883</v>
      </c>
      <c r="P70" s="8">
        <f t="shared" si="12"/>
        <v>-3.3159792366496368</v>
      </c>
      <c r="U70" s="8">
        <v>33.5</v>
      </c>
      <c r="V70" s="10">
        <f t="shared" si="6"/>
        <v>0.41189929510966261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830.30894308943004</v>
      </c>
      <c r="E71">
        <v>390.57181571816</v>
      </c>
      <c r="F71">
        <v>148.74932249323001</v>
      </c>
      <c r="G71">
        <v>123.64634146342</v>
      </c>
      <c r="I71" s="9">
        <f t="shared" si="8"/>
        <v>266.92547425473998</v>
      </c>
      <c r="J71" s="9">
        <f t="shared" si="9"/>
        <v>681.55962059620003</v>
      </c>
      <c r="K71" s="9">
        <f t="shared" si="10"/>
        <v>266.92547425473998</v>
      </c>
      <c r="L71" s="10">
        <f t="shared" si="7"/>
        <v>0.39163921422053244</v>
      </c>
      <c r="M71" s="10">
        <f t="shared" si="11"/>
        <v>0.43860544623582393</v>
      </c>
      <c r="P71" s="8">
        <f t="shared" si="12"/>
        <v>-8.8648588135514785</v>
      </c>
      <c r="U71" s="8">
        <v>34</v>
      </c>
      <c r="V71" s="10">
        <f t="shared" si="6"/>
        <v>0.4204290915989794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842.17162162162003</v>
      </c>
      <c r="E72">
        <v>383.42972972973001</v>
      </c>
      <c r="F72">
        <v>148.65718157181999</v>
      </c>
      <c r="G72">
        <v>123.90650406504</v>
      </c>
      <c r="I72" s="9">
        <f t="shared" si="8"/>
        <v>259.52322566469002</v>
      </c>
      <c r="J72" s="9">
        <f t="shared" si="9"/>
        <v>693.51444004979999</v>
      </c>
      <c r="K72" s="9">
        <f t="shared" si="10"/>
        <v>259.52322566469002</v>
      </c>
      <c r="L72" s="10">
        <f t="shared" si="7"/>
        <v>0.37421459551160052</v>
      </c>
      <c r="M72" s="10">
        <f t="shared" si="11"/>
        <v>0.42186149755609914</v>
      </c>
      <c r="P72" s="8">
        <f t="shared" si="12"/>
        <v>-12.343981428287334</v>
      </c>
      <c r="U72" s="8">
        <v>34.5</v>
      </c>
      <c r="V72" s="10">
        <f t="shared" si="6"/>
        <v>0.41902493755027448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793.60651289010002</v>
      </c>
      <c r="E73">
        <v>369.39348710990998</v>
      </c>
      <c r="F73">
        <v>149.37669376694001</v>
      </c>
      <c r="G73">
        <v>123.60975609755999</v>
      </c>
      <c r="I73" s="9">
        <f t="shared" si="8"/>
        <v>245.78373101234999</v>
      </c>
      <c r="J73" s="9">
        <f t="shared" si="9"/>
        <v>644.22981912316004</v>
      </c>
      <c r="K73" s="9">
        <f t="shared" si="10"/>
        <v>245.78373101234999</v>
      </c>
      <c r="L73" s="10">
        <f t="shared" si="7"/>
        <v>0.38151560781038996</v>
      </c>
      <c r="M73" s="10">
        <f t="shared" si="11"/>
        <v>0.42984317988409571</v>
      </c>
      <c r="P73" s="8">
        <f t="shared" si="12"/>
        <v>-10.685516509280738</v>
      </c>
      <c r="U73" s="8">
        <v>35</v>
      </c>
      <c r="V73" s="10">
        <f t="shared" si="6"/>
        <v>0.39163921422053244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776.65128900950003</v>
      </c>
      <c r="E74">
        <v>418.43283582089998</v>
      </c>
      <c r="F74">
        <v>149.06504065041</v>
      </c>
      <c r="G74">
        <v>122.89430894309</v>
      </c>
      <c r="I74" s="9">
        <f t="shared" si="8"/>
        <v>295.53852687781</v>
      </c>
      <c r="J74" s="9">
        <f t="shared" si="9"/>
        <v>627.58624835909006</v>
      </c>
      <c r="K74" s="9">
        <f t="shared" si="10"/>
        <v>295.53852687781</v>
      </c>
      <c r="L74" s="10">
        <f t="shared" si="7"/>
        <v>0.47091300622111437</v>
      </c>
      <c r="M74" s="10">
        <f t="shared" si="11"/>
        <v>0.5199212483240272</v>
      </c>
      <c r="P74" s="8">
        <f t="shared" si="12"/>
        <v>8.0312540085706701</v>
      </c>
      <c r="U74" s="8">
        <v>35.5</v>
      </c>
      <c r="V74" s="10">
        <f t="shared" si="6"/>
        <v>0.37421459551160052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829.23433242506997</v>
      </c>
      <c r="E75">
        <v>426.32561307902</v>
      </c>
      <c r="F75">
        <v>149.58401084011001</v>
      </c>
      <c r="G75">
        <v>123.13956639566</v>
      </c>
      <c r="I75" s="9">
        <f t="shared" si="8"/>
        <v>303.18604668336002</v>
      </c>
      <c r="J75" s="9">
        <f t="shared" si="9"/>
        <v>679.65032158496001</v>
      </c>
      <c r="K75" s="9">
        <f t="shared" si="10"/>
        <v>303.18604668336002</v>
      </c>
      <c r="L75" s="10">
        <f t="shared" si="7"/>
        <v>0.44609122817204477</v>
      </c>
      <c r="M75" s="10">
        <f t="shared" si="11"/>
        <v>0.49578014030416473</v>
      </c>
      <c r="P75" s="8">
        <f t="shared" si="12"/>
        <v>3.0151209288994547</v>
      </c>
      <c r="U75" s="8">
        <v>36</v>
      </c>
      <c r="V75" s="10">
        <f t="shared" si="6"/>
        <v>0.38151560781038996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776.99046321525998</v>
      </c>
      <c r="E76">
        <v>402.31198910082003</v>
      </c>
      <c r="F76">
        <v>149.74525745258001</v>
      </c>
      <c r="G76">
        <v>123.57317073170999</v>
      </c>
      <c r="I76" s="9">
        <f t="shared" si="8"/>
        <v>278.73881836911005</v>
      </c>
      <c r="J76" s="9">
        <f t="shared" si="9"/>
        <v>627.24520576267992</v>
      </c>
      <c r="K76" s="9">
        <f t="shared" si="10"/>
        <v>278.73881836911005</v>
      </c>
      <c r="L76" s="10">
        <f t="shared" si="7"/>
        <v>0.44438572954923744</v>
      </c>
      <c r="M76" s="10">
        <f t="shared" si="11"/>
        <v>0.49475531171056453</v>
      </c>
      <c r="P76" s="8">
        <f t="shared" si="12"/>
        <v>2.8021780679039554</v>
      </c>
      <c r="U76" s="8">
        <v>36.5</v>
      </c>
      <c r="V76" s="10">
        <f t="shared" si="6"/>
        <v>0.47091300622111437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763.90463215259001</v>
      </c>
      <c r="E77">
        <v>408.69891008174</v>
      </c>
      <c r="F77">
        <v>148.9485094851</v>
      </c>
      <c r="G77">
        <v>123.23712737127001</v>
      </c>
      <c r="I77" s="9">
        <f t="shared" si="8"/>
        <v>285.46178271047</v>
      </c>
      <c r="J77" s="9">
        <f t="shared" si="9"/>
        <v>614.95612266749004</v>
      </c>
      <c r="K77" s="9">
        <f t="shared" si="10"/>
        <v>285.46178271047</v>
      </c>
      <c r="L77" s="10">
        <f t="shared" si="7"/>
        <v>0.46419861871156726</v>
      </c>
      <c r="M77" s="10">
        <f t="shared" si="11"/>
        <v>0.51524887090210147</v>
      </c>
      <c r="P77" s="8">
        <f t="shared" si="12"/>
        <v>7.0604093013788063</v>
      </c>
      <c r="U77" s="8">
        <v>37</v>
      </c>
      <c r="V77" s="10">
        <f t="shared" si="6"/>
        <v>0.44609122817204477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776.56190476191</v>
      </c>
      <c r="E78">
        <v>428.52380952380997</v>
      </c>
      <c r="F78">
        <v>148.55013550135999</v>
      </c>
      <c r="G78">
        <v>123.68157181572001</v>
      </c>
      <c r="I78" s="9">
        <f t="shared" si="8"/>
        <v>304.84223770808995</v>
      </c>
      <c r="J78" s="9">
        <f t="shared" si="9"/>
        <v>628.01176926054995</v>
      </c>
      <c r="K78" s="9">
        <f t="shared" si="10"/>
        <v>304.84223770808995</v>
      </c>
      <c r="L78" s="10">
        <f t="shared" si="7"/>
        <v>0.4854084789955852</v>
      </c>
      <c r="M78" s="10">
        <f t="shared" si="11"/>
        <v>0.53713940121532655</v>
      </c>
      <c r="P78" s="8">
        <f t="shared" si="12"/>
        <v>11.608908614060285</v>
      </c>
      <c r="U78" s="8">
        <v>37.5</v>
      </c>
      <c r="V78" s="10">
        <f t="shared" si="6"/>
        <v>0.44438572954923744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782.22585034014003</v>
      </c>
      <c r="E79">
        <v>443.25578231293002</v>
      </c>
      <c r="F79">
        <v>148.88346883469001</v>
      </c>
      <c r="G79">
        <v>123.87669376693999</v>
      </c>
      <c r="I79" s="9">
        <f t="shared" si="8"/>
        <v>319.37908854599004</v>
      </c>
      <c r="J79" s="9">
        <f t="shared" si="9"/>
        <v>633.34238150545002</v>
      </c>
      <c r="K79" s="9">
        <f t="shared" si="10"/>
        <v>319.37908854599004</v>
      </c>
      <c r="L79" s="10">
        <f t="shared" si="7"/>
        <v>0.50427556701136655</v>
      </c>
      <c r="M79" s="10">
        <f t="shared" si="11"/>
        <v>0.55668715926031498</v>
      </c>
      <c r="P79" s="8">
        <f t="shared" si="12"/>
        <v>15.670617616074608</v>
      </c>
      <c r="U79" s="8">
        <v>38</v>
      </c>
      <c r="V79" s="10">
        <f t="shared" si="6"/>
        <v>0.46419861871156726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819.80732700136002</v>
      </c>
      <c r="E80">
        <v>457.91723202170999</v>
      </c>
      <c r="F80">
        <v>148.54065040649999</v>
      </c>
      <c r="G80">
        <v>123.14634146342</v>
      </c>
      <c r="I80" s="9">
        <f t="shared" si="8"/>
        <v>334.77089055828998</v>
      </c>
      <c r="J80" s="9">
        <f t="shared" si="9"/>
        <v>671.26667659485997</v>
      </c>
      <c r="K80" s="9">
        <f t="shared" si="10"/>
        <v>334.77089055828998</v>
      </c>
      <c r="L80" s="10">
        <f t="shared" si="7"/>
        <v>0.49871519357475785</v>
      </c>
      <c r="M80" s="10">
        <f t="shared" si="11"/>
        <v>0.55180745585291346</v>
      </c>
      <c r="P80" s="8">
        <f t="shared" si="12"/>
        <v>14.656693911300492</v>
      </c>
      <c r="U80" s="8">
        <v>38.5</v>
      </c>
      <c r="V80" s="10">
        <f t="shared" si="6"/>
        <v>0.4854084789955852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813.41271989175004</v>
      </c>
      <c r="E81">
        <v>436.22192151555998</v>
      </c>
      <c r="F81">
        <v>149.51219512194999</v>
      </c>
      <c r="G81">
        <v>123.18428184282</v>
      </c>
      <c r="I81" s="9">
        <f t="shared" si="8"/>
        <v>313.03763967274</v>
      </c>
      <c r="J81" s="9">
        <f t="shared" si="9"/>
        <v>663.90052476980009</v>
      </c>
      <c r="K81" s="9">
        <f t="shared" si="10"/>
        <v>313.03763967274</v>
      </c>
      <c r="L81" s="10">
        <f t="shared" si="7"/>
        <v>0.47151286675256393</v>
      </c>
      <c r="M81" s="10">
        <f t="shared" si="11"/>
        <v>0.52528579905992667</v>
      </c>
      <c r="P81" s="8">
        <f t="shared" si="12"/>
        <v>9.1459211722228044</v>
      </c>
      <c r="U81" s="8">
        <v>39</v>
      </c>
      <c r="V81" s="10">
        <f t="shared" si="6"/>
        <v>0.50427556701136655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806.6048714479</v>
      </c>
      <c r="E82">
        <v>415.07442489851002</v>
      </c>
      <c r="F82">
        <v>149.02168021680001</v>
      </c>
      <c r="G82">
        <v>123.01761517615</v>
      </c>
      <c r="H82" s="13"/>
      <c r="I82" s="14">
        <f t="shared" si="8"/>
        <v>292.05680972236001</v>
      </c>
      <c r="J82" s="14">
        <f t="shared" si="9"/>
        <v>657.58319123110005</v>
      </c>
      <c r="K82" s="9">
        <f t="shared" si="10"/>
        <v>292.05680972236001</v>
      </c>
      <c r="L82" s="15">
        <f t="shared" si="7"/>
        <v>0.44413667140059243</v>
      </c>
      <c r="M82" s="15">
        <f t="shared" si="11"/>
        <v>0.49859027373716225</v>
      </c>
      <c r="N82" s="13"/>
      <c r="O82" s="13"/>
      <c r="P82" s="13">
        <f t="shared" si="12"/>
        <v>3.5990213555058546</v>
      </c>
      <c r="U82" s="8">
        <v>39.5</v>
      </c>
      <c r="V82" s="10">
        <f t="shared" si="6"/>
        <v>0.49871519357475785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834.31105047748997</v>
      </c>
      <c r="E83">
        <v>414.91541609823003</v>
      </c>
      <c r="F83">
        <v>149.33875338753001</v>
      </c>
      <c r="G83">
        <v>123.47831978320001</v>
      </c>
      <c r="I83" s="9">
        <f t="shared" si="8"/>
        <v>291.43709631503003</v>
      </c>
      <c r="J83" s="9">
        <f t="shared" si="9"/>
        <v>684.97229708995997</v>
      </c>
      <c r="K83" s="9">
        <f t="shared" si="10"/>
        <v>291.43709631503003</v>
      </c>
      <c r="L83" s="10">
        <f t="shared" si="7"/>
        <v>0.42547282211729287</v>
      </c>
      <c r="M83" s="10">
        <f t="shared" si="11"/>
        <v>0.48060709448306982</v>
      </c>
      <c r="P83" s="8">
        <f t="shared" si="12"/>
        <v>-0.13759339556073913</v>
      </c>
      <c r="U83" s="8">
        <v>40</v>
      </c>
      <c r="V83" s="10">
        <f t="shared" si="6"/>
        <v>0.47151286675256393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836.60458839405999</v>
      </c>
      <c r="E84">
        <v>402.79487179487001</v>
      </c>
      <c r="F84">
        <v>149.19105691057001</v>
      </c>
      <c r="G84">
        <v>123.20731707317</v>
      </c>
      <c r="I84" s="9">
        <f t="shared" si="8"/>
        <v>279.58755472170003</v>
      </c>
      <c r="J84" s="9">
        <f t="shared" si="9"/>
        <v>687.41353148349003</v>
      </c>
      <c r="K84" s="9">
        <f t="shared" si="10"/>
        <v>279.58755472170003</v>
      </c>
      <c r="L84" s="10">
        <f t="shared" si="7"/>
        <v>0.40672396151168144</v>
      </c>
      <c r="M84" s="10">
        <f t="shared" si="11"/>
        <v>0.46253890390666552</v>
      </c>
      <c r="P84" s="8">
        <f t="shared" si="12"/>
        <v>-3.8918721289782798</v>
      </c>
      <c r="U84" s="8">
        <v>150.5</v>
      </c>
      <c r="V84" s="10">
        <f>L302</f>
        <v>0.27980515565751801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848.49797570850001</v>
      </c>
      <c r="E85">
        <v>399.15654520918002</v>
      </c>
      <c r="F85">
        <v>149.27642276423001</v>
      </c>
      <c r="G85">
        <v>123.31029810298</v>
      </c>
      <c r="I85" s="9">
        <f t="shared" si="8"/>
        <v>275.84624710620005</v>
      </c>
      <c r="J85" s="9">
        <f t="shared" si="9"/>
        <v>699.22155294427</v>
      </c>
      <c r="K85" s="9">
        <f t="shared" si="10"/>
        <v>275.84624710620005</v>
      </c>
      <c r="L85" s="10">
        <f t="shared" si="7"/>
        <v>0.39450478313300191</v>
      </c>
      <c r="M85" s="10">
        <f t="shared" si="11"/>
        <v>0.45100039555719312</v>
      </c>
      <c r="P85" s="8">
        <f t="shared" si="12"/>
        <v>-6.2893881574153516</v>
      </c>
      <c r="U85" s="8">
        <v>151</v>
      </c>
      <c r="V85" s="10">
        <f t="shared" ref="V85:V103" si="13">L303</f>
        <v>0.27004140221445538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814.92172739541002</v>
      </c>
      <c r="E86">
        <v>373.78947368421001</v>
      </c>
      <c r="F86">
        <v>148.23848238482</v>
      </c>
      <c r="G86">
        <v>123.50406504065</v>
      </c>
      <c r="I86" s="9">
        <f t="shared" si="8"/>
        <v>250.28540864356</v>
      </c>
      <c r="J86" s="9">
        <f t="shared" si="9"/>
        <v>666.68324501058999</v>
      </c>
      <c r="K86" s="9">
        <f t="shared" si="10"/>
        <v>250.28540864356</v>
      </c>
      <c r="L86" s="10">
        <f t="shared" si="7"/>
        <v>0.37541877723293365</v>
      </c>
      <c r="M86" s="10">
        <f t="shared" si="11"/>
        <v>0.432595059686332</v>
      </c>
      <c r="P86" s="8">
        <f t="shared" si="12"/>
        <v>-10.113720248068566</v>
      </c>
      <c r="U86" s="8">
        <v>151.5</v>
      </c>
      <c r="V86" s="10">
        <f t="shared" si="13"/>
        <v>0.28098450621192539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789.85422343324001</v>
      </c>
      <c r="E87">
        <v>360.28337874659002</v>
      </c>
      <c r="F87">
        <v>148.82926829268001</v>
      </c>
      <c r="G87">
        <v>122.93631436314</v>
      </c>
      <c r="I87" s="9">
        <f t="shared" si="8"/>
        <v>237.34706438345</v>
      </c>
      <c r="J87" s="9">
        <f t="shared" si="9"/>
        <v>641.02495514056</v>
      </c>
      <c r="K87" s="9">
        <f t="shared" si="10"/>
        <v>237.34706438345</v>
      </c>
      <c r="L87" s="10">
        <f t="shared" si="7"/>
        <v>0.37026181661118951</v>
      </c>
      <c r="M87" s="10">
        <f t="shared" si="11"/>
        <v>0.42811876909379498</v>
      </c>
      <c r="P87" s="8">
        <f t="shared" si="12"/>
        <v>-11.043821273132199</v>
      </c>
      <c r="U87" s="8">
        <v>152</v>
      </c>
      <c r="V87" s="10">
        <f t="shared" si="13"/>
        <v>0.28028392336629915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745.17983651225995</v>
      </c>
      <c r="E88">
        <v>351.84741144413999</v>
      </c>
      <c r="F88">
        <v>148.77100271002999</v>
      </c>
      <c r="G88">
        <v>123.72222222222</v>
      </c>
      <c r="I88" s="9">
        <f t="shared" si="8"/>
        <v>228.12518922191998</v>
      </c>
      <c r="J88" s="9">
        <f t="shared" si="9"/>
        <v>596.40883380222999</v>
      </c>
      <c r="K88" s="9">
        <f t="shared" si="10"/>
        <v>228.12518922191998</v>
      </c>
      <c r="L88" s="10">
        <f t="shared" si="7"/>
        <v>0.38249800521493721</v>
      </c>
      <c r="M88" s="10">
        <f t="shared" si="11"/>
        <v>0.44103562772674976</v>
      </c>
      <c r="P88" s="8">
        <f t="shared" si="12"/>
        <v>-8.359906275490335</v>
      </c>
      <c r="U88" s="8">
        <v>152.5</v>
      </c>
      <c r="V88" s="10">
        <f t="shared" si="13"/>
        <v>0.29524684256642642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786.39484396200999</v>
      </c>
      <c r="E89">
        <v>366.69199457258998</v>
      </c>
      <c r="F89">
        <v>148.77371273713001</v>
      </c>
      <c r="G89">
        <v>123.55962059621</v>
      </c>
      <c r="I89" s="9">
        <f t="shared" si="8"/>
        <v>243.13237397637999</v>
      </c>
      <c r="J89" s="9">
        <f t="shared" si="9"/>
        <v>637.62113122487995</v>
      </c>
      <c r="K89" s="9">
        <f t="shared" si="10"/>
        <v>243.13237397637999</v>
      </c>
      <c r="L89" s="10">
        <f t="shared" si="7"/>
        <v>0.38131166310206654</v>
      </c>
      <c r="M89" s="10">
        <f t="shared" si="11"/>
        <v>0.44052995564308622</v>
      </c>
      <c r="P89" s="8">
        <f t="shared" si="12"/>
        <v>-8.4649767827861879</v>
      </c>
      <c r="U89" s="8">
        <v>153</v>
      </c>
      <c r="V89" s="10">
        <f t="shared" si="13"/>
        <v>0.28774854515177423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769.78290366349995</v>
      </c>
      <c r="E90">
        <v>370.51153324287998</v>
      </c>
      <c r="F90">
        <v>149.09756097561001</v>
      </c>
      <c r="G90">
        <v>122.69512195122</v>
      </c>
      <c r="I90" s="9">
        <f t="shared" si="8"/>
        <v>247.81641129165996</v>
      </c>
      <c r="J90" s="9">
        <f t="shared" si="9"/>
        <v>620.68534268788994</v>
      </c>
      <c r="K90" s="9">
        <f t="shared" si="10"/>
        <v>247.81641129165996</v>
      </c>
      <c r="L90" s="10">
        <f t="shared" si="7"/>
        <v>0.39926254778062936</v>
      </c>
      <c r="M90" s="10">
        <f t="shared" si="11"/>
        <v>0.45916151035085617</v>
      </c>
      <c r="P90" s="8">
        <f t="shared" si="12"/>
        <v>-4.5936400645852462</v>
      </c>
      <c r="U90" s="8">
        <v>153.5</v>
      </c>
      <c r="V90" s="10">
        <f t="shared" si="13"/>
        <v>0.26935313393713917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771.70691994572996</v>
      </c>
      <c r="E91">
        <v>370.46132971506</v>
      </c>
      <c r="F91">
        <v>148.78726287263001</v>
      </c>
      <c r="G91">
        <v>122.55013550136</v>
      </c>
      <c r="I91" s="9">
        <f t="shared" si="8"/>
        <v>247.91119421370001</v>
      </c>
      <c r="J91" s="9">
        <f t="shared" si="9"/>
        <v>622.91965707309998</v>
      </c>
      <c r="K91" s="9">
        <f t="shared" si="10"/>
        <v>247.91119421370001</v>
      </c>
      <c r="L91" s="10">
        <f t="shared" si="7"/>
        <v>0.39798261525178918</v>
      </c>
      <c r="M91" s="10">
        <f t="shared" si="11"/>
        <v>0.45856224785122313</v>
      </c>
      <c r="P91" s="8">
        <f t="shared" si="12"/>
        <v>-4.71815715159478</v>
      </c>
      <c r="U91" s="8">
        <v>154</v>
      </c>
      <c r="V91" s="10">
        <f t="shared" si="13"/>
        <v>0.26248389759367852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799.16282225237001</v>
      </c>
      <c r="E92">
        <v>379.55902306649</v>
      </c>
      <c r="F92">
        <v>147.98509485094999</v>
      </c>
      <c r="G92">
        <v>123.47831978320001</v>
      </c>
      <c r="I92" s="9">
        <f t="shared" si="8"/>
        <v>256.08070328329001</v>
      </c>
      <c r="J92" s="9">
        <f t="shared" si="9"/>
        <v>651.17772740142004</v>
      </c>
      <c r="K92" s="9">
        <f t="shared" si="10"/>
        <v>256.08070328329001</v>
      </c>
      <c r="L92" s="10">
        <f t="shared" si="7"/>
        <v>0.39325777358080377</v>
      </c>
      <c r="M92" s="10">
        <f t="shared" si="11"/>
        <v>0.45451807620944484</v>
      </c>
      <c r="P92" s="8">
        <f t="shared" si="12"/>
        <v>-5.5584708246665215</v>
      </c>
      <c r="U92" s="8">
        <v>154.5</v>
      </c>
      <c r="V92" s="10">
        <f t="shared" si="13"/>
        <v>0.25371056930677266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819.90230664857995</v>
      </c>
      <c r="E93">
        <v>387.35820895521999</v>
      </c>
      <c r="F93">
        <v>148.88346883469001</v>
      </c>
      <c r="G93">
        <v>123.21409214092</v>
      </c>
      <c r="I93" s="9">
        <f t="shared" si="8"/>
        <v>264.14411681429999</v>
      </c>
      <c r="J93" s="9">
        <f t="shared" si="9"/>
        <v>671.01883781388995</v>
      </c>
      <c r="K93" s="9">
        <f t="shared" si="10"/>
        <v>264.14411681429999</v>
      </c>
      <c r="L93" s="10">
        <f t="shared" si="7"/>
        <v>0.39364635078629723</v>
      </c>
      <c r="M93" s="10">
        <f t="shared" si="11"/>
        <v>0.45558732344414543</v>
      </c>
      <c r="P93" s="8">
        <f t="shared" si="12"/>
        <v>-5.3362984861012954</v>
      </c>
      <c r="U93" s="8">
        <v>155</v>
      </c>
      <c r="V93" s="10">
        <f t="shared" si="13"/>
        <v>0.25618115411087283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807.10719131614997</v>
      </c>
      <c r="E94">
        <v>394.89552238805999</v>
      </c>
      <c r="F94">
        <v>148.42276422763999</v>
      </c>
      <c r="G94">
        <v>123.57588075881</v>
      </c>
      <c r="I94" s="9">
        <f t="shared" si="8"/>
        <v>271.31964162924999</v>
      </c>
      <c r="J94" s="9">
        <f t="shared" si="9"/>
        <v>658.68442708851001</v>
      </c>
      <c r="K94" s="9">
        <f t="shared" si="10"/>
        <v>271.31964162924999</v>
      </c>
      <c r="L94" s="10">
        <f t="shared" si="7"/>
        <v>0.41191142597453834</v>
      </c>
      <c r="M94" s="10">
        <f t="shared" si="11"/>
        <v>0.47453306866159362</v>
      </c>
      <c r="P94" s="8">
        <f t="shared" si="12"/>
        <v>-1.3996780448989463</v>
      </c>
      <c r="U94" s="8">
        <v>155.5</v>
      </c>
      <c r="V94" s="10">
        <f t="shared" si="13"/>
        <v>0.26524060280057771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814.17503392130004</v>
      </c>
      <c r="E95">
        <v>397.08276797829001</v>
      </c>
      <c r="F95">
        <v>148.86178861789</v>
      </c>
      <c r="G95">
        <v>122.99322493225</v>
      </c>
      <c r="I95" s="9">
        <f t="shared" si="8"/>
        <v>274.08954304604003</v>
      </c>
      <c r="J95" s="9">
        <f t="shared" si="9"/>
        <v>665.31324530340999</v>
      </c>
      <c r="K95" s="9">
        <f t="shared" si="10"/>
        <v>274.08954304604003</v>
      </c>
      <c r="L95" s="10">
        <f t="shared" si="7"/>
        <v>0.41197066942661575</v>
      </c>
      <c r="M95" s="10">
        <f t="shared" si="11"/>
        <v>0.47527298214287816</v>
      </c>
      <c r="P95" s="8">
        <f t="shared" si="12"/>
        <v>-1.245935951267104</v>
      </c>
      <c r="U95" s="8">
        <v>156</v>
      </c>
      <c r="V95" s="10">
        <f t="shared" si="13"/>
        <v>0.27384909075398484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818.54681139755996</v>
      </c>
      <c r="E96">
        <v>413.13161465399997</v>
      </c>
      <c r="F96">
        <v>149.24390243901999</v>
      </c>
      <c r="G96">
        <v>123.0243902439</v>
      </c>
      <c r="I96" s="9">
        <f t="shared" si="8"/>
        <v>290.1072244101</v>
      </c>
      <c r="J96" s="9">
        <f t="shared" si="9"/>
        <v>669.30290895854</v>
      </c>
      <c r="K96" s="9">
        <f t="shared" si="10"/>
        <v>290.1072244101</v>
      </c>
      <c r="L96" s="10">
        <f t="shared" si="7"/>
        <v>0.4334468303171094</v>
      </c>
      <c r="M96" s="10">
        <f t="shared" si="11"/>
        <v>0.49742981306257894</v>
      </c>
      <c r="P96" s="8">
        <f t="shared" si="12"/>
        <v>3.3578963345397268</v>
      </c>
      <c r="U96" s="8">
        <v>156.5</v>
      </c>
      <c r="V96" s="10">
        <f t="shared" si="13"/>
        <v>0.26768462861100289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804.21709633650005</v>
      </c>
      <c r="E97">
        <v>405.23066485752997</v>
      </c>
      <c r="F97">
        <v>149.44173441734</v>
      </c>
      <c r="G97">
        <v>123.67344173442</v>
      </c>
      <c r="I97" s="9">
        <f t="shared" si="8"/>
        <v>281.55722312310996</v>
      </c>
      <c r="J97" s="9">
        <f t="shared" si="9"/>
        <v>654.7753619191601</v>
      </c>
      <c r="K97" s="9">
        <f t="shared" si="10"/>
        <v>281.55722312310996</v>
      </c>
      <c r="L97" s="10">
        <f t="shared" si="7"/>
        <v>0.4300058302405575</v>
      </c>
      <c r="M97" s="10">
        <f t="shared" si="11"/>
        <v>0.49466948301523417</v>
      </c>
      <c r="P97" s="8">
        <f t="shared" si="12"/>
        <v>2.784344248616232</v>
      </c>
      <c r="U97" s="8">
        <v>157</v>
      </c>
      <c r="V97" s="10">
        <f t="shared" si="13"/>
        <v>0.26294233892226188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797.32564450475002</v>
      </c>
      <c r="E98">
        <v>389.41655359565999</v>
      </c>
      <c r="F98">
        <v>148.96612466125001</v>
      </c>
      <c r="G98">
        <v>123.15040650407001</v>
      </c>
      <c r="I98" s="9">
        <f t="shared" si="8"/>
        <v>266.26614709158997</v>
      </c>
      <c r="J98" s="9">
        <f t="shared" si="9"/>
        <v>648.35951984350004</v>
      </c>
      <c r="K98" s="9">
        <f t="shared" si="10"/>
        <v>266.26614709158997</v>
      </c>
      <c r="L98" s="10">
        <f t="shared" si="7"/>
        <v>0.41067669856356986</v>
      </c>
      <c r="M98" s="10">
        <f t="shared" si="11"/>
        <v>0.47602102136745367</v>
      </c>
      <c r="P98" s="8">
        <f t="shared" si="12"/>
        <v>-1.0905054591704881</v>
      </c>
      <c r="U98" s="8">
        <v>157.5</v>
      </c>
      <c r="V98" s="10">
        <f t="shared" si="13"/>
        <v>0.26376975883889148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808.88738127544002</v>
      </c>
      <c r="E99">
        <v>399.73270013568998</v>
      </c>
      <c r="F99">
        <v>148.76558265583</v>
      </c>
      <c r="G99">
        <v>123.57723577236</v>
      </c>
      <c r="I99" s="9">
        <f t="shared" si="8"/>
        <v>276.15546436333</v>
      </c>
      <c r="J99" s="9">
        <f t="shared" si="9"/>
        <v>660.12179861960999</v>
      </c>
      <c r="K99" s="9">
        <f t="shared" si="10"/>
        <v>276.15546436333</v>
      </c>
      <c r="L99" s="10">
        <f t="shared" si="7"/>
        <v>0.41834016834590615</v>
      </c>
      <c r="M99" s="10">
        <f t="shared" si="11"/>
        <v>0.48436516117899708</v>
      </c>
      <c r="P99" s="8">
        <f t="shared" si="12"/>
        <v>0.64327228191941366</v>
      </c>
      <c r="U99" s="8">
        <v>158</v>
      </c>
      <c r="V99" s="10">
        <f t="shared" si="13"/>
        <v>0.26519989732775195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809.89280868385003</v>
      </c>
      <c r="E100">
        <v>402.17503392129998</v>
      </c>
      <c r="F100">
        <v>148.41869918699001</v>
      </c>
      <c r="G100">
        <v>123.77642276423001</v>
      </c>
      <c r="I100" s="9">
        <f t="shared" si="8"/>
        <v>278.39861115706998</v>
      </c>
      <c r="J100" s="9">
        <f t="shared" si="9"/>
        <v>661.47410949686002</v>
      </c>
      <c r="K100" s="9">
        <f t="shared" si="10"/>
        <v>278.39861115706998</v>
      </c>
      <c r="L100" s="10">
        <f t="shared" si="7"/>
        <v>0.42087605117126886</v>
      </c>
      <c r="M100" s="10">
        <f t="shared" si="11"/>
        <v>0.48758171403356693</v>
      </c>
      <c r="P100" s="8">
        <f t="shared" si="12"/>
        <v>1.3116201126421636</v>
      </c>
      <c r="U100" s="8">
        <v>158.5</v>
      </c>
      <c r="V100" s="10">
        <f t="shared" si="13"/>
        <v>0.25691503715521702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784.56480218281001</v>
      </c>
      <c r="E101">
        <v>405.23601637107998</v>
      </c>
      <c r="F101">
        <v>149.30758807588001</v>
      </c>
      <c r="G101">
        <v>123.76287262872999</v>
      </c>
      <c r="I101" s="9">
        <f t="shared" si="8"/>
        <v>281.47314374234998</v>
      </c>
      <c r="J101" s="9">
        <f t="shared" si="9"/>
        <v>635.25721410692995</v>
      </c>
      <c r="K101" s="9">
        <f t="shared" si="10"/>
        <v>281.47314374234998</v>
      </c>
      <c r="L101" s="10">
        <f t="shared" si="7"/>
        <v>0.44308531645414873</v>
      </c>
      <c r="M101" s="10">
        <f t="shared" si="11"/>
        <v>0.51047164934565392</v>
      </c>
      <c r="P101" s="8">
        <f t="shared" si="12"/>
        <v>6.0677796731737166</v>
      </c>
      <c r="U101" s="8">
        <v>159</v>
      </c>
      <c r="V101" s="10">
        <f t="shared" si="13"/>
        <v>0.2692083317310211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786.80354706685</v>
      </c>
      <c r="E102">
        <v>436.62755798090001</v>
      </c>
      <c r="F102">
        <v>148.83604336043001</v>
      </c>
      <c r="G102">
        <v>123.26151761518</v>
      </c>
      <c r="I102" s="9">
        <f t="shared" si="8"/>
        <v>313.36604036571998</v>
      </c>
      <c r="J102" s="9">
        <f t="shared" si="9"/>
        <v>637.96750370641996</v>
      </c>
      <c r="K102" s="9">
        <f t="shared" si="10"/>
        <v>313.36604036571998</v>
      </c>
      <c r="L102" s="10">
        <f t="shared" si="7"/>
        <v>0.49119436106878078</v>
      </c>
      <c r="M102" s="10">
        <f t="shared" si="11"/>
        <v>0.55926136398949311</v>
      </c>
      <c r="P102" s="8">
        <f t="shared" si="12"/>
        <v>16.205495861317225</v>
      </c>
      <c r="U102" s="8">
        <v>159.5</v>
      </c>
      <c r="V102" s="10">
        <f t="shared" si="13"/>
        <v>0.26585674262124992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799.88676671214</v>
      </c>
      <c r="E103">
        <v>471.50477489768002</v>
      </c>
      <c r="F103">
        <v>149.09756097561001</v>
      </c>
      <c r="G103">
        <v>123.11788617886</v>
      </c>
      <c r="I103" s="9">
        <f t="shared" si="8"/>
        <v>348.38688871882005</v>
      </c>
      <c r="J103" s="9">
        <f t="shared" si="9"/>
        <v>650.78920573652999</v>
      </c>
      <c r="K103" s="9">
        <f t="shared" si="10"/>
        <v>348.38688871882005</v>
      </c>
      <c r="L103" s="10">
        <f t="shared" si="7"/>
        <v>0.5353298512757807</v>
      </c>
      <c r="M103" s="10">
        <f t="shared" si="11"/>
        <v>0.60407752422570016</v>
      </c>
      <c r="P103" s="8">
        <f t="shared" si="12"/>
        <v>25.517571499259073</v>
      </c>
      <c r="U103" s="8">
        <v>160</v>
      </c>
      <c r="V103" s="10">
        <f t="shared" si="13"/>
        <v>0.25832002728617798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802.45293315142999</v>
      </c>
      <c r="E104">
        <v>471.53751705321002</v>
      </c>
      <c r="F104">
        <v>148.71544715447001</v>
      </c>
      <c r="G104">
        <v>123.23577235771999</v>
      </c>
      <c r="I104" s="9">
        <f t="shared" si="8"/>
        <v>348.30174469549002</v>
      </c>
      <c r="J104" s="9">
        <f t="shared" si="9"/>
        <v>653.73748599696</v>
      </c>
      <c r="K104" s="9">
        <f t="shared" si="10"/>
        <v>348.30174469549002</v>
      </c>
      <c r="L104" s="10">
        <f t="shared" si="7"/>
        <v>0.53278533380157078</v>
      </c>
      <c r="M104" s="10">
        <f t="shared" si="11"/>
        <v>0.60221367678069737</v>
      </c>
      <c r="P104" s="8">
        <f t="shared" si="12"/>
        <v>25.130294046349832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818.38881309685996</v>
      </c>
      <c r="E105">
        <v>488.74215552523998</v>
      </c>
      <c r="F105">
        <v>148.39837398373999</v>
      </c>
      <c r="G105">
        <v>122.61653116530999</v>
      </c>
      <c r="I105" s="9">
        <f t="shared" si="8"/>
        <v>366.12562435992999</v>
      </c>
      <c r="J105" s="9">
        <f t="shared" si="9"/>
        <v>669.99043911311992</v>
      </c>
      <c r="K105" s="9">
        <f t="shared" si="10"/>
        <v>366.12562435992999</v>
      </c>
      <c r="L105" s="10">
        <f t="shared" si="7"/>
        <v>0.54646395379100932</v>
      </c>
      <c r="M105" s="10">
        <f t="shared" si="11"/>
        <v>0.61657296679934293</v>
      </c>
      <c r="P105" s="8">
        <f t="shared" si="12"/>
        <v>28.113923033215659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833.77626193723995</v>
      </c>
      <c r="E106">
        <v>506.97271487040001</v>
      </c>
      <c r="F106">
        <v>148.51761517615</v>
      </c>
      <c r="G106">
        <v>123.26287262872999</v>
      </c>
      <c r="I106" s="9">
        <f t="shared" si="8"/>
        <v>383.70984224167</v>
      </c>
      <c r="J106" s="9">
        <f t="shared" si="9"/>
        <v>685.25864676108995</v>
      </c>
      <c r="K106" s="9">
        <f t="shared" si="10"/>
        <v>383.70984224167</v>
      </c>
      <c r="L106" s="10">
        <f t="shared" si="7"/>
        <v>0.55994892447588107</v>
      </c>
      <c r="M106" s="10">
        <f t="shared" si="11"/>
        <v>0.63073860751342181</v>
      </c>
      <c r="P106" s="8">
        <f t="shared" si="12"/>
        <v>31.057314816317138</v>
      </c>
      <c r="X106" s="8">
        <v>-13</v>
      </c>
    </row>
    <row r="107" spans="1:25" x14ac:dyDescent="0.2">
      <c r="A107" s="8">
        <v>52.5</v>
      </c>
      <c r="B107" s="8">
        <v>105</v>
      </c>
      <c r="D107">
        <v>842.82810368348999</v>
      </c>
      <c r="E107">
        <v>479.24556616644003</v>
      </c>
      <c r="F107">
        <v>148.5108401084</v>
      </c>
      <c r="G107">
        <v>122.51490514904999</v>
      </c>
      <c r="I107" s="9">
        <f t="shared" si="8"/>
        <v>356.73066101739005</v>
      </c>
      <c r="J107" s="9">
        <f t="shared" si="9"/>
        <v>694.31726357509001</v>
      </c>
      <c r="K107" s="9">
        <f t="shared" si="10"/>
        <v>356.73066101739005</v>
      </c>
      <c r="L107" s="10">
        <f t="shared" si="7"/>
        <v>0.51378624691046559</v>
      </c>
      <c r="M107" s="10">
        <f t="shared" si="11"/>
        <v>0.58525659997721347</v>
      </c>
      <c r="P107" s="8">
        <f t="shared" si="12"/>
        <v>21.606886843229852</v>
      </c>
      <c r="X107" s="8">
        <v>-13</v>
      </c>
    </row>
    <row r="108" spans="1:25" x14ac:dyDescent="0.2">
      <c r="A108" s="8">
        <v>53</v>
      </c>
      <c r="B108" s="8">
        <v>106</v>
      </c>
      <c r="D108">
        <v>815.51761517615</v>
      </c>
      <c r="E108">
        <v>493.19512195122002</v>
      </c>
      <c r="F108">
        <v>148.70460704607001</v>
      </c>
      <c r="G108">
        <v>123.26151761518</v>
      </c>
      <c r="I108" s="9">
        <f t="shared" si="8"/>
        <v>369.93360433604005</v>
      </c>
      <c r="J108" s="9">
        <f t="shared" si="9"/>
        <v>666.81300813007999</v>
      </c>
      <c r="K108" s="9">
        <f t="shared" si="10"/>
        <v>369.93360433604005</v>
      </c>
      <c r="L108" s="10">
        <f t="shared" si="7"/>
        <v>0.5547786258300984</v>
      </c>
      <c r="M108" s="10">
        <f t="shared" si="11"/>
        <v>0.62692964892605341</v>
      </c>
      <c r="P108" s="8">
        <f t="shared" si="12"/>
        <v>30.265874624198513</v>
      </c>
      <c r="X108" s="8">
        <v>-13</v>
      </c>
    </row>
    <row r="109" spans="1:25" x14ac:dyDescent="0.2">
      <c r="A109" s="8">
        <v>53.5</v>
      </c>
      <c r="B109" s="8">
        <v>107</v>
      </c>
      <c r="D109">
        <v>812.52710027099999</v>
      </c>
      <c r="E109">
        <v>517.82249322492999</v>
      </c>
      <c r="F109">
        <v>147.80081300813001</v>
      </c>
      <c r="G109">
        <v>122.78590785908</v>
      </c>
      <c r="I109" s="9">
        <f t="shared" si="8"/>
        <v>395.03658536584999</v>
      </c>
      <c r="J109" s="9">
        <f t="shared" si="9"/>
        <v>664.72628726286996</v>
      </c>
      <c r="K109" s="9">
        <f t="shared" si="10"/>
        <v>395.03658536584999</v>
      </c>
      <c r="L109" s="10">
        <f t="shared" si="7"/>
        <v>0.59428458440012077</v>
      </c>
      <c r="M109" s="10">
        <f t="shared" si="11"/>
        <v>0.66711627752528291</v>
      </c>
      <c r="P109" s="8">
        <f t="shared" si="12"/>
        <v>38.616008218365032</v>
      </c>
      <c r="X109" s="8">
        <v>-13</v>
      </c>
    </row>
    <row r="110" spans="1:25" x14ac:dyDescent="0.2">
      <c r="A110" s="8">
        <v>54</v>
      </c>
      <c r="B110" s="8">
        <v>108</v>
      </c>
      <c r="D110">
        <v>810.95528455285</v>
      </c>
      <c r="E110">
        <v>519.97831978320005</v>
      </c>
      <c r="F110">
        <v>147.92547425474001</v>
      </c>
      <c r="G110">
        <v>123.04607046071</v>
      </c>
      <c r="I110" s="9">
        <f t="shared" si="8"/>
        <v>396.93224932249007</v>
      </c>
      <c r="J110" s="9">
        <f t="shared" si="9"/>
        <v>663.02981029810996</v>
      </c>
      <c r="K110" s="9">
        <f t="shared" si="10"/>
        <v>396.93224932249007</v>
      </c>
      <c r="L110" s="10">
        <f t="shared" si="7"/>
        <v>0.59866425786198407</v>
      </c>
      <c r="M110" s="10">
        <f t="shared" si="11"/>
        <v>0.67217662101635334</v>
      </c>
      <c r="P110" s="8">
        <f t="shared" si="12"/>
        <v>39.667466020516152</v>
      </c>
      <c r="X110" s="8">
        <v>-13</v>
      </c>
    </row>
    <row r="111" spans="1:25" x14ac:dyDescent="0.2">
      <c r="A111" s="8">
        <v>54.5</v>
      </c>
      <c r="B111" s="8">
        <v>109</v>
      </c>
      <c r="D111">
        <v>802.72628726286996</v>
      </c>
      <c r="E111">
        <v>507.25609756097998</v>
      </c>
      <c r="F111">
        <v>148.90921409213999</v>
      </c>
      <c r="G111">
        <v>122.84010840108</v>
      </c>
      <c r="I111" s="9">
        <f t="shared" si="8"/>
        <v>384.41598915989999</v>
      </c>
      <c r="J111" s="9">
        <f t="shared" si="9"/>
        <v>653.81707317072994</v>
      </c>
      <c r="K111" s="9">
        <f t="shared" si="10"/>
        <v>384.41598915989999</v>
      </c>
      <c r="L111" s="10">
        <f t="shared" si="7"/>
        <v>0.58795648650722554</v>
      </c>
      <c r="M111" s="10">
        <f t="shared" si="11"/>
        <v>0.66214951969080194</v>
      </c>
      <c r="P111" s="8">
        <f t="shared" si="12"/>
        <v>37.583996007005148</v>
      </c>
      <c r="X111" s="8">
        <v>-13</v>
      </c>
    </row>
    <row r="112" spans="1:25" x14ac:dyDescent="0.2">
      <c r="A112" s="8">
        <v>55</v>
      </c>
      <c r="B112" s="8">
        <v>110</v>
      </c>
      <c r="D112">
        <v>818.09078590785998</v>
      </c>
      <c r="E112">
        <v>518.96612466124998</v>
      </c>
      <c r="F112">
        <v>148.76693766938001</v>
      </c>
      <c r="G112">
        <v>123.41463414634001</v>
      </c>
      <c r="I112" s="9">
        <f t="shared" si="8"/>
        <v>395.55149051490997</v>
      </c>
      <c r="J112" s="9">
        <f t="shared" si="9"/>
        <v>669.32384823847997</v>
      </c>
      <c r="K112" s="9">
        <f t="shared" si="10"/>
        <v>395.55149051490997</v>
      </c>
      <c r="L112" s="10">
        <f t="shared" si="7"/>
        <v>0.59097175687960102</v>
      </c>
      <c r="M112" s="10">
        <f t="shared" si="11"/>
        <v>0.66584546009238454</v>
      </c>
      <c r="P112" s="8">
        <f t="shared" si="12"/>
        <v>38.351952842027728</v>
      </c>
      <c r="X112" s="8">
        <v>-13</v>
      </c>
    </row>
    <row r="113" spans="1:24" x14ac:dyDescent="0.2">
      <c r="A113" s="8">
        <v>55.5</v>
      </c>
      <c r="B113" s="8">
        <v>111</v>
      </c>
      <c r="D113">
        <v>847.19647696477</v>
      </c>
      <c r="E113">
        <v>549.25067750677999</v>
      </c>
      <c r="F113">
        <v>148.48780487805001</v>
      </c>
      <c r="G113">
        <v>122.88482384824</v>
      </c>
      <c r="I113" s="9">
        <f t="shared" si="8"/>
        <v>426.36585365854</v>
      </c>
      <c r="J113" s="9">
        <f t="shared" si="9"/>
        <v>698.70867208671996</v>
      </c>
      <c r="K113" s="9">
        <f t="shared" si="10"/>
        <v>426.36585365854</v>
      </c>
      <c r="L113" s="10">
        <f t="shared" si="7"/>
        <v>0.61021978213778594</v>
      </c>
      <c r="M113" s="10">
        <f t="shared" si="11"/>
        <v>0.6857741553797766</v>
      </c>
      <c r="P113" s="8">
        <f t="shared" si="12"/>
        <v>42.492814462112747</v>
      </c>
      <c r="X113" s="8">
        <v>-13</v>
      </c>
    </row>
    <row r="114" spans="1:24" x14ac:dyDescent="0.2">
      <c r="A114" s="8">
        <v>56</v>
      </c>
      <c r="B114" s="8">
        <v>112</v>
      </c>
      <c r="D114">
        <v>887.98238482385</v>
      </c>
      <c r="E114">
        <v>540.77235772357994</v>
      </c>
      <c r="F114">
        <v>148.71951219511999</v>
      </c>
      <c r="G114">
        <v>123.75880758808</v>
      </c>
      <c r="I114" s="9">
        <f t="shared" si="8"/>
        <v>417.01355013549994</v>
      </c>
      <c r="J114" s="9">
        <f t="shared" si="9"/>
        <v>739.26287262873007</v>
      </c>
      <c r="K114" s="9">
        <f t="shared" si="10"/>
        <v>417.01355013549994</v>
      </c>
      <c r="L114" s="10">
        <f t="shared" si="7"/>
        <v>0.56409372846312411</v>
      </c>
      <c r="M114" s="10">
        <f t="shared" si="11"/>
        <v>0.6403287717343219</v>
      </c>
      <c r="P114" s="8">
        <f t="shared" si="12"/>
        <v>33.049996343128448</v>
      </c>
      <c r="X114" s="8">
        <v>-13</v>
      </c>
    </row>
    <row r="115" spans="1:24" x14ac:dyDescent="0.2">
      <c r="A115" s="8">
        <v>56.5</v>
      </c>
      <c r="B115" s="8">
        <v>113</v>
      </c>
      <c r="D115">
        <v>863.88346883469001</v>
      </c>
      <c r="E115">
        <v>503.16531165312</v>
      </c>
      <c r="F115">
        <v>149.10162601626001</v>
      </c>
      <c r="G115">
        <v>123.15718157182</v>
      </c>
      <c r="I115" s="9">
        <f t="shared" si="8"/>
        <v>380.00813008130001</v>
      </c>
      <c r="J115" s="9">
        <f t="shared" si="9"/>
        <v>714.78184281843005</v>
      </c>
      <c r="K115" s="9">
        <f t="shared" si="10"/>
        <v>380.00813008130001</v>
      </c>
      <c r="L115" s="10">
        <f t="shared" si="7"/>
        <v>0.53164211416297857</v>
      </c>
      <c r="M115" s="10">
        <f t="shared" si="11"/>
        <v>0.60855782746338349</v>
      </c>
      <c r="P115" s="8">
        <f t="shared" si="12"/>
        <v>26.448506287298244</v>
      </c>
      <c r="X115" s="8">
        <v>-13</v>
      </c>
    </row>
    <row r="116" spans="1:24" x14ac:dyDescent="0.2">
      <c r="A116" s="8">
        <v>57</v>
      </c>
      <c r="B116" s="8">
        <v>114</v>
      </c>
      <c r="D116">
        <v>812.53867028494005</v>
      </c>
      <c r="E116">
        <v>484.49660786973999</v>
      </c>
      <c r="F116">
        <v>148.48238482385</v>
      </c>
      <c r="G116">
        <v>122.94986449865</v>
      </c>
      <c r="I116" s="9">
        <f t="shared" si="8"/>
        <v>361.54674337108997</v>
      </c>
      <c r="J116" s="9">
        <f t="shared" si="9"/>
        <v>664.05628546109006</v>
      </c>
      <c r="K116" s="9">
        <f t="shared" si="10"/>
        <v>361.54674337108997</v>
      </c>
      <c r="L116" s="10">
        <f t="shared" si="7"/>
        <v>0.5444519557857187</v>
      </c>
      <c r="M116" s="10">
        <f t="shared" si="11"/>
        <v>0.62204833911533075</v>
      </c>
      <c r="P116" s="8">
        <f t="shared" si="12"/>
        <v>29.251617134710301</v>
      </c>
      <c r="X116" s="8">
        <v>-13</v>
      </c>
    </row>
    <row r="117" spans="1:24" x14ac:dyDescent="0.2">
      <c r="A117" s="8">
        <v>57.5</v>
      </c>
      <c r="B117" s="8">
        <v>115</v>
      </c>
      <c r="D117">
        <v>807.24830393487002</v>
      </c>
      <c r="E117">
        <v>504.58887381275002</v>
      </c>
      <c r="F117">
        <v>148.13143631436</v>
      </c>
      <c r="G117">
        <v>122.69105691057</v>
      </c>
      <c r="I117" s="9">
        <f t="shared" si="8"/>
        <v>381.89781690218001</v>
      </c>
      <c r="J117" s="9">
        <f t="shared" si="9"/>
        <v>659.11686762050999</v>
      </c>
      <c r="K117" s="9">
        <f t="shared" si="10"/>
        <v>381.89781690218001</v>
      </c>
      <c r="L117" s="10">
        <f t="shared" si="7"/>
        <v>0.57940835026855919</v>
      </c>
      <c r="M117" s="10">
        <f t="shared" si="11"/>
        <v>0.65768540362737837</v>
      </c>
      <c r="P117" s="8">
        <f t="shared" si="12"/>
        <v>36.656424652831731</v>
      </c>
      <c r="X117" s="8">
        <v>-13</v>
      </c>
    </row>
    <row r="118" spans="1:24" x14ac:dyDescent="0.2">
      <c r="A118" s="8">
        <v>58</v>
      </c>
      <c r="B118" s="8">
        <v>116</v>
      </c>
      <c r="D118">
        <v>808.25915875170006</v>
      </c>
      <c r="E118">
        <v>511.51831750338999</v>
      </c>
      <c r="F118">
        <v>147.9891598916</v>
      </c>
      <c r="G118">
        <v>122.98238482385</v>
      </c>
      <c r="I118" s="9">
        <f t="shared" si="8"/>
        <v>388.53593267954</v>
      </c>
      <c r="J118" s="9">
        <f t="shared" si="9"/>
        <v>660.26999886010003</v>
      </c>
      <c r="K118" s="9">
        <f t="shared" si="10"/>
        <v>388.53593267954</v>
      </c>
      <c r="L118" s="10">
        <f t="shared" si="7"/>
        <v>0.5884500785289567</v>
      </c>
      <c r="M118" s="10">
        <f t="shared" si="11"/>
        <v>0.6674078019169829</v>
      </c>
      <c r="P118" s="8">
        <f t="shared" si="12"/>
        <v>38.676582287439835</v>
      </c>
      <c r="X118" s="8">
        <v>-13</v>
      </c>
    </row>
    <row r="119" spans="1:24" x14ac:dyDescent="0.2">
      <c r="A119" s="8">
        <v>58.5</v>
      </c>
      <c r="B119" s="8">
        <v>117</v>
      </c>
      <c r="D119">
        <v>810.93351424695004</v>
      </c>
      <c r="E119">
        <v>512.27679782903999</v>
      </c>
      <c r="F119">
        <v>148.59214092140999</v>
      </c>
      <c r="G119">
        <v>123.46883468835</v>
      </c>
      <c r="I119" s="9">
        <f t="shared" si="8"/>
        <v>388.80796314068999</v>
      </c>
      <c r="J119" s="9">
        <f t="shared" si="9"/>
        <v>662.34137332554008</v>
      </c>
      <c r="K119" s="9">
        <f t="shared" si="10"/>
        <v>388.80796314068999</v>
      </c>
      <c r="L119" s="10">
        <f t="shared" si="7"/>
        <v>0.58702049849087612</v>
      </c>
      <c r="M119" s="10">
        <f t="shared" si="11"/>
        <v>0.66665889190810945</v>
      </c>
      <c r="P119" s="8">
        <f t="shared" si="12"/>
        <v>38.520970860403587</v>
      </c>
      <c r="X119" s="8">
        <v>-13</v>
      </c>
    </row>
    <row r="120" spans="1:24" x14ac:dyDescent="0.2">
      <c r="A120" s="8">
        <v>59</v>
      </c>
      <c r="B120" s="8">
        <v>118</v>
      </c>
      <c r="D120">
        <v>831.03120759836997</v>
      </c>
      <c r="E120">
        <v>507.52781546811002</v>
      </c>
      <c r="F120">
        <v>148.08265582656</v>
      </c>
      <c r="G120">
        <v>122.96883468835</v>
      </c>
      <c r="I120" s="9">
        <f t="shared" si="8"/>
        <v>384.55898077976002</v>
      </c>
      <c r="J120" s="9">
        <f t="shared" si="9"/>
        <v>682.94855177181</v>
      </c>
      <c r="K120" s="9">
        <f t="shared" si="10"/>
        <v>384.55898077976002</v>
      </c>
      <c r="L120" s="10">
        <f t="shared" si="7"/>
        <v>0.56308631123395469</v>
      </c>
      <c r="M120" s="10">
        <f t="shared" si="11"/>
        <v>0.64340537468039516</v>
      </c>
      <c r="P120" s="8">
        <f t="shared" si="12"/>
        <v>33.689264838928828</v>
      </c>
      <c r="X120" s="8">
        <v>-13</v>
      </c>
    </row>
    <row r="121" spans="1:24" x14ac:dyDescent="0.2">
      <c r="A121" s="8">
        <v>59.5</v>
      </c>
      <c r="B121" s="8">
        <v>119</v>
      </c>
      <c r="D121">
        <v>855.95793758479999</v>
      </c>
      <c r="E121">
        <v>552.09497964722004</v>
      </c>
      <c r="F121">
        <v>147.32249322493001</v>
      </c>
      <c r="G121">
        <v>122.43224932248999</v>
      </c>
      <c r="I121" s="9">
        <f t="shared" si="8"/>
        <v>429.66273032473003</v>
      </c>
      <c r="J121" s="9">
        <f t="shared" si="9"/>
        <v>708.63544435987001</v>
      </c>
      <c r="K121" s="9">
        <f t="shared" si="10"/>
        <v>429.66273032473003</v>
      </c>
      <c r="L121" s="10">
        <f t="shared" si="7"/>
        <v>0.60632407501554808</v>
      </c>
      <c r="M121" s="10">
        <f t="shared" si="11"/>
        <v>0.68732380849119568</v>
      </c>
      <c r="P121" s="8">
        <f t="shared" si="12"/>
        <v>42.814807397474667</v>
      </c>
      <c r="X121" s="8">
        <v>-13</v>
      </c>
    </row>
    <row r="122" spans="1:24" x14ac:dyDescent="0.2">
      <c r="A122" s="8">
        <v>60</v>
      </c>
      <c r="B122" s="8">
        <v>120</v>
      </c>
      <c r="D122">
        <v>846.07260273972997</v>
      </c>
      <c r="E122">
        <v>560.13424657533994</v>
      </c>
      <c r="F122">
        <v>148.53116531165</v>
      </c>
      <c r="G122">
        <v>122.81436314363</v>
      </c>
      <c r="I122" s="9">
        <f t="shared" si="8"/>
        <v>437.31988343170997</v>
      </c>
      <c r="J122" s="9">
        <f t="shared" si="9"/>
        <v>697.54143742807992</v>
      </c>
      <c r="K122" s="9">
        <f t="shared" si="10"/>
        <v>437.31988343170997</v>
      </c>
      <c r="L122" s="10">
        <f t="shared" si="7"/>
        <v>0.62694466588846898</v>
      </c>
      <c r="M122" s="10">
        <f t="shared" si="11"/>
        <v>0.7086250693933237</v>
      </c>
      <c r="P122" s="8">
        <f t="shared" si="12"/>
        <v>47.24086602585075</v>
      </c>
      <c r="X122" s="8">
        <v>-13</v>
      </c>
    </row>
    <row r="123" spans="1:24" x14ac:dyDescent="0.2">
      <c r="A123" s="8">
        <v>60.5</v>
      </c>
      <c r="B123" s="8">
        <v>121</v>
      </c>
      <c r="D123">
        <v>828.03698630137001</v>
      </c>
      <c r="E123">
        <v>537.31917808218998</v>
      </c>
      <c r="F123">
        <v>148.32384823848</v>
      </c>
      <c r="G123">
        <v>123.15989159892</v>
      </c>
      <c r="I123" s="9">
        <f t="shared" si="8"/>
        <v>414.15928648326997</v>
      </c>
      <c r="J123" s="9">
        <f t="shared" si="9"/>
        <v>679.71313806289004</v>
      </c>
      <c r="K123" s="9">
        <f t="shared" si="10"/>
        <v>414.15928648326997</v>
      </c>
      <c r="L123" s="10">
        <f t="shared" si="7"/>
        <v>0.60931481722360081</v>
      </c>
      <c r="M123" s="10">
        <f t="shared" si="11"/>
        <v>0.69167589075766267</v>
      </c>
      <c r="P123" s="8">
        <f t="shared" si="12"/>
        <v>43.719099934681907</v>
      </c>
      <c r="X123" s="8">
        <v>-13</v>
      </c>
    </row>
    <row r="124" spans="1:24" x14ac:dyDescent="0.2">
      <c r="A124" s="8">
        <v>61</v>
      </c>
      <c r="B124" s="8">
        <v>122</v>
      </c>
      <c r="D124">
        <v>828.78219178081997</v>
      </c>
      <c r="E124">
        <v>526.9</v>
      </c>
      <c r="F124">
        <v>148.67886178862</v>
      </c>
      <c r="G124">
        <v>122.23441734417</v>
      </c>
      <c r="I124" s="9">
        <f t="shared" si="8"/>
        <v>404.66558265583001</v>
      </c>
      <c r="J124" s="9">
        <f t="shared" si="9"/>
        <v>680.10332999219997</v>
      </c>
      <c r="K124" s="9">
        <f t="shared" si="10"/>
        <v>404.66558265583001</v>
      </c>
      <c r="L124" s="10">
        <f t="shared" si="7"/>
        <v>0.59500603042256983</v>
      </c>
      <c r="M124" s="10">
        <f t="shared" si="11"/>
        <v>0.67804777398583882</v>
      </c>
      <c r="P124" s="8">
        <f t="shared" si="12"/>
        <v>40.887396961623544</v>
      </c>
      <c r="X124" s="8">
        <v>-13</v>
      </c>
    </row>
    <row r="125" spans="1:24" x14ac:dyDescent="0.2">
      <c r="A125" s="8">
        <v>61.5</v>
      </c>
      <c r="B125" s="8">
        <v>123</v>
      </c>
      <c r="D125">
        <v>836.78356164384002</v>
      </c>
      <c r="E125">
        <v>524.08082191781</v>
      </c>
      <c r="F125">
        <v>148.44037940378999</v>
      </c>
      <c r="G125">
        <v>122.82791327913</v>
      </c>
      <c r="I125" s="9">
        <f t="shared" si="8"/>
        <v>401.25290863867997</v>
      </c>
      <c r="J125" s="9">
        <f t="shared" si="9"/>
        <v>688.34318224005006</v>
      </c>
      <c r="K125" s="9">
        <f t="shared" si="10"/>
        <v>401.25290863867997</v>
      </c>
      <c r="L125" s="10">
        <f t="shared" si="7"/>
        <v>0.58292566700943749</v>
      </c>
      <c r="M125" s="10">
        <f t="shared" si="11"/>
        <v>0.66664808060191361</v>
      </c>
      <c r="P125" s="8">
        <f t="shared" si="12"/>
        <v>38.518724445259814</v>
      </c>
      <c r="X125" s="8">
        <v>-13</v>
      </c>
    </row>
    <row r="126" spans="1:24" x14ac:dyDescent="0.2">
      <c r="A126" s="8">
        <v>62</v>
      </c>
      <c r="B126" s="8">
        <v>124</v>
      </c>
      <c r="D126">
        <v>820.72739726026998</v>
      </c>
      <c r="E126">
        <v>504.42054794520999</v>
      </c>
      <c r="F126">
        <v>148.38346883469001</v>
      </c>
      <c r="G126">
        <v>122.98509485095001</v>
      </c>
      <c r="I126" s="9">
        <f t="shared" si="8"/>
        <v>381.43545309425997</v>
      </c>
      <c r="J126" s="9">
        <f t="shared" si="9"/>
        <v>672.34392842557997</v>
      </c>
      <c r="K126" s="9">
        <f t="shared" si="10"/>
        <v>381.43545309425997</v>
      </c>
      <c r="L126" s="10">
        <f t="shared" si="7"/>
        <v>0.5673219270194988</v>
      </c>
      <c r="M126" s="10">
        <f t="shared" si="11"/>
        <v>0.65172501064118205</v>
      </c>
      <c r="P126" s="8">
        <f t="shared" si="12"/>
        <v>35.417951074845973</v>
      </c>
      <c r="X126" s="8">
        <v>-13</v>
      </c>
    </row>
    <row r="127" spans="1:24" x14ac:dyDescent="0.2">
      <c r="A127" s="8">
        <v>62.5</v>
      </c>
      <c r="B127" s="8">
        <v>125</v>
      </c>
      <c r="D127">
        <v>801.41369863013995</v>
      </c>
      <c r="E127">
        <v>467.97397260273999</v>
      </c>
      <c r="F127">
        <v>148.77913279133</v>
      </c>
      <c r="G127">
        <v>122.26558265583</v>
      </c>
      <c r="I127" s="9">
        <f t="shared" si="8"/>
        <v>345.70838994690996</v>
      </c>
      <c r="J127" s="9">
        <f t="shared" si="9"/>
        <v>652.63456583880998</v>
      </c>
      <c r="K127" s="9">
        <f t="shared" si="10"/>
        <v>345.70838994690996</v>
      </c>
      <c r="L127" s="10">
        <f t="shared" si="7"/>
        <v>0.52971204414001916</v>
      </c>
      <c r="M127" s="10">
        <f t="shared" si="11"/>
        <v>0.61479579779090954</v>
      </c>
      <c r="P127" s="8">
        <f t="shared" si="12"/>
        <v>27.744655962125353</v>
      </c>
      <c r="X127" s="8">
        <v>-13</v>
      </c>
    </row>
    <row r="128" spans="1:24" x14ac:dyDescent="0.2">
      <c r="A128" s="8">
        <v>63</v>
      </c>
      <c r="B128" s="8">
        <v>126</v>
      </c>
      <c r="D128">
        <v>802.59178082192</v>
      </c>
      <c r="E128">
        <v>462.03424657533998</v>
      </c>
      <c r="F128">
        <v>147.50406504065</v>
      </c>
      <c r="G128">
        <v>123.10704607046</v>
      </c>
      <c r="I128" s="9">
        <f t="shared" si="8"/>
        <v>338.92720050487998</v>
      </c>
      <c r="J128" s="9">
        <f t="shared" si="9"/>
        <v>655.08771578126994</v>
      </c>
      <c r="K128" s="9">
        <f t="shared" si="10"/>
        <v>338.92720050487998</v>
      </c>
      <c r="L128" s="10">
        <f t="shared" si="7"/>
        <v>0.51737682197363299</v>
      </c>
      <c r="M128" s="10">
        <f t="shared" si="11"/>
        <v>0.60314124565373051</v>
      </c>
      <c r="P128" s="8">
        <f t="shared" si="12"/>
        <v>25.323027905287322</v>
      </c>
      <c r="X128" s="8">
        <v>-13</v>
      </c>
    </row>
    <row r="129" spans="1:24" x14ac:dyDescent="0.2">
      <c r="A129" s="8">
        <v>63.5</v>
      </c>
      <c r="B129" s="8">
        <v>127</v>
      </c>
      <c r="D129">
        <v>790.56849315068996</v>
      </c>
      <c r="E129">
        <v>437.19589041095998</v>
      </c>
      <c r="F129">
        <v>148.61517615176001</v>
      </c>
      <c r="G129">
        <v>122.97967479675</v>
      </c>
      <c r="I129" s="9">
        <f t="shared" si="8"/>
        <v>314.21621561421</v>
      </c>
      <c r="J129" s="9">
        <f t="shared" si="9"/>
        <v>641.95331699892995</v>
      </c>
      <c r="K129" s="9">
        <f t="shared" si="10"/>
        <v>314.21621561421</v>
      </c>
      <c r="L129" s="10">
        <f t="shared" si="7"/>
        <v>0.48946894936712937</v>
      </c>
      <c r="M129" s="10">
        <f t="shared" si="11"/>
        <v>0.57591404307643401</v>
      </c>
      <c r="P129" s="8">
        <f t="shared" si="12"/>
        <v>19.665654125984531</v>
      </c>
      <c r="X129" s="8">
        <v>-13</v>
      </c>
    </row>
    <row r="130" spans="1:24" x14ac:dyDescent="0.2">
      <c r="A130" s="8">
        <v>64</v>
      </c>
      <c r="B130" s="8">
        <v>128</v>
      </c>
      <c r="D130">
        <v>827.60410958904004</v>
      </c>
      <c r="E130">
        <v>463.37671232877</v>
      </c>
      <c r="F130">
        <v>148.58265582656</v>
      </c>
      <c r="G130">
        <v>122.60433604335999</v>
      </c>
      <c r="I130" s="9">
        <f t="shared" si="8"/>
        <v>340.77237628541002</v>
      </c>
      <c r="J130" s="9">
        <f t="shared" si="9"/>
        <v>679.02145376248006</v>
      </c>
      <c r="K130" s="9">
        <f t="shared" si="10"/>
        <v>340.77237628541002</v>
      </c>
      <c r="L130" s="10">
        <f t="shared" ref="L130:L193" si="14">K130/J130</f>
        <v>0.50185804056289995</v>
      </c>
      <c r="M130" s="10">
        <f t="shared" si="11"/>
        <v>0.58898380430141173</v>
      </c>
      <c r="P130" s="8">
        <f t="shared" si="12"/>
        <v>22.381339817381736</v>
      </c>
      <c r="X130" s="8">
        <v>-13</v>
      </c>
    </row>
    <row r="131" spans="1:24" x14ac:dyDescent="0.2">
      <c r="A131" s="8">
        <v>64.5</v>
      </c>
      <c r="B131" s="8">
        <v>129</v>
      </c>
      <c r="D131">
        <v>833.32157394844</v>
      </c>
      <c r="E131">
        <v>448.80054274084</v>
      </c>
      <c r="F131">
        <v>147.71544715447001</v>
      </c>
      <c r="G131">
        <v>122.62330623306001</v>
      </c>
      <c r="I131" s="9">
        <f t="shared" ref="I131:I194" si="15">E131-G131</f>
        <v>326.17723650777998</v>
      </c>
      <c r="J131" s="9">
        <f t="shared" ref="J131:J194" si="16">D131-F131</f>
        <v>685.60612679397002</v>
      </c>
      <c r="K131" s="9">
        <f t="shared" ref="K131:K194" si="17">I131*1</f>
        <v>326.17723650777998</v>
      </c>
      <c r="L131" s="10">
        <f t="shared" si="14"/>
        <v>0.47575017748608711</v>
      </c>
      <c r="M131" s="10">
        <f t="shared" ref="M131:M181" si="18">L131+ABS($N$2)*A131</f>
        <v>0.56355661125380596</v>
      </c>
      <c r="P131" s="8">
        <f t="shared" ref="P131:P194" si="19">(M131-$O$2)/$O$2*100</f>
        <v>17.097979001285783</v>
      </c>
      <c r="X131" s="8">
        <v>-13</v>
      </c>
    </row>
    <row r="132" spans="1:24" x14ac:dyDescent="0.2">
      <c r="A132" s="8">
        <v>65</v>
      </c>
      <c r="B132" s="8">
        <v>130</v>
      </c>
      <c r="D132">
        <v>806.84938941655003</v>
      </c>
      <c r="E132">
        <v>413.71641791044999</v>
      </c>
      <c r="F132">
        <v>148.17615176152</v>
      </c>
      <c r="G132">
        <v>122.28726287263</v>
      </c>
      <c r="I132" s="9">
        <f t="shared" si="15"/>
        <v>291.42915503782001</v>
      </c>
      <c r="J132" s="9">
        <f t="shared" si="16"/>
        <v>658.67323765502999</v>
      </c>
      <c r="K132" s="9">
        <f t="shared" si="17"/>
        <v>291.42915503782001</v>
      </c>
      <c r="L132" s="10">
        <f t="shared" si="14"/>
        <v>0.44244875664805977</v>
      </c>
      <c r="M132" s="10">
        <f t="shared" si="18"/>
        <v>0.53093586044498575</v>
      </c>
      <c r="P132" s="8">
        <f t="shared" si="19"/>
        <v>10.319912846194415</v>
      </c>
      <c r="X132" s="8">
        <v>-13</v>
      </c>
    </row>
    <row r="133" spans="1:24" x14ac:dyDescent="0.2">
      <c r="A133" s="8">
        <v>65.5</v>
      </c>
      <c r="B133" s="8">
        <v>131</v>
      </c>
      <c r="D133">
        <v>758.99185888737998</v>
      </c>
      <c r="E133">
        <v>379.70284938942001</v>
      </c>
      <c r="F133">
        <v>148.21002710027</v>
      </c>
      <c r="G133">
        <v>122.61653116530999</v>
      </c>
      <c r="I133" s="9">
        <f t="shared" si="15"/>
        <v>257.08631822411002</v>
      </c>
      <c r="J133" s="9">
        <f t="shared" si="16"/>
        <v>610.78183178710992</v>
      </c>
      <c r="K133" s="9">
        <f t="shared" si="17"/>
        <v>257.08631822411002</v>
      </c>
      <c r="L133" s="10">
        <f t="shared" si="14"/>
        <v>0.42091349946001394</v>
      </c>
      <c r="M133" s="10">
        <f t="shared" si="18"/>
        <v>0.51008127328614705</v>
      </c>
      <c r="P133" s="8">
        <f t="shared" si="19"/>
        <v>5.9866658210674677</v>
      </c>
      <c r="X133" s="8">
        <v>-13</v>
      </c>
    </row>
    <row r="134" spans="1:24" x14ac:dyDescent="0.2">
      <c r="A134" s="8">
        <v>66</v>
      </c>
      <c r="B134" s="8">
        <v>132</v>
      </c>
      <c r="D134">
        <v>787.59078590785998</v>
      </c>
      <c r="E134">
        <v>405.16802168022002</v>
      </c>
      <c r="F134">
        <v>148.52981029809999</v>
      </c>
      <c r="G134">
        <v>122.46883468835</v>
      </c>
      <c r="I134" s="9">
        <f t="shared" si="15"/>
        <v>282.69918699187002</v>
      </c>
      <c r="J134" s="9">
        <f t="shared" si="16"/>
        <v>639.06097560976002</v>
      </c>
      <c r="K134" s="9">
        <f t="shared" si="17"/>
        <v>282.69918699187002</v>
      </c>
      <c r="L134" s="10">
        <f t="shared" si="14"/>
        <v>0.44236653117823788</v>
      </c>
      <c r="M134" s="10">
        <f t="shared" si="18"/>
        <v>0.53221497503357806</v>
      </c>
      <c r="P134" s="8">
        <f t="shared" si="19"/>
        <v>10.585692237730582</v>
      </c>
      <c r="X134" s="8">
        <v>-13</v>
      </c>
    </row>
    <row r="135" spans="1:24" x14ac:dyDescent="0.2">
      <c r="A135" s="8">
        <v>66.5</v>
      </c>
      <c r="B135" s="8">
        <v>133</v>
      </c>
      <c r="D135">
        <v>772.58943089431</v>
      </c>
      <c r="E135">
        <v>400.52168021680001</v>
      </c>
      <c r="F135">
        <v>148.50542005419999</v>
      </c>
      <c r="G135">
        <v>123.15176151762</v>
      </c>
      <c r="I135" s="9">
        <f t="shared" si="15"/>
        <v>277.36991869918</v>
      </c>
      <c r="J135" s="9">
        <f t="shared" si="16"/>
        <v>624.08401084011007</v>
      </c>
      <c r="K135" s="9">
        <f t="shared" si="17"/>
        <v>277.36991869918</v>
      </c>
      <c r="L135" s="10">
        <f t="shared" si="14"/>
        <v>0.44444323822012161</v>
      </c>
      <c r="M135" s="10">
        <f t="shared" si="18"/>
        <v>0.53497235210466898</v>
      </c>
      <c r="P135" s="8">
        <f t="shared" si="19"/>
        <v>11.158630742791994</v>
      </c>
      <c r="X135" s="8">
        <v>-13</v>
      </c>
    </row>
    <row r="136" spans="1:24" x14ac:dyDescent="0.2">
      <c r="A136" s="8">
        <v>67</v>
      </c>
      <c r="B136" s="8">
        <v>134</v>
      </c>
      <c r="D136">
        <v>795.88211382114002</v>
      </c>
      <c r="E136">
        <v>431.53116531165</v>
      </c>
      <c r="F136">
        <v>147.87940379404</v>
      </c>
      <c r="G136">
        <v>122.60569105691</v>
      </c>
      <c r="I136" s="9">
        <f t="shared" si="15"/>
        <v>308.92547425473998</v>
      </c>
      <c r="J136" s="9">
        <f t="shared" si="16"/>
        <v>648.00271002709997</v>
      </c>
      <c r="K136" s="9">
        <f t="shared" si="17"/>
        <v>308.92547425473998</v>
      </c>
      <c r="L136" s="10">
        <f t="shared" si="14"/>
        <v>0.47673484921354803</v>
      </c>
      <c r="M136" s="10">
        <f t="shared" si="18"/>
        <v>0.56794463312730248</v>
      </c>
      <c r="P136" s="8">
        <f t="shared" si="19"/>
        <v>18.009739209469139</v>
      </c>
      <c r="X136" s="8">
        <v>-13</v>
      </c>
    </row>
    <row r="137" spans="1:24" x14ac:dyDescent="0.2">
      <c r="A137" s="8">
        <v>67.5</v>
      </c>
      <c r="B137" s="8">
        <v>135</v>
      </c>
      <c r="D137">
        <v>797.94850948509998</v>
      </c>
      <c r="E137">
        <v>433.17886178862</v>
      </c>
      <c r="F137">
        <v>148.74119241192</v>
      </c>
      <c r="G137">
        <v>122.70460704607</v>
      </c>
      <c r="I137" s="9">
        <f t="shared" si="15"/>
        <v>310.47425474254999</v>
      </c>
      <c r="J137" s="9">
        <f t="shared" si="16"/>
        <v>649.20731707317998</v>
      </c>
      <c r="K137" s="9">
        <f t="shared" si="17"/>
        <v>310.47425474254999</v>
      </c>
      <c r="L137" s="10">
        <f t="shared" si="14"/>
        <v>0.47823591413334715</v>
      </c>
      <c r="M137" s="10">
        <f t="shared" si="18"/>
        <v>0.57012636807630879</v>
      </c>
      <c r="P137" s="8">
        <f t="shared" si="19"/>
        <v>18.463068561203166</v>
      </c>
      <c r="X137" s="8">
        <v>-13</v>
      </c>
    </row>
    <row r="138" spans="1:24" x14ac:dyDescent="0.2">
      <c r="A138" s="8">
        <v>68</v>
      </c>
      <c r="B138" s="8">
        <v>136</v>
      </c>
      <c r="D138">
        <v>809.71138211382004</v>
      </c>
      <c r="E138">
        <v>440.58536585365999</v>
      </c>
      <c r="F138">
        <v>148.39430894309001</v>
      </c>
      <c r="G138">
        <v>122.58130081301</v>
      </c>
      <c r="I138" s="9">
        <f t="shared" si="15"/>
        <v>318.00406504065</v>
      </c>
      <c r="J138" s="9">
        <f t="shared" si="16"/>
        <v>661.31707317073005</v>
      </c>
      <c r="K138" s="9">
        <f t="shared" si="17"/>
        <v>318.00406504065</v>
      </c>
      <c r="L138" s="10">
        <f t="shared" si="14"/>
        <v>0.48086474392073036</v>
      </c>
      <c r="M138" s="10">
        <f t="shared" si="18"/>
        <v>0.57343586789289902</v>
      </c>
      <c r="P138" s="8">
        <f t="shared" si="19"/>
        <v>19.150729272281772</v>
      </c>
      <c r="X138" s="8">
        <v>-13</v>
      </c>
    </row>
    <row r="139" spans="1:24" x14ac:dyDescent="0.2">
      <c r="A139" s="8">
        <v>68.5</v>
      </c>
      <c r="B139" s="8">
        <v>137</v>
      </c>
      <c r="D139">
        <v>819.73577235771995</v>
      </c>
      <c r="E139">
        <v>448.33468834688</v>
      </c>
      <c r="F139">
        <v>149.08130081300999</v>
      </c>
      <c r="G139">
        <v>122.08265582656</v>
      </c>
      <c r="I139" s="9">
        <f t="shared" si="15"/>
        <v>326.25203252031997</v>
      </c>
      <c r="J139" s="9">
        <f t="shared" si="16"/>
        <v>670.65447154470996</v>
      </c>
      <c r="K139" s="9">
        <f t="shared" si="17"/>
        <v>326.25203252031997</v>
      </c>
      <c r="L139" s="10">
        <f t="shared" si="14"/>
        <v>0.48646813875536798</v>
      </c>
      <c r="M139" s="10">
        <f t="shared" si="18"/>
        <v>0.57971993275674383</v>
      </c>
      <c r="P139" s="8">
        <f t="shared" si="19"/>
        <v>20.456456648688711</v>
      </c>
      <c r="X139" s="8">
        <v>-13</v>
      </c>
    </row>
    <row r="140" spans="1:24" x14ac:dyDescent="0.2">
      <c r="A140" s="8">
        <v>69</v>
      </c>
      <c r="B140" s="8">
        <v>138</v>
      </c>
      <c r="D140">
        <v>805.01626016260002</v>
      </c>
      <c r="E140">
        <v>426.78184281842999</v>
      </c>
      <c r="F140">
        <v>148.15447154472</v>
      </c>
      <c r="G140">
        <v>122.74932249323</v>
      </c>
      <c r="I140" s="9">
        <f t="shared" si="15"/>
        <v>304.03252032519998</v>
      </c>
      <c r="J140" s="9">
        <f t="shared" si="16"/>
        <v>656.86178861788005</v>
      </c>
      <c r="K140" s="9">
        <f t="shared" si="17"/>
        <v>304.03252032519998</v>
      </c>
      <c r="L140" s="10">
        <f t="shared" si="14"/>
        <v>0.46285615268460462</v>
      </c>
      <c r="M140" s="10">
        <f t="shared" si="18"/>
        <v>0.55678861671518753</v>
      </c>
      <c r="P140" s="8">
        <f t="shared" si="19"/>
        <v>15.691698839651702</v>
      </c>
      <c r="X140" s="8">
        <v>-13</v>
      </c>
    </row>
    <row r="141" spans="1:24" x14ac:dyDescent="0.2">
      <c r="A141" s="8">
        <v>69.5</v>
      </c>
      <c r="B141" s="8">
        <v>139</v>
      </c>
      <c r="D141">
        <v>810.15718157182005</v>
      </c>
      <c r="E141">
        <v>415.79539295392999</v>
      </c>
      <c r="F141">
        <v>148.55420054200999</v>
      </c>
      <c r="G141">
        <v>122.30758807588001</v>
      </c>
      <c r="I141" s="9">
        <f t="shared" si="15"/>
        <v>293.48780487804999</v>
      </c>
      <c r="J141" s="9">
        <f t="shared" si="16"/>
        <v>661.60298102981005</v>
      </c>
      <c r="K141" s="9">
        <f t="shared" si="17"/>
        <v>293.48780487804999</v>
      </c>
      <c r="L141" s="10">
        <f t="shared" si="14"/>
        <v>0.44360109203441789</v>
      </c>
      <c r="M141" s="10">
        <f t="shared" si="18"/>
        <v>0.53821422609420799</v>
      </c>
      <c r="P141" s="8">
        <f t="shared" si="19"/>
        <v>11.832239897171851</v>
      </c>
      <c r="X141" s="8">
        <v>-13</v>
      </c>
    </row>
    <row r="142" spans="1:24" x14ac:dyDescent="0.2">
      <c r="A142" s="8">
        <v>70</v>
      </c>
      <c r="B142" s="8">
        <v>140</v>
      </c>
      <c r="D142">
        <v>804.91734417344003</v>
      </c>
      <c r="E142">
        <v>402.56910569105997</v>
      </c>
      <c r="F142">
        <v>147.94986449864999</v>
      </c>
      <c r="G142">
        <v>121.86991869918999</v>
      </c>
      <c r="I142" s="9">
        <f t="shared" si="15"/>
        <v>280.69918699186996</v>
      </c>
      <c r="J142" s="9">
        <f t="shared" si="16"/>
        <v>656.96747967479007</v>
      </c>
      <c r="K142" s="9">
        <f t="shared" si="17"/>
        <v>280.69918699186996</v>
      </c>
      <c r="L142" s="10">
        <f t="shared" si="14"/>
        <v>0.42726496466890684</v>
      </c>
      <c r="M142" s="10">
        <f t="shared" si="18"/>
        <v>0.52255876875790408</v>
      </c>
      <c r="P142" s="8">
        <f t="shared" si="19"/>
        <v>8.5792882365685426</v>
      </c>
      <c r="X142" s="8">
        <v>-13</v>
      </c>
    </row>
    <row r="143" spans="1:24" x14ac:dyDescent="0.2">
      <c r="A143" s="8">
        <v>70.5</v>
      </c>
      <c r="B143" s="8">
        <v>141</v>
      </c>
      <c r="D143">
        <v>824.81707317073005</v>
      </c>
      <c r="E143">
        <v>412.37262872628997</v>
      </c>
      <c r="F143">
        <v>147.78455284552999</v>
      </c>
      <c r="G143">
        <v>122.80081300813001</v>
      </c>
      <c r="I143" s="9">
        <f t="shared" si="15"/>
        <v>289.57181571816</v>
      </c>
      <c r="J143" s="9">
        <f t="shared" si="16"/>
        <v>677.03252032520004</v>
      </c>
      <c r="K143" s="9">
        <f t="shared" si="17"/>
        <v>289.57181571816</v>
      </c>
      <c r="L143" s="10">
        <f t="shared" si="14"/>
        <v>0.42770739517662981</v>
      </c>
      <c r="M143" s="10">
        <f t="shared" si="18"/>
        <v>0.52368186929483418</v>
      </c>
      <c r="P143" s="8">
        <f t="shared" si="19"/>
        <v>8.8126504231946257</v>
      </c>
      <c r="X143" s="8">
        <v>-13</v>
      </c>
    </row>
    <row r="144" spans="1:24" x14ac:dyDescent="0.2">
      <c r="A144" s="8">
        <v>71</v>
      </c>
      <c r="B144" s="8">
        <v>142</v>
      </c>
      <c r="D144">
        <v>859.59375</v>
      </c>
      <c r="E144">
        <v>425.30842391303997</v>
      </c>
      <c r="F144">
        <v>148.44037940378999</v>
      </c>
      <c r="G144">
        <v>122.80894308943</v>
      </c>
      <c r="I144" s="9">
        <f t="shared" si="15"/>
        <v>302.49948082360999</v>
      </c>
      <c r="J144" s="9">
        <f t="shared" si="16"/>
        <v>711.15337059621004</v>
      </c>
      <c r="K144" s="9">
        <f t="shared" si="17"/>
        <v>302.49948082360999</v>
      </c>
      <c r="L144" s="10">
        <f t="shared" si="14"/>
        <v>0.42536461659459385</v>
      </c>
      <c r="M144" s="10">
        <f t="shared" si="18"/>
        <v>0.52201976074200529</v>
      </c>
      <c r="P144" s="8">
        <f t="shared" si="19"/>
        <v>8.4672910599462714</v>
      </c>
    </row>
    <row r="145" spans="1:16" x14ac:dyDescent="0.2">
      <c r="A145" s="8">
        <v>71.5</v>
      </c>
      <c r="B145" s="8">
        <v>143</v>
      </c>
      <c r="D145">
        <v>851.98777173913004</v>
      </c>
      <c r="E145">
        <v>398.24184782609001</v>
      </c>
      <c r="F145">
        <v>148.47289972900001</v>
      </c>
      <c r="G145">
        <v>122.30216802168</v>
      </c>
      <c r="I145" s="9">
        <f t="shared" si="15"/>
        <v>275.93967980440999</v>
      </c>
      <c r="J145" s="9">
        <f t="shared" si="16"/>
        <v>703.51487201013003</v>
      </c>
      <c r="K145" s="9">
        <f t="shared" si="17"/>
        <v>275.93967980440999</v>
      </c>
      <c r="L145" s="10">
        <f t="shared" si="14"/>
        <v>0.39223005906893849</v>
      </c>
      <c r="M145" s="10">
        <f t="shared" si="18"/>
        <v>0.48956587324555706</v>
      </c>
      <c r="P145" s="8">
        <f t="shared" si="19"/>
        <v>1.7238964112449142</v>
      </c>
    </row>
    <row r="146" spans="1:16" x14ac:dyDescent="0.2">
      <c r="A146" s="8">
        <v>72</v>
      </c>
      <c r="B146" s="8">
        <v>144</v>
      </c>
      <c r="D146">
        <v>794.03648648649005</v>
      </c>
      <c r="E146">
        <v>371.50945945946</v>
      </c>
      <c r="F146">
        <v>148.17886178862</v>
      </c>
      <c r="G146">
        <v>122.06910569106</v>
      </c>
      <c r="I146" s="9">
        <f t="shared" si="15"/>
        <v>249.4403537684</v>
      </c>
      <c r="J146" s="9">
        <f t="shared" si="16"/>
        <v>645.85762469787005</v>
      </c>
      <c r="K146" s="9">
        <f t="shared" si="17"/>
        <v>249.4403537684</v>
      </c>
      <c r="L146" s="10">
        <f t="shared" si="14"/>
        <v>0.3862156986767592</v>
      </c>
      <c r="M146" s="10">
        <f t="shared" si="18"/>
        <v>0.48423218288258491</v>
      </c>
      <c r="P146" s="8">
        <f t="shared" si="19"/>
        <v>0.61564153560227541</v>
      </c>
    </row>
    <row r="147" spans="1:16" x14ac:dyDescent="0.2">
      <c r="A147" s="8">
        <v>72.5</v>
      </c>
      <c r="B147" s="8">
        <v>145</v>
      </c>
      <c r="D147">
        <v>733.37702702702995</v>
      </c>
      <c r="E147">
        <v>338.60540540541001</v>
      </c>
      <c r="F147">
        <v>148.38888888888999</v>
      </c>
      <c r="G147">
        <v>122.63143631436</v>
      </c>
      <c r="I147" s="9">
        <f t="shared" si="15"/>
        <v>215.97396909105001</v>
      </c>
      <c r="J147" s="9">
        <f t="shared" si="16"/>
        <v>584.9881381381399</v>
      </c>
      <c r="K147" s="9">
        <f t="shared" si="17"/>
        <v>215.97396909105001</v>
      </c>
      <c r="L147" s="10">
        <f t="shared" si="14"/>
        <v>0.36919375797676368</v>
      </c>
      <c r="M147" s="10">
        <f t="shared" si="18"/>
        <v>0.46789091221179652</v>
      </c>
      <c r="P147" s="8">
        <f t="shared" si="19"/>
        <v>-2.7798110802495146</v>
      </c>
    </row>
    <row r="148" spans="1:16" x14ac:dyDescent="0.2">
      <c r="A148" s="8">
        <v>73</v>
      </c>
      <c r="B148" s="8">
        <v>146</v>
      </c>
      <c r="D148">
        <v>753.99054054054</v>
      </c>
      <c r="E148">
        <v>369.37702702703001</v>
      </c>
      <c r="F148">
        <v>148.68970189702</v>
      </c>
      <c r="G148">
        <v>122.23170731707</v>
      </c>
      <c r="I148" s="9">
        <f t="shared" si="15"/>
        <v>247.14531970996001</v>
      </c>
      <c r="J148" s="9">
        <f t="shared" si="16"/>
        <v>605.30083864352002</v>
      </c>
      <c r="K148" s="9">
        <f t="shared" si="17"/>
        <v>247.14531970996001</v>
      </c>
      <c r="L148" s="10">
        <f t="shared" si="14"/>
        <v>0.40830163107623146</v>
      </c>
      <c r="M148" s="10">
        <f t="shared" si="18"/>
        <v>0.50767945534047143</v>
      </c>
      <c r="P148" s="8">
        <f t="shared" si="19"/>
        <v>5.4876067704746401</v>
      </c>
    </row>
    <row r="149" spans="1:16" x14ac:dyDescent="0.2">
      <c r="A149" s="8">
        <v>73.5</v>
      </c>
      <c r="B149" s="8">
        <v>147</v>
      </c>
      <c r="D149">
        <v>759.80810810810999</v>
      </c>
      <c r="E149">
        <v>385.46081081081002</v>
      </c>
      <c r="F149">
        <v>147.96747967479999</v>
      </c>
      <c r="G149">
        <v>122.11382113821</v>
      </c>
      <c r="I149" s="9">
        <f t="shared" si="15"/>
        <v>263.34698967259999</v>
      </c>
      <c r="J149" s="9">
        <f t="shared" si="16"/>
        <v>611.84062843331003</v>
      </c>
      <c r="K149" s="9">
        <f t="shared" si="17"/>
        <v>263.34698967259999</v>
      </c>
      <c r="L149" s="10">
        <f t="shared" si="14"/>
        <v>0.430417624189049</v>
      </c>
      <c r="M149" s="10">
        <f t="shared" si="18"/>
        <v>0.5304761184824961</v>
      </c>
      <c r="P149" s="8">
        <f t="shared" si="19"/>
        <v>10.224385877661739</v>
      </c>
    </row>
    <row r="150" spans="1:16" x14ac:dyDescent="0.2">
      <c r="A150" s="8">
        <v>74</v>
      </c>
      <c r="B150" s="8">
        <v>148</v>
      </c>
      <c r="D150">
        <v>802.16756756757002</v>
      </c>
      <c r="E150">
        <v>394.35405405404998</v>
      </c>
      <c r="F150">
        <v>148.44986449864999</v>
      </c>
      <c r="G150">
        <v>122.21002710027</v>
      </c>
      <c r="I150" s="9">
        <f t="shared" si="15"/>
        <v>272.14402695377998</v>
      </c>
      <c r="J150" s="9">
        <f t="shared" si="16"/>
        <v>653.71770306892006</v>
      </c>
      <c r="K150" s="9">
        <f t="shared" si="17"/>
        <v>272.14402695377998</v>
      </c>
      <c r="L150" s="10">
        <f t="shared" si="14"/>
        <v>0.41630206077666587</v>
      </c>
      <c r="M150" s="10">
        <f t="shared" si="18"/>
        <v>0.51704122509932005</v>
      </c>
      <c r="P150" s="8">
        <f t="shared" si="19"/>
        <v>7.4328316099057545</v>
      </c>
    </row>
    <row r="151" spans="1:16" x14ac:dyDescent="0.2">
      <c r="A151" s="8">
        <v>74.5</v>
      </c>
      <c r="B151" s="8">
        <v>149</v>
      </c>
      <c r="D151">
        <v>750.37819650067001</v>
      </c>
      <c r="E151">
        <v>352.7200538358</v>
      </c>
      <c r="F151">
        <v>148.18428184282001</v>
      </c>
      <c r="G151">
        <v>122.73035230351999</v>
      </c>
      <c r="I151" s="9">
        <f t="shared" si="15"/>
        <v>229.98970153228001</v>
      </c>
      <c r="J151" s="9">
        <f t="shared" si="16"/>
        <v>602.19391465784997</v>
      </c>
      <c r="K151" s="9">
        <f t="shared" si="17"/>
        <v>229.98970153228001</v>
      </c>
      <c r="L151" s="10">
        <f t="shared" si="14"/>
        <v>0.38191967061466209</v>
      </c>
      <c r="M151" s="10">
        <f t="shared" si="18"/>
        <v>0.48333950496652339</v>
      </c>
      <c r="P151" s="8">
        <f t="shared" si="19"/>
        <v>0.43015745506363784</v>
      </c>
    </row>
    <row r="152" spans="1:16" x14ac:dyDescent="0.2">
      <c r="A152" s="8">
        <v>75</v>
      </c>
      <c r="B152" s="8">
        <v>150</v>
      </c>
      <c r="D152">
        <v>737.58142664872003</v>
      </c>
      <c r="E152">
        <v>348.60161507402</v>
      </c>
      <c r="F152">
        <v>147.37940379404</v>
      </c>
      <c r="G152">
        <v>122.22764227642</v>
      </c>
      <c r="I152" s="9">
        <f t="shared" si="15"/>
        <v>226.3739727976</v>
      </c>
      <c r="J152" s="9">
        <f t="shared" si="16"/>
        <v>590.20202285468008</v>
      </c>
      <c r="K152" s="9">
        <f t="shared" si="17"/>
        <v>226.3739727976</v>
      </c>
      <c r="L152" s="10">
        <f t="shared" si="14"/>
        <v>0.38355336652808786</v>
      </c>
      <c r="M152" s="10">
        <f t="shared" si="18"/>
        <v>0.48565387090915629</v>
      </c>
      <c r="P152" s="8">
        <f t="shared" si="19"/>
        <v>0.91104538919465317</v>
      </c>
    </row>
    <row r="153" spans="1:16" x14ac:dyDescent="0.2">
      <c r="A153" s="8">
        <v>75.5</v>
      </c>
      <c r="B153" s="8">
        <v>151</v>
      </c>
      <c r="D153">
        <v>712.17765814267</v>
      </c>
      <c r="E153">
        <v>349.37954239569001</v>
      </c>
      <c r="F153">
        <v>148.43089430894</v>
      </c>
      <c r="G153">
        <v>122.13550135501001</v>
      </c>
      <c r="I153" s="9">
        <f t="shared" si="15"/>
        <v>227.24404104068</v>
      </c>
      <c r="J153" s="9">
        <f t="shared" si="16"/>
        <v>563.74676383373003</v>
      </c>
      <c r="K153" s="9">
        <f t="shared" si="17"/>
        <v>227.24404104068</v>
      </c>
      <c r="L153" s="10">
        <f t="shared" si="14"/>
        <v>0.40309595658752689</v>
      </c>
      <c r="M153" s="10">
        <f t="shared" si="18"/>
        <v>0.50587713099780252</v>
      </c>
      <c r="P153" s="8">
        <f t="shared" si="19"/>
        <v>5.1131128264468906</v>
      </c>
    </row>
    <row r="154" spans="1:16" x14ac:dyDescent="0.2">
      <c r="A154" s="8">
        <v>76</v>
      </c>
      <c r="B154" s="8">
        <v>152</v>
      </c>
      <c r="D154">
        <v>762.75639300135003</v>
      </c>
      <c r="E154">
        <v>375.90174966352998</v>
      </c>
      <c r="F154">
        <v>148.02574525745001</v>
      </c>
      <c r="G154">
        <v>122.36449864498999</v>
      </c>
      <c r="I154" s="9">
        <f t="shared" si="15"/>
        <v>253.53725101853999</v>
      </c>
      <c r="J154" s="9">
        <f t="shared" si="16"/>
        <v>614.73064774390002</v>
      </c>
      <c r="K154" s="9">
        <f t="shared" si="17"/>
        <v>253.53725101853999</v>
      </c>
      <c r="L154" s="10">
        <f t="shared" si="14"/>
        <v>0.41243632792514506</v>
      </c>
      <c r="M154" s="10">
        <f t="shared" si="18"/>
        <v>0.51589817236462776</v>
      </c>
      <c r="P154" s="8">
        <f t="shared" si="19"/>
        <v>7.1953236782241952</v>
      </c>
    </row>
    <row r="155" spans="1:16" x14ac:dyDescent="0.2">
      <c r="A155" s="8">
        <v>76.5</v>
      </c>
      <c r="B155" s="8">
        <v>153</v>
      </c>
      <c r="D155">
        <v>763.87886944818001</v>
      </c>
      <c r="E155">
        <v>359.63391655450999</v>
      </c>
      <c r="F155">
        <v>147.79132791328001</v>
      </c>
      <c r="G155">
        <v>122.36856368564</v>
      </c>
      <c r="I155" s="9">
        <f t="shared" si="15"/>
        <v>237.26535286887</v>
      </c>
      <c r="J155" s="9">
        <f t="shared" si="16"/>
        <v>616.08754153489997</v>
      </c>
      <c r="K155" s="9">
        <f t="shared" si="17"/>
        <v>237.26535286887</v>
      </c>
      <c r="L155" s="10">
        <f t="shared" si="14"/>
        <v>0.38511629739785841</v>
      </c>
      <c r="M155" s="10">
        <f t="shared" si="18"/>
        <v>0.48925881186654818</v>
      </c>
      <c r="P155" s="8">
        <f t="shared" si="19"/>
        <v>1.6600940066714118</v>
      </c>
    </row>
    <row r="156" spans="1:16" x14ac:dyDescent="0.2">
      <c r="A156" s="8">
        <v>77</v>
      </c>
      <c r="B156" s="8">
        <v>154</v>
      </c>
      <c r="D156">
        <v>714.12920592193996</v>
      </c>
      <c r="E156">
        <v>334.19919246299003</v>
      </c>
      <c r="F156">
        <v>147.53116531165</v>
      </c>
      <c r="G156">
        <v>121.74661246613</v>
      </c>
      <c r="I156" s="9">
        <f t="shared" si="15"/>
        <v>212.45257999686004</v>
      </c>
      <c r="J156" s="9">
        <f t="shared" si="16"/>
        <v>566.5980406102899</v>
      </c>
      <c r="K156" s="9">
        <f t="shared" si="17"/>
        <v>212.45257999686004</v>
      </c>
      <c r="L156" s="10">
        <f t="shared" si="14"/>
        <v>0.37496172730852489</v>
      </c>
      <c r="M156" s="10">
        <f t="shared" si="18"/>
        <v>0.4797849118064218</v>
      </c>
      <c r="P156" s="8">
        <f t="shared" si="19"/>
        <v>-0.30842970176812301</v>
      </c>
    </row>
    <row r="157" spans="1:16" x14ac:dyDescent="0.2">
      <c r="A157" s="8">
        <v>77.5</v>
      </c>
      <c r="B157" s="8">
        <v>155</v>
      </c>
      <c r="D157">
        <v>741.06594885598997</v>
      </c>
      <c r="E157">
        <v>340.97711978465998</v>
      </c>
      <c r="F157">
        <v>148.31300813007999</v>
      </c>
      <c r="G157">
        <v>121.76151761518</v>
      </c>
      <c r="I157" s="9">
        <f t="shared" si="15"/>
        <v>219.21560216947998</v>
      </c>
      <c r="J157" s="9">
        <f t="shared" si="16"/>
        <v>592.75294072590998</v>
      </c>
      <c r="K157" s="9">
        <f t="shared" si="17"/>
        <v>219.21560216947998</v>
      </c>
      <c r="L157" s="10">
        <f t="shared" si="14"/>
        <v>0.36982625830758326</v>
      </c>
      <c r="M157" s="10">
        <f t="shared" si="18"/>
        <v>0.47533011283468729</v>
      </c>
      <c r="P157" s="8">
        <f t="shared" si="19"/>
        <v>-1.2340651144847792</v>
      </c>
    </row>
    <row r="158" spans="1:16" x14ac:dyDescent="0.2">
      <c r="A158" s="8">
        <v>78</v>
      </c>
      <c r="B158" s="8">
        <v>156</v>
      </c>
      <c r="D158">
        <v>746.62314939434998</v>
      </c>
      <c r="E158">
        <v>342.19650067294998</v>
      </c>
      <c r="F158">
        <v>147.65311653117001</v>
      </c>
      <c r="G158">
        <v>122.26016260163</v>
      </c>
      <c r="I158" s="9">
        <f t="shared" si="15"/>
        <v>219.93633807131999</v>
      </c>
      <c r="J158" s="9">
        <f t="shared" si="16"/>
        <v>598.97003286317999</v>
      </c>
      <c r="K158" s="9">
        <f t="shared" si="17"/>
        <v>219.93633807131999</v>
      </c>
      <c r="L158" s="10">
        <f t="shared" si="14"/>
        <v>0.36719088769764724</v>
      </c>
      <c r="M158" s="10">
        <f t="shared" si="18"/>
        <v>0.47337541225395841</v>
      </c>
      <c r="P158" s="8">
        <f t="shared" si="19"/>
        <v>-1.6402203843994596</v>
      </c>
    </row>
    <row r="159" spans="1:16" x14ac:dyDescent="0.2">
      <c r="A159" s="8">
        <v>78.5</v>
      </c>
      <c r="B159" s="8">
        <v>157</v>
      </c>
      <c r="D159">
        <v>707.77162162162006</v>
      </c>
      <c r="E159">
        <v>343.11351351350999</v>
      </c>
      <c r="F159">
        <v>148.4647696477</v>
      </c>
      <c r="G159">
        <v>122.00948509485001</v>
      </c>
      <c r="I159" s="9">
        <f t="shared" si="15"/>
        <v>221.10402841865999</v>
      </c>
      <c r="J159" s="9">
        <f t="shared" si="16"/>
        <v>559.30685197392006</v>
      </c>
      <c r="K159" s="9">
        <f t="shared" si="17"/>
        <v>221.10402841865999</v>
      </c>
      <c r="L159" s="10">
        <f t="shared" si="14"/>
        <v>0.3953179326130799</v>
      </c>
      <c r="M159" s="10">
        <f t="shared" si="18"/>
        <v>0.50218312719859814</v>
      </c>
      <c r="P159" s="8">
        <f t="shared" si="19"/>
        <v>4.3455583861794986</v>
      </c>
    </row>
    <row r="160" spans="1:16" x14ac:dyDescent="0.2">
      <c r="A160" s="8">
        <v>79</v>
      </c>
      <c r="B160" s="8">
        <v>158</v>
      </c>
      <c r="D160">
        <v>717.25</v>
      </c>
      <c r="E160">
        <v>363.33513513513998</v>
      </c>
      <c r="F160">
        <v>147.60298102981</v>
      </c>
      <c r="G160">
        <v>122.36991869918999</v>
      </c>
      <c r="I160" s="9">
        <f t="shared" si="15"/>
        <v>240.96521643594997</v>
      </c>
      <c r="J160" s="9">
        <f t="shared" si="16"/>
        <v>569.64701897018995</v>
      </c>
      <c r="K160" s="9">
        <f t="shared" si="17"/>
        <v>240.96521643594997</v>
      </c>
      <c r="L160" s="10">
        <f t="shared" si="14"/>
        <v>0.42300794774906014</v>
      </c>
      <c r="M160" s="10">
        <f t="shared" si="18"/>
        <v>0.53055381236378552</v>
      </c>
      <c r="P160" s="8">
        <f t="shared" si="19"/>
        <v>10.240529413729067</v>
      </c>
    </row>
    <row r="161" spans="1:16" x14ac:dyDescent="0.2">
      <c r="A161" s="8">
        <v>79.5</v>
      </c>
      <c r="B161" s="8">
        <v>159</v>
      </c>
      <c r="D161">
        <v>708.48513513514001</v>
      </c>
      <c r="E161">
        <v>365.38108108108003</v>
      </c>
      <c r="F161">
        <v>147.96070460704999</v>
      </c>
      <c r="G161">
        <v>122.08536585365999</v>
      </c>
      <c r="I161" s="9">
        <f t="shared" si="15"/>
        <v>243.29571522742003</v>
      </c>
      <c r="J161" s="9">
        <f t="shared" si="16"/>
        <v>560.52443052809008</v>
      </c>
      <c r="K161" s="9">
        <f t="shared" si="17"/>
        <v>243.29571522742003</v>
      </c>
      <c r="L161" s="10">
        <f t="shared" si="14"/>
        <v>0.4340501537073102</v>
      </c>
      <c r="M161" s="10">
        <f t="shared" si="18"/>
        <v>0.54227668835124276</v>
      </c>
      <c r="P161" s="8">
        <f t="shared" si="19"/>
        <v>12.676354065239931</v>
      </c>
    </row>
    <row r="162" spans="1:16" x14ac:dyDescent="0.2">
      <c r="A162" s="8">
        <v>80</v>
      </c>
      <c r="B162" s="4">
        <v>160</v>
      </c>
      <c r="C162" s="4" t="s">
        <v>6</v>
      </c>
      <c r="D162">
        <v>711.03378378378</v>
      </c>
      <c r="E162">
        <v>356.04459459460003</v>
      </c>
      <c r="F162">
        <v>148.22222222222001</v>
      </c>
      <c r="G162">
        <v>122.36178861789</v>
      </c>
      <c r="H162" s="4"/>
      <c r="I162" s="5">
        <f t="shared" si="15"/>
        <v>233.68280597671003</v>
      </c>
      <c r="J162" s="5">
        <f t="shared" si="16"/>
        <v>562.81156156155998</v>
      </c>
      <c r="K162" s="9">
        <f t="shared" si="17"/>
        <v>233.68280597671003</v>
      </c>
      <c r="L162" s="6">
        <f t="shared" si="14"/>
        <v>0.41520612214919816</v>
      </c>
      <c r="M162" s="6">
        <f t="shared" si="18"/>
        <v>0.5241133268223378</v>
      </c>
      <c r="N162" s="4"/>
      <c r="O162" s="4"/>
      <c r="P162" s="4">
        <f t="shared" si="19"/>
        <v>8.9023003420965843</v>
      </c>
    </row>
    <row r="163" spans="1:16" x14ac:dyDescent="0.2">
      <c r="A163" s="8">
        <v>80.5</v>
      </c>
      <c r="B163" s="8">
        <v>161</v>
      </c>
      <c r="D163">
        <v>711.11891891892003</v>
      </c>
      <c r="E163">
        <v>347.42837837837999</v>
      </c>
      <c r="F163">
        <v>148.20596205961999</v>
      </c>
      <c r="G163">
        <v>122.5298102981</v>
      </c>
      <c r="I163" s="9">
        <f t="shared" si="15"/>
        <v>224.89856808027997</v>
      </c>
      <c r="J163" s="9">
        <f t="shared" si="16"/>
        <v>562.91295685930004</v>
      </c>
      <c r="K163" s="9">
        <f t="shared" si="17"/>
        <v>224.89856808027997</v>
      </c>
      <c r="L163" s="10">
        <f t="shared" si="14"/>
        <v>0.39952636609232167</v>
      </c>
      <c r="M163" s="10">
        <f t="shared" si="18"/>
        <v>0.50911424079466849</v>
      </c>
      <c r="P163" s="8">
        <f t="shared" si="19"/>
        <v>5.7857320583904839</v>
      </c>
    </row>
    <row r="164" spans="1:16" x14ac:dyDescent="0.2">
      <c r="A164" s="8">
        <v>81</v>
      </c>
      <c r="B164" s="8">
        <v>162</v>
      </c>
      <c r="D164">
        <v>763.17029972752005</v>
      </c>
      <c r="E164">
        <v>347.95640326976002</v>
      </c>
      <c r="F164">
        <v>148.49322493225</v>
      </c>
      <c r="G164">
        <v>121.80352303523</v>
      </c>
      <c r="I164" s="9">
        <f t="shared" si="15"/>
        <v>226.15288023453002</v>
      </c>
      <c r="J164" s="9">
        <f t="shared" si="16"/>
        <v>614.67707479527007</v>
      </c>
      <c r="K164" s="9">
        <f t="shared" si="17"/>
        <v>226.15288023453002</v>
      </c>
      <c r="L164" s="10">
        <f t="shared" si="14"/>
        <v>0.36792144933964643</v>
      </c>
      <c r="M164" s="10">
        <f t="shared" si="18"/>
        <v>0.47818999407120033</v>
      </c>
      <c r="P164" s="8">
        <f t="shared" si="19"/>
        <v>-0.63982789626757663</v>
      </c>
    </row>
    <row r="165" spans="1:16" x14ac:dyDescent="0.2">
      <c r="A165" s="8">
        <v>81.5</v>
      </c>
      <c r="B165" s="8">
        <v>163</v>
      </c>
      <c r="D165">
        <v>813.53108108107995</v>
      </c>
      <c r="E165">
        <v>350.36216216216002</v>
      </c>
      <c r="F165">
        <v>147.71273712736999</v>
      </c>
      <c r="G165">
        <v>122.17073170732</v>
      </c>
      <c r="I165" s="9">
        <f t="shared" si="15"/>
        <v>228.19143045484003</v>
      </c>
      <c r="J165" s="9">
        <f t="shared" si="16"/>
        <v>665.81834395370993</v>
      </c>
      <c r="K165" s="9">
        <f t="shared" si="17"/>
        <v>228.19143045484003</v>
      </c>
      <c r="L165" s="10">
        <f t="shared" si="14"/>
        <v>0.34272325556519168</v>
      </c>
      <c r="M165" s="10">
        <f t="shared" si="18"/>
        <v>0.4536724703259527</v>
      </c>
      <c r="P165" s="8">
        <f t="shared" si="19"/>
        <v>-5.7341740956621869</v>
      </c>
    </row>
    <row r="166" spans="1:16" x14ac:dyDescent="0.2">
      <c r="A166" s="8">
        <v>82</v>
      </c>
      <c r="B166" s="8">
        <v>164</v>
      </c>
      <c r="D166">
        <v>842.77837837838001</v>
      </c>
      <c r="E166">
        <v>344.5527027027</v>
      </c>
      <c r="F166">
        <v>147.67344173442001</v>
      </c>
      <c r="G166">
        <v>122.48238482385</v>
      </c>
      <c r="I166" s="9">
        <f t="shared" si="15"/>
        <v>222.07031787885001</v>
      </c>
      <c r="J166" s="9">
        <f t="shared" si="16"/>
        <v>695.10493664395995</v>
      </c>
      <c r="K166" s="9">
        <f t="shared" si="17"/>
        <v>222.07031787885001</v>
      </c>
      <c r="L166" s="10">
        <f t="shared" si="14"/>
        <v>0.31947739998945907</v>
      </c>
      <c r="M166" s="10">
        <f t="shared" si="18"/>
        <v>0.43110728477942722</v>
      </c>
      <c r="P166" s="8">
        <f t="shared" si="19"/>
        <v>-10.422855890040324</v>
      </c>
    </row>
    <row r="167" spans="1:16" x14ac:dyDescent="0.2">
      <c r="A167" s="8">
        <v>82.5</v>
      </c>
      <c r="B167" s="8">
        <v>165</v>
      </c>
      <c r="D167">
        <v>764.66486486486997</v>
      </c>
      <c r="E167">
        <v>332.36216216216002</v>
      </c>
      <c r="F167">
        <v>147.71544715447001</v>
      </c>
      <c r="G167">
        <v>122.68428184282</v>
      </c>
      <c r="I167" s="9">
        <f t="shared" si="15"/>
        <v>209.67788031934003</v>
      </c>
      <c r="J167" s="9">
        <f t="shared" si="16"/>
        <v>616.94941771039998</v>
      </c>
      <c r="K167" s="9">
        <f t="shared" si="17"/>
        <v>209.67788031934003</v>
      </c>
      <c r="L167" s="10">
        <f t="shared" si="14"/>
        <v>0.33986235224516281</v>
      </c>
      <c r="M167" s="10">
        <f t="shared" si="18"/>
        <v>0.4521729070643381</v>
      </c>
      <c r="P167" s="8">
        <f t="shared" si="19"/>
        <v>-6.0457591677084164</v>
      </c>
    </row>
    <row r="168" spans="1:16" x14ac:dyDescent="0.2">
      <c r="A168" s="8">
        <v>83</v>
      </c>
      <c r="B168" s="8">
        <v>166</v>
      </c>
      <c r="D168">
        <v>734.73097826086996</v>
      </c>
      <c r="E168">
        <v>349.15625</v>
      </c>
      <c r="F168">
        <v>148.63143631436</v>
      </c>
      <c r="G168">
        <v>122.59078590786</v>
      </c>
      <c r="I168" s="9">
        <f t="shared" si="15"/>
        <v>226.56546409214002</v>
      </c>
      <c r="J168" s="9">
        <f t="shared" si="16"/>
        <v>586.09954194650993</v>
      </c>
      <c r="K168" s="9">
        <f t="shared" si="17"/>
        <v>226.56546409214002</v>
      </c>
      <c r="L168" s="10">
        <f t="shared" si="14"/>
        <v>0.38656482026873412</v>
      </c>
      <c r="M168" s="10">
        <f t="shared" si="18"/>
        <v>0.49955604511711654</v>
      </c>
      <c r="P168" s="8">
        <f t="shared" si="19"/>
        <v>3.799693079537851</v>
      </c>
    </row>
    <row r="169" spans="1:16" x14ac:dyDescent="0.2">
      <c r="A169" s="8">
        <v>83.5</v>
      </c>
      <c r="B169" s="8">
        <v>167</v>
      </c>
      <c r="D169">
        <v>742.77581521739</v>
      </c>
      <c r="E169">
        <v>373.05027173912998</v>
      </c>
      <c r="F169">
        <v>147.89159891598999</v>
      </c>
      <c r="G169">
        <v>122.69918699186999</v>
      </c>
      <c r="I169" s="9">
        <f t="shared" si="15"/>
        <v>250.35108474725999</v>
      </c>
      <c r="J169" s="9">
        <f t="shared" si="16"/>
        <v>594.88421630139999</v>
      </c>
      <c r="K169" s="9">
        <f t="shared" si="17"/>
        <v>250.35108474725999</v>
      </c>
      <c r="L169" s="10">
        <f t="shared" si="14"/>
        <v>0.42084001875823651</v>
      </c>
      <c r="M169" s="10">
        <f t="shared" si="18"/>
        <v>0.53451191363582606</v>
      </c>
      <c r="P169" s="8">
        <f t="shared" si="19"/>
        <v>11.062959051467145</v>
      </c>
    </row>
    <row r="170" spans="1:16" x14ac:dyDescent="0.2">
      <c r="A170" s="8">
        <v>84</v>
      </c>
      <c r="B170" s="8">
        <v>168</v>
      </c>
      <c r="D170">
        <v>750.83967391303997</v>
      </c>
      <c r="E170">
        <v>380.61413043478001</v>
      </c>
      <c r="F170">
        <v>148.33062330623</v>
      </c>
      <c r="G170">
        <v>122.53658536585</v>
      </c>
      <c r="I170" s="9">
        <f t="shared" si="15"/>
        <v>258.07754506893002</v>
      </c>
      <c r="J170" s="9">
        <f t="shared" si="16"/>
        <v>602.50905060680998</v>
      </c>
      <c r="K170" s="9">
        <f t="shared" si="17"/>
        <v>258.07754506893002</v>
      </c>
      <c r="L170" s="10">
        <f t="shared" si="14"/>
        <v>0.42833803875478754</v>
      </c>
      <c r="M170" s="10">
        <f t="shared" si="18"/>
        <v>0.54269060366158417</v>
      </c>
      <c r="P170" s="8">
        <f t="shared" si="19"/>
        <v>12.762358994204984</v>
      </c>
    </row>
    <row r="171" spans="1:16" x14ac:dyDescent="0.2">
      <c r="A171" s="8">
        <v>84.5</v>
      </c>
      <c r="B171" s="8">
        <v>169</v>
      </c>
      <c r="D171">
        <v>735.05570652174003</v>
      </c>
      <c r="E171">
        <v>377.91576086957002</v>
      </c>
      <c r="F171">
        <v>148.31978319782999</v>
      </c>
      <c r="G171">
        <v>122.29268292683</v>
      </c>
      <c r="I171" s="9">
        <f t="shared" si="15"/>
        <v>255.62307794274003</v>
      </c>
      <c r="J171" s="9">
        <f t="shared" si="16"/>
        <v>586.73592332391001</v>
      </c>
      <c r="K171" s="9">
        <f t="shared" si="17"/>
        <v>255.62307794274003</v>
      </c>
      <c r="L171" s="10">
        <f t="shared" si="14"/>
        <v>0.4356697242851828</v>
      </c>
      <c r="M171" s="10">
        <f t="shared" si="18"/>
        <v>0.55070295922118662</v>
      </c>
      <c r="P171" s="8">
        <f t="shared" si="19"/>
        <v>14.427197316271295</v>
      </c>
    </row>
    <row r="172" spans="1:16" x14ac:dyDescent="0.2">
      <c r="A172" s="8">
        <v>85</v>
      </c>
      <c r="B172" s="8">
        <v>170</v>
      </c>
      <c r="D172">
        <v>775.09375</v>
      </c>
      <c r="E172">
        <v>391.44972826087002</v>
      </c>
      <c r="F172">
        <v>148.05149051491</v>
      </c>
      <c r="G172">
        <v>121.56368563686</v>
      </c>
      <c r="I172" s="9">
        <f t="shared" si="15"/>
        <v>269.88604262401003</v>
      </c>
      <c r="J172" s="9">
        <f t="shared" si="16"/>
        <v>627.04225948508997</v>
      </c>
      <c r="K172" s="9">
        <f t="shared" si="17"/>
        <v>269.88604262401003</v>
      </c>
      <c r="L172" s="10">
        <f t="shared" si="14"/>
        <v>0.43041124986636964</v>
      </c>
      <c r="M172" s="10">
        <f t="shared" si="18"/>
        <v>0.54612515483158053</v>
      </c>
      <c r="P172" s="8">
        <f t="shared" si="19"/>
        <v>13.476003360630395</v>
      </c>
    </row>
    <row r="173" spans="1:16" x14ac:dyDescent="0.2">
      <c r="A173" s="8">
        <v>85.5</v>
      </c>
      <c r="B173" s="8">
        <v>171</v>
      </c>
      <c r="D173">
        <v>789.64130434782999</v>
      </c>
      <c r="E173">
        <v>391.86277173912998</v>
      </c>
      <c r="F173">
        <v>149.35501355014</v>
      </c>
      <c r="G173">
        <v>122.62601626016</v>
      </c>
      <c r="I173" s="9">
        <f t="shared" si="15"/>
        <v>269.23675547897</v>
      </c>
      <c r="J173" s="9">
        <f t="shared" si="16"/>
        <v>640.28629079768996</v>
      </c>
      <c r="K173" s="9">
        <f t="shared" si="17"/>
        <v>269.23675547897</v>
      </c>
      <c r="L173" s="10">
        <f t="shared" si="14"/>
        <v>0.42049433097114403</v>
      </c>
      <c r="M173" s="10">
        <f t="shared" si="18"/>
        <v>0.53688890596556205</v>
      </c>
      <c r="P173" s="8">
        <f t="shared" si="19"/>
        <v>11.556859739269184</v>
      </c>
    </row>
    <row r="174" spans="1:16" x14ac:dyDescent="0.2">
      <c r="A174" s="8">
        <v>86</v>
      </c>
      <c r="B174" s="8">
        <v>172</v>
      </c>
      <c r="D174">
        <v>835.87364130435003</v>
      </c>
      <c r="E174">
        <v>404.0625</v>
      </c>
      <c r="F174">
        <v>148.55826558266</v>
      </c>
      <c r="G174">
        <v>122.16802168021999</v>
      </c>
      <c r="I174" s="9">
        <f t="shared" si="15"/>
        <v>281.89447831977998</v>
      </c>
      <c r="J174" s="9">
        <f t="shared" si="16"/>
        <v>687.31537572169009</v>
      </c>
      <c r="K174" s="9">
        <f t="shared" si="17"/>
        <v>281.89447831977998</v>
      </c>
      <c r="L174" s="10">
        <f t="shared" si="14"/>
        <v>0.4101384724934854</v>
      </c>
      <c r="M174" s="10">
        <f t="shared" si="18"/>
        <v>0.52721371751711055</v>
      </c>
      <c r="P174" s="8">
        <f t="shared" si="19"/>
        <v>9.5465115486061922</v>
      </c>
    </row>
    <row r="175" spans="1:16" x14ac:dyDescent="0.2">
      <c r="A175" s="8">
        <v>86.5</v>
      </c>
      <c r="B175" s="8">
        <v>173</v>
      </c>
      <c r="D175">
        <v>814.45108695652004</v>
      </c>
      <c r="E175">
        <v>379.65081521739</v>
      </c>
      <c r="F175">
        <v>148.29403794038001</v>
      </c>
      <c r="G175">
        <v>122.5</v>
      </c>
      <c r="I175" s="9">
        <f t="shared" si="15"/>
        <v>257.15081521739</v>
      </c>
      <c r="J175" s="9">
        <f t="shared" si="16"/>
        <v>666.15704901614004</v>
      </c>
      <c r="K175" s="9">
        <f t="shared" si="17"/>
        <v>257.15081521739</v>
      </c>
      <c r="L175" s="10">
        <f t="shared" si="14"/>
        <v>0.38602130773393589</v>
      </c>
      <c r="M175" s="10">
        <f t="shared" si="18"/>
        <v>0.50377722278676818</v>
      </c>
      <c r="P175" s="8">
        <f t="shared" si="19"/>
        <v>4.676785751775089</v>
      </c>
    </row>
    <row r="176" spans="1:16" x14ac:dyDescent="0.2">
      <c r="A176" s="8">
        <v>87</v>
      </c>
      <c r="B176" s="8">
        <v>174</v>
      </c>
      <c r="D176">
        <v>722.74864130435003</v>
      </c>
      <c r="E176">
        <v>365.78125</v>
      </c>
      <c r="F176">
        <v>148.93224932249001</v>
      </c>
      <c r="G176">
        <v>122.94308943089</v>
      </c>
      <c r="I176" s="9">
        <f t="shared" si="15"/>
        <v>242.83816056911002</v>
      </c>
      <c r="J176" s="9">
        <f t="shared" si="16"/>
        <v>573.81639198186008</v>
      </c>
      <c r="K176" s="9">
        <f t="shared" si="17"/>
        <v>242.83816056911002</v>
      </c>
      <c r="L176" s="10">
        <f t="shared" si="14"/>
        <v>0.42319836791415116</v>
      </c>
      <c r="M176" s="10">
        <f t="shared" si="18"/>
        <v>0.54163495299619058</v>
      </c>
      <c r="P176" s="8">
        <f t="shared" si="19"/>
        <v>12.543011803558185</v>
      </c>
    </row>
    <row r="177" spans="1:16" x14ac:dyDescent="0.2">
      <c r="A177" s="8">
        <v>87.5</v>
      </c>
      <c r="B177" s="8">
        <v>175</v>
      </c>
      <c r="D177">
        <v>727.48369565217001</v>
      </c>
      <c r="E177">
        <v>379.60733695651999</v>
      </c>
      <c r="F177">
        <v>148.35094850949</v>
      </c>
      <c r="G177">
        <v>122.52845528455001</v>
      </c>
      <c r="I177" s="9">
        <f t="shared" si="15"/>
        <v>257.07888167196995</v>
      </c>
      <c r="J177" s="9">
        <f t="shared" si="16"/>
        <v>579.13274714268005</v>
      </c>
      <c r="K177" s="9">
        <f t="shared" si="17"/>
        <v>257.07888167196995</v>
      </c>
      <c r="L177" s="10">
        <f t="shared" si="14"/>
        <v>0.44390320343711082</v>
      </c>
      <c r="M177" s="10">
        <f t="shared" si="18"/>
        <v>0.56302045854835736</v>
      </c>
      <c r="P177" s="8">
        <f t="shared" si="19"/>
        <v>16.986575112146014</v>
      </c>
    </row>
    <row r="178" spans="1:16" x14ac:dyDescent="0.2">
      <c r="A178" s="8">
        <v>88</v>
      </c>
      <c r="B178" s="8">
        <v>176</v>
      </c>
      <c r="D178">
        <v>730.93342391303997</v>
      </c>
      <c r="E178">
        <v>382.64945652173998</v>
      </c>
      <c r="F178">
        <v>149.19105691057001</v>
      </c>
      <c r="G178">
        <v>121.87127371274001</v>
      </c>
      <c r="I178" s="9">
        <f t="shared" si="15"/>
        <v>260.77818280899999</v>
      </c>
      <c r="J178" s="9">
        <f t="shared" si="16"/>
        <v>581.74236700247002</v>
      </c>
      <c r="K178" s="9">
        <f t="shared" si="17"/>
        <v>260.77818280899999</v>
      </c>
      <c r="L178" s="10">
        <f t="shared" si="14"/>
        <v>0.44827091441303391</v>
      </c>
      <c r="M178" s="10">
        <f t="shared" si="18"/>
        <v>0.56806883955348753</v>
      </c>
      <c r="P178" s="8">
        <f t="shared" si="19"/>
        <v>18.035547302560058</v>
      </c>
    </row>
    <row r="179" spans="1:16" x14ac:dyDescent="0.2">
      <c r="A179" s="8">
        <v>88.5</v>
      </c>
      <c r="B179" s="8">
        <v>177</v>
      </c>
      <c r="D179">
        <v>754.05027173913004</v>
      </c>
      <c r="E179">
        <v>382.47554347826002</v>
      </c>
      <c r="F179">
        <v>148.63279132791001</v>
      </c>
      <c r="G179">
        <v>122.63414634146</v>
      </c>
      <c r="I179" s="9">
        <f t="shared" si="15"/>
        <v>259.84139713680003</v>
      </c>
      <c r="J179" s="9">
        <f t="shared" si="16"/>
        <v>605.41748041122003</v>
      </c>
      <c r="K179" s="9">
        <f t="shared" si="17"/>
        <v>259.84139713680003</v>
      </c>
      <c r="L179" s="10">
        <f t="shared" si="14"/>
        <v>0.42919374736307081</v>
      </c>
      <c r="M179" s="10">
        <f t="shared" si="18"/>
        <v>0.54967234253273156</v>
      </c>
      <c r="P179" s="8">
        <f t="shared" si="19"/>
        <v>14.21305178247197</v>
      </c>
    </row>
    <row r="180" spans="1:16" x14ac:dyDescent="0.2">
      <c r="A180" s="8">
        <v>89</v>
      </c>
      <c r="B180" s="8">
        <v>178</v>
      </c>
      <c r="D180">
        <v>800.46059782608995</v>
      </c>
      <c r="E180">
        <v>398.82472826087002</v>
      </c>
      <c r="F180">
        <v>148.81571815717999</v>
      </c>
      <c r="G180">
        <v>123.06639566395999</v>
      </c>
      <c r="I180" s="9">
        <f t="shared" si="15"/>
        <v>275.75833259691001</v>
      </c>
      <c r="J180" s="9">
        <f t="shared" si="16"/>
        <v>651.64487966890999</v>
      </c>
      <c r="K180" s="9">
        <f t="shared" si="17"/>
        <v>275.75833259691001</v>
      </c>
      <c r="L180" s="10">
        <f t="shared" si="14"/>
        <v>0.42317271446530552</v>
      </c>
      <c r="M180" s="10">
        <f t="shared" si="18"/>
        <v>0.54433197966417346</v>
      </c>
      <c r="P180" s="8">
        <f t="shared" si="19"/>
        <v>13.103410467732731</v>
      </c>
    </row>
    <row r="181" spans="1:16" x14ac:dyDescent="0.2">
      <c r="A181" s="8">
        <v>89.5</v>
      </c>
      <c r="B181" s="8">
        <v>179</v>
      </c>
      <c r="D181">
        <v>788.40927694407003</v>
      </c>
      <c r="E181">
        <v>396.42701227830997</v>
      </c>
      <c r="F181">
        <v>149.0135501355</v>
      </c>
      <c r="G181">
        <v>122.4918699187</v>
      </c>
      <c r="I181" s="9">
        <f t="shared" si="15"/>
        <v>273.93514235960998</v>
      </c>
      <c r="J181" s="9">
        <f t="shared" si="16"/>
        <v>639.39572680857009</v>
      </c>
      <c r="K181" s="9">
        <f t="shared" si="17"/>
        <v>273.93514235960998</v>
      </c>
      <c r="L181" s="10">
        <f t="shared" si="14"/>
        <v>0.42842817190366356</v>
      </c>
      <c r="M181" s="10">
        <f t="shared" si="18"/>
        <v>0.55026810713173857</v>
      </c>
      <c r="P181" s="8">
        <f t="shared" si="19"/>
        <v>14.33684206211934</v>
      </c>
    </row>
    <row r="182" spans="1:16" x14ac:dyDescent="0.2">
      <c r="A182" s="8">
        <v>90</v>
      </c>
      <c r="B182" s="8">
        <v>180</v>
      </c>
      <c r="D182">
        <v>830.28512960437001</v>
      </c>
      <c r="E182">
        <v>403.3451568895</v>
      </c>
      <c r="F182">
        <v>148.65311653117001</v>
      </c>
      <c r="G182">
        <v>122.5054200542</v>
      </c>
      <c r="I182" s="9">
        <f t="shared" si="15"/>
        <v>280.83973683530002</v>
      </c>
      <c r="J182" s="9">
        <f t="shared" si="16"/>
        <v>681.63201307320003</v>
      </c>
      <c r="K182" s="9">
        <f t="shared" si="17"/>
        <v>280.83973683530002</v>
      </c>
      <c r="L182" s="10">
        <f t="shared" si="14"/>
        <v>0.4120107792019751</v>
      </c>
      <c r="M182" s="10">
        <f>L182+ABS($N$2)*A182</f>
        <v>0.53453138445925719</v>
      </c>
      <c r="P182" s="8">
        <f t="shared" si="19"/>
        <v>11.067004774696624</v>
      </c>
    </row>
    <row r="183" spans="1:16" x14ac:dyDescent="0.2">
      <c r="A183" s="8">
        <v>90.5</v>
      </c>
      <c r="B183" s="8">
        <v>181</v>
      </c>
      <c r="D183">
        <v>816.84959349593998</v>
      </c>
      <c r="E183">
        <v>397.14363143630999</v>
      </c>
      <c r="F183">
        <v>148.18292682927</v>
      </c>
      <c r="G183">
        <v>122.62872628725999</v>
      </c>
      <c r="I183" s="9">
        <f t="shared" si="15"/>
        <v>274.51490514904998</v>
      </c>
      <c r="J183" s="9">
        <f t="shared" si="16"/>
        <v>668.66666666666993</v>
      </c>
      <c r="K183" s="9">
        <f t="shared" si="17"/>
        <v>274.51490514904998</v>
      </c>
      <c r="L183" s="10">
        <f t="shared" si="14"/>
        <v>0.41054073551702192</v>
      </c>
      <c r="M183" s="10">
        <f t="shared" ref="M183:M241" si="20">L183+ABS($N$2)*A183</f>
        <v>0.53374201080351114</v>
      </c>
      <c r="P183" s="8">
        <f t="shared" si="19"/>
        <v>10.902985654134678</v>
      </c>
    </row>
    <row r="184" spans="1:16" x14ac:dyDescent="0.2">
      <c r="A184" s="8">
        <v>91</v>
      </c>
      <c r="B184" s="8">
        <v>182</v>
      </c>
      <c r="D184">
        <v>848.80216802168002</v>
      </c>
      <c r="E184">
        <v>386.26016260162999</v>
      </c>
      <c r="F184">
        <v>148.22086720867</v>
      </c>
      <c r="G184">
        <v>122.85772357723999</v>
      </c>
      <c r="I184" s="9">
        <f t="shared" si="15"/>
        <v>263.40243902438999</v>
      </c>
      <c r="J184" s="9">
        <f t="shared" si="16"/>
        <v>700.58130081300999</v>
      </c>
      <c r="K184" s="9">
        <f t="shared" si="17"/>
        <v>263.40243902438999</v>
      </c>
      <c r="L184" s="10">
        <f t="shared" si="14"/>
        <v>0.37597697614640435</v>
      </c>
      <c r="M184" s="10">
        <f t="shared" si="20"/>
        <v>0.4998589214621007</v>
      </c>
      <c r="P184" s="8">
        <f t="shared" si="19"/>
        <v>3.8626259015058797</v>
      </c>
    </row>
    <row r="185" spans="1:16" x14ac:dyDescent="0.2">
      <c r="A185" s="8">
        <v>91.5</v>
      </c>
      <c r="B185" s="8">
        <v>183</v>
      </c>
      <c r="D185">
        <v>844.94173441733994</v>
      </c>
      <c r="E185">
        <v>380.81978319783002</v>
      </c>
      <c r="F185">
        <v>148.03929539295001</v>
      </c>
      <c r="G185">
        <v>122.84552845528999</v>
      </c>
      <c r="I185" s="9">
        <f t="shared" si="15"/>
        <v>257.97425474254004</v>
      </c>
      <c r="J185" s="9">
        <f t="shared" si="16"/>
        <v>696.90243902438988</v>
      </c>
      <c r="K185" s="9">
        <f t="shared" si="17"/>
        <v>257.97425474254004</v>
      </c>
      <c r="L185" s="10">
        <f t="shared" si="14"/>
        <v>0.370172696057262</v>
      </c>
      <c r="M185" s="10">
        <f t="shared" si="20"/>
        <v>0.49473531140216548</v>
      </c>
      <c r="P185" s="8">
        <f t="shared" si="19"/>
        <v>2.7980223262337076</v>
      </c>
    </row>
    <row r="186" spans="1:16" x14ac:dyDescent="0.2">
      <c r="A186" s="8">
        <v>92</v>
      </c>
      <c r="B186" s="8">
        <v>184</v>
      </c>
      <c r="D186">
        <v>812.51355013550005</v>
      </c>
      <c r="E186">
        <v>398.79132791327999</v>
      </c>
      <c r="F186">
        <v>149.06504065041</v>
      </c>
      <c r="G186">
        <v>122.87804878049</v>
      </c>
      <c r="I186" s="9">
        <f t="shared" si="15"/>
        <v>275.91327913278997</v>
      </c>
      <c r="J186" s="9">
        <f t="shared" si="16"/>
        <v>663.44850948509009</v>
      </c>
      <c r="K186" s="9">
        <f t="shared" si="17"/>
        <v>275.91327913278997</v>
      </c>
      <c r="L186" s="10">
        <f t="shared" si="14"/>
        <v>0.41587745723768282</v>
      </c>
      <c r="M186" s="10">
        <f t="shared" si="20"/>
        <v>0.54112074261179344</v>
      </c>
      <c r="P186" s="8">
        <f t="shared" si="19"/>
        <v>12.43616717501161</v>
      </c>
    </row>
    <row r="187" spans="1:16" x14ac:dyDescent="0.2">
      <c r="A187" s="8">
        <v>92.5</v>
      </c>
      <c r="B187" s="8">
        <v>185</v>
      </c>
      <c r="D187">
        <v>793.94308943089004</v>
      </c>
      <c r="E187">
        <v>410.87533875339</v>
      </c>
      <c r="F187">
        <v>148.58536585365999</v>
      </c>
      <c r="G187">
        <v>122.54878048781001</v>
      </c>
      <c r="I187" s="9">
        <f t="shared" si="15"/>
        <v>288.32655826557999</v>
      </c>
      <c r="J187" s="9">
        <f t="shared" si="16"/>
        <v>645.35772357722999</v>
      </c>
      <c r="K187" s="9">
        <f t="shared" si="17"/>
        <v>288.32655826557999</v>
      </c>
      <c r="L187" s="10">
        <f t="shared" si="14"/>
        <v>0.44677013651805458</v>
      </c>
      <c r="M187" s="10">
        <f t="shared" si="20"/>
        <v>0.57269409192137233</v>
      </c>
      <c r="P187" s="8">
        <f t="shared" si="19"/>
        <v>18.996600183201899</v>
      </c>
    </row>
    <row r="188" spans="1:16" x14ac:dyDescent="0.2">
      <c r="A188" s="8">
        <v>93</v>
      </c>
      <c r="B188" s="8">
        <v>186</v>
      </c>
      <c r="D188">
        <v>737.36991869918995</v>
      </c>
      <c r="E188">
        <v>440.03929539295001</v>
      </c>
      <c r="F188">
        <v>148.58130081300999</v>
      </c>
      <c r="G188">
        <v>122.38753387534</v>
      </c>
      <c r="I188" s="9">
        <f t="shared" si="15"/>
        <v>317.65176151761</v>
      </c>
      <c r="J188" s="9">
        <f t="shared" si="16"/>
        <v>588.78861788617996</v>
      </c>
      <c r="K188" s="9">
        <f t="shared" si="17"/>
        <v>317.65176151761</v>
      </c>
      <c r="L188" s="10">
        <f t="shared" si="14"/>
        <v>0.5395005132028825</v>
      </c>
      <c r="M188" s="10">
        <f t="shared" si="20"/>
        <v>0.66610513863540732</v>
      </c>
      <c r="P188" s="8">
        <f t="shared" si="19"/>
        <v>38.405909857118573</v>
      </c>
    </row>
    <row r="189" spans="1:16" x14ac:dyDescent="0.2">
      <c r="A189" s="8">
        <v>93.5</v>
      </c>
      <c r="B189" s="8">
        <v>187</v>
      </c>
      <c r="D189">
        <v>801.26222826086996</v>
      </c>
      <c r="E189">
        <v>472.88722826087002</v>
      </c>
      <c r="F189">
        <v>148.87669376694001</v>
      </c>
      <c r="G189">
        <v>122.62872628725999</v>
      </c>
      <c r="I189" s="9">
        <f t="shared" si="15"/>
        <v>350.25850197361001</v>
      </c>
      <c r="J189" s="9">
        <f t="shared" si="16"/>
        <v>652.38553449392998</v>
      </c>
      <c r="K189" s="9">
        <f t="shared" si="17"/>
        <v>350.25850197361001</v>
      </c>
      <c r="L189" s="10">
        <f t="shared" si="14"/>
        <v>0.53688882333253041</v>
      </c>
      <c r="M189" s="10">
        <f t="shared" si="20"/>
        <v>0.66417411879426236</v>
      </c>
      <c r="P189" s="8">
        <f t="shared" si="19"/>
        <v>38.004675063143942</v>
      </c>
    </row>
    <row r="190" spans="1:16" x14ac:dyDescent="0.2">
      <c r="A190" s="8">
        <v>94</v>
      </c>
      <c r="B190" s="8">
        <v>188</v>
      </c>
      <c r="D190">
        <v>849.77038043478001</v>
      </c>
      <c r="E190">
        <v>491.41032608696003</v>
      </c>
      <c r="F190">
        <v>148.65989159892001</v>
      </c>
      <c r="G190">
        <v>122.57994579946001</v>
      </c>
      <c r="I190" s="9">
        <f t="shared" si="15"/>
        <v>368.83038028750002</v>
      </c>
      <c r="J190" s="9">
        <f t="shared" si="16"/>
        <v>701.11048883586</v>
      </c>
      <c r="K190" s="9">
        <f t="shared" si="17"/>
        <v>368.83038028750002</v>
      </c>
      <c r="L190" s="10">
        <f t="shared" si="14"/>
        <v>0.52606598554803319</v>
      </c>
      <c r="M190" s="10">
        <f t="shared" si="20"/>
        <v>0.65403195103897227</v>
      </c>
      <c r="P190" s="8">
        <f t="shared" si="19"/>
        <v>35.897296100462214</v>
      </c>
    </row>
    <row r="191" spans="1:16" x14ac:dyDescent="0.2">
      <c r="A191" s="8">
        <v>94.5</v>
      </c>
      <c r="B191" s="8">
        <v>189</v>
      </c>
      <c r="D191">
        <v>847.69659863946003</v>
      </c>
      <c r="E191">
        <v>504.69387755102002</v>
      </c>
      <c r="F191">
        <v>148.33604336043001</v>
      </c>
      <c r="G191">
        <v>123.12872628725999</v>
      </c>
      <c r="I191" s="9">
        <f t="shared" si="15"/>
        <v>381.56515126376001</v>
      </c>
      <c r="J191" s="9">
        <f t="shared" si="16"/>
        <v>699.36055527903</v>
      </c>
      <c r="K191" s="9">
        <f t="shared" si="17"/>
        <v>381.56515126376001</v>
      </c>
      <c r="L191" s="10">
        <f t="shared" si="14"/>
        <v>0.54559146692441585</v>
      </c>
      <c r="M191" s="10">
        <f t="shared" si="20"/>
        <v>0.67423810244456206</v>
      </c>
      <c r="P191" s="8">
        <f t="shared" si="19"/>
        <v>40.095808629175941</v>
      </c>
    </row>
    <row r="192" spans="1:16" x14ac:dyDescent="0.2">
      <c r="A192" s="8">
        <v>95</v>
      </c>
      <c r="B192" s="8">
        <v>190</v>
      </c>
      <c r="D192">
        <v>865.04353741497005</v>
      </c>
      <c r="E192">
        <v>516.32789115646005</v>
      </c>
      <c r="F192">
        <v>148.33739837397999</v>
      </c>
      <c r="G192">
        <v>121.78726287263</v>
      </c>
      <c r="I192" s="9">
        <f t="shared" si="15"/>
        <v>394.54062828383007</v>
      </c>
      <c r="J192" s="9">
        <f t="shared" si="16"/>
        <v>716.70613904099002</v>
      </c>
      <c r="K192" s="9">
        <f t="shared" si="17"/>
        <v>394.54062828383007</v>
      </c>
      <c r="L192" s="10">
        <f t="shared" si="14"/>
        <v>0.55049148708528839</v>
      </c>
      <c r="M192" s="10">
        <f t="shared" si="20"/>
        <v>0.67981879263464173</v>
      </c>
      <c r="P192" s="8">
        <f t="shared" si="19"/>
        <v>41.255386087129537</v>
      </c>
    </row>
    <row r="193" spans="1:16" x14ac:dyDescent="0.2">
      <c r="A193" s="8">
        <v>95.5</v>
      </c>
      <c r="B193" s="8">
        <v>191</v>
      </c>
      <c r="D193">
        <v>889.10884353741994</v>
      </c>
      <c r="E193">
        <v>505.06394557823</v>
      </c>
      <c r="F193">
        <v>148.92411924119</v>
      </c>
      <c r="G193">
        <v>122.4512195122</v>
      </c>
      <c r="I193" s="9">
        <f t="shared" si="15"/>
        <v>382.61272606603001</v>
      </c>
      <c r="J193" s="9">
        <f t="shared" si="16"/>
        <v>740.18472429622989</v>
      </c>
      <c r="K193" s="9">
        <f t="shared" si="17"/>
        <v>382.61272606603001</v>
      </c>
      <c r="L193" s="10">
        <f t="shared" si="14"/>
        <v>0.51691518820497073</v>
      </c>
      <c r="M193" s="10">
        <f t="shared" si="20"/>
        <v>0.64692316378353121</v>
      </c>
      <c r="P193" s="8">
        <f t="shared" si="19"/>
        <v>34.420204706023142</v>
      </c>
    </row>
    <row r="194" spans="1:16" x14ac:dyDescent="0.2">
      <c r="A194" s="8">
        <v>96</v>
      </c>
      <c r="B194" s="8">
        <v>192</v>
      </c>
      <c r="D194">
        <v>873.17349726776001</v>
      </c>
      <c r="E194">
        <v>484.07513661202</v>
      </c>
      <c r="F194">
        <v>148.26016260162999</v>
      </c>
      <c r="G194">
        <v>122.29945799458</v>
      </c>
      <c r="I194" s="9">
        <f t="shared" si="15"/>
        <v>361.77567861744001</v>
      </c>
      <c r="J194" s="9">
        <f t="shared" si="16"/>
        <v>724.91333466613003</v>
      </c>
      <c r="K194" s="9">
        <f t="shared" si="17"/>
        <v>361.77567861744001</v>
      </c>
      <c r="L194" s="10">
        <f t="shared" ref="L194:L257" si="21">K194/J194</f>
        <v>0.4990605929246168</v>
      </c>
      <c r="M194" s="10">
        <f t="shared" si="20"/>
        <v>0.6297492385323844</v>
      </c>
      <c r="P194" s="8">
        <f t="shared" si="19"/>
        <v>30.851739891185321</v>
      </c>
    </row>
    <row r="195" spans="1:16" x14ac:dyDescent="0.2">
      <c r="A195" s="8">
        <v>96.5</v>
      </c>
      <c r="B195" s="8">
        <v>193</v>
      </c>
      <c r="D195">
        <v>876.15437158470002</v>
      </c>
      <c r="E195">
        <v>468.73633879780999</v>
      </c>
      <c r="F195">
        <v>148.67344173442001</v>
      </c>
      <c r="G195">
        <v>122.32384823848</v>
      </c>
      <c r="I195" s="9">
        <f t="shared" ref="I195:I241" si="22">E195-G195</f>
        <v>346.41249055932997</v>
      </c>
      <c r="J195" s="9">
        <f t="shared" ref="J195:J241" si="23">D195-F195</f>
        <v>727.48092985028006</v>
      </c>
      <c r="K195" s="9">
        <f t="shared" ref="K195:K258" si="24">I195*1</f>
        <v>346.41249055932997</v>
      </c>
      <c r="L195" s="10">
        <f t="shared" si="21"/>
        <v>0.47618085415740552</v>
      </c>
      <c r="M195" s="10">
        <f t="shared" si="20"/>
        <v>0.60755016979438026</v>
      </c>
      <c r="P195" s="8">
        <f t="shared" ref="P195:P241" si="25">(M195-$O$2)/$O$2*100</f>
        <v>26.239131267630018</v>
      </c>
    </row>
    <row r="196" spans="1:16" x14ac:dyDescent="0.2">
      <c r="A196" s="8">
        <v>97</v>
      </c>
      <c r="B196" s="8">
        <v>194</v>
      </c>
      <c r="D196">
        <v>833.63157894737003</v>
      </c>
      <c r="E196">
        <v>439.51282051281999</v>
      </c>
      <c r="F196">
        <v>148.55826558266</v>
      </c>
      <c r="G196">
        <v>122.92818428184</v>
      </c>
      <c r="I196" s="9">
        <f t="shared" si="22"/>
        <v>316.58463623097998</v>
      </c>
      <c r="J196" s="9">
        <f t="shared" si="23"/>
        <v>685.07331336470997</v>
      </c>
      <c r="K196" s="9">
        <f t="shared" si="24"/>
        <v>316.58463623097998</v>
      </c>
      <c r="L196" s="10">
        <f t="shared" si="21"/>
        <v>0.46211789315816038</v>
      </c>
      <c r="M196" s="10">
        <f t="shared" si="20"/>
        <v>0.59416787882434219</v>
      </c>
      <c r="P196" s="8">
        <f t="shared" si="25"/>
        <v>23.458506933346634</v>
      </c>
    </row>
    <row r="197" spans="1:16" x14ac:dyDescent="0.2">
      <c r="A197" s="8">
        <v>97.5</v>
      </c>
      <c r="B197" s="8">
        <v>195</v>
      </c>
      <c r="D197">
        <v>775.48233695652004</v>
      </c>
      <c r="E197">
        <v>407.02445652173998</v>
      </c>
      <c r="F197">
        <v>148.24390243901999</v>
      </c>
      <c r="G197">
        <v>122.55691056911</v>
      </c>
      <c r="I197" s="9">
        <f t="shared" si="22"/>
        <v>284.46754595262996</v>
      </c>
      <c r="J197" s="9">
        <f t="shared" si="23"/>
        <v>627.23843451750008</v>
      </c>
      <c r="K197" s="9">
        <f t="shared" si="24"/>
        <v>284.46754595262996</v>
      </c>
      <c r="L197" s="10">
        <f t="shared" si="21"/>
        <v>0.45352378026938855</v>
      </c>
      <c r="M197" s="10">
        <f t="shared" si="20"/>
        <v>0.58625443596477755</v>
      </c>
      <c r="P197" s="8">
        <f t="shared" si="25"/>
        <v>21.814221075825486</v>
      </c>
    </row>
    <row r="198" spans="1:16" x14ac:dyDescent="0.2">
      <c r="A198" s="8">
        <v>98</v>
      </c>
      <c r="B198" s="8">
        <v>196</v>
      </c>
      <c r="D198">
        <v>725.18095238094998</v>
      </c>
      <c r="E198">
        <v>388.03129251701</v>
      </c>
      <c r="F198">
        <v>148.78184281842999</v>
      </c>
      <c r="G198">
        <v>122.22357723576999</v>
      </c>
      <c r="I198" s="9">
        <f t="shared" si="22"/>
        <v>265.80771528124001</v>
      </c>
      <c r="J198" s="9">
        <f t="shared" si="23"/>
        <v>576.39910956251993</v>
      </c>
      <c r="K198" s="9">
        <f t="shared" si="24"/>
        <v>265.80771528124001</v>
      </c>
      <c r="L198" s="10">
        <f t="shared" si="21"/>
        <v>0.46115219623254605</v>
      </c>
      <c r="M198" s="10">
        <f t="shared" si="20"/>
        <v>0.59456352195714213</v>
      </c>
      <c r="P198" s="8">
        <f t="shared" si="25"/>
        <v>23.540715198375299</v>
      </c>
    </row>
    <row r="199" spans="1:16" x14ac:dyDescent="0.2">
      <c r="A199" s="8">
        <v>98.5</v>
      </c>
      <c r="B199" s="8">
        <v>197</v>
      </c>
      <c r="D199">
        <v>726.78095238095</v>
      </c>
      <c r="E199">
        <v>410.45578231293001</v>
      </c>
      <c r="F199">
        <v>148.84959349594001</v>
      </c>
      <c r="G199">
        <v>122.20054200542</v>
      </c>
      <c r="I199" s="9">
        <f t="shared" si="22"/>
        <v>288.25524030751001</v>
      </c>
      <c r="J199" s="9">
        <f t="shared" si="23"/>
        <v>577.93135888501001</v>
      </c>
      <c r="K199" s="9">
        <f t="shared" si="24"/>
        <v>288.25524030751001</v>
      </c>
      <c r="L199" s="10">
        <f t="shared" si="21"/>
        <v>0.49877072056383021</v>
      </c>
      <c r="M199" s="10">
        <f t="shared" si="20"/>
        <v>0.63286271631763347</v>
      </c>
      <c r="P199" s="8">
        <f t="shared" si="25"/>
        <v>31.498670384125401</v>
      </c>
    </row>
    <row r="200" spans="1:16" x14ac:dyDescent="0.2">
      <c r="A200" s="8">
        <v>99</v>
      </c>
      <c r="B200" s="8">
        <v>198</v>
      </c>
      <c r="D200">
        <v>770.38805970148996</v>
      </c>
      <c r="E200">
        <v>429.56716417910002</v>
      </c>
      <c r="F200">
        <v>149.23577235772001</v>
      </c>
      <c r="G200">
        <v>122.23170731707</v>
      </c>
      <c r="I200" s="9">
        <f t="shared" si="22"/>
        <v>307.33545686203001</v>
      </c>
      <c r="J200" s="9">
        <f t="shared" si="23"/>
        <v>621.15228734377001</v>
      </c>
      <c r="K200" s="9">
        <f t="shared" si="24"/>
        <v>307.33545686203001</v>
      </c>
      <c r="L200" s="10">
        <f t="shared" si="21"/>
        <v>0.49478278213590243</v>
      </c>
      <c r="M200" s="10">
        <f t="shared" si="20"/>
        <v>0.62955544791891271</v>
      </c>
      <c r="P200" s="8">
        <f t="shared" si="25"/>
        <v>30.811473325708487</v>
      </c>
    </row>
    <row r="201" spans="1:16" x14ac:dyDescent="0.2">
      <c r="A201" s="8">
        <v>99.5</v>
      </c>
      <c r="B201" s="8">
        <v>199</v>
      </c>
      <c r="D201">
        <v>779.2</v>
      </c>
      <c r="E201">
        <v>434.74693877550999</v>
      </c>
      <c r="F201">
        <v>148.76151761518</v>
      </c>
      <c r="G201">
        <v>122.5379403794</v>
      </c>
      <c r="I201" s="9">
        <f t="shared" si="22"/>
        <v>312.20899839611002</v>
      </c>
      <c r="J201" s="9">
        <f t="shared" si="23"/>
        <v>630.43848238482008</v>
      </c>
      <c r="K201" s="9">
        <f t="shared" si="24"/>
        <v>312.20899839611002</v>
      </c>
      <c r="L201" s="10">
        <f t="shared" si="21"/>
        <v>0.49522516013788864</v>
      </c>
      <c r="M201" s="10">
        <f t="shared" si="20"/>
        <v>0.63067849595010617</v>
      </c>
      <c r="P201" s="8">
        <f t="shared" si="25"/>
        <v>31.044824602488912</v>
      </c>
    </row>
    <row r="202" spans="1:16" x14ac:dyDescent="0.2">
      <c r="A202" s="8">
        <v>100</v>
      </c>
      <c r="B202" s="8">
        <v>200</v>
      </c>
      <c r="D202">
        <v>762.01088435374004</v>
      </c>
      <c r="E202">
        <v>430.23265306121999</v>
      </c>
      <c r="F202">
        <v>147.55013550135999</v>
      </c>
      <c r="G202">
        <v>122.36585365854</v>
      </c>
      <c r="I202" s="9">
        <f t="shared" si="22"/>
        <v>307.86679940267999</v>
      </c>
      <c r="J202" s="9">
        <f t="shared" si="23"/>
        <v>614.46074885237999</v>
      </c>
      <c r="K202" s="9">
        <f t="shared" si="24"/>
        <v>307.86679940267999</v>
      </c>
      <c r="L202" s="10">
        <f t="shared" si="21"/>
        <v>0.50103574553407781</v>
      </c>
      <c r="M202" s="10">
        <f t="shared" si="20"/>
        <v>0.63716975137550236</v>
      </c>
      <c r="P202" s="8">
        <f t="shared" si="25"/>
        <v>32.393602837569716</v>
      </c>
    </row>
    <row r="203" spans="1:16" x14ac:dyDescent="0.2">
      <c r="A203" s="8">
        <v>100.5</v>
      </c>
      <c r="B203" s="8">
        <v>201</v>
      </c>
      <c r="D203">
        <v>779.24761904761999</v>
      </c>
      <c r="E203">
        <v>436.85850340136</v>
      </c>
      <c r="F203">
        <v>148.11111111111001</v>
      </c>
      <c r="G203">
        <v>122.92005420053999</v>
      </c>
      <c r="I203" s="9">
        <f t="shared" si="22"/>
        <v>313.93844920082</v>
      </c>
      <c r="J203" s="9">
        <f t="shared" si="23"/>
        <v>631.13650793651004</v>
      </c>
      <c r="K203" s="9">
        <f t="shared" si="24"/>
        <v>313.93844920082</v>
      </c>
      <c r="L203" s="10">
        <f t="shared" si="21"/>
        <v>0.49741766678533045</v>
      </c>
      <c r="M203" s="10">
        <f t="shared" si="20"/>
        <v>0.63423234265596218</v>
      </c>
      <c r="P203" s="8">
        <f t="shared" si="25"/>
        <v>31.783256658161662</v>
      </c>
    </row>
    <row r="204" spans="1:16" x14ac:dyDescent="0.2">
      <c r="A204" s="8">
        <v>101</v>
      </c>
      <c r="B204" s="8">
        <v>202</v>
      </c>
      <c r="D204">
        <v>815.46721311475005</v>
      </c>
      <c r="E204">
        <v>445.55874316939997</v>
      </c>
      <c r="F204">
        <v>148.50677506775</v>
      </c>
      <c r="G204">
        <v>121.78861788618001</v>
      </c>
      <c r="I204" s="9">
        <f t="shared" si="22"/>
        <v>323.77012528321995</v>
      </c>
      <c r="J204" s="9">
        <f t="shared" si="23"/>
        <v>666.96043804700003</v>
      </c>
      <c r="K204" s="9">
        <f t="shared" si="24"/>
        <v>323.77012528321995</v>
      </c>
      <c r="L204" s="10">
        <f t="shared" si="21"/>
        <v>0.48544127479477905</v>
      </c>
      <c r="M204" s="10">
        <f t="shared" si="20"/>
        <v>0.62293662069461786</v>
      </c>
      <c r="P204" s="8">
        <f t="shared" si="25"/>
        <v>29.436187727338385</v>
      </c>
    </row>
    <row r="205" spans="1:16" x14ac:dyDescent="0.2">
      <c r="A205" s="8">
        <v>101.5</v>
      </c>
      <c r="B205" s="8">
        <v>203</v>
      </c>
      <c r="D205">
        <v>744.99728629578999</v>
      </c>
      <c r="E205">
        <v>397.72320217096001</v>
      </c>
      <c r="F205">
        <v>148.84010840107999</v>
      </c>
      <c r="G205">
        <v>122.37533875339</v>
      </c>
      <c r="I205" s="9">
        <f t="shared" si="22"/>
        <v>275.34786341757001</v>
      </c>
      <c r="J205" s="9">
        <f t="shared" si="23"/>
        <v>596.15717789471</v>
      </c>
      <c r="K205" s="9">
        <f t="shared" si="24"/>
        <v>275.34786341757001</v>
      </c>
      <c r="L205" s="10">
        <f t="shared" si="21"/>
        <v>0.46187125413794888</v>
      </c>
      <c r="M205" s="10">
        <f t="shared" si="20"/>
        <v>0.60004727006699488</v>
      </c>
      <c r="P205" s="8">
        <f t="shared" si="25"/>
        <v>24.680149654813043</v>
      </c>
    </row>
    <row r="206" spans="1:16" x14ac:dyDescent="0.2">
      <c r="A206" s="8">
        <v>102</v>
      </c>
      <c r="B206" s="8">
        <v>204</v>
      </c>
      <c r="D206">
        <v>771.28086838535</v>
      </c>
      <c r="E206">
        <v>414.20624151967002</v>
      </c>
      <c r="F206">
        <v>148.87262872629</v>
      </c>
      <c r="G206">
        <v>122.52168021679999</v>
      </c>
      <c r="I206" s="9">
        <f t="shared" si="22"/>
        <v>291.68456130287001</v>
      </c>
      <c r="J206" s="9">
        <f t="shared" si="23"/>
        <v>622.40823965905997</v>
      </c>
      <c r="K206" s="9">
        <f t="shared" si="24"/>
        <v>291.68456130287001</v>
      </c>
      <c r="L206" s="10">
        <f t="shared" si="21"/>
        <v>0.46863865661972548</v>
      </c>
      <c r="M206" s="10">
        <f t="shared" si="20"/>
        <v>0.60749534257797855</v>
      </c>
      <c r="P206" s="8">
        <f t="shared" si="25"/>
        <v>26.227739055904166</v>
      </c>
    </row>
    <row r="207" spans="1:16" x14ac:dyDescent="0.2">
      <c r="A207" s="8">
        <v>102.5</v>
      </c>
      <c r="B207" s="8">
        <v>205</v>
      </c>
      <c r="D207">
        <v>819.22312925170002</v>
      </c>
      <c r="E207">
        <v>442.45306122449</v>
      </c>
      <c r="F207">
        <v>149.05420054200999</v>
      </c>
      <c r="G207">
        <v>122.93631436314</v>
      </c>
      <c r="I207" s="9">
        <f t="shared" si="22"/>
        <v>319.51674686134999</v>
      </c>
      <c r="J207" s="9">
        <f t="shared" si="23"/>
        <v>670.16892870969002</v>
      </c>
      <c r="K207" s="9">
        <f t="shared" si="24"/>
        <v>319.51674686134999</v>
      </c>
      <c r="L207" s="10">
        <f t="shared" si="21"/>
        <v>0.47677045767629317</v>
      </c>
      <c r="M207" s="10">
        <f t="shared" si="20"/>
        <v>0.61630781366375342</v>
      </c>
      <c r="P207" s="8">
        <f t="shared" si="25"/>
        <v>28.058828486042646</v>
      </c>
    </row>
    <row r="208" spans="1:16" x14ac:dyDescent="0.2">
      <c r="A208" s="8">
        <v>103</v>
      </c>
      <c r="B208" s="8">
        <v>206</v>
      </c>
      <c r="D208">
        <v>862.58639455781997</v>
      </c>
      <c r="E208">
        <v>428.92925170068003</v>
      </c>
      <c r="F208">
        <v>149.22628726286999</v>
      </c>
      <c r="G208">
        <v>122.54607046071</v>
      </c>
      <c r="I208" s="9">
        <f t="shared" si="22"/>
        <v>306.38318123997004</v>
      </c>
      <c r="J208" s="9">
        <f t="shared" si="23"/>
        <v>713.36010729495001</v>
      </c>
      <c r="K208" s="9">
        <f t="shared" si="24"/>
        <v>306.38318123997004</v>
      </c>
      <c r="L208" s="10">
        <f t="shared" si="21"/>
        <v>0.42949301216431923</v>
      </c>
      <c r="M208" s="10">
        <f t="shared" si="20"/>
        <v>0.56971103818098656</v>
      </c>
      <c r="P208" s="8">
        <f t="shared" si="25"/>
        <v>18.376769704282925</v>
      </c>
    </row>
    <row r="209" spans="1:16" x14ac:dyDescent="0.2">
      <c r="A209" s="8">
        <v>103.5</v>
      </c>
      <c r="B209" s="8">
        <v>207</v>
      </c>
      <c r="D209">
        <v>752.45205479452</v>
      </c>
      <c r="E209">
        <v>385.68493150684998</v>
      </c>
      <c r="F209">
        <v>149.36314363144001</v>
      </c>
      <c r="G209">
        <v>122.57317073170999</v>
      </c>
      <c r="I209" s="9">
        <f t="shared" si="22"/>
        <v>263.11176077514</v>
      </c>
      <c r="J209" s="9">
        <f t="shared" si="23"/>
        <v>603.08891116307996</v>
      </c>
      <c r="K209" s="9">
        <f t="shared" si="24"/>
        <v>263.11176077514</v>
      </c>
      <c r="L209" s="10">
        <f t="shared" si="21"/>
        <v>0.43627358405200806</v>
      </c>
      <c r="M209" s="10">
        <f t="shared" si="20"/>
        <v>0.57717228009788246</v>
      </c>
      <c r="P209" s="8">
        <f t="shared" si="25"/>
        <v>19.927095495625132</v>
      </c>
    </row>
    <row r="210" spans="1:16" x14ac:dyDescent="0.2">
      <c r="A210" s="8">
        <v>104</v>
      </c>
      <c r="B210" s="8">
        <v>208</v>
      </c>
      <c r="D210">
        <v>783.08082191781</v>
      </c>
      <c r="E210">
        <v>405.37534246575001</v>
      </c>
      <c r="F210">
        <v>148.41463414634001</v>
      </c>
      <c r="G210">
        <v>122.34281842818</v>
      </c>
      <c r="I210" s="9">
        <f t="shared" si="22"/>
        <v>283.03252403757</v>
      </c>
      <c r="J210" s="9">
        <f t="shared" si="23"/>
        <v>634.66618777147005</v>
      </c>
      <c r="K210" s="9">
        <f t="shared" si="24"/>
        <v>283.03252403757</v>
      </c>
      <c r="L210" s="10">
        <f t="shared" si="21"/>
        <v>0.44595494370260047</v>
      </c>
      <c r="M210" s="10">
        <f t="shared" si="20"/>
        <v>0.58753430977768206</v>
      </c>
      <c r="P210" s="8">
        <f t="shared" si="25"/>
        <v>22.080158221934649</v>
      </c>
    </row>
    <row r="211" spans="1:16" x14ac:dyDescent="0.2">
      <c r="A211" s="8">
        <v>104.5</v>
      </c>
      <c r="B211" s="8">
        <v>209</v>
      </c>
      <c r="D211">
        <v>793.84657534247003</v>
      </c>
      <c r="E211">
        <v>418.87397260274003</v>
      </c>
      <c r="F211">
        <v>148.62737127371</v>
      </c>
      <c r="G211">
        <v>122.40108401083999</v>
      </c>
      <c r="I211" s="9">
        <f t="shared" si="22"/>
        <v>296.47288859190002</v>
      </c>
      <c r="J211" s="9">
        <f t="shared" si="23"/>
        <v>645.21920406876006</v>
      </c>
      <c r="K211" s="9">
        <f t="shared" si="24"/>
        <v>296.47288859190002</v>
      </c>
      <c r="L211" s="10">
        <f t="shared" si="21"/>
        <v>0.45949173044190006</v>
      </c>
      <c r="M211" s="10">
        <f t="shared" si="20"/>
        <v>0.60175176654618878</v>
      </c>
      <c r="P211" s="8">
        <f t="shared" si="25"/>
        <v>25.034316545845265</v>
      </c>
    </row>
    <row r="212" spans="1:16" x14ac:dyDescent="0.2">
      <c r="A212" s="8">
        <v>105</v>
      </c>
      <c r="B212" s="8">
        <v>210</v>
      </c>
      <c r="D212">
        <v>801.40136986301002</v>
      </c>
      <c r="E212">
        <v>439.01369863014003</v>
      </c>
      <c r="F212">
        <v>148.22222222222001</v>
      </c>
      <c r="G212">
        <v>122.60433604335999</v>
      </c>
      <c r="I212" s="9">
        <f t="shared" si="22"/>
        <v>316.40936258678005</v>
      </c>
      <c r="J212" s="9">
        <f t="shared" si="23"/>
        <v>653.17914764079001</v>
      </c>
      <c r="K212" s="9">
        <f t="shared" si="24"/>
        <v>316.40936258678005</v>
      </c>
      <c r="L212" s="10">
        <f t="shared" si="21"/>
        <v>0.48441436584375858</v>
      </c>
      <c r="M212" s="10">
        <f t="shared" si="20"/>
        <v>0.62735507197725437</v>
      </c>
      <c r="P212" s="8">
        <f t="shared" si="25"/>
        <v>30.354270676203587</v>
      </c>
    </row>
    <row r="213" spans="1:16" x14ac:dyDescent="0.2">
      <c r="A213" s="8">
        <v>105.5</v>
      </c>
      <c r="B213" s="8">
        <v>211</v>
      </c>
      <c r="D213">
        <v>816.03424657534003</v>
      </c>
      <c r="E213">
        <v>447.56164383561998</v>
      </c>
      <c r="F213">
        <v>149.37804878048999</v>
      </c>
      <c r="G213">
        <v>122.32384823848</v>
      </c>
      <c r="I213" s="9">
        <f t="shared" si="22"/>
        <v>325.23779559714001</v>
      </c>
      <c r="J213" s="9">
        <f t="shared" si="23"/>
        <v>666.65619779485007</v>
      </c>
      <c r="K213" s="9">
        <f t="shared" si="24"/>
        <v>325.23779559714001</v>
      </c>
      <c r="L213" s="10">
        <f t="shared" si="21"/>
        <v>0.48786435447979642</v>
      </c>
      <c r="M213" s="10">
        <f t="shared" si="20"/>
        <v>0.63148573064249935</v>
      </c>
      <c r="P213" s="8">
        <f t="shared" si="25"/>
        <v>31.212554958537204</v>
      </c>
    </row>
    <row r="214" spans="1:16" x14ac:dyDescent="0.2">
      <c r="A214" s="8">
        <v>106</v>
      </c>
      <c r="B214" s="8">
        <v>212</v>
      </c>
      <c r="D214">
        <v>818.30800542740997</v>
      </c>
      <c r="E214">
        <v>451.25780189958999</v>
      </c>
      <c r="F214">
        <v>148.44173441734</v>
      </c>
      <c r="G214">
        <v>122.13279132791</v>
      </c>
      <c r="I214" s="9">
        <f t="shared" si="22"/>
        <v>329.12501057167998</v>
      </c>
      <c r="J214" s="9">
        <f t="shared" si="23"/>
        <v>669.86627101007002</v>
      </c>
      <c r="K214" s="9">
        <f t="shared" si="24"/>
        <v>329.12501057167998</v>
      </c>
      <c r="L214" s="10">
        <f t="shared" si="21"/>
        <v>0.49132942620831299</v>
      </c>
      <c r="M214" s="10">
        <f t="shared" si="20"/>
        <v>0.635631472400223</v>
      </c>
      <c r="P214" s="8">
        <f t="shared" si="25"/>
        <v>32.073973264340808</v>
      </c>
    </row>
    <row r="215" spans="1:16" x14ac:dyDescent="0.2">
      <c r="A215" s="8">
        <v>106.5</v>
      </c>
      <c r="B215" s="8">
        <v>213</v>
      </c>
      <c r="D215">
        <v>835.42740841247996</v>
      </c>
      <c r="E215">
        <v>427.94843962008002</v>
      </c>
      <c r="F215">
        <v>148.5108401084</v>
      </c>
      <c r="G215">
        <v>122.57994579946001</v>
      </c>
      <c r="I215" s="9">
        <f t="shared" si="22"/>
        <v>305.36849382062002</v>
      </c>
      <c r="J215" s="9">
        <f t="shared" si="23"/>
        <v>686.91656830407999</v>
      </c>
      <c r="K215" s="9">
        <f t="shared" si="24"/>
        <v>305.36849382062002</v>
      </c>
      <c r="L215" s="10">
        <f t="shared" si="21"/>
        <v>0.44454961186122005</v>
      </c>
      <c r="M215" s="10">
        <f t="shared" si="20"/>
        <v>0.58953232808233724</v>
      </c>
      <c r="P215" s="8">
        <f t="shared" si="25"/>
        <v>22.495314216577626</v>
      </c>
    </row>
    <row r="216" spans="1:16" x14ac:dyDescent="0.2">
      <c r="A216" s="8">
        <v>107</v>
      </c>
      <c r="B216" s="8">
        <v>214</v>
      </c>
      <c r="D216">
        <v>780.86160108547995</v>
      </c>
      <c r="E216">
        <v>395.41248303934998</v>
      </c>
      <c r="F216">
        <v>148.36991869919001</v>
      </c>
      <c r="G216">
        <v>121.9485094851</v>
      </c>
      <c r="I216" s="9">
        <f t="shared" si="22"/>
        <v>273.46397355424995</v>
      </c>
      <c r="J216" s="9">
        <f t="shared" si="23"/>
        <v>632.49168238628999</v>
      </c>
      <c r="K216" s="9">
        <f t="shared" si="24"/>
        <v>273.46397355424995</v>
      </c>
      <c r="L216" s="10">
        <f t="shared" si="21"/>
        <v>0.43235979408063374</v>
      </c>
      <c r="M216" s="10">
        <f t="shared" si="20"/>
        <v>0.57802318033095801</v>
      </c>
      <c r="P216" s="8">
        <f t="shared" si="25"/>
        <v>20.103898847116639</v>
      </c>
    </row>
    <row r="217" spans="1:16" x14ac:dyDescent="0.2">
      <c r="A217" s="8">
        <v>107.5</v>
      </c>
      <c r="B217" s="8">
        <v>215</v>
      </c>
      <c r="D217">
        <v>805.96739130435003</v>
      </c>
      <c r="E217">
        <v>389.82880434782999</v>
      </c>
      <c r="F217">
        <v>148.26422764227999</v>
      </c>
      <c r="G217">
        <v>122.06910569106</v>
      </c>
      <c r="I217" s="9">
        <f t="shared" si="22"/>
        <v>267.75969865676996</v>
      </c>
      <c r="J217" s="9">
        <f t="shared" si="23"/>
        <v>657.70316366206998</v>
      </c>
      <c r="K217" s="9">
        <f t="shared" si="24"/>
        <v>267.75969865676996</v>
      </c>
      <c r="L217" s="10">
        <f t="shared" si="21"/>
        <v>0.407113289779378</v>
      </c>
      <c r="M217" s="10">
        <f t="shared" si="20"/>
        <v>0.55345734605890939</v>
      </c>
      <c r="P217" s="8">
        <f t="shared" si="25"/>
        <v>14.999514499042879</v>
      </c>
    </row>
    <row r="218" spans="1:16" x14ac:dyDescent="0.2">
      <c r="A218" s="8">
        <v>108</v>
      </c>
      <c r="B218" s="8">
        <v>216</v>
      </c>
      <c r="D218">
        <v>825.31793478261</v>
      </c>
      <c r="E218">
        <v>387.59510869565003</v>
      </c>
      <c r="F218">
        <v>148.18292682927</v>
      </c>
      <c r="G218">
        <v>122.92005420053999</v>
      </c>
      <c r="I218" s="9">
        <f t="shared" si="22"/>
        <v>264.67505449511003</v>
      </c>
      <c r="J218" s="9">
        <f t="shared" si="23"/>
        <v>677.13500795333994</v>
      </c>
      <c r="K218" s="9">
        <f t="shared" si="24"/>
        <v>264.67505449511003</v>
      </c>
      <c r="L218" s="10">
        <f t="shared" si="21"/>
        <v>0.39087486451940806</v>
      </c>
      <c r="M218" s="10">
        <f t="shared" si="20"/>
        <v>0.53789959082814665</v>
      </c>
      <c r="P218" s="8">
        <f t="shared" si="25"/>
        <v>11.76686376096373</v>
      </c>
    </row>
    <row r="219" spans="1:16" x14ac:dyDescent="0.2">
      <c r="A219" s="8">
        <v>108.5</v>
      </c>
      <c r="B219" s="8">
        <v>217</v>
      </c>
      <c r="D219">
        <v>825.58117326057004</v>
      </c>
      <c r="E219">
        <v>378.60845839017998</v>
      </c>
      <c r="F219">
        <v>148.55555555556001</v>
      </c>
      <c r="G219">
        <v>121.93089430894</v>
      </c>
      <c r="I219" s="9">
        <f t="shared" si="22"/>
        <v>256.67756408124001</v>
      </c>
      <c r="J219" s="9">
        <f t="shared" si="23"/>
        <v>677.02561770501006</v>
      </c>
      <c r="K219" s="9">
        <f t="shared" si="24"/>
        <v>256.67756408124001</v>
      </c>
      <c r="L219" s="10">
        <f t="shared" si="21"/>
        <v>0.37912533494866685</v>
      </c>
      <c r="M219" s="10">
        <f t="shared" si="20"/>
        <v>0.52683073128661251</v>
      </c>
      <c r="P219" s="8">
        <f t="shared" si="25"/>
        <v>9.4669331838402009</v>
      </c>
    </row>
    <row r="220" spans="1:16" x14ac:dyDescent="0.2">
      <c r="A220" s="8">
        <v>109</v>
      </c>
      <c r="B220" s="8">
        <v>218</v>
      </c>
      <c r="D220">
        <v>712.28278688524995</v>
      </c>
      <c r="E220">
        <v>368.03688524590001</v>
      </c>
      <c r="F220">
        <v>147.94986449864999</v>
      </c>
      <c r="G220">
        <v>122.66124661246999</v>
      </c>
      <c r="I220" s="9">
        <f t="shared" si="22"/>
        <v>245.37563863343001</v>
      </c>
      <c r="J220" s="9">
        <f t="shared" si="23"/>
        <v>564.33292238659999</v>
      </c>
      <c r="K220" s="9">
        <f t="shared" si="24"/>
        <v>245.37563863343001</v>
      </c>
      <c r="L220" s="10">
        <f t="shared" si="21"/>
        <v>0.43480652802555053</v>
      </c>
      <c r="M220" s="10">
        <f t="shared" si="20"/>
        <v>0.58319259439270332</v>
      </c>
      <c r="P220" s="8">
        <f t="shared" si="25"/>
        <v>21.1780197555813</v>
      </c>
    </row>
    <row r="221" spans="1:16" x14ac:dyDescent="0.2">
      <c r="A221" s="8">
        <v>109.5</v>
      </c>
      <c r="B221" s="8">
        <v>219</v>
      </c>
      <c r="D221">
        <v>708.39754098361004</v>
      </c>
      <c r="E221">
        <v>380.75819672131001</v>
      </c>
      <c r="F221">
        <v>147.37804878048999</v>
      </c>
      <c r="G221">
        <v>122.66802168021999</v>
      </c>
      <c r="I221" s="9">
        <f t="shared" si="22"/>
        <v>258.09017504108999</v>
      </c>
      <c r="J221" s="9">
        <f t="shared" si="23"/>
        <v>561.01949220312008</v>
      </c>
      <c r="K221" s="9">
        <f t="shared" si="24"/>
        <v>258.09017504108999</v>
      </c>
      <c r="L221" s="10">
        <f t="shared" si="21"/>
        <v>0.46003780372687492</v>
      </c>
      <c r="M221" s="10">
        <f t="shared" si="20"/>
        <v>0.60910454012323489</v>
      </c>
      <c r="P221" s="8">
        <f t="shared" si="25"/>
        <v>26.562104364731116</v>
      </c>
    </row>
    <row r="222" spans="1:16" x14ac:dyDescent="0.2">
      <c r="A222" s="8">
        <v>110</v>
      </c>
      <c r="B222" s="8">
        <v>220</v>
      </c>
      <c r="D222">
        <v>745.69125683059997</v>
      </c>
      <c r="E222">
        <v>389.33333333333002</v>
      </c>
      <c r="F222">
        <v>148.04607046071001</v>
      </c>
      <c r="G222">
        <v>121.84146341463</v>
      </c>
      <c r="I222" s="9">
        <f t="shared" si="22"/>
        <v>267.49186991869999</v>
      </c>
      <c r="J222" s="9">
        <f t="shared" si="23"/>
        <v>597.64518636988998</v>
      </c>
      <c r="K222" s="9">
        <f t="shared" si="24"/>
        <v>267.49186991869999</v>
      </c>
      <c r="L222" s="10">
        <f t="shared" si="21"/>
        <v>0.44757638147050344</v>
      </c>
      <c r="M222" s="10">
        <f t="shared" si="20"/>
        <v>0.59732378789607044</v>
      </c>
      <c r="P222" s="8">
        <f t="shared" si="25"/>
        <v>24.114253963603314</v>
      </c>
    </row>
    <row r="223" spans="1:16" x14ac:dyDescent="0.2">
      <c r="A223" s="8">
        <v>110.5</v>
      </c>
      <c r="B223" s="8">
        <v>221</v>
      </c>
      <c r="D223">
        <v>768.45590230665005</v>
      </c>
      <c r="E223">
        <v>396.25780189958999</v>
      </c>
      <c r="F223">
        <v>148.27913279133</v>
      </c>
      <c r="G223">
        <v>121.91056910569</v>
      </c>
      <c r="I223" s="9">
        <f t="shared" si="22"/>
        <v>274.34723279389999</v>
      </c>
      <c r="J223" s="9">
        <f t="shared" si="23"/>
        <v>620.17676951532007</v>
      </c>
      <c r="K223" s="9">
        <f t="shared" si="24"/>
        <v>274.34723279389999</v>
      </c>
      <c r="L223" s="10">
        <f t="shared" si="21"/>
        <v>0.44236941188285328</v>
      </c>
      <c r="M223" s="10">
        <f t="shared" si="20"/>
        <v>0.59279748833762747</v>
      </c>
      <c r="P223" s="8">
        <f t="shared" si="25"/>
        <v>23.173761881594217</v>
      </c>
    </row>
    <row r="224" spans="1:16" x14ac:dyDescent="0.2">
      <c r="A224" s="8">
        <v>111</v>
      </c>
      <c r="B224" s="8">
        <v>222</v>
      </c>
      <c r="D224">
        <v>797.12771739130005</v>
      </c>
      <c r="E224">
        <v>400.94293478261</v>
      </c>
      <c r="F224">
        <v>147.5</v>
      </c>
      <c r="G224">
        <v>122.36856368564</v>
      </c>
      <c r="I224" s="9">
        <f t="shared" si="22"/>
        <v>278.57437109697003</v>
      </c>
      <c r="J224" s="9">
        <f t="shared" si="23"/>
        <v>649.62771739130005</v>
      </c>
      <c r="K224" s="9">
        <f t="shared" si="24"/>
        <v>278.57437109697003</v>
      </c>
      <c r="L224" s="10">
        <f t="shared" si="21"/>
        <v>0.42882155985529191</v>
      </c>
      <c r="M224" s="10">
        <f t="shared" si="20"/>
        <v>0.57993030633927323</v>
      </c>
      <c r="P224" s="8">
        <f t="shared" si="25"/>
        <v>20.500168887809899</v>
      </c>
    </row>
    <row r="225" spans="1:16" x14ac:dyDescent="0.2">
      <c r="A225" s="8">
        <v>111.5</v>
      </c>
      <c r="B225" s="8">
        <v>223</v>
      </c>
      <c r="D225">
        <v>804.95108695652004</v>
      </c>
      <c r="E225">
        <v>389.90217391303997</v>
      </c>
      <c r="F225">
        <v>148.65447154472</v>
      </c>
      <c r="G225">
        <v>121.97289972900001</v>
      </c>
      <c r="I225" s="9">
        <f t="shared" si="22"/>
        <v>267.92927418403997</v>
      </c>
      <c r="J225" s="9">
        <f t="shared" si="23"/>
        <v>656.29661541180008</v>
      </c>
      <c r="K225" s="9">
        <f t="shared" si="24"/>
        <v>267.92927418403997</v>
      </c>
      <c r="L225" s="10">
        <f t="shared" si="21"/>
        <v>0.40824418089665904</v>
      </c>
      <c r="M225" s="10">
        <f t="shared" si="20"/>
        <v>0.56003359740984748</v>
      </c>
      <c r="P225" s="8">
        <f t="shared" si="25"/>
        <v>16.365953517274033</v>
      </c>
    </row>
    <row r="226" spans="1:16" x14ac:dyDescent="0.2">
      <c r="A226" s="8">
        <v>112</v>
      </c>
      <c r="B226" s="8">
        <v>224</v>
      </c>
      <c r="D226">
        <v>741.06486486486995</v>
      </c>
      <c r="E226">
        <v>352.69054054053998</v>
      </c>
      <c r="F226">
        <v>147.88753387534001</v>
      </c>
      <c r="G226">
        <v>122.4620596206</v>
      </c>
      <c r="I226" s="9">
        <f t="shared" si="22"/>
        <v>230.22848091993998</v>
      </c>
      <c r="J226" s="9">
        <f t="shared" si="23"/>
        <v>593.17733098952999</v>
      </c>
      <c r="K226" s="9">
        <f t="shared" si="24"/>
        <v>230.22848091993998</v>
      </c>
      <c r="L226" s="10">
        <f t="shared" si="21"/>
        <v>0.38812757819971999</v>
      </c>
      <c r="M226" s="10">
        <f t="shared" si="20"/>
        <v>0.54059766474211557</v>
      </c>
      <c r="P226" s="8">
        <f t="shared" si="25"/>
        <v>12.327480025972042</v>
      </c>
    </row>
    <row r="227" spans="1:16" x14ac:dyDescent="0.2">
      <c r="A227" s="8">
        <v>112.5</v>
      </c>
      <c r="B227" s="8">
        <v>225</v>
      </c>
      <c r="D227">
        <v>705.94046008119005</v>
      </c>
      <c r="E227">
        <v>355.84844384303</v>
      </c>
      <c r="F227">
        <v>148</v>
      </c>
      <c r="G227">
        <v>122.12466124661</v>
      </c>
      <c r="I227" s="9">
        <f t="shared" si="22"/>
        <v>233.72378259641999</v>
      </c>
      <c r="J227" s="9">
        <f t="shared" si="23"/>
        <v>557.94046008119005</v>
      </c>
      <c r="K227" s="9">
        <f t="shared" si="24"/>
        <v>233.72378259641999</v>
      </c>
      <c r="L227" s="10">
        <f t="shared" si="21"/>
        <v>0.4189045235443386</v>
      </c>
      <c r="M227" s="10">
        <f t="shared" si="20"/>
        <v>0.57205528011594131</v>
      </c>
      <c r="P227" s="8">
        <f t="shared" si="25"/>
        <v>18.863865388002331</v>
      </c>
    </row>
    <row r="228" spans="1:16" x14ac:dyDescent="0.2">
      <c r="A228" s="8">
        <v>113</v>
      </c>
      <c r="B228" s="8">
        <v>226</v>
      </c>
      <c r="D228">
        <v>738.98782138024001</v>
      </c>
      <c r="E228">
        <v>380.28416779432001</v>
      </c>
      <c r="F228">
        <v>148.06368563685999</v>
      </c>
      <c r="G228">
        <v>121.75067750677999</v>
      </c>
      <c r="I228" s="9">
        <f t="shared" si="22"/>
        <v>258.53349028754002</v>
      </c>
      <c r="J228" s="9">
        <f t="shared" si="23"/>
        <v>590.92413574338002</v>
      </c>
      <c r="K228" s="9">
        <f t="shared" si="24"/>
        <v>258.53349028754002</v>
      </c>
      <c r="L228" s="10">
        <f t="shared" si="21"/>
        <v>0.43750707518877358</v>
      </c>
      <c r="M228" s="10">
        <f t="shared" si="20"/>
        <v>0.59133850178958336</v>
      </c>
      <c r="P228" s="8">
        <f t="shared" si="25"/>
        <v>22.870607996510813</v>
      </c>
    </row>
    <row r="229" spans="1:16" x14ac:dyDescent="0.2">
      <c r="A229" s="8">
        <v>113.5</v>
      </c>
      <c r="B229" s="8">
        <v>227</v>
      </c>
      <c r="D229">
        <v>737.63870094722995</v>
      </c>
      <c r="E229">
        <v>381.12990527739998</v>
      </c>
      <c r="F229">
        <v>148.28726287263001</v>
      </c>
      <c r="G229">
        <v>122.63008130081001</v>
      </c>
      <c r="I229" s="9">
        <f t="shared" si="22"/>
        <v>258.49982397658999</v>
      </c>
      <c r="J229" s="9">
        <f t="shared" si="23"/>
        <v>589.35143807459997</v>
      </c>
      <c r="K229" s="9">
        <f t="shared" si="24"/>
        <v>258.49982397658999</v>
      </c>
      <c r="L229" s="10">
        <f t="shared" si="21"/>
        <v>0.43861744839565342</v>
      </c>
      <c r="M229" s="10">
        <f t="shared" si="20"/>
        <v>0.59312954502567028</v>
      </c>
      <c r="P229" s="8">
        <f t="shared" si="25"/>
        <v>23.24275790844796</v>
      </c>
    </row>
    <row r="230" spans="1:16" x14ac:dyDescent="0.2">
      <c r="A230" s="8">
        <v>114</v>
      </c>
      <c r="B230" s="8">
        <v>228</v>
      </c>
      <c r="D230">
        <v>740.22192151555998</v>
      </c>
      <c r="E230">
        <v>399.77401894451998</v>
      </c>
      <c r="F230">
        <v>147.95257452575001</v>
      </c>
      <c r="G230">
        <v>121.64498644987</v>
      </c>
      <c r="I230" s="9">
        <f t="shared" si="22"/>
        <v>278.12903249465</v>
      </c>
      <c r="J230" s="9">
        <f t="shared" si="23"/>
        <v>592.26934698980995</v>
      </c>
      <c r="K230" s="9">
        <f t="shared" si="24"/>
        <v>278.12903249465</v>
      </c>
      <c r="L230" s="10">
        <f t="shared" si="21"/>
        <v>0.46959889771137397</v>
      </c>
      <c r="M230" s="10">
        <f t="shared" si="20"/>
        <v>0.62479166437059797</v>
      </c>
      <c r="P230" s="8">
        <f t="shared" si="25"/>
        <v>29.821635898965916</v>
      </c>
    </row>
    <row r="231" spans="1:16" x14ac:dyDescent="0.2">
      <c r="A231" s="8">
        <v>114.5</v>
      </c>
      <c r="B231" s="8">
        <v>229</v>
      </c>
      <c r="D231">
        <v>741.87280108254004</v>
      </c>
      <c r="E231">
        <v>400.23410013531998</v>
      </c>
      <c r="F231">
        <v>148.4485094851</v>
      </c>
      <c r="G231">
        <v>121.32113821138</v>
      </c>
      <c r="I231" s="9">
        <f t="shared" si="22"/>
        <v>278.91296192393997</v>
      </c>
      <c r="J231" s="9">
        <f t="shared" si="23"/>
        <v>593.42429159744006</v>
      </c>
      <c r="K231" s="9">
        <f t="shared" si="24"/>
        <v>278.91296192393997</v>
      </c>
      <c r="L231" s="10">
        <f t="shared" si="21"/>
        <v>0.47000597358954349</v>
      </c>
      <c r="M231" s="10">
        <f t="shared" si="20"/>
        <v>0.62587941027797467</v>
      </c>
      <c r="P231" s="8">
        <f t="shared" si="25"/>
        <v>30.047651963505288</v>
      </c>
    </row>
    <row r="232" spans="1:16" x14ac:dyDescent="0.2">
      <c r="A232" s="8">
        <v>115</v>
      </c>
      <c r="B232" s="8">
        <v>230</v>
      </c>
      <c r="D232">
        <v>740.53044654939004</v>
      </c>
      <c r="E232">
        <v>385.70635994587002</v>
      </c>
      <c r="F232">
        <v>148.39430894309001</v>
      </c>
      <c r="G232">
        <v>122.01219512195</v>
      </c>
      <c r="I232" s="9">
        <f t="shared" si="22"/>
        <v>263.69416482392</v>
      </c>
      <c r="J232" s="9">
        <f t="shared" si="23"/>
        <v>592.13613760630005</v>
      </c>
      <c r="K232" s="9">
        <f t="shared" si="24"/>
        <v>263.69416482392</v>
      </c>
      <c r="L232" s="10">
        <f t="shared" si="21"/>
        <v>0.44532692412575769</v>
      </c>
      <c r="M232" s="10">
        <f t="shared" si="20"/>
        <v>0.60188103084339595</v>
      </c>
      <c r="P232" s="8">
        <f t="shared" si="25"/>
        <v>25.061175582999144</v>
      </c>
    </row>
    <row r="233" spans="1:16" x14ac:dyDescent="0.2">
      <c r="A233" s="8">
        <v>115.5</v>
      </c>
      <c r="B233" s="8">
        <v>231</v>
      </c>
      <c r="D233">
        <v>764.94864864864996</v>
      </c>
      <c r="E233">
        <v>383.50810810810998</v>
      </c>
      <c r="F233">
        <v>147.90921409213999</v>
      </c>
      <c r="G233">
        <v>122.0189701897</v>
      </c>
      <c r="I233" s="9">
        <f t="shared" si="22"/>
        <v>261.48913791840999</v>
      </c>
      <c r="J233" s="9">
        <f t="shared" si="23"/>
        <v>617.03943455650995</v>
      </c>
      <c r="K233" s="9">
        <f t="shared" si="24"/>
        <v>261.48913791840999</v>
      </c>
      <c r="L233" s="10">
        <f t="shared" si="21"/>
        <v>0.42378026958090992</v>
      </c>
      <c r="M233" s="10">
        <f t="shared" si="20"/>
        <v>0.58101504632775525</v>
      </c>
      <c r="P233" s="8">
        <f t="shared" si="25"/>
        <v>20.725560370859892</v>
      </c>
    </row>
    <row r="234" spans="1:16" x14ac:dyDescent="0.2">
      <c r="A234" s="8">
        <v>116</v>
      </c>
      <c r="B234" s="8">
        <v>232</v>
      </c>
      <c r="D234">
        <v>754.45135135135001</v>
      </c>
      <c r="E234">
        <v>388.09459459459998</v>
      </c>
      <c r="F234">
        <v>148.43495934959</v>
      </c>
      <c r="G234">
        <v>122.06368563686</v>
      </c>
      <c r="I234" s="9">
        <f t="shared" si="22"/>
        <v>266.03090895774</v>
      </c>
      <c r="J234" s="9">
        <f t="shared" si="23"/>
        <v>606.01639200175998</v>
      </c>
      <c r="K234" s="9">
        <f t="shared" si="24"/>
        <v>266.03090895774</v>
      </c>
      <c r="L234" s="10">
        <f t="shared" si="21"/>
        <v>0.43898302499541531</v>
      </c>
      <c r="M234" s="10">
        <f t="shared" si="20"/>
        <v>0.59689847177146782</v>
      </c>
      <c r="P234" s="8">
        <f t="shared" si="25"/>
        <v>24.025880129221669</v>
      </c>
    </row>
    <row r="235" spans="1:16" x14ac:dyDescent="0.2">
      <c r="A235" s="8">
        <v>116.5</v>
      </c>
      <c r="B235" s="8">
        <v>233</v>
      </c>
      <c r="D235">
        <v>746.58513513514004</v>
      </c>
      <c r="E235">
        <v>377.61081081080999</v>
      </c>
      <c r="F235">
        <v>147.44986449864999</v>
      </c>
      <c r="G235">
        <v>122.46612466125001</v>
      </c>
      <c r="I235" s="9">
        <f t="shared" si="22"/>
        <v>255.14468614955999</v>
      </c>
      <c r="J235" s="9">
        <f t="shared" si="23"/>
        <v>599.13527063649008</v>
      </c>
      <c r="K235" s="9">
        <f t="shared" si="24"/>
        <v>255.14468614955999</v>
      </c>
      <c r="L235" s="10">
        <f t="shared" si="21"/>
        <v>0.42585489229920914</v>
      </c>
      <c r="M235" s="10">
        <f t="shared" si="20"/>
        <v>0.58445100910446879</v>
      </c>
      <c r="P235" s="8">
        <f t="shared" si="25"/>
        <v>21.439498046405319</v>
      </c>
    </row>
    <row r="236" spans="1:16" x14ac:dyDescent="0.2">
      <c r="A236" s="8">
        <v>117</v>
      </c>
      <c r="B236" s="8">
        <v>234</v>
      </c>
      <c r="D236">
        <v>779.18513513513994</v>
      </c>
      <c r="E236">
        <v>373.10135135134999</v>
      </c>
      <c r="F236">
        <v>148.08401084011001</v>
      </c>
      <c r="G236">
        <v>121.81165311653</v>
      </c>
      <c r="I236" s="9">
        <f t="shared" si="22"/>
        <v>251.28969823481998</v>
      </c>
      <c r="J236" s="9">
        <f t="shared" si="23"/>
        <v>631.10112429502988</v>
      </c>
      <c r="K236" s="9">
        <f t="shared" si="24"/>
        <v>251.28969823481998</v>
      </c>
      <c r="L236" s="10">
        <f t="shared" si="21"/>
        <v>0.39817659731714561</v>
      </c>
      <c r="M236" s="10">
        <f t="shared" si="20"/>
        <v>0.55745338415161239</v>
      </c>
      <c r="P236" s="8">
        <f t="shared" si="25"/>
        <v>15.829826796553901</v>
      </c>
    </row>
    <row r="237" spans="1:16" x14ac:dyDescent="0.2">
      <c r="A237" s="8">
        <v>117.5</v>
      </c>
      <c r="B237" s="8">
        <v>235</v>
      </c>
      <c r="D237">
        <v>788.98378378378004</v>
      </c>
      <c r="E237">
        <v>375.8027027027</v>
      </c>
      <c r="F237">
        <v>148.20054200542</v>
      </c>
      <c r="G237">
        <v>121.68699186992001</v>
      </c>
      <c r="I237" s="9">
        <f t="shared" si="22"/>
        <v>254.11571083278</v>
      </c>
      <c r="J237" s="9">
        <f t="shared" si="23"/>
        <v>640.78324177835998</v>
      </c>
      <c r="K237" s="9">
        <f t="shared" si="24"/>
        <v>254.11571083278</v>
      </c>
      <c r="L237" s="10">
        <f t="shared" si="21"/>
        <v>0.3965704691769637</v>
      </c>
      <c r="M237" s="10">
        <f t="shared" si="20"/>
        <v>0.55652792604063761</v>
      </c>
      <c r="P237" s="8">
        <f t="shared" si="25"/>
        <v>15.637531519945588</v>
      </c>
    </row>
    <row r="238" spans="1:16" x14ac:dyDescent="0.2">
      <c r="A238" s="8">
        <v>118</v>
      </c>
      <c r="B238" s="8">
        <v>236</v>
      </c>
      <c r="D238">
        <v>809.52162162162006</v>
      </c>
      <c r="E238">
        <v>381.32432432432</v>
      </c>
      <c r="F238">
        <v>148.01897018970001</v>
      </c>
      <c r="G238">
        <v>122.05555555556001</v>
      </c>
      <c r="I238" s="9">
        <f t="shared" si="22"/>
        <v>259.26876876875997</v>
      </c>
      <c r="J238" s="9">
        <f t="shared" si="23"/>
        <v>661.50265143192007</v>
      </c>
      <c r="K238" s="9">
        <f t="shared" si="24"/>
        <v>259.26876876875997</v>
      </c>
      <c r="L238" s="10">
        <f t="shared" si="21"/>
        <v>0.39193912255307589</v>
      </c>
      <c r="M238" s="10">
        <f t="shared" si="20"/>
        <v>0.55257724944595688</v>
      </c>
      <c r="P238" s="8">
        <f t="shared" si="25"/>
        <v>14.816644610473331</v>
      </c>
    </row>
    <row r="239" spans="1:16" x14ac:dyDescent="0.2">
      <c r="A239" s="8">
        <v>118.5</v>
      </c>
      <c r="B239" s="8">
        <v>237</v>
      </c>
      <c r="D239">
        <v>815.41216216216003</v>
      </c>
      <c r="E239">
        <v>377.99054054054</v>
      </c>
      <c r="F239">
        <v>147.88211382114</v>
      </c>
      <c r="G239">
        <v>122.38211382114</v>
      </c>
      <c r="I239" s="9">
        <f t="shared" si="22"/>
        <v>255.6084267194</v>
      </c>
      <c r="J239" s="9">
        <f t="shared" si="23"/>
        <v>667.53004834102001</v>
      </c>
      <c r="K239" s="9">
        <f t="shared" si="24"/>
        <v>255.6084267194</v>
      </c>
      <c r="L239" s="10">
        <f t="shared" si="21"/>
        <v>0.38291673514121377</v>
      </c>
      <c r="M239" s="10">
        <f t="shared" si="20"/>
        <v>0.54423553206330189</v>
      </c>
      <c r="P239" s="8">
        <f t="shared" si="25"/>
        <v>13.083370211055668</v>
      </c>
    </row>
    <row r="240" spans="1:16" x14ac:dyDescent="0.2">
      <c r="A240" s="8">
        <v>119</v>
      </c>
      <c r="B240" s="8">
        <v>238</v>
      </c>
      <c r="D240">
        <v>823.18918918918996</v>
      </c>
      <c r="E240">
        <v>383.20405405405</v>
      </c>
      <c r="F240">
        <v>147.74254742547001</v>
      </c>
      <c r="G240">
        <v>122.31300813007999</v>
      </c>
      <c r="I240" s="9">
        <f t="shared" si="22"/>
        <v>260.89104592397001</v>
      </c>
      <c r="J240" s="9">
        <f t="shared" si="23"/>
        <v>675.44664176371998</v>
      </c>
      <c r="K240" s="9">
        <f t="shared" si="24"/>
        <v>260.89104592397001</v>
      </c>
      <c r="L240" s="10">
        <f t="shared" si="21"/>
        <v>0.38624967509311137</v>
      </c>
      <c r="M240" s="10">
        <f t="shared" si="20"/>
        <v>0.54824914204440667</v>
      </c>
      <c r="P240" s="8">
        <f t="shared" si="25"/>
        <v>13.917333663708861</v>
      </c>
    </row>
    <row r="241" spans="1:16" x14ac:dyDescent="0.2">
      <c r="A241" s="8">
        <v>119.5</v>
      </c>
      <c r="B241" s="8">
        <v>239</v>
      </c>
      <c r="D241">
        <v>838</v>
      </c>
      <c r="E241">
        <v>377.76621621622002</v>
      </c>
      <c r="F241">
        <v>148.48509485094999</v>
      </c>
      <c r="G241">
        <v>121.61517615176</v>
      </c>
      <c r="I241" s="9">
        <f t="shared" si="22"/>
        <v>256.15104006446001</v>
      </c>
      <c r="J241" s="9">
        <f t="shared" si="23"/>
        <v>689.51490514905004</v>
      </c>
      <c r="K241" s="9">
        <f t="shared" si="24"/>
        <v>256.15104006446001</v>
      </c>
      <c r="L241" s="10">
        <f t="shared" si="21"/>
        <v>0.37149456545698417</v>
      </c>
      <c r="M241" s="10">
        <f t="shared" si="20"/>
        <v>0.53417470243748655</v>
      </c>
      <c r="P241" s="8">
        <f t="shared" si="25"/>
        <v>10.992892000467053</v>
      </c>
    </row>
    <row r="242" spans="1:16" x14ac:dyDescent="0.2">
      <c r="A242" s="8">
        <v>120</v>
      </c>
      <c r="B242" s="8">
        <v>240</v>
      </c>
      <c r="D242">
        <v>825.35245901638996</v>
      </c>
      <c r="E242">
        <v>370.97540983607001</v>
      </c>
      <c r="F242">
        <v>148.36314363144001</v>
      </c>
      <c r="G242">
        <v>122.47425474255</v>
      </c>
      <c r="I242" s="9">
        <f>E242-G242</f>
        <v>248.50115509352003</v>
      </c>
      <c r="J242" s="9">
        <f>D242-F242</f>
        <v>676.98931538494992</v>
      </c>
      <c r="K242" s="9">
        <f t="shared" si="24"/>
        <v>248.50115509352003</v>
      </c>
      <c r="L242" s="10">
        <f t="shared" si="21"/>
        <v>0.36706806067126363</v>
      </c>
      <c r="M242" s="10">
        <f>L242+ABS($N$2)*A242</f>
        <v>0.53042886768097319</v>
      </c>
      <c r="O242" s="11"/>
      <c r="P242" s="8">
        <f>(M242-$O$2)/$O$2*100</f>
        <v>10.214567922812069</v>
      </c>
    </row>
    <row r="243" spans="1:16" x14ac:dyDescent="0.2">
      <c r="A243" s="8">
        <v>120.5</v>
      </c>
      <c r="B243" s="8">
        <v>241</v>
      </c>
      <c r="D243">
        <v>821.45491803279003</v>
      </c>
      <c r="E243">
        <v>378.36885245901999</v>
      </c>
      <c r="F243">
        <v>148.43495934959</v>
      </c>
      <c r="G243">
        <v>121.34823848239</v>
      </c>
      <c r="I243" s="9">
        <f t="shared" ref="I243:I274" si="26">E243-G243</f>
        <v>257.02061397662999</v>
      </c>
      <c r="J243" s="9">
        <f t="shared" ref="J243:J274" si="27">D243-F243</f>
        <v>673.0199586832</v>
      </c>
      <c r="K243" s="9">
        <f t="shared" si="24"/>
        <v>257.02061397662999</v>
      </c>
      <c r="L243" s="10">
        <f t="shared" si="21"/>
        <v>0.38189151846180719</v>
      </c>
      <c r="M243" s="10">
        <f t="shared" ref="M243:M274" si="28">L243+ABS($N$2)*A243</f>
        <v>0.54593299550072383</v>
      </c>
      <c r="P243" s="8">
        <f t="shared" ref="P243:P274" si="29">(M243-$O$2)/$O$2*100</f>
        <v>13.436075749383857</v>
      </c>
    </row>
    <row r="244" spans="1:16" x14ac:dyDescent="0.2">
      <c r="A244" s="8">
        <v>121</v>
      </c>
      <c r="B244" s="8">
        <v>242</v>
      </c>
      <c r="D244">
        <v>836.06010928961996</v>
      </c>
      <c r="E244">
        <v>388.49180327868999</v>
      </c>
      <c r="F244">
        <v>147.68292682927</v>
      </c>
      <c r="G244">
        <v>121.79539295393</v>
      </c>
      <c r="I244" s="9">
        <f t="shared" si="26"/>
        <v>266.69641032476</v>
      </c>
      <c r="J244" s="9">
        <f t="shared" si="27"/>
        <v>688.37718246035001</v>
      </c>
      <c r="K244" s="9">
        <f t="shared" si="24"/>
        <v>266.69641032476</v>
      </c>
      <c r="L244" s="10">
        <f t="shared" si="21"/>
        <v>0.3874277316565784</v>
      </c>
      <c r="M244" s="10">
        <f t="shared" si="28"/>
        <v>0.55214987872470211</v>
      </c>
      <c r="N244" s="1"/>
      <c r="P244" s="8">
        <f t="shared" si="29"/>
        <v>14.727843864028504</v>
      </c>
    </row>
    <row r="245" spans="1:16" x14ac:dyDescent="0.2">
      <c r="A245" s="8">
        <v>121.5</v>
      </c>
      <c r="B245" s="8">
        <v>243</v>
      </c>
      <c r="D245">
        <v>852.81967213115001</v>
      </c>
      <c r="E245">
        <v>387.98224043715999</v>
      </c>
      <c r="F245">
        <v>147.57046070461001</v>
      </c>
      <c r="G245">
        <v>122.01761517615</v>
      </c>
      <c r="I245" s="9">
        <f t="shared" si="26"/>
        <v>265.96462526100999</v>
      </c>
      <c r="J245" s="9">
        <f t="shared" si="27"/>
        <v>705.24921142654</v>
      </c>
      <c r="K245" s="9">
        <f t="shared" si="24"/>
        <v>265.96462526100999</v>
      </c>
      <c r="L245" s="10">
        <f t="shared" si="21"/>
        <v>0.37712147841049137</v>
      </c>
      <c r="M245" s="10">
        <f t="shared" si="28"/>
        <v>0.54252429550782222</v>
      </c>
      <c r="P245" s="8">
        <f t="shared" si="29"/>
        <v>12.727802840824701</v>
      </c>
    </row>
    <row r="246" spans="1:16" x14ac:dyDescent="0.2">
      <c r="A246" s="8">
        <v>122</v>
      </c>
      <c r="B246" s="8">
        <v>244</v>
      </c>
      <c r="D246">
        <v>857.25956284153006</v>
      </c>
      <c r="E246">
        <v>393.97677595627999</v>
      </c>
      <c r="F246">
        <v>148.32520325203001</v>
      </c>
      <c r="G246">
        <v>122.26829268293</v>
      </c>
      <c r="I246" s="9">
        <f t="shared" si="26"/>
        <v>271.70848327335</v>
      </c>
      <c r="J246" s="9">
        <f t="shared" si="27"/>
        <v>708.93435958949999</v>
      </c>
      <c r="K246" s="9">
        <f t="shared" si="24"/>
        <v>271.70848327335</v>
      </c>
      <c r="L246" s="10">
        <f t="shared" si="21"/>
        <v>0.38326324517643573</v>
      </c>
      <c r="M246" s="10">
        <f t="shared" si="28"/>
        <v>0.54934673230297371</v>
      </c>
      <c r="P246" s="8">
        <f t="shared" si="29"/>
        <v>14.145395225729674</v>
      </c>
    </row>
    <row r="247" spans="1:16" x14ac:dyDescent="0.2">
      <c r="A247" s="8">
        <v>122.5</v>
      </c>
      <c r="B247" s="8">
        <v>245</v>
      </c>
      <c r="D247">
        <v>834.58967391303997</v>
      </c>
      <c r="E247">
        <v>384.31385869565003</v>
      </c>
      <c r="F247">
        <v>148.06775067750999</v>
      </c>
      <c r="G247">
        <v>121.97154471544999</v>
      </c>
      <c r="I247" s="9">
        <f t="shared" si="26"/>
        <v>262.34231398020006</v>
      </c>
      <c r="J247" s="9">
        <f t="shared" si="27"/>
        <v>686.52192323553004</v>
      </c>
      <c r="K247" s="9">
        <f t="shared" si="24"/>
        <v>262.34231398020006</v>
      </c>
      <c r="L247" s="10">
        <f t="shared" si="21"/>
        <v>0.38213246380217403</v>
      </c>
      <c r="M247" s="10">
        <f t="shared" si="28"/>
        <v>0.54889662095791913</v>
      </c>
      <c r="P247" s="8">
        <f t="shared" si="29"/>
        <v>14.051869344249591</v>
      </c>
    </row>
    <row r="248" spans="1:16" x14ac:dyDescent="0.2">
      <c r="A248" s="8">
        <v>123</v>
      </c>
      <c r="B248" s="8">
        <v>246</v>
      </c>
      <c r="D248">
        <v>806.10461956521999</v>
      </c>
      <c r="E248">
        <v>374.15760869565003</v>
      </c>
      <c r="F248">
        <v>147.67208672087</v>
      </c>
      <c r="G248">
        <v>121.47696476965</v>
      </c>
      <c r="I248" s="9">
        <f t="shared" si="26"/>
        <v>252.68064392600002</v>
      </c>
      <c r="J248" s="9">
        <f t="shared" si="27"/>
        <v>658.43253284435002</v>
      </c>
      <c r="K248" s="9">
        <f t="shared" si="24"/>
        <v>252.68064392600002</v>
      </c>
      <c r="L248" s="10">
        <f t="shared" si="21"/>
        <v>0.38376087347089272</v>
      </c>
      <c r="M248" s="10">
        <f t="shared" si="28"/>
        <v>0.55120570065584495</v>
      </c>
      <c r="P248" s="8">
        <f t="shared" si="29"/>
        <v>14.53165888194741</v>
      </c>
    </row>
    <row r="249" spans="1:16" x14ac:dyDescent="0.2">
      <c r="A249" s="8">
        <v>123.5</v>
      </c>
      <c r="B249" s="8">
        <v>247</v>
      </c>
      <c r="D249">
        <v>780.06657608696003</v>
      </c>
      <c r="E249">
        <v>357.57065217390999</v>
      </c>
      <c r="F249">
        <v>148.06639566396001</v>
      </c>
      <c r="G249">
        <v>122.28590785908</v>
      </c>
      <c r="I249" s="9">
        <f t="shared" si="26"/>
        <v>235.28474431482999</v>
      </c>
      <c r="J249" s="9">
        <f t="shared" si="27"/>
        <v>632.00018042300007</v>
      </c>
      <c r="K249" s="9">
        <f t="shared" si="24"/>
        <v>235.28474431482999</v>
      </c>
      <c r="L249" s="10">
        <f t="shared" si="21"/>
        <v>0.37228588155995945</v>
      </c>
      <c r="M249" s="10">
        <f t="shared" si="28"/>
        <v>0.54041137877411882</v>
      </c>
      <c r="P249" s="8">
        <f t="shared" si="29"/>
        <v>12.288772804846225</v>
      </c>
    </row>
    <row r="250" spans="1:16" x14ac:dyDescent="0.2">
      <c r="A250" s="8">
        <v>124</v>
      </c>
      <c r="B250" s="8">
        <v>248</v>
      </c>
      <c r="D250">
        <v>805.36141304347996</v>
      </c>
      <c r="E250">
        <v>371.32880434782999</v>
      </c>
      <c r="F250">
        <v>147.34688346883999</v>
      </c>
      <c r="G250">
        <v>121.19918699186999</v>
      </c>
      <c r="I250" s="9">
        <f t="shared" si="26"/>
        <v>250.12961735595999</v>
      </c>
      <c r="J250" s="9">
        <f t="shared" si="27"/>
        <v>658.01452957463994</v>
      </c>
      <c r="K250" s="9">
        <f t="shared" si="24"/>
        <v>250.12961735595999</v>
      </c>
      <c r="L250" s="10">
        <f t="shared" si="21"/>
        <v>0.3801278028277752</v>
      </c>
      <c r="M250" s="10">
        <f t="shared" si="28"/>
        <v>0.54893397007114164</v>
      </c>
      <c r="P250" s="8">
        <f t="shared" si="29"/>
        <v>14.059629887890656</v>
      </c>
    </row>
    <row r="251" spans="1:16" x14ac:dyDescent="0.2">
      <c r="A251" s="8">
        <v>124.5</v>
      </c>
      <c r="B251" s="8">
        <v>249</v>
      </c>
      <c r="D251">
        <v>803.75543478261</v>
      </c>
      <c r="E251">
        <v>366.20652173912998</v>
      </c>
      <c r="F251">
        <v>147.61246612465999</v>
      </c>
      <c r="G251">
        <v>121.48780487805</v>
      </c>
      <c r="I251" s="9">
        <f t="shared" si="26"/>
        <v>244.71871686108</v>
      </c>
      <c r="J251" s="9">
        <f t="shared" si="27"/>
        <v>656.14296865794995</v>
      </c>
      <c r="K251" s="9">
        <f t="shared" si="24"/>
        <v>244.71871686108</v>
      </c>
      <c r="L251" s="10">
        <f t="shared" si="21"/>
        <v>0.3729655403632815</v>
      </c>
      <c r="M251" s="10">
        <f t="shared" si="28"/>
        <v>0.54245237763585508</v>
      </c>
      <c r="P251" s="8">
        <f t="shared" si="29"/>
        <v>12.712859466382353</v>
      </c>
    </row>
    <row r="252" spans="1:16" x14ac:dyDescent="0.2">
      <c r="A252" s="8">
        <v>125</v>
      </c>
      <c r="B252" s="8">
        <v>250</v>
      </c>
      <c r="D252">
        <v>822.31521739130005</v>
      </c>
      <c r="E252">
        <v>364.2160326087</v>
      </c>
      <c r="F252">
        <v>147.23170731707</v>
      </c>
      <c r="G252">
        <v>122.25338753388</v>
      </c>
      <c r="I252" s="9">
        <f t="shared" si="26"/>
        <v>241.96264507481999</v>
      </c>
      <c r="J252" s="9">
        <f t="shared" si="27"/>
        <v>675.08351007423005</v>
      </c>
      <c r="K252" s="9">
        <f t="shared" si="24"/>
        <v>241.96264507481999</v>
      </c>
      <c r="L252" s="10">
        <f t="shared" si="21"/>
        <v>0.35841883480195591</v>
      </c>
      <c r="M252" s="10">
        <f t="shared" si="28"/>
        <v>0.52858634210373667</v>
      </c>
      <c r="P252" s="8">
        <f t="shared" si="29"/>
        <v>9.8317208103053808</v>
      </c>
    </row>
    <row r="253" spans="1:16" x14ac:dyDescent="0.2">
      <c r="A253" s="8">
        <v>125.5</v>
      </c>
      <c r="B253" s="8">
        <v>251</v>
      </c>
      <c r="D253">
        <v>859.44293478261</v>
      </c>
      <c r="E253">
        <v>381.69157608696003</v>
      </c>
      <c r="F253">
        <v>148.65311653117001</v>
      </c>
      <c r="G253">
        <v>121.21815718157001</v>
      </c>
      <c r="I253" s="9">
        <f t="shared" si="26"/>
        <v>260.47341890539002</v>
      </c>
      <c r="J253" s="9">
        <f t="shared" si="27"/>
        <v>710.78981825144001</v>
      </c>
      <c r="K253" s="9">
        <f t="shared" si="24"/>
        <v>260.47341890539002</v>
      </c>
      <c r="L253" s="10">
        <f t="shared" si="21"/>
        <v>0.36645631692665614</v>
      </c>
      <c r="M253" s="10">
        <f t="shared" si="28"/>
        <v>0.53730449425764393</v>
      </c>
      <c r="P253" s="8">
        <f t="shared" si="29"/>
        <v>11.643212286870597</v>
      </c>
    </row>
    <row r="254" spans="1:16" x14ac:dyDescent="0.2">
      <c r="A254" s="8">
        <v>126</v>
      </c>
      <c r="B254" s="8">
        <v>252</v>
      </c>
      <c r="D254">
        <v>875.98233695652004</v>
      </c>
      <c r="E254">
        <v>392.27445652173998</v>
      </c>
      <c r="F254">
        <v>147.91734417344</v>
      </c>
      <c r="G254">
        <v>121.4620596206</v>
      </c>
      <c r="I254" s="9">
        <f t="shared" si="26"/>
        <v>270.81239690114</v>
      </c>
      <c r="J254" s="9">
        <f t="shared" si="27"/>
        <v>728.06499278308002</v>
      </c>
      <c r="K254" s="9">
        <f t="shared" si="24"/>
        <v>270.81239690114</v>
      </c>
      <c r="L254" s="10">
        <f t="shared" si="21"/>
        <v>0.37196184349688405</v>
      </c>
      <c r="M254" s="10">
        <f t="shared" si="28"/>
        <v>0.54349069085707902</v>
      </c>
      <c r="P254" s="8">
        <f t="shared" si="29"/>
        <v>12.928604215619055</v>
      </c>
    </row>
    <row r="255" spans="1:16" x14ac:dyDescent="0.2">
      <c r="A255" s="8">
        <v>126.5</v>
      </c>
      <c r="B255" s="8">
        <v>253</v>
      </c>
      <c r="D255">
        <v>851.18206521739</v>
      </c>
      <c r="E255">
        <v>396.79891304348001</v>
      </c>
      <c r="F255">
        <v>147.59620596206</v>
      </c>
      <c r="G255">
        <v>121.49728997290001</v>
      </c>
      <c r="I255" s="9">
        <f t="shared" si="26"/>
        <v>275.30162307058004</v>
      </c>
      <c r="J255" s="9">
        <f t="shared" si="27"/>
        <v>703.58585925532998</v>
      </c>
      <c r="K255" s="9">
        <f t="shared" si="24"/>
        <v>275.30162307058004</v>
      </c>
      <c r="L255" s="10">
        <f t="shared" si="21"/>
        <v>0.39128362153548285</v>
      </c>
      <c r="M255" s="10">
        <f t="shared" si="28"/>
        <v>0.56349313892488495</v>
      </c>
      <c r="P255" s="8">
        <f t="shared" si="29"/>
        <v>17.084790474542004</v>
      </c>
    </row>
    <row r="256" spans="1:16" x14ac:dyDescent="0.2">
      <c r="A256" s="8">
        <v>127</v>
      </c>
      <c r="B256" s="8">
        <v>254</v>
      </c>
      <c r="D256">
        <v>843.16847826086996</v>
      </c>
      <c r="E256">
        <v>390.51222826087002</v>
      </c>
      <c r="F256">
        <v>147.42276422763999</v>
      </c>
      <c r="G256">
        <v>121.91463414634001</v>
      </c>
      <c r="I256" s="9">
        <f t="shared" si="26"/>
        <v>268.59759411453001</v>
      </c>
      <c r="J256" s="9">
        <f t="shared" si="27"/>
        <v>695.74571403323</v>
      </c>
      <c r="K256" s="9">
        <f t="shared" si="24"/>
        <v>268.59759411453001</v>
      </c>
      <c r="L256" s="10">
        <f t="shared" si="21"/>
        <v>0.38605713078341913</v>
      </c>
      <c r="M256" s="10">
        <f t="shared" si="28"/>
        <v>0.55894731820202836</v>
      </c>
      <c r="P256" s="8">
        <f t="shared" si="29"/>
        <v>16.140242209258783</v>
      </c>
    </row>
    <row r="257" spans="1:16" x14ac:dyDescent="0.2">
      <c r="A257" s="8">
        <v>127.5</v>
      </c>
      <c r="B257" s="8">
        <v>255</v>
      </c>
      <c r="D257">
        <v>853.05027173913004</v>
      </c>
      <c r="E257">
        <v>392.75679347826002</v>
      </c>
      <c r="F257">
        <v>147.9756097561</v>
      </c>
      <c r="G257">
        <v>122.04471544715</v>
      </c>
      <c r="I257" s="9">
        <f t="shared" si="26"/>
        <v>270.71207803111002</v>
      </c>
      <c r="J257" s="9">
        <f t="shared" si="27"/>
        <v>705.07466198303007</v>
      </c>
      <c r="K257" s="9">
        <f t="shared" si="24"/>
        <v>270.71207803111002</v>
      </c>
      <c r="L257" s="10">
        <f t="shared" si="21"/>
        <v>0.38394810170844801</v>
      </c>
      <c r="M257" s="10">
        <f t="shared" si="28"/>
        <v>0.55751895915626437</v>
      </c>
      <c r="P257" s="8">
        <f t="shared" si="29"/>
        <v>15.843452225418384</v>
      </c>
    </row>
    <row r="258" spans="1:16" x14ac:dyDescent="0.2">
      <c r="A258" s="8">
        <v>128</v>
      </c>
      <c r="B258" s="8">
        <v>256</v>
      </c>
      <c r="D258">
        <v>857.36684782608995</v>
      </c>
      <c r="E258">
        <v>400.6589673913</v>
      </c>
      <c r="F258">
        <v>147.91463414634001</v>
      </c>
      <c r="G258">
        <v>122.15853658537</v>
      </c>
      <c r="I258" s="9">
        <f t="shared" si="26"/>
        <v>278.50043080593002</v>
      </c>
      <c r="J258" s="9">
        <f t="shared" si="27"/>
        <v>709.45221367975</v>
      </c>
      <c r="K258" s="9">
        <f t="shared" si="24"/>
        <v>278.50043080593002</v>
      </c>
      <c r="L258" s="10">
        <f t="shared" ref="L258:L321" si="30">K258/J258</f>
        <v>0.39255699740708172</v>
      </c>
      <c r="M258" s="10">
        <f t="shared" si="28"/>
        <v>0.56680852488410516</v>
      </c>
      <c r="P258" s="8">
        <f t="shared" si="29"/>
        <v>17.773674231171523</v>
      </c>
    </row>
    <row r="259" spans="1:16" x14ac:dyDescent="0.2">
      <c r="A259" s="8">
        <v>128.5</v>
      </c>
      <c r="B259" s="8">
        <v>257</v>
      </c>
      <c r="D259">
        <v>828.85461956521999</v>
      </c>
      <c r="E259">
        <v>388.03532608696003</v>
      </c>
      <c r="F259">
        <v>147.42140921409</v>
      </c>
      <c r="G259">
        <v>121.59891598916001</v>
      </c>
      <c r="I259" s="9">
        <f t="shared" si="26"/>
        <v>266.43641009780004</v>
      </c>
      <c r="J259" s="9">
        <f t="shared" si="27"/>
        <v>681.43321035113001</v>
      </c>
      <c r="K259" s="9">
        <f t="shared" ref="K259:K321" si="31">I259*1</f>
        <v>266.43641009780004</v>
      </c>
      <c r="L259" s="10">
        <f t="shared" si="30"/>
        <v>0.39099416648699914</v>
      </c>
      <c r="M259" s="10">
        <f t="shared" si="28"/>
        <v>0.56592636399322971</v>
      </c>
      <c r="P259" s="8">
        <f t="shared" si="29"/>
        <v>17.590375418926794</v>
      </c>
    </row>
    <row r="260" spans="1:16" x14ac:dyDescent="0.2">
      <c r="A260" s="8">
        <v>129</v>
      </c>
      <c r="B260" s="8">
        <v>258</v>
      </c>
      <c r="D260">
        <v>830.36956521739</v>
      </c>
      <c r="E260">
        <v>382.23913043478001</v>
      </c>
      <c r="F260">
        <v>147.75880758808</v>
      </c>
      <c r="G260">
        <v>121.72764227642</v>
      </c>
      <c r="I260" s="9">
        <f t="shared" si="26"/>
        <v>260.51148815836001</v>
      </c>
      <c r="J260" s="9">
        <f t="shared" si="27"/>
        <v>682.61075762931</v>
      </c>
      <c r="K260" s="9">
        <f t="shared" si="31"/>
        <v>260.51148815836001</v>
      </c>
      <c r="L260" s="10">
        <f t="shared" si="30"/>
        <v>0.38163988077643235</v>
      </c>
      <c r="M260" s="10">
        <f t="shared" si="28"/>
        <v>0.55725274831187011</v>
      </c>
      <c r="P260" s="8">
        <f t="shared" si="29"/>
        <v>15.788137903406543</v>
      </c>
    </row>
    <row r="261" spans="1:16" x14ac:dyDescent="0.2">
      <c r="A261" s="8">
        <v>129.5</v>
      </c>
      <c r="B261" s="8">
        <v>259</v>
      </c>
      <c r="D261">
        <v>832.50543478261</v>
      </c>
      <c r="E261">
        <v>376.0964673913</v>
      </c>
      <c r="F261">
        <v>147.93631436314001</v>
      </c>
      <c r="G261">
        <v>122</v>
      </c>
      <c r="I261" s="9">
        <f t="shared" si="26"/>
        <v>254.0964673913</v>
      </c>
      <c r="J261" s="9">
        <f t="shared" si="27"/>
        <v>684.56912041946998</v>
      </c>
      <c r="K261" s="9">
        <f t="shared" si="31"/>
        <v>254.0964673913</v>
      </c>
      <c r="L261" s="10">
        <f t="shared" si="30"/>
        <v>0.37117722639256984</v>
      </c>
      <c r="M261" s="10">
        <f t="shared" si="28"/>
        <v>0.54747076395721472</v>
      </c>
      <c r="P261" s="8">
        <f t="shared" si="29"/>
        <v>13.755599245038342</v>
      </c>
    </row>
    <row r="262" spans="1:16" x14ac:dyDescent="0.2">
      <c r="A262" s="8">
        <v>130</v>
      </c>
      <c r="B262" s="8">
        <v>260</v>
      </c>
      <c r="D262">
        <v>844.04211956521999</v>
      </c>
      <c r="E262">
        <v>385.09510869565003</v>
      </c>
      <c r="F262">
        <v>147.53658536584999</v>
      </c>
      <c r="G262">
        <v>121.11788617886</v>
      </c>
      <c r="I262" s="9">
        <f t="shared" si="26"/>
        <v>263.97722251678999</v>
      </c>
      <c r="J262" s="9">
        <f t="shared" si="27"/>
        <v>696.50553419937</v>
      </c>
      <c r="K262" s="9">
        <f t="shared" si="31"/>
        <v>263.97722251678999</v>
      </c>
      <c r="L262" s="10">
        <f t="shared" si="30"/>
        <v>0.37900233315479775</v>
      </c>
      <c r="M262" s="10">
        <f t="shared" si="28"/>
        <v>0.55597654074864966</v>
      </c>
      <c r="P262" s="8">
        <f t="shared" si="29"/>
        <v>15.522962544879935</v>
      </c>
    </row>
    <row r="263" spans="1:16" x14ac:dyDescent="0.2">
      <c r="A263" s="8">
        <v>130.5</v>
      </c>
      <c r="B263" s="8">
        <v>261</v>
      </c>
      <c r="D263">
        <v>841.79076086957002</v>
      </c>
      <c r="E263">
        <v>387.10190217390999</v>
      </c>
      <c r="F263">
        <v>147.60433604336001</v>
      </c>
      <c r="G263">
        <v>121.28997289973</v>
      </c>
      <c r="I263" s="9">
        <f t="shared" si="26"/>
        <v>265.81192927417999</v>
      </c>
      <c r="J263" s="9">
        <f t="shared" si="27"/>
        <v>694.18642482620999</v>
      </c>
      <c r="K263" s="9">
        <f t="shared" si="31"/>
        <v>265.81192927417999</v>
      </c>
      <c r="L263" s="10">
        <f t="shared" si="30"/>
        <v>0.38291144823341394</v>
      </c>
      <c r="M263" s="10">
        <f t="shared" si="28"/>
        <v>0.56056632585647304</v>
      </c>
      <c r="P263" s="8">
        <f t="shared" si="29"/>
        <v>16.476645900631155</v>
      </c>
    </row>
    <row r="264" spans="1:16" x14ac:dyDescent="0.2">
      <c r="A264" s="8">
        <v>131</v>
      </c>
      <c r="B264" s="8">
        <v>262</v>
      </c>
      <c r="D264">
        <v>855.70516304347996</v>
      </c>
      <c r="E264">
        <v>388.98913043478001</v>
      </c>
      <c r="F264">
        <v>147.84281842818001</v>
      </c>
      <c r="G264">
        <v>121.98780487805</v>
      </c>
      <c r="I264" s="9">
        <f t="shared" si="26"/>
        <v>267.00132555673002</v>
      </c>
      <c r="J264" s="9">
        <f t="shared" si="27"/>
        <v>707.86234461529989</v>
      </c>
      <c r="K264" s="9">
        <f t="shared" si="31"/>
        <v>267.00132555673002</v>
      </c>
      <c r="L264" s="10">
        <f t="shared" si="30"/>
        <v>0.3771938535617918</v>
      </c>
      <c r="M264" s="10">
        <f t="shared" si="28"/>
        <v>0.55552940121405803</v>
      </c>
      <c r="P264" s="8">
        <f t="shared" si="29"/>
        <v>15.430054157706962</v>
      </c>
    </row>
    <row r="265" spans="1:16" x14ac:dyDescent="0.2">
      <c r="A265" s="8">
        <v>131.5</v>
      </c>
      <c r="B265" s="8">
        <v>263</v>
      </c>
      <c r="D265">
        <v>840.54076086957002</v>
      </c>
      <c r="E265">
        <v>391.25951086957002</v>
      </c>
      <c r="F265">
        <v>147.57588075881</v>
      </c>
      <c r="G265">
        <v>121.81978319783001</v>
      </c>
      <c r="I265" s="9">
        <f t="shared" si="26"/>
        <v>269.43972767174</v>
      </c>
      <c r="J265" s="9">
        <f t="shared" si="27"/>
        <v>692.96488011076008</v>
      </c>
      <c r="K265" s="9">
        <f t="shared" si="31"/>
        <v>269.43972767174</v>
      </c>
      <c r="L265" s="10">
        <f t="shared" si="30"/>
        <v>0.38882162055409514</v>
      </c>
      <c r="M265" s="10">
        <f t="shared" si="28"/>
        <v>0.56783783823556844</v>
      </c>
      <c r="P265" s="8">
        <f t="shared" si="29"/>
        <v>17.987548952554409</v>
      </c>
    </row>
    <row r="266" spans="1:16" x14ac:dyDescent="0.2">
      <c r="A266" s="8">
        <v>132</v>
      </c>
      <c r="B266" s="8">
        <v>264</v>
      </c>
      <c r="D266">
        <v>849.45788043478001</v>
      </c>
      <c r="E266">
        <v>395.91576086957002</v>
      </c>
      <c r="F266">
        <v>146.9620596206</v>
      </c>
      <c r="G266">
        <v>121.77777777778</v>
      </c>
      <c r="I266" s="9">
        <f t="shared" si="26"/>
        <v>274.13798309179003</v>
      </c>
      <c r="J266" s="9">
        <f t="shared" si="27"/>
        <v>702.49582081417998</v>
      </c>
      <c r="K266" s="9">
        <f t="shared" si="31"/>
        <v>274.13798309179003</v>
      </c>
      <c r="L266" s="10">
        <f t="shared" si="30"/>
        <v>0.39023432591252866</v>
      </c>
      <c r="M266" s="10">
        <f t="shared" si="28"/>
        <v>0.56993121362320909</v>
      </c>
      <c r="P266" s="8">
        <f t="shared" si="29"/>
        <v>18.422518611837415</v>
      </c>
    </row>
    <row r="267" spans="1:16" x14ac:dyDescent="0.2">
      <c r="A267" s="8">
        <v>132.5</v>
      </c>
      <c r="B267" s="8">
        <v>265</v>
      </c>
      <c r="D267">
        <v>856.00679347825997</v>
      </c>
      <c r="E267">
        <v>383.57880434782999</v>
      </c>
      <c r="F267">
        <v>147.23848238482</v>
      </c>
      <c r="G267">
        <v>121.35365853659</v>
      </c>
      <c r="I267" s="9">
        <f t="shared" si="26"/>
        <v>262.22514581124</v>
      </c>
      <c r="J267" s="9">
        <f t="shared" si="27"/>
        <v>708.76831109343993</v>
      </c>
      <c r="K267" s="9">
        <f t="shared" si="31"/>
        <v>262.22514581124</v>
      </c>
      <c r="L267" s="10">
        <f t="shared" si="30"/>
        <v>0.36997301051269738</v>
      </c>
      <c r="M267" s="10">
        <f t="shared" si="28"/>
        <v>0.55035056825258488</v>
      </c>
      <c r="P267" s="8">
        <f t="shared" si="29"/>
        <v>14.35397615371628</v>
      </c>
    </row>
    <row r="268" spans="1:16" x14ac:dyDescent="0.2">
      <c r="A268" s="8">
        <v>133</v>
      </c>
      <c r="B268" s="8">
        <v>266</v>
      </c>
      <c r="D268">
        <v>859.57608695652004</v>
      </c>
      <c r="E268">
        <v>393.20788043478001</v>
      </c>
      <c r="F268">
        <v>146.94173441734</v>
      </c>
      <c r="G268">
        <v>121.20325203252</v>
      </c>
      <c r="I268" s="9">
        <f t="shared" si="26"/>
        <v>272.00462840225998</v>
      </c>
      <c r="J268" s="9">
        <f t="shared" si="27"/>
        <v>712.6343525391801</v>
      </c>
      <c r="K268" s="9">
        <f t="shared" si="31"/>
        <v>272.00462840225998</v>
      </c>
      <c r="L268" s="10">
        <f t="shared" si="30"/>
        <v>0.3816889088114867</v>
      </c>
      <c r="M268" s="10">
        <f t="shared" si="28"/>
        <v>0.5627471365805814</v>
      </c>
      <c r="P268" s="8">
        <f t="shared" si="29"/>
        <v>16.929783213330357</v>
      </c>
    </row>
    <row r="269" spans="1:16" x14ac:dyDescent="0.2">
      <c r="A269" s="8">
        <v>133.5</v>
      </c>
      <c r="B269" s="8">
        <v>267</v>
      </c>
      <c r="D269">
        <v>863.25135869564997</v>
      </c>
      <c r="E269">
        <v>398.88858695651999</v>
      </c>
      <c r="F269">
        <v>146.80487804878001</v>
      </c>
      <c r="G269">
        <v>121.78726287263</v>
      </c>
      <c r="I269" s="9">
        <f t="shared" si="26"/>
        <v>277.10132408389001</v>
      </c>
      <c r="J269" s="9">
        <f t="shared" si="27"/>
        <v>716.44648064686999</v>
      </c>
      <c r="K269" s="9">
        <f t="shared" si="31"/>
        <v>277.10132408389001</v>
      </c>
      <c r="L269" s="10">
        <f t="shared" si="30"/>
        <v>0.38677184070148396</v>
      </c>
      <c r="M269" s="10">
        <f t="shared" si="28"/>
        <v>0.56851073849978584</v>
      </c>
      <c r="P269" s="8">
        <f t="shared" si="29"/>
        <v>18.127366779966607</v>
      </c>
    </row>
    <row r="270" spans="1:16" x14ac:dyDescent="0.2">
      <c r="A270" s="8">
        <v>134</v>
      </c>
      <c r="B270" s="8">
        <v>268</v>
      </c>
      <c r="D270">
        <v>863.01630434782999</v>
      </c>
      <c r="E270">
        <v>393.52445652173998</v>
      </c>
      <c r="F270">
        <v>147.60298102981</v>
      </c>
      <c r="G270">
        <v>121.78861788618001</v>
      </c>
      <c r="I270" s="9">
        <f t="shared" si="26"/>
        <v>271.73583863555996</v>
      </c>
      <c r="J270" s="9">
        <f t="shared" si="27"/>
        <v>715.41332331802005</v>
      </c>
      <c r="K270" s="9">
        <f t="shared" si="31"/>
        <v>271.73583863555996</v>
      </c>
      <c r="L270" s="10">
        <f t="shared" si="30"/>
        <v>0.37983055358163387</v>
      </c>
      <c r="M270" s="10">
        <f t="shared" si="28"/>
        <v>0.56225012140914277</v>
      </c>
      <c r="P270" s="8">
        <f t="shared" si="29"/>
        <v>16.826511472841041</v>
      </c>
    </row>
    <row r="271" spans="1:16" x14ac:dyDescent="0.2">
      <c r="A271" s="8">
        <v>134.5</v>
      </c>
      <c r="B271" s="8">
        <v>269</v>
      </c>
      <c r="D271">
        <v>869.40730717184999</v>
      </c>
      <c r="E271">
        <v>399.83761840325002</v>
      </c>
      <c r="F271">
        <v>147.58536585365999</v>
      </c>
      <c r="G271">
        <v>121.70867208672</v>
      </c>
      <c r="I271" s="9">
        <f t="shared" si="26"/>
        <v>278.12894631653</v>
      </c>
      <c r="J271" s="9">
        <f t="shared" si="27"/>
        <v>721.82194131819006</v>
      </c>
      <c r="K271" s="9">
        <f t="shared" si="31"/>
        <v>278.12894631653</v>
      </c>
      <c r="L271" s="10">
        <f t="shared" si="30"/>
        <v>0.38531517316945418</v>
      </c>
      <c r="M271" s="10">
        <f t="shared" si="28"/>
        <v>0.56841541102617021</v>
      </c>
      <c r="P271" s="8">
        <f t="shared" si="29"/>
        <v>18.107559267676312</v>
      </c>
    </row>
    <row r="272" spans="1:16" x14ac:dyDescent="0.2">
      <c r="A272" s="8">
        <v>135</v>
      </c>
      <c r="B272" s="8">
        <v>270</v>
      </c>
      <c r="D272">
        <v>860.42741935484003</v>
      </c>
      <c r="E272">
        <v>387.88306451612999</v>
      </c>
      <c r="F272">
        <v>146.94715447154999</v>
      </c>
      <c r="G272">
        <v>121.23035230351999</v>
      </c>
      <c r="I272" s="9">
        <f t="shared" si="26"/>
        <v>266.65271221261003</v>
      </c>
      <c r="J272" s="9">
        <f t="shared" si="27"/>
        <v>713.48026488329003</v>
      </c>
      <c r="K272" s="9">
        <f t="shared" si="31"/>
        <v>266.65271221261003</v>
      </c>
      <c r="L272" s="10">
        <f t="shared" si="30"/>
        <v>0.37373523184446966</v>
      </c>
      <c r="M272" s="10">
        <f t="shared" si="28"/>
        <v>0.55751613973039282</v>
      </c>
      <c r="P272" s="8">
        <f t="shared" si="29"/>
        <v>15.842866394172844</v>
      </c>
    </row>
    <row r="273" spans="1:16" x14ac:dyDescent="0.2">
      <c r="A273" s="8">
        <v>135.5</v>
      </c>
      <c r="B273" s="8">
        <v>271</v>
      </c>
      <c r="D273">
        <v>781.05405405404997</v>
      </c>
      <c r="E273">
        <v>394.95810810811003</v>
      </c>
      <c r="F273">
        <v>147.60298102981</v>
      </c>
      <c r="G273">
        <v>121.59620596206</v>
      </c>
      <c r="I273" s="9">
        <f t="shared" si="26"/>
        <v>273.36190214605006</v>
      </c>
      <c r="J273" s="9">
        <f t="shared" si="27"/>
        <v>633.45107302424003</v>
      </c>
      <c r="K273" s="9">
        <f t="shared" si="31"/>
        <v>273.36190214605006</v>
      </c>
      <c r="L273" s="10">
        <f t="shared" si="30"/>
        <v>0.43154382996141744</v>
      </c>
      <c r="M273" s="10">
        <f t="shared" si="28"/>
        <v>0.61600540787654778</v>
      </c>
      <c r="P273" s="8">
        <f t="shared" si="29"/>
        <v>27.995993438395367</v>
      </c>
    </row>
    <row r="274" spans="1:16" x14ac:dyDescent="0.2">
      <c r="A274" s="8">
        <v>136</v>
      </c>
      <c r="B274" s="8">
        <v>272</v>
      </c>
      <c r="D274">
        <v>761.65182186234995</v>
      </c>
      <c r="E274">
        <v>406.85020242914999</v>
      </c>
      <c r="F274">
        <v>146.57181571816</v>
      </c>
      <c r="G274">
        <v>121.13008130081001</v>
      </c>
      <c r="I274" s="9">
        <f t="shared" si="26"/>
        <v>285.72012112834</v>
      </c>
      <c r="J274" s="9">
        <f t="shared" si="27"/>
        <v>615.08000614418995</v>
      </c>
      <c r="K274" s="9">
        <f t="shared" si="31"/>
        <v>285.72012112834</v>
      </c>
      <c r="L274" s="10">
        <f t="shared" si="30"/>
        <v>0.4645251321359975</v>
      </c>
      <c r="M274" s="10">
        <f t="shared" si="28"/>
        <v>0.64966738008033498</v>
      </c>
      <c r="P274" s="8">
        <f t="shared" si="29"/>
        <v>34.990408614346009</v>
      </c>
    </row>
    <row r="275" spans="1:16" x14ac:dyDescent="0.2">
      <c r="A275" s="8">
        <v>136.5</v>
      </c>
      <c r="B275" s="8">
        <v>273</v>
      </c>
      <c r="D275">
        <v>731.66396761134001</v>
      </c>
      <c r="E275">
        <v>408.14035087718997</v>
      </c>
      <c r="F275">
        <v>147.62195121951001</v>
      </c>
      <c r="G275">
        <v>121.21002710027</v>
      </c>
      <c r="I275" s="9">
        <f>E275-G275</f>
        <v>286.93032377691998</v>
      </c>
      <c r="J275" s="9">
        <f>D275-F275</f>
        <v>584.04201639182997</v>
      </c>
      <c r="K275" s="9">
        <f t="shared" si="31"/>
        <v>286.93032377691998</v>
      </c>
      <c r="L275" s="10">
        <f t="shared" si="30"/>
        <v>0.49128370172672697</v>
      </c>
      <c r="M275" s="10">
        <f>L275+ABS($N$2)*A275</f>
        <v>0.67710661970027153</v>
      </c>
      <c r="O275" s="11"/>
      <c r="P275" s="8">
        <f>(M275-$O$2)/$O$2*100</f>
        <v>40.691840272965166</v>
      </c>
    </row>
    <row r="276" spans="1:16" x14ac:dyDescent="0.2">
      <c r="A276" s="8">
        <v>137</v>
      </c>
      <c r="B276" s="8">
        <v>274</v>
      </c>
      <c r="D276">
        <v>830.51956815115</v>
      </c>
      <c r="E276">
        <v>442.98110661268998</v>
      </c>
      <c r="F276">
        <v>148.06504065041</v>
      </c>
      <c r="G276">
        <v>121.88346883469001</v>
      </c>
      <c r="I276" s="9">
        <f t="shared" ref="I276:I291" si="32">E276-G276</f>
        <v>321.09763777799998</v>
      </c>
      <c r="J276" s="9">
        <f t="shared" ref="J276:J291" si="33">D276-F276</f>
        <v>682.45452750074003</v>
      </c>
      <c r="K276" s="9">
        <f t="shared" si="31"/>
        <v>321.09763777799998</v>
      </c>
      <c r="L276" s="10">
        <f t="shared" si="30"/>
        <v>0.47050407732499333</v>
      </c>
      <c r="M276" s="10">
        <f t="shared" ref="M276:M291" si="34">L276+ABS($N$2)*A276</f>
        <v>0.65700766532774502</v>
      </c>
      <c r="P276" s="8">
        <f t="shared" ref="P276:P291" si="35">(M276-$O$2)/$O$2*100</f>
        <v>36.515601559651664</v>
      </c>
    </row>
    <row r="277" spans="1:16" x14ac:dyDescent="0.2">
      <c r="A277" s="8">
        <v>137.5</v>
      </c>
      <c r="B277" s="8">
        <v>275</v>
      </c>
      <c r="D277">
        <v>838.75843454791004</v>
      </c>
      <c r="E277">
        <v>437.87989203779</v>
      </c>
      <c r="F277">
        <v>147.75609756098001</v>
      </c>
      <c r="G277">
        <v>121.17750677507</v>
      </c>
      <c r="I277" s="9">
        <f t="shared" si="32"/>
        <v>316.70238526271999</v>
      </c>
      <c r="J277" s="9">
        <f t="shared" si="33"/>
        <v>691.00233698693</v>
      </c>
      <c r="K277" s="9">
        <f t="shared" si="31"/>
        <v>316.70238526271999</v>
      </c>
      <c r="L277" s="10">
        <f t="shared" si="30"/>
        <v>0.45832317535086753</v>
      </c>
      <c r="M277" s="10">
        <f t="shared" si="34"/>
        <v>0.64550743338282635</v>
      </c>
      <c r="N277" s="1"/>
      <c r="P277" s="8">
        <f t="shared" si="35"/>
        <v>34.126038751045883</v>
      </c>
    </row>
    <row r="278" spans="1:16" x14ac:dyDescent="0.2">
      <c r="A278" s="8">
        <v>138</v>
      </c>
      <c r="B278" s="8">
        <v>276</v>
      </c>
      <c r="D278">
        <v>778.84885290148998</v>
      </c>
      <c r="E278">
        <v>425.34817813765</v>
      </c>
      <c r="F278">
        <v>146.63685636855999</v>
      </c>
      <c r="G278">
        <v>121.63685636856</v>
      </c>
      <c r="I278" s="9">
        <f t="shared" si="32"/>
        <v>303.71132176908998</v>
      </c>
      <c r="J278" s="9">
        <f t="shared" si="33"/>
        <v>632.21199653293002</v>
      </c>
      <c r="K278" s="9">
        <f t="shared" si="31"/>
        <v>303.71132176908998</v>
      </c>
      <c r="L278" s="10">
        <f t="shared" si="30"/>
        <v>0.48039474643735358</v>
      </c>
      <c r="M278" s="10">
        <f t="shared" si="34"/>
        <v>0.66825967449851953</v>
      </c>
      <c r="P278" s="8">
        <f t="shared" si="35"/>
        <v>38.853587677266802</v>
      </c>
    </row>
    <row r="279" spans="1:16" x14ac:dyDescent="0.2">
      <c r="A279" s="8">
        <v>138.5</v>
      </c>
      <c r="B279" s="8">
        <v>277</v>
      </c>
      <c r="D279">
        <v>785.98110661269004</v>
      </c>
      <c r="E279">
        <v>412.28475033737999</v>
      </c>
      <c r="F279">
        <v>147.17750677506999</v>
      </c>
      <c r="G279">
        <v>121.28455284553</v>
      </c>
      <c r="I279" s="9">
        <f t="shared" si="32"/>
        <v>291.00019749184997</v>
      </c>
      <c r="J279" s="9">
        <f t="shared" si="33"/>
        <v>638.80359983762003</v>
      </c>
      <c r="K279" s="9">
        <f t="shared" si="31"/>
        <v>291.00019749184997</v>
      </c>
      <c r="L279" s="10">
        <f t="shared" si="30"/>
        <v>0.45553938262999838</v>
      </c>
      <c r="M279" s="10">
        <f t="shared" si="34"/>
        <v>0.64408498072037146</v>
      </c>
      <c r="P279" s="8">
        <f t="shared" si="35"/>
        <v>33.830476018443235</v>
      </c>
    </row>
    <row r="280" spans="1:16" x14ac:dyDescent="0.2">
      <c r="A280" s="8">
        <v>139</v>
      </c>
      <c r="B280" s="8">
        <v>278</v>
      </c>
      <c r="D280">
        <v>781.94736842104999</v>
      </c>
      <c r="E280">
        <v>402.93522267206998</v>
      </c>
      <c r="F280">
        <v>147.91598915988999</v>
      </c>
      <c r="G280">
        <v>121.19512195122</v>
      </c>
      <c r="I280" s="9">
        <f t="shared" si="32"/>
        <v>281.74010072084997</v>
      </c>
      <c r="J280" s="9">
        <f t="shared" si="33"/>
        <v>634.03137926116005</v>
      </c>
      <c r="K280" s="9">
        <f t="shared" si="31"/>
        <v>281.74010072084997</v>
      </c>
      <c r="L280" s="10">
        <f t="shared" si="30"/>
        <v>0.44436302356069995</v>
      </c>
      <c r="M280" s="10">
        <f t="shared" si="34"/>
        <v>0.63358929168028011</v>
      </c>
      <c r="P280" s="8">
        <f t="shared" si="35"/>
        <v>31.649641031721494</v>
      </c>
    </row>
    <row r="281" spans="1:16" x14ac:dyDescent="0.2">
      <c r="A281" s="8">
        <v>139.5</v>
      </c>
      <c r="B281" s="8">
        <v>279</v>
      </c>
      <c r="D281">
        <v>803.21862348178001</v>
      </c>
      <c r="E281">
        <v>404.97570850201998</v>
      </c>
      <c r="F281">
        <v>146.70054200542</v>
      </c>
      <c r="G281">
        <v>121.20731707317</v>
      </c>
      <c r="I281" s="9">
        <f t="shared" si="32"/>
        <v>283.76839142885001</v>
      </c>
      <c r="J281" s="9">
        <f t="shared" si="33"/>
        <v>656.51808147636007</v>
      </c>
      <c r="K281" s="9">
        <f t="shared" si="31"/>
        <v>283.76839142885001</v>
      </c>
      <c r="L281" s="10">
        <f t="shared" si="30"/>
        <v>0.43223240826927317</v>
      </c>
      <c r="M281" s="10">
        <f t="shared" si="34"/>
        <v>0.62213934641806046</v>
      </c>
      <c r="P281" s="8">
        <f t="shared" si="35"/>
        <v>29.270526985133838</v>
      </c>
    </row>
    <row r="282" spans="1:16" x14ac:dyDescent="0.2">
      <c r="A282" s="8">
        <v>140</v>
      </c>
      <c r="B282" s="8">
        <v>280</v>
      </c>
      <c r="D282">
        <v>840.71255060729004</v>
      </c>
      <c r="E282">
        <v>394.08502024292</v>
      </c>
      <c r="F282">
        <v>147.16531165312</v>
      </c>
      <c r="G282">
        <v>121.18428184282</v>
      </c>
      <c r="I282" s="9">
        <f t="shared" si="32"/>
        <v>272.90073840010001</v>
      </c>
      <c r="J282" s="9">
        <f t="shared" si="33"/>
        <v>693.5472389541701</v>
      </c>
      <c r="K282" s="9">
        <f t="shared" si="31"/>
        <v>272.90073840010001</v>
      </c>
      <c r="L282" s="10">
        <f t="shared" si="30"/>
        <v>0.39348543700010807</v>
      </c>
      <c r="M282" s="10">
        <f t="shared" si="34"/>
        <v>0.58407304517810243</v>
      </c>
      <c r="P282" s="8">
        <f t="shared" si="35"/>
        <v>21.360963235475815</v>
      </c>
    </row>
    <row r="283" spans="1:16" x14ac:dyDescent="0.2">
      <c r="A283" s="8">
        <v>140.5</v>
      </c>
      <c r="B283" s="8">
        <v>281</v>
      </c>
      <c r="D283">
        <v>764.97435897436003</v>
      </c>
      <c r="E283">
        <v>369.75573549258002</v>
      </c>
      <c r="F283">
        <v>146.79674796748</v>
      </c>
      <c r="G283">
        <v>121.27100271003</v>
      </c>
      <c r="I283" s="9">
        <f t="shared" si="32"/>
        <v>248.48473278255</v>
      </c>
      <c r="J283" s="9">
        <f t="shared" si="33"/>
        <v>618.17761100688006</v>
      </c>
      <c r="K283" s="9">
        <f t="shared" si="31"/>
        <v>248.48473278255</v>
      </c>
      <c r="L283" s="10">
        <f t="shared" si="30"/>
        <v>0.40196333279980995</v>
      </c>
      <c r="M283" s="10">
        <f t="shared" si="34"/>
        <v>0.59323161100701149</v>
      </c>
      <c r="P283" s="8">
        <f t="shared" si="35"/>
        <v>23.263965574015486</v>
      </c>
    </row>
    <row r="284" spans="1:16" x14ac:dyDescent="0.2">
      <c r="A284" s="8">
        <v>141</v>
      </c>
      <c r="B284" s="8">
        <v>282</v>
      </c>
      <c r="D284">
        <v>785.65306122448999</v>
      </c>
      <c r="E284">
        <v>371.19727891156998</v>
      </c>
      <c r="F284">
        <v>146.22222222222001</v>
      </c>
      <c r="G284">
        <v>121.30216802168</v>
      </c>
      <c r="I284" s="9">
        <f t="shared" si="32"/>
        <v>249.89511088988996</v>
      </c>
      <c r="J284" s="9">
        <f t="shared" si="33"/>
        <v>639.43083900226998</v>
      </c>
      <c r="K284" s="9">
        <f t="shared" si="31"/>
        <v>249.89511088988996</v>
      </c>
      <c r="L284" s="10">
        <f t="shared" si="30"/>
        <v>0.39080866240328899</v>
      </c>
      <c r="M284" s="10">
        <f t="shared" si="34"/>
        <v>0.58275761063969767</v>
      </c>
      <c r="P284" s="8">
        <f t="shared" si="35"/>
        <v>21.087637143864558</v>
      </c>
    </row>
    <row r="285" spans="1:16" x14ac:dyDescent="0.2">
      <c r="A285" s="8">
        <v>141.5</v>
      </c>
      <c r="B285" s="8">
        <v>283</v>
      </c>
      <c r="D285">
        <v>808.82721088435005</v>
      </c>
      <c r="E285">
        <v>370.18367346938999</v>
      </c>
      <c r="F285">
        <v>147.14227642276001</v>
      </c>
      <c r="G285">
        <v>120.94444444443999</v>
      </c>
      <c r="I285" s="9">
        <f t="shared" si="32"/>
        <v>249.23922902494999</v>
      </c>
      <c r="J285" s="9">
        <f t="shared" si="33"/>
        <v>661.68493446159005</v>
      </c>
      <c r="K285" s="9">
        <f t="shared" si="31"/>
        <v>249.23922902494999</v>
      </c>
      <c r="L285" s="10">
        <f t="shared" si="30"/>
        <v>0.37667357384788397</v>
      </c>
      <c r="M285" s="10">
        <f t="shared" si="34"/>
        <v>0.56930319211349978</v>
      </c>
      <c r="P285" s="8">
        <f t="shared" si="35"/>
        <v>18.292025866143803</v>
      </c>
    </row>
    <row r="286" spans="1:16" x14ac:dyDescent="0.2">
      <c r="A286" s="8">
        <v>142</v>
      </c>
      <c r="B286" s="8">
        <v>284</v>
      </c>
      <c r="D286">
        <v>731.99319727890997</v>
      </c>
      <c r="E286">
        <v>343.56870748299002</v>
      </c>
      <c r="F286">
        <v>146.87669376694001</v>
      </c>
      <c r="G286">
        <v>121.13685636856</v>
      </c>
      <c r="I286" s="9">
        <f t="shared" si="32"/>
        <v>222.43185111443</v>
      </c>
      <c r="J286" s="9">
        <f t="shared" si="33"/>
        <v>585.11650351197</v>
      </c>
      <c r="K286" s="9">
        <f t="shared" si="31"/>
        <v>222.43185111443</v>
      </c>
      <c r="L286" s="10">
        <f t="shared" si="30"/>
        <v>0.38014967921662735</v>
      </c>
      <c r="M286" s="10">
        <f t="shared" si="34"/>
        <v>0.57345996751145023</v>
      </c>
      <c r="P286" s="8">
        <f t="shared" si="35"/>
        <v>19.155736784518691</v>
      </c>
    </row>
    <row r="287" spans="1:16" x14ac:dyDescent="0.2">
      <c r="A287" s="8">
        <v>142.5</v>
      </c>
      <c r="B287" s="8">
        <v>285</v>
      </c>
      <c r="D287">
        <v>746.59863945578002</v>
      </c>
      <c r="E287">
        <v>342.50340136054001</v>
      </c>
      <c r="F287">
        <v>147.0352303523</v>
      </c>
      <c r="G287">
        <v>121.38617886179</v>
      </c>
      <c r="I287" s="9">
        <f t="shared" si="32"/>
        <v>221.11722249875001</v>
      </c>
      <c r="J287" s="9">
        <f t="shared" si="33"/>
        <v>599.56340910348001</v>
      </c>
      <c r="K287" s="9">
        <f t="shared" si="31"/>
        <v>221.11722249875001</v>
      </c>
      <c r="L287" s="10">
        <f t="shared" si="30"/>
        <v>0.36879705989627343</v>
      </c>
      <c r="M287" s="10">
        <f t="shared" si="34"/>
        <v>0.56278801822030344</v>
      </c>
      <c r="P287" s="8">
        <f t="shared" si="35"/>
        <v>16.938277759031912</v>
      </c>
    </row>
    <row r="288" spans="1:16" x14ac:dyDescent="0.2">
      <c r="A288" s="8">
        <v>143</v>
      </c>
      <c r="B288" s="8">
        <v>286</v>
      </c>
      <c r="D288">
        <v>746.07482993197004</v>
      </c>
      <c r="E288">
        <v>341.15102040815998</v>
      </c>
      <c r="F288">
        <v>147.16666666667001</v>
      </c>
      <c r="G288">
        <v>121.22493224932001</v>
      </c>
      <c r="I288" s="9">
        <f t="shared" si="32"/>
        <v>219.92608815883997</v>
      </c>
      <c r="J288" s="9">
        <f t="shared" si="33"/>
        <v>598.9081632653</v>
      </c>
      <c r="K288" s="9">
        <f t="shared" si="31"/>
        <v>219.92608815883997</v>
      </c>
      <c r="L288" s="10">
        <f t="shared" si="30"/>
        <v>0.36721170564746286</v>
      </c>
      <c r="M288" s="10">
        <f t="shared" si="34"/>
        <v>0.56188333400070001</v>
      </c>
      <c r="P288" s="8">
        <f t="shared" si="35"/>
        <v>16.750298962164944</v>
      </c>
    </row>
    <row r="289" spans="1:16" x14ac:dyDescent="0.2">
      <c r="A289" s="8">
        <v>143.5</v>
      </c>
      <c r="B289" s="8">
        <v>287</v>
      </c>
      <c r="D289">
        <v>740.97959183674004</v>
      </c>
      <c r="E289">
        <v>336.13741496598999</v>
      </c>
      <c r="F289">
        <v>147.00406504065</v>
      </c>
      <c r="G289">
        <v>121.29945799458</v>
      </c>
      <c r="I289" s="9">
        <f t="shared" si="32"/>
        <v>214.83795697140999</v>
      </c>
      <c r="J289" s="9">
        <f t="shared" si="33"/>
        <v>593.97552679608998</v>
      </c>
      <c r="K289" s="9">
        <f t="shared" si="31"/>
        <v>214.83795697140999</v>
      </c>
      <c r="L289" s="10">
        <f t="shared" si="30"/>
        <v>0.36169496431990744</v>
      </c>
      <c r="M289" s="10">
        <f t="shared" si="34"/>
        <v>0.55704726270235172</v>
      </c>
      <c r="P289" s="8">
        <f t="shared" si="35"/>
        <v>15.745441306280449</v>
      </c>
    </row>
    <row r="290" spans="1:16" x14ac:dyDescent="0.2">
      <c r="A290" s="8">
        <v>144</v>
      </c>
      <c r="B290" s="8">
        <v>288</v>
      </c>
      <c r="D290">
        <v>730.02040816326996</v>
      </c>
      <c r="E290">
        <v>325.68299319727998</v>
      </c>
      <c r="F290">
        <v>147.07859078591</v>
      </c>
      <c r="G290">
        <v>121.67073170732</v>
      </c>
      <c r="I290" s="9">
        <f t="shared" si="32"/>
        <v>204.01226148996</v>
      </c>
      <c r="J290" s="9">
        <f t="shared" si="33"/>
        <v>582.94181737735994</v>
      </c>
      <c r="K290" s="9">
        <f t="shared" si="31"/>
        <v>204.01226148996</v>
      </c>
      <c r="L290" s="10">
        <f t="shared" si="30"/>
        <v>0.34997019498070298</v>
      </c>
      <c r="M290" s="10">
        <f t="shared" si="34"/>
        <v>0.54600316339235433</v>
      </c>
      <c r="P290" s="8">
        <f t="shared" si="35"/>
        <v>13.450655506122816</v>
      </c>
    </row>
    <row r="291" spans="1:16" x14ac:dyDescent="0.2">
      <c r="A291" s="8">
        <v>144.5</v>
      </c>
      <c r="B291" s="8">
        <v>289</v>
      </c>
      <c r="D291">
        <v>743.25442176871002</v>
      </c>
      <c r="E291">
        <v>325.35918367347</v>
      </c>
      <c r="F291">
        <v>146.92140921409</v>
      </c>
      <c r="G291">
        <v>121.16124661246999</v>
      </c>
      <c r="I291" s="9">
        <f t="shared" si="32"/>
        <v>204.197937061</v>
      </c>
      <c r="J291" s="9">
        <f t="shared" si="33"/>
        <v>596.33301255462004</v>
      </c>
      <c r="K291" s="9">
        <f t="shared" si="31"/>
        <v>204.197937061</v>
      </c>
      <c r="L291" s="10">
        <f t="shared" si="30"/>
        <v>0.34242266110044822</v>
      </c>
      <c r="M291" s="10">
        <f t="shared" si="34"/>
        <v>0.53913629954130671</v>
      </c>
      <c r="P291" s="8">
        <f t="shared" si="35"/>
        <v>12.023831895189209</v>
      </c>
    </row>
    <row r="292" spans="1:16" x14ac:dyDescent="0.2">
      <c r="A292" s="8">
        <v>145</v>
      </c>
      <c r="B292" s="8">
        <v>290</v>
      </c>
      <c r="D292">
        <v>693.87074829931998</v>
      </c>
      <c r="E292">
        <v>307.63537414965998</v>
      </c>
      <c r="F292">
        <v>146.76422764227999</v>
      </c>
      <c r="G292">
        <v>121.24661246613</v>
      </c>
      <c r="I292" s="9">
        <f>E292-G292</f>
        <v>186.38876168352999</v>
      </c>
      <c r="J292" s="9">
        <f>D292-F292</f>
        <v>547.10652065703994</v>
      </c>
      <c r="K292" s="9">
        <f t="shared" si="31"/>
        <v>186.38876168352999</v>
      </c>
      <c r="L292" s="10">
        <f t="shared" si="30"/>
        <v>0.34068093624563095</v>
      </c>
      <c r="M292" s="10">
        <f>L292+ABS($N$2)*A292</f>
        <v>0.53807524471569657</v>
      </c>
      <c r="O292" s="11"/>
      <c r="P292" s="8">
        <f>(M292-$O$2)/$O$2*100</f>
        <v>11.803361807167205</v>
      </c>
    </row>
    <row r="293" spans="1:16" x14ac:dyDescent="0.2">
      <c r="A293" s="8">
        <v>145.5</v>
      </c>
      <c r="B293" s="8">
        <v>291</v>
      </c>
      <c r="D293">
        <v>700.35918367347006</v>
      </c>
      <c r="E293">
        <v>302.80136054422002</v>
      </c>
      <c r="F293">
        <v>146.69783197832001</v>
      </c>
      <c r="G293">
        <v>121.04471544715</v>
      </c>
      <c r="I293" s="9">
        <f t="shared" ref="I293:I301" si="36">E293-G293</f>
        <v>181.75664509707002</v>
      </c>
      <c r="J293" s="9">
        <f t="shared" ref="J293:J301" si="37">D293-F293</f>
        <v>553.66135169515007</v>
      </c>
      <c r="K293" s="9">
        <f t="shared" si="31"/>
        <v>181.75664509707002</v>
      </c>
      <c r="L293" s="10">
        <f t="shared" si="30"/>
        <v>0.3282812581022389</v>
      </c>
      <c r="M293" s="10">
        <f t="shared" ref="M293:M301" si="38">L293+ABS($N$2)*A293</f>
        <v>0.52635623660151165</v>
      </c>
      <c r="P293" s="8">
        <f t="shared" ref="P293:P301" si="39">(M293-$O$2)/$O$2*100</f>
        <v>9.3683408373702584</v>
      </c>
    </row>
    <row r="294" spans="1:16" x14ac:dyDescent="0.2">
      <c r="A294" s="8">
        <v>146</v>
      </c>
      <c r="B294" s="8">
        <v>292</v>
      </c>
      <c r="D294">
        <v>695.44081632653001</v>
      </c>
      <c r="E294">
        <v>294.03945578230997</v>
      </c>
      <c r="F294">
        <v>147.09349593496</v>
      </c>
      <c r="G294">
        <v>121.09620596206</v>
      </c>
      <c r="I294" s="9">
        <f t="shared" si="36"/>
        <v>172.94324982024997</v>
      </c>
      <c r="J294" s="9">
        <f t="shared" si="37"/>
        <v>548.34732039157007</v>
      </c>
      <c r="K294" s="9">
        <f t="shared" si="31"/>
        <v>172.94324982024997</v>
      </c>
      <c r="L294" s="10">
        <f t="shared" si="30"/>
        <v>0.31538997892203191</v>
      </c>
      <c r="M294" s="10">
        <f t="shared" si="38"/>
        <v>0.51414562745051184</v>
      </c>
      <c r="N294" s="1"/>
      <c r="P294" s="8">
        <f t="shared" si="39"/>
        <v>6.8311730969802253</v>
      </c>
    </row>
    <row r="295" spans="1:16" x14ac:dyDescent="0.2">
      <c r="A295" s="8">
        <v>146.5</v>
      </c>
      <c r="B295" s="8">
        <v>293</v>
      </c>
      <c r="D295">
        <v>719.40384615385005</v>
      </c>
      <c r="E295">
        <v>295.75686813187002</v>
      </c>
      <c r="F295">
        <v>147.42005420053999</v>
      </c>
      <c r="G295">
        <v>120.83604336043</v>
      </c>
      <c r="I295" s="9">
        <f t="shared" si="36"/>
        <v>174.92082477144004</v>
      </c>
      <c r="J295" s="9">
        <f t="shared" si="37"/>
        <v>571.98379195331006</v>
      </c>
      <c r="K295" s="9">
        <f t="shared" si="31"/>
        <v>174.92082477144004</v>
      </c>
      <c r="L295" s="10">
        <f t="shared" si="30"/>
        <v>0.30581430318871428</v>
      </c>
      <c r="M295" s="10">
        <f t="shared" si="38"/>
        <v>0.50525062174640123</v>
      </c>
      <c r="P295" s="8">
        <f t="shared" si="39"/>
        <v>4.9829343036513185</v>
      </c>
    </row>
    <row r="296" spans="1:16" x14ac:dyDescent="0.2">
      <c r="A296" s="8">
        <v>147</v>
      </c>
      <c r="B296" s="8">
        <v>294</v>
      </c>
      <c r="D296">
        <v>694.43406593406996</v>
      </c>
      <c r="E296">
        <v>286.21703296702998</v>
      </c>
      <c r="F296">
        <v>147.11924119240999</v>
      </c>
      <c r="G296">
        <v>121.11111111111001</v>
      </c>
      <c r="I296" s="9">
        <f t="shared" si="36"/>
        <v>165.10592185591997</v>
      </c>
      <c r="J296" s="9">
        <f t="shared" si="37"/>
        <v>547.31482474166</v>
      </c>
      <c r="K296" s="9">
        <f t="shared" si="31"/>
        <v>165.10592185591997</v>
      </c>
      <c r="L296" s="10">
        <f t="shared" si="30"/>
        <v>0.30166535674207656</v>
      </c>
      <c r="M296" s="10">
        <f t="shared" si="38"/>
        <v>0.5017823453289707</v>
      </c>
      <c r="P296" s="8">
        <f t="shared" si="39"/>
        <v>4.2622823744771114</v>
      </c>
    </row>
    <row r="297" spans="1:16" x14ac:dyDescent="0.2">
      <c r="A297" s="8">
        <v>147.5</v>
      </c>
      <c r="B297" s="8">
        <v>295</v>
      </c>
      <c r="D297">
        <v>751.31039136302002</v>
      </c>
      <c r="E297">
        <v>301.57489878542998</v>
      </c>
      <c r="F297">
        <v>146.41192411924001</v>
      </c>
      <c r="G297">
        <v>121.54065040650001</v>
      </c>
      <c r="I297" s="9">
        <f t="shared" si="36"/>
        <v>180.03424837892999</v>
      </c>
      <c r="J297" s="9">
        <f t="shared" si="37"/>
        <v>604.89846724378003</v>
      </c>
      <c r="K297" s="9">
        <f t="shared" si="31"/>
        <v>180.03424837892999</v>
      </c>
      <c r="L297" s="10">
        <f t="shared" si="30"/>
        <v>0.29762721866242459</v>
      </c>
      <c r="M297" s="10">
        <f t="shared" si="38"/>
        <v>0.49842487727852586</v>
      </c>
      <c r="P297" s="8">
        <f t="shared" si="39"/>
        <v>3.5646546376756767</v>
      </c>
    </row>
    <row r="298" spans="1:16" x14ac:dyDescent="0.2">
      <c r="A298" s="8">
        <v>148</v>
      </c>
      <c r="B298" s="8">
        <v>296</v>
      </c>
      <c r="D298">
        <v>822.22857142857004</v>
      </c>
      <c r="E298">
        <v>310.97142857143001</v>
      </c>
      <c r="F298">
        <v>145.99186991869999</v>
      </c>
      <c r="G298">
        <v>120.74254742546999</v>
      </c>
      <c r="I298" s="9">
        <f t="shared" si="36"/>
        <v>190.22888114596003</v>
      </c>
      <c r="J298" s="9">
        <f t="shared" si="37"/>
        <v>676.23670150987004</v>
      </c>
      <c r="K298" s="9">
        <f t="shared" si="31"/>
        <v>190.22888114596003</v>
      </c>
      <c r="L298" s="10">
        <f t="shared" si="30"/>
        <v>0.28130517128281529</v>
      </c>
      <c r="M298" s="10">
        <f t="shared" si="38"/>
        <v>0.48278349992812364</v>
      </c>
      <c r="P298" s="8">
        <f t="shared" si="39"/>
        <v>0.31462857116625498</v>
      </c>
    </row>
    <row r="299" spans="1:16" x14ac:dyDescent="0.2">
      <c r="A299" s="8">
        <v>148.5</v>
      </c>
      <c r="B299" s="8">
        <v>297</v>
      </c>
      <c r="D299">
        <v>755.09659863946001</v>
      </c>
      <c r="E299">
        <v>291.24625850339999</v>
      </c>
      <c r="F299">
        <v>146.92818428184</v>
      </c>
      <c r="G299">
        <v>121.69783197832</v>
      </c>
      <c r="I299" s="9">
        <f t="shared" si="36"/>
        <v>169.54842652508</v>
      </c>
      <c r="J299" s="9">
        <f t="shared" si="37"/>
        <v>608.16841435762001</v>
      </c>
      <c r="K299" s="9">
        <f t="shared" si="31"/>
        <v>169.54842652508</v>
      </c>
      <c r="L299" s="10">
        <f t="shared" si="30"/>
        <v>0.27878532084598001</v>
      </c>
      <c r="M299" s="10">
        <f t="shared" si="38"/>
        <v>0.48094431952049554</v>
      </c>
      <c r="P299" s="8">
        <f t="shared" si="39"/>
        <v>-6.7523469021626481E-2</v>
      </c>
    </row>
    <row r="300" spans="1:16" x14ac:dyDescent="0.2">
      <c r="A300" s="8">
        <v>149</v>
      </c>
      <c r="B300" s="8">
        <v>298</v>
      </c>
      <c r="D300">
        <v>744.95348837208996</v>
      </c>
      <c r="E300">
        <v>290.39124487004</v>
      </c>
      <c r="F300">
        <v>146.9756097561</v>
      </c>
      <c r="G300">
        <v>121.13821138211</v>
      </c>
      <c r="I300" s="9">
        <f t="shared" si="36"/>
        <v>169.25303348793</v>
      </c>
      <c r="J300" s="9">
        <f t="shared" si="37"/>
        <v>597.97787861598999</v>
      </c>
      <c r="K300" s="9">
        <f t="shared" si="31"/>
        <v>169.25303348793</v>
      </c>
      <c r="L300" s="10">
        <f t="shared" si="30"/>
        <v>0.28304229895537836</v>
      </c>
      <c r="M300" s="10">
        <f t="shared" si="38"/>
        <v>0.48588196765910097</v>
      </c>
      <c r="P300" s="8">
        <f t="shared" si="39"/>
        <v>0.95844021679832359</v>
      </c>
    </row>
    <row r="301" spans="1:16" x14ac:dyDescent="0.2">
      <c r="A301" s="8">
        <v>149.5</v>
      </c>
      <c r="B301" s="8">
        <v>299</v>
      </c>
      <c r="D301">
        <v>716.89056087551</v>
      </c>
      <c r="E301">
        <v>291.01504787962</v>
      </c>
      <c r="F301">
        <v>145.85636856369001</v>
      </c>
      <c r="G301">
        <v>120.87669376693999</v>
      </c>
      <c r="I301" s="9">
        <f t="shared" si="36"/>
        <v>170.13835411268002</v>
      </c>
      <c r="J301" s="9">
        <f t="shared" si="37"/>
        <v>571.03419231181999</v>
      </c>
      <c r="K301" s="9">
        <f t="shared" si="31"/>
        <v>170.13835411268002</v>
      </c>
      <c r="L301" s="10">
        <f t="shared" si="30"/>
        <v>0.29794775234715531</v>
      </c>
      <c r="M301" s="10">
        <f t="shared" si="38"/>
        <v>0.50146809108008505</v>
      </c>
      <c r="P301" s="8">
        <f t="shared" si="39"/>
        <v>4.1969854074959105</v>
      </c>
    </row>
    <row r="302" spans="1:16" x14ac:dyDescent="0.2">
      <c r="A302" s="8">
        <v>150</v>
      </c>
      <c r="B302" s="8">
        <v>300</v>
      </c>
      <c r="D302">
        <v>784.54719562243997</v>
      </c>
      <c r="E302">
        <v>299.46101231189999</v>
      </c>
      <c r="F302">
        <v>146.37940379404</v>
      </c>
      <c r="G302">
        <v>120.89837398374</v>
      </c>
      <c r="I302" s="9">
        <f>E302-G302</f>
        <v>178.56263832816001</v>
      </c>
      <c r="J302" s="9">
        <f>D302-F302</f>
        <v>638.16779182839991</v>
      </c>
      <c r="K302" s="9">
        <f t="shared" si="31"/>
        <v>178.56263832816001</v>
      </c>
      <c r="L302" s="10">
        <f t="shared" si="30"/>
        <v>0.27980515565751801</v>
      </c>
      <c r="M302" s="10">
        <f>L302+ABS($N$2)*A302</f>
        <v>0.48400616441965488</v>
      </c>
      <c r="O302" s="11"/>
      <c r="P302" s="8">
        <f>(M302-$O$2)/$O$2*100</f>
        <v>0.56867854253721284</v>
      </c>
    </row>
    <row r="303" spans="1:16" x14ac:dyDescent="0.2">
      <c r="A303" s="8">
        <v>150.5</v>
      </c>
      <c r="B303" s="8">
        <v>301</v>
      </c>
      <c r="D303">
        <v>790.08618331053003</v>
      </c>
      <c r="E303">
        <v>294.31190150479</v>
      </c>
      <c r="F303">
        <v>146.31165311653001</v>
      </c>
      <c r="G303">
        <v>120.46612466125001</v>
      </c>
      <c r="I303" s="9">
        <f t="shared" ref="I303:I309" si="40">E303-G303</f>
        <v>173.84577684353999</v>
      </c>
      <c r="J303" s="9">
        <f t="shared" ref="J303:J309" si="41">D303-F303</f>
        <v>643.77453019400002</v>
      </c>
      <c r="K303" s="9">
        <f t="shared" si="31"/>
        <v>173.84577684353999</v>
      </c>
      <c r="L303" s="10">
        <f t="shared" si="30"/>
        <v>0.27004140221445538</v>
      </c>
      <c r="M303" s="10">
        <f t="shared" ref="M303:M309" si="42">L303+ABS($N$2)*A303</f>
        <v>0.47492308100579939</v>
      </c>
      <c r="P303" s="8">
        <f t="shared" ref="P303:P309" si="43">(M303-$O$2)/$O$2*100</f>
        <v>-1.3186397669689913</v>
      </c>
    </row>
    <row r="304" spans="1:16" x14ac:dyDescent="0.2">
      <c r="A304" s="8">
        <v>151</v>
      </c>
      <c r="B304" s="8">
        <v>302</v>
      </c>
      <c r="D304">
        <v>721.71956224350004</v>
      </c>
      <c r="E304">
        <v>282.79206566348</v>
      </c>
      <c r="F304">
        <v>146.44579945800001</v>
      </c>
      <c r="G304">
        <v>121.14905149051999</v>
      </c>
      <c r="I304" s="9">
        <f t="shared" si="40"/>
        <v>161.64301417296002</v>
      </c>
      <c r="J304" s="9">
        <f t="shared" si="41"/>
        <v>575.27376278550003</v>
      </c>
      <c r="K304" s="9">
        <f t="shared" si="31"/>
        <v>161.64301417296002</v>
      </c>
      <c r="L304" s="10">
        <f t="shared" si="30"/>
        <v>0.28098450621192539</v>
      </c>
      <c r="M304" s="10">
        <f t="shared" si="42"/>
        <v>0.48654685503247652</v>
      </c>
      <c r="N304" s="1"/>
      <c r="P304" s="8">
        <f t="shared" si="43"/>
        <v>1.0965930946654361</v>
      </c>
    </row>
    <row r="305" spans="1:16" x14ac:dyDescent="0.2">
      <c r="A305" s="8">
        <v>151.5</v>
      </c>
      <c r="B305" s="8">
        <v>303</v>
      </c>
      <c r="D305">
        <v>730.51436388509001</v>
      </c>
      <c r="E305">
        <v>284.61559507523998</v>
      </c>
      <c r="F305">
        <v>146.83739837397999</v>
      </c>
      <c r="G305">
        <v>121.02032520325</v>
      </c>
      <c r="I305" s="9">
        <f t="shared" si="40"/>
        <v>163.59526987198998</v>
      </c>
      <c r="J305" s="9">
        <f t="shared" si="41"/>
        <v>583.67696551110998</v>
      </c>
      <c r="K305" s="9">
        <f t="shared" si="31"/>
        <v>163.59526987198998</v>
      </c>
      <c r="L305" s="10">
        <f t="shared" si="30"/>
        <v>0.28028392336629915</v>
      </c>
      <c r="M305" s="10">
        <f t="shared" si="42"/>
        <v>0.48652694221605741</v>
      </c>
      <c r="P305" s="8">
        <f t="shared" si="43"/>
        <v>1.0924555324182046</v>
      </c>
    </row>
    <row r="306" spans="1:16" x14ac:dyDescent="0.2">
      <c r="A306" s="8">
        <v>152</v>
      </c>
      <c r="B306" s="8">
        <v>304</v>
      </c>
      <c r="D306">
        <v>671.71819425445005</v>
      </c>
      <c r="E306">
        <v>275.62517099862998</v>
      </c>
      <c r="F306">
        <v>147.02574525745001</v>
      </c>
      <c r="G306">
        <v>120.71138211381999</v>
      </c>
      <c r="I306" s="9">
        <f t="shared" si="40"/>
        <v>154.91378888481</v>
      </c>
      <c r="J306" s="9">
        <f t="shared" si="41"/>
        <v>524.69244899700004</v>
      </c>
      <c r="K306" s="9">
        <f t="shared" si="31"/>
        <v>154.91378888481</v>
      </c>
      <c r="L306" s="10">
        <f t="shared" si="30"/>
        <v>0.29524684256642642</v>
      </c>
      <c r="M306" s="10">
        <f t="shared" si="42"/>
        <v>0.50217053144539181</v>
      </c>
      <c r="P306" s="8">
        <f t="shared" si="43"/>
        <v>4.3429411917131278</v>
      </c>
    </row>
    <row r="307" spans="1:16" x14ac:dyDescent="0.2">
      <c r="A307" s="8">
        <v>152.5</v>
      </c>
      <c r="B307" s="8">
        <v>305</v>
      </c>
      <c r="D307">
        <v>777.59731543624002</v>
      </c>
      <c r="E307">
        <v>302.54765100671</v>
      </c>
      <c r="F307">
        <v>147.13414634146</v>
      </c>
      <c r="G307">
        <v>121.13279132791</v>
      </c>
      <c r="I307" s="9">
        <f t="shared" si="40"/>
        <v>181.41485967879998</v>
      </c>
      <c r="J307" s="9">
        <f t="shared" si="41"/>
        <v>630.46316909478003</v>
      </c>
      <c r="K307" s="9">
        <f t="shared" si="31"/>
        <v>181.41485967879998</v>
      </c>
      <c r="L307" s="10">
        <f t="shared" si="30"/>
        <v>0.28774854515177423</v>
      </c>
      <c r="M307" s="10">
        <f t="shared" si="42"/>
        <v>0.4953529040599467</v>
      </c>
      <c r="P307" s="8">
        <f t="shared" si="43"/>
        <v>2.9263481246150231</v>
      </c>
    </row>
    <row r="308" spans="1:16" x14ac:dyDescent="0.2">
      <c r="A308" s="8">
        <v>153</v>
      </c>
      <c r="B308" s="8">
        <v>306</v>
      </c>
      <c r="D308">
        <v>813.69664429529996</v>
      </c>
      <c r="E308">
        <v>300.53825503356001</v>
      </c>
      <c r="F308">
        <v>146.22764227642</v>
      </c>
      <c r="G308">
        <v>120.75338753388</v>
      </c>
      <c r="I308" s="9">
        <f t="shared" si="40"/>
        <v>179.78486749967999</v>
      </c>
      <c r="J308" s="9">
        <f t="shared" si="41"/>
        <v>667.46900201888002</v>
      </c>
      <c r="K308" s="9">
        <f t="shared" si="31"/>
        <v>179.78486749967999</v>
      </c>
      <c r="L308" s="10">
        <f t="shared" si="30"/>
        <v>0.26935313393713917</v>
      </c>
      <c r="M308" s="10">
        <f t="shared" si="42"/>
        <v>0.47763816287451877</v>
      </c>
      <c r="P308" s="8">
        <f t="shared" si="43"/>
        <v>-0.75448952314035622</v>
      </c>
    </row>
    <row r="309" spans="1:16" x14ac:dyDescent="0.2">
      <c r="A309" s="8">
        <v>153.5</v>
      </c>
      <c r="B309" s="8">
        <v>307</v>
      </c>
      <c r="D309">
        <v>812.90723055934996</v>
      </c>
      <c r="E309">
        <v>296.03547066849001</v>
      </c>
      <c r="F309">
        <v>145.94579945800001</v>
      </c>
      <c r="G309">
        <v>120.96883468835</v>
      </c>
      <c r="I309" s="9">
        <f t="shared" si="40"/>
        <v>175.06663598014001</v>
      </c>
      <c r="J309" s="9">
        <f t="shared" si="41"/>
        <v>666.96143110134994</v>
      </c>
      <c r="K309" s="9">
        <f t="shared" si="31"/>
        <v>175.06663598014001</v>
      </c>
      <c r="L309" s="10">
        <f t="shared" si="30"/>
        <v>0.26248389759367852</v>
      </c>
      <c r="M309" s="10">
        <f t="shared" si="42"/>
        <v>0.47144959656026525</v>
      </c>
      <c r="P309" s="8">
        <f t="shared" si="43"/>
        <v>-2.0403738404270859</v>
      </c>
    </row>
    <row r="310" spans="1:16" x14ac:dyDescent="0.2">
      <c r="A310" s="8">
        <v>154</v>
      </c>
      <c r="B310" s="8">
        <v>308</v>
      </c>
      <c r="D310">
        <v>834.01364256479997</v>
      </c>
      <c r="E310">
        <v>295.67939972714998</v>
      </c>
      <c r="F310">
        <v>146.15582655827001</v>
      </c>
      <c r="G310">
        <v>121.16260162602001</v>
      </c>
      <c r="I310" s="9">
        <f>E310-G310</f>
        <v>174.51679810112998</v>
      </c>
      <c r="J310" s="9">
        <f>D310-F310</f>
        <v>687.8578160065299</v>
      </c>
      <c r="K310" s="9">
        <f t="shared" si="31"/>
        <v>174.51679810112998</v>
      </c>
      <c r="L310" s="10">
        <f t="shared" si="30"/>
        <v>0.25371056930677266</v>
      </c>
      <c r="M310" s="10">
        <f>L310+ABS($N$2)*A310</f>
        <v>0.46335693830256652</v>
      </c>
      <c r="O310" s="11"/>
      <c r="P310" s="8">
        <f>(M310-$O$2)/$O$2*100</f>
        <v>-3.7218977686377457</v>
      </c>
    </row>
    <row r="311" spans="1:16" x14ac:dyDescent="0.2">
      <c r="A311" s="8">
        <v>154.5</v>
      </c>
      <c r="B311" s="8">
        <v>309</v>
      </c>
      <c r="D311">
        <v>799.49129852743999</v>
      </c>
      <c r="E311">
        <v>288.81659973225999</v>
      </c>
      <c r="F311">
        <v>146.71680216802</v>
      </c>
      <c r="G311">
        <v>121.58807588076</v>
      </c>
      <c r="I311" s="9">
        <f t="shared" ref="I311:I319" si="44">E311-G311</f>
        <v>167.22852385149997</v>
      </c>
      <c r="J311" s="9">
        <f t="shared" ref="J311:J319" si="45">D311-F311</f>
        <v>652.77449635942003</v>
      </c>
      <c r="K311" s="9">
        <f t="shared" si="31"/>
        <v>167.22852385149997</v>
      </c>
      <c r="L311" s="10">
        <f t="shared" si="30"/>
        <v>0.25618115411087283</v>
      </c>
      <c r="M311" s="10">
        <f t="shared" ref="M311:M319" si="46">L311+ABS($N$2)*A311</f>
        <v>0.46650819313587377</v>
      </c>
      <c r="P311" s="8">
        <f t="shared" ref="P311:P319" si="47">(M311-$O$2)/$O$2*100</f>
        <v>-3.067117814096274</v>
      </c>
    </row>
    <row r="312" spans="1:16" x14ac:dyDescent="0.2">
      <c r="A312" s="8">
        <v>155</v>
      </c>
      <c r="B312" s="8">
        <v>310</v>
      </c>
      <c r="D312">
        <v>728.82632293079996</v>
      </c>
      <c r="E312">
        <v>275.11261872455998</v>
      </c>
      <c r="F312">
        <v>146.70867208671999</v>
      </c>
      <c r="G312">
        <v>120.71138211381999</v>
      </c>
      <c r="I312" s="9">
        <f t="shared" si="44"/>
        <v>154.40123661074</v>
      </c>
      <c r="J312" s="9">
        <f t="shared" si="45"/>
        <v>582.11765084408</v>
      </c>
      <c r="K312" s="9">
        <f t="shared" si="31"/>
        <v>154.40123661074</v>
      </c>
      <c r="L312" s="10">
        <f t="shared" si="30"/>
        <v>0.26524060280057771</v>
      </c>
      <c r="M312" s="10">
        <f t="shared" si="46"/>
        <v>0.47624831185478578</v>
      </c>
      <c r="N312" s="1"/>
      <c r="P312" s="8">
        <f t="shared" si="47"/>
        <v>-1.0432781599403478</v>
      </c>
    </row>
    <row r="313" spans="1:16" x14ac:dyDescent="0.2">
      <c r="A313" s="8">
        <v>155.5</v>
      </c>
      <c r="B313" s="8">
        <v>311</v>
      </c>
      <c r="D313">
        <v>696.32700135685002</v>
      </c>
      <c r="E313">
        <v>271.55223880596998</v>
      </c>
      <c r="F313">
        <v>146.40514905149001</v>
      </c>
      <c r="G313">
        <v>120.9566395664</v>
      </c>
      <c r="I313" s="9">
        <f t="shared" si="44"/>
        <v>150.59559923956999</v>
      </c>
      <c r="J313" s="9">
        <f t="shared" si="45"/>
        <v>549.92185230536006</v>
      </c>
      <c r="K313" s="9">
        <f t="shared" si="31"/>
        <v>150.59559923956999</v>
      </c>
      <c r="L313" s="10">
        <f t="shared" si="30"/>
        <v>0.27384909075398484</v>
      </c>
      <c r="M313" s="10">
        <f t="shared" si="46"/>
        <v>0.48553746983740009</v>
      </c>
      <c r="P313" s="8">
        <f t="shared" si="47"/>
        <v>0.88685912292779168</v>
      </c>
    </row>
    <row r="314" spans="1:16" x14ac:dyDescent="0.2">
      <c r="A314" s="8">
        <v>156</v>
      </c>
      <c r="B314" s="8">
        <v>312</v>
      </c>
      <c r="D314">
        <v>717.27001356851997</v>
      </c>
      <c r="E314">
        <v>273.67299864314998</v>
      </c>
      <c r="F314">
        <v>146.22493224932001</v>
      </c>
      <c r="G314">
        <v>120.81300813007999</v>
      </c>
      <c r="I314" s="9">
        <f t="shared" si="44"/>
        <v>152.85999051306999</v>
      </c>
      <c r="J314" s="9">
        <f t="shared" si="45"/>
        <v>571.04508131919999</v>
      </c>
      <c r="K314" s="9">
        <f t="shared" si="31"/>
        <v>152.85999051306999</v>
      </c>
      <c r="L314" s="10">
        <f t="shared" si="30"/>
        <v>0.26768462861100289</v>
      </c>
      <c r="M314" s="10">
        <f t="shared" si="46"/>
        <v>0.48005367772362528</v>
      </c>
      <c r="P314" s="8">
        <f t="shared" si="47"/>
        <v>-0.25258447681559199</v>
      </c>
    </row>
    <row r="315" spans="1:16" x14ac:dyDescent="0.2">
      <c r="A315" s="8">
        <v>156.5</v>
      </c>
      <c r="B315" s="8">
        <v>313</v>
      </c>
      <c r="D315">
        <v>733.39077340569997</v>
      </c>
      <c r="E315">
        <v>275.51017639077003</v>
      </c>
      <c r="F315">
        <v>146.70867208671999</v>
      </c>
      <c r="G315">
        <v>121.24661246613</v>
      </c>
      <c r="I315" s="9">
        <f t="shared" si="44"/>
        <v>154.26356392464004</v>
      </c>
      <c r="J315" s="9">
        <f t="shared" si="45"/>
        <v>586.68210131898002</v>
      </c>
      <c r="K315" s="9">
        <f t="shared" si="31"/>
        <v>154.26356392464004</v>
      </c>
      <c r="L315" s="10">
        <f t="shared" si="30"/>
        <v>0.26294233892226188</v>
      </c>
      <c r="M315" s="10">
        <f t="shared" si="46"/>
        <v>0.47599205806409134</v>
      </c>
      <c r="P315" s="8">
        <f t="shared" si="47"/>
        <v>-1.0965235667060991</v>
      </c>
    </row>
    <row r="316" spans="1:16" x14ac:dyDescent="0.2">
      <c r="A316" s="8">
        <v>157</v>
      </c>
      <c r="B316" s="8">
        <v>314</v>
      </c>
      <c r="D316">
        <v>739.30257801899995</v>
      </c>
      <c r="E316">
        <v>277.30393487110001</v>
      </c>
      <c r="F316">
        <v>145.65176151762</v>
      </c>
      <c r="G316">
        <v>120.71680216802</v>
      </c>
      <c r="I316" s="9">
        <f t="shared" si="44"/>
        <v>156.58713270308002</v>
      </c>
      <c r="J316" s="9">
        <f t="shared" si="45"/>
        <v>593.65081650137995</v>
      </c>
      <c r="K316" s="9">
        <f t="shared" si="31"/>
        <v>156.58713270308002</v>
      </c>
      <c r="L316" s="10">
        <f t="shared" si="30"/>
        <v>0.26376975883889148</v>
      </c>
      <c r="M316" s="10">
        <f t="shared" si="46"/>
        <v>0.47750014800992807</v>
      </c>
      <c r="P316" s="8">
        <f t="shared" si="47"/>
        <v>-0.78316678713296739</v>
      </c>
    </row>
    <row r="317" spans="1:16" x14ac:dyDescent="0.2">
      <c r="A317" s="8">
        <v>157.5</v>
      </c>
      <c r="B317" s="8">
        <v>315</v>
      </c>
      <c r="D317">
        <v>761.51831750338999</v>
      </c>
      <c r="E317">
        <v>284.43283582089998</v>
      </c>
      <c r="F317">
        <v>146.22628726286999</v>
      </c>
      <c r="G317">
        <v>121.25745257453001</v>
      </c>
      <c r="I317" s="9">
        <f t="shared" si="44"/>
        <v>163.17538324636996</v>
      </c>
      <c r="J317" s="9">
        <f t="shared" si="45"/>
        <v>615.29203024052003</v>
      </c>
      <c r="K317" s="9">
        <f t="shared" si="31"/>
        <v>163.17538324636996</v>
      </c>
      <c r="L317" s="10">
        <f t="shared" si="30"/>
        <v>0.26519989732775195</v>
      </c>
      <c r="M317" s="10">
        <f t="shared" si="46"/>
        <v>0.47961095652799568</v>
      </c>
      <c r="P317" s="8">
        <f t="shared" si="47"/>
        <v>-0.34457480437810845</v>
      </c>
    </row>
    <row r="318" spans="1:16" x14ac:dyDescent="0.2">
      <c r="A318" s="8">
        <v>158</v>
      </c>
      <c r="B318" s="8">
        <v>316</v>
      </c>
      <c r="D318">
        <v>776.82089552238995</v>
      </c>
      <c r="E318">
        <v>282.69470827679999</v>
      </c>
      <c r="F318">
        <v>146.34823848239</v>
      </c>
      <c r="G318">
        <v>120.71680216802</v>
      </c>
      <c r="I318" s="9">
        <f t="shared" si="44"/>
        <v>161.97790610877999</v>
      </c>
      <c r="J318" s="9">
        <f t="shared" si="45"/>
        <v>630.47265703999994</v>
      </c>
      <c r="K318" s="9">
        <f t="shared" si="31"/>
        <v>161.97790610877999</v>
      </c>
      <c r="L318" s="10">
        <f t="shared" si="30"/>
        <v>0.25691503715521702</v>
      </c>
      <c r="M318" s="10">
        <f t="shared" si="46"/>
        <v>0.47200676638466788</v>
      </c>
      <c r="P318" s="8">
        <f t="shared" si="47"/>
        <v>-1.9246029327752447</v>
      </c>
    </row>
    <row r="319" spans="1:16" x14ac:dyDescent="0.2">
      <c r="A319" s="8">
        <v>158.5</v>
      </c>
      <c r="B319" s="8">
        <v>317</v>
      </c>
      <c r="D319">
        <v>741.14150943395998</v>
      </c>
      <c r="E319">
        <v>280.48247978437001</v>
      </c>
      <c r="F319">
        <v>146.02574525745001</v>
      </c>
      <c r="G319">
        <v>120.27235772358</v>
      </c>
      <c r="I319" s="9">
        <f t="shared" si="44"/>
        <v>160.21012206079001</v>
      </c>
      <c r="J319" s="9">
        <f t="shared" si="45"/>
        <v>595.11576417650997</v>
      </c>
      <c r="K319" s="9">
        <f t="shared" si="31"/>
        <v>160.21012206079001</v>
      </c>
      <c r="L319" s="10">
        <f t="shared" si="30"/>
        <v>0.2692083317310211</v>
      </c>
      <c r="M319" s="10">
        <f t="shared" si="46"/>
        <v>0.48498073098967909</v>
      </c>
      <c r="P319" s="8">
        <f t="shared" si="47"/>
        <v>0.77117776528282966</v>
      </c>
    </row>
    <row r="320" spans="1:16" x14ac:dyDescent="0.2">
      <c r="A320" s="8">
        <v>159</v>
      </c>
      <c r="B320" s="8">
        <v>318</v>
      </c>
      <c r="D320">
        <v>760.80405405404997</v>
      </c>
      <c r="E320">
        <v>284.25945945946</v>
      </c>
      <c r="F320">
        <v>146.21138211382001</v>
      </c>
      <c r="G320">
        <v>120.86585365854</v>
      </c>
      <c r="I320" s="9">
        <f>E320-G320</f>
        <v>163.39360580092</v>
      </c>
      <c r="J320" s="9">
        <f>D320-F320</f>
        <v>614.59267194022993</v>
      </c>
      <c r="K320" s="9">
        <f t="shared" si="31"/>
        <v>163.39360580092</v>
      </c>
      <c r="L320" s="10">
        <f t="shared" si="30"/>
        <v>0.26585674262124992</v>
      </c>
      <c r="M320" s="10">
        <f>L320+ABS($N$2)*A320</f>
        <v>0.48230981190911504</v>
      </c>
      <c r="O320" s="11"/>
      <c r="P320" s="8">
        <f>(M320-$O$2)/$O$2*100</f>
        <v>0.2162038369064187</v>
      </c>
    </row>
    <row r="321" spans="1:16" x14ac:dyDescent="0.2">
      <c r="A321" s="8">
        <v>159.5</v>
      </c>
      <c r="B321" s="8">
        <v>319</v>
      </c>
      <c r="D321">
        <v>800.57687074830005</v>
      </c>
      <c r="E321">
        <v>289.92380952381001</v>
      </c>
      <c r="F321">
        <v>146.22493224932001</v>
      </c>
      <c r="G321">
        <v>120.89159891599</v>
      </c>
      <c r="I321" s="9">
        <f t="shared" ref="I321:I322" si="48">E321-G321</f>
        <v>169.03221060781999</v>
      </c>
      <c r="J321" s="9">
        <f t="shared" ref="J321:J322" si="49">D321-F321</f>
        <v>654.35193849898008</v>
      </c>
      <c r="K321" s="9">
        <f t="shared" si="31"/>
        <v>169.03221060781999</v>
      </c>
      <c r="L321" s="10">
        <f t="shared" si="30"/>
        <v>0.25832002728617798</v>
      </c>
      <c r="M321" s="10">
        <f t="shared" ref="M321:M322" si="50">L321+ABS($N$2)*A321</f>
        <v>0.47545376660325023</v>
      </c>
      <c r="P321" s="8">
        <f t="shared" ref="P321:P322" si="51">(M321-$O$2)/$O$2*100</f>
        <v>-1.2083718547386142</v>
      </c>
    </row>
    <row r="322" spans="1:16" x14ac:dyDescent="0.2">
      <c r="A322" s="8">
        <v>160</v>
      </c>
      <c r="B322" s="8">
        <v>320</v>
      </c>
      <c r="D322">
        <v>775.99045020463996</v>
      </c>
      <c r="E322">
        <v>289.33151432468998</v>
      </c>
      <c r="F322">
        <v>145.76422764227999</v>
      </c>
      <c r="G322">
        <v>120.26829268293</v>
      </c>
      <c r="I322" s="9">
        <f t="shared" si="48"/>
        <v>169.06322164175998</v>
      </c>
      <c r="J322" s="9">
        <f t="shared" si="49"/>
        <v>630.22622256235991</v>
      </c>
      <c r="K322" s="9">
        <f t="shared" ref="K322" si="52">I322*1</f>
        <v>169.06322164175998</v>
      </c>
      <c r="L322" s="10">
        <f t="shared" ref="L322" si="53">K322/J322</f>
        <v>0.26825799306538922</v>
      </c>
      <c r="M322" s="10">
        <f t="shared" si="50"/>
        <v>0.48607240241166855</v>
      </c>
      <c r="P322" s="8">
        <f t="shared" si="51"/>
        <v>0.99800948847745696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F1" zoomScale="75" zoomScaleNormal="70" workbookViewId="0">
      <selection activeCell="E48" sqref="E48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1427.2309941521</v>
      </c>
      <c r="E2">
        <v>468.46101364522002</v>
      </c>
      <c r="F2">
        <v>125.83861386139</v>
      </c>
      <c r="G2">
        <v>110.43069306931</v>
      </c>
      <c r="H2" s="4"/>
      <c r="I2" s="5">
        <f>E2-G2</f>
        <v>358.03032057591003</v>
      </c>
      <c r="J2" s="5">
        <f>D2-F2</f>
        <v>1301.39238029071</v>
      </c>
      <c r="K2" s="9">
        <f>I2*1</f>
        <v>358.03032057591003</v>
      </c>
      <c r="L2" s="6">
        <f t="shared" ref="L2:L65" si="0">K2/J2</f>
        <v>0.27511327559481474</v>
      </c>
      <c r="M2" s="6">
        <f>L2+ABS($N$2)*A2</f>
        <v>0.27511327559481474</v>
      </c>
      <c r="N2" s="4">
        <f>LINEST(V64:V103,U64:U103)</f>
        <v>-1.9725141005080956E-3</v>
      </c>
      <c r="O2" s="7">
        <f>AVERAGE(M62:M81)</f>
        <v>0.51763195984002619</v>
      </c>
      <c r="P2" s="4">
        <f>(M2-$O$2)/$O$2*100</f>
        <v>-46.851566955054643</v>
      </c>
    </row>
    <row r="3" spans="1:16" x14ac:dyDescent="0.2">
      <c r="A3" s="8">
        <v>0.5</v>
      </c>
      <c r="B3" s="8">
        <v>1</v>
      </c>
      <c r="D3">
        <v>1444.3830409356999</v>
      </c>
      <c r="E3">
        <v>465.3820662768</v>
      </c>
      <c r="F3">
        <v>125.93267326733</v>
      </c>
      <c r="G3">
        <v>109.86336633662999</v>
      </c>
      <c r="I3" s="9">
        <f t="shared" ref="I3:I66" si="1">E3-G3</f>
        <v>355.51869994016999</v>
      </c>
      <c r="J3" s="9">
        <f t="shared" ref="J3:J66" si="2">D3-F3</f>
        <v>1318.4503676683698</v>
      </c>
      <c r="K3" s="9">
        <f t="shared" ref="K3:K66" si="3">I3*1</f>
        <v>355.51869994016999</v>
      </c>
      <c r="L3" s="10">
        <f t="shared" si="0"/>
        <v>0.26964890651810541</v>
      </c>
      <c r="M3" s="10">
        <f t="shared" ref="M3:M66" si="4">L3+ABS($N$2)*A3</f>
        <v>0.27063516356835948</v>
      </c>
      <c r="P3" s="8">
        <f t="shared" ref="P3:P66" si="5">(M3-$O$2)/$O$2*100</f>
        <v>-47.716682012447784</v>
      </c>
    </row>
    <row r="4" spans="1:16" ht="16" x14ac:dyDescent="0.2">
      <c r="A4" s="8">
        <v>1</v>
      </c>
      <c r="B4" s="8">
        <v>2</v>
      </c>
      <c r="D4">
        <v>1452.7807017544001</v>
      </c>
      <c r="E4">
        <v>461.90838206628001</v>
      </c>
      <c r="F4">
        <v>126.36138613861</v>
      </c>
      <c r="G4">
        <v>110.15247524753001</v>
      </c>
      <c r="I4" s="9">
        <f t="shared" si="1"/>
        <v>351.75590681875002</v>
      </c>
      <c r="J4" s="9">
        <f t="shared" si="2"/>
        <v>1326.4193156157901</v>
      </c>
      <c r="K4" s="9">
        <f t="shared" si="3"/>
        <v>351.75590681875002</v>
      </c>
      <c r="L4" s="10">
        <f t="shared" si="0"/>
        <v>0.26519208720618437</v>
      </c>
      <c r="M4" s="10">
        <f t="shared" si="4"/>
        <v>0.26716460130669245</v>
      </c>
      <c r="N4" s="1" t="s">
        <v>7</v>
      </c>
      <c r="P4" s="8">
        <f t="shared" si="5"/>
        <v>-48.38715109684118</v>
      </c>
    </row>
    <row r="5" spans="1:16" x14ac:dyDescent="0.2">
      <c r="A5" s="8">
        <v>1.5</v>
      </c>
      <c r="B5" s="8">
        <v>3</v>
      </c>
      <c r="D5">
        <v>1426.4873294347001</v>
      </c>
      <c r="E5">
        <v>453.68031189084002</v>
      </c>
      <c r="F5">
        <v>126.40297029703</v>
      </c>
      <c r="G5">
        <v>110.09207920791999</v>
      </c>
      <c r="I5" s="9">
        <f t="shared" si="1"/>
        <v>343.58823268292002</v>
      </c>
      <c r="J5" s="9">
        <f t="shared" si="2"/>
        <v>1300.0843591376702</v>
      </c>
      <c r="K5" s="9">
        <f t="shared" si="3"/>
        <v>343.58823268292002</v>
      </c>
      <c r="L5" s="10">
        <f t="shared" si="0"/>
        <v>0.26428149086480651</v>
      </c>
      <c r="M5" s="10">
        <f t="shared" si="4"/>
        <v>0.26724026201556866</v>
      </c>
      <c r="N5" s="8">
        <f>RSQ(V64:V83,U64:U83)</f>
        <v>0.41137570324511952</v>
      </c>
      <c r="P5" s="8">
        <f t="shared" si="5"/>
        <v>-48.372534397188481</v>
      </c>
    </row>
    <row r="6" spans="1:16" x14ac:dyDescent="0.2">
      <c r="A6" s="8">
        <v>2</v>
      </c>
      <c r="B6" s="8">
        <v>4</v>
      </c>
      <c r="D6">
        <v>1413.2553606238</v>
      </c>
      <c r="E6">
        <v>449.72904483431</v>
      </c>
      <c r="F6">
        <v>126.40099009901</v>
      </c>
      <c r="G6">
        <v>110.11089108911</v>
      </c>
      <c r="I6" s="9">
        <f t="shared" si="1"/>
        <v>339.6181537452</v>
      </c>
      <c r="J6" s="9">
        <f t="shared" si="2"/>
        <v>1286.8543705247901</v>
      </c>
      <c r="K6" s="9">
        <f t="shared" si="3"/>
        <v>339.6181537452</v>
      </c>
      <c r="L6" s="10">
        <f t="shared" si="0"/>
        <v>0.26391343226094871</v>
      </c>
      <c r="M6" s="10">
        <f t="shared" si="4"/>
        <v>0.26785846046196488</v>
      </c>
      <c r="P6" s="8">
        <f t="shared" si="5"/>
        <v>-48.253106213776611</v>
      </c>
    </row>
    <row r="7" spans="1:16" x14ac:dyDescent="0.2">
      <c r="A7" s="8">
        <v>2.5</v>
      </c>
      <c r="B7" s="8">
        <v>5</v>
      </c>
      <c r="D7">
        <v>1386.9522417154001</v>
      </c>
      <c r="E7">
        <v>445.85867446394002</v>
      </c>
      <c r="F7">
        <v>126.76138613861001</v>
      </c>
      <c r="G7">
        <v>110.33861386139</v>
      </c>
      <c r="I7" s="9">
        <f t="shared" si="1"/>
        <v>335.52006060255002</v>
      </c>
      <c r="J7" s="9">
        <f t="shared" si="2"/>
        <v>1260.19085557679</v>
      </c>
      <c r="K7" s="9">
        <f t="shared" si="3"/>
        <v>335.52006060255002</v>
      </c>
      <c r="L7" s="10">
        <f t="shared" si="0"/>
        <v>0.26624543347363233</v>
      </c>
      <c r="M7" s="10">
        <f t="shared" si="4"/>
        <v>0.27117671872490257</v>
      </c>
      <c r="P7" s="8">
        <f t="shared" si="5"/>
        <v>-47.612060351005077</v>
      </c>
    </row>
    <row r="8" spans="1:16" x14ac:dyDescent="0.2">
      <c r="A8" s="8">
        <v>3</v>
      </c>
      <c r="B8" s="8">
        <v>6</v>
      </c>
      <c r="D8">
        <v>1478.6432748538</v>
      </c>
      <c r="E8">
        <v>457.39571150097998</v>
      </c>
      <c r="F8">
        <v>126.89306930693</v>
      </c>
      <c r="G8">
        <v>110.08118811881</v>
      </c>
      <c r="I8" s="9">
        <f t="shared" si="1"/>
        <v>347.31452338216997</v>
      </c>
      <c r="J8" s="9">
        <f t="shared" si="2"/>
        <v>1351.7502055468699</v>
      </c>
      <c r="K8" s="9">
        <f t="shared" si="3"/>
        <v>347.31452338216997</v>
      </c>
      <c r="L8" s="10">
        <f t="shared" si="0"/>
        <v>0.2569369118325075</v>
      </c>
      <c r="M8" s="10">
        <f t="shared" si="4"/>
        <v>0.2628544541340318</v>
      </c>
      <c r="P8" s="8">
        <f t="shared" si="5"/>
        <v>-49.219817451907957</v>
      </c>
    </row>
    <row r="9" spans="1:16" x14ac:dyDescent="0.2">
      <c r="A9" s="8">
        <v>3.5</v>
      </c>
      <c r="B9" s="8">
        <v>7</v>
      </c>
      <c r="D9">
        <v>1455.9424951266999</v>
      </c>
      <c r="E9">
        <v>452.31481481482001</v>
      </c>
      <c r="F9">
        <v>127.1297029703</v>
      </c>
      <c r="G9">
        <v>110.41386138614</v>
      </c>
      <c r="I9" s="9">
        <f t="shared" si="1"/>
        <v>341.90095342868</v>
      </c>
      <c r="J9" s="9">
        <f t="shared" si="2"/>
        <v>1328.8127921563998</v>
      </c>
      <c r="K9" s="9">
        <f t="shared" si="3"/>
        <v>341.90095342868</v>
      </c>
      <c r="L9" s="10">
        <f t="shared" si="0"/>
        <v>0.25729805992749549</v>
      </c>
      <c r="M9" s="10">
        <f t="shared" si="4"/>
        <v>0.26420185927927381</v>
      </c>
      <c r="P9" s="8">
        <f t="shared" si="5"/>
        <v>-48.959515683512819</v>
      </c>
    </row>
    <row r="10" spans="1:16" x14ac:dyDescent="0.2">
      <c r="A10" s="8">
        <v>4</v>
      </c>
      <c r="B10" s="8">
        <v>8</v>
      </c>
      <c r="D10">
        <v>1298.5389863548</v>
      </c>
      <c r="E10">
        <v>432.93957115009999</v>
      </c>
      <c r="F10">
        <v>126.54950495049999</v>
      </c>
      <c r="G10">
        <v>110.60099009901</v>
      </c>
      <c r="I10" s="9">
        <f t="shared" si="1"/>
        <v>322.33858105108999</v>
      </c>
      <c r="J10" s="9">
        <f t="shared" si="2"/>
        <v>1171.9894814043</v>
      </c>
      <c r="K10" s="9">
        <f t="shared" si="3"/>
        <v>322.33858105108999</v>
      </c>
      <c r="L10" s="10">
        <f t="shared" si="0"/>
        <v>0.27503538740369732</v>
      </c>
      <c r="M10" s="10">
        <f t="shared" si="4"/>
        <v>0.2829254438057297</v>
      </c>
      <c r="P10" s="8">
        <f t="shared" si="5"/>
        <v>-45.342354074665785</v>
      </c>
    </row>
    <row r="11" spans="1:16" x14ac:dyDescent="0.2">
      <c r="A11" s="8">
        <v>4.5</v>
      </c>
      <c r="B11" s="8">
        <v>9</v>
      </c>
      <c r="D11">
        <v>1297.7309941521</v>
      </c>
      <c r="E11">
        <v>438.69688109162001</v>
      </c>
      <c r="F11">
        <v>126.90297029703</v>
      </c>
      <c r="G11">
        <v>110.50891089109</v>
      </c>
      <c r="I11" s="9">
        <f t="shared" si="1"/>
        <v>328.18797020053</v>
      </c>
      <c r="J11" s="9">
        <f t="shared" si="2"/>
        <v>1170.8280238550701</v>
      </c>
      <c r="K11" s="9">
        <f t="shared" si="3"/>
        <v>328.18797020053</v>
      </c>
      <c r="L11" s="10">
        <f t="shared" si="0"/>
        <v>0.28030416381727674</v>
      </c>
      <c r="M11" s="10">
        <f t="shared" si="4"/>
        <v>0.2891804772695632</v>
      </c>
      <c r="P11" s="8">
        <f t="shared" si="5"/>
        <v>-44.133960090305429</v>
      </c>
    </row>
    <row r="12" spans="1:16" x14ac:dyDescent="0.2">
      <c r="A12" s="8">
        <v>5</v>
      </c>
      <c r="B12" s="8">
        <v>10</v>
      </c>
      <c r="D12">
        <v>1596.152195122</v>
      </c>
      <c r="E12">
        <v>487.28585365854002</v>
      </c>
      <c r="F12">
        <v>126.76930693068999</v>
      </c>
      <c r="G12">
        <v>110.61584158415999</v>
      </c>
      <c r="I12" s="9">
        <f t="shared" si="1"/>
        <v>376.67001207438</v>
      </c>
      <c r="J12" s="9">
        <f t="shared" si="2"/>
        <v>1469.38288819131</v>
      </c>
      <c r="K12" s="9">
        <f t="shared" si="3"/>
        <v>376.67001207438</v>
      </c>
      <c r="L12" s="10">
        <f t="shared" si="0"/>
        <v>0.25634571839748993</v>
      </c>
      <c r="M12" s="10">
        <f t="shared" si="4"/>
        <v>0.2662082889000304</v>
      </c>
      <c r="P12" s="8">
        <f t="shared" si="5"/>
        <v>-48.571898655117451</v>
      </c>
    </row>
    <row r="13" spans="1:16" x14ac:dyDescent="0.2">
      <c r="A13" s="8">
        <v>5.5</v>
      </c>
      <c r="B13" s="8">
        <v>11</v>
      </c>
      <c r="D13">
        <v>1609.1082926828999</v>
      </c>
      <c r="E13">
        <v>480.86926829267998</v>
      </c>
      <c r="F13">
        <v>126.7801980198</v>
      </c>
      <c r="G13">
        <v>110.57326732673</v>
      </c>
      <c r="I13" s="9">
        <f t="shared" si="1"/>
        <v>370.29600096594999</v>
      </c>
      <c r="J13" s="9">
        <f t="shared" si="2"/>
        <v>1482.3280946630998</v>
      </c>
      <c r="K13" s="9">
        <f t="shared" si="3"/>
        <v>370.29600096594999</v>
      </c>
      <c r="L13" s="10">
        <f t="shared" si="0"/>
        <v>0.24980704494446623</v>
      </c>
      <c r="M13" s="10">
        <f t="shared" si="4"/>
        <v>0.26065587249726074</v>
      </c>
      <c r="P13" s="8">
        <f t="shared" si="5"/>
        <v>-49.644555838898299</v>
      </c>
    </row>
    <row r="14" spans="1:16" x14ac:dyDescent="0.2">
      <c r="A14" s="8">
        <v>6</v>
      </c>
      <c r="B14" s="8">
        <v>12</v>
      </c>
      <c r="D14">
        <v>1586.9092682927001</v>
      </c>
      <c r="E14">
        <v>473.17658536584997</v>
      </c>
      <c r="F14">
        <v>126.70693069307001</v>
      </c>
      <c r="G14">
        <v>110.79801980198</v>
      </c>
      <c r="I14" s="9">
        <f t="shared" si="1"/>
        <v>362.37856556386998</v>
      </c>
      <c r="J14" s="9">
        <f t="shared" si="2"/>
        <v>1460.20233759963</v>
      </c>
      <c r="K14" s="9">
        <f t="shared" si="3"/>
        <v>362.37856556386998</v>
      </c>
      <c r="L14" s="10">
        <f t="shared" si="0"/>
        <v>0.2481701037128663</v>
      </c>
      <c r="M14" s="10">
        <f t="shared" si="4"/>
        <v>0.26000518831591485</v>
      </c>
      <c r="P14" s="8">
        <f t="shared" si="5"/>
        <v>-49.770259858709402</v>
      </c>
    </row>
    <row r="15" spans="1:16" x14ac:dyDescent="0.2">
      <c r="A15" s="8">
        <v>6.5</v>
      </c>
      <c r="B15" s="8">
        <v>13</v>
      </c>
      <c r="D15">
        <v>1631.0939334638001</v>
      </c>
      <c r="E15">
        <v>497.53718199609</v>
      </c>
      <c r="F15">
        <v>126.92574257426</v>
      </c>
      <c r="G15">
        <v>110.49702970297</v>
      </c>
      <c r="I15" s="9">
        <f t="shared" si="1"/>
        <v>387.04015229312</v>
      </c>
      <c r="J15" s="9">
        <f t="shared" si="2"/>
        <v>1504.16819088954</v>
      </c>
      <c r="K15" s="9">
        <f t="shared" si="3"/>
        <v>387.04015229312</v>
      </c>
      <c r="L15" s="10">
        <f t="shared" si="0"/>
        <v>0.25731175186215771</v>
      </c>
      <c r="M15" s="10">
        <f t="shared" si="4"/>
        <v>0.27013309351546033</v>
      </c>
      <c r="P15" s="8">
        <f t="shared" si="5"/>
        <v>-47.813675647279439</v>
      </c>
    </row>
    <row r="16" spans="1:16" x14ac:dyDescent="0.2">
      <c r="A16" s="8">
        <v>7</v>
      </c>
      <c r="B16" s="8">
        <v>14</v>
      </c>
      <c r="D16">
        <v>1588.5689149560001</v>
      </c>
      <c r="E16">
        <v>496.91593352884001</v>
      </c>
      <c r="F16">
        <v>127.38613861386</v>
      </c>
      <c r="G16">
        <v>110.42376237624001</v>
      </c>
      <c r="I16" s="9">
        <f t="shared" si="1"/>
        <v>386.49217115260001</v>
      </c>
      <c r="J16" s="9">
        <f t="shared" si="2"/>
        <v>1461.1827763421402</v>
      </c>
      <c r="K16" s="9">
        <f t="shared" si="3"/>
        <v>386.49217115260001</v>
      </c>
      <c r="L16" s="10">
        <f t="shared" si="0"/>
        <v>0.26450638305505303</v>
      </c>
      <c r="M16" s="10">
        <f t="shared" si="4"/>
        <v>0.27831398175860972</v>
      </c>
      <c r="P16" s="8">
        <f t="shared" si="5"/>
        <v>-46.23323068293108</v>
      </c>
    </row>
    <row r="17" spans="1:16" x14ac:dyDescent="0.2">
      <c r="A17" s="8">
        <v>7.5</v>
      </c>
      <c r="B17" s="8">
        <v>15</v>
      </c>
      <c r="D17">
        <v>1588.173998045</v>
      </c>
      <c r="E17">
        <v>511.27956989247002</v>
      </c>
      <c r="F17">
        <v>127.68415841584</v>
      </c>
      <c r="G17">
        <v>110.86732673266999</v>
      </c>
      <c r="I17" s="9">
        <f t="shared" si="1"/>
        <v>400.41224315980003</v>
      </c>
      <c r="J17" s="9">
        <f t="shared" si="2"/>
        <v>1460.4898396291599</v>
      </c>
      <c r="K17" s="9">
        <f t="shared" si="3"/>
        <v>400.41224315980003</v>
      </c>
      <c r="L17" s="10">
        <f t="shared" si="0"/>
        <v>0.27416297758118652</v>
      </c>
      <c r="M17" s="10">
        <f t="shared" si="4"/>
        <v>0.28895683333499722</v>
      </c>
      <c r="P17" s="8">
        <f t="shared" si="5"/>
        <v>-44.177165292440769</v>
      </c>
    </row>
    <row r="18" spans="1:16" x14ac:dyDescent="0.2">
      <c r="A18" s="8">
        <v>8</v>
      </c>
      <c r="B18" s="8">
        <v>16</v>
      </c>
      <c r="D18">
        <v>1597.8934506354001</v>
      </c>
      <c r="E18">
        <v>518.51612903225998</v>
      </c>
      <c r="F18">
        <v>126.98910891089</v>
      </c>
      <c r="G18">
        <v>110.69900990099001</v>
      </c>
      <c r="I18" s="9">
        <f t="shared" si="1"/>
        <v>407.81711913126998</v>
      </c>
      <c r="J18" s="9">
        <f t="shared" si="2"/>
        <v>1470.90434172451</v>
      </c>
      <c r="K18" s="9">
        <f t="shared" si="3"/>
        <v>407.81711913126998</v>
      </c>
      <c r="L18" s="10">
        <f t="shared" si="0"/>
        <v>0.27725604416473415</v>
      </c>
      <c r="M18" s="10">
        <f t="shared" si="4"/>
        <v>0.29303615696879892</v>
      </c>
      <c r="P18" s="8">
        <f t="shared" si="5"/>
        <v>-43.389091148977442</v>
      </c>
    </row>
    <row r="19" spans="1:16" x14ac:dyDescent="0.2">
      <c r="A19" s="8">
        <v>8.5</v>
      </c>
      <c r="B19" s="8">
        <v>17</v>
      </c>
      <c r="D19">
        <v>1543.1260997067</v>
      </c>
      <c r="E19">
        <v>507.63929618767997</v>
      </c>
      <c r="F19">
        <v>126.86831683168</v>
      </c>
      <c r="G19">
        <v>110.51683168317</v>
      </c>
      <c r="I19" s="9">
        <f t="shared" si="1"/>
        <v>397.12246450450999</v>
      </c>
      <c r="J19" s="9">
        <f t="shared" si="2"/>
        <v>1416.25778287502</v>
      </c>
      <c r="K19" s="9">
        <f t="shared" si="3"/>
        <v>397.12246450450999</v>
      </c>
      <c r="L19" s="10">
        <f t="shared" si="0"/>
        <v>0.28040267054938733</v>
      </c>
      <c r="M19" s="10">
        <f t="shared" si="4"/>
        <v>0.29716904040370618</v>
      </c>
      <c r="P19" s="8">
        <f t="shared" si="5"/>
        <v>-42.590669923946336</v>
      </c>
    </row>
    <row r="20" spans="1:16" x14ac:dyDescent="0.2">
      <c r="A20" s="8">
        <v>9</v>
      </c>
      <c r="B20" s="8">
        <v>18</v>
      </c>
      <c r="D20">
        <v>1591.3284457478001</v>
      </c>
      <c r="E20">
        <v>532.12414467252995</v>
      </c>
      <c r="F20">
        <v>127.40495049505</v>
      </c>
      <c r="G20">
        <v>110.77524752475</v>
      </c>
      <c r="I20" s="9">
        <f t="shared" si="1"/>
        <v>421.34889714777995</v>
      </c>
      <c r="J20" s="9">
        <f t="shared" si="2"/>
        <v>1463.9234952527499</v>
      </c>
      <c r="K20" s="9">
        <f t="shared" si="3"/>
        <v>421.34889714777995</v>
      </c>
      <c r="L20" s="10">
        <f t="shared" si="0"/>
        <v>0.28782166452969798</v>
      </c>
      <c r="M20" s="10">
        <f t="shared" si="4"/>
        <v>0.30557429143427084</v>
      </c>
      <c r="P20" s="8">
        <f t="shared" si="5"/>
        <v>-40.96688088411149</v>
      </c>
    </row>
    <row r="21" spans="1:16" x14ac:dyDescent="0.2">
      <c r="A21" s="8">
        <v>9.5</v>
      </c>
      <c r="B21" s="8">
        <v>19</v>
      </c>
      <c r="D21">
        <v>1582.0312805474</v>
      </c>
      <c r="E21">
        <v>525.48778103616996</v>
      </c>
      <c r="F21">
        <v>127.82178217822</v>
      </c>
      <c r="G21">
        <v>111.25643564356</v>
      </c>
      <c r="I21" s="9">
        <f t="shared" si="1"/>
        <v>414.23134539260997</v>
      </c>
      <c r="J21" s="9">
        <f t="shared" si="2"/>
        <v>1454.20949836918</v>
      </c>
      <c r="K21" s="9">
        <f t="shared" si="3"/>
        <v>414.23134539260997</v>
      </c>
      <c r="L21" s="10">
        <f t="shared" si="0"/>
        <v>0.28484984168866234</v>
      </c>
      <c r="M21" s="10">
        <f t="shared" si="4"/>
        <v>0.30358872564348927</v>
      </c>
      <c r="P21" s="8">
        <f t="shared" si="5"/>
        <v>-41.350467282330641</v>
      </c>
    </row>
    <row r="22" spans="1:16" x14ac:dyDescent="0.2">
      <c r="A22" s="8">
        <v>10</v>
      </c>
      <c r="B22" s="8">
        <v>20</v>
      </c>
      <c r="D22">
        <v>1544.4887585532999</v>
      </c>
      <c r="E22">
        <v>521.12121212120996</v>
      </c>
      <c r="F22">
        <v>127.38019801980001</v>
      </c>
      <c r="G22">
        <v>110.83465346535</v>
      </c>
      <c r="I22" s="9">
        <f t="shared" si="1"/>
        <v>410.28655865585995</v>
      </c>
      <c r="J22" s="9">
        <f t="shared" si="2"/>
        <v>1417.1085605334999</v>
      </c>
      <c r="K22" s="9">
        <f t="shared" si="3"/>
        <v>410.28655865585995</v>
      </c>
      <c r="L22" s="10">
        <f t="shared" si="0"/>
        <v>0.28952373169025175</v>
      </c>
      <c r="M22" s="10">
        <f t="shared" si="4"/>
        <v>0.30924887269533269</v>
      </c>
      <c r="P22" s="8">
        <f t="shared" si="5"/>
        <v>-40.256997888827058</v>
      </c>
    </row>
    <row r="23" spans="1:16" x14ac:dyDescent="0.2">
      <c r="A23" s="8">
        <v>10.5</v>
      </c>
      <c r="B23" s="8">
        <v>21</v>
      </c>
      <c r="D23">
        <v>1617.4112512124</v>
      </c>
      <c r="E23">
        <v>551.98351115421997</v>
      </c>
      <c r="F23">
        <v>127.66237623761999</v>
      </c>
      <c r="G23">
        <v>110.75445544554999</v>
      </c>
      <c r="I23" s="9">
        <f t="shared" si="1"/>
        <v>441.22905570866999</v>
      </c>
      <c r="J23" s="9">
        <f t="shared" si="2"/>
        <v>1489.7488749747799</v>
      </c>
      <c r="K23" s="9">
        <f t="shared" si="3"/>
        <v>441.22905570866999</v>
      </c>
      <c r="L23" s="10">
        <f t="shared" si="0"/>
        <v>0.29617680074847486</v>
      </c>
      <c r="M23" s="10">
        <f t="shared" si="4"/>
        <v>0.31688819880380986</v>
      </c>
      <c r="P23" s="8">
        <f t="shared" si="5"/>
        <v>-38.781175934008409</v>
      </c>
    </row>
    <row r="24" spans="1:16" x14ac:dyDescent="0.2">
      <c r="A24" s="8">
        <v>11</v>
      </c>
      <c r="B24" s="8">
        <v>22</v>
      </c>
      <c r="D24">
        <v>1594.4878758487</v>
      </c>
      <c r="E24">
        <v>544.69156159068996</v>
      </c>
      <c r="F24">
        <v>128.06633663366</v>
      </c>
      <c r="G24">
        <v>110.62079207921001</v>
      </c>
      <c r="I24" s="9">
        <f t="shared" si="1"/>
        <v>434.07076951147997</v>
      </c>
      <c r="J24" s="9">
        <f t="shared" si="2"/>
        <v>1466.42153921504</v>
      </c>
      <c r="K24" s="9">
        <f t="shared" si="3"/>
        <v>434.07076951147997</v>
      </c>
      <c r="L24" s="10">
        <f t="shared" si="0"/>
        <v>0.29600681516437183</v>
      </c>
      <c r="M24" s="10">
        <f t="shared" si="4"/>
        <v>0.3177044702699609</v>
      </c>
      <c r="P24" s="8">
        <f t="shared" si="5"/>
        <v>-38.623482528368754</v>
      </c>
    </row>
    <row r="25" spans="1:16" x14ac:dyDescent="0.2">
      <c r="A25" s="8">
        <v>11.5</v>
      </c>
      <c r="B25" s="8">
        <v>23</v>
      </c>
      <c r="D25">
        <v>1595.4076620825001</v>
      </c>
      <c r="E25">
        <v>567.51277013752997</v>
      </c>
      <c r="F25">
        <v>127.62376237623999</v>
      </c>
      <c r="G25">
        <v>111.12079207921001</v>
      </c>
      <c r="I25" s="9">
        <f t="shared" si="1"/>
        <v>456.39197805831998</v>
      </c>
      <c r="J25" s="9">
        <f t="shared" si="2"/>
        <v>1467.7838997062602</v>
      </c>
      <c r="K25" s="9">
        <f t="shared" si="3"/>
        <v>456.39197805831998</v>
      </c>
      <c r="L25" s="10">
        <f t="shared" si="0"/>
        <v>0.31093949058145093</v>
      </c>
      <c r="M25" s="10">
        <f t="shared" si="4"/>
        <v>0.33362340273729402</v>
      </c>
      <c r="P25" s="8">
        <f t="shared" si="5"/>
        <v>-35.548144507846828</v>
      </c>
    </row>
    <row r="26" spans="1:16" x14ac:dyDescent="0.2">
      <c r="A26" s="8">
        <v>12</v>
      </c>
      <c r="B26" s="8">
        <v>24</v>
      </c>
      <c r="D26">
        <v>1625.2850194553</v>
      </c>
      <c r="E26">
        <v>574.91439688716002</v>
      </c>
      <c r="F26">
        <v>127.47029702970001</v>
      </c>
      <c r="G26">
        <v>111.28613861386</v>
      </c>
      <c r="I26" s="9">
        <f t="shared" si="1"/>
        <v>463.62825827330005</v>
      </c>
      <c r="J26" s="9">
        <f t="shared" si="2"/>
        <v>1497.8147224255999</v>
      </c>
      <c r="K26" s="9">
        <f t="shared" si="3"/>
        <v>463.62825827330005</v>
      </c>
      <c r="L26" s="10">
        <f t="shared" si="0"/>
        <v>0.30953645423012566</v>
      </c>
      <c r="M26" s="10">
        <f t="shared" si="4"/>
        <v>0.33320662343622282</v>
      </c>
      <c r="P26" s="8">
        <f t="shared" si="5"/>
        <v>-35.628661039554032</v>
      </c>
    </row>
    <row r="27" spans="1:16" x14ac:dyDescent="0.2">
      <c r="A27" s="8">
        <v>12.5</v>
      </c>
      <c r="B27" s="8">
        <v>25</v>
      </c>
      <c r="D27">
        <v>1607.9153696497999</v>
      </c>
      <c r="E27">
        <v>584.66439688716002</v>
      </c>
      <c r="F27">
        <v>127.69702970297</v>
      </c>
      <c r="G27">
        <v>111.09306930693</v>
      </c>
      <c r="I27" s="9">
        <f t="shared" si="1"/>
        <v>473.57132758022999</v>
      </c>
      <c r="J27" s="9">
        <f t="shared" si="2"/>
        <v>1480.2183399468299</v>
      </c>
      <c r="K27" s="9">
        <f t="shared" si="3"/>
        <v>473.57132758022999</v>
      </c>
      <c r="L27" s="10">
        <f t="shared" si="0"/>
        <v>0.3199334279274238</v>
      </c>
      <c r="M27" s="10">
        <f t="shared" si="4"/>
        <v>0.34458985418377497</v>
      </c>
      <c r="P27" s="8">
        <f t="shared" si="5"/>
        <v>-33.429563682607579</v>
      </c>
    </row>
    <row r="28" spans="1:16" x14ac:dyDescent="0.2">
      <c r="A28" s="8">
        <v>13</v>
      </c>
      <c r="B28" s="8">
        <v>26</v>
      </c>
      <c r="D28">
        <v>1624.8832684824999</v>
      </c>
      <c r="E28">
        <v>578.56322957197995</v>
      </c>
      <c r="F28">
        <v>128.19108910891001</v>
      </c>
      <c r="G28">
        <v>110.67524752475001</v>
      </c>
      <c r="I28" s="9">
        <f t="shared" si="1"/>
        <v>467.88798204722991</v>
      </c>
      <c r="J28" s="9">
        <f t="shared" si="2"/>
        <v>1496.6921793735899</v>
      </c>
      <c r="K28" s="9">
        <f t="shared" si="3"/>
        <v>467.88798204722991</v>
      </c>
      <c r="L28" s="10">
        <f t="shared" si="0"/>
        <v>0.31261470360796229</v>
      </c>
      <c r="M28" s="10">
        <f t="shared" si="4"/>
        <v>0.33825738691456753</v>
      </c>
      <c r="P28" s="8">
        <f t="shared" si="5"/>
        <v>-34.652916906617257</v>
      </c>
    </row>
    <row r="29" spans="1:16" x14ac:dyDescent="0.2">
      <c r="A29" s="8">
        <v>13.5</v>
      </c>
      <c r="B29" s="8">
        <v>27</v>
      </c>
      <c r="D29">
        <v>1634.1186770428001</v>
      </c>
      <c r="E29">
        <v>588.94747081712001</v>
      </c>
      <c r="F29">
        <v>127.77128712871</v>
      </c>
      <c r="G29">
        <v>111.2495049505</v>
      </c>
      <c r="I29" s="9">
        <f t="shared" si="1"/>
        <v>477.69796586662</v>
      </c>
      <c r="J29" s="9">
        <f t="shared" si="2"/>
        <v>1506.3473899140902</v>
      </c>
      <c r="K29" s="9">
        <f t="shared" si="3"/>
        <v>477.69796586662</v>
      </c>
      <c r="L29" s="10">
        <f t="shared" si="0"/>
        <v>0.31712337344300373</v>
      </c>
      <c r="M29" s="10">
        <f t="shared" si="4"/>
        <v>0.34375231379986304</v>
      </c>
      <c r="P29" s="8">
        <f t="shared" si="5"/>
        <v>-33.591365976301105</v>
      </c>
    </row>
    <row r="30" spans="1:16" x14ac:dyDescent="0.2">
      <c r="A30" s="8">
        <v>14</v>
      </c>
      <c r="B30" s="8">
        <v>28</v>
      </c>
      <c r="D30">
        <v>1710.8331716780001</v>
      </c>
      <c r="E30">
        <v>624.62463627546003</v>
      </c>
      <c r="F30">
        <v>128.45049504951001</v>
      </c>
      <c r="G30">
        <v>110.98217821782001</v>
      </c>
      <c r="I30" s="9">
        <f t="shared" si="1"/>
        <v>513.64245805764006</v>
      </c>
      <c r="J30" s="9">
        <f t="shared" si="2"/>
        <v>1582.3826766284901</v>
      </c>
      <c r="K30" s="9">
        <f t="shared" si="3"/>
        <v>513.64245805764006</v>
      </c>
      <c r="L30" s="10">
        <f t="shared" si="0"/>
        <v>0.32460065801025728</v>
      </c>
      <c r="M30" s="10">
        <f t="shared" si="4"/>
        <v>0.3522158554173706</v>
      </c>
      <c r="P30" s="8">
        <f t="shared" si="5"/>
        <v>-31.956315926431074</v>
      </c>
    </row>
    <row r="31" spans="1:16" x14ac:dyDescent="0.2">
      <c r="A31" s="8">
        <v>14.5</v>
      </c>
      <c r="B31" s="8">
        <v>29</v>
      </c>
      <c r="D31">
        <v>1704.4287099902999</v>
      </c>
      <c r="E31">
        <v>624.72938894277002</v>
      </c>
      <c r="F31">
        <v>128.16237623762001</v>
      </c>
      <c r="G31">
        <v>111.19801980198</v>
      </c>
      <c r="I31" s="9">
        <f t="shared" si="1"/>
        <v>513.53136914079005</v>
      </c>
      <c r="J31" s="9">
        <f t="shared" si="2"/>
        <v>1576.2663337526799</v>
      </c>
      <c r="K31" s="9">
        <f t="shared" si="3"/>
        <v>513.53136914079005</v>
      </c>
      <c r="L31" s="10">
        <f t="shared" si="0"/>
        <v>0.32578972102906334</v>
      </c>
      <c r="M31" s="10">
        <f t="shared" si="4"/>
        <v>0.35439117548643073</v>
      </c>
      <c r="P31" s="8">
        <f t="shared" si="5"/>
        <v>-31.536071382463497</v>
      </c>
    </row>
    <row r="32" spans="1:16" x14ac:dyDescent="0.2">
      <c r="A32" s="8">
        <v>15</v>
      </c>
      <c r="B32" s="8">
        <v>30</v>
      </c>
      <c r="D32">
        <v>1746.005842259</v>
      </c>
      <c r="E32">
        <v>650.22297955209001</v>
      </c>
      <c r="F32">
        <v>128.13861386139001</v>
      </c>
      <c r="G32">
        <v>110.99801980198001</v>
      </c>
      <c r="I32" s="9">
        <f t="shared" si="1"/>
        <v>539.22495975010997</v>
      </c>
      <c r="J32" s="9">
        <f t="shared" si="2"/>
        <v>1617.86722839761</v>
      </c>
      <c r="K32" s="9">
        <f t="shared" si="3"/>
        <v>539.22495975010997</v>
      </c>
      <c r="L32" s="10">
        <f t="shared" si="0"/>
        <v>0.33329370314532947</v>
      </c>
      <c r="M32" s="10">
        <f t="shared" si="4"/>
        <v>0.36288141465295087</v>
      </c>
      <c r="P32" s="8">
        <f t="shared" si="5"/>
        <v>-29.895863701093894</v>
      </c>
    </row>
    <row r="33" spans="1:16" x14ac:dyDescent="0.2">
      <c r="A33" s="8">
        <v>15.5</v>
      </c>
      <c r="B33" s="8">
        <v>31</v>
      </c>
      <c r="D33">
        <v>1656.2103213242999</v>
      </c>
      <c r="E33">
        <v>643.03602726387999</v>
      </c>
      <c r="F33">
        <v>128.03564356435999</v>
      </c>
      <c r="G33">
        <v>111.16633663365999</v>
      </c>
      <c r="I33" s="9">
        <f t="shared" si="1"/>
        <v>531.86969063022002</v>
      </c>
      <c r="J33" s="9">
        <f t="shared" si="2"/>
        <v>1528.1746777599399</v>
      </c>
      <c r="K33" s="9">
        <f t="shared" si="3"/>
        <v>531.86969063022002</v>
      </c>
      <c r="L33" s="10">
        <f t="shared" si="0"/>
        <v>0.34804247077948974</v>
      </c>
      <c r="M33" s="10">
        <f t="shared" si="4"/>
        <v>0.37861643933736522</v>
      </c>
      <c r="P33" s="8">
        <f t="shared" si="5"/>
        <v>-26.856054356771867</v>
      </c>
    </row>
    <row r="34" spans="1:16" x14ac:dyDescent="0.2">
      <c r="A34" s="8">
        <v>16</v>
      </c>
      <c r="B34" s="8">
        <v>32</v>
      </c>
      <c r="D34">
        <v>1630.9883040935999</v>
      </c>
      <c r="E34">
        <v>649.88011695906005</v>
      </c>
      <c r="F34">
        <v>128.24257425742999</v>
      </c>
      <c r="G34">
        <v>111.25841584158</v>
      </c>
      <c r="I34" s="9">
        <f t="shared" si="1"/>
        <v>538.62170111748003</v>
      </c>
      <c r="J34" s="9">
        <f t="shared" si="2"/>
        <v>1502.7457298361699</v>
      </c>
      <c r="K34" s="9">
        <f t="shared" si="3"/>
        <v>538.62170111748003</v>
      </c>
      <c r="L34" s="10">
        <f t="shared" si="0"/>
        <v>0.35842504185734791</v>
      </c>
      <c r="M34" s="10">
        <f t="shared" si="4"/>
        <v>0.38998526746547746</v>
      </c>
      <c r="P34" s="8">
        <f t="shared" si="5"/>
        <v>-24.659739405193964</v>
      </c>
    </row>
    <row r="35" spans="1:16" x14ac:dyDescent="0.2">
      <c r="A35" s="8">
        <v>16.5</v>
      </c>
      <c r="B35" s="8">
        <v>33</v>
      </c>
      <c r="D35">
        <v>1686.5250245339</v>
      </c>
      <c r="E35">
        <v>685.00785083414996</v>
      </c>
      <c r="F35">
        <v>128.26237623762</v>
      </c>
      <c r="G35">
        <v>110.99405940594001</v>
      </c>
      <c r="I35" s="9">
        <f t="shared" si="1"/>
        <v>574.01379142820997</v>
      </c>
      <c r="J35" s="9">
        <f t="shared" si="2"/>
        <v>1558.2626482962801</v>
      </c>
      <c r="K35" s="9">
        <f t="shared" si="3"/>
        <v>574.01379142820997</v>
      </c>
      <c r="L35" s="10">
        <f t="shared" si="0"/>
        <v>0.36836780503967387</v>
      </c>
      <c r="M35" s="10">
        <f t="shared" si="4"/>
        <v>0.40091428769805743</v>
      </c>
      <c r="P35" s="8">
        <f t="shared" si="5"/>
        <v>-22.54838982083724</v>
      </c>
    </row>
    <row r="36" spans="1:16" x14ac:dyDescent="0.2">
      <c r="A36" s="8">
        <v>17</v>
      </c>
      <c r="B36" s="8">
        <v>34</v>
      </c>
      <c r="D36">
        <v>1694.0736015702</v>
      </c>
      <c r="E36">
        <v>689.69185475956999</v>
      </c>
      <c r="F36">
        <v>127.93168316832001</v>
      </c>
      <c r="G36">
        <v>110.85742574257</v>
      </c>
      <c r="I36" s="9">
        <f t="shared" si="1"/>
        <v>578.83442901700005</v>
      </c>
      <c r="J36" s="9">
        <f t="shared" si="2"/>
        <v>1566.14191840188</v>
      </c>
      <c r="K36" s="9">
        <f t="shared" si="3"/>
        <v>578.83442901700005</v>
      </c>
      <c r="L36" s="10">
        <f t="shared" si="0"/>
        <v>0.36959257792400663</v>
      </c>
      <c r="M36" s="10">
        <f t="shared" si="4"/>
        <v>0.40312531763264425</v>
      </c>
      <c r="P36" s="8">
        <f t="shared" si="5"/>
        <v>-22.12124657889558</v>
      </c>
    </row>
    <row r="37" spans="1:16" x14ac:dyDescent="0.2">
      <c r="A37" s="8">
        <v>17.5</v>
      </c>
      <c r="B37" s="8">
        <v>35</v>
      </c>
      <c r="D37">
        <v>1650.985279686</v>
      </c>
      <c r="E37">
        <v>701.09519136408005</v>
      </c>
      <c r="F37">
        <v>128.17623762375999</v>
      </c>
      <c r="G37">
        <v>110.94257425743</v>
      </c>
      <c r="I37" s="9">
        <f t="shared" si="1"/>
        <v>590.15261710665004</v>
      </c>
      <c r="J37" s="9">
        <f t="shared" si="2"/>
        <v>1522.80904206224</v>
      </c>
      <c r="K37" s="9">
        <f t="shared" si="3"/>
        <v>590.15261710665004</v>
      </c>
      <c r="L37" s="10">
        <f t="shared" si="0"/>
        <v>0.38754210200081635</v>
      </c>
      <c r="M37" s="10">
        <f t="shared" si="4"/>
        <v>0.42206109875970804</v>
      </c>
      <c r="P37" s="8">
        <f t="shared" si="5"/>
        <v>-18.463091249206144</v>
      </c>
    </row>
    <row r="38" spans="1:16" x14ac:dyDescent="0.2">
      <c r="A38" s="8">
        <v>18</v>
      </c>
      <c r="B38" s="8">
        <v>36</v>
      </c>
      <c r="D38">
        <v>1641.2270058708</v>
      </c>
      <c r="E38">
        <v>714.67808219178005</v>
      </c>
      <c r="F38">
        <v>128.17722772277</v>
      </c>
      <c r="G38">
        <v>111.35346534654001</v>
      </c>
      <c r="I38" s="9">
        <f t="shared" si="1"/>
        <v>603.32461684524003</v>
      </c>
      <c r="J38" s="9">
        <f t="shared" si="2"/>
        <v>1513.0497781480299</v>
      </c>
      <c r="K38" s="9">
        <f t="shared" si="3"/>
        <v>603.32461684524003</v>
      </c>
      <c r="L38" s="10">
        <f t="shared" si="0"/>
        <v>0.39874736810292405</v>
      </c>
      <c r="M38" s="10">
        <f t="shared" si="4"/>
        <v>0.43425262191206976</v>
      </c>
      <c r="P38" s="8">
        <f t="shared" si="5"/>
        <v>-16.107841941159268</v>
      </c>
    </row>
    <row r="39" spans="1:16" x14ac:dyDescent="0.2">
      <c r="A39" s="8">
        <v>18.5</v>
      </c>
      <c r="B39" s="8">
        <v>37</v>
      </c>
      <c r="D39">
        <v>1619.7681017612999</v>
      </c>
      <c r="E39">
        <v>739.60958904109998</v>
      </c>
      <c r="F39">
        <v>128.01485148514999</v>
      </c>
      <c r="G39">
        <v>111.37227722772001</v>
      </c>
      <c r="I39" s="9">
        <f t="shared" si="1"/>
        <v>628.23731181337996</v>
      </c>
      <c r="J39" s="9">
        <f t="shared" si="2"/>
        <v>1491.7532502761499</v>
      </c>
      <c r="K39" s="9">
        <f t="shared" si="3"/>
        <v>628.23731181337996</v>
      </c>
      <c r="L39" s="10">
        <f t="shared" si="0"/>
        <v>0.42114023327724082</v>
      </c>
      <c r="M39" s="10">
        <f t="shared" si="4"/>
        <v>0.45763174413664059</v>
      </c>
      <c r="P39" s="8">
        <f t="shared" si="5"/>
        <v>-11.591288861284497</v>
      </c>
    </row>
    <row r="40" spans="1:16" x14ac:dyDescent="0.2">
      <c r="A40" s="8">
        <v>19</v>
      </c>
      <c r="B40" s="8">
        <v>38</v>
      </c>
      <c r="D40">
        <v>1641.9256360078</v>
      </c>
      <c r="E40">
        <v>758.24266144813998</v>
      </c>
      <c r="F40">
        <v>128.77623762376001</v>
      </c>
      <c r="G40">
        <v>111.21386138614</v>
      </c>
      <c r="I40" s="9">
        <f t="shared" si="1"/>
        <v>647.02880006199996</v>
      </c>
      <c r="J40" s="9">
        <f t="shared" si="2"/>
        <v>1513.1493983840401</v>
      </c>
      <c r="K40" s="9">
        <f t="shared" si="3"/>
        <v>647.02880006199996</v>
      </c>
      <c r="L40" s="10">
        <f t="shared" si="0"/>
        <v>0.42760404276867237</v>
      </c>
      <c r="M40" s="10">
        <f t="shared" si="4"/>
        <v>0.46508181067832621</v>
      </c>
      <c r="P40" s="8">
        <f t="shared" si="5"/>
        <v>-10.152029480162037</v>
      </c>
    </row>
    <row r="41" spans="1:16" x14ac:dyDescent="0.2">
      <c r="A41" s="8">
        <v>19.5</v>
      </c>
      <c r="B41" s="8">
        <v>39</v>
      </c>
      <c r="D41">
        <v>1647.240704501</v>
      </c>
      <c r="E41">
        <v>745.93542074363995</v>
      </c>
      <c r="F41">
        <v>128.13168316832</v>
      </c>
      <c r="G41">
        <v>111.15148514852</v>
      </c>
      <c r="I41" s="9">
        <f t="shared" si="1"/>
        <v>634.78393559511994</v>
      </c>
      <c r="J41" s="9">
        <f t="shared" si="2"/>
        <v>1519.10902133268</v>
      </c>
      <c r="K41" s="9">
        <f t="shared" si="3"/>
        <v>634.78393559511994</v>
      </c>
      <c r="L41" s="10">
        <f t="shared" si="0"/>
        <v>0.41786595081782768</v>
      </c>
      <c r="M41" s="10">
        <f t="shared" si="4"/>
        <v>0.45632997577773554</v>
      </c>
      <c r="P41" s="8">
        <f t="shared" si="5"/>
        <v>-11.842774175156414</v>
      </c>
    </row>
    <row r="42" spans="1:16" x14ac:dyDescent="0.2">
      <c r="A42" s="8">
        <v>20</v>
      </c>
      <c r="B42" s="8">
        <v>40</v>
      </c>
      <c r="D42">
        <v>1631.1506849315001</v>
      </c>
      <c r="E42">
        <v>769.50391389433003</v>
      </c>
      <c r="F42">
        <v>127.81881188119</v>
      </c>
      <c r="G42">
        <v>111.10099009901</v>
      </c>
      <c r="I42" s="9">
        <f t="shared" si="1"/>
        <v>658.40292379532002</v>
      </c>
      <c r="J42" s="9">
        <f t="shared" si="2"/>
        <v>1503.3318730503102</v>
      </c>
      <c r="K42" s="9">
        <f t="shared" si="3"/>
        <v>658.40292379532002</v>
      </c>
      <c r="L42" s="10">
        <f t="shared" si="0"/>
        <v>0.43796245898744812</v>
      </c>
      <c r="M42" s="10">
        <f t="shared" si="4"/>
        <v>0.47741274099761005</v>
      </c>
      <c r="P42" s="8">
        <f t="shared" si="5"/>
        <v>-7.769848456584068</v>
      </c>
    </row>
    <row r="43" spans="1:16" x14ac:dyDescent="0.2">
      <c r="A43" s="8">
        <v>20.5</v>
      </c>
      <c r="B43" s="8">
        <v>41</v>
      </c>
      <c r="D43">
        <v>1643.8796477495</v>
      </c>
      <c r="E43">
        <v>795.40019569471997</v>
      </c>
      <c r="F43">
        <v>128.25445544555001</v>
      </c>
      <c r="G43">
        <v>111.17227722772</v>
      </c>
      <c r="I43" s="9">
        <f t="shared" si="1"/>
        <v>684.22791846699999</v>
      </c>
      <c r="J43" s="9">
        <f t="shared" si="2"/>
        <v>1515.6251923039499</v>
      </c>
      <c r="K43" s="9">
        <f t="shared" si="3"/>
        <v>684.22791846699999</v>
      </c>
      <c r="L43" s="10">
        <f t="shared" si="0"/>
        <v>0.45144929098656866</v>
      </c>
      <c r="M43" s="10">
        <f t="shared" si="4"/>
        <v>0.49188583004698461</v>
      </c>
      <c r="P43" s="8">
        <f t="shared" si="5"/>
        <v>-4.9738292436576765</v>
      </c>
    </row>
    <row r="44" spans="1:16" x14ac:dyDescent="0.2">
      <c r="A44" s="8">
        <v>21</v>
      </c>
      <c r="B44" s="8">
        <v>42</v>
      </c>
      <c r="D44">
        <v>1655.3336594912</v>
      </c>
      <c r="E44">
        <v>800.24559686888006</v>
      </c>
      <c r="F44">
        <v>128.26138613860999</v>
      </c>
      <c r="G44">
        <v>111.14455445545001</v>
      </c>
      <c r="I44" s="9">
        <f t="shared" si="1"/>
        <v>689.10104241343004</v>
      </c>
      <c r="J44" s="9">
        <f t="shared" si="2"/>
        <v>1527.0722733525899</v>
      </c>
      <c r="K44" s="9">
        <f t="shared" si="3"/>
        <v>689.10104241343004</v>
      </c>
      <c r="L44" s="10">
        <f t="shared" si="0"/>
        <v>0.45125633831367562</v>
      </c>
      <c r="M44" s="10">
        <f t="shared" si="4"/>
        <v>0.49267913442434563</v>
      </c>
      <c r="P44" s="8">
        <f t="shared" si="5"/>
        <v>-4.8205727914080523</v>
      </c>
    </row>
    <row r="45" spans="1:16" x14ac:dyDescent="0.2">
      <c r="A45" s="8">
        <v>21.5</v>
      </c>
      <c r="B45" s="8">
        <v>43</v>
      </c>
      <c r="D45">
        <v>1678.9384164223</v>
      </c>
      <c r="E45">
        <v>837.23851417399999</v>
      </c>
      <c r="F45">
        <v>128.19108910891001</v>
      </c>
      <c r="G45">
        <v>111.34455445544999</v>
      </c>
      <c r="I45" s="9">
        <f t="shared" si="1"/>
        <v>725.89395971855004</v>
      </c>
      <c r="J45" s="9">
        <f t="shared" si="2"/>
        <v>1550.7473273133899</v>
      </c>
      <c r="K45" s="9">
        <f t="shared" si="3"/>
        <v>725.89395971855004</v>
      </c>
      <c r="L45" s="10">
        <f t="shared" si="0"/>
        <v>0.46809299421855743</v>
      </c>
      <c r="M45" s="10">
        <f t="shared" si="4"/>
        <v>0.51050204737948146</v>
      </c>
      <c r="P45" s="8">
        <f t="shared" si="5"/>
        <v>-1.3774096295654201</v>
      </c>
    </row>
    <row r="46" spans="1:16" x14ac:dyDescent="0.2">
      <c r="A46" s="8">
        <v>22</v>
      </c>
      <c r="B46" s="8">
        <v>44</v>
      </c>
      <c r="D46">
        <v>1645.9921568627999</v>
      </c>
      <c r="E46">
        <v>814.39215686274997</v>
      </c>
      <c r="F46">
        <v>127.67128712871001</v>
      </c>
      <c r="G46">
        <v>110.96732673267</v>
      </c>
      <c r="I46" s="9">
        <f t="shared" si="1"/>
        <v>703.42483013007995</v>
      </c>
      <c r="J46" s="9">
        <f t="shared" si="2"/>
        <v>1518.3208697340899</v>
      </c>
      <c r="K46" s="9">
        <f t="shared" si="3"/>
        <v>703.42483013007995</v>
      </c>
      <c r="L46" s="10">
        <f t="shared" si="0"/>
        <v>0.46329128720549945</v>
      </c>
      <c r="M46" s="10">
        <f t="shared" si="4"/>
        <v>0.50668659741667754</v>
      </c>
      <c r="P46" s="8">
        <f t="shared" si="5"/>
        <v>-2.1145066905705177</v>
      </c>
    </row>
    <row r="47" spans="1:16" x14ac:dyDescent="0.2">
      <c r="A47" s="8">
        <v>22.5</v>
      </c>
      <c r="B47" s="8">
        <v>45</v>
      </c>
      <c r="D47">
        <v>1639.4676470587999</v>
      </c>
      <c r="E47">
        <v>837.08725490196002</v>
      </c>
      <c r="F47">
        <v>128.39603960395999</v>
      </c>
      <c r="G47">
        <v>111.2297029703</v>
      </c>
      <c r="I47" s="9">
        <f t="shared" si="1"/>
        <v>725.85755193166005</v>
      </c>
      <c r="J47" s="9">
        <f t="shared" si="2"/>
        <v>1511.07160745484</v>
      </c>
      <c r="K47" s="9">
        <f t="shared" si="3"/>
        <v>725.85755193166005</v>
      </c>
      <c r="L47" s="10">
        <f t="shared" si="0"/>
        <v>0.48035946698399806</v>
      </c>
      <c r="M47" s="10">
        <f t="shared" si="4"/>
        <v>0.52474103424543017</v>
      </c>
      <c r="P47" s="8">
        <f t="shared" si="5"/>
        <v>1.3733839787637989</v>
      </c>
    </row>
    <row r="48" spans="1:16" x14ac:dyDescent="0.2">
      <c r="A48" s="8">
        <v>23</v>
      </c>
      <c r="B48" s="8">
        <v>46</v>
      </c>
      <c r="D48">
        <v>1667.8450980391999</v>
      </c>
      <c r="E48">
        <v>841.00980392156998</v>
      </c>
      <c r="F48">
        <v>127.79306930692999</v>
      </c>
      <c r="G48">
        <v>110.84059405940999</v>
      </c>
      <c r="I48" s="9">
        <f t="shared" si="1"/>
        <v>730.16920986215996</v>
      </c>
      <c r="J48" s="9">
        <f t="shared" si="2"/>
        <v>1540.0520287322699</v>
      </c>
      <c r="K48" s="9">
        <f t="shared" si="3"/>
        <v>730.16920986215996</v>
      </c>
      <c r="L48" s="10">
        <f t="shared" si="0"/>
        <v>0.47411983247294309</v>
      </c>
      <c r="M48" s="10">
        <f t="shared" si="4"/>
        <v>0.51948765678462927</v>
      </c>
      <c r="P48" s="8">
        <f t="shared" si="5"/>
        <v>0.35849736658002762</v>
      </c>
    </row>
    <row r="49" spans="1:25" x14ac:dyDescent="0.2">
      <c r="A49" s="8">
        <v>23.5</v>
      </c>
      <c r="B49" s="8">
        <v>47</v>
      </c>
      <c r="D49">
        <v>1628.3519607843</v>
      </c>
      <c r="E49">
        <v>822.17352941177001</v>
      </c>
      <c r="F49">
        <v>127.81485148515</v>
      </c>
      <c r="G49">
        <v>111.28811881188</v>
      </c>
      <c r="I49" s="9">
        <f t="shared" si="1"/>
        <v>710.88541059989006</v>
      </c>
      <c r="J49" s="9">
        <f t="shared" si="2"/>
        <v>1500.53710929915</v>
      </c>
      <c r="K49" s="9">
        <f t="shared" si="3"/>
        <v>710.88541059989006</v>
      </c>
      <c r="L49" s="10">
        <f t="shared" si="0"/>
        <v>0.47375396862522151</v>
      </c>
      <c r="M49" s="10">
        <f t="shared" si="4"/>
        <v>0.52010804998716176</v>
      </c>
      <c r="P49" s="8">
        <f t="shared" si="5"/>
        <v>0.4783495493401918</v>
      </c>
    </row>
    <row r="50" spans="1:25" x14ac:dyDescent="0.2">
      <c r="A50" s="8">
        <v>24</v>
      </c>
      <c r="B50" s="8">
        <v>48</v>
      </c>
      <c r="D50">
        <v>1600.6931372549</v>
      </c>
      <c r="E50">
        <v>785.90294117646999</v>
      </c>
      <c r="F50">
        <v>127.91188118812001</v>
      </c>
      <c r="G50">
        <v>110.79801980198</v>
      </c>
      <c r="I50" s="9">
        <f t="shared" si="1"/>
        <v>675.10492137449</v>
      </c>
      <c r="J50" s="9">
        <f t="shared" si="2"/>
        <v>1472.7812560667799</v>
      </c>
      <c r="K50" s="9">
        <f t="shared" si="3"/>
        <v>675.10492137449</v>
      </c>
      <c r="L50" s="10">
        <f t="shared" si="0"/>
        <v>0.45838777387582325</v>
      </c>
      <c r="M50" s="10">
        <f t="shared" si="4"/>
        <v>0.50572811228801751</v>
      </c>
      <c r="P50" s="8">
        <f t="shared" si="5"/>
        <v>-2.2996739914760211</v>
      </c>
    </row>
    <row r="51" spans="1:25" x14ac:dyDescent="0.2">
      <c r="A51" s="8">
        <v>24.5</v>
      </c>
      <c r="B51" s="8">
        <v>49</v>
      </c>
      <c r="D51">
        <v>1636.3395121951</v>
      </c>
      <c r="E51">
        <v>786.15609756098002</v>
      </c>
      <c r="F51">
        <v>128.7198019802</v>
      </c>
      <c r="G51">
        <v>111.28613861386</v>
      </c>
      <c r="I51" s="9">
        <f t="shared" si="1"/>
        <v>674.86995894712004</v>
      </c>
      <c r="J51" s="9">
        <f t="shared" si="2"/>
        <v>1507.6197102149001</v>
      </c>
      <c r="K51" s="9">
        <f t="shared" si="3"/>
        <v>674.86995894712004</v>
      </c>
      <c r="L51" s="10">
        <f t="shared" si="0"/>
        <v>0.44763938437162132</v>
      </c>
      <c r="M51" s="10">
        <f t="shared" si="4"/>
        <v>0.49596597983406965</v>
      </c>
      <c r="P51" s="8">
        <f t="shared" si="5"/>
        <v>-4.1855954977456182</v>
      </c>
    </row>
    <row r="52" spans="1:25" x14ac:dyDescent="0.2">
      <c r="A52" s="8">
        <v>25</v>
      </c>
      <c r="B52" s="8">
        <v>50</v>
      </c>
      <c r="D52">
        <v>1604.6087804878</v>
      </c>
      <c r="E52">
        <v>749.12878048780999</v>
      </c>
      <c r="F52">
        <v>128.21782178218001</v>
      </c>
      <c r="G52">
        <v>110.8900990099</v>
      </c>
      <c r="I52" s="9">
        <f t="shared" si="1"/>
        <v>638.23868147790995</v>
      </c>
      <c r="J52" s="9">
        <f t="shared" si="2"/>
        <v>1476.3909587056201</v>
      </c>
      <c r="K52" s="9">
        <f t="shared" si="3"/>
        <v>638.23868147790995</v>
      </c>
      <c r="L52" s="10">
        <f t="shared" si="0"/>
        <v>0.43229652533057089</v>
      </c>
      <c r="M52" s="10">
        <f t="shared" si="4"/>
        <v>0.48160937784327329</v>
      </c>
      <c r="P52" s="8">
        <f t="shared" si="5"/>
        <v>-6.9591108724982238</v>
      </c>
    </row>
    <row r="53" spans="1:25" x14ac:dyDescent="0.2">
      <c r="A53" s="8">
        <v>25.5</v>
      </c>
      <c r="B53" s="8">
        <v>51</v>
      </c>
      <c r="D53">
        <v>1605.0263414634001</v>
      </c>
      <c r="E53">
        <v>737.29951219511997</v>
      </c>
      <c r="F53">
        <v>128.55544554455</v>
      </c>
      <c r="G53">
        <v>110.91782178218</v>
      </c>
      <c r="I53" s="9">
        <f t="shared" si="1"/>
        <v>626.38169041293997</v>
      </c>
      <c r="J53" s="9">
        <f t="shared" si="2"/>
        <v>1476.4708959188501</v>
      </c>
      <c r="K53" s="9">
        <f t="shared" si="3"/>
        <v>626.38169041293997</v>
      </c>
      <c r="L53" s="10">
        <f t="shared" si="0"/>
        <v>0.42424249075571835</v>
      </c>
      <c r="M53" s="10">
        <f t="shared" si="4"/>
        <v>0.47454160031867476</v>
      </c>
      <c r="P53" s="8">
        <f t="shared" si="5"/>
        <v>-8.3245168120354229</v>
      </c>
      <c r="S53" s="11"/>
      <c r="U53" s="12"/>
    </row>
    <row r="54" spans="1:25" x14ac:dyDescent="0.2">
      <c r="A54" s="8">
        <v>26</v>
      </c>
      <c r="B54" s="8">
        <v>52</v>
      </c>
      <c r="D54">
        <v>1655.19140625</v>
      </c>
      <c r="E54">
        <v>752.259765625</v>
      </c>
      <c r="F54">
        <v>127.9297029703</v>
      </c>
      <c r="G54">
        <v>111.4099009901</v>
      </c>
      <c r="I54" s="9">
        <f t="shared" si="1"/>
        <v>640.84986463489997</v>
      </c>
      <c r="J54" s="9">
        <f t="shared" si="2"/>
        <v>1527.2617032797</v>
      </c>
      <c r="K54" s="9">
        <f t="shared" si="3"/>
        <v>640.84986463489997</v>
      </c>
      <c r="L54" s="10">
        <f t="shared" si="0"/>
        <v>0.41960710679689966</v>
      </c>
      <c r="M54" s="10">
        <f t="shared" si="4"/>
        <v>0.47089247341011015</v>
      </c>
      <c r="P54" s="8">
        <f t="shared" si="5"/>
        <v>-9.0294823457888604</v>
      </c>
      <c r="S54" s="11"/>
    </row>
    <row r="55" spans="1:25" x14ac:dyDescent="0.2">
      <c r="A55" s="8">
        <v>26.5</v>
      </c>
      <c r="B55" s="8">
        <v>53</v>
      </c>
      <c r="D55">
        <v>1635.3642578125</v>
      </c>
      <c r="E55">
        <v>769.2216796875</v>
      </c>
      <c r="F55">
        <v>128.35346534653999</v>
      </c>
      <c r="G55">
        <v>111.12475247525001</v>
      </c>
      <c r="I55" s="9">
        <f t="shared" si="1"/>
        <v>658.09692721224997</v>
      </c>
      <c r="J55" s="9">
        <f t="shared" si="2"/>
        <v>1507.0107924659601</v>
      </c>
      <c r="K55" s="9">
        <f t="shared" si="3"/>
        <v>658.09692721224997</v>
      </c>
      <c r="L55" s="10">
        <f t="shared" si="0"/>
        <v>0.43669025497514136</v>
      </c>
      <c r="M55" s="10">
        <f t="shared" si="4"/>
        <v>0.48896187863860591</v>
      </c>
      <c r="P55" s="8">
        <f t="shared" si="5"/>
        <v>-5.5386999694301631</v>
      </c>
      <c r="S55" s="11"/>
    </row>
    <row r="56" spans="1:25" x14ac:dyDescent="0.2">
      <c r="A56" s="8">
        <v>27</v>
      </c>
      <c r="B56" s="8">
        <v>54</v>
      </c>
      <c r="D56">
        <v>1650.2421875</v>
      </c>
      <c r="E56">
        <v>774.1044921875</v>
      </c>
      <c r="F56">
        <v>127.82079207920999</v>
      </c>
      <c r="G56">
        <v>111.2702970297</v>
      </c>
      <c r="I56" s="9">
        <f t="shared" si="1"/>
        <v>662.83419515779997</v>
      </c>
      <c r="J56" s="9">
        <f t="shared" si="2"/>
        <v>1522.4213954207901</v>
      </c>
      <c r="K56" s="9">
        <f t="shared" si="3"/>
        <v>662.83419515779997</v>
      </c>
      <c r="L56" s="10">
        <f t="shared" si="0"/>
        <v>0.43538155542972762</v>
      </c>
      <c r="M56" s="10">
        <f t="shared" si="4"/>
        <v>0.48863943614344618</v>
      </c>
      <c r="P56" s="8">
        <f t="shared" si="5"/>
        <v>-5.6009918138632955</v>
      </c>
      <c r="S56" s="11"/>
    </row>
    <row r="57" spans="1:25" x14ac:dyDescent="0.2">
      <c r="A57" s="8">
        <v>27.5</v>
      </c>
      <c r="B57" s="8">
        <v>55</v>
      </c>
      <c r="D57">
        <v>1638.19921875</v>
      </c>
      <c r="E57">
        <v>767.4443359375</v>
      </c>
      <c r="F57">
        <v>128.33168316832001</v>
      </c>
      <c r="G57">
        <v>111.16831683168</v>
      </c>
      <c r="I57" s="9">
        <f t="shared" si="1"/>
        <v>656.27601910581996</v>
      </c>
      <c r="J57" s="9">
        <f t="shared" si="2"/>
        <v>1509.8675355816799</v>
      </c>
      <c r="K57" s="9">
        <f t="shared" si="3"/>
        <v>656.27601910581996</v>
      </c>
      <c r="L57" s="10">
        <f t="shared" si="0"/>
        <v>0.43465801048102415</v>
      </c>
      <c r="M57" s="10">
        <f t="shared" si="4"/>
        <v>0.48890214824499678</v>
      </c>
      <c r="P57" s="8">
        <f t="shared" si="5"/>
        <v>-5.5502391320482483</v>
      </c>
      <c r="S57" s="11"/>
    </row>
    <row r="58" spans="1:25" x14ac:dyDescent="0.2">
      <c r="A58" s="8">
        <v>28</v>
      </c>
      <c r="B58" s="8">
        <v>56</v>
      </c>
      <c r="D58">
        <v>1678.3671875</v>
      </c>
      <c r="E58">
        <v>786.322265625</v>
      </c>
      <c r="F58">
        <v>128.22673267326999</v>
      </c>
      <c r="G58">
        <v>110.82178217822</v>
      </c>
      <c r="I58" s="9">
        <f t="shared" si="1"/>
        <v>675.50048344677998</v>
      </c>
      <c r="J58" s="9">
        <f t="shared" si="2"/>
        <v>1550.1404548267301</v>
      </c>
      <c r="K58" s="9">
        <f t="shared" si="3"/>
        <v>675.50048344677998</v>
      </c>
      <c r="L58" s="10">
        <f t="shared" si="0"/>
        <v>0.43576727601905296</v>
      </c>
      <c r="M58" s="10">
        <f t="shared" si="4"/>
        <v>0.49099767083327961</v>
      </c>
      <c r="P58" s="8">
        <f t="shared" si="5"/>
        <v>-5.1454104601612869</v>
      </c>
      <c r="S58" s="11"/>
    </row>
    <row r="59" spans="1:25" x14ac:dyDescent="0.2">
      <c r="A59" s="8">
        <v>28.5</v>
      </c>
      <c r="B59" s="8">
        <v>57</v>
      </c>
      <c r="D59">
        <v>1633.0185728250001</v>
      </c>
      <c r="E59">
        <v>786.82795698924997</v>
      </c>
      <c r="F59">
        <v>128.46831683168</v>
      </c>
      <c r="G59">
        <v>111.23069306931001</v>
      </c>
      <c r="I59" s="9">
        <f t="shared" si="1"/>
        <v>675.59726391993991</v>
      </c>
      <c r="J59" s="9">
        <f t="shared" si="2"/>
        <v>1504.5502559933202</v>
      </c>
      <c r="K59" s="9">
        <f t="shared" si="3"/>
        <v>675.59726391993991</v>
      </c>
      <c r="L59" s="10">
        <f t="shared" si="0"/>
        <v>0.44903602337557236</v>
      </c>
      <c r="M59" s="10">
        <f t="shared" si="4"/>
        <v>0.50525267524005313</v>
      </c>
      <c r="P59" s="8">
        <f t="shared" si="5"/>
        <v>-2.3915224639141046</v>
      </c>
      <c r="R59" s="1"/>
      <c r="S59" s="11"/>
    </row>
    <row r="60" spans="1:25" x14ac:dyDescent="0.2">
      <c r="A60" s="8">
        <v>29</v>
      </c>
      <c r="B60" s="8">
        <v>58</v>
      </c>
      <c r="D60">
        <v>1608.9186046512</v>
      </c>
      <c r="E60">
        <v>777.07364341084997</v>
      </c>
      <c r="F60">
        <v>127.96138613861</v>
      </c>
      <c r="G60">
        <v>111.26336633663</v>
      </c>
      <c r="I60" s="9">
        <f t="shared" si="1"/>
        <v>665.81027707421993</v>
      </c>
      <c r="J60" s="9">
        <f t="shared" si="2"/>
        <v>1480.9572185125901</v>
      </c>
      <c r="K60" s="9">
        <f t="shared" si="3"/>
        <v>665.81027707421993</v>
      </c>
      <c r="L60" s="10">
        <f t="shared" si="0"/>
        <v>0.44958103363912916</v>
      </c>
      <c r="M60" s="10">
        <f t="shared" si="4"/>
        <v>0.50678394255386394</v>
      </c>
      <c r="P60" s="8">
        <f t="shared" si="5"/>
        <v>-2.0957008314391601</v>
      </c>
      <c r="S60" s="11"/>
    </row>
    <row r="61" spans="1:25" x14ac:dyDescent="0.2">
      <c r="A61" s="8">
        <v>29.5</v>
      </c>
      <c r="B61" s="8">
        <v>59</v>
      </c>
      <c r="C61" s="2"/>
      <c r="D61">
        <v>1602.4593023256</v>
      </c>
      <c r="E61">
        <v>780.21899224805998</v>
      </c>
      <c r="F61">
        <v>128.47821782177999</v>
      </c>
      <c r="G61">
        <v>111.11089108911</v>
      </c>
      <c r="I61" s="9">
        <f t="shared" si="1"/>
        <v>669.10810115894992</v>
      </c>
      <c r="J61" s="9">
        <f t="shared" si="2"/>
        <v>1473.9810845038201</v>
      </c>
      <c r="K61" s="9">
        <f t="shared" si="3"/>
        <v>669.10810115894992</v>
      </c>
      <c r="L61" s="10">
        <f t="shared" si="0"/>
        <v>0.45394619252131646</v>
      </c>
      <c r="M61" s="10">
        <f t="shared" si="4"/>
        <v>0.51213535848630531</v>
      </c>
      <c r="P61" s="8">
        <f t="shared" si="5"/>
        <v>-1.0618744166066556</v>
      </c>
      <c r="S61" s="11"/>
    </row>
    <row r="62" spans="1:25" x14ac:dyDescent="0.2">
      <c r="A62" s="8">
        <v>30</v>
      </c>
      <c r="B62" s="8">
        <v>60</v>
      </c>
      <c r="D62">
        <v>1633.3391472868</v>
      </c>
      <c r="E62">
        <v>786.53294573642995</v>
      </c>
      <c r="F62">
        <v>127.84752475248</v>
      </c>
      <c r="G62">
        <v>111.21188118812</v>
      </c>
      <c r="I62" s="9">
        <f t="shared" si="1"/>
        <v>675.32106454831001</v>
      </c>
      <c r="J62" s="9">
        <f t="shared" si="2"/>
        <v>1505.49162253432</v>
      </c>
      <c r="K62" s="9">
        <f t="shared" si="3"/>
        <v>675.32106454831001</v>
      </c>
      <c r="L62" s="10">
        <f t="shared" si="0"/>
        <v>0.44857178508339063</v>
      </c>
      <c r="M62" s="10">
        <f t="shared" si="4"/>
        <v>0.5077472080986335</v>
      </c>
      <c r="P62" s="8">
        <f t="shared" si="5"/>
        <v>-1.9096100141203745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1601.6279069766999</v>
      </c>
      <c r="E63">
        <v>779.37984496124</v>
      </c>
      <c r="F63">
        <v>128.27920792078999</v>
      </c>
      <c r="G63">
        <v>110.94257425743</v>
      </c>
      <c r="I63" s="9">
        <f t="shared" si="1"/>
        <v>668.43727070380999</v>
      </c>
      <c r="J63" s="9">
        <f t="shared" si="2"/>
        <v>1473.3486990559099</v>
      </c>
      <c r="K63" s="9">
        <f t="shared" si="3"/>
        <v>668.43727070380999</v>
      </c>
      <c r="L63" s="10">
        <f t="shared" si="0"/>
        <v>0.45368572363903409</v>
      </c>
      <c r="M63" s="10">
        <f t="shared" si="4"/>
        <v>0.51384740370453097</v>
      </c>
      <c r="P63" s="8">
        <f t="shared" si="5"/>
        <v>-0.73112876118870929</v>
      </c>
    </row>
    <row r="64" spans="1:25" x14ac:dyDescent="0.2">
      <c r="A64" s="8">
        <v>31</v>
      </c>
      <c r="B64" s="8">
        <v>62</v>
      </c>
      <c r="D64">
        <v>1608.2548449612</v>
      </c>
      <c r="E64">
        <v>772.19864341084997</v>
      </c>
      <c r="F64">
        <v>128.19306930693</v>
      </c>
      <c r="G64">
        <v>110.46336633663</v>
      </c>
      <c r="I64" s="9">
        <f t="shared" si="1"/>
        <v>661.73527707421999</v>
      </c>
      <c r="J64" s="9">
        <f t="shared" si="2"/>
        <v>1480.0617756542699</v>
      </c>
      <c r="K64" s="9">
        <f t="shared" si="3"/>
        <v>661.73527707421999</v>
      </c>
      <c r="L64" s="10">
        <f t="shared" si="0"/>
        <v>0.44709976837398968</v>
      </c>
      <c r="M64" s="10">
        <f t="shared" si="4"/>
        <v>0.50824770548974063</v>
      </c>
      <c r="P64" s="8">
        <f t="shared" si="5"/>
        <v>-1.8129201978150182</v>
      </c>
      <c r="U64" s="8">
        <v>30.5</v>
      </c>
      <c r="V64" s="10">
        <f>L62</f>
        <v>0.44857178508339063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1600.6114341084999</v>
      </c>
      <c r="E65">
        <v>771.61724806202005</v>
      </c>
      <c r="F65">
        <v>127.91584158416001</v>
      </c>
      <c r="G65">
        <v>110.79702970296999</v>
      </c>
      <c r="I65" s="9">
        <f t="shared" si="1"/>
        <v>660.82021835905005</v>
      </c>
      <c r="J65" s="9">
        <f t="shared" si="2"/>
        <v>1472.6955925243399</v>
      </c>
      <c r="K65" s="9">
        <f t="shared" si="3"/>
        <v>660.82021835905005</v>
      </c>
      <c r="L65" s="10">
        <f t="shared" si="0"/>
        <v>0.44871473895453273</v>
      </c>
      <c r="M65" s="10">
        <f t="shared" si="4"/>
        <v>0.5108489331205377</v>
      </c>
      <c r="P65" s="8">
        <f t="shared" si="5"/>
        <v>-1.3103956567103747</v>
      </c>
      <c r="U65" s="8">
        <v>31</v>
      </c>
      <c r="V65" s="10">
        <f t="shared" ref="V65:V83" si="6">L63</f>
        <v>0.45368572363903409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1654.4269005848</v>
      </c>
      <c r="E66">
        <v>813.27192982455995</v>
      </c>
      <c r="F66">
        <v>128.08415841583999</v>
      </c>
      <c r="G66">
        <v>111.15643564356</v>
      </c>
      <c r="I66" s="9">
        <f t="shared" si="1"/>
        <v>702.11549418099992</v>
      </c>
      <c r="J66" s="9">
        <f t="shared" si="2"/>
        <v>1526.3427421689601</v>
      </c>
      <c r="K66" s="9">
        <f t="shared" si="3"/>
        <v>702.11549418099992</v>
      </c>
      <c r="L66" s="10">
        <f t="shared" ref="L66:L129" si="7">K66/J66</f>
        <v>0.45999858012446232</v>
      </c>
      <c r="M66" s="10">
        <f t="shared" si="4"/>
        <v>0.52311903134072135</v>
      </c>
      <c r="P66" s="8">
        <f t="shared" si="5"/>
        <v>1.0600333685715497</v>
      </c>
      <c r="U66" s="8">
        <v>31.5</v>
      </c>
      <c r="V66" s="10">
        <f t="shared" si="6"/>
        <v>0.44709976837398968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1644.3781676413</v>
      </c>
      <c r="E67">
        <v>825.65302144249995</v>
      </c>
      <c r="F67">
        <v>128.22277227723001</v>
      </c>
      <c r="G67">
        <v>110.95346534654</v>
      </c>
      <c r="I67" s="9">
        <f t="shared" ref="I67:I130" si="8">E67-G67</f>
        <v>714.69955609595991</v>
      </c>
      <c r="J67" s="9">
        <f t="shared" ref="J67:J130" si="9">D67-F67</f>
        <v>1516.15539536407</v>
      </c>
      <c r="K67" s="9">
        <f t="shared" ref="K67:K130" si="10">I67*1</f>
        <v>714.69955609595991</v>
      </c>
      <c r="L67" s="10">
        <f t="shared" si="7"/>
        <v>0.47138938283060433</v>
      </c>
      <c r="M67" s="10">
        <f t="shared" ref="M67:M130" si="11">L67+ABS($N$2)*A67</f>
        <v>0.53549609109711738</v>
      </c>
      <c r="P67" s="8">
        <f t="shared" ref="P67:P130" si="12">(M67-$O$2)/$O$2*100</f>
        <v>3.451126020621309</v>
      </c>
      <c r="U67" s="8">
        <v>32</v>
      </c>
      <c r="V67" s="10">
        <f t="shared" si="6"/>
        <v>0.44871473895453273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1663.343079922</v>
      </c>
      <c r="E68">
        <v>853.60136452242</v>
      </c>
      <c r="F68">
        <v>128.1</v>
      </c>
      <c r="G68">
        <v>110.98514851485</v>
      </c>
      <c r="I68" s="9">
        <f t="shared" si="8"/>
        <v>742.61621600756996</v>
      </c>
      <c r="J68" s="9">
        <f t="shared" si="9"/>
        <v>1535.2430799220001</v>
      </c>
      <c r="K68" s="9">
        <f t="shared" si="10"/>
        <v>742.61621600756996</v>
      </c>
      <c r="L68" s="10">
        <f t="shared" si="7"/>
        <v>0.48371246594076783</v>
      </c>
      <c r="M68" s="10">
        <f t="shared" si="11"/>
        <v>0.548805431257535</v>
      </c>
      <c r="P68" s="8">
        <f t="shared" si="12"/>
        <v>6.0223235495626959</v>
      </c>
      <c r="U68" s="8">
        <v>32.5</v>
      </c>
      <c r="V68" s="10">
        <f t="shared" si="6"/>
        <v>0.45999858012446232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1658.1978557504999</v>
      </c>
      <c r="E69">
        <v>863.71929824561005</v>
      </c>
      <c r="F69">
        <v>128.20396039604</v>
      </c>
      <c r="G69">
        <v>111.24554455446</v>
      </c>
      <c r="I69" s="9">
        <f t="shared" si="8"/>
        <v>752.47375369115002</v>
      </c>
      <c r="J69" s="9">
        <f t="shared" si="9"/>
        <v>1529.9938953544599</v>
      </c>
      <c r="K69" s="9">
        <f t="shared" si="10"/>
        <v>752.47375369115002</v>
      </c>
      <c r="L69" s="10">
        <f t="shared" si="7"/>
        <v>0.49181487323308654</v>
      </c>
      <c r="M69" s="10">
        <f t="shared" si="11"/>
        <v>0.55789409560010772</v>
      </c>
      <c r="P69" s="8">
        <f t="shared" si="12"/>
        <v>7.778139466605678</v>
      </c>
      <c r="U69" s="8">
        <v>33</v>
      </c>
      <c r="V69" s="10">
        <f t="shared" si="6"/>
        <v>0.47138938283060433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1645.5019493177001</v>
      </c>
      <c r="E70">
        <v>864.96491228069999</v>
      </c>
      <c r="F70">
        <v>128.44752475248001</v>
      </c>
      <c r="G70">
        <v>111.07524752475</v>
      </c>
      <c r="I70" s="9">
        <f t="shared" si="8"/>
        <v>753.88966475594998</v>
      </c>
      <c r="J70" s="9">
        <f t="shared" si="9"/>
        <v>1517.0544245652202</v>
      </c>
      <c r="K70" s="9">
        <f t="shared" si="10"/>
        <v>753.88966475594998</v>
      </c>
      <c r="L70" s="10">
        <f t="shared" si="7"/>
        <v>0.49694305790776805</v>
      </c>
      <c r="M70" s="10">
        <f t="shared" si="11"/>
        <v>0.5640085373250433</v>
      </c>
      <c r="P70" s="8">
        <f t="shared" si="12"/>
        <v>8.9593728909918475</v>
      </c>
      <c r="U70" s="8">
        <v>33.5</v>
      </c>
      <c r="V70" s="10">
        <f t="shared" si="6"/>
        <v>0.48371246594076783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1630.5311890838</v>
      </c>
      <c r="E71">
        <v>843.81384015594995</v>
      </c>
      <c r="F71">
        <v>128.32574257426</v>
      </c>
      <c r="G71">
        <v>110.80198019802</v>
      </c>
      <c r="I71" s="9">
        <f t="shared" si="8"/>
        <v>733.01185995792991</v>
      </c>
      <c r="J71" s="9">
        <f t="shared" si="9"/>
        <v>1502.20544650954</v>
      </c>
      <c r="K71" s="9">
        <f t="shared" si="10"/>
        <v>733.01185995792991</v>
      </c>
      <c r="L71" s="10">
        <f t="shared" si="7"/>
        <v>0.48795713107093625</v>
      </c>
      <c r="M71" s="10">
        <f t="shared" si="11"/>
        <v>0.55600886753846557</v>
      </c>
      <c r="P71" s="8">
        <f t="shared" si="12"/>
        <v>7.4139370587356579</v>
      </c>
      <c r="U71" s="8">
        <v>34</v>
      </c>
      <c r="V71" s="10">
        <f t="shared" si="6"/>
        <v>0.49181487323308654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1644.8693957114999</v>
      </c>
      <c r="E72">
        <v>828.64814814814997</v>
      </c>
      <c r="F72">
        <v>127.88316831682999</v>
      </c>
      <c r="G72">
        <v>110.89306930693</v>
      </c>
      <c r="I72" s="9">
        <f t="shared" si="8"/>
        <v>717.75507884121998</v>
      </c>
      <c r="J72" s="9">
        <f t="shared" si="9"/>
        <v>1516.9862273946699</v>
      </c>
      <c r="K72" s="9">
        <f t="shared" si="10"/>
        <v>717.75507884121998</v>
      </c>
      <c r="L72" s="10">
        <f t="shared" si="7"/>
        <v>0.47314541548206407</v>
      </c>
      <c r="M72" s="10">
        <f t="shared" si="11"/>
        <v>0.5421834089998474</v>
      </c>
      <c r="P72" s="8">
        <f t="shared" si="12"/>
        <v>4.7430319347763659</v>
      </c>
      <c r="U72" s="8">
        <v>34.5</v>
      </c>
      <c r="V72" s="10">
        <f t="shared" si="6"/>
        <v>0.49694305790776805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1655.0633528265</v>
      </c>
      <c r="E73">
        <v>817.72027290448</v>
      </c>
      <c r="F73">
        <v>128.09306930693</v>
      </c>
      <c r="G73">
        <v>110.78118811880999</v>
      </c>
      <c r="I73" s="9">
        <f t="shared" si="8"/>
        <v>706.93908478567005</v>
      </c>
      <c r="J73" s="9">
        <f t="shared" si="9"/>
        <v>1526.9702835195701</v>
      </c>
      <c r="K73" s="9">
        <f t="shared" si="10"/>
        <v>706.93908478567005</v>
      </c>
      <c r="L73" s="10">
        <f t="shared" si="7"/>
        <v>0.46296846272359676</v>
      </c>
      <c r="M73" s="10">
        <f t="shared" si="11"/>
        <v>0.53299271329163411</v>
      </c>
      <c r="P73" s="8">
        <f t="shared" si="12"/>
        <v>2.9675048380619993</v>
      </c>
      <c r="U73" s="8">
        <v>35</v>
      </c>
      <c r="V73" s="10">
        <f t="shared" si="6"/>
        <v>0.48795713107093625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1645.5477582845999</v>
      </c>
      <c r="E74">
        <v>791.87816764133004</v>
      </c>
      <c r="F74">
        <v>127.56831683167999</v>
      </c>
      <c r="G74">
        <v>110.93861386139</v>
      </c>
      <c r="I74" s="9">
        <f t="shared" si="8"/>
        <v>680.93955377994007</v>
      </c>
      <c r="J74" s="9">
        <f t="shared" si="9"/>
        <v>1517.9794414529199</v>
      </c>
      <c r="K74" s="9">
        <f t="shared" si="10"/>
        <v>680.93955377994007</v>
      </c>
      <c r="L74" s="10">
        <f t="shared" si="7"/>
        <v>0.44858285638452727</v>
      </c>
      <c r="M74" s="10">
        <f t="shared" si="11"/>
        <v>0.51959336400281875</v>
      </c>
      <c r="P74" s="8">
        <f t="shared" si="12"/>
        <v>0.3789186748435564</v>
      </c>
      <c r="U74" s="8">
        <v>35.5</v>
      </c>
      <c r="V74" s="10">
        <f t="shared" si="6"/>
        <v>0.47314541548206407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1646.8070175439</v>
      </c>
      <c r="E75">
        <v>774.72222222222001</v>
      </c>
      <c r="F75">
        <v>127.67722772277</v>
      </c>
      <c r="G75">
        <v>110.55445544555</v>
      </c>
      <c r="I75" s="9">
        <f t="shared" si="8"/>
        <v>664.16776677666996</v>
      </c>
      <c r="J75" s="9">
        <f t="shared" si="9"/>
        <v>1519.1297898211301</v>
      </c>
      <c r="K75" s="9">
        <f t="shared" si="10"/>
        <v>664.16776677666996</v>
      </c>
      <c r="L75" s="10">
        <f t="shared" si="7"/>
        <v>0.43720277966168536</v>
      </c>
      <c r="M75" s="10">
        <f t="shared" si="11"/>
        <v>0.50919954433023085</v>
      </c>
      <c r="P75" s="8">
        <f t="shared" si="12"/>
        <v>-1.629036876394065</v>
      </c>
      <c r="U75" s="8">
        <v>36</v>
      </c>
      <c r="V75" s="10">
        <f t="shared" si="6"/>
        <v>0.46296846272359676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1648.6588693957001</v>
      </c>
      <c r="E76">
        <v>767.27290448343001</v>
      </c>
      <c r="F76">
        <v>127.93465346535</v>
      </c>
      <c r="G76">
        <v>110.90099009901</v>
      </c>
      <c r="I76" s="9">
        <f t="shared" si="8"/>
        <v>656.37191438442005</v>
      </c>
      <c r="J76" s="9">
        <f t="shared" si="9"/>
        <v>1520.7242159303501</v>
      </c>
      <c r="K76" s="9">
        <f t="shared" si="10"/>
        <v>656.37191438442005</v>
      </c>
      <c r="L76" s="10">
        <f t="shared" si="7"/>
        <v>0.43161798011013075</v>
      </c>
      <c r="M76" s="10">
        <f t="shared" si="11"/>
        <v>0.50460100182893031</v>
      </c>
      <c r="P76" s="8">
        <f t="shared" si="12"/>
        <v>-2.5174175905064078</v>
      </c>
      <c r="U76" s="8">
        <v>36.5</v>
      </c>
      <c r="V76" s="10">
        <f t="shared" si="6"/>
        <v>0.44858285638452727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1650.5575048733001</v>
      </c>
      <c r="E77">
        <v>764.93079922027005</v>
      </c>
      <c r="F77">
        <v>127.70594059406</v>
      </c>
      <c r="G77">
        <v>110.60495049505001</v>
      </c>
      <c r="I77" s="9">
        <f t="shared" si="8"/>
        <v>654.32584872522</v>
      </c>
      <c r="J77" s="9">
        <f t="shared" si="9"/>
        <v>1522.8515642792402</v>
      </c>
      <c r="K77" s="9">
        <f t="shared" si="10"/>
        <v>654.32584872522</v>
      </c>
      <c r="L77" s="10">
        <f t="shared" si="7"/>
        <v>0.42967145588802669</v>
      </c>
      <c r="M77" s="10">
        <f t="shared" si="11"/>
        <v>0.50364073465708026</v>
      </c>
      <c r="P77" s="8">
        <f t="shared" si="12"/>
        <v>-2.7029291597972254</v>
      </c>
      <c r="U77" s="8">
        <v>37</v>
      </c>
      <c r="V77" s="10">
        <f t="shared" si="6"/>
        <v>0.43720277966168536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1647.4961013645</v>
      </c>
      <c r="E78">
        <v>744.26803118908003</v>
      </c>
      <c r="F78">
        <v>128.14356435644001</v>
      </c>
      <c r="G78">
        <v>110.80495049504999</v>
      </c>
      <c r="I78" s="9">
        <f t="shared" si="8"/>
        <v>633.46308069403005</v>
      </c>
      <c r="J78" s="9">
        <f t="shared" si="9"/>
        <v>1519.3525370080599</v>
      </c>
      <c r="K78" s="9">
        <f t="shared" si="10"/>
        <v>633.46308069403005</v>
      </c>
      <c r="L78" s="10">
        <f t="shared" si="7"/>
        <v>0.41692962315478044</v>
      </c>
      <c r="M78" s="10">
        <f t="shared" si="11"/>
        <v>0.49188515897408808</v>
      </c>
      <c r="P78" s="8">
        <f t="shared" si="12"/>
        <v>-4.9739588865214479</v>
      </c>
      <c r="U78" s="8">
        <v>37.5</v>
      </c>
      <c r="V78" s="10">
        <f t="shared" si="6"/>
        <v>0.43161798011013075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1626.3489278751999</v>
      </c>
      <c r="E79">
        <v>721.75243664717004</v>
      </c>
      <c r="F79">
        <v>127.89405940594</v>
      </c>
      <c r="G79">
        <v>110.3198019802</v>
      </c>
      <c r="I79" s="9">
        <f t="shared" si="8"/>
        <v>611.43263466696999</v>
      </c>
      <c r="J79" s="9">
        <f t="shared" si="9"/>
        <v>1498.45486846926</v>
      </c>
      <c r="K79" s="9">
        <f t="shared" si="10"/>
        <v>611.43263466696999</v>
      </c>
      <c r="L79" s="10">
        <f t="shared" si="7"/>
        <v>0.40804207556252686</v>
      </c>
      <c r="M79" s="10">
        <f t="shared" si="11"/>
        <v>0.48398386843208852</v>
      </c>
      <c r="P79" s="8">
        <f t="shared" si="12"/>
        <v>-6.5003890830729603</v>
      </c>
      <c r="U79" s="8">
        <v>38</v>
      </c>
      <c r="V79" s="10">
        <f t="shared" si="6"/>
        <v>0.42967145588802669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1629.6481481482001</v>
      </c>
      <c r="E80">
        <v>710.74074074073997</v>
      </c>
      <c r="F80">
        <v>128.06435643564001</v>
      </c>
      <c r="G80">
        <v>110.85742574257</v>
      </c>
      <c r="I80" s="9">
        <f t="shared" si="8"/>
        <v>599.88331499816991</v>
      </c>
      <c r="J80" s="9">
        <f t="shared" si="9"/>
        <v>1501.58379171256</v>
      </c>
      <c r="K80" s="9">
        <f t="shared" si="10"/>
        <v>599.88331499816991</v>
      </c>
      <c r="L80" s="10">
        <f t="shared" si="7"/>
        <v>0.39950039305765384</v>
      </c>
      <c r="M80" s="10">
        <f t="shared" si="11"/>
        <v>0.47642844297746956</v>
      </c>
      <c r="P80" s="8">
        <f t="shared" si="12"/>
        <v>-7.9600024842535904</v>
      </c>
      <c r="U80" s="8">
        <v>38.5</v>
      </c>
      <c r="V80" s="10">
        <f t="shared" si="6"/>
        <v>0.41692962315478044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1591.2948090108</v>
      </c>
      <c r="E81">
        <v>673.11459353575003</v>
      </c>
      <c r="F81">
        <v>127.7198019802</v>
      </c>
      <c r="G81">
        <v>110.81881188119</v>
      </c>
      <c r="I81" s="9">
        <f t="shared" si="8"/>
        <v>562.29578165456007</v>
      </c>
      <c r="J81" s="9">
        <f t="shared" si="9"/>
        <v>1463.5750070306001</v>
      </c>
      <c r="K81" s="9">
        <f t="shared" si="10"/>
        <v>562.29578165456007</v>
      </c>
      <c r="L81" s="10">
        <f t="shared" si="7"/>
        <v>0.3841933477638319</v>
      </c>
      <c r="M81" s="10">
        <f t="shared" si="11"/>
        <v>0.4621076547339017</v>
      </c>
      <c r="P81" s="8">
        <f t="shared" si="12"/>
        <v>-10.72659909239071</v>
      </c>
      <c r="U81" s="8">
        <v>39</v>
      </c>
      <c r="V81" s="10">
        <f t="shared" si="6"/>
        <v>0.40804207556252686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1616.8991185113</v>
      </c>
      <c r="E82">
        <v>680.25465230167003</v>
      </c>
      <c r="F82">
        <v>127.75049504950999</v>
      </c>
      <c r="G82">
        <v>110.83267326732999</v>
      </c>
      <c r="H82" s="13"/>
      <c r="I82" s="14">
        <f t="shared" si="8"/>
        <v>569.42197903433998</v>
      </c>
      <c r="J82" s="14">
        <f t="shared" si="9"/>
        <v>1489.1486234617901</v>
      </c>
      <c r="K82" s="9">
        <f t="shared" si="10"/>
        <v>569.42197903433998</v>
      </c>
      <c r="L82" s="15">
        <f t="shared" si="7"/>
        <v>0.38238089204999404</v>
      </c>
      <c r="M82" s="15">
        <f t="shared" si="11"/>
        <v>0.4612814560703179</v>
      </c>
      <c r="N82" s="13"/>
      <c r="O82" s="13"/>
      <c r="P82" s="13">
        <f t="shared" si="12"/>
        <v>-10.8862103080195</v>
      </c>
      <c r="U82" s="8">
        <v>39.5</v>
      </c>
      <c r="V82" s="10">
        <f t="shared" si="6"/>
        <v>0.39950039305765384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1577.8795298727</v>
      </c>
      <c r="E83">
        <v>649.57394711068002</v>
      </c>
      <c r="F83">
        <v>127.71287128713</v>
      </c>
      <c r="G83">
        <v>110.59306930693</v>
      </c>
      <c r="I83" s="9">
        <f t="shared" si="8"/>
        <v>538.98087780374999</v>
      </c>
      <c r="J83" s="9">
        <f t="shared" si="9"/>
        <v>1450.1666585855701</v>
      </c>
      <c r="K83" s="9">
        <f t="shared" si="10"/>
        <v>538.98087780374999</v>
      </c>
      <c r="L83" s="10">
        <f t="shared" si="7"/>
        <v>0.37166823179443986</v>
      </c>
      <c r="M83" s="10">
        <f t="shared" si="11"/>
        <v>0.45155505286501774</v>
      </c>
      <c r="P83" s="8">
        <f t="shared" si="12"/>
        <v>-12.765229371739235</v>
      </c>
      <c r="U83" s="8">
        <v>40</v>
      </c>
      <c r="V83" s="10">
        <f t="shared" si="6"/>
        <v>0.3841933477638319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1543.8393731635999</v>
      </c>
      <c r="E84">
        <v>622.21155729677002</v>
      </c>
      <c r="F84">
        <v>127.52079207921</v>
      </c>
      <c r="G84">
        <v>110.40396039604001</v>
      </c>
      <c r="I84" s="9">
        <f t="shared" si="8"/>
        <v>511.80759690073</v>
      </c>
      <c r="J84" s="9">
        <f t="shared" si="9"/>
        <v>1416.31858108439</v>
      </c>
      <c r="K84" s="9">
        <f t="shared" si="10"/>
        <v>511.80759690073</v>
      </c>
      <c r="L84" s="10">
        <f t="shared" si="7"/>
        <v>0.36136474076960123</v>
      </c>
      <c r="M84" s="10">
        <f t="shared" si="11"/>
        <v>0.44223781889043312</v>
      </c>
      <c r="P84" s="8">
        <f t="shared" si="12"/>
        <v>-14.565202073862205</v>
      </c>
      <c r="U84" s="8">
        <v>150.5</v>
      </c>
      <c r="V84" s="10">
        <f>L302</f>
        <v>0.20602255119438981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1537.2017629775</v>
      </c>
      <c r="E85">
        <v>626.44466209597999</v>
      </c>
      <c r="F85">
        <v>127.59900990099</v>
      </c>
      <c r="G85">
        <v>110.69405940594</v>
      </c>
      <c r="I85" s="9">
        <f t="shared" si="8"/>
        <v>515.75060269003995</v>
      </c>
      <c r="J85" s="9">
        <f t="shared" si="9"/>
        <v>1409.60275307651</v>
      </c>
      <c r="K85" s="9">
        <f t="shared" si="10"/>
        <v>515.75060269003995</v>
      </c>
      <c r="L85" s="10">
        <f t="shared" si="7"/>
        <v>0.36588365166313364</v>
      </c>
      <c r="M85" s="10">
        <f t="shared" si="11"/>
        <v>0.44774298683421959</v>
      </c>
      <c r="P85" s="8">
        <f t="shared" si="12"/>
        <v>-13.501672699538439</v>
      </c>
      <c r="U85" s="8">
        <v>151</v>
      </c>
      <c r="V85" s="10">
        <f t="shared" ref="V85:V103" si="13">L303</f>
        <v>0.20538312992238233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1569.9118511264001</v>
      </c>
      <c r="E86">
        <v>647.52693437805999</v>
      </c>
      <c r="F86">
        <v>127.88613861386</v>
      </c>
      <c r="G86">
        <v>111.19603960396</v>
      </c>
      <c r="I86" s="9">
        <f t="shared" si="8"/>
        <v>536.33089477409999</v>
      </c>
      <c r="J86" s="9">
        <f t="shared" si="9"/>
        <v>1442.0257125125399</v>
      </c>
      <c r="K86" s="9">
        <f t="shared" si="10"/>
        <v>536.33089477409999</v>
      </c>
      <c r="L86" s="10">
        <f t="shared" si="7"/>
        <v>0.37192880135237949</v>
      </c>
      <c r="M86" s="10">
        <f t="shared" si="11"/>
        <v>0.45477439357371952</v>
      </c>
      <c r="P86" s="8">
        <f t="shared" si="12"/>
        <v>-12.14329313934417</v>
      </c>
      <c r="U86" s="8">
        <v>151.5</v>
      </c>
      <c r="V86" s="10">
        <f t="shared" si="13"/>
        <v>0.20899141703761676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1585.5798237023</v>
      </c>
      <c r="E87">
        <v>641.03917727717999</v>
      </c>
      <c r="F87">
        <v>128.02574257425999</v>
      </c>
      <c r="G87">
        <v>110.70099009901</v>
      </c>
      <c r="I87" s="9">
        <f t="shared" si="8"/>
        <v>530.33818717816996</v>
      </c>
      <c r="J87" s="9">
        <f t="shared" si="9"/>
        <v>1457.55408112804</v>
      </c>
      <c r="K87" s="9">
        <f t="shared" si="10"/>
        <v>530.33818717816996</v>
      </c>
      <c r="L87" s="10">
        <f t="shared" si="7"/>
        <v>0.36385489502230139</v>
      </c>
      <c r="M87" s="10">
        <f t="shared" si="11"/>
        <v>0.44768674429389543</v>
      </c>
      <c r="P87" s="8">
        <f t="shared" si="12"/>
        <v>-13.512538052663379</v>
      </c>
      <c r="U87" s="8">
        <v>152</v>
      </c>
      <c r="V87" s="10">
        <f t="shared" si="13"/>
        <v>0.20753229684288205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1550.5857002938001</v>
      </c>
      <c r="E88">
        <v>620.29872673849002</v>
      </c>
      <c r="F88">
        <v>127.39603960396001</v>
      </c>
      <c r="G88">
        <v>110.57920792079</v>
      </c>
      <c r="I88" s="9">
        <f t="shared" si="8"/>
        <v>509.71951881770002</v>
      </c>
      <c r="J88" s="9">
        <f t="shared" si="9"/>
        <v>1423.1896606898401</v>
      </c>
      <c r="K88" s="9">
        <f t="shared" si="10"/>
        <v>509.71951881770002</v>
      </c>
      <c r="L88" s="10">
        <f t="shared" si="7"/>
        <v>0.35815291025275703</v>
      </c>
      <c r="M88" s="10">
        <f t="shared" si="11"/>
        <v>0.44297101657460514</v>
      </c>
      <c r="P88" s="8">
        <f t="shared" si="12"/>
        <v>-14.423557480588132</v>
      </c>
      <c r="U88" s="8">
        <v>152.5</v>
      </c>
      <c r="V88" s="10">
        <f t="shared" si="13"/>
        <v>0.21861337860587829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1505.4887365328</v>
      </c>
      <c r="E89">
        <v>575.15866797258002</v>
      </c>
      <c r="F89">
        <v>128.75247524752999</v>
      </c>
      <c r="G89">
        <v>110.95049504951</v>
      </c>
      <c r="I89" s="9">
        <f t="shared" si="8"/>
        <v>464.20817292307004</v>
      </c>
      <c r="J89" s="9">
        <f t="shared" si="9"/>
        <v>1376.7362612852701</v>
      </c>
      <c r="K89" s="9">
        <f t="shared" si="10"/>
        <v>464.20817292307004</v>
      </c>
      <c r="L89" s="10">
        <f t="shared" si="7"/>
        <v>0.33718017457439703</v>
      </c>
      <c r="M89" s="10">
        <f t="shared" si="11"/>
        <v>0.42298453794649921</v>
      </c>
      <c r="P89" s="8">
        <f t="shared" si="12"/>
        <v>-18.284694384554172</v>
      </c>
      <c r="U89" s="8">
        <v>153</v>
      </c>
      <c r="V89" s="10">
        <f t="shared" si="13"/>
        <v>0.22134003066040153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1487.3251714006001</v>
      </c>
      <c r="E90">
        <v>564.81292850146997</v>
      </c>
      <c r="F90">
        <v>127.09702970297</v>
      </c>
      <c r="G90">
        <v>110.90297029703</v>
      </c>
      <c r="I90" s="9">
        <f t="shared" si="8"/>
        <v>453.90995820443999</v>
      </c>
      <c r="J90" s="9">
        <f t="shared" si="9"/>
        <v>1360.22814169763</v>
      </c>
      <c r="K90" s="9">
        <f t="shared" si="10"/>
        <v>453.90995820443999</v>
      </c>
      <c r="L90" s="10">
        <f t="shared" si="7"/>
        <v>0.33370134339224783</v>
      </c>
      <c r="M90" s="10">
        <f t="shared" si="11"/>
        <v>0.42049196381460402</v>
      </c>
      <c r="P90" s="8">
        <f t="shared" si="12"/>
        <v>-18.766228432928141</v>
      </c>
      <c r="U90" s="8">
        <v>153.5</v>
      </c>
      <c r="V90" s="10">
        <f t="shared" si="13"/>
        <v>0.2134035229574717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1586.1508325171001</v>
      </c>
      <c r="E91">
        <v>604.27522037218</v>
      </c>
      <c r="F91">
        <v>128.1297029703</v>
      </c>
      <c r="G91">
        <v>110.36831683168</v>
      </c>
      <c r="I91" s="9">
        <f t="shared" si="8"/>
        <v>493.90690354050002</v>
      </c>
      <c r="J91" s="9">
        <f t="shared" si="9"/>
        <v>1458.0211295468</v>
      </c>
      <c r="K91" s="9">
        <f t="shared" si="10"/>
        <v>493.90690354050002</v>
      </c>
      <c r="L91" s="10">
        <f t="shared" si="7"/>
        <v>0.33875154037995475</v>
      </c>
      <c r="M91" s="10">
        <f t="shared" si="11"/>
        <v>0.42652841785256501</v>
      </c>
      <c r="P91" s="8">
        <f t="shared" si="12"/>
        <v>-17.60006125116708</v>
      </c>
      <c r="U91" s="8">
        <v>154</v>
      </c>
      <c r="V91" s="10">
        <f t="shared" si="13"/>
        <v>0.21393750207836221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1507.9647404504999</v>
      </c>
      <c r="E92">
        <v>578.30950048971999</v>
      </c>
      <c r="F92">
        <v>127.91089108911</v>
      </c>
      <c r="G92">
        <v>110.25346534654</v>
      </c>
      <c r="I92" s="9">
        <f t="shared" si="8"/>
        <v>468.05603514318</v>
      </c>
      <c r="J92" s="9">
        <f t="shared" si="9"/>
        <v>1380.0538493613899</v>
      </c>
      <c r="K92" s="9">
        <f t="shared" si="10"/>
        <v>468.05603514318</v>
      </c>
      <c r="L92" s="10">
        <f t="shared" si="7"/>
        <v>0.33915780558836134</v>
      </c>
      <c r="M92" s="10">
        <f t="shared" si="11"/>
        <v>0.42792094011122561</v>
      </c>
      <c r="P92" s="8">
        <f t="shared" si="12"/>
        <v>-17.331043422536297</v>
      </c>
      <c r="U92" s="8">
        <v>154.5</v>
      </c>
      <c r="V92" s="10">
        <f t="shared" si="13"/>
        <v>0.21738013742911919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1531.0538687561</v>
      </c>
      <c r="E93">
        <v>571.89422135161999</v>
      </c>
      <c r="F93">
        <v>127.86534653465</v>
      </c>
      <c r="G93">
        <v>110.64554455446</v>
      </c>
      <c r="I93" s="9">
        <f t="shared" si="8"/>
        <v>461.24867679715999</v>
      </c>
      <c r="J93" s="9">
        <f t="shared" si="9"/>
        <v>1403.1885222214501</v>
      </c>
      <c r="K93" s="9">
        <f t="shared" si="10"/>
        <v>461.24867679715999</v>
      </c>
      <c r="L93" s="10">
        <f t="shared" si="7"/>
        <v>0.32871468765076323</v>
      </c>
      <c r="M93" s="10">
        <f t="shared" si="11"/>
        <v>0.41846407922388157</v>
      </c>
      <c r="P93" s="8">
        <f t="shared" si="12"/>
        <v>-19.157990292329011</v>
      </c>
      <c r="U93" s="8">
        <v>155</v>
      </c>
      <c r="V93" s="10">
        <f t="shared" si="13"/>
        <v>0.21422311356941015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1533.2624877571</v>
      </c>
      <c r="E94">
        <v>573.72575905974998</v>
      </c>
      <c r="F94">
        <v>127.45940594059</v>
      </c>
      <c r="G94">
        <v>110.84059405940999</v>
      </c>
      <c r="I94" s="9">
        <f t="shared" si="8"/>
        <v>462.88516500033995</v>
      </c>
      <c r="J94" s="9">
        <f t="shared" si="9"/>
        <v>1405.80308181651</v>
      </c>
      <c r="K94" s="9">
        <f t="shared" si="10"/>
        <v>462.88516500033995</v>
      </c>
      <c r="L94" s="10">
        <f t="shared" si="7"/>
        <v>0.32926742798303044</v>
      </c>
      <c r="M94" s="10">
        <f t="shared" si="11"/>
        <v>0.42000307660640285</v>
      </c>
      <c r="P94" s="8">
        <f t="shared" si="12"/>
        <v>-18.860675307567078</v>
      </c>
      <c r="U94" s="8">
        <v>155.5</v>
      </c>
      <c r="V94" s="10">
        <f t="shared" si="13"/>
        <v>0.21274065644554718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1512.6150832517001</v>
      </c>
      <c r="E95">
        <v>571.56513222331</v>
      </c>
      <c r="F95">
        <v>127.69405940594</v>
      </c>
      <c r="G95">
        <v>110.72871287129</v>
      </c>
      <c r="I95" s="9">
        <f t="shared" si="8"/>
        <v>460.83641935202002</v>
      </c>
      <c r="J95" s="9">
        <f t="shared" si="9"/>
        <v>1384.9210238457601</v>
      </c>
      <c r="K95" s="9">
        <f t="shared" si="10"/>
        <v>460.83641935202002</v>
      </c>
      <c r="L95" s="10">
        <f t="shared" si="7"/>
        <v>0.33275285118593434</v>
      </c>
      <c r="M95" s="10">
        <f t="shared" si="11"/>
        <v>0.42447475685956082</v>
      </c>
      <c r="P95" s="8">
        <f t="shared" si="12"/>
        <v>-17.9968027880766</v>
      </c>
      <c r="U95" s="8">
        <v>156</v>
      </c>
      <c r="V95" s="10">
        <f t="shared" si="13"/>
        <v>0.21119964460086002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1498.8883447600001</v>
      </c>
      <c r="E96">
        <v>567.90597453477005</v>
      </c>
      <c r="F96">
        <v>127.4801980198</v>
      </c>
      <c r="G96">
        <v>110.52178217821999</v>
      </c>
      <c r="I96" s="9">
        <f t="shared" si="8"/>
        <v>457.38419235655005</v>
      </c>
      <c r="J96" s="9">
        <f t="shared" si="9"/>
        <v>1371.4081467402002</v>
      </c>
      <c r="K96" s="9">
        <f t="shared" si="10"/>
        <v>457.38419235655005</v>
      </c>
      <c r="L96" s="10">
        <f t="shared" si="7"/>
        <v>0.33351427395537925</v>
      </c>
      <c r="M96" s="10">
        <f t="shared" si="11"/>
        <v>0.42622243667925974</v>
      </c>
      <c r="P96" s="8">
        <f t="shared" si="12"/>
        <v>-17.659172974755364</v>
      </c>
      <c r="U96" s="8">
        <v>156.5</v>
      </c>
      <c r="V96" s="10">
        <f t="shared" si="13"/>
        <v>0.21094152809914934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1503.9843290890999</v>
      </c>
      <c r="E97">
        <v>572.76689520078003</v>
      </c>
      <c r="F97">
        <v>127.46732673267</v>
      </c>
      <c r="G97">
        <v>110.57128712871</v>
      </c>
      <c r="I97" s="9">
        <f t="shared" si="8"/>
        <v>462.19560807207006</v>
      </c>
      <c r="J97" s="9">
        <f t="shared" si="9"/>
        <v>1376.5170023564299</v>
      </c>
      <c r="K97" s="9">
        <f t="shared" si="10"/>
        <v>462.19560807207006</v>
      </c>
      <c r="L97" s="10">
        <f t="shared" si="7"/>
        <v>0.33577181195789613</v>
      </c>
      <c r="M97" s="10">
        <f t="shared" si="11"/>
        <v>0.42946623173203069</v>
      </c>
      <c r="P97" s="8">
        <f t="shared" si="12"/>
        <v>-17.032512469910678</v>
      </c>
      <c r="U97" s="8">
        <v>157</v>
      </c>
      <c r="V97" s="10">
        <f t="shared" si="13"/>
        <v>0.21293515788440204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1514.1665034279999</v>
      </c>
      <c r="E98">
        <v>586.35847208618998</v>
      </c>
      <c r="F98">
        <v>127.29207920792</v>
      </c>
      <c r="G98">
        <v>110.64158415842</v>
      </c>
      <c r="I98" s="9">
        <f t="shared" si="8"/>
        <v>475.71688792776996</v>
      </c>
      <c r="J98" s="9">
        <f t="shared" si="9"/>
        <v>1386.8744242200798</v>
      </c>
      <c r="K98" s="9">
        <f t="shared" si="10"/>
        <v>475.71688792776996</v>
      </c>
      <c r="L98" s="10">
        <f t="shared" si="7"/>
        <v>0.34301367133170202</v>
      </c>
      <c r="M98" s="10">
        <f t="shared" si="11"/>
        <v>0.4376943481560906</v>
      </c>
      <c r="P98" s="8">
        <f t="shared" si="12"/>
        <v>-15.44294361357445</v>
      </c>
      <c r="U98" s="8">
        <v>157.5</v>
      </c>
      <c r="V98" s="10">
        <f t="shared" si="13"/>
        <v>0.20711600856481327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1552.9194174756999</v>
      </c>
      <c r="E99">
        <v>604.47669902913003</v>
      </c>
      <c r="F99">
        <v>127.52475247525</v>
      </c>
      <c r="G99">
        <v>110.47821782178001</v>
      </c>
      <c r="I99" s="9">
        <f t="shared" si="8"/>
        <v>493.99848120735004</v>
      </c>
      <c r="J99" s="9">
        <f t="shared" si="9"/>
        <v>1425.39466500045</v>
      </c>
      <c r="K99" s="9">
        <f t="shared" si="10"/>
        <v>493.99848120735004</v>
      </c>
      <c r="L99" s="10">
        <f t="shared" si="7"/>
        <v>0.3465696156560219</v>
      </c>
      <c r="M99" s="10">
        <f t="shared" si="11"/>
        <v>0.44223654953066455</v>
      </c>
      <c r="P99" s="8">
        <f t="shared" si="12"/>
        <v>-14.565447298243051</v>
      </c>
      <c r="U99" s="8">
        <v>158</v>
      </c>
      <c r="V99" s="10">
        <f t="shared" si="13"/>
        <v>0.21208178489809015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1497.7048543689</v>
      </c>
      <c r="E100">
        <v>557.89417475727998</v>
      </c>
      <c r="F100">
        <v>127.31386138614</v>
      </c>
      <c r="G100">
        <v>110.33663366336999</v>
      </c>
      <c r="I100" s="9">
        <f t="shared" si="8"/>
        <v>447.55754109391</v>
      </c>
      <c r="J100" s="9">
        <f t="shared" si="9"/>
        <v>1370.3909929827601</v>
      </c>
      <c r="K100" s="9">
        <f t="shared" si="10"/>
        <v>447.55754109391</v>
      </c>
      <c r="L100" s="10">
        <f t="shared" si="7"/>
        <v>0.32659112865282852</v>
      </c>
      <c r="M100" s="10">
        <f t="shared" si="11"/>
        <v>0.42324431957772524</v>
      </c>
      <c r="P100" s="8">
        <f t="shared" si="12"/>
        <v>-18.234507832837714</v>
      </c>
      <c r="U100" s="8">
        <v>158.5</v>
      </c>
      <c r="V100" s="10">
        <f t="shared" si="13"/>
        <v>0.21049594573202618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1543.0223953262</v>
      </c>
      <c r="E101">
        <v>559.7994157741</v>
      </c>
      <c r="F101">
        <v>127.16831683168</v>
      </c>
      <c r="G101">
        <v>110.77920792079</v>
      </c>
      <c r="I101" s="9">
        <f t="shared" si="8"/>
        <v>449.02020785331001</v>
      </c>
      <c r="J101" s="9">
        <f t="shared" si="9"/>
        <v>1415.8540784945201</v>
      </c>
      <c r="K101" s="9">
        <f t="shared" si="10"/>
        <v>449.02020785331001</v>
      </c>
      <c r="L101" s="10">
        <f t="shared" si="7"/>
        <v>0.31713734817273959</v>
      </c>
      <c r="M101" s="10">
        <f t="shared" si="11"/>
        <v>0.41477679614789031</v>
      </c>
      <c r="P101" s="8">
        <f t="shared" si="12"/>
        <v>-19.870327118890263</v>
      </c>
      <c r="U101" s="8">
        <v>159</v>
      </c>
      <c r="V101" s="10">
        <f t="shared" si="13"/>
        <v>0.21059375743287068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1556.1869522882</v>
      </c>
      <c r="E102">
        <v>598.35443037975006</v>
      </c>
      <c r="F102">
        <v>127.68217821782</v>
      </c>
      <c r="G102">
        <v>110.89207920792001</v>
      </c>
      <c r="I102" s="9">
        <f t="shared" si="8"/>
        <v>487.46235117183005</v>
      </c>
      <c r="J102" s="9">
        <f t="shared" si="9"/>
        <v>1428.5047740703801</v>
      </c>
      <c r="K102" s="9">
        <f t="shared" si="10"/>
        <v>487.46235117183005</v>
      </c>
      <c r="L102" s="10">
        <f t="shared" si="7"/>
        <v>0.34123956742745443</v>
      </c>
      <c r="M102" s="10">
        <f t="shared" si="11"/>
        <v>0.43986527245285922</v>
      </c>
      <c r="P102" s="8">
        <f t="shared" si="12"/>
        <v>-15.023548277660581</v>
      </c>
      <c r="U102" s="8">
        <v>159.5</v>
      </c>
      <c r="V102" s="10">
        <f t="shared" si="13"/>
        <v>0.2173023573418372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1562.0321324245001</v>
      </c>
      <c r="E103">
        <v>611.98928919182003</v>
      </c>
      <c r="F103">
        <v>127.56930693069</v>
      </c>
      <c r="G103">
        <v>110.86138613861</v>
      </c>
      <c r="I103" s="9">
        <f t="shared" si="8"/>
        <v>501.12790305321005</v>
      </c>
      <c r="J103" s="9">
        <f t="shared" si="9"/>
        <v>1434.4628254938102</v>
      </c>
      <c r="K103" s="9">
        <f t="shared" si="10"/>
        <v>501.12790305321005</v>
      </c>
      <c r="L103" s="10">
        <f t="shared" si="7"/>
        <v>0.34934882532121253</v>
      </c>
      <c r="M103" s="10">
        <f t="shared" si="11"/>
        <v>0.44896078739687134</v>
      </c>
      <c r="P103" s="8">
        <f t="shared" si="12"/>
        <v>-13.266408910372851</v>
      </c>
      <c r="U103" s="8">
        <v>160</v>
      </c>
      <c r="V103" s="10">
        <f t="shared" si="13"/>
        <v>0.22189633541435203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1541.4011684518</v>
      </c>
      <c r="E104">
        <v>589.98734177214999</v>
      </c>
      <c r="F104">
        <v>127.3099009901</v>
      </c>
      <c r="G104">
        <v>110.39801980198</v>
      </c>
      <c r="I104" s="9">
        <f t="shared" si="8"/>
        <v>479.58932197016998</v>
      </c>
      <c r="J104" s="9">
        <f t="shared" si="9"/>
        <v>1414.0912674617</v>
      </c>
      <c r="K104" s="9">
        <f t="shared" si="10"/>
        <v>479.58932197016998</v>
      </c>
      <c r="L104" s="10">
        <f t="shared" si="7"/>
        <v>0.33915018995275664</v>
      </c>
      <c r="M104" s="10">
        <f t="shared" si="11"/>
        <v>0.43974840907866952</v>
      </c>
      <c r="P104" s="8">
        <f t="shared" si="12"/>
        <v>-15.046124815288941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1553.2580331060999</v>
      </c>
      <c r="E105">
        <v>620.51898734176996</v>
      </c>
      <c r="F105">
        <v>127.75742574257001</v>
      </c>
      <c r="G105">
        <v>110.58514851485</v>
      </c>
      <c r="I105" s="9">
        <f t="shared" si="8"/>
        <v>509.93383882691995</v>
      </c>
      <c r="J105" s="9">
        <f t="shared" si="9"/>
        <v>1425.50060736353</v>
      </c>
      <c r="K105" s="9">
        <f t="shared" si="10"/>
        <v>509.93383882691995</v>
      </c>
      <c r="L105" s="10">
        <f t="shared" si="7"/>
        <v>0.35772263876480909</v>
      </c>
      <c r="M105" s="10">
        <f t="shared" si="11"/>
        <v>0.45930711494097598</v>
      </c>
      <c r="P105" s="8">
        <f t="shared" si="12"/>
        <v>-11.26762824248245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1566.5228821810999</v>
      </c>
      <c r="E106">
        <v>661.78967867576</v>
      </c>
      <c r="F106">
        <v>127.09207920791999</v>
      </c>
      <c r="G106">
        <v>110.43663366337</v>
      </c>
      <c r="I106" s="9">
        <f t="shared" si="8"/>
        <v>551.35304501239</v>
      </c>
      <c r="J106" s="9">
        <f t="shared" si="9"/>
        <v>1439.4308029731799</v>
      </c>
      <c r="K106" s="9">
        <f t="shared" si="10"/>
        <v>551.35304501239</v>
      </c>
      <c r="L106" s="10">
        <f t="shared" si="7"/>
        <v>0.38303546365240809</v>
      </c>
      <c r="M106" s="10">
        <f t="shared" si="11"/>
        <v>0.48560619687882906</v>
      </c>
      <c r="P106" s="8">
        <f t="shared" si="12"/>
        <v>-6.1869755822447043</v>
      </c>
      <c r="X106" s="8">
        <v>-13</v>
      </c>
    </row>
    <row r="107" spans="1:25" x14ac:dyDescent="0.2">
      <c r="A107" s="8">
        <v>52.5</v>
      </c>
      <c r="B107" s="8">
        <v>105</v>
      </c>
      <c r="D107">
        <v>1555.8091528724001</v>
      </c>
      <c r="E107">
        <v>671.49367088608005</v>
      </c>
      <c r="F107">
        <v>127.30693069307</v>
      </c>
      <c r="G107">
        <v>110.22376237624</v>
      </c>
      <c r="I107" s="9">
        <f t="shared" si="8"/>
        <v>561.26990850984009</v>
      </c>
      <c r="J107" s="9">
        <f t="shared" si="9"/>
        <v>1428.5022221793301</v>
      </c>
      <c r="K107" s="9">
        <f t="shared" si="10"/>
        <v>561.26990850984009</v>
      </c>
      <c r="L107" s="10">
        <f t="shared" si="7"/>
        <v>0.39290797017701795</v>
      </c>
      <c r="M107" s="10">
        <f t="shared" si="11"/>
        <v>0.49646496045369298</v>
      </c>
      <c r="P107" s="8">
        <f t="shared" si="12"/>
        <v>-4.0891987026602559</v>
      </c>
      <c r="X107" s="8">
        <v>-13</v>
      </c>
    </row>
    <row r="108" spans="1:25" x14ac:dyDescent="0.2">
      <c r="A108" s="8">
        <v>53</v>
      </c>
      <c r="B108" s="8">
        <v>106</v>
      </c>
      <c r="D108">
        <v>1566.3898635477999</v>
      </c>
      <c r="E108">
        <v>650.76608187135002</v>
      </c>
      <c r="F108">
        <v>127.39702970297</v>
      </c>
      <c r="G108">
        <v>110.59108910891</v>
      </c>
      <c r="I108" s="9">
        <f t="shared" si="8"/>
        <v>540.17499276244007</v>
      </c>
      <c r="J108" s="9">
        <f t="shared" si="9"/>
        <v>1438.9928338448299</v>
      </c>
      <c r="K108" s="9">
        <f t="shared" si="10"/>
        <v>540.17499276244007</v>
      </c>
      <c r="L108" s="10">
        <f t="shared" si="7"/>
        <v>0.3753840742341657</v>
      </c>
      <c r="M108" s="10">
        <f t="shared" si="11"/>
        <v>0.47992732156109474</v>
      </c>
      <c r="P108" s="8">
        <f t="shared" si="12"/>
        <v>-7.2840630417380021</v>
      </c>
      <c r="X108" s="8">
        <v>-13</v>
      </c>
    </row>
    <row r="109" spans="1:25" x14ac:dyDescent="0.2">
      <c r="A109" s="8">
        <v>53.5</v>
      </c>
      <c r="B109" s="8">
        <v>107</v>
      </c>
      <c r="D109">
        <v>1577.8625730993999</v>
      </c>
      <c r="E109">
        <v>660.45711500975005</v>
      </c>
      <c r="F109">
        <v>127.57623762375999</v>
      </c>
      <c r="G109">
        <v>110.78514851484999</v>
      </c>
      <c r="I109" s="9">
        <f t="shared" si="8"/>
        <v>549.67196649490006</v>
      </c>
      <c r="J109" s="9">
        <f t="shared" si="9"/>
        <v>1450.28633547564</v>
      </c>
      <c r="K109" s="9">
        <f t="shared" si="10"/>
        <v>549.67196649490006</v>
      </c>
      <c r="L109" s="10">
        <f t="shared" si="7"/>
        <v>0.3790092708241839</v>
      </c>
      <c r="M109" s="10">
        <f t="shared" si="11"/>
        <v>0.48453877520136701</v>
      </c>
      <c r="P109" s="8">
        <f t="shared" si="12"/>
        <v>-6.3931880575702094</v>
      </c>
      <c r="X109" s="8">
        <v>-13</v>
      </c>
    </row>
    <row r="110" spans="1:25" x14ac:dyDescent="0.2">
      <c r="A110" s="8">
        <v>54</v>
      </c>
      <c r="B110" s="8">
        <v>108</v>
      </c>
      <c r="D110">
        <v>1512.8713450292</v>
      </c>
      <c r="E110">
        <v>599.13840155945002</v>
      </c>
      <c r="F110">
        <v>127.59504950495</v>
      </c>
      <c r="G110">
        <v>110.78415841584</v>
      </c>
      <c r="I110" s="9">
        <f t="shared" si="8"/>
        <v>488.35424314361001</v>
      </c>
      <c r="J110" s="9">
        <f t="shared" si="9"/>
        <v>1385.2762955242501</v>
      </c>
      <c r="K110" s="9">
        <f t="shared" si="10"/>
        <v>488.35424314361001</v>
      </c>
      <c r="L110" s="10">
        <f t="shared" si="7"/>
        <v>0.35253201453129251</v>
      </c>
      <c r="M110" s="10">
        <f t="shared" si="11"/>
        <v>0.4590477759587297</v>
      </c>
      <c r="P110" s="8">
        <f t="shared" si="12"/>
        <v>-11.317729279969864</v>
      </c>
      <c r="X110" s="8">
        <v>-13</v>
      </c>
    </row>
    <row r="111" spans="1:25" x14ac:dyDescent="0.2">
      <c r="A111" s="8">
        <v>54.5</v>
      </c>
      <c r="B111" s="8">
        <v>109</v>
      </c>
      <c r="D111">
        <v>1491.8167641325999</v>
      </c>
      <c r="E111">
        <v>572.50292397660996</v>
      </c>
      <c r="F111">
        <v>127.06534653465</v>
      </c>
      <c r="G111">
        <v>110.47128712871</v>
      </c>
      <c r="I111" s="9">
        <f t="shared" si="8"/>
        <v>462.03163684789996</v>
      </c>
      <c r="J111" s="9">
        <f t="shared" si="9"/>
        <v>1364.75141759795</v>
      </c>
      <c r="K111" s="9">
        <f t="shared" si="10"/>
        <v>462.03163684789996</v>
      </c>
      <c r="L111" s="10">
        <f t="shared" si="7"/>
        <v>0.33854636887727529</v>
      </c>
      <c r="M111" s="10">
        <f t="shared" si="11"/>
        <v>0.44604838735496649</v>
      </c>
      <c r="P111" s="8">
        <f t="shared" si="12"/>
        <v>-13.82904805707564</v>
      </c>
      <c r="X111" s="8">
        <v>-13</v>
      </c>
    </row>
    <row r="112" spans="1:25" x14ac:dyDescent="0.2">
      <c r="A112" s="8">
        <v>55</v>
      </c>
      <c r="B112" s="8">
        <v>110</v>
      </c>
      <c r="D112">
        <v>1506.8567251462</v>
      </c>
      <c r="E112">
        <v>582.99512670565002</v>
      </c>
      <c r="F112">
        <v>127.95445544555</v>
      </c>
      <c r="G112">
        <v>110.50792079208</v>
      </c>
      <c r="I112" s="9">
        <f t="shared" si="8"/>
        <v>472.48720591357005</v>
      </c>
      <c r="J112" s="9">
        <f t="shared" si="9"/>
        <v>1378.9022697006501</v>
      </c>
      <c r="K112" s="9">
        <f t="shared" si="10"/>
        <v>472.48720591357005</v>
      </c>
      <c r="L112" s="10">
        <f t="shared" si="7"/>
        <v>0.34265460018144989</v>
      </c>
      <c r="M112" s="10">
        <f t="shared" si="11"/>
        <v>0.45114287570939515</v>
      </c>
      <c r="P112" s="8">
        <f t="shared" si="12"/>
        <v>-12.844856826688106</v>
      </c>
      <c r="X112" s="8">
        <v>-13</v>
      </c>
    </row>
    <row r="113" spans="1:24" x14ac:dyDescent="0.2">
      <c r="A113" s="8">
        <v>55.5</v>
      </c>
      <c r="B113" s="8">
        <v>111</v>
      </c>
      <c r="D113">
        <v>1506.7826510721</v>
      </c>
      <c r="E113">
        <v>612.22417153996003</v>
      </c>
      <c r="F113">
        <v>127.79306930692999</v>
      </c>
      <c r="G113">
        <v>110.34752475248</v>
      </c>
      <c r="I113" s="9">
        <f t="shared" si="8"/>
        <v>501.87664678748001</v>
      </c>
      <c r="J113" s="9">
        <f t="shared" si="9"/>
        <v>1378.98958176517</v>
      </c>
      <c r="K113" s="9">
        <f t="shared" si="10"/>
        <v>501.87664678748001</v>
      </c>
      <c r="L113" s="10">
        <f t="shared" si="7"/>
        <v>0.36394520555046894</v>
      </c>
      <c r="M113" s="10">
        <f t="shared" si="11"/>
        <v>0.47341973812866822</v>
      </c>
      <c r="P113" s="8">
        <f t="shared" si="12"/>
        <v>-8.5412465113285752</v>
      </c>
      <c r="X113" s="8">
        <v>-13</v>
      </c>
    </row>
    <row r="114" spans="1:24" x14ac:dyDescent="0.2">
      <c r="A114" s="8">
        <v>56</v>
      </c>
      <c r="B114" s="8">
        <v>112</v>
      </c>
      <c r="D114">
        <v>1521.156920078</v>
      </c>
      <c r="E114">
        <v>625.33235867446001</v>
      </c>
      <c r="F114">
        <v>127.25643564356</v>
      </c>
      <c r="G114">
        <v>110.44851485149</v>
      </c>
      <c r="I114" s="9">
        <f t="shared" si="8"/>
        <v>514.88384382296999</v>
      </c>
      <c r="J114" s="9">
        <f t="shared" si="9"/>
        <v>1393.9004844344399</v>
      </c>
      <c r="K114" s="9">
        <f t="shared" si="10"/>
        <v>514.88384382296999</v>
      </c>
      <c r="L114" s="10">
        <f t="shared" si="7"/>
        <v>0.369383503035282</v>
      </c>
      <c r="M114" s="10">
        <f t="shared" si="11"/>
        <v>0.47984429266373535</v>
      </c>
      <c r="P114" s="8">
        <f t="shared" si="12"/>
        <v>-7.3001031829582343</v>
      </c>
      <c r="X114" s="8">
        <v>-13</v>
      </c>
    </row>
    <row r="115" spans="1:24" x14ac:dyDescent="0.2">
      <c r="A115" s="8">
        <v>56.5</v>
      </c>
      <c r="B115" s="8">
        <v>113</v>
      </c>
      <c r="D115">
        <v>1527.3849902534</v>
      </c>
      <c r="E115">
        <v>613.24853801170002</v>
      </c>
      <c r="F115">
        <v>127.53069306931</v>
      </c>
      <c r="G115">
        <v>110.52277227723</v>
      </c>
      <c r="I115" s="9">
        <f t="shared" si="8"/>
        <v>502.72576573447003</v>
      </c>
      <c r="J115" s="9">
        <f t="shared" si="9"/>
        <v>1399.85429718409</v>
      </c>
      <c r="K115" s="9">
        <f t="shared" si="10"/>
        <v>502.72576573447003</v>
      </c>
      <c r="L115" s="10">
        <f t="shared" si="7"/>
        <v>0.35912720827141792</v>
      </c>
      <c r="M115" s="10">
        <f t="shared" si="11"/>
        <v>0.47057425495012534</v>
      </c>
      <c r="P115" s="8">
        <f t="shared" si="12"/>
        <v>-9.0909581596244564</v>
      </c>
      <c r="X115" s="8">
        <v>-13</v>
      </c>
    </row>
    <row r="116" spans="1:24" x14ac:dyDescent="0.2">
      <c r="A116" s="8">
        <v>57</v>
      </c>
      <c r="B116" s="8">
        <v>114</v>
      </c>
      <c r="D116">
        <v>1506.5155945419001</v>
      </c>
      <c r="E116">
        <v>599.33333333332996</v>
      </c>
      <c r="F116">
        <v>127.1099009901</v>
      </c>
      <c r="G116">
        <v>110.43663366337</v>
      </c>
      <c r="I116" s="9">
        <f t="shared" si="8"/>
        <v>488.89669966995996</v>
      </c>
      <c r="J116" s="9">
        <f t="shared" si="9"/>
        <v>1379.4056935518001</v>
      </c>
      <c r="K116" s="9">
        <f t="shared" si="10"/>
        <v>488.89669966995996</v>
      </c>
      <c r="L116" s="10">
        <f t="shared" si="7"/>
        <v>0.35442560658939359</v>
      </c>
      <c r="M116" s="10">
        <f t="shared" si="11"/>
        <v>0.46685891031835502</v>
      </c>
      <c r="P116" s="8">
        <f t="shared" si="12"/>
        <v>-9.808716126678604</v>
      </c>
      <c r="X116" s="8">
        <v>-13</v>
      </c>
    </row>
    <row r="117" spans="1:24" x14ac:dyDescent="0.2">
      <c r="A117" s="8">
        <v>57.5</v>
      </c>
      <c r="B117" s="8">
        <v>115</v>
      </c>
      <c r="D117">
        <v>1517.7631578947</v>
      </c>
      <c r="E117">
        <v>611.49220272904995</v>
      </c>
      <c r="F117">
        <v>127.49603960396</v>
      </c>
      <c r="G117">
        <v>110.55148514852</v>
      </c>
      <c r="I117" s="9">
        <f t="shared" si="8"/>
        <v>500.94071758052996</v>
      </c>
      <c r="J117" s="9">
        <f t="shared" si="9"/>
        <v>1390.26711829074</v>
      </c>
      <c r="K117" s="9">
        <f t="shared" si="10"/>
        <v>500.94071758052996</v>
      </c>
      <c r="L117" s="10">
        <f t="shared" si="7"/>
        <v>0.36031976228885432</v>
      </c>
      <c r="M117" s="10">
        <f t="shared" si="11"/>
        <v>0.47373932306806982</v>
      </c>
      <c r="P117" s="8">
        <f t="shared" si="12"/>
        <v>-8.4795067108146416</v>
      </c>
      <c r="X117" s="8">
        <v>-13</v>
      </c>
    </row>
    <row r="118" spans="1:24" x14ac:dyDescent="0.2">
      <c r="A118" s="8">
        <v>58</v>
      </c>
      <c r="B118" s="8">
        <v>116</v>
      </c>
      <c r="D118">
        <v>1447.9746588693999</v>
      </c>
      <c r="E118">
        <v>571.88109161793</v>
      </c>
      <c r="F118">
        <v>127.2</v>
      </c>
      <c r="G118">
        <v>110.70891089109</v>
      </c>
      <c r="I118" s="9">
        <f t="shared" si="8"/>
        <v>461.17218072684</v>
      </c>
      <c r="J118" s="9">
        <f t="shared" si="9"/>
        <v>1320.7746588693999</v>
      </c>
      <c r="K118" s="9">
        <f t="shared" si="10"/>
        <v>461.17218072684</v>
      </c>
      <c r="L118" s="10">
        <f t="shared" si="7"/>
        <v>0.34916795051292798</v>
      </c>
      <c r="M118" s="10">
        <f t="shared" si="11"/>
        <v>0.4635737683423975</v>
      </c>
      <c r="P118" s="8">
        <f t="shared" si="12"/>
        <v>-10.443364338310051</v>
      </c>
      <c r="X118" s="8">
        <v>-13</v>
      </c>
    </row>
    <row r="119" spans="1:24" x14ac:dyDescent="0.2">
      <c r="A119" s="8">
        <v>58.5</v>
      </c>
      <c r="B119" s="8">
        <v>117</v>
      </c>
      <c r="D119">
        <v>1421.2222222221999</v>
      </c>
      <c r="E119">
        <v>560.83820662768005</v>
      </c>
      <c r="F119">
        <v>127.1603960396</v>
      </c>
      <c r="G119">
        <v>110.29603960396</v>
      </c>
      <c r="I119" s="9">
        <f t="shared" si="8"/>
        <v>450.54216702372003</v>
      </c>
      <c r="J119" s="9">
        <f t="shared" si="9"/>
        <v>1294.0618261825998</v>
      </c>
      <c r="K119" s="9">
        <f t="shared" si="10"/>
        <v>450.54216702372003</v>
      </c>
      <c r="L119" s="10">
        <f t="shared" si="7"/>
        <v>0.34816123766882978</v>
      </c>
      <c r="M119" s="10">
        <f t="shared" si="11"/>
        <v>0.46355331254855336</v>
      </c>
      <c r="P119" s="8">
        <f t="shared" si="12"/>
        <v>-10.447316141025333</v>
      </c>
      <c r="X119" s="8">
        <v>-13</v>
      </c>
    </row>
    <row r="120" spans="1:24" x14ac:dyDescent="0.2">
      <c r="A120" s="8">
        <v>59</v>
      </c>
      <c r="B120" s="8">
        <v>118</v>
      </c>
      <c r="D120">
        <v>1483.7612085769999</v>
      </c>
      <c r="E120">
        <v>620.29727095517001</v>
      </c>
      <c r="F120">
        <v>127.1</v>
      </c>
      <c r="G120">
        <v>110.56732673267</v>
      </c>
      <c r="I120" s="9">
        <f t="shared" si="8"/>
        <v>509.72994422250002</v>
      </c>
      <c r="J120" s="9">
        <f t="shared" si="9"/>
        <v>1356.661208577</v>
      </c>
      <c r="K120" s="9">
        <f t="shared" si="10"/>
        <v>509.72994422250002</v>
      </c>
      <c r="L120" s="10">
        <f t="shared" si="7"/>
        <v>0.37572382920652314</v>
      </c>
      <c r="M120" s="10">
        <f t="shared" si="11"/>
        <v>0.49210216113650079</v>
      </c>
      <c r="P120" s="8">
        <f t="shared" si="12"/>
        <v>-4.9320367914329255</v>
      </c>
      <c r="X120" s="8">
        <v>-13</v>
      </c>
    </row>
    <row r="121" spans="1:24" x14ac:dyDescent="0.2">
      <c r="A121" s="8">
        <v>59.5</v>
      </c>
      <c r="B121" s="8">
        <v>119</v>
      </c>
      <c r="D121">
        <v>1441.3304093567001</v>
      </c>
      <c r="E121">
        <v>601.58479532163994</v>
      </c>
      <c r="F121">
        <v>127.39702970297</v>
      </c>
      <c r="G121">
        <v>110.65742574257</v>
      </c>
      <c r="I121" s="9">
        <f t="shared" si="8"/>
        <v>490.92736957906993</v>
      </c>
      <c r="J121" s="9">
        <f t="shared" si="9"/>
        <v>1313.9333796537301</v>
      </c>
      <c r="K121" s="9">
        <f t="shared" si="10"/>
        <v>490.92736957906993</v>
      </c>
      <c r="L121" s="10">
        <f t="shared" si="7"/>
        <v>0.37363185773425395</v>
      </c>
      <c r="M121" s="10">
        <f t="shared" si="11"/>
        <v>0.49099644671448561</v>
      </c>
      <c r="P121" s="8">
        <f t="shared" si="12"/>
        <v>-5.1456469445534747</v>
      </c>
      <c r="X121" s="8">
        <v>-13</v>
      </c>
    </row>
    <row r="122" spans="1:24" x14ac:dyDescent="0.2">
      <c r="A122" s="8">
        <v>60</v>
      </c>
      <c r="B122" s="8">
        <v>120</v>
      </c>
      <c r="D122">
        <v>1485.3941747573001</v>
      </c>
      <c r="E122">
        <v>613.52038834951998</v>
      </c>
      <c r="F122">
        <v>126.71386138614</v>
      </c>
      <c r="G122">
        <v>109.75544554455</v>
      </c>
      <c r="I122" s="9">
        <f t="shared" si="8"/>
        <v>503.76494280496996</v>
      </c>
      <c r="J122" s="9">
        <f t="shared" si="9"/>
        <v>1358.6803133711601</v>
      </c>
      <c r="K122" s="9">
        <f t="shared" si="10"/>
        <v>503.76494280496996</v>
      </c>
      <c r="L122" s="10">
        <f t="shared" si="7"/>
        <v>0.37077518371855073</v>
      </c>
      <c r="M122" s="10">
        <f t="shared" si="11"/>
        <v>0.48912602974903646</v>
      </c>
      <c r="P122" s="8">
        <f t="shared" si="12"/>
        <v>-5.5069880344713393</v>
      </c>
      <c r="X122" s="8">
        <v>-13</v>
      </c>
    </row>
    <row r="123" spans="1:24" x14ac:dyDescent="0.2">
      <c r="A123" s="8">
        <v>60.5</v>
      </c>
      <c r="B123" s="8">
        <v>121</v>
      </c>
      <c r="D123">
        <v>1494.5601941748</v>
      </c>
      <c r="E123">
        <v>656.85339805825004</v>
      </c>
      <c r="F123">
        <v>127.20099009901</v>
      </c>
      <c r="G123">
        <v>110.30297029703</v>
      </c>
      <c r="I123" s="9">
        <f t="shared" si="8"/>
        <v>546.55042776122002</v>
      </c>
      <c r="J123" s="9">
        <f t="shared" si="9"/>
        <v>1367.3592040757901</v>
      </c>
      <c r="K123" s="9">
        <f t="shared" si="10"/>
        <v>546.55042776122002</v>
      </c>
      <c r="L123" s="10">
        <f t="shared" si="7"/>
        <v>0.39971239900391659</v>
      </c>
      <c r="M123" s="10">
        <f t="shared" si="11"/>
        <v>0.51904950208465639</v>
      </c>
      <c r="P123" s="8">
        <f t="shared" si="12"/>
        <v>0.27385137599855491</v>
      </c>
      <c r="X123" s="8">
        <v>-13</v>
      </c>
    </row>
    <row r="124" spans="1:24" x14ac:dyDescent="0.2">
      <c r="A124" s="8">
        <v>61</v>
      </c>
      <c r="B124" s="8">
        <v>122</v>
      </c>
      <c r="D124">
        <v>1511.5815533980999</v>
      </c>
      <c r="E124">
        <v>669.75728155340005</v>
      </c>
      <c r="F124">
        <v>127.03366336633999</v>
      </c>
      <c r="G124">
        <v>110.35445544555</v>
      </c>
      <c r="I124" s="9">
        <f t="shared" si="8"/>
        <v>559.40282610785005</v>
      </c>
      <c r="J124" s="9">
        <f t="shared" si="9"/>
        <v>1384.5478900317598</v>
      </c>
      <c r="K124" s="9">
        <f t="shared" si="10"/>
        <v>559.40282610785005</v>
      </c>
      <c r="L124" s="10">
        <f t="shared" si="7"/>
        <v>0.40403284720979787</v>
      </c>
      <c r="M124" s="10">
        <f t="shared" si="11"/>
        <v>0.52435620734079169</v>
      </c>
      <c r="P124" s="8">
        <f t="shared" si="12"/>
        <v>1.2990402491460584</v>
      </c>
      <c r="X124" s="8">
        <v>-13</v>
      </c>
    </row>
    <row r="125" spans="1:24" x14ac:dyDescent="0.2">
      <c r="A125" s="8">
        <v>61.5</v>
      </c>
      <c r="B125" s="8">
        <v>123</v>
      </c>
      <c r="D125">
        <v>1506.4349514563</v>
      </c>
      <c r="E125">
        <v>623.52135922330001</v>
      </c>
      <c r="F125">
        <v>127.50495049505</v>
      </c>
      <c r="G125">
        <v>110.63069306931</v>
      </c>
      <c r="I125" s="9">
        <f t="shared" si="8"/>
        <v>512.89066615398997</v>
      </c>
      <c r="J125" s="9">
        <f t="shared" si="9"/>
        <v>1378.93000096125</v>
      </c>
      <c r="K125" s="9">
        <f t="shared" si="10"/>
        <v>512.89066615398997</v>
      </c>
      <c r="L125" s="10">
        <f t="shared" si="7"/>
        <v>0.37194829744545022</v>
      </c>
      <c r="M125" s="10">
        <f t="shared" si="11"/>
        <v>0.4932579146266981</v>
      </c>
      <c r="P125" s="8">
        <f t="shared" si="12"/>
        <v>-4.7087597181713567</v>
      </c>
      <c r="X125" s="8">
        <v>-13</v>
      </c>
    </row>
    <row r="126" spans="1:24" x14ac:dyDescent="0.2">
      <c r="A126" s="8">
        <v>62</v>
      </c>
      <c r="B126" s="8">
        <v>124</v>
      </c>
      <c r="D126">
        <v>1479.4155339806</v>
      </c>
      <c r="E126">
        <v>582.81262135921997</v>
      </c>
      <c r="F126">
        <v>126.90693069307</v>
      </c>
      <c r="G126">
        <v>110.45940594059</v>
      </c>
      <c r="I126" s="9">
        <f t="shared" si="8"/>
        <v>472.35321541862999</v>
      </c>
      <c r="J126" s="9">
        <f t="shared" si="9"/>
        <v>1352.5086032875299</v>
      </c>
      <c r="K126" s="9">
        <f t="shared" si="10"/>
        <v>472.35321541862999</v>
      </c>
      <c r="L126" s="10">
        <f t="shared" si="7"/>
        <v>0.3492423000271388</v>
      </c>
      <c r="M126" s="10">
        <f t="shared" si="11"/>
        <v>0.47153817425864075</v>
      </c>
      <c r="P126" s="8">
        <f t="shared" si="12"/>
        <v>-8.9047410433526348</v>
      </c>
      <c r="X126" s="8">
        <v>-13</v>
      </c>
    </row>
    <row r="127" spans="1:24" x14ac:dyDescent="0.2">
      <c r="A127" s="8">
        <v>62.5</v>
      </c>
      <c r="B127" s="8">
        <v>125</v>
      </c>
      <c r="D127">
        <v>1420.2766990291</v>
      </c>
      <c r="E127">
        <v>531.97669902913003</v>
      </c>
      <c r="F127">
        <v>127.39108910890999</v>
      </c>
      <c r="G127">
        <v>110.53861386139</v>
      </c>
      <c r="I127" s="9">
        <f t="shared" si="8"/>
        <v>421.43808516774004</v>
      </c>
      <c r="J127" s="9">
        <f t="shared" si="9"/>
        <v>1292.8856099201901</v>
      </c>
      <c r="K127" s="9">
        <f t="shared" si="10"/>
        <v>421.43808516774004</v>
      </c>
      <c r="L127" s="10">
        <f t="shared" si="7"/>
        <v>0.32596703214428652</v>
      </c>
      <c r="M127" s="10">
        <f t="shared" si="11"/>
        <v>0.44924916342604249</v>
      </c>
      <c r="P127" s="8">
        <f t="shared" si="12"/>
        <v>-13.210698279742495</v>
      </c>
      <c r="X127" s="8">
        <v>-13</v>
      </c>
    </row>
    <row r="128" spans="1:24" x14ac:dyDescent="0.2">
      <c r="A128" s="8">
        <v>63</v>
      </c>
      <c r="B128" s="8">
        <v>126</v>
      </c>
      <c r="D128">
        <v>1606.9980525803001</v>
      </c>
      <c r="E128">
        <v>611.71762414800003</v>
      </c>
      <c r="F128">
        <v>127.49108910891</v>
      </c>
      <c r="G128">
        <v>110.39702970297</v>
      </c>
      <c r="I128" s="9">
        <f t="shared" si="8"/>
        <v>501.32059444503</v>
      </c>
      <c r="J128" s="9">
        <f t="shared" si="9"/>
        <v>1479.50696347139</v>
      </c>
      <c r="K128" s="9">
        <f t="shared" si="10"/>
        <v>501.32059444503</v>
      </c>
      <c r="L128" s="10">
        <f t="shared" si="7"/>
        <v>0.33884301109930143</v>
      </c>
      <c r="M128" s="10">
        <f t="shared" si="11"/>
        <v>0.46311139943131147</v>
      </c>
      <c r="P128" s="8">
        <f t="shared" si="12"/>
        <v>-10.532688210666951</v>
      </c>
      <c r="X128" s="8">
        <v>-13</v>
      </c>
    </row>
    <row r="129" spans="1:24" x14ac:dyDescent="0.2">
      <c r="A129" s="8">
        <v>63.5</v>
      </c>
      <c r="B129" s="8">
        <v>127</v>
      </c>
      <c r="D129">
        <v>1588.7390457644001</v>
      </c>
      <c r="E129">
        <v>604.08276533593005</v>
      </c>
      <c r="F129">
        <v>127.32178217822</v>
      </c>
      <c r="G129">
        <v>110.69801980198</v>
      </c>
      <c r="I129" s="9">
        <f t="shared" si="8"/>
        <v>493.38474553395008</v>
      </c>
      <c r="J129" s="9">
        <f t="shared" si="9"/>
        <v>1461.4172635861801</v>
      </c>
      <c r="K129" s="9">
        <f t="shared" si="10"/>
        <v>493.38474553395008</v>
      </c>
      <c r="L129" s="10">
        <f t="shared" si="7"/>
        <v>0.33760703245234047</v>
      </c>
      <c r="M129" s="10">
        <f t="shared" si="11"/>
        <v>0.46286167783460452</v>
      </c>
      <c r="P129" s="8">
        <f t="shared" si="12"/>
        <v>-10.580931289935881</v>
      </c>
      <c r="X129" s="8">
        <v>-13</v>
      </c>
    </row>
    <row r="130" spans="1:24" x14ac:dyDescent="0.2">
      <c r="A130" s="8">
        <v>64</v>
      </c>
      <c r="B130" s="8">
        <v>128</v>
      </c>
      <c r="D130">
        <v>1559.752677702</v>
      </c>
      <c r="E130">
        <v>621.62901655306996</v>
      </c>
      <c r="F130">
        <v>127.47524752475</v>
      </c>
      <c r="G130">
        <v>110.12277227723</v>
      </c>
      <c r="I130" s="9">
        <f t="shared" si="8"/>
        <v>511.50624427583995</v>
      </c>
      <c r="J130" s="9">
        <f t="shared" si="9"/>
        <v>1432.2774301772499</v>
      </c>
      <c r="K130" s="9">
        <f t="shared" si="10"/>
        <v>511.50624427583995</v>
      </c>
      <c r="L130" s="10">
        <f t="shared" ref="L130:L193" si="14">K130/J130</f>
        <v>0.35712790936916394</v>
      </c>
      <c r="M130" s="10">
        <f t="shared" si="11"/>
        <v>0.48336881180168206</v>
      </c>
      <c r="P130" s="8">
        <f t="shared" si="12"/>
        <v>-6.6192103070554467</v>
      </c>
      <c r="X130" s="8">
        <v>-13</v>
      </c>
    </row>
    <row r="131" spans="1:24" x14ac:dyDescent="0.2">
      <c r="A131" s="8">
        <v>64.5</v>
      </c>
      <c r="B131" s="8">
        <v>129</v>
      </c>
      <c r="D131">
        <v>1545.2336903603</v>
      </c>
      <c r="E131">
        <v>615.22784810126996</v>
      </c>
      <c r="F131">
        <v>127.9099009901</v>
      </c>
      <c r="G131">
        <v>110.37524752474999</v>
      </c>
      <c r="I131" s="9">
        <f t="shared" ref="I131:I194" si="15">E131-G131</f>
        <v>504.85260057651999</v>
      </c>
      <c r="J131" s="9">
        <f t="shared" ref="J131:J194" si="16">D131-F131</f>
        <v>1417.3237893702001</v>
      </c>
      <c r="K131" s="9">
        <f t="shared" ref="K131:K194" si="17">I131*1</f>
        <v>504.85260057651999</v>
      </c>
      <c r="L131" s="10">
        <f t="shared" si="14"/>
        <v>0.35620131713223802</v>
      </c>
      <c r="M131" s="10">
        <f t="shared" ref="M131:M181" si="18">L131+ABS($N$2)*A131</f>
        <v>0.48342847661501021</v>
      </c>
      <c r="P131" s="8">
        <f t="shared" ref="P131:P194" si="19">(M131-$O$2)/$O$2*100</f>
        <v>-6.6076838137248224</v>
      </c>
      <c r="X131" s="8">
        <v>-13</v>
      </c>
    </row>
    <row r="132" spans="1:24" x14ac:dyDescent="0.2">
      <c r="A132" s="8">
        <v>65</v>
      </c>
      <c r="B132" s="8">
        <v>130</v>
      </c>
      <c r="D132">
        <v>1557.2979552094</v>
      </c>
      <c r="E132">
        <v>603.14897760466999</v>
      </c>
      <c r="F132">
        <v>127.09405940594</v>
      </c>
      <c r="G132">
        <v>110.44554455446</v>
      </c>
      <c r="I132" s="9">
        <f t="shared" si="15"/>
        <v>492.70343305020998</v>
      </c>
      <c r="J132" s="9">
        <f t="shared" si="16"/>
        <v>1430.20389580346</v>
      </c>
      <c r="K132" s="9">
        <f t="shared" si="17"/>
        <v>492.70343305020998</v>
      </c>
      <c r="L132" s="10">
        <f t="shared" si="14"/>
        <v>0.3444987351075694</v>
      </c>
      <c r="M132" s="10">
        <f t="shared" si="18"/>
        <v>0.4727121516405956</v>
      </c>
      <c r="P132" s="8">
        <f t="shared" si="19"/>
        <v>-8.6779433428556132</v>
      </c>
      <c r="X132" s="8">
        <v>-13</v>
      </c>
    </row>
    <row r="133" spans="1:24" x14ac:dyDescent="0.2">
      <c r="A133" s="8">
        <v>65.5</v>
      </c>
      <c r="B133" s="8">
        <v>131</v>
      </c>
      <c r="D133">
        <v>1564.4157740993001</v>
      </c>
      <c r="E133">
        <v>621.31256085687005</v>
      </c>
      <c r="F133">
        <v>127.08217821782</v>
      </c>
      <c r="G133">
        <v>110.54752475248</v>
      </c>
      <c r="I133" s="9">
        <f t="shared" si="15"/>
        <v>510.76503610439005</v>
      </c>
      <c r="J133" s="9">
        <f t="shared" si="16"/>
        <v>1437.3335958814801</v>
      </c>
      <c r="K133" s="9">
        <f t="shared" si="17"/>
        <v>510.76503610439005</v>
      </c>
      <c r="L133" s="10">
        <f t="shared" si="14"/>
        <v>0.35535594351090838</v>
      </c>
      <c r="M133" s="10">
        <f t="shared" si="18"/>
        <v>0.48455561709418865</v>
      </c>
      <c r="P133" s="8">
        <f t="shared" si="19"/>
        <v>-6.3899344151894644</v>
      </c>
      <c r="X133" s="8">
        <v>-13</v>
      </c>
    </row>
    <row r="134" spans="1:24" x14ac:dyDescent="0.2">
      <c r="A134" s="8">
        <v>66</v>
      </c>
      <c r="B134" s="8">
        <v>132</v>
      </c>
      <c r="D134">
        <v>1578.005842259</v>
      </c>
      <c r="E134">
        <v>609.71275559882997</v>
      </c>
      <c r="F134">
        <v>127.00495049505</v>
      </c>
      <c r="G134">
        <v>110.27524752475</v>
      </c>
      <c r="I134" s="9">
        <f t="shared" si="15"/>
        <v>499.43750807407997</v>
      </c>
      <c r="J134" s="9">
        <f t="shared" si="16"/>
        <v>1451.00089176395</v>
      </c>
      <c r="K134" s="9">
        <f t="shared" si="17"/>
        <v>499.43750807407997</v>
      </c>
      <c r="L134" s="10">
        <f t="shared" si="14"/>
        <v>0.34420206831639139</v>
      </c>
      <c r="M134" s="10">
        <f t="shared" si="18"/>
        <v>0.47438799894992567</v>
      </c>
      <c r="P134" s="8">
        <f t="shared" si="19"/>
        <v>-8.3541906692672203</v>
      </c>
      <c r="X134" s="8">
        <v>-13</v>
      </c>
    </row>
    <row r="135" spans="1:24" x14ac:dyDescent="0.2">
      <c r="A135" s="8">
        <v>66.5</v>
      </c>
      <c r="B135" s="8">
        <v>133</v>
      </c>
      <c r="D135">
        <v>1579.3164556961999</v>
      </c>
      <c r="E135">
        <v>613.64167478091997</v>
      </c>
      <c r="F135">
        <v>127.20297029703001</v>
      </c>
      <c r="G135">
        <v>110.20198019802</v>
      </c>
      <c r="I135" s="9">
        <f t="shared" si="15"/>
        <v>503.43969458289996</v>
      </c>
      <c r="J135" s="9">
        <f t="shared" si="16"/>
        <v>1452.1134853991698</v>
      </c>
      <c r="K135" s="9">
        <f t="shared" si="17"/>
        <v>503.43969458289996</v>
      </c>
      <c r="L135" s="10">
        <f t="shared" si="14"/>
        <v>0.34669445580178604</v>
      </c>
      <c r="M135" s="10">
        <f t="shared" si="18"/>
        <v>0.47786664348557439</v>
      </c>
      <c r="P135" s="8">
        <f t="shared" si="19"/>
        <v>-7.6821601909474913</v>
      </c>
      <c r="X135" s="8">
        <v>-13</v>
      </c>
    </row>
    <row r="136" spans="1:24" x14ac:dyDescent="0.2">
      <c r="A136" s="8">
        <v>67</v>
      </c>
      <c r="B136" s="8">
        <v>134</v>
      </c>
      <c r="D136">
        <v>1604.1441090554999</v>
      </c>
      <c r="E136">
        <v>636.90360272638998</v>
      </c>
      <c r="F136">
        <v>127.46534653465</v>
      </c>
      <c r="G136">
        <v>109.77722772276999</v>
      </c>
      <c r="I136" s="9">
        <f t="shared" si="15"/>
        <v>527.12637500361996</v>
      </c>
      <c r="J136" s="9">
        <f t="shared" si="16"/>
        <v>1476.6787625208499</v>
      </c>
      <c r="K136" s="9">
        <f t="shared" si="17"/>
        <v>527.12637500361996</v>
      </c>
      <c r="L136" s="10">
        <f t="shared" si="14"/>
        <v>0.35696753307656326</v>
      </c>
      <c r="M136" s="10">
        <f t="shared" si="18"/>
        <v>0.48912597781060563</v>
      </c>
      <c r="P136" s="8">
        <f t="shared" si="19"/>
        <v>-5.5069980683245134</v>
      </c>
      <c r="X136" s="8">
        <v>-13</v>
      </c>
    </row>
    <row r="137" spans="1:24" x14ac:dyDescent="0.2">
      <c r="A137" s="8">
        <v>67.5</v>
      </c>
      <c r="B137" s="8">
        <v>135</v>
      </c>
      <c r="D137">
        <v>1619.2677702045</v>
      </c>
      <c r="E137">
        <v>642.35150925024004</v>
      </c>
      <c r="F137">
        <v>126.95544554455</v>
      </c>
      <c r="G137">
        <v>110.30495049504999</v>
      </c>
      <c r="I137" s="9">
        <f t="shared" si="15"/>
        <v>532.04655875519006</v>
      </c>
      <c r="J137" s="9">
        <f t="shared" si="16"/>
        <v>1492.31232465995</v>
      </c>
      <c r="K137" s="9">
        <f t="shared" si="17"/>
        <v>532.04655875519006</v>
      </c>
      <c r="L137" s="10">
        <f t="shared" si="14"/>
        <v>0.35652493781851352</v>
      </c>
      <c r="M137" s="10">
        <f t="shared" si="18"/>
        <v>0.48966963960280996</v>
      </c>
      <c r="P137" s="8">
        <f t="shared" si="19"/>
        <v>-5.4019694313036561</v>
      </c>
      <c r="X137" s="8">
        <v>-13</v>
      </c>
    </row>
    <row r="138" spans="1:24" x14ac:dyDescent="0.2">
      <c r="A138" s="8">
        <v>68</v>
      </c>
      <c r="B138" s="8">
        <v>136</v>
      </c>
      <c r="D138">
        <v>1578.1086105674999</v>
      </c>
      <c r="E138">
        <v>647.29549902152996</v>
      </c>
      <c r="F138">
        <v>127.08019801979999</v>
      </c>
      <c r="G138">
        <v>110.23762376238</v>
      </c>
      <c r="I138" s="9">
        <f t="shared" si="15"/>
        <v>537.05787525915002</v>
      </c>
      <c r="J138" s="9">
        <f t="shared" si="16"/>
        <v>1451.0284125476999</v>
      </c>
      <c r="K138" s="9">
        <f t="shared" si="17"/>
        <v>537.05787525915002</v>
      </c>
      <c r="L138" s="10">
        <f t="shared" si="14"/>
        <v>0.37012223235256275</v>
      </c>
      <c r="M138" s="10">
        <f t="shared" si="18"/>
        <v>0.50425319118711331</v>
      </c>
      <c r="P138" s="8">
        <f t="shared" si="19"/>
        <v>-2.5846102425838571</v>
      </c>
      <c r="X138" s="8">
        <v>-13</v>
      </c>
    </row>
    <row r="139" spans="1:24" x14ac:dyDescent="0.2">
      <c r="A139" s="8">
        <v>68.5</v>
      </c>
      <c r="B139" s="8">
        <v>137</v>
      </c>
      <c r="D139">
        <v>1608.7240704501</v>
      </c>
      <c r="E139">
        <v>705.92367906067</v>
      </c>
      <c r="F139">
        <v>127.20099009901</v>
      </c>
      <c r="G139">
        <v>110.28811881188</v>
      </c>
      <c r="I139" s="9">
        <f t="shared" si="15"/>
        <v>595.63556024878994</v>
      </c>
      <c r="J139" s="9">
        <f t="shared" si="16"/>
        <v>1481.5230803510901</v>
      </c>
      <c r="K139" s="9">
        <f t="shared" si="17"/>
        <v>595.63556024878994</v>
      </c>
      <c r="L139" s="10">
        <f t="shared" si="14"/>
        <v>0.40204271411528514</v>
      </c>
      <c r="M139" s="10">
        <f t="shared" si="18"/>
        <v>0.53715993000008966</v>
      </c>
      <c r="P139" s="8">
        <f t="shared" si="19"/>
        <v>3.772558820768829</v>
      </c>
      <c r="X139" s="8">
        <v>-13</v>
      </c>
    </row>
    <row r="140" spans="1:24" x14ac:dyDescent="0.2">
      <c r="A140" s="8">
        <v>69</v>
      </c>
      <c r="B140" s="8">
        <v>138</v>
      </c>
      <c r="D140">
        <v>1631.1399217221001</v>
      </c>
      <c r="E140">
        <v>704.82387475537996</v>
      </c>
      <c r="F140">
        <v>127.04158415841999</v>
      </c>
      <c r="G140">
        <v>110.30693069307</v>
      </c>
      <c r="I140" s="9">
        <f t="shared" si="15"/>
        <v>594.5169440623099</v>
      </c>
      <c r="J140" s="9">
        <f t="shared" si="16"/>
        <v>1504.0983375636802</v>
      </c>
      <c r="K140" s="9">
        <f t="shared" si="17"/>
        <v>594.5169440623099</v>
      </c>
      <c r="L140" s="10">
        <f t="shared" si="14"/>
        <v>0.39526467732508841</v>
      </c>
      <c r="M140" s="10">
        <f t="shared" si="18"/>
        <v>0.53136815026014705</v>
      </c>
      <c r="P140" s="8">
        <f t="shared" si="19"/>
        <v>2.6536596434976745</v>
      </c>
      <c r="X140" s="8">
        <v>-13</v>
      </c>
    </row>
    <row r="141" spans="1:24" x14ac:dyDescent="0.2">
      <c r="A141" s="8">
        <v>69.5</v>
      </c>
      <c r="B141" s="8">
        <v>139</v>
      </c>
      <c r="D141">
        <v>1587.5215264188</v>
      </c>
      <c r="E141">
        <v>648.42367906067</v>
      </c>
      <c r="F141">
        <v>127.50198019801999</v>
      </c>
      <c r="G141">
        <v>110.33861386139</v>
      </c>
      <c r="I141" s="9">
        <f t="shared" si="15"/>
        <v>538.08506519928005</v>
      </c>
      <c r="J141" s="9">
        <f t="shared" si="16"/>
        <v>1460.0195462207801</v>
      </c>
      <c r="K141" s="9">
        <f t="shared" si="17"/>
        <v>538.08506519928005</v>
      </c>
      <c r="L141" s="10">
        <f t="shared" si="14"/>
        <v>0.36854648048520877</v>
      </c>
      <c r="M141" s="10">
        <f t="shared" si="18"/>
        <v>0.50563621047052143</v>
      </c>
      <c r="P141" s="8">
        <f t="shared" si="19"/>
        <v>-2.317428269539624</v>
      </c>
      <c r="X141" s="8">
        <v>-13</v>
      </c>
    </row>
    <row r="142" spans="1:24" x14ac:dyDescent="0.2">
      <c r="A142" s="8">
        <v>70</v>
      </c>
      <c r="B142" s="8">
        <v>140</v>
      </c>
      <c r="D142">
        <v>1596.3835616438</v>
      </c>
      <c r="E142">
        <v>642.61643835615996</v>
      </c>
      <c r="F142">
        <v>127.1099009901</v>
      </c>
      <c r="G142">
        <v>110.21683168317</v>
      </c>
      <c r="I142" s="9">
        <f t="shared" si="15"/>
        <v>532.39960667298999</v>
      </c>
      <c r="J142" s="9">
        <f t="shared" si="16"/>
        <v>1469.2736606537001</v>
      </c>
      <c r="K142" s="9">
        <f t="shared" si="17"/>
        <v>532.39960667298999</v>
      </c>
      <c r="L142" s="10">
        <f t="shared" si="14"/>
        <v>0.36235564614703436</v>
      </c>
      <c r="M142" s="10">
        <f t="shared" si="18"/>
        <v>0.50043163318260109</v>
      </c>
      <c r="P142" s="8">
        <f t="shared" si="19"/>
        <v>-3.3228873006104283</v>
      </c>
      <c r="X142" s="8">
        <v>-13</v>
      </c>
    </row>
    <row r="143" spans="1:24" x14ac:dyDescent="0.2">
      <c r="A143" s="8">
        <v>70.5</v>
      </c>
      <c r="B143" s="8">
        <v>141</v>
      </c>
      <c r="D143">
        <v>1595.6699410609001</v>
      </c>
      <c r="E143">
        <v>617.93025540275005</v>
      </c>
      <c r="F143">
        <v>127.40495049505</v>
      </c>
      <c r="G143">
        <v>110.36732673266999</v>
      </c>
      <c r="I143" s="9">
        <f t="shared" si="15"/>
        <v>507.56292867008005</v>
      </c>
      <c r="J143" s="9">
        <f t="shared" si="16"/>
        <v>1468.26499056585</v>
      </c>
      <c r="K143" s="9">
        <f t="shared" si="17"/>
        <v>507.56292867008005</v>
      </c>
      <c r="L143" s="10">
        <f t="shared" si="14"/>
        <v>0.34568891305817484</v>
      </c>
      <c r="M143" s="10">
        <f t="shared" si="18"/>
        <v>0.48475115714399558</v>
      </c>
      <c r="P143" s="8">
        <f t="shared" si="19"/>
        <v>-6.3521585309748652</v>
      </c>
      <c r="X143" s="8">
        <v>-13</v>
      </c>
    </row>
    <row r="144" spans="1:24" x14ac:dyDescent="0.2">
      <c r="A144" s="8">
        <v>71</v>
      </c>
      <c r="B144" s="8">
        <v>142</v>
      </c>
      <c r="D144">
        <v>1589.2445972495</v>
      </c>
      <c r="E144">
        <v>594.29764243615</v>
      </c>
      <c r="F144">
        <v>126.72178217822</v>
      </c>
      <c r="G144">
        <v>109.92178217822</v>
      </c>
      <c r="I144" s="9">
        <f t="shared" si="15"/>
        <v>484.37586025793001</v>
      </c>
      <c r="J144" s="9">
        <f t="shared" si="16"/>
        <v>1462.5228150712801</v>
      </c>
      <c r="K144" s="9">
        <f t="shared" si="17"/>
        <v>484.37586025793001</v>
      </c>
      <c r="L144" s="10">
        <f t="shared" si="14"/>
        <v>0.33119200279574623</v>
      </c>
      <c r="M144" s="10">
        <f t="shared" si="18"/>
        <v>0.47124050393182104</v>
      </c>
      <c r="P144" s="8">
        <f t="shared" si="19"/>
        <v>-8.9622472156747044</v>
      </c>
    </row>
    <row r="145" spans="1:16" x14ac:dyDescent="0.2">
      <c r="A145" s="8">
        <v>71.5</v>
      </c>
      <c r="B145" s="8">
        <v>143</v>
      </c>
      <c r="D145">
        <v>1552.6237721022001</v>
      </c>
      <c r="E145">
        <v>582.52750491158997</v>
      </c>
      <c r="F145">
        <v>126.95643564356</v>
      </c>
      <c r="G145">
        <v>110.3603960396</v>
      </c>
      <c r="I145" s="9">
        <f t="shared" si="15"/>
        <v>472.16710887198997</v>
      </c>
      <c r="J145" s="9">
        <f t="shared" si="16"/>
        <v>1425.66733645864</v>
      </c>
      <c r="K145" s="9">
        <f t="shared" si="17"/>
        <v>472.16710887198997</v>
      </c>
      <c r="L145" s="10">
        <f t="shared" si="14"/>
        <v>0.33119024108727485</v>
      </c>
      <c r="M145" s="10">
        <f t="shared" si="18"/>
        <v>0.47222499927360373</v>
      </c>
      <c r="P145" s="8">
        <f t="shared" si="19"/>
        <v>-8.7720550679396716</v>
      </c>
    </row>
    <row r="146" spans="1:16" x14ac:dyDescent="0.2">
      <c r="A146" s="8">
        <v>72</v>
      </c>
      <c r="B146" s="8">
        <v>144</v>
      </c>
      <c r="D146">
        <v>1600.5299806575999</v>
      </c>
      <c r="E146">
        <v>587.31818181818005</v>
      </c>
      <c r="F146">
        <v>126.59900990099</v>
      </c>
      <c r="G146">
        <v>110.01386138613999</v>
      </c>
      <c r="I146" s="9">
        <f t="shared" si="15"/>
        <v>477.30432043204007</v>
      </c>
      <c r="J146" s="9">
        <f t="shared" si="16"/>
        <v>1473.9309707566099</v>
      </c>
      <c r="K146" s="9">
        <f t="shared" si="17"/>
        <v>477.30432043204007</v>
      </c>
      <c r="L146" s="10">
        <f t="shared" si="14"/>
        <v>0.32383085090275732</v>
      </c>
      <c r="M146" s="10">
        <f t="shared" si="18"/>
        <v>0.46585186613934021</v>
      </c>
      <c r="P146" s="8">
        <f t="shared" si="19"/>
        <v>-10.003264426850418</v>
      </c>
    </row>
    <row r="147" spans="1:16" x14ac:dyDescent="0.2">
      <c r="A147" s="8">
        <v>72.5</v>
      </c>
      <c r="B147" s="8">
        <v>145</v>
      </c>
      <c r="D147">
        <v>1570.6924564797</v>
      </c>
      <c r="E147">
        <v>573.24468085106002</v>
      </c>
      <c r="F147">
        <v>126.88910891089</v>
      </c>
      <c r="G147">
        <v>110.12079207921001</v>
      </c>
      <c r="I147" s="9">
        <f t="shared" si="15"/>
        <v>463.12388877185003</v>
      </c>
      <c r="J147" s="9">
        <f t="shared" si="16"/>
        <v>1443.8033475688101</v>
      </c>
      <c r="K147" s="9">
        <f t="shared" si="17"/>
        <v>463.12388877185003</v>
      </c>
      <c r="L147" s="10">
        <f t="shared" si="14"/>
        <v>0.320766598547991</v>
      </c>
      <c r="M147" s="10">
        <f t="shared" si="18"/>
        <v>0.46377387083482791</v>
      </c>
      <c r="P147" s="8">
        <f t="shared" si="19"/>
        <v>-10.404707047424793</v>
      </c>
    </row>
    <row r="148" spans="1:16" x14ac:dyDescent="0.2">
      <c r="A148" s="8">
        <v>73</v>
      </c>
      <c r="B148" s="8">
        <v>146</v>
      </c>
      <c r="D148">
        <v>1541.5724003887001</v>
      </c>
      <c r="E148">
        <v>572.48396501458001</v>
      </c>
      <c r="F148">
        <v>126.81188118812</v>
      </c>
      <c r="G148">
        <v>110.20594059406</v>
      </c>
      <c r="I148" s="9">
        <f t="shared" si="15"/>
        <v>462.27802442052001</v>
      </c>
      <c r="J148" s="9">
        <f t="shared" si="16"/>
        <v>1414.7605192005801</v>
      </c>
      <c r="K148" s="9">
        <f t="shared" si="17"/>
        <v>462.27802442052001</v>
      </c>
      <c r="L148" s="10">
        <f t="shared" si="14"/>
        <v>0.3267535516765292</v>
      </c>
      <c r="M148" s="10">
        <f t="shared" si="18"/>
        <v>0.47074708101362017</v>
      </c>
      <c r="P148" s="8">
        <f t="shared" si="19"/>
        <v>-9.0575703325767911</v>
      </c>
    </row>
    <row r="149" spans="1:16" x14ac:dyDescent="0.2">
      <c r="A149" s="8">
        <v>73.5</v>
      </c>
      <c r="B149" s="8">
        <v>147</v>
      </c>
      <c r="D149">
        <v>1599.6472303206999</v>
      </c>
      <c r="E149">
        <v>597.35860058309004</v>
      </c>
      <c r="F149">
        <v>126.95445544555</v>
      </c>
      <c r="G149">
        <v>110.16237623761999</v>
      </c>
      <c r="I149" s="9">
        <f t="shared" si="15"/>
        <v>487.19622434547006</v>
      </c>
      <c r="J149" s="9">
        <f t="shared" si="16"/>
        <v>1472.69277487515</v>
      </c>
      <c r="K149" s="9">
        <f t="shared" si="17"/>
        <v>487.19622434547006</v>
      </c>
      <c r="L149" s="10">
        <f t="shared" si="14"/>
        <v>0.33082000038112019</v>
      </c>
      <c r="M149" s="10">
        <f t="shared" si="18"/>
        <v>0.47579978676846524</v>
      </c>
      <c r="P149" s="8">
        <f t="shared" si="19"/>
        <v>-8.0814509761895614</v>
      </c>
    </row>
    <row r="150" spans="1:16" x14ac:dyDescent="0.2">
      <c r="A150" s="8">
        <v>74</v>
      </c>
      <c r="B150" s="8">
        <v>148</v>
      </c>
      <c r="D150">
        <v>1565.4693877550999</v>
      </c>
      <c r="E150">
        <v>587.76093294460998</v>
      </c>
      <c r="F150">
        <v>127.55643564355999</v>
      </c>
      <c r="G150">
        <v>110.21485148515001</v>
      </c>
      <c r="I150" s="9">
        <f t="shared" si="15"/>
        <v>477.54608145945997</v>
      </c>
      <c r="J150" s="9">
        <f t="shared" si="16"/>
        <v>1437.9129521115399</v>
      </c>
      <c r="K150" s="9">
        <f t="shared" si="17"/>
        <v>477.54608145945997</v>
      </c>
      <c r="L150" s="10">
        <f t="shared" si="14"/>
        <v>0.33211056396577782</v>
      </c>
      <c r="M150" s="10">
        <f t="shared" si="18"/>
        <v>0.47807660740337687</v>
      </c>
      <c r="P150" s="8">
        <f t="shared" si="19"/>
        <v>-7.6415977964099966</v>
      </c>
    </row>
    <row r="151" spans="1:16" x14ac:dyDescent="0.2">
      <c r="A151" s="8">
        <v>74.5</v>
      </c>
      <c r="B151" s="8">
        <v>149</v>
      </c>
      <c r="D151">
        <v>1609.0515063168</v>
      </c>
      <c r="E151">
        <v>570.49368318756001</v>
      </c>
      <c r="F151">
        <v>126.97227722772</v>
      </c>
      <c r="G151">
        <v>110.1297029703</v>
      </c>
      <c r="I151" s="9">
        <f t="shared" si="15"/>
        <v>460.36398021726001</v>
      </c>
      <c r="J151" s="9">
        <f t="shared" si="16"/>
        <v>1482.0792290890799</v>
      </c>
      <c r="K151" s="9">
        <f t="shared" si="17"/>
        <v>460.36398021726001</v>
      </c>
      <c r="L151" s="10">
        <f t="shared" si="14"/>
        <v>0.31062035765807899</v>
      </c>
      <c r="M151" s="10">
        <f t="shared" si="18"/>
        <v>0.45757265814593212</v>
      </c>
      <c r="P151" s="8">
        <f t="shared" si="19"/>
        <v>-11.602703533347391</v>
      </c>
    </row>
    <row r="152" spans="1:16" x14ac:dyDescent="0.2">
      <c r="A152" s="8">
        <v>75</v>
      </c>
      <c r="B152" s="8">
        <v>150</v>
      </c>
      <c r="D152">
        <v>1571.7813411079001</v>
      </c>
      <c r="E152">
        <v>539.85811467444</v>
      </c>
      <c r="F152">
        <v>126.85940594058999</v>
      </c>
      <c r="G152">
        <v>109.80693069307</v>
      </c>
      <c r="I152" s="9">
        <f t="shared" si="15"/>
        <v>430.05118398137</v>
      </c>
      <c r="J152" s="9">
        <f t="shared" si="16"/>
        <v>1444.92193516731</v>
      </c>
      <c r="K152" s="9">
        <f t="shared" si="17"/>
        <v>430.05118398137</v>
      </c>
      <c r="L152" s="10">
        <f t="shared" si="14"/>
        <v>0.29762935527141376</v>
      </c>
      <c r="M152" s="10">
        <f t="shared" si="18"/>
        <v>0.44556791280952091</v>
      </c>
      <c r="P152" s="8">
        <f t="shared" si="19"/>
        <v>-13.92186971082246</v>
      </c>
    </row>
    <row r="153" spans="1:16" x14ac:dyDescent="0.2">
      <c r="A153" s="8">
        <v>75.5</v>
      </c>
      <c r="B153" s="8">
        <v>151</v>
      </c>
      <c r="D153">
        <v>1563.296875</v>
      </c>
      <c r="E153">
        <v>523.767578125</v>
      </c>
      <c r="F153">
        <v>126.83168316832</v>
      </c>
      <c r="G153">
        <v>110.31683168316999</v>
      </c>
      <c r="I153" s="9">
        <f t="shared" si="15"/>
        <v>413.45074644183001</v>
      </c>
      <c r="J153" s="9">
        <f t="shared" si="16"/>
        <v>1436.4651918316799</v>
      </c>
      <c r="K153" s="9">
        <f t="shared" si="17"/>
        <v>413.45074644183001</v>
      </c>
      <c r="L153" s="10">
        <f t="shared" si="14"/>
        <v>0.28782510623499796</v>
      </c>
      <c r="M153" s="10">
        <f t="shared" si="18"/>
        <v>0.43674992082335917</v>
      </c>
      <c r="P153" s="8">
        <f t="shared" si="19"/>
        <v>-15.625395124687348</v>
      </c>
    </row>
    <row r="154" spans="1:16" x14ac:dyDescent="0.2">
      <c r="A154" s="8">
        <v>76</v>
      </c>
      <c r="B154" s="8">
        <v>152</v>
      </c>
      <c r="D154">
        <v>1548.3271484375</v>
      </c>
      <c r="E154">
        <v>524.3740234375</v>
      </c>
      <c r="F154">
        <v>127.09603960395999</v>
      </c>
      <c r="G154">
        <v>110.13861386139</v>
      </c>
      <c r="I154" s="9">
        <f t="shared" si="15"/>
        <v>414.23540957610999</v>
      </c>
      <c r="J154" s="9">
        <f t="shared" si="16"/>
        <v>1421.23110883354</v>
      </c>
      <c r="K154" s="9">
        <f t="shared" si="17"/>
        <v>414.23540957610999</v>
      </c>
      <c r="L154" s="10">
        <f t="shared" si="14"/>
        <v>0.29146238567497246</v>
      </c>
      <c r="M154" s="10">
        <f t="shared" si="18"/>
        <v>0.44137345731358774</v>
      </c>
      <c r="P154" s="8">
        <f t="shared" si="19"/>
        <v>-14.732185885509482</v>
      </c>
    </row>
    <row r="155" spans="1:16" x14ac:dyDescent="0.2">
      <c r="A155" s="8">
        <v>76.5</v>
      </c>
      <c r="B155" s="8">
        <v>153</v>
      </c>
      <c r="D155">
        <v>1520.95703125</v>
      </c>
      <c r="E155">
        <v>536.77734375</v>
      </c>
      <c r="F155">
        <v>127.69108910891001</v>
      </c>
      <c r="G155">
        <v>110.45247524753</v>
      </c>
      <c r="I155" s="9">
        <f t="shared" si="15"/>
        <v>426.32486850247</v>
      </c>
      <c r="J155" s="9">
        <f t="shared" si="16"/>
        <v>1393.2659421410899</v>
      </c>
      <c r="K155" s="9">
        <f t="shared" si="17"/>
        <v>426.32486850247</v>
      </c>
      <c r="L155" s="10">
        <f t="shared" si="14"/>
        <v>0.30598958576947544</v>
      </c>
      <c r="M155" s="10">
        <f t="shared" si="18"/>
        <v>0.45688691445834473</v>
      </c>
      <c r="P155" s="8">
        <f t="shared" si="19"/>
        <v>-11.735180609878624</v>
      </c>
    </row>
    <row r="156" spans="1:16" x14ac:dyDescent="0.2">
      <c r="A156" s="8">
        <v>77</v>
      </c>
      <c r="B156" s="8">
        <v>154</v>
      </c>
      <c r="D156">
        <v>1559.484375</v>
      </c>
      <c r="E156">
        <v>527.794921875</v>
      </c>
      <c r="F156">
        <v>127.30297029703</v>
      </c>
      <c r="G156">
        <v>109.95544554455</v>
      </c>
      <c r="I156" s="9">
        <f t="shared" si="15"/>
        <v>417.83947633045</v>
      </c>
      <c r="J156" s="9">
        <f t="shared" si="16"/>
        <v>1432.18140470297</v>
      </c>
      <c r="K156" s="9">
        <f t="shared" si="17"/>
        <v>417.83947633045</v>
      </c>
      <c r="L156" s="10">
        <f t="shared" si="14"/>
        <v>0.29175038508275325</v>
      </c>
      <c r="M156" s="10">
        <f t="shared" si="18"/>
        <v>0.44363397082187661</v>
      </c>
      <c r="P156" s="8">
        <f t="shared" si="19"/>
        <v>-14.29548303799066</v>
      </c>
    </row>
    <row r="157" spans="1:16" x14ac:dyDescent="0.2">
      <c r="A157" s="8">
        <v>77.5</v>
      </c>
      <c r="B157" s="8">
        <v>155</v>
      </c>
      <c r="D157">
        <v>1572.0224609375</v>
      </c>
      <c r="E157">
        <v>522.193359375</v>
      </c>
      <c r="F157">
        <v>127.12079207921001</v>
      </c>
      <c r="G157">
        <v>110.10099009901</v>
      </c>
      <c r="I157" s="9">
        <f t="shared" si="15"/>
        <v>412.09236927599</v>
      </c>
      <c r="J157" s="9">
        <f t="shared" si="16"/>
        <v>1444.9016688582899</v>
      </c>
      <c r="K157" s="9">
        <f t="shared" si="17"/>
        <v>412.09236927599</v>
      </c>
      <c r="L157" s="10">
        <f t="shared" si="14"/>
        <v>0.28520443858412231</v>
      </c>
      <c r="M157" s="10">
        <f t="shared" si="18"/>
        <v>0.43807428137349969</v>
      </c>
      <c r="P157" s="8">
        <f t="shared" si="19"/>
        <v>-15.36954528292916</v>
      </c>
    </row>
    <row r="158" spans="1:16" x14ac:dyDescent="0.2">
      <c r="A158" s="8">
        <v>78</v>
      </c>
      <c r="B158" s="8">
        <v>156</v>
      </c>
      <c r="D158">
        <v>1552.54296875</v>
      </c>
      <c r="E158">
        <v>499.7021484375</v>
      </c>
      <c r="F158">
        <v>126.96237623762001</v>
      </c>
      <c r="G158">
        <v>110.35247524752999</v>
      </c>
      <c r="I158" s="9">
        <f t="shared" si="15"/>
        <v>389.34967318997002</v>
      </c>
      <c r="J158" s="9">
        <f t="shared" si="16"/>
        <v>1425.58059251238</v>
      </c>
      <c r="K158" s="9">
        <f t="shared" si="17"/>
        <v>389.34967318997002</v>
      </c>
      <c r="L158" s="10">
        <f t="shared" si="14"/>
        <v>0.27311656404061829</v>
      </c>
      <c r="M158" s="10">
        <f t="shared" si="18"/>
        <v>0.42697266388024979</v>
      </c>
      <c r="P158" s="8">
        <f t="shared" si="19"/>
        <v>-17.514238492498528</v>
      </c>
    </row>
    <row r="159" spans="1:16" x14ac:dyDescent="0.2">
      <c r="A159" s="8">
        <v>78.5</v>
      </c>
      <c r="B159" s="8">
        <v>157</v>
      </c>
      <c r="D159">
        <v>1509.2641325535999</v>
      </c>
      <c r="E159">
        <v>512.26510721247996</v>
      </c>
      <c r="F159">
        <v>127.18712871287001</v>
      </c>
      <c r="G159">
        <v>110.08118811881</v>
      </c>
      <c r="I159" s="9">
        <f t="shared" si="15"/>
        <v>402.18391909366994</v>
      </c>
      <c r="J159" s="9">
        <f t="shared" si="16"/>
        <v>1382.07700384073</v>
      </c>
      <c r="K159" s="9">
        <f t="shared" si="17"/>
        <v>402.18391909366994</v>
      </c>
      <c r="L159" s="10">
        <f t="shared" si="14"/>
        <v>0.29099964616734009</v>
      </c>
      <c r="M159" s="10">
        <f t="shared" si="18"/>
        <v>0.4458420030572256</v>
      </c>
      <c r="P159" s="8">
        <f t="shared" si="19"/>
        <v>-13.868918913930125</v>
      </c>
    </row>
    <row r="160" spans="1:16" x14ac:dyDescent="0.2">
      <c r="A160" s="8">
        <v>79</v>
      </c>
      <c r="B160" s="8">
        <v>158</v>
      </c>
      <c r="D160">
        <v>1527.2747572815999</v>
      </c>
      <c r="E160">
        <v>546.51747572815998</v>
      </c>
      <c r="F160">
        <v>127.15742574257</v>
      </c>
      <c r="G160">
        <v>110.09504950495</v>
      </c>
      <c r="I160" s="9">
        <f t="shared" si="15"/>
        <v>436.42242622320998</v>
      </c>
      <c r="J160" s="9">
        <f t="shared" si="16"/>
        <v>1400.1173315390299</v>
      </c>
      <c r="K160" s="9">
        <f t="shared" si="17"/>
        <v>436.42242622320998</v>
      </c>
      <c r="L160" s="10">
        <f t="shared" si="14"/>
        <v>0.31170418106565961</v>
      </c>
      <c r="M160" s="10">
        <f t="shared" si="18"/>
        <v>0.46753279500579914</v>
      </c>
      <c r="P160" s="8">
        <f t="shared" si="19"/>
        <v>-9.6785300601821742</v>
      </c>
    </row>
    <row r="161" spans="1:16" x14ac:dyDescent="0.2">
      <c r="A161" s="8">
        <v>79.5</v>
      </c>
      <c r="B161" s="8">
        <v>159</v>
      </c>
      <c r="D161">
        <v>1557.1281553398001</v>
      </c>
      <c r="E161">
        <v>559.58737864078</v>
      </c>
      <c r="F161">
        <v>127.15643564356</v>
      </c>
      <c r="G161">
        <v>110.02970297029999</v>
      </c>
      <c r="I161" s="9">
        <f t="shared" si="15"/>
        <v>449.55767567048002</v>
      </c>
      <c r="J161" s="9">
        <f t="shared" si="16"/>
        <v>1429.9717196962401</v>
      </c>
      <c r="K161" s="9">
        <f t="shared" si="17"/>
        <v>449.55767567048002</v>
      </c>
      <c r="L161" s="10">
        <f t="shared" si="14"/>
        <v>0.31438221433216645</v>
      </c>
      <c r="M161" s="10">
        <f t="shared" si="18"/>
        <v>0.47119708532256005</v>
      </c>
      <c r="P161" s="8">
        <f t="shared" si="19"/>
        <v>-8.9706351462179441</v>
      </c>
    </row>
    <row r="162" spans="1:16" x14ac:dyDescent="0.2">
      <c r="A162" s="8">
        <v>80</v>
      </c>
      <c r="B162" s="4">
        <v>160</v>
      </c>
      <c r="C162" s="4" t="s">
        <v>6</v>
      </c>
      <c r="D162">
        <v>1548.6757281553</v>
      </c>
      <c r="E162">
        <v>539.9427184466</v>
      </c>
      <c r="F162">
        <v>127.02772277228</v>
      </c>
      <c r="G162">
        <v>109.90693069307</v>
      </c>
      <c r="H162" s="4"/>
      <c r="I162" s="5">
        <f t="shared" si="15"/>
        <v>430.03578775353003</v>
      </c>
      <c r="J162" s="5">
        <f t="shared" si="16"/>
        <v>1421.6480053830201</v>
      </c>
      <c r="K162" s="9">
        <f t="shared" si="17"/>
        <v>430.03578775353003</v>
      </c>
      <c r="L162" s="6">
        <f t="shared" si="14"/>
        <v>0.3024910428778535</v>
      </c>
      <c r="M162" s="6">
        <f t="shared" si="18"/>
        <v>0.46029217091850116</v>
      </c>
      <c r="N162" s="4"/>
      <c r="O162" s="4"/>
      <c r="P162" s="4">
        <f t="shared" si="19"/>
        <v>-11.07732778695617</v>
      </c>
    </row>
    <row r="163" spans="1:16" x14ac:dyDescent="0.2">
      <c r="A163" s="8">
        <v>80.5</v>
      </c>
      <c r="B163" s="8">
        <v>161</v>
      </c>
      <c r="D163">
        <v>1572.9601941748001</v>
      </c>
      <c r="E163">
        <v>567.02621359222996</v>
      </c>
      <c r="F163">
        <v>126.81683168316999</v>
      </c>
      <c r="G163">
        <v>109.87623762376001</v>
      </c>
      <c r="I163" s="9">
        <f t="shared" si="15"/>
        <v>457.14997596846996</v>
      </c>
      <c r="J163" s="9">
        <f t="shared" si="16"/>
        <v>1446.1433624916301</v>
      </c>
      <c r="K163" s="9">
        <f t="shared" si="17"/>
        <v>457.14997596846996</v>
      </c>
      <c r="L163" s="10">
        <f t="shared" si="14"/>
        <v>0.31611663672184215</v>
      </c>
      <c r="M163" s="10">
        <f t="shared" si="18"/>
        <v>0.47490402181274383</v>
      </c>
      <c r="P163" s="8">
        <f t="shared" si="19"/>
        <v>-8.2545015266227768</v>
      </c>
    </row>
    <row r="164" spans="1:16" x14ac:dyDescent="0.2">
      <c r="A164" s="8">
        <v>81</v>
      </c>
      <c r="B164" s="8">
        <v>162</v>
      </c>
      <c r="D164">
        <v>1546.4737864077999</v>
      </c>
      <c r="E164">
        <v>555.38155339805996</v>
      </c>
      <c r="F164">
        <v>127.13762376238</v>
      </c>
      <c r="G164">
        <v>110.26138613861001</v>
      </c>
      <c r="I164" s="9">
        <f t="shared" si="15"/>
        <v>445.12016725944994</v>
      </c>
      <c r="J164" s="9">
        <f t="shared" si="16"/>
        <v>1419.33616264542</v>
      </c>
      <c r="K164" s="9">
        <f t="shared" si="17"/>
        <v>445.12016725944994</v>
      </c>
      <c r="L164" s="10">
        <f t="shared" si="14"/>
        <v>0.31361151711220814</v>
      </c>
      <c r="M164" s="10">
        <f t="shared" si="18"/>
        <v>0.47338515925336389</v>
      </c>
      <c r="P164" s="8">
        <f t="shared" si="19"/>
        <v>-8.5479267161820438</v>
      </c>
    </row>
    <row r="165" spans="1:16" x14ac:dyDescent="0.2">
      <c r="A165" s="8">
        <v>81.5</v>
      </c>
      <c r="B165" s="8">
        <v>163</v>
      </c>
      <c r="D165">
        <v>1567.1135241856</v>
      </c>
      <c r="E165">
        <v>533.45804540967004</v>
      </c>
      <c r="F165">
        <v>127.06930693069</v>
      </c>
      <c r="G165">
        <v>110.14455445545001</v>
      </c>
      <c r="I165" s="9">
        <f t="shared" si="15"/>
        <v>423.31349095422001</v>
      </c>
      <c r="J165" s="9">
        <f t="shared" si="16"/>
        <v>1440.0442172549101</v>
      </c>
      <c r="K165" s="9">
        <f t="shared" si="17"/>
        <v>423.31349095422001</v>
      </c>
      <c r="L165" s="10">
        <f t="shared" si="14"/>
        <v>0.29395867563092126</v>
      </c>
      <c r="M165" s="10">
        <f t="shared" si="18"/>
        <v>0.45471857482233102</v>
      </c>
      <c r="P165" s="8">
        <f t="shared" si="19"/>
        <v>-12.154076621763947</v>
      </c>
    </row>
    <row r="166" spans="1:16" x14ac:dyDescent="0.2">
      <c r="A166" s="8">
        <v>82</v>
      </c>
      <c r="B166" s="8">
        <v>164</v>
      </c>
      <c r="D166">
        <v>1516.8696939782999</v>
      </c>
      <c r="E166">
        <v>506.28232971372</v>
      </c>
      <c r="F166">
        <v>126.55049504951</v>
      </c>
      <c r="G166">
        <v>110.11485148515</v>
      </c>
      <c r="I166" s="9">
        <f t="shared" si="15"/>
        <v>396.16747822857002</v>
      </c>
      <c r="J166" s="9">
        <f t="shared" si="16"/>
        <v>1390.3191989287898</v>
      </c>
      <c r="K166" s="9">
        <f t="shared" si="17"/>
        <v>396.16747822857002</v>
      </c>
      <c r="L166" s="10">
        <f t="shared" si="14"/>
        <v>0.28494713914172248</v>
      </c>
      <c r="M166" s="10">
        <f t="shared" si="18"/>
        <v>0.44669329538338631</v>
      </c>
      <c r="P166" s="8">
        <f t="shared" si="19"/>
        <v>-13.704459917537438</v>
      </c>
    </row>
    <row r="167" spans="1:16" x14ac:dyDescent="0.2">
      <c r="A167" s="8">
        <v>82.5</v>
      </c>
      <c r="B167" s="8">
        <v>165</v>
      </c>
      <c r="D167">
        <v>1506</v>
      </c>
      <c r="E167">
        <v>583.23620522749002</v>
      </c>
      <c r="F167">
        <v>127.20792079208</v>
      </c>
      <c r="G167">
        <v>110.10495049505001</v>
      </c>
      <c r="I167" s="9">
        <f t="shared" si="15"/>
        <v>473.13125473244003</v>
      </c>
      <c r="J167" s="9">
        <f t="shared" si="16"/>
        <v>1378.7920792079201</v>
      </c>
      <c r="K167" s="9">
        <f t="shared" si="17"/>
        <v>473.13125473244003</v>
      </c>
      <c r="L167" s="10">
        <f t="shared" si="14"/>
        <v>0.34314909540548094</v>
      </c>
      <c r="M167" s="10">
        <f t="shared" si="18"/>
        <v>0.5058815086973989</v>
      </c>
      <c r="P167" s="8">
        <f t="shared" si="19"/>
        <v>-2.2700397298224715</v>
      </c>
    </row>
    <row r="168" spans="1:16" x14ac:dyDescent="0.2">
      <c r="A168" s="8">
        <v>83</v>
      </c>
      <c r="B168" s="8">
        <v>166</v>
      </c>
      <c r="D168">
        <v>1518.7807017544001</v>
      </c>
      <c r="E168">
        <v>612.46003898636002</v>
      </c>
      <c r="F168">
        <v>127.04950495049999</v>
      </c>
      <c r="G168">
        <v>110.23267326733</v>
      </c>
      <c r="I168" s="9">
        <f t="shared" si="15"/>
        <v>502.22736571902999</v>
      </c>
      <c r="J168" s="9">
        <f t="shared" si="16"/>
        <v>1391.7311968039</v>
      </c>
      <c r="K168" s="9">
        <f t="shared" si="17"/>
        <v>502.22736571902999</v>
      </c>
      <c r="L168" s="10">
        <f t="shared" si="14"/>
        <v>0.3608652064941788</v>
      </c>
      <c r="M168" s="10">
        <f t="shared" si="18"/>
        <v>0.52458387683635077</v>
      </c>
      <c r="P168" s="8">
        <f t="shared" si="19"/>
        <v>1.343023139157224</v>
      </c>
    </row>
    <row r="169" spans="1:16" x14ac:dyDescent="0.2">
      <c r="A169" s="8">
        <v>83.5</v>
      </c>
      <c r="B169" s="8">
        <v>167</v>
      </c>
      <c r="D169">
        <v>1522.6276803118999</v>
      </c>
      <c r="E169">
        <v>615.76900584794998</v>
      </c>
      <c r="F169">
        <v>126.53168316832</v>
      </c>
      <c r="G169">
        <v>110.13762376238</v>
      </c>
      <c r="I169" s="9">
        <f t="shared" si="15"/>
        <v>505.63138208556995</v>
      </c>
      <c r="J169" s="9">
        <f t="shared" si="16"/>
        <v>1396.09599714358</v>
      </c>
      <c r="K169" s="9">
        <f t="shared" si="17"/>
        <v>505.63138208556995</v>
      </c>
      <c r="L169" s="10">
        <f t="shared" si="14"/>
        <v>0.36217522514217826</v>
      </c>
      <c r="M169" s="10">
        <f t="shared" si="18"/>
        <v>0.5268801525346043</v>
      </c>
      <c r="P169" s="8">
        <f t="shared" si="19"/>
        <v>1.7866347930750359</v>
      </c>
    </row>
    <row r="170" spans="1:16" x14ac:dyDescent="0.2">
      <c r="A170" s="8">
        <v>84</v>
      </c>
      <c r="B170" s="8">
        <v>168</v>
      </c>
      <c r="D170">
        <v>1534.3937621831999</v>
      </c>
      <c r="E170">
        <v>625.21637426900998</v>
      </c>
      <c r="F170">
        <v>126.84653465347</v>
      </c>
      <c r="G170">
        <v>110.11683168317001</v>
      </c>
      <c r="I170" s="9">
        <f t="shared" si="15"/>
        <v>515.09954258584003</v>
      </c>
      <c r="J170" s="9">
        <f t="shared" si="16"/>
        <v>1407.54722752973</v>
      </c>
      <c r="K170" s="9">
        <f t="shared" si="17"/>
        <v>515.09954258584003</v>
      </c>
      <c r="L170" s="10">
        <f t="shared" si="14"/>
        <v>0.3659554240960346</v>
      </c>
      <c r="M170" s="10">
        <f t="shared" si="18"/>
        <v>0.53164660853871459</v>
      </c>
      <c r="P170" s="8">
        <f t="shared" si="19"/>
        <v>2.7074542891477607</v>
      </c>
    </row>
    <row r="171" spans="1:16" x14ac:dyDescent="0.2">
      <c r="A171" s="8">
        <v>84.5</v>
      </c>
      <c r="B171" s="8">
        <v>169</v>
      </c>
      <c r="D171">
        <v>1527.9415204678</v>
      </c>
      <c r="E171">
        <v>621.42202729045005</v>
      </c>
      <c r="F171">
        <v>126.84653465347</v>
      </c>
      <c r="G171">
        <v>109.99900990099</v>
      </c>
      <c r="I171" s="9">
        <f t="shared" si="15"/>
        <v>511.42301738946003</v>
      </c>
      <c r="J171" s="9">
        <f t="shared" si="16"/>
        <v>1401.0949858143301</v>
      </c>
      <c r="K171" s="9">
        <f t="shared" si="17"/>
        <v>511.42301738946003</v>
      </c>
      <c r="L171" s="10">
        <f t="shared" si="14"/>
        <v>0.36501666380043174</v>
      </c>
      <c r="M171" s="10">
        <f t="shared" si="18"/>
        <v>0.5316941052933658</v>
      </c>
      <c r="P171" s="8">
        <f t="shared" si="19"/>
        <v>2.7166300662125868</v>
      </c>
    </row>
    <row r="172" spans="1:16" x14ac:dyDescent="0.2">
      <c r="A172" s="8">
        <v>85</v>
      </c>
      <c r="B172" s="8">
        <v>170</v>
      </c>
      <c r="D172">
        <v>1534.4307992203001</v>
      </c>
      <c r="E172">
        <v>623.23586744638999</v>
      </c>
      <c r="F172">
        <v>126.74653465346999</v>
      </c>
      <c r="G172">
        <v>110.3</v>
      </c>
      <c r="I172" s="9">
        <f t="shared" si="15"/>
        <v>512.93586744639003</v>
      </c>
      <c r="J172" s="9">
        <f t="shared" si="16"/>
        <v>1407.6842645668301</v>
      </c>
      <c r="K172" s="9">
        <f t="shared" si="17"/>
        <v>512.93586744639003</v>
      </c>
      <c r="L172" s="10">
        <f t="shared" si="14"/>
        <v>0.3643827528357218</v>
      </c>
      <c r="M172" s="10">
        <f t="shared" si="18"/>
        <v>0.53204645137890993</v>
      </c>
      <c r="P172" s="8">
        <f t="shared" si="19"/>
        <v>2.7846989091126702</v>
      </c>
    </row>
    <row r="173" spans="1:16" x14ac:dyDescent="0.2">
      <c r="A173" s="8">
        <v>85.5</v>
      </c>
      <c r="B173" s="8">
        <v>171</v>
      </c>
      <c r="D173">
        <v>1519.2953216374001</v>
      </c>
      <c r="E173">
        <v>612.15107212476005</v>
      </c>
      <c r="F173">
        <v>127.03366336633999</v>
      </c>
      <c r="G173">
        <v>109.93861386139</v>
      </c>
      <c r="I173" s="9">
        <f t="shared" si="15"/>
        <v>502.21245826337008</v>
      </c>
      <c r="J173" s="9">
        <f t="shared" si="16"/>
        <v>1392.26165827106</v>
      </c>
      <c r="K173" s="9">
        <f t="shared" si="17"/>
        <v>502.21245826337008</v>
      </c>
      <c r="L173" s="10">
        <f t="shared" si="14"/>
        <v>0.36071700695042347</v>
      </c>
      <c r="M173" s="10">
        <f t="shared" si="18"/>
        <v>0.52936696254386562</v>
      </c>
      <c r="P173" s="8">
        <f t="shared" si="19"/>
        <v>2.2670552852776171</v>
      </c>
    </row>
    <row r="174" spans="1:16" x14ac:dyDescent="0.2">
      <c r="A174" s="8">
        <v>86</v>
      </c>
      <c r="B174" s="8">
        <v>172</v>
      </c>
      <c r="D174">
        <v>1539.2577821012001</v>
      </c>
      <c r="E174">
        <v>630.60505836575999</v>
      </c>
      <c r="F174">
        <v>126.7702970297</v>
      </c>
      <c r="G174">
        <v>110.07128712871</v>
      </c>
      <c r="I174" s="9">
        <f t="shared" si="15"/>
        <v>520.53377123705002</v>
      </c>
      <c r="J174" s="9">
        <f t="shared" si="16"/>
        <v>1412.4874850715</v>
      </c>
      <c r="K174" s="9">
        <f t="shared" si="17"/>
        <v>520.53377123705002</v>
      </c>
      <c r="L174" s="10">
        <f t="shared" si="14"/>
        <v>0.36852274921975725</v>
      </c>
      <c r="M174" s="10">
        <f t="shared" si="18"/>
        <v>0.53815896186345347</v>
      </c>
      <c r="P174" s="8">
        <f t="shared" si="19"/>
        <v>3.9655592420860435</v>
      </c>
    </row>
    <row r="175" spans="1:16" x14ac:dyDescent="0.2">
      <c r="A175" s="8">
        <v>86.5</v>
      </c>
      <c r="B175" s="8">
        <v>173</v>
      </c>
      <c r="D175">
        <v>1510.1070038911</v>
      </c>
      <c r="E175">
        <v>587.58852140078</v>
      </c>
      <c r="F175">
        <v>127.50198019801999</v>
      </c>
      <c r="G175">
        <v>109.96831683168</v>
      </c>
      <c r="I175" s="9">
        <f t="shared" si="15"/>
        <v>477.6202045691</v>
      </c>
      <c r="J175" s="9">
        <f t="shared" si="16"/>
        <v>1382.6050236930801</v>
      </c>
      <c r="K175" s="9">
        <f t="shared" si="17"/>
        <v>477.6202045691</v>
      </c>
      <c r="L175" s="10">
        <f t="shared" si="14"/>
        <v>0.34544949308322875</v>
      </c>
      <c r="M175" s="10">
        <f t="shared" si="18"/>
        <v>0.51607196277717904</v>
      </c>
      <c r="P175" s="8">
        <f t="shared" si="19"/>
        <v>-0.3013718595214383</v>
      </c>
    </row>
    <row r="176" spans="1:16" x14ac:dyDescent="0.2">
      <c r="A176" s="8">
        <v>87</v>
      </c>
      <c r="B176" s="8">
        <v>174</v>
      </c>
      <c r="D176">
        <v>1551.1339198436001</v>
      </c>
      <c r="E176">
        <v>600.79276637341002</v>
      </c>
      <c r="F176">
        <v>126.78118811880999</v>
      </c>
      <c r="G176">
        <v>109.88613861386</v>
      </c>
      <c r="I176" s="9">
        <f t="shared" si="15"/>
        <v>490.90662775955002</v>
      </c>
      <c r="J176" s="9">
        <f t="shared" si="16"/>
        <v>1424.3527317247901</v>
      </c>
      <c r="K176" s="9">
        <f t="shared" si="17"/>
        <v>490.90662775955002</v>
      </c>
      <c r="L176" s="10">
        <f t="shared" si="14"/>
        <v>0.34465242831043469</v>
      </c>
      <c r="M176" s="10">
        <f t="shared" si="18"/>
        <v>0.51626115505463899</v>
      </c>
      <c r="P176" s="8">
        <f t="shared" si="19"/>
        <v>-0.26482228527984425</v>
      </c>
    </row>
    <row r="177" spans="1:16" x14ac:dyDescent="0.2">
      <c r="A177" s="8">
        <v>87.5</v>
      </c>
      <c r="B177" s="8">
        <v>175</v>
      </c>
      <c r="D177">
        <v>1558.7878787878999</v>
      </c>
      <c r="E177">
        <v>639.93841642228995</v>
      </c>
      <c r="F177">
        <v>127.10891089109001</v>
      </c>
      <c r="G177">
        <v>109.95643564356</v>
      </c>
      <c r="I177" s="9">
        <f t="shared" si="15"/>
        <v>529.98198077872996</v>
      </c>
      <c r="J177" s="9">
        <f t="shared" si="16"/>
        <v>1431.6789678968098</v>
      </c>
      <c r="K177" s="9">
        <f t="shared" si="17"/>
        <v>529.98198077872996</v>
      </c>
      <c r="L177" s="10">
        <f t="shared" si="14"/>
        <v>0.37018213765987873</v>
      </c>
      <c r="M177" s="10">
        <f t="shared" si="18"/>
        <v>0.5427771214543371</v>
      </c>
      <c r="P177" s="8">
        <f t="shared" si="19"/>
        <v>4.8577297317735173</v>
      </c>
    </row>
    <row r="178" spans="1:16" x14ac:dyDescent="0.2">
      <c r="A178" s="8">
        <v>88</v>
      </c>
      <c r="B178" s="8">
        <v>176</v>
      </c>
      <c r="D178">
        <v>1506.9042033236001</v>
      </c>
      <c r="E178">
        <v>640.75659824047</v>
      </c>
      <c r="F178">
        <v>127.02079207921</v>
      </c>
      <c r="G178">
        <v>110.00693069307</v>
      </c>
      <c r="I178" s="9">
        <f t="shared" si="15"/>
        <v>530.74966754740001</v>
      </c>
      <c r="J178" s="9">
        <f t="shared" si="16"/>
        <v>1379.8834112443901</v>
      </c>
      <c r="K178" s="9">
        <f t="shared" si="17"/>
        <v>530.74966754740001</v>
      </c>
      <c r="L178" s="10">
        <f t="shared" si="14"/>
        <v>0.3846337039944307</v>
      </c>
      <c r="M178" s="10">
        <f t="shared" si="18"/>
        <v>0.55821494483914313</v>
      </c>
      <c r="P178" s="8">
        <f t="shared" si="19"/>
        <v>7.84012351394591</v>
      </c>
    </row>
    <row r="179" spans="1:16" x14ac:dyDescent="0.2">
      <c r="A179" s="8">
        <v>88.5</v>
      </c>
      <c r="B179" s="8">
        <v>177</v>
      </c>
      <c r="D179">
        <v>1558.6148582599999</v>
      </c>
      <c r="E179">
        <v>608.12414467252995</v>
      </c>
      <c r="F179">
        <v>126.62772277227999</v>
      </c>
      <c r="G179">
        <v>109.81485148515</v>
      </c>
      <c r="I179" s="9">
        <f t="shared" si="15"/>
        <v>498.30929318737992</v>
      </c>
      <c r="J179" s="9">
        <f t="shared" si="16"/>
        <v>1431.9871354877198</v>
      </c>
      <c r="K179" s="9">
        <f t="shared" si="17"/>
        <v>498.30929318737992</v>
      </c>
      <c r="L179" s="10">
        <f t="shared" si="14"/>
        <v>0.34798447614381744</v>
      </c>
      <c r="M179" s="10">
        <f t="shared" si="18"/>
        <v>0.52255197403878384</v>
      </c>
      <c r="P179" s="8">
        <f t="shared" si="19"/>
        <v>0.95048501260976548</v>
      </c>
    </row>
    <row r="180" spans="1:16" x14ac:dyDescent="0.2">
      <c r="A180" s="8">
        <v>89</v>
      </c>
      <c r="B180" s="8">
        <v>178</v>
      </c>
      <c r="D180">
        <v>1574.0702439024001</v>
      </c>
      <c r="E180">
        <v>593.24097560975997</v>
      </c>
      <c r="F180">
        <v>126.65841584157999</v>
      </c>
      <c r="G180">
        <v>109.77722772276999</v>
      </c>
      <c r="I180" s="9">
        <f t="shared" si="15"/>
        <v>483.46374788698995</v>
      </c>
      <c r="J180" s="9">
        <f t="shared" si="16"/>
        <v>1447.41182806082</v>
      </c>
      <c r="K180" s="9">
        <f t="shared" si="17"/>
        <v>483.46374788698995</v>
      </c>
      <c r="L180" s="10">
        <f t="shared" si="14"/>
        <v>0.33401948119680208</v>
      </c>
      <c r="M180" s="10">
        <f t="shared" si="18"/>
        <v>0.50957323614202266</v>
      </c>
      <c r="P180" s="8">
        <f t="shared" si="19"/>
        <v>-1.5568443070041651</v>
      </c>
    </row>
    <row r="181" spans="1:16" x14ac:dyDescent="0.2">
      <c r="A181" s="8">
        <v>89.5</v>
      </c>
      <c r="B181" s="8">
        <v>179</v>
      </c>
      <c r="D181">
        <v>1553.4694280079</v>
      </c>
      <c r="E181">
        <v>581.32248520710004</v>
      </c>
      <c r="F181">
        <v>126.54554455445999</v>
      </c>
      <c r="G181">
        <v>109.76831683168</v>
      </c>
      <c r="I181" s="9">
        <f t="shared" si="15"/>
        <v>471.55416837542003</v>
      </c>
      <c r="J181" s="9">
        <f t="shared" si="16"/>
        <v>1426.9238834534399</v>
      </c>
      <c r="K181" s="9">
        <f t="shared" si="17"/>
        <v>471.55416837542003</v>
      </c>
      <c r="L181" s="10">
        <f t="shared" si="14"/>
        <v>0.33046904172222913</v>
      </c>
      <c r="M181" s="10">
        <f t="shared" si="18"/>
        <v>0.50700905371770366</v>
      </c>
      <c r="P181" s="8">
        <f t="shared" si="19"/>
        <v>-2.052212179017217</v>
      </c>
    </row>
    <row r="182" spans="1:16" x14ac:dyDescent="0.2">
      <c r="A182" s="8">
        <v>90</v>
      </c>
      <c r="B182" s="8">
        <v>180</v>
      </c>
      <c r="D182">
        <v>1622.3100097182</v>
      </c>
      <c r="E182">
        <v>630.80369290573003</v>
      </c>
      <c r="F182">
        <v>126.50495049505</v>
      </c>
      <c r="G182">
        <v>110.44752475248001</v>
      </c>
      <c r="I182" s="9">
        <f t="shared" si="15"/>
        <v>520.35616815325</v>
      </c>
      <c r="J182" s="9">
        <f t="shared" si="16"/>
        <v>1495.80505922315</v>
      </c>
      <c r="K182" s="9">
        <f t="shared" si="17"/>
        <v>520.35616815325</v>
      </c>
      <c r="L182" s="10">
        <f t="shared" si="14"/>
        <v>0.34787699436148334</v>
      </c>
      <c r="M182" s="10">
        <f>L182+ABS($N$2)*A182</f>
        <v>0.52540326340721188</v>
      </c>
      <c r="P182" s="8">
        <f t="shared" si="19"/>
        <v>1.5013183439421729</v>
      </c>
    </row>
    <row r="183" spans="1:16" x14ac:dyDescent="0.2">
      <c r="A183" s="8">
        <v>90.5</v>
      </c>
      <c r="B183" s="8">
        <v>181</v>
      </c>
      <c r="D183">
        <v>1623.7110894942</v>
      </c>
      <c r="E183">
        <v>635.64007782100998</v>
      </c>
      <c r="F183">
        <v>125.73564356436</v>
      </c>
      <c r="G183">
        <v>109.8297029703</v>
      </c>
      <c r="I183" s="9">
        <f t="shared" si="15"/>
        <v>525.81037485070999</v>
      </c>
      <c r="J183" s="9">
        <f t="shared" si="16"/>
        <v>1497.9754459298399</v>
      </c>
      <c r="K183" s="9">
        <f t="shared" si="17"/>
        <v>525.81037485070999</v>
      </c>
      <c r="L183" s="10">
        <f t="shared" si="14"/>
        <v>0.35101401446825664</v>
      </c>
      <c r="M183" s="10">
        <f t="shared" ref="M183:M241" si="20">L183+ABS($N$2)*A183</f>
        <v>0.52952654056423931</v>
      </c>
      <c r="P183" s="8">
        <f t="shared" si="19"/>
        <v>2.2978837566152475</v>
      </c>
    </row>
    <row r="184" spans="1:16" x14ac:dyDescent="0.2">
      <c r="A184" s="8">
        <v>91</v>
      </c>
      <c r="B184" s="8">
        <v>182</v>
      </c>
      <c r="D184">
        <v>1618.6575875486001</v>
      </c>
      <c r="E184">
        <v>656.33171206225995</v>
      </c>
      <c r="F184">
        <v>127.30693069307</v>
      </c>
      <c r="G184">
        <v>109.90693069307</v>
      </c>
      <c r="I184" s="9">
        <f t="shared" si="15"/>
        <v>546.42478136918999</v>
      </c>
      <c r="J184" s="9">
        <f t="shared" si="16"/>
        <v>1491.3506568555301</v>
      </c>
      <c r="K184" s="9">
        <f t="shared" si="17"/>
        <v>546.42478136918999</v>
      </c>
      <c r="L184" s="10">
        <f t="shared" si="14"/>
        <v>0.36639591021558326</v>
      </c>
      <c r="M184" s="10">
        <f t="shared" si="20"/>
        <v>0.54589469336181995</v>
      </c>
      <c r="P184" s="8">
        <f t="shared" si="19"/>
        <v>5.4600055086491057</v>
      </c>
    </row>
    <row r="185" spans="1:16" x14ac:dyDescent="0.2">
      <c r="A185" s="8">
        <v>91.5</v>
      </c>
      <c r="B185" s="8">
        <v>183</v>
      </c>
      <c r="D185">
        <v>1627.0126459144001</v>
      </c>
      <c r="E185">
        <v>638.12743190662002</v>
      </c>
      <c r="F185">
        <v>126.39405940594</v>
      </c>
      <c r="G185">
        <v>109.98910891089</v>
      </c>
      <c r="I185" s="9">
        <f t="shared" si="15"/>
        <v>528.13832299573005</v>
      </c>
      <c r="J185" s="9">
        <f t="shared" si="16"/>
        <v>1500.6185865084601</v>
      </c>
      <c r="K185" s="9">
        <f t="shared" si="17"/>
        <v>528.13832299573005</v>
      </c>
      <c r="L185" s="10">
        <f t="shared" si="14"/>
        <v>0.35194707552208004</v>
      </c>
      <c r="M185" s="10">
        <f t="shared" si="20"/>
        <v>0.53243211571857074</v>
      </c>
      <c r="P185" s="8">
        <f t="shared" si="19"/>
        <v>2.8592044206695681</v>
      </c>
    </row>
    <row r="186" spans="1:16" x14ac:dyDescent="0.2">
      <c r="A186" s="8">
        <v>92</v>
      </c>
      <c r="B186" s="8">
        <v>184</v>
      </c>
      <c r="D186">
        <v>1584.5155642023001</v>
      </c>
      <c r="E186">
        <v>632.67412451361997</v>
      </c>
      <c r="F186">
        <v>126.83267326732999</v>
      </c>
      <c r="G186">
        <v>109.78415841584</v>
      </c>
      <c r="I186" s="9">
        <f t="shared" si="15"/>
        <v>522.88996609777996</v>
      </c>
      <c r="J186" s="9">
        <f t="shared" si="16"/>
        <v>1457.6828909349701</v>
      </c>
      <c r="K186" s="9">
        <f t="shared" si="17"/>
        <v>522.88996609777996</v>
      </c>
      <c r="L186" s="10">
        <f t="shared" si="14"/>
        <v>0.35871311198719902</v>
      </c>
      <c r="M186" s="10">
        <f t="shared" si="20"/>
        <v>0.54018440923394384</v>
      </c>
      <c r="P186" s="8">
        <f t="shared" si="19"/>
        <v>4.3568502611174686</v>
      </c>
    </row>
    <row r="187" spans="1:16" x14ac:dyDescent="0.2">
      <c r="A187" s="8">
        <v>92.5</v>
      </c>
      <c r="B187" s="8">
        <v>185</v>
      </c>
      <c r="D187">
        <v>1595.4883268482999</v>
      </c>
      <c r="E187">
        <v>614.53307392995998</v>
      </c>
      <c r="F187">
        <v>126.28712871287</v>
      </c>
      <c r="G187">
        <v>110.26732673267</v>
      </c>
      <c r="I187" s="9">
        <f t="shared" si="15"/>
        <v>504.26574719729001</v>
      </c>
      <c r="J187" s="9">
        <f t="shared" si="16"/>
        <v>1469.2011981354299</v>
      </c>
      <c r="K187" s="9">
        <f t="shared" si="17"/>
        <v>504.26574719729001</v>
      </c>
      <c r="L187" s="10">
        <f t="shared" si="14"/>
        <v>0.34322443232230959</v>
      </c>
      <c r="M187" s="10">
        <f t="shared" si="20"/>
        <v>0.52568198661930843</v>
      </c>
      <c r="P187" s="8">
        <f t="shared" si="19"/>
        <v>1.5551641714259863</v>
      </c>
    </row>
    <row r="188" spans="1:16" x14ac:dyDescent="0.2">
      <c r="A188" s="8">
        <v>93</v>
      </c>
      <c r="B188" s="8">
        <v>186</v>
      </c>
      <c r="D188">
        <v>1644.0116166504999</v>
      </c>
      <c r="E188">
        <v>620.36979670862002</v>
      </c>
      <c r="F188">
        <v>126.24554455446</v>
      </c>
      <c r="G188">
        <v>109.82376237624</v>
      </c>
      <c r="I188" s="9">
        <f t="shared" si="15"/>
        <v>510.54603433238003</v>
      </c>
      <c r="J188" s="9">
        <f t="shared" si="16"/>
        <v>1517.76607209604</v>
      </c>
      <c r="K188" s="9">
        <f t="shared" si="17"/>
        <v>510.54603433238003</v>
      </c>
      <c r="L188" s="10">
        <f t="shared" si="14"/>
        <v>0.33637992291349234</v>
      </c>
      <c r="M188" s="10">
        <f t="shared" si="20"/>
        <v>0.51982373426074524</v>
      </c>
      <c r="P188" s="8">
        <f t="shared" si="19"/>
        <v>0.42342331825809532</v>
      </c>
    </row>
    <row r="189" spans="1:16" x14ac:dyDescent="0.2">
      <c r="A189" s="8">
        <v>93.5</v>
      </c>
      <c r="B189" s="8">
        <v>187</v>
      </c>
      <c r="D189">
        <v>1687.9456838020999</v>
      </c>
      <c r="E189">
        <v>612.81183317167995</v>
      </c>
      <c r="F189">
        <v>126.72772277228</v>
      </c>
      <c r="G189">
        <v>109.95247524753</v>
      </c>
      <c r="I189" s="9">
        <f t="shared" si="15"/>
        <v>502.85935792414995</v>
      </c>
      <c r="J189" s="9">
        <f t="shared" si="16"/>
        <v>1561.2179610298199</v>
      </c>
      <c r="K189" s="9">
        <f t="shared" si="17"/>
        <v>502.85935792414995</v>
      </c>
      <c r="L189" s="10">
        <f t="shared" si="14"/>
        <v>0.32209426901061966</v>
      </c>
      <c r="M189" s="10">
        <f t="shared" si="20"/>
        <v>0.50652433740812663</v>
      </c>
      <c r="P189" s="8">
        <f t="shared" si="19"/>
        <v>-2.1458532883735306</v>
      </c>
    </row>
    <row r="190" spans="1:16" x14ac:dyDescent="0.2">
      <c r="A190" s="8">
        <v>94</v>
      </c>
      <c r="B190" s="8">
        <v>188</v>
      </c>
      <c r="D190">
        <v>1690.5586808922999</v>
      </c>
      <c r="E190">
        <v>587.45683802133999</v>
      </c>
      <c r="F190">
        <v>126.00198019801999</v>
      </c>
      <c r="G190">
        <v>109.9297029703</v>
      </c>
      <c r="I190" s="9">
        <f t="shared" si="15"/>
        <v>477.52713505103998</v>
      </c>
      <c r="J190" s="9">
        <f t="shared" si="16"/>
        <v>1564.5567006942799</v>
      </c>
      <c r="K190" s="9">
        <f t="shared" si="17"/>
        <v>477.52713505103998</v>
      </c>
      <c r="L190" s="10">
        <f t="shared" si="14"/>
        <v>0.30521561464607511</v>
      </c>
      <c r="M190" s="10">
        <f t="shared" si="20"/>
        <v>0.49063194009383609</v>
      </c>
      <c r="P190" s="8">
        <f t="shared" si="19"/>
        <v>-5.216065050259731</v>
      </c>
    </row>
    <row r="191" spans="1:16" x14ac:dyDescent="0.2">
      <c r="A191" s="8">
        <v>94.5</v>
      </c>
      <c r="B191" s="8">
        <v>189</v>
      </c>
      <c r="D191">
        <v>1621.8475073314</v>
      </c>
      <c r="E191">
        <v>598.96089931573999</v>
      </c>
      <c r="F191">
        <v>127.05049504951</v>
      </c>
      <c r="G191">
        <v>109.76336633663</v>
      </c>
      <c r="I191" s="9">
        <f t="shared" si="15"/>
        <v>489.19753297911001</v>
      </c>
      <c r="J191" s="9">
        <f t="shared" si="16"/>
        <v>1494.7970122818901</v>
      </c>
      <c r="K191" s="9">
        <f t="shared" si="17"/>
        <v>489.19753297911001</v>
      </c>
      <c r="L191" s="10">
        <f t="shared" si="14"/>
        <v>0.3272668656410565</v>
      </c>
      <c r="M191" s="10">
        <f t="shared" si="20"/>
        <v>0.51366944813907156</v>
      </c>
      <c r="P191" s="8">
        <f t="shared" si="19"/>
        <v>-0.76550754365693363</v>
      </c>
    </row>
    <row r="192" spans="1:16" x14ac:dyDescent="0.2">
      <c r="A192" s="8">
        <v>95</v>
      </c>
      <c r="B192" s="8">
        <v>190</v>
      </c>
      <c r="D192">
        <v>1633.2147716228999</v>
      </c>
      <c r="E192">
        <v>576.18270165209003</v>
      </c>
      <c r="F192">
        <v>126.09801980198</v>
      </c>
      <c r="G192">
        <v>110.21089108911001</v>
      </c>
      <c r="I192" s="9">
        <f t="shared" si="15"/>
        <v>465.97181056298001</v>
      </c>
      <c r="J192" s="9">
        <f t="shared" si="16"/>
        <v>1507.1167518209199</v>
      </c>
      <c r="K192" s="9">
        <f t="shared" si="17"/>
        <v>465.97181056298001</v>
      </c>
      <c r="L192" s="10">
        <f t="shared" si="14"/>
        <v>0.30918096424844738</v>
      </c>
      <c r="M192" s="10">
        <f t="shared" si="20"/>
        <v>0.49656980379671645</v>
      </c>
      <c r="P192" s="8">
        <f t="shared" si="19"/>
        <v>-4.0689442842399046</v>
      </c>
    </row>
    <row r="193" spans="1:16" x14ac:dyDescent="0.2">
      <c r="A193" s="8">
        <v>95.5</v>
      </c>
      <c r="B193" s="8">
        <v>191</v>
      </c>
      <c r="D193">
        <v>1620.2701652088999</v>
      </c>
      <c r="E193">
        <v>550.95432458697996</v>
      </c>
      <c r="F193">
        <v>126.52673267327</v>
      </c>
      <c r="G193">
        <v>109.83465346535</v>
      </c>
      <c r="I193" s="9">
        <f t="shared" si="15"/>
        <v>441.11967112162995</v>
      </c>
      <c r="J193" s="9">
        <f t="shared" si="16"/>
        <v>1493.7434325356298</v>
      </c>
      <c r="K193" s="9">
        <f t="shared" si="17"/>
        <v>441.11967112162995</v>
      </c>
      <c r="L193" s="10">
        <f t="shared" si="14"/>
        <v>0.29531153845666064</v>
      </c>
      <c r="M193" s="10">
        <f t="shared" si="20"/>
        <v>0.48368663505518378</v>
      </c>
      <c r="P193" s="8">
        <f t="shared" si="19"/>
        <v>-6.5578108421537937</v>
      </c>
    </row>
    <row r="194" spans="1:16" x14ac:dyDescent="0.2">
      <c r="A194" s="8">
        <v>96</v>
      </c>
      <c r="B194" s="8">
        <v>192</v>
      </c>
      <c r="D194">
        <v>1613.7016520894001</v>
      </c>
      <c r="E194">
        <v>546.87657920311005</v>
      </c>
      <c r="F194">
        <v>126.70297029703001</v>
      </c>
      <c r="G194">
        <v>109.84554455446001</v>
      </c>
      <c r="I194" s="9">
        <f t="shared" si="15"/>
        <v>437.03103464865006</v>
      </c>
      <c r="J194" s="9">
        <f t="shared" si="16"/>
        <v>1486.99868179237</v>
      </c>
      <c r="K194" s="9">
        <f t="shared" si="17"/>
        <v>437.03103464865006</v>
      </c>
      <c r="L194" s="10">
        <f t="shared" ref="L194:L257" si="21">K194/J194</f>
        <v>0.29390142708255124</v>
      </c>
      <c r="M194" s="10">
        <f t="shared" si="20"/>
        <v>0.48326278073132845</v>
      </c>
      <c r="P194" s="8">
        <f t="shared" si="19"/>
        <v>-6.6396941794937696</v>
      </c>
    </row>
    <row r="195" spans="1:16" x14ac:dyDescent="0.2">
      <c r="A195" s="8">
        <v>96.5</v>
      </c>
      <c r="B195" s="8">
        <v>193</v>
      </c>
      <c r="D195">
        <v>1614.6647230321</v>
      </c>
      <c r="E195">
        <v>540.65014577260001</v>
      </c>
      <c r="F195">
        <v>126.76633663366</v>
      </c>
      <c r="G195">
        <v>109.63663366337001</v>
      </c>
      <c r="I195" s="9">
        <f t="shared" ref="I195:I241" si="22">E195-G195</f>
        <v>431.01351210923002</v>
      </c>
      <c r="J195" s="9">
        <f t="shared" ref="J195:J241" si="23">D195-F195</f>
        <v>1487.8983863984399</v>
      </c>
      <c r="K195" s="9">
        <f t="shared" ref="K195:K258" si="24">I195*1</f>
        <v>431.01351210923002</v>
      </c>
      <c r="L195" s="10">
        <f t="shared" si="21"/>
        <v>0.28967940018573968</v>
      </c>
      <c r="M195" s="10">
        <f t="shared" si="20"/>
        <v>0.4800270108847709</v>
      </c>
      <c r="P195" s="8">
        <f t="shared" ref="P195:P241" si="25">(M195-$O$2)/$O$2*100</f>
        <v>-7.264804315188937</v>
      </c>
    </row>
    <row r="196" spans="1:16" x14ac:dyDescent="0.2">
      <c r="A196" s="8">
        <v>97</v>
      </c>
      <c r="B196" s="8">
        <v>194</v>
      </c>
      <c r="D196">
        <v>1537.4507317073001</v>
      </c>
      <c r="E196">
        <v>583.01365853659001</v>
      </c>
      <c r="F196">
        <v>126.38712871286999</v>
      </c>
      <c r="G196">
        <v>109.82673267327</v>
      </c>
      <c r="I196" s="9">
        <f t="shared" si="22"/>
        <v>473.18692586332003</v>
      </c>
      <c r="J196" s="9">
        <f t="shared" si="23"/>
        <v>1411.0636029944301</v>
      </c>
      <c r="K196" s="9">
        <f t="shared" si="24"/>
        <v>473.18692586332003</v>
      </c>
      <c r="L196" s="10">
        <f t="shared" si="21"/>
        <v>0.33534060750994216</v>
      </c>
      <c r="M196" s="10">
        <f t="shared" si="20"/>
        <v>0.52667447525922739</v>
      </c>
      <c r="P196" s="8">
        <f t="shared" si="25"/>
        <v>1.746900524070381</v>
      </c>
    </row>
    <row r="197" spans="1:16" x14ac:dyDescent="0.2">
      <c r="A197" s="8">
        <v>97.5</v>
      </c>
      <c r="B197" s="8">
        <v>195</v>
      </c>
      <c r="D197">
        <v>1546.1902439024</v>
      </c>
      <c r="E197">
        <v>577.48195121951005</v>
      </c>
      <c r="F197">
        <v>126.30198019802</v>
      </c>
      <c r="G197">
        <v>109.92475247525</v>
      </c>
      <c r="I197" s="9">
        <f t="shared" si="22"/>
        <v>467.55719874426006</v>
      </c>
      <c r="J197" s="9">
        <f t="shared" si="23"/>
        <v>1419.8882637043801</v>
      </c>
      <c r="K197" s="9">
        <f t="shared" si="24"/>
        <v>467.55719874426006</v>
      </c>
      <c r="L197" s="10">
        <f t="shared" si="21"/>
        <v>0.3292915440574451</v>
      </c>
      <c r="M197" s="10">
        <f t="shared" si="20"/>
        <v>0.5216116688569844</v>
      </c>
      <c r="P197" s="8">
        <f t="shared" si="25"/>
        <v>0.76882984933699561</v>
      </c>
    </row>
    <row r="198" spans="1:16" x14ac:dyDescent="0.2">
      <c r="A198" s="8">
        <v>98</v>
      </c>
      <c r="B198" s="8">
        <v>196</v>
      </c>
      <c r="D198">
        <v>1528.0282926829</v>
      </c>
      <c r="E198">
        <v>564.51609756098003</v>
      </c>
      <c r="F198">
        <v>126.5396039604</v>
      </c>
      <c r="G198">
        <v>109.99405940594001</v>
      </c>
      <c r="I198" s="9">
        <f t="shared" si="22"/>
        <v>454.52203815504004</v>
      </c>
      <c r="J198" s="9">
        <f t="shared" si="23"/>
        <v>1401.4886887225</v>
      </c>
      <c r="K198" s="9">
        <f t="shared" si="24"/>
        <v>454.52203815504004</v>
      </c>
      <c r="L198" s="10">
        <f t="shared" si="21"/>
        <v>0.32431373996271839</v>
      </c>
      <c r="M198" s="10">
        <f t="shared" si="20"/>
        <v>0.51762012181251182</v>
      </c>
      <c r="P198" s="8">
        <f t="shared" si="25"/>
        <v>-2.2869583860363734E-3</v>
      </c>
    </row>
    <row r="199" spans="1:16" x14ac:dyDescent="0.2">
      <c r="A199" s="8">
        <v>98.5</v>
      </c>
      <c r="B199" s="8">
        <v>197</v>
      </c>
      <c r="D199">
        <v>1562.7529296875</v>
      </c>
      <c r="E199">
        <v>588.6005859375</v>
      </c>
      <c r="F199">
        <v>126.47623762376</v>
      </c>
      <c r="G199">
        <v>110.09108910891</v>
      </c>
      <c r="I199" s="9">
        <f t="shared" si="22"/>
        <v>478.50949682858999</v>
      </c>
      <c r="J199" s="9">
        <f t="shared" si="23"/>
        <v>1436.27669206374</v>
      </c>
      <c r="K199" s="9">
        <f t="shared" si="24"/>
        <v>478.50949682858999</v>
      </c>
      <c r="L199" s="10">
        <f t="shared" si="21"/>
        <v>0.33315968954494068</v>
      </c>
      <c r="M199" s="10">
        <f t="shared" si="20"/>
        <v>0.52745232844498813</v>
      </c>
      <c r="P199" s="8">
        <f t="shared" si="25"/>
        <v>1.8971719999663306</v>
      </c>
    </row>
    <row r="200" spans="1:16" x14ac:dyDescent="0.2">
      <c r="A200" s="8">
        <v>99</v>
      </c>
      <c r="B200" s="8">
        <v>198</v>
      </c>
      <c r="D200">
        <v>1535.5166015625</v>
      </c>
      <c r="E200">
        <v>571.21484375</v>
      </c>
      <c r="F200">
        <v>126.11782178218</v>
      </c>
      <c r="G200">
        <v>109.93267326733</v>
      </c>
      <c r="I200" s="9">
        <f t="shared" si="22"/>
        <v>461.28217048266998</v>
      </c>
      <c r="J200" s="9">
        <f t="shared" si="23"/>
        <v>1409.39877978032</v>
      </c>
      <c r="K200" s="9">
        <f t="shared" si="24"/>
        <v>461.28217048266998</v>
      </c>
      <c r="L200" s="10">
        <f t="shared" si="21"/>
        <v>0.32729003111139993</v>
      </c>
      <c r="M200" s="10">
        <f t="shared" si="20"/>
        <v>0.52256892706170133</v>
      </c>
      <c r="P200" s="8">
        <f t="shared" si="25"/>
        <v>0.95376012393069831</v>
      </c>
    </row>
    <row r="201" spans="1:16" x14ac:dyDescent="0.2">
      <c r="A201" s="8">
        <v>99.5</v>
      </c>
      <c r="B201" s="8">
        <v>199</v>
      </c>
      <c r="D201">
        <v>1550.3470588235</v>
      </c>
      <c r="E201">
        <v>602.13333333333003</v>
      </c>
      <c r="F201">
        <v>126.4801980198</v>
      </c>
      <c r="G201">
        <v>109.94059405941</v>
      </c>
      <c r="I201" s="9">
        <f t="shared" si="22"/>
        <v>492.19273927392004</v>
      </c>
      <c r="J201" s="9">
        <f t="shared" si="23"/>
        <v>1423.8668608037001</v>
      </c>
      <c r="K201" s="9">
        <f t="shared" si="24"/>
        <v>492.19273927392004</v>
      </c>
      <c r="L201" s="10">
        <f t="shared" si="21"/>
        <v>0.34567328787756346</v>
      </c>
      <c r="M201" s="10">
        <f t="shared" si="20"/>
        <v>0.54193844087811893</v>
      </c>
      <c r="P201" s="8">
        <f t="shared" si="25"/>
        <v>4.695707167232225</v>
      </c>
    </row>
    <row r="202" spans="1:16" x14ac:dyDescent="0.2">
      <c r="A202" s="8">
        <v>100</v>
      </c>
      <c r="B202" s="8">
        <v>200</v>
      </c>
      <c r="D202">
        <v>1549.6186274510001</v>
      </c>
      <c r="E202">
        <v>615.78137254902003</v>
      </c>
      <c r="F202">
        <v>126.1099009901</v>
      </c>
      <c r="G202">
        <v>109.96237623762001</v>
      </c>
      <c r="I202" s="9">
        <f t="shared" si="22"/>
        <v>505.81899631140004</v>
      </c>
      <c r="J202" s="9">
        <f t="shared" si="23"/>
        <v>1423.5087264609001</v>
      </c>
      <c r="K202" s="9">
        <f t="shared" si="24"/>
        <v>505.81899631140004</v>
      </c>
      <c r="L202" s="10">
        <f t="shared" si="21"/>
        <v>0.35533255743992342</v>
      </c>
      <c r="M202" s="10">
        <f t="shared" si="20"/>
        <v>0.55258396749073302</v>
      </c>
      <c r="P202" s="8">
        <f t="shared" si="25"/>
        <v>6.7522893411582867</v>
      </c>
    </row>
    <row r="203" spans="1:16" x14ac:dyDescent="0.2">
      <c r="A203" s="8">
        <v>100.5</v>
      </c>
      <c r="B203" s="8">
        <v>201</v>
      </c>
      <c r="D203">
        <v>1519.9441176471</v>
      </c>
      <c r="E203">
        <v>614.01666666666995</v>
      </c>
      <c r="F203">
        <v>126.55643564355999</v>
      </c>
      <c r="G203">
        <v>109.98613861386001</v>
      </c>
      <c r="I203" s="9">
        <f t="shared" si="22"/>
        <v>504.03052805280993</v>
      </c>
      <c r="J203" s="9">
        <f t="shared" si="23"/>
        <v>1393.38768200354</v>
      </c>
      <c r="K203" s="9">
        <f t="shared" si="24"/>
        <v>504.03052805280993</v>
      </c>
      <c r="L203" s="10">
        <f t="shared" si="21"/>
        <v>0.36173028839186294</v>
      </c>
      <c r="M203" s="10">
        <f t="shared" si="20"/>
        <v>0.55996795549292655</v>
      </c>
      <c r="P203" s="8">
        <f t="shared" si="25"/>
        <v>8.1787831775271886</v>
      </c>
    </row>
    <row r="204" spans="1:16" x14ac:dyDescent="0.2">
      <c r="A204" s="8">
        <v>101</v>
      </c>
      <c r="B204" s="8">
        <v>202</v>
      </c>
      <c r="D204">
        <v>1525.6343137255001</v>
      </c>
      <c r="E204">
        <v>601.28039215685999</v>
      </c>
      <c r="F204">
        <v>126.05148514852</v>
      </c>
      <c r="G204">
        <v>109.68910891089</v>
      </c>
      <c r="I204" s="9">
        <f t="shared" si="22"/>
        <v>491.59128324596998</v>
      </c>
      <c r="J204" s="9">
        <f t="shared" si="23"/>
        <v>1399.5828285769801</v>
      </c>
      <c r="K204" s="9">
        <f t="shared" si="24"/>
        <v>491.59128324596998</v>
      </c>
      <c r="L204" s="10">
        <f t="shared" si="21"/>
        <v>0.35124129362589662</v>
      </c>
      <c r="M204" s="10">
        <f t="shared" si="20"/>
        <v>0.55046521777721424</v>
      </c>
      <c r="P204" s="8">
        <f t="shared" si="25"/>
        <v>6.3429734801025717</v>
      </c>
    </row>
    <row r="205" spans="1:16" x14ac:dyDescent="0.2">
      <c r="A205" s="8">
        <v>101.5</v>
      </c>
      <c r="B205" s="8">
        <v>203</v>
      </c>
      <c r="D205">
        <v>1501.0029411764999</v>
      </c>
      <c r="E205">
        <v>553.39509803921999</v>
      </c>
      <c r="F205">
        <v>126.64653465347</v>
      </c>
      <c r="G205">
        <v>109.93960396040001</v>
      </c>
      <c r="I205" s="9">
        <f t="shared" si="22"/>
        <v>443.45549407881998</v>
      </c>
      <c r="J205" s="9">
        <f t="shared" si="23"/>
        <v>1374.3564065230298</v>
      </c>
      <c r="K205" s="9">
        <f t="shared" si="24"/>
        <v>443.45549407881998</v>
      </c>
      <c r="L205" s="10">
        <f t="shared" si="21"/>
        <v>0.32266411534451495</v>
      </c>
      <c r="M205" s="10">
        <f t="shared" si="20"/>
        <v>0.52287429654608664</v>
      </c>
      <c r="P205" s="8">
        <f t="shared" si="25"/>
        <v>1.0127536768944072</v>
      </c>
    </row>
    <row r="206" spans="1:16" x14ac:dyDescent="0.2">
      <c r="A206" s="8">
        <v>102</v>
      </c>
      <c r="B206" s="8">
        <v>204</v>
      </c>
      <c r="D206">
        <v>1517.1284313726001</v>
      </c>
      <c r="E206">
        <v>562.28235294117997</v>
      </c>
      <c r="F206">
        <v>126.13762376238</v>
      </c>
      <c r="G206">
        <v>109.90891089109</v>
      </c>
      <c r="I206" s="9">
        <f t="shared" si="22"/>
        <v>452.37344205008998</v>
      </c>
      <c r="J206" s="9">
        <f t="shared" si="23"/>
        <v>1390.9908076102201</v>
      </c>
      <c r="K206" s="9">
        <f t="shared" si="24"/>
        <v>452.37344205008998</v>
      </c>
      <c r="L206" s="10">
        <f t="shared" si="21"/>
        <v>0.32521670134347352</v>
      </c>
      <c r="M206" s="10">
        <f t="shared" si="20"/>
        <v>0.52641313959529934</v>
      </c>
      <c r="P206" s="8">
        <f t="shared" si="25"/>
        <v>1.696413752734079</v>
      </c>
    </row>
    <row r="207" spans="1:16" x14ac:dyDescent="0.2">
      <c r="A207" s="8">
        <v>102.5</v>
      </c>
      <c r="B207" s="8">
        <v>205</v>
      </c>
      <c r="D207">
        <v>1613.3899127060999</v>
      </c>
      <c r="E207">
        <v>579.54995150340005</v>
      </c>
      <c r="F207">
        <v>126.79900990099</v>
      </c>
      <c r="G207">
        <v>109.78514851484999</v>
      </c>
      <c r="I207" s="9">
        <f t="shared" si="22"/>
        <v>469.76480298855006</v>
      </c>
      <c r="J207" s="9">
        <f t="shared" si="23"/>
        <v>1486.5909028051099</v>
      </c>
      <c r="K207" s="9">
        <f t="shared" si="24"/>
        <v>469.76480298855006</v>
      </c>
      <c r="L207" s="10">
        <f t="shared" si="21"/>
        <v>0.31600139762871643</v>
      </c>
      <c r="M207" s="10">
        <f t="shared" si="20"/>
        <v>0.51818409293079626</v>
      </c>
      <c r="P207" s="8">
        <f t="shared" si="25"/>
        <v>0.10666518561580021</v>
      </c>
    </row>
    <row r="208" spans="1:16" x14ac:dyDescent="0.2">
      <c r="A208" s="8">
        <v>103</v>
      </c>
      <c r="B208" s="8">
        <v>206</v>
      </c>
      <c r="D208">
        <v>1585.1745877789001</v>
      </c>
      <c r="E208">
        <v>547.25315227934004</v>
      </c>
      <c r="F208">
        <v>126.43465346535</v>
      </c>
      <c r="G208">
        <v>109.59900990099</v>
      </c>
      <c r="I208" s="9">
        <f t="shared" si="22"/>
        <v>437.65414237835006</v>
      </c>
      <c r="J208" s="9">
        <f t="shared" si="23"/>
        <v>1458.7399343135501</v>
      </c>
      <c r="K208" s="9">
        <f t="shared" si="24"/>
        <v>437.65414237835006</v>
      </c>
      <c r="L208" s="10">
        <f t="shared" si="21"/>
        <v>0.30002204785344427</v>
      </c>
      <c r="M208" s="10">
        <f t="shared" si="20"/>
        <v>0.50319100020577812</v>
      </c>
      <c r="P208" s="8">
        <f t="shared" si="25"/>
        <v>-2.7898122130463201</v>
      </c>
    </row>
    <row r="209" spans="1:16" x14ac:dyDescent="0.2">
      <c r="A209" s="8">
        <v>103.5</v>
      </c>
      <c r="B209" s="8">
        <v>207</v>
      </c>
      <c r="D209">
        <v>1625.862745098</v>
      </c>
      <c r="E209">
        <v>549.30588235293999</v>
      </c>
      <c r="F209">
        <v>126.11089108911</v>
      </c>
      <c r="G209">
        <v>109.98712871287</v>
      </c>
      <c r="I209" s="9">
        <f t="shared" si="22"/>
        <v>439.31875364006999</v>
      </c>
      <c r="J209" s="9">
        <f t="shared" si="23"/>
        <v>1499.7518540088899</v>
      </c>
      <c r="K209" s="9">
        <f t="shared" si="24"/>
        <v>439.31875364006999</v>
      </c>
      <c r="L209" s="10">
        <f t="shared" si="21"/>
        <v>0.29292762830447944</v>
      </c>
      <c r="M209" s="10">
        <f t="shared" si="20"/>
        <v>0.49708283770706735</v>
      </c>
      <c r="P209" s="8">
        <f t="shared" si="25"/>
        <v>-3.9698325697102499</v>
      </c>
    </row>
    <row r="210" spans="1:16" x14ac:dyDescent="0.2">
      <c r="A210" s="8">
        <v>104</v>
      </c>
      <c r="B210" s="8">
        <v>208</v>
      </c>
      <c r="D210">
        <v>1608.6745098039</v>
      </c>
      <c r="E210">
        <v>537.92058823528998</v>
      </c>
      <c r="F210">
        <v>126.42376237624001</v>
      </c>
      <c r="G210">
        <v>109.95247524753</v>
      </c>
      <c r="I210" s="9">
        <f t="shared" si="22"/>
        <v>427.96811298775998</v>
      </c>
      <c r="J210" s="9">
        <f t="shared" si="23"/>
        <v>1482.2507474276599</v>
      </c>
      <c r="K210" s="9">
        <f t="shared" si="24"/>
        <v>427.96811298775998</v>
      </c>
      <c r="L210" s="10">
        <f t="shared" si="21"/>
        <v>0.28872855266254244</v>
      </c>
      <c r="M210" s="10">
        <f t="shared" si="20"/>
        <v>0.49387001911538442</v>
      </c>
      <c r="P210" s="8">
        <f t="shared" si="25"/>
        <v>-4.5905088109291752</v>
      </c>
    </row>
    <row r="211" spans="1:16" x14ac:dyDescent="0.2">
      <c r="A211" s="8">
        <v>104.5</v>
      </c>
      <c r="B211" s="8">
        <v>209</v>
      </c>
      <c r="D211">
        <v>1584.2649656526</v>
      </c>
      <c r="E211">
        <v>550.88420019626994</v>
      </c>
      <c r="F211">
        <v>126.34851485148999</v>
      </c>
      <c r="G211">
        <v>109.48910891089</v>
      </c>
      <c r="I211" s="9">
        <f t="shared" si="22"/>
        <v>441.39509128537998</v>
      </c>
      <c r="J211" s="9">
        <f t="shared" si="23"/>
        <v>1457.9164508011099</v>
      </c>
      <c r="K211" s="9">
        <f t="shared" si="24"/>
        <v>441.39509128537998</v>
      </c>
      <c r="L211" s="10">
        <f t="shared" si="21"/>
        <v>0.30275746668668013</v>
      </c>
      <c r="M211" s="10">
        <f t="shared" si="20"/>
        <v>0.50888519018977618</v>
      </c>
      <c r="P211" s="8">
        <f t="shared" si="25"/>
        <v>-1.6897661521814056</v>
      </c>
    </row>
    <row r="212" spans="1:16" x14ac:dyDescent="0.2">
      <c r="A212" s="8">
        <v>105</v>
      </c>
      <c r="B212" s="8">
        <v>210</v>
      </c>
      <c r="D212">
        <v>1532.3404255319001</v>
      </c>
      <c r="E212">
        <v>556.53868471954002</v>
      </c>
      <c r="F212">
        <v>126.07623762375999</v>
      </c>
      <c r="G212">
        <v>109.81089108911</v>
      </c>
      <c r="I212" s="9">
        <f t="shared" si="22"/>
        <v>446.72779363043003</v>
      </c>
      <c r="J212" s="9">
        <f t="shared" si="23"/>
        <v>1406.2641879081402</v>
      </c>
      <c r="K212" s="9">
        <f t="shared" si="24"/>
        <v>446.72779363043003</v>
      </c>
      <c r="L212" s="10">
        <f t="shared" si="21"/>
        <v>0.31766989266430151</v>
      </c>
      <c r="M212" s="10">
        <f t="shared" si="20"/>
        <v>0.52478387321765152</v>
      </c>
      <c r="P212" s="8">
        <f t="shared" si="25"/>
        <v>1.3816599307035877</v>
      </c>
    </row>
    <row r="213" spans="1:16" x14ac:dyDescent="0.2">
      <c r="A213" s="8">
        <v>105.5</v>
      </c>
      <c r="B213" s="8">
        <v>211</v>
      </c>
      <c r="D213">
        <v>1592.1597289448</v>
      </c>
      <c r="E213">
        <v>553.68925459826005</v>
      </c>
      <c r="F213">
        <v>126.29900990099</v>
      </c>
      <c r="G213">
        <v>109.87920792078999</v>
      </c>
      <c r="I213" s="9">
        <f t="shared" si="22"/>
        <v>443.81004667747004</v>
      </c>
      <c r="J213" s="9">
        <f t="shared" si="23"/>
        <v>1465.8607190438099</v>
      </c>
      <c r="K213" s="9">
        <f t="shared" si="24"/>
        <v>443.81004667747004</v>
      </c>
      <c r="L213" s="10">
        <f t="shared" si="21"/>
        <v>0.30276413093801308</v>
      </c>
      <c r="M213" s="10">
        <f t="shared" si="20"/>
        <v>0.51086436854161721</v>
      </c>
      <c r="P213" s="8">
        <f t="shared" si="25"/>
        <v>-1.3074137270234436</v>
      </c>
    </row>
    <row r="214" spans="1:16" x14ac:dyDescent="0.2">
      <c r="A214" s="8">
        <v>106</v>
      </c>
      <c r="B214" s="8">
        <v>212</v>
      </c>
      <c r="D214">
        <v>1563.0261374637</v>
      </c>
      <c r="E214">
        <v>519.54598257502005</v>
      </c>
      <c r="F214">
        <v>126.07128712871</v>
      </c>
      <c r="G214">
        <v>109.63267326733001</v>
      </c>
      <c r="I214" s="9">
        <f t="shared" si="22"/>
        <v>409.91330930769004</v>
      </c>
      <c r="J214" s="9">
        <f t="shared" si="23"/>
        <v>1436.9548503349899</v>
      </c>
      <c r="K214" s="9">
        <f t="shared" si="24"/>
        <v>409.91330930769004</v>
      </c>
      <c r="L214" s="10">
        <f t="shared" si="21"/>
        <v>0.28526526718089235</v>
      </c>
      <c r="M214" s="10">
        <f t="shared" si="20"/>
        <v>0.49435176183475049</v>
      </c>
      <c r="P214" s="8">
        <f t="shared" si="25"/>
        <v>-4.497442161892482</v>
      </c>
    </row>
    <row r="215" spans="1:16" x14ac:dyDescent="0.2">
      <c r="A215" s="8">
        <v>106.5</v>
      </c>
      <c r="B215" s="8">
        <v>213</v>
      </c>
      <c r="D215">
        <v>1564.6660212971999</v>
      </c>
      <c r="E215">
        <v>505.02904162633001</v>
      </c>
      <c r="F215">
        <v>126.11386138614</v>
      </c>
      <c r="G215">
        <v>109.57722772277</v>
      </c>
      <c r="I215" s="9">
        <f t="shared" si="22"/>
        <v>395.45181390356004</v>
      </c>
      <c r="J215" s="9">
        <f t="shared" si="23"/>
        <v>1438.5521599110598</v>
      </c>
      <c r="K215" s="9">
        <f t="shared" si="24"/>
        <v>395.45181390356004</v>
      </c>
      <c r="L215" s="10">
        <f t="shared" si="21"/>
        <v>0.27489570758978205</v>
      </c>
      <c r="M215" s="10">
        <f t="shared" si="20"/>
        <v>0.48496845929389421</v>
      </c>
      <c r="P215" s="8">
        <f t="shared" si="25"/>
        <v>-6.3101784820679576</v>
      </c>
    </row>
    <row r="216" spans="1:16" x14ac:dyDescent="0.2">
      <c r="A216" s="8">
        <v>107</v>
      </c>
      <c r="B216" s="8">
        <v>214</v>
      </c>
      <c r="D216">
        <v>1536.5111326234</v>
      </c>
      <c r="E216">
        <v>500.73281703775001</v>
      </c>
      <c r="F216">
        <v>126.02970297029999</v>
      </c>
      <c r="G216">
        <v>109.8900990099</v>
      </c>
      <c r="I216" s="9">
        <f t="shared" si="22"/>
        <v>390.84271802785003</v>
      </c>
      <c r="J216" s="9">
        <f t="shared" si="23"/>
        <v>1410.4814296531001</v>
      </c>
      <c r="K216" s="9">
        <f t="shared" si="24"/>
        <v>390.84271802785003</v>
      </c>
      <c r="L216" s="10">
        <f t="shared" si="21"/>
        <v>0.27709880457197905</v>
      </c>
      <c r="M216" s="10">
        <f t="shared" si="20"/>
        <v>0.48815781332634528</v>
      </c>
      <c r="P216" s="8">
        <f t="shared" si="25"/>
        <v>-5.6940352992867513</v>
      </c>
    </row>
    <row r="217" spans="1:16" x14ac:dyDescent="0.2">
      <c r="A217" s="8">
        <v>107.5</v>
      </c>
      <c r="B217" s="8">
        <v>215</v>
      </c>
      <c r="D217">
        <v>1524.6302032914</v>
      </c>
      <c r="E217">
        <v>558.65730880929004</v>
      </c>
      <c r="F217">
        <v>126.4603960396</v>
      </c>
      <c r="G217">
        <v>109.71881188119001</v>
      </c>
      <c r="I217" s="9">
        <f t="shared" si="22"/>
        <v>448.93849692810005</v>
      </c>
      <c r="J217" s="9">
        <f t="shared" si="23"/>
        <v>1398.1698072518</v>
      </c>
      <c r="K217" s="9">
        <f t="shared" si="24"/>
        <v>448.93849692810005</v>
      </c>
      <c r="L217" s="10">
        <f t="shared" si="21"/>
        <v>0.32109010979898062</v>
      </c>
      <c r="M217" s="10">
        <f t="shared" si="20"/>
        <v>0.53313537560360091</v>
      </c>
      <c r="P217" s="8">
        <f t="shared" si="25"/>
        <v>2.9950654067739646</v>
      </c>
    </row>
    <row r="218" spans="1:16" x14ac:dyDescent="0.2">
      <c r="A218" s="8">
        <v>108</v>
      </c>
      <c r="B218" s="8">
        <v>216</v>
      </c>
      <c r="D218">
        <v>1526.1022395325999</v>
      </c>
      <c r="E218">
        <v>563.05063291139004</v>
      </c>
      <c r="F218">
        <v>125.90693069307</v>
      </c>
      <c r="G218">
        <v>109.81089108911</v>
      </c>
      <c r="I218" s="9">
        <f t="shared" si="22"/>
        <v>453.23974182228005</v>
      </c>
      <c r="J218" s="9">
        <f t="shared" si="23"/>
        <v>1400.1953088395298</v>
      </c>
      <c r="K218" s="9">
        <f t="shared" si="24"/>
        <v>453.23974182228005</v>
      </c>
      <c r="L218" s="10">
        <f t="shared" si="21"/>
        <v>0.32369751488306397</v>
      </c>
      <c r="M218" s="10">
        <f t="shared" si="20"/>
        <v>0.53672903773793834</v>
      </c>
      <c r="P218" s="8">
        <f t="shared" si="25"/>
        <v>3.6893158420538965</v>
      </c>
    </row>
    <row r="219" spans="1:16" x14ac:dyDescent="0.2">
      <c r="A219" s="8">
        <v>108.5</v>
      </c>
      <c r="B219" s="8">
        <v>217</v>
      </c>
      <c r="D219">
        <v>1508.9756572541</v>
      </c>
      <c r="E219">
        <v>553.01168451801004</v>
      </c>
      <c r="F219">
        <v>125.79603960396</v>
      </c>
      <c r="G219">
        <v>110.01683168317</v>
      </c>
      <c r="I219" s="9">
        <f t="shared" si="22"/>
        <v>442.99485283484006</v>
      </c>
      <c r="J219" s="9">
        <f t="shared" si="23"/>
        <v>1383.17961765014</v>
      </c>
      <c r="K219" s="9">
        <f t="shared" si="24"/>
        <v>442.99485283484006</v>
      </c>
      <c r="L219" s="10">
        <f t="shared" si="21"/>
        <v>0.32027283165684323</v>
      </c>
      <c r="M219" s="10">
        <f t="shared" si="20"/>
        <v>0.53429061156197166</v>
      </c>
      <c r="P219" s="8">
        <f t="shared" si="25"/>
        <v>3.2182424993800258</v>
      </c>
    </row>
    <row r="220" spans="1:16" x14ac:dyDescent="0.2">
      <c r="A220" s="8">
        <v>109</v>
      </c>
      <c r="B220" s="8">
        <v>218</v>
      </c>
      <c r="D220">
        <v>1502.5121713729</v>
      </c>
      <c r="E220">
        <v>516.11197663096004</v>
      </c>
      <c r="F220">
        <v>125.70297029703001</v>
      </c>
      <c r="G220">
        <v>109.73168316832</v>
      </c>
      <c r="I220" s="9">
        <f t="shared" si="22"/>
        <v>406.38029346264005</v>
      </c>
      <c r="J220" s="9">
        <f t="shared" si="23"/>
        <v>1376.8092010758699</v>
      </c>
      <c r="K220" s="9">
        <f t="shared" si="24"/>
        <v>406.38029346264005</v>
      </c>
      <c r="L220" s="10">
        <f t="shared" si="21"/>
        <v>0.29516093671155402</v>
      </c>
      <c r="M220" s="10">
        <f t="shared" si="20"/>
        <v>0.51016497366693647</v>
      </c>
      <c r="P220" s="8">
        <f t="shared" si="25"/>
        <v>-1.4425280416219635</v>
      </c>
    </row>
    <row r="221" spans="1:16" x14ac:dyDescent="0.2">
      <c r="A221" s="8">
        <v>109.5</v>
      </c>
      <c r="B221" s="8">
        <v>219</v>
      </c>
      <c r="D221">
        <v>1519.9293320426</v>
      </c>
      <c r="E221">
        <v>518.77734753146001</v>
      </c>
      <c r="F221">
        <v>126.34950495050001</v>
      </c>
      <c r="G221">
        <v>109.73267326733</v>
      </c>
      <c r="I221" s="9">
        <f t="shared" si="22"/>
        <v>409.04467426412998</v>
      </c>
      <c r="J221" s="9">
        <f t="shared" si="23"/>
        <v>1393.5798270921</v>
      </c>
      <c r="K221" s="9">
        <f t="shared" si="24"/>
        <v>409.04467426412998</v>
      </c>
      <c r="L221" s="10">
        <f t="shared" si="21"/>
        <v>0.29352080613685338</v>
      </c>
      <c r="M221" s="10">
        <f t="shared" si="20"/>
        <v>0.5095111001424899</v>
      </c>
      <c r="P221" s="8">
        <f t="shared" si="25"/>
        <v>-1.568848202503963</v>
      </c>
    </row>
    <row r="222" spans="1:16" x14ac:dyDescent="0.2">
      <c r="A222" s="8">
        <v>110</v>
      </c>
      <c r="B222" s="8">
        <v>220</v>
      </c>
      <c r="D222">
        <v>1575.1539215686</v>
      </c>
      <c r="E222">
        <v>519.34411764705999</v>
      </c>
      <c r="F222">
        <v>125.55841584158</v>
      </c>
      <c r="G222">
        <v>109.62376237623999</v>
      </c>
      <c r="I222" s="9">
        <f t="shared" si="22"/>
        <v>409.72035527081999</v>
      </c>
      <c r="J222" s="9">
        <f t="shared" si="23"/>
        <v>1449.5955057270201</v>
      </c>
      <c r="K222" s="9">
        <f t="shared" si="24"/>
        <v>409.72035527081999</v>
      </c>
      <c r="L222" s="10">
        <f t="shared" si="21"/>
        <v>0.28264460923899715</v>
      </c>
      <c r="M222" s="10">
        <f t="shared" si="20"/>
        <v>0.49962116029488768</v>
      </c>
      <c r="P222" s="8">
        <f t="shared" si="25"/>
        <v>-3.4794604936497233</v>
      </c>
    </row>
    <row r="223" spans="1:16" x14ac:dyDescent="0.2">
      <c r="A223" s="8">
        <v>110.5</v>
      </c>
      <c r="B223" s="8">
        <v>221</v>
      </c>
      <c r="D223">
        <v>1563.7627450980001</v>
      </c>
      <c r="E223">
        <v>512.40882352941003</v>
      </c>
      <c r="F223">
        <v>126.3900990099</v>
      </c>
      <c r="G223">
        <v>110.00297029703</v>
      </c>
      <c r="I223" s="9">
        <f t="shared" si="22"/>
        <v>402.40585323238003</v>
      </c>
      <c r="J223" s="9">
        <f t="shared" si="23"/>
        <v>1437.3726460881001</v>
      </c>
      <c r="K223" s="9">
        <f t="shared" si="24"/>
        <v>402.40585323238003</v>
      </c>
      <c r="L223" s="10">
        <f t="shared" si="21"/>
        <v>0.27995930931867447</v>
      </c>
      <c r="M223" s="10">
        <f t="shared" si="20"/>
        <v>0.49792211742481907</v>
      </c>
      <c r="P223" s="8">
        <f t="shared" si="25"/>
        <v>-3.8076942585420026</v>
      </c>
    </row>
    <row r="224" spans="1:16" x14ac:dyDescent="0.2">
      <c r="A224" s="8">
        <v>111</v>
      </c>
      <c r="B224" s="8">
        <v>222</v>
      </c>
      <c r="D224">
        <v>1599.1558823529001</v>
      </c>
      <c r="E224">
        <v>504.23333333332999</v>
      </c>
      <c r="F224">
        <v>126.06039603959999</v>
      </c>
      <c r="G224">
        <v>109.56237623762</v>
      </c>
      <c r="I224" s="9">
        <f t="shared" si="22"/>
        <v>394.67095709570998</v>
      </c>
      <c r="J224" s="9">
        <f t="shared" si="23"/>
        <v>1473.0954863133002</v>
      </c>
      <c r="K224" s="9">
        <f t="shared" si="24"/>
        <v>394.67095709570998</v>
      </c>
      <c r="L224" s="10">
        <f t="shared" si="21"/>
        <v>0.26791946670303679</v>
      </c>
      <c r="M224" s="10">
        <f t="shared" si="20"/>
        <v>0.48686853185943541</v>
      </c>
      <c r="P224" s="8">
        <f t="shared" si="25"/>
        <v>-5.9431083022961335</v>
      </c>
    </row>
    <row r="225" spans="1:16" x14ac:dyDescent="0.2">
      <c r="A225" s="8">
        <v>111.5</v>
      </c>
      <c r="B225" s="8">
        <v>223</v>
      </c>
      <c r="D225">
        <v>1560.0852941177</v>
      </c>
      <c r="E225">
        <v>485.96470588235002</v>
      </c>
      <c r="F225">
        <v>126.29900990099</v>
      </c>
      <c r="G225">
        <v>109.54158415841999</v>
      </c>
      <c r="I225" s="9">
        <f t="shared" si="22"/>
        <v>376.42312172393002</v>
      </c>
      <c r="J225" s="9">
        <f t="shared" si="23"/>
        <v>1433.7862842167099</v>
      </c>
      <c r="K225" s="9">
        <f t="shared" si="24"/>
        <v>376.42312172393002</v>
      </c>
      <c r="L225" s="10">
        <f t="shared" si="21"/>
        <v>0.26253781743321203</v>
      </c>
      <c r="M225" s="10">
        <f t="shared" si="20"/>
        <v>0.48247313963986471</v>
      </c>
      <c r="P225" s="8">
        <f t="shared" si="25"/>
        <v>-6.7922429308706693</v>
      </c>
    </row>
    <row r="226" spans="1:16" x14ac:dyDescent="0.2">
      <c r="A226" s="8">
        <v>112</v>
      </c>
      <c r="B226" s="8">
        <v>224</v>
      </c>
      <c r="D226">
        <v>1583.9156862745001</v>
      </c>
      <c r="E226">
        <v>491.4</v>
      </c>
      <c r="F226">
        <v>126.18415841584</v>
      </c>
      <c r="G226">
        <v>109.50990099009999</v>
      </c>
      <c r="I226" s="9">
        <f t="shared" si="22"/>
        <v>381.89009900989998</v>
      </c>
      <c r="J226" s="9">
        <f t="shared" si="23"/>
        <v>1457.73152785866</v>
      </c>
      <c r="K226" s="9">
        <f t="shared" si="24"/>
        <v>381.89009900989998</v>
      </c>
      <c r="L226" s="10">
        <f t="shared" si="21"/>
        <v>0.26197560504908529</v>
      </c>
      <c r="M226" s="10">
        <f t="shared" si="20"/>
        <v>0.48289718430599199</v>
      </c>
      <c r="P226" s="8">
        <f t="shared" si="25"/>
        <v>-6.7103228217919462</v>
      </c>
    </row>
    <row r="227" spans="1:16" x14ac:dyDescent="0.2">
      <c r="A227" s="8">
        <v>112.5</v>
      </c>
      <c r="B227" s="8">
        <v>225</v>
      </c>
      <c r="D227">
        <v>1458.6378802748</v>
      </c>
      <c r="E227">
        <v>487</v>
      </c>
      <c r="F227">
        <v>125.84257425743</v>
      </c>
      <c r="G227">
        <v>109.60693069307</v>
      </c>
      <c r="I227" s="9">
        <f t="shared" si="22"/>
        <v>377.39306930692999</v>
      </c>
      <c r="J227" s="9">
        <f t="shared" si="23"/>
        <v>1332.79530601737</v>
      </c>
      <c r="K227" s="9">
        <f t="shared" si="24"/>
        <v>377.39306930692999</v>
      </c>
      <c r="L227" s="10">
        <f t="shared" si="21"/>
        <v>0.28315906246297323</v>
      </c>
      <c r="M227" s="10">
        <f t="shared" si="20"/>
        <v>0.505066898770134</v>
      </c>
      <c r="P227" s="8">
        <f t="shared" si="25"/>
        <v>-2.427412146996375</v>
      </c>
    </row>
    <row r="228" spans="1:16" x14ac:dyDescent="0.2">
      <c r="A228" s="8">
        <v>113</v>
      </c>
      <c r="B228" s="8">
        <v>226</v>
      </c>
      <c r="D228">
        <v>1458.0932286555001</v>
      </c>
      <c r="E228">
        <v>510.80667320903001</v>
      </c>
      <c r="F228">
        <v>125.56633663366</v>
      </c>
      <c r="G228">
        <v>109.61782178218</v>
      </c>
      <c r="I228" s="9">
        <f t="shared" si="22"/>
        <v>401.18885142685002</v>
      </c>
      <c r="J228" s="9">
        <f t="shared" si="23"/>
        <v>1332.52689202184</v>
      </c>
      <c r="K228" s="9">
        <f t="shared" si="24"/>
        <v>401.18885142685002</v>
      </c>
      <c r="L228" s="10">
        <f t="shared" si="21"/>
        <v>0.30107373729480769</v>
      </c>
      <c r="M228" s="10">
        <f t="shared" si="20"/>
        <v>0.52396783065222252</v>
      </c>
      <c r="P228" s="8">
        <f t="shared" si="25"/>
        <v>1.2240107458114502</v>
      </c>
    </row>
    <row r="229" spans="1:16" x14ac:dyDescent="0.2">
      <c r="A229" s="8">
        <v>113.5</v>
      </c>
      <c r="B229" s="8">
        <v>227</v>
      </c>
      <c r="D229">
        <v>1484.8115799804</v>
      </c>
      <c r="E229">
        <v>501.42394504416001</v>
      </c>
      <c r="F229">
        <v>125.83762376238001</v>
      </c>
      <c r="G229">
        <v>109.72178217822</v>
      </c>
      <c r="I229" s="9">
        <f t="shared" si="22"/>
        <v>391.70216286594001</v>
      </c>
      <c r="J229" s="9">
        <f t="shared" si="23"/>
        <v>1358.97395621802</v>
      </c>
      <c r="K229" s="9">
        <f t="shared" si="24"/>
        <v>391.70216286594001</v>
      </c>
      <c r="L229" s="10">
        <f t="shared" si="21"/>
        <v>0.28823375243778349</v>
      </c>
      <c r="M229" s="10">
        <f t="shared" si="20"/>
        <v>0.51211410284545233</v>
      </c>
      <c r="P229" s="8">
        <f t="shared" si="25"/>
        <v>-1.0659807397285024</v>
      </c>
    </row>
    <row r="230" spans="1:16" x14ac:dyDescent="0.2">
      <c r="A230" s="8">
        <v>114</v>
      </c>
      <c r="B230" s="8">
        <v>228</v>
      </c>
      <c r="D230">
        <v>1419.8518155054001</v>
      </c>
      <c r="E230">
        <v>482.30618253188999</v>
      </c>
      <c r="F230">
        <v>126.31287128712999</v>
      </c>
      <c r="G230">
        <v>109.80396039604</v>
      </c>
      <c r="I230" s="9">
        <f t="shared" si="22"/>
        <v>372.50222213584999</v>
      </c>
      <c r="J230" s="9">
        <f t="shared" si="23"/>
        <v>1293.53894421827</v>
      </c>
      <c r="K230" s="9">
        <f t="shared" si="24"/>
        <v>372.50222213584999</v>
      </c>
      <c r="L230" s="10">
        <f t="shared" si="21"/>
        <v>0.28797140109373814</v>
      </c>
      <c r="M230" s="10">
        <f t="shared" si="20"/>
        <v>0.51283800855166106</v>
      </c>
      <c r="P230" s="8">
        <f t="shared" si="25"/>
        <v>-0.92613124001205327</v>
      </c>
    </row>
    <row r="231" spans="1:16" x14ac:dyDescent="0.2">
      <c r="A231" s="8">
        <v>114.5</v>
      </c>
      <c r="B231" s="8">
        <v>229</v>
      </c>
      <c r="D231">
        <v>1437.8047105005001</v>
      </c>
      <c r="E231">
        <v>489.75662414132</v>
      </c>
      <c r="F231">
        <v>125.68712871287001</v>
      </c>
      <c r="G231">
        <v>109.45148514852001</v>
      </c>
      <c r="I231" s="9">
        <f t="shared" si="22"/>
        <v>380.30513899279998</v>
      </c>
      <c r="J231" s="9">
        <f t="shared" si="23"/>
        <v>1312.1175817876301</v>
      </c>
      <c r="K231" s="9">
        <f t="shared" si="24"/>
        <v>380.30513899279998</v>
      </c>
      <c r="L231" s="10">
        <f t="shared" si="21"/>
        <v>0.28984074618882244</v>
      </c>
      <c r="M231" s="10">
        <f t="shared" si="20"/>
        <v>0.51569361069699937</v>
      </c>
      <c r="P231" s="8">
        <f t="shared" si="25"/>
        <v>-0.37446473429226895</v>
      </c>
    </row>
    <row r="232" spans="1:16" x14ac:dyDescent="0.2">
      <c r="A232" s="8">
        <v>115</v>
      </c>
      <c r="B232" s="8">
        <v>230</v>
      </c>
      <c r="D232">
        <v>1441.1579980373001</v>
      </c>
      <c r="E232">
        <v>478.53385672228001</v>
      </c>
      <c r="F232">
        <v>125.58514851485</v>
      </c>
      <c r="G232">
        <v>109.20198019802</v>
      </c>
      <c r="I232" s="9">
        <f t="shared" si="22"/>
        <v>369.33187652426</v>
      </c>
      <c r="J232" s="9">
        <f t="shared" si="23"/>
        <v>1315.57284952245</v>
      </c>
      <c r="K232" s="9">
        <f t="shared" si="24"/>
        <v>369.33187652426</v>
      </c>
      <c r="L232" s="10">
        <f t="shared" si="21"/>
        <v>0.28073844535354059</v>
      </c>
      <c r="M232" s="10">
        <f t="shared" si="20"/>
        <v>0.50757756691197153</v>
      </c>
      <c r="P232" s="8">
        <f t="shared" si="25"/>
        <v>-1.9423825629240437</v>
      </c>
    </row>
    <row r="233" spans="1:16" x14ac:dyDescent="0.2">
      <c r="A233" s="8">
        <v>115.5</v>
      </c>
      <c r="B233" s="8">
        <v>231</v>
      </c>
      <c r="D233">
        <v>1469.2041216878999</v>
      </c>
      <c r="E233">
        <v>498.67026496565001</v>
      </c>
      <c r="F233">
        <v>126.32178217822</v>
      </c>
      <c r="G233">
        <v>109.96237623762001</v>
      </c>
      <c r="I233" s="9">
        <f t="shared" si="22"/>
        <v>388.70788872803001</v>
      </c>
      <c r="J233" s="9">
        <f t="shared" si="23"/>
        <v>1342.8823395096799</v>
      </c>
      <c r="K233" s="9">
        <f t="shared" si="24"/>
        <v>388.70788872803001</v>
      </c>
      <c r="L233" s="10">
        <f t="shared" si="21"/>
        <v>0.28945789016032264</v>
      </c>
      <c r="M233" s="10">
        <f t="shared" si="20"/>
        <v>0.51728326876900765</v>
      </c>
      <c r="P233" s="8">
        <f t="shared" si="25"/>
        <v>-6.7362739952590872E-2</v>
      </c>
    </row>
    <row r="234" spans="1:16" x14ac:dyDescent="0.2">
      <c r="A234" s="8">
        <v>116</v>
      </c>
      <c r="B234" s="8">
        <v>232</v>
      </c>
      <c r="D234">
        <v>1415.1570166829999</v>
      </c>
      <c r="E234">
        <v>468.07065750736001</v>
      </c>
      <c r="F234">
        <v>125.91782178218</v>
      </c>
      <c r="G234">
        <v>109.90891089109</v>
      </c>
      <c r="I234" s="9">
        <f t="shared" si="22"/>
        <v>358.16174661627002</v>
      </c>
      <c r="J234" s="9">
        <f t="shared" si="23"/>
        <v>1289.2391949008199</v>
      </c>
      <c r="K234" s="9">
        <f t="shared" si="24"/>
        <v>358.16174661627002</v>
      </c>
      <c r="L234" s="10">
        <f t="shared" si="21"/>
        <v>0.27780860838924704</v>
      </c>
      <c r="M234" s="10">
        <f t="shared" si="20"/>
        <v>0.50662024404818617</v>
      </c>
      <c r="P234" s="8">
        <f t="shared" si="25"/>
        <v>-2.1273253288385012</v>
      </c>
    </row>
    <row r="235" spans="1:16" x14ac:dyDescent="0.2">
      <c r="A235" s="8">
        <v>116.5</v>
      </c>
      <c r="B235" s="8">
        <v>233</v>
      </c>
      <c r="D235">
        <v>1483.5136186770001</v>
      </c>
      <c r="E235">
        <v>486.41536964980997</v>
      </c>
      <c r="F235">
        <v>125.4297029703</v>
      </c>
      <c r="G235">
        <v>109.85841584158</v>
      </c>
      <c r="I235" s="9">
        <f t="shared" si="22"/>
        <v>376.55695380822999</v>
      </c>
      <c r="J235" s="9">
        <f t="shared" si="23"/>
        <v>1358.0839157067001</v>
      </c>
      <c r="K235" s="9">
        <f t="shared" si="24"/>
        <v>376.55695380822999</v>
      </c>
      <c r="L235" s="10">
        <f t="shared" si="21"/>
        <v>0.27727075584448163</v>
      </c>
      <c r="M235" s="10">
        <f t="shared" si="20"/>
        <v>0.50706864855367484</v>
      </c>
      <c r="P235" s="8">
        <f t="shared" si="25"/>
        <v>-2.040699204433964</v>
      </c>
    </row>
    <row r="236" spans="1:16" x14ac:dyDescent="0.2">
      <c r="A236" s="8">
        <v>117</v>
      </c>
      <c r="B236" s="8">
        <v>234</v>
      </c>
      <c r="D236">
        <v>1472.4581712061999</v>
      </c>
      <c r="E236">
        <v>475.65175097276</v>
      </c>
      <c r="F236">
        <v>125.87722772277</v>
      </c>
      <c r="G236">
        <v>109.36435643564</v>
      </c>
      <c r="I236" s="9">
        <f t="shared" si="22"/>
        <v>366.28739453712001</v>
      </c>
      <c r="J236" s="9">
        <f t="shared" si="23"/>
        <v>1346.58094348343</v>
      </c>
      <c r="K236" s="9">
        <f t="shared" si="24"/>
        <v>366.28739453712001</v>
      </c>
      <c r="L236" s="10">
        <f t="shared" si="21"/>
        <v>0.27201290520982874</v>
      </c>
      <c r="M236" s="10">
        <f t="shared" si="20"/>
        <v>0.50279705496927596</v>
      </c>
      <c r="P236" s="8">
        <f t="shared" si="25"/>
        <v>-2.8659174899739477</v>
      </c>
    </row>
    <row r="237" spans="1:16" x14ac:dyDescent="0.2">
      <c r="A237" s="8">
        <v>117.5</v>
      </c>
      <c r="B237" s="8">
        <v>235</v>
      </c>
      <c r="D237">
        <v>1557.0844793712999</v>
      </c>
      <c r="E237">
        <v>486.98231827111999</v>
      </c>
      <c r="F237">
        <v>125.97722772277</v>
      </c>
      <c r="G237">
        <v>109.89504950494999</v>
      </c>
      <c r="I237" s="9">
        <f t="shared" si="22"/>
        <v>377.08726876616998</v>
      </c>
      <c r="J237" s="9">
        <f t="shared" si="23"/>
        <v>1431.1072516485299</v>
      </c>
      <c r="K237" s="9">
        <f t="shared" si="24"/>
        <v>377.08726876616998</v>
      </c>
      <c r="L237" s="10">
        <f t="shared" si="21"/>
        <v>0.26349336734321854</v>
      </c>
      <c r="M237" s="10">
        <f t="shared" si="20"/>
        <v>0.49526377415291978</v>
      </c>
      <c r="P237" s="8">
        <f t="shared" si="25"/>
        <v>-4.3212528248872593</v>
      </c>
    </row>
    <row r="238" spans="1:16" x14ac:dyDescent="0.2">
      <c r="A238" s="8">
        <v>118</v>
      </c>
      <c r="B238" s="8">
        <v>236</v>
      </c>
      <c r="D238">
        <v>1567.4115942029</v>
      </c>
      <c r="E238">
        <v>481.58937198068003</v>
      </c>
      <c r="F238">
        <v>125.62178217822</v>
      </c>
      <c r="G238">
        <v>109.27326732672999</v>
      </c>
      <c r="I238" s="9">
        <f t="shared" si="22"/>
        <v>372.31610465395005</v>
      </c>
      <c r="J238" s="9">
        <f t="shared" si="23"/>
        <v>1441.78981202468</v>
      </c>
      <c r="K238" s="9">
        <f t="shared" si="24"/>
        <v>372.31610465395005</v>
      </c>
      <c r="L238" s="10">
        <f t="shared" si="21"/>
        <v>0.25823188758083476</v>
      </c>
      <c r="M238" s="10">
        <f t="shared" si="20"/>
        <v>0.49098855144079001</v>
      </c>
      <c r="P238" s="8">
        <f t="shared" si="25"/>
        <v>-5.1471722123707941</v>
      </c>
    </row>
    <row r="239" spans="1:16" x14ac:dyDescent="0.2">
      <c r="A239" s="8">
        <v>118.5</v>
      </c>
      <c r="B239" s="8">
        <v>237</v>
      </c>
      <c r="D239">
        <v>1484.7371980676</v>
      </c>
      <c r="E239">
        <v>458.50821256039001</v>
      </c>
      <c r="F239">
        <v>125.56930693069</v>
      </c>
      <c r="G239">
        <v>109.4297029703</v>
      </c>
      <c r="I239" s="9">
        <f t="shared" si="22"/>
        <v>349.07850959008999</v>
      </c>
      <c r="J239" s="9">
        <f t="shared" si="23"/>
        <v>1359.1678911369099</v>
      </c>
      <c r="K239" s="9">
        <f t="shared" si="24"/>
        <v>349.07850959008999</v>
      </c>
      <c r="L239" s="10">
        <f t="shared" si="21"/>
        <v>0.25683251632592247</v>
      </c>
      <c r="M239" s="10">
        <f t="shared" si="20"/>
        <v>0.49057543723613184</v>
      </c>
      <c r="P239" s="8">
        <f t="shared" si="25"/>
        <v>-5.2269806934363467</v>
      </c>
    </row>
    <row r="240" spans="1:16" x14ac:dyDescent="0.2">
      <c r="A240" s="8">
        <v>119</v>
      </c>
      <c r="B240" s="8">
        <v>238</v>
      </c>
      <c r="D240">
        <v>1444.0867446394</v>
      </c>
      <c r="E240">
        <v>456.91228070174998</v>
      </c>
      <c r="F240">
        <v>126.10891089109001</v>
      </c>
      <c r="G240">
        <v>109.47029702970001</v>
      </c>
      <c r="I240" s="9">
        <f t="shared" si="22"/>
        <v>347.44198367204996</v>
      </c>
      <c r="J240" s="9">
        <f t="shared" si="23"/>
        <v>1317.9778337483099</v>
      </c>
      <c r="K240" s="9">
        <f t="shared" si="24"/>
        <v>347.44198367204996</v>
      </c>
      <c r="L240" s="10">
        <f t="shared" si="21"/>
        <v>0.26361747123161394</v>
      </c>
      <c r="M240" s="10">
        <f t="shared" si="20"/>
        <v>0.49834664919207733</v>
      </c>
      <c r="P240" s="8">
        <f t="shared" si="25"/>
        <v>-3.7256800476363505</v>
      </c>
    </row>
    <row r="241" spans="1:16" x14ac:dyDescent="0.2">
      <c r="A241" s="8">
        <v>119.5</v>
      </c>
      <c r="B241" s="8">
        <v>239</v>
      </c>
      <c r="D241">
        <v>1459.0311890838</v>
      </c>
      <c r="E241">
        <v>463.35672514620001</v>
      </c>
      <c r="F241">
        <v>125.5396039604</v>
      </c>
      <c r="G241">
        <v>109.54257425743</v>
      </c>
      <c r="I241" s="9">
        <f t="shared" si="22"/>
        <v>353.81415088876997</v>
      </c>
      <c r="J241" s="9">
        <f t="shared" si="23"/>
        <v>1333.4915851234</v>
      </c>
      <c r="K241" s="9">
        <f t="shared" si="24"/>
        <v>353.81415088876997</v>
      </c>
      <c r="L241" s="10">
        <f t="shared" si="21"/>
        <v>0.26532912156024469</v>
      </c>
      <c r="M241" s="10">
        <f t="shared" si="20"/>
        <v>0.50104455657096214</v>
      </c>
      <c r="P241" s="8">
        <f t="shared" si="25"/>
        <v>-3.2044781922256842</v>
      </c>
    </row>
    <row r="242" spans="1:16" x14ac:dyDescent="0.2">
      <c r="A242" s="8">
        <v>120</v>
      </c>
      <c r="B242" s="8">
        <v>240</v>
      </c>
      <c r="D242">
        <v>1419.9230019493</v>
      </c>
      <c r="E242">
        <v>440.04970760233999</v>
      </c>
      <c r="F242">
        <v>125.62277227723</v>
      </c>
      <c r="G242">
        <v>109.47722772277</v>
      </c>
      <c r="I242" s="9">
        <f>E242-G242</f>
        <v>330.57247987956998</v>
      </c>
      <c r="J242" s="9">
        <f>D242-F242</f>
        <v>1294.3002296720699</v>
      </c>
      <c r="K242" s="9">
        <f t="shared" si="24"/>
        <v>330.57247987956998</v>
      </c>
      <c r="L242" s="10">
        <f t="shared" si="21"/>
        <v>0.25540633641340338</v>
      </c>
      <c r="M242" s="10">
        <f>L242+ABS($N$2)*A242</f>
        <v>0.49210802847437485</v>
      </c>
      <c r="O242" s="11"/>
      <c r="P242" s="8">
        <f>(M242-$O$2)/$O$2*100</f>
        <v>-4.9309032953721594</v>
      </c>
    </row>
    <row r="243" spans="1:16" x14ac:dyDescent="0.2">
      <c r="A243" s="8">
        <v>120.5</v>
      </c>
      <c r="B243" s="8">
        <v>241</v>
      </c>
      <c r="D243">
        <v>1414.6754385965</v>
      </c>
      <c r="E243">
        <v>427.94931773879</v>
      </c>
      <c r="F243">
        <v>126.35049504951</v>
      </c>
      <c r="G243">
        <v>109.67326732673</v>
      </c>
      <c r="I243" s="9">
        <f t="shared" ref="I243:I274" si="26">E243-G243</f>
        <v>318.27605041205999</v>
      </c>
      <c r="J243" s="9">
        <f t="shared" ref="J243:J274" si="27">D243-F243</f>
        <v>1288.32494354699</v>
      </c>
      <c r="K243" s="9">
        <f t="shared" si="24"/>
        <v>318.27605041205999</v>
      </c>
      <c r="L243" s="10">
        <f t="shared" si="21"/>
        <v>0.24704640859920701</v>
      </c>
      <c r="M243" s="10">
        <f t="shared" ref="M243:M274" si="28">L243+ABS($N$2)*A243</f>
        <v>0.4847343577104325</v>
      </c>
      <c r="P243" s="8">
        <f t="shared" ref="P243:P274" si="29">(M243-$O$2)/$O$2*100</f>
        <v>-6.3554039707595864</v>
      </c>
    </row>
    <row r="244" spans="1:16" x14ac:dyDescent="0.2">
      <c r="A244" s="8">
        <v>121</v>
      </c>
      <c r="B244" s="8">
        <v>242</v>
      </c>
      <c r="D244">
        <v>1506.8904244816999</v>
      </c>
      <c r="E244">
        <v>449.25666337611</v>
      </c>
      <c r="F244">
        <v>125.79108910891</v>
      </c>
      <c r="G244">
        <v>109.50495049505</v>
      </c>
      <c r="I244" s="9">
        <f t="shared" si="26"/>
        <v>339.75171288106003</v>
      </c>
      <c r="J244" s="9">
        <f t="shared" si="27"/>
        <v>1381.0993353727899</v>
      </c>
      <c r="K244" s="9">
        <f t="shared" si="24"/>
        <v>339.75171288106003</v>
      </c>
      <c r="L244" s="10">
        <f t="shared" si="21"/>
        <v>0.24600092417635794</v>
      </c>
      <c r="M244" s="10">
        <f t="shared" si="28"/>
        <v>0.48467513033783749</v>
      </c>
      <c r="N244" s="1"/>
      <c r="P244" s="8">
        <f t="shared" si="29"/>
        <v>-6.3668459560290644</v>
      </c>
    </row>
    <row r="245" spans="1:16" x14ac:dyDescent="0.2">
      <c r="A245" s="8">
        <v>121.5</v>
      </c>
      <c r="B245" s="8">
        <v>243</v>
      </c>
      <c r="D245">
        <v>1512.5557749259999</v>
      </c>
      <c r="E245">
        <v>457.39684106613998</v>
      </c>
      <c r="F245">
        <v>126.06732673267</v>
      </c>
      <c r="G245">
        <v>109.83168316832</v>
      </c>
      <c r="I245" s="9">
        <f t="shared" si="26"/>
        <v>347.56515789781997</v>
      </c>
      <c r="J245" s="9">
        <f t="shared" si="27"/>
        <v>1386.48844819333</v>
      </c>
      <c r="K245" s="9">
        <f t="shared" si="24"/>
        <v>347.56515789781997</v>
      </c>
      <c r="L245" s="10">
        <f t="shared" si="21"/>
        <v>0.2506801685587185</v>
      </c>
      <c r="M245" s="10">
        <f t="shared" si="28"/>
        <v>0.49034063177045212</v>
      </c>
      <c r="P245" s="8">
        <f t="shared" si="29"/>
        <v>-5.2723421633410039</v>
      </c>
    </row>
    <row r="246" spans="1:16" x14ac:dyDescent="0.2">
      <c r="A246" s="8">
        <v>122</v>
      </c>
      <c r="B246" s="8">
        <v>244</v>
      </c>
      <c r="D246">
        <v>1494.8035538006</v>
      </c>
      <c r="E246">
        <v>437.57749259625001</v>
      </c>
      <c r="F246">
        <v>125.53465346535</v>
      </c>
      <c r="G246">
        <v>109.55742574257</v>
      </c>
      <c r="I246" s="9">
        <f t="shared" si="26"/>
        <v>328.02006685368002</v>
      </c>
      <c r="J246" s="9">
        <f t="shared" si="27"/>
        <v>1369.26890033525</v>
      </c>
      <c r="K246" s="9">
        <f t="shared" si="24"/>
        <v>328.02006685368002</v>
      </c>
      <c r="L246" s="10">
        <f t="shared" si="21"/>
        <v>0.2395585460046365</v>
      </c>
      <c r="M246" s="10">
        <f t="shared" si="28"/>
        <v>0.48020526626662419</v>
      </c>
      <c r="P246" s="8">
        <f t="shared" si="29"/>
        <v>-7.2303676119551614</v>
      </c>
    </row>
    <row r="247" spans="1:16" x14ac:dyDescent="0.2">
      <c r="A247" s="8">
        <v>122.5</v>
      </c>
      <c r="B247" s="8">
        <v>245</v>
      </c>
      <c r="D247">
        <v>1481.2351797862</v>
      </c>
      <c r="E247">
        <v>442.79203109815001</v>
      </c>
      <c r="F247">
        <v>125.90891089109</v>
      </c>
      <c r="G247">
        <v>109.84851485148999</v>
      </c>
      <c r="I247" s="9">
        <f t="shared" si="26"/>
        <v>332.94351624666001</v>
      </c>
      <c r="J247" s="9">
        <f t="shared" si="27"/>
        <v>1355.3262688951099</v>
      </c>
      <c r="K247" s="9">
        <f t="shared" si="24"/>
        <v>332.94351624666001</v>
      </c>
      <c r="L247" s="10">
        <f t="shared" si="21"/>
        <v>0.24565562100267005</v>
      </c>
      <c r="M247" s="10">
        <f t="shared" si="28"/>
        <v>0.48728859831491178</v>
      </c>
      <c r="P247" s="8">
        <f t="shared" si="29"/>
        <v>-5.8619567336012262</v>
      </c>
    </row>
    <row r="248" spans="1:16" x14ac:dyDescent="0.2">
      <c r="A248" s="8">
        <v>123</v>
      </c>
      <c r="B248" s="8">
        <v>246</v>
      </c>
      <c r="D248">
        <v>1541.4975704568001</v>
      </c>
      <c r="E248">
        <v>472.72983479106</v>
      </c>
      <c r="F248">
        <v>125.50297029703</v>
      </c>
      <c r="G248">
        <v>109.81188118812</v>
      </c>
      <c r="I248" s="9">
        <f t="shared" si="26"/>
        <v>362.91795360293997</v>
      </c>
      <c r="J248" s="9">
        <f t="shared" si="27"/>
        <v>1415.99460015977</v>
      </c>
      <c r="K248" s="9">
        <f t="shared" si="24"/>
        <v>362.91795360293997</v>
      </c>
      <c r="L248" s="10">
        <f t="shared" si="21"/>
        <v>0.25629896721498169</v>
      </c>
      <c r="M248" s="10">
        <f t="shared" si="28"/>
        <v>0.49891820157747746</v>
      </c>
      <c r="P248" s="8">
        <f t="shared" si="29"/>
        <v>-3.6152632979486441</v>
      </c>
    </row>
    <row r="249" spans="1:16" x14ac:dyDescent="0.2">
      <c r="A249" s="8">
        <v>123.5</v>
      </c>
      <c r="B249" s="8">
        <v>247</v>
      </c>
      <c r="D249">
        <v>1531.5519922255</v>
      </c>
      <c r="E249">
        <v>472.68318756074001</v>
      </c>
      <c r="F249">
        <v>125.40297029703</v>
      </c>
      <c r="G249">
        <v>109.39702970297</v>
      </c>
      <c r="I249" s="9">
        <f t="shared" si="26"/>
        <v>363.28615785777004</v>
      </c>
      <c r="J249" s="9">
        <f t="shared" si="27"/>
        <v>1406.1490219284701</v>
      </c>
      <c r="K249" s="9">
        <f t="shared" si="24"/>
        <v>363.28615785777004</v>
      </c>
      <c r="L249" s="10">
        <f t="shared" si="21"/>
        <v>0.25835537499399558</v>
      </c>
      <c r="M249" s="10">
        <f t="shared" si="28"/>
        <v>0.50196086640674542</v>
      </c>
      <c r="P249" s="8">
        <f t="shared" si="29"/>
        <v>-3.0274586287376675</v>
      </c>
    </row>
    <row r="250" spans="1:16" x14ac:dyDescent="0.2">
      <c r="A250" s="8">
        <v>124</v>
      </c>
      <c r="B250" s="8">
        <v>248</v>
      </c>
      <c r="D250">
        <v>1496.1418853256</v>
      </c>
      <c r="E250">
        <v>463.05830903790002</v>
      </c>
      <c r="F250">
        <v>125.86633663366</v>
      </c>
      <c r="G250">
        <v>109.9495049505</v>
      </c>
      <c r="I250" s="9">
        <f t="shared" si="26"/>
        <v>353.10880408740002</v>
      </c>
      <c r="J250" s="9">
        <f t="shared" si="27"/>
        <v>1370.27554869194</v>
      </c>
      <c r="K250" s="9">
        <f t="shared" si="24"/>
        <v>353.10880408740002</v>
      </c>
      <c r="L250" s="10">
        <f t="shared" si="21"/>
        <v>0.25769182295084836</v>
      </c>
      <c r="M250" s="10">
        <f t="shared" si="28"/>
        <v>0.50228357141385227</v>
      </c>
      <c r="P250" s="8">
        <f t="shared" si="29"/>
        <v>-2.9651160702900436</v>
      </c>
    </row>
    <row r="251" spans="1:16" x14ac:dyDescent="0.2">
      <c r="A251" s="8">
        <v>124.5</v>
      </c>
      <c r="B251" s="8">
        <v>249</v>
      </c>
      <c r="D251">
        <v>1488.5685131195</v>
      </c>
      <c r="E251">
        <v>472.59183673468999</v>
      </c>
      <c r="F251">
        <v>125.80495049504999</v>
      </c>
      <c r="G251">
        <v>109.63168316832</v>
      </c>
      <c r="I251" s="9">
        <f t="shared" si="26"/>
        <v>362.96015356636997</v>
      </c>
      <c r="J251" s="9">
        <f t="shared" si="27"/>
        <v>1362.7635626244501</v>
      </c>
      <c r="K251" s="9">
        <f t="shared" si="24"/>
        <v>362.96015356636997</v>
      </c>
      <c r="L251" s="10">
        <f t="shared" si="21"/>
        <v>0.26634125208585019</v>
      </c>
      <c r="M251" s="10">
        <f t="shared" si="28"/>
        <v>0.51191925759910806</v>
      </c>
      <c r="P251" s="8">
        <f t="shared" si="29"/>
        <v>-1.1036223966316994</v>
      </c>
    </row>
    <row r="252" spans="1:16" x14ac:dyDescent="0.2">
      <c r="A252" s="8">
        <v>125</v>
      </c>
      <c r="B252" s="8">
        <v>250</v>
      </c>
      <c r="D252">
        <v>1468.0233236152001</v>
      </c>
      <c r="E252">
        <v>514.12342079688995</v>
      </c>
      <c r="F252">
        <v>125.57326732673</v>
      </c>
      <c r="G252">
        <v>109.57326732673</v>
      </c>
      <c r="I252" s="9">
        <f t="shared" si="26"/>
        <v>404.55015347015996</v>
      </c>
      <c r="J252" s="9">
        <f t="shared" si="27"/>
        <v>1342.45005628847</v>
      </c>
      <c r="K252" s="9">
        <f t="shared" si="24"/>
        <v>404.55015347015996</v>
      </c>
      <c r="L252" s="10">
        <f t="shared" si="21"/>
        <v>0.30135210734665047</v>
      </c>
      <c r="M252" s="10">
        <f t="shared" si="28"/>
        <v>0.54791636991016246</v>
      </c>
      <c r="P252" s="8">
        <f t="shared" si="29"/>
        <v>5.8505680521534345</v>
      </c>
    </row>
    <row r="253" spans="1:16" x14ac:dyDescent="0.2">
      <c r="A253" s="8">
        <v>125.5</v>
      </c>
      <c r="B253" s="8">
        <v>251</v>
      </c>
      <c r="D253">
        <v>1474.0243190662</v>
      </c>
      <c r="E253">
        <v>485.33073929961</v>
      </c>
      <c r="F253">
        <v>125.64653465347</v>
      </c>
      <c r="G253">
        <v>109.68514851485</v>
      </c>
      <c r="I253" s="9">
        <f t="shared" si="26"/>
        <v>375.64559078475997</v>
      </c>
      <c r="J253" s="9">
        <f t="shared" si="27"/>
        <v>1348.3777844127299</v>
      </c>
      <c r="K253" s="9">
        <f t="shared" si="24"/>
        <v>375.64559078475997</v>
      </c>
      <c r="L253" s="10">
        <f t="shared" si="21"/>
        <v>0.27859075930145794</v>
      </c>
      <c r="M253" s="10">
        <f t="shared" si="28"/>
        <v>0.526141278915224</v>
      </c>
      <c r="P253" s="8">
        <f t="shared" si="29"/>
        <v>1.6438936803337274</v>
      </c>
    </row>
    <row r="254" spans="1:16" x14ac:dyDescent="0.2">
      <c r="A254" s="8">
        <v>126</v>
      </c>
      <c r="B254" s="8">
        <v>252</v>
      </c>
      <c r="D254">
        <v>1471.6906614786001</v>
      </c>
      <c r="E254">
        <v>474.30155642022999</v>
      </c>
      <c r="F254">
        <v>125.39900990099</v>
      </c>
      <c r="G254">
        <v>109.50297029703</v>
      </c>
      <c r="I254" s="9">
        <f t="shared" si="26"/>
        <v>364.79858612319998</v>
      </c>
      <c r="J254" s="9">
        <f t="shared" si="27"/>
        <v>1346.2916515776101</v>
      </c>
      <c r="K254" s="9">
        <f t="shared" si="24"/>
        <v>364.79858612319998</v>
      </c>
      <c r="L254" s="10">
        <f t="shared" si="21"/>
        <v>0.27096549673744325</v>
      </c>
      <c r="M254" s="10">
        <f t="shared" si="28"/>
        <v>0.51950227340146327</v>
      </c>
      <c r="P254" s="8">
        <f t="shared" si="29"/>
        <v>0.36132111356012386</v>
      </c>
    </row>
    <row r="255" spans="1:16" x14ac:dyDescent="0.2">
      <c r="A255" s="8">
        <v>126.5</v>
      </c>
      <c r="B255" s="8">
        <v>253</v>
      </c>
      <c r="D255">
        <v>1466.75</v>
      </c>
      <c r="E255">
        <v>457.86284046692998</v>
      </c>
      <c r="F255">
        <v>125.66336633663001</v>
      </c>
      <c r="G255">
        <v>109.55049504951</v>
      </c>
      <c r="I255" s="9">
        <f t="shared" si="26"/>
        <v>348.31234541741998</v>
      </c>
      <c r="J255" s="9">
        <f t="shared" si="27"/>
        <v>1341.0866336633701</v>
      </c>
      <c r="K255" s="9">
        <f t="shared" si="24"/>
        <v>348.31234541741998</v>
      </c>
      <c r="L255" s="10">
        <f t="shared" si="21"/>
        <v>0.25972397060281999</v>
      </c>
      <c r="M255" s="10">
        <f t="shared" si="28"/>
        <v>0.50924700431709402</v>
      </c>
      <c r="P255" s="8">
        <f t="shared" si="29"/>
        <v>-1.6198682024045685</v>
      </c>
    </row>
    <row r="256" spans="1:16" x14ac:dyDescent="0.2">
      <c r="A256" s="8">
        <v>127</v>
      </c>
      <c r="B256" s="8">
        <v>254</v>
      </c>
      <c r="D256">
        <v>1441.4270428016</v>
      </c>
      <c r="E256">
        <v>429.65564202335003</v>
      </c>
      <c r="F256">
        <v>125.84752475248</v>
      </c>
      <c r="G256">
        <v>109.43861386139</v>
      </c>
      <c r="I256" s="9">
        <f t="shared" si="26"/>
        <v>320.21702816196</v>
      </c>
      <c r="J256" s="9">
        <f t="shared" si="27"/>
        <v>1315.57951804912</v>
      </c>
      <c r="K256" s="9">
        <f t="shared" si="24"/>
        <v>320.21702816196</v>
      </c>
      <c r="L256" s="10">
        <f t="shared" si="21"/>
        <v>0.24340378043952188</v>
      </c>
      <c r="M256" s="10">
        <f t="shared" si="28"/>
        <v>0.49391307120405004</v>
      </c>
      <c r="P256" s="8">
        <f t="shared" si="29"/>
        <v>-4.5821916875662891</v>
      </c>
    </row>
    <row r="257" spans="1:16" x14ac:dyDescent="0.2">
      <c r="A257" s="8">
        <v>127.5</v>
      </c>
      <c r="B257" s="8">
        <v>255</v>
      </c>
      <c r="D257">
        <v>1472.4677734375</v>
      </c>
      <c r="E257">
        <v>444.1748046875</v>
      </c>
      <c r="F257">
        <v>125.42772277228001</v>
      </c>
      <c r="G257">
        <v>109.26336633663</v>
      </c>
      <c r="I257" s="9">
        <f t="shared" si="26"/>
        <v>334.91143835087001</v>
      </c>
      <c r="J257" s="9">
        <f t="shared" si="27"/>
        <v>1347.04005066522</v>
      </c>
      <c r="K257" s="9">
        <f t="shared" si="24"/>
        <v>334.91143835087001</v>
      </c>
      <c r="L257" s="10">
        <f t="shared" si="21"/>
        <v>0.24862767679808623</v>
      </c>
      <c r="M257" s="10">
        <f t="shared" si="28"/>
        <v>0.5001232246128684</v>
      </c>
      <c r="P257" s="8">
        <f t="shared" si="29"/>
        <v>-3.3824679667323583</v>
      </c>
    </row>
    <row r="258" spans="1:16" x14ac:dyDescent="0.2">
      <c r="A258" s="8">
        <v>128</v>
      </c>
      <c r="B258" s="8">
        <v>256</v>
      </c>
      <c r="D258">
        <v>1430.431640625</v>
      </c>
      <c r="E258">
        <v>436.7021484375</v>
      </c>
      <c r="F258">
        <v>125.63465346535</v>
      </c>
      <c r="G258">
        <v>109.53465346535</v>
      </c>
      <c r="I258" s="9">
        <f t="shared" si="26"/>
        <v>327.16749497215</v>
      </c>
      <c r="J258" s="9">
        <f t="shared" si="27"/>
        <v>1304.7969871596499</v>
      </c>
      <c r="K258" s="9">
        <f t="shared" si="24"/>
        <v>327.16749497215</v>
      </c>
      <c r="L258" s="10">
        <f t="shared" ref="L258:L321" si="30">K258/J258</f>
        <v>0.25074206807017946</v>
      </c>
      <c r="M258" s="10">
        <f t="shared" si="28"/>
        <v>0.50322387293521564</v>
      </c>
      <c r="P258" s="8">
        <f t="shared" si="29"/>
        <v>-2.7834616141675941</v>
      </c>
    </row>
    <row r="259" spans="1:16" x14ac:dyDescent="0.2">
      <c r="A259" s="8">
        <v>128.5</v>
      </c>
      <c r="B259" s="8">
        <v>257</v>
      </c>
      <c r="D259">
        <v>1459.2944606414001</v>
      </c>
      <c r="E259">
        <v>426.28765792030998</v>
      </c>
      <c r="F259">
        <v>125.77920792079</v>
      </c>
      <c r="G259">
        <v>109.54257425743</v>
      </c>
      <c r="I259" s="9">
        <f t="shared" si="26"/>
        <v>316.74508366288001</v>
      </c>
      <c r="J259" s="9">
        <f t="shared" si="27"/>
        <v>1333.5152527206101</v>
      </c>
      <c r="K259" s="9">
        <f t="shared" ref="K259:K321" si="31">I259*1</f>
        <v>316.74508366288001</v>
      </c>
      <c r="L259" s="10">
        <f t="shared" si="30"/>
        <v>0.23752640475364889</v>
      </c>
      <c r="M259" s="10">
        <f t="shared" si="28"/>
        <v>0.4909944666689392</v>
      </c>
      <c r="P259" s="8">
        <f t="shared" si="29"/>
        <v>-5.146029464509744</v>
      </c>
    </row>
    <row r="260" spans="1:16" x14ac:dyDescent="0.2">
      <c r="A260" s="8">
        <v>129</v>
      </c>
      <c r="B260" s="8">
        <v>258</v>
      </c>
      <c r="D260">
        <v>1442.6880466472001</v>
      </c>
      <c r="E260">
        <v>418.31486880467003</v>
      </c>
      <c r="F260">
        <v>125.78712871287</v>
      </c>
      <c r="G260">
        <v>109.7495049505</v>
      </c>
      <c r="I260" s="9">
        <f t="shared" si="26"/>
        <v>308.56536385417002</v>
      </c>
      <c r="J260" s="9">
        <f t="shared" si="27"/>
        <v>1316.90091793433</v>
      </c>
      <c r="K260" s="9">
        <f t="shared" si="31"/>
        <v>308.56536385417002</v>
      </c>
      <c r="L260" s="10">
        <f t="shared" si="30"/>
        <v>0.2343117539459087</v>
      </c>
      <c r="M260" s="10">
        <f t="shared" si="28"/>
        <v>0.48876607291145302</v>
      </c>
      <c r="P260" s="8">
        <f t="shared" si="29"/>
        <v>-5.5765271791745921</v>
      </c>
    </row>
    <row r="261" spans="1:16" x14ac:dyDescent="0.2">
      <c r="A261" s="8">
        <v>129.5</v>
      </c>
      <c r="B261" s="8">
        <v>259</v>
      </c>
      <c r="D261">
        <v>1452.2235179786001</v>
      </c>
      <c r="E261">
        <v>425.23420796890002</v>
      </c>
      <c r="F261">
        <v>126.14554455446</v>
      </c>
      <c r="G261">
        <v>109.58712871287</v>
      </c>
      <c r="I261" s="9">
        <f t="shared" si="26"/>
        <v>315.64707925603</v>
      </c>
      <c r="J261" s="9">
        <f t="shared" si="27"/>
        <v>1326.0779734241401</v>
      </c>
      <c r="K261" s="9">
        <f t="shared" si="31"/>
        <v>315.64707925603</v>
      </c>
      <c r="L261" s="10">
        <f t="shared" si="30"/>
        <v>0.23803055746486765</v>
      </c>
      <c r="M261" s="10">
        <f t="shared" si="28"/>
        <v>0.49347113348066607</v>
      </c>
      <c r="P261" s="8">
        <f t="shared" si="29"/>
        <v>-4.6675685108058262</v>
      </c>
    </row>
    <row r="262" spans="1:16" x14ac:dyDescent="0.2">
      <c r="A262" s="8">
        <v>130</v>
      </c>
      <c r="B262" s="8">
        <v>260</v>
      </c>
      <c r="D262">
        <v>1405.4159378037</v>
      </c>
      <c r="E262">
        <v>402.68707482993</v>
      </c>
      <c r="F262">
        <v>125.59504950495</v>
      </c>
      <c r="G262">
        <v>109.22772277228</v>
      </c>
      <c r="I262" s="9">
        <f t="shared" si="26"/>
        <v>293.45935205764999</v>
      </c>
      <c r="J262" s="9">
        <f t="shared" si="27"/>
        <v>1279.8208882987501</v>
      </c>
      <c r="K262" s="9">
        <f t="shared" si="31"/>
        <v>293.45935205764999</v>
      </c>
      <c r="L262" s="10">
        <f t="shared" si="30"/>
        <v>0.22929720458598066</v>
      </c>
      <c r="M262" s="10">
        <f t="shared" si="28"/>
        <v>0.48572403765203309</v>
      </c>
      <c r="P262" s="8">
        <f t="shared" si="29"/>
        <v>-6.1642102233900351</v>
      </c>
    </row>
    <row r="263" spans="1:16" x14ac:dyDescent="0.2">
      <c r="A263" s="8">
        <v>130.5</v>
      </c>
      <c r="B263" s="8">
        <v>261</v>
      </c>
      <c r="D263">
        <v>1437.3284457478001</v>
      </c>
      <c r="E263">
        <v>411.71652003909998</v>
      </c>
      <c r="F263">
        <v>125.61386138614</v>
      </c>
      <c r="G263">
        <v>109.34158415842001</v>
      </c>
      <c r="I263" s="9">
        <f t="shared" si="26"/>
        <v>302.37493588067997</v>
      </c>
      <c r="J263" s="9">
        <f t="shared" si="27"/>
        <v>1311.7145843616599</v>
      </c>
      <c r="K263" s="9">
        <f t="shared" si="31"/>
        <v>302.37493588067997</v>
      </c>
      <c r="L263" s="10">
        <f t="shared" si="30"/>
        <v>0.2305188487538464</v>
      </c>
      <c r="M263" s="10">
        <f t="shared" si="28"/>
        <v>0.48793193887015285</v>
      </c>
      <c r="P263" s="8">
        <f t="shared" si="29"/>
        <v>-5.7376714102143369</v>
      </c>
    </row>
    <row r="264" spans="1:16" x14ac:dyDescent="0.2">
      <c r="A264" s="8">
        <v>131</v>
      </c>
      <c r="B264" s="8">
        <v>262</v>
      </c>
      <c r="D264">
        <v>1470.9506903352999</v>
      </c>
      <c r="E264">
        <v>414.09171597633002</v>
      </c>
      <c r="F264">
        <v>125.5396039604</v>
      </c>
      <c r="G264">
        <v>109.61386138614</v>
      </c>
      <c r="I264" s="9">
        <f t="shared" si="26"/>
        <v>304.47785459019002</v>
      </c>
      <c r="J264" s="9">
        <f t="shared" si="27"/>
        <v>1345.4110863748999</v>
      </c>
      <c r="K264" s="9">
        <f t="shared" si="31"/>
        <v>304.47785459019002</v>
      </c>
      <c r="L264" s="10">
        <f t="shared" si="30"/>
        <v>0.22630841805427715</v>
      </c>
      <c r="M264" s="10">
        <f t="shared" si="28"/>
        <v>0.48470776522083769</v>
      </c>
      <c r="P264" s="8">
        <f t="shared" si="29"/>
        <v>-6.3605413060978115</v>
      </c>
    </row>
    <row r="265" spans="1:16" x14ac:dyDescent="0.2">
      <c r="A265" s="8">
        <v>131.5</v>
      </c>
      <c r="B265" s="8">
        <v>263</v>
      </c>
      <c r="D265">
        <v>1477.2366863904999</v>
      </c>
      <c r="E265">
        <v>412.88658777120003</v>
      </c>
      <c r="F265">
        <v>125.26237623762</v>
      </c>
      <c r="G265">
        <v>109.48415841584</v>
      </c>
      <c r="I265" s="9">
        <f t="shared" si="26"/>
        <v>303.40242935536003</v>
      </c>
      <c r="J265" s="9">
        <f t="shared" si="27"/>
        <v>1351.97431015288</v>
      </c>
      <c r="K265" s="9">
        <f t="shared" si="31"/>
        <v>303.40242935536003</v>
      </c>
      <c r="L265" s="10">
        <f t="shared" si="30"/>
        <v>0.22441434506329605</v>
      </c>
      <c r="M265" s="10">
        <f t="shared" si="28"/>
        <v>0.48379994928011061</v>
      </c>
      <c r="P265" s="8">
        <f t="shared" si="29"/>
        <v>-6.5359199556324423</v>
      </c>
    </row>
    <row r="266" spans="1:16" x14ac:dyDescent="0.2">
      <c r="A266" s="8">
        <v>132</v>
      </c>
      <c r="B266" s="8">
        <v>264</v>
      </c>
      <c r="D266">
        <v>1397.404296875</v>
      </c>
      <c r="E266">
        <v>399.1669921875</v>
      </c>
      <c r="F266">
        <v>125.32871287128999</v>
      </c>
      <c r="G266">
        <v>109.40198019802</v>
      </c>
      <c r="I266" s="9">
        <f t="shared" si="26"/>
        <v>289.76501198948</v>
      </c>
      <c r="J266" s="9">
        <f t="shared" si="27"/>
        <v>1272.07558400371</v>
      </c>
      <c r="K266" s="9">
        <f t="shared" si="31"/>
        <v>289.76501198948</v>
      </c>
      <c r="L266" s="10">
        <f t="shared" si="30"/>
        <v>0.2277891468347174</v>
      </c>
      <c r="M266" s="10">
        <f t="shared" si="28"/>
        <v>0.48816100810178603</v>
      </c>
      <c r="P266" s="8">
        <f t="shared" si="29"/>
        <v>-5.6934181087559077</v>
      </c>
    </row>
    <row r="267" spans="1:16" x14ac:dyDescent="0.2">
      <c r="A267" s="8">
        <v>132.5</v>
      </c>
      <c r="B267" s="8">
        <v>265</v>
      </c>
      <c r="D267">
        <v>1406.1591796875</v>
      </c>
      <c r="E267">
        <v>392.7763671875</v>
      </c>
      <c r="F267">
        <v>125.7198019802</v>
      </c>
      <c r="G267">
        <v>109.43960396040001</v>
      </c>
      <c r="I267" s="9">
        <f t="shared" si="26"/>
        <v>283.33676322709999</v>
      </c>
      <c r="J267" s="9">
        <f t="shared" si="27"/>
        <v>1280.4393777073001</v>
      </c>
      <c r="K267" s="9">
        <f t="shared" si="31"/>
        <v>283.33676322709999</v>
      </c>
      <c r="L267" s="10">
        <f t="shared" si="30"/>
        <v>0.22128088854501701</v>
      </c>
      <c r="M267" s="10">
        <f t="shared" si="28"/>
        <v>0.48263900686233974</v>
      </c>
      <c r="P267" s="8">
        <f t="shared" si="29"/>
        <v>-6.7601994645966226</v>
      </c>
    </row>
    <row r="268" spans="1:16" x14ac:dyDescent="0.2">
      <c r="A268" s="8">
        <v>133</v>
      </c>
      <c r="B268" s="8">
        <v>266</v>
      </c>
      <c r="D268">
        <v>1395.5302734375</v>
      </c>
      <c r="E268">
        <v>388.82421875</v>
      </c>
      <c r="F268">
        <v>125.31782178218</v>
      </c>
      <c r="G268">
        <v>109.36336633662999</v>
      </c>
      <c r="I268" s="9">
        <f t="shared" si="26"/>
        <v>279.46085241336999</v>
      </c>
      <c r="J268" s="9">
        <f t="shared" si="27"/>
        <v>1270.2124516553199</v>
      </c>
      <c r="K268" s="9">
        <f t="shared" si="31"/>
        <v>279.46085241336999</v>
      </c>
      <c r="L268" s="10">
        <f t="shared" si="30"/>
        <v>0.22001111077850105</v>
      </c>
      <c r="M268" s="10">
        <f t="shared" si="28"/>
        <v>0.48235548614607776</v>
      </c>
      <c r="P268" s="8">
        <f t="shared" si="29"/>
        <v>-6.8149721096917197</v>
      </c>
    </row>
    <row r="269" spans="1:16" x14ac:dyDescent="0.2">
      <c r="A269" s="8">
        <v>133.5</v>
      </c>
      <c r="B269" s="8">
        <v>267</v>
      </c>
      <c r="D269">
        <v>1357.005859375</v>
      </c>
      <c r="E269">
        <v>385.5703125</v>
      </c>
      <c r="F269">
        <v>125.02079207921</v>
      </c>
      <c r="G269">
        <v>109.61386138614</v>
      </c>
      <c r="I269" s="9">
        <f t="shared" si="26"/>
        <v>275.95645111386</v>
      </c>
      <c r="J269" s="9">
        <f t="shared" si="27"/>
        <v>1231.98506729579</v>
      </c>
      <c r="K269" s="9">
        <f t="shared" si="31"/>
        <v>275.95645111386</v>
      </c>
      <c r="L269" s="10">
        <f t="shared" si="30"/>
        <v>0.22399334086052278</v>
      </c>
      <c r="M269" s="10">
        <f t="shared" si="28"/>
        <v>0.48732397327835353</v>
      </c>
      <c r="P269" s="8">
        <f t="shared" si="29"/>
        <v>-5.8551227345079937</v>
      </c>
    </row>
    <row r="270" spans="1:16" x14ac:dyDescent="0.2">
      <c r="A270" s="8">
        <v>134</v>
      </c>
      <c r="B270" s="8">
        <v>268</v>
      </c>
      <c r="D270">
        <v>1398.189453125</v>
      </c>
      <c r="E270">
        <v>395.5380859375</v>
      </c>
      <c r="F270">
        <v>125.89900990099</v>
      </c>
      <c r="G270">
        <v>109.51188118812</v>
      </c>
      <c r="I270" s="9">
        <f t="shared" si="26"/>
        <v>286.02620474937999</v>
      </c>
      <c r="J270" s="9">
        <f t="shared" si="27"/>
        <v>1272.29044322401</v>
      </c>
      <c r="K270" s="9">
        <f t="shared" si="31"/>
        <v>286.02620474937999</v>
      </c>
      <c r="L270" s="10">
        <f t="shared" si="30"/>
        <v>0.22481203586233323</v>
      </c>
      <c r="M270" s="10">
        <f t="shared" si="28"/>
        <v>0.48912892533041802</v>
      </c>
      <c r="P270" s="8">
        <f t="shared" si="29"/>
        <v>-5.5064286444787944</v>
      </c>
    </row>
    <row r="271" spans="1:16" x14ac:dyDescent="0.2">
      <c r="A271" s="8">
        <v>134.5</v>
      </c>
      <c r="B271" s="8">
        <v>269</v>
      </c>
      <c r="D271">
        <v>1472.7815533981</v>
      </c>
      <c r="E271">
        <v>406.74368932038999</v>
      </c>
      <c r="F271">
        <v>125.78613861386</v>
      </c>
      <c r="G271">
        <v>109.23168316832</v>
      </c>
      <c r="I271" s="9">
        <f t="shared" si="26"/>
        <v>297.51200615207</v>
      </c>
      <c r="J271" s="9">
        <f t="shared" si="27"/>
        <v>1346.99541478424</v>
      </c>
      <c r="K271" s="9">
        <f t="shared" si="31"/>
        <v>297.51200615207</v>
      </c>
      <c r="L271" s="10">
        <f t="shared" si="30"/>
        <v>0.22087083807907773</v>
      </c>
      <c r="M271" s="10">
        <f t="shared" si="28"/>
        <v>0.48617398459741656</v>
      </c>
      <c r="P271" s="8">
        <f t="shared" si="29"/>
        <v>-6.0772861189505551</v>
      </c>
    </row>
    <row r="272" spans="1:16" x14ac:dyDescent="0.2">
      <c r="A272" s="8">
        <v>135</v>
      </c>
      <c r="B272" s="8">
        <v>270</v>
      </c>
      <c r="D272">
        <v>1394.2203883494999</v>
      </c>
      <c r="E272">
        <v>392.76213592233</v>
      </c>
      <c r="F272">
        <v>125.76732673267</v>
      </c>
      <c r="G272">
        <v>109.09504950495</v>
      </c>
      <c r="I272" s="9">
        <f t="shared" si="26"/>
        <v>283.66708641738001</v>
      </c>
      <c r="J272" s="9">
        <f t="shared" si="27"/>
        <v>1268.4530616168299</v>
      </c>
      <c r="K272" s="9">
        <f t="shared" si="31"/>
        <v>283.66708641738001</v>
      </c>
      <c r="L272" s="10">
        <f t="shared" si="30"/>
        <v>0.22363230851901181</v>
      </c>
      <c r="M272" s="10">
        <f t="shared" si="28"/>
        <v>0.48992171208760471</v>
      </c>
      <c r="P272" s="8">
        <f t="shared" si="29"/>
        <v>-5.3532721899523583</v>
      </c>
    </row>
    <row r="273" spans="1:16" x14ac:dyDescent="0.2">
      <c r="A273" s="8">
        <v>135.5</v>
      </c>
      <c r="B273" s="8">
        <v>271</v>
      </c>
      <c r="D273">
        <v>1376.490234375</v>
      </c>
      <c r="E273">
        <v>389.3740234375</v>
      </c>
      <c r="F273">
        <v>125.21584158416</v>
      </c>
      <c r="G273">
        <v>110.02772277228</v>
      </c>
      <c r="I273" s="9">
        <f t="shared" si="26"/>
        <v>279.34630066521999</v>
      </c>
      <c r="J273" s="9">
        <f t="shared" si="27"/>
        <v>1251.27439279084</v>
      </c>
      <c r="K273" s="9">
        <f t="shared" si="31"/>
        <v>279.34630066521999</v>
      </c>
      <c r="L273" s="10">
        <f t="shared" si="30"/>
        <v>0.22324943455620996</v>
      </c>
      <c r="M273" s="10">
        <f t="shared" si="28"/>
        <v>0.49052509517505694</v>
      </c>
      <c r="P273" s="8">
        <f t="shared" si="29"/>
        <v>-5.2367061480026491</v>
      </c>
    </row>
    <row r="274" spans="1:16" x14ac:dyDescent="0.2">
      <c r="A274" s="8">
        <v>136</v>
      </c>
      <c r="B274" s="8">
        <v>272</v>
      </c>
      <c r="D274">
        <v>1374.2373046875</v>
      </c>
      <c r="E274">
        <v>390.3310546875</v>
      </c>
      <c r="F274">
        <v>125.22574257426</v>
      </c>
      <c r="G274">
        <v>109.48910891089</v>
      </c>
      <c r="I274" s="9">
        <f t="shared" si="26"/>
        <v>280.84194577661003</v>
      </c>
      <c r="J274" s="9">
        <f t="shared" si="27"/>
        <v>1249.01156211324</v>
      </c>
      <c r="K274" s="9">
        <f t="shared" si="31"/>
        <v>280.84194577661003</v>
      </c>
      <c r="L274" s="10">
        <f t="shared" si="30"/>
        <v>0.22485135790211994</v>
      </c>
      <c r="M274" s="10">
        <f t="shared" si="28"/>
        <v>0.49311327557122098</v>
      </c>
      <c r="P274" s="8">
        <f t="shared" si="29"/>
        <v>-4.7367021689276481</v>
      </c>
    </row>
    <row r="275" spans="1:16" x14ac:dyDescent="0.2">
      <c r="A275" s="8">
        <v>136.5</v>
      </c>
      <c r="B275" s="8">
        <v>273</v>
      </c>
      <c r="D275">
        <v>1351.7509765625</v>
      </c>
      <c r="E275">
        <v>383.8623046875</v>
      </c>
      <c r="F275">
        <v>125.88811881188001</v>
      </c>
      <c r="G275">
        <v>109.49207920792</v>
      </c>
      <c r="I275" s="9">
        <f>E275-G275</f>
        <v>274.37022547957997</v>
      </c>
      <c r="J275" s="9">
        <f>D275-F275</f>
        <v>1225.8628577506199</v>
      </c>
      <c r="K275" s="9">
        <f t="shared" si="31"/>
        <v>274.37022547957997</v>
      </c>
      <c r="L275" s="10">
        <f t="shared" si="30"/>
        <v>0.22381804273198375</v>
      </c>
      <c r="M275" s="10">
        <f>L275+ABS($N$2)*A275</f>
        <v>0.49306621745133877</v>
      </c>
      <c r="O275" s="11"/>
      <c r="P275" s="8">
        <f>(M275-$O$2)/$O$2*100</f>
        <v>-4.7457932072585782</v>
      </c>
    </row>
    <row r="276" spans="1:16" x14ac:dyDescent="0.2">
      <c r="A276" s="8">
        <v>137</v>
      </c>
      <c r="B276" s="8">
        <v>274</v>
      </c>
      <c r="D276">
        <v>1350.0542941757001</v>
      </c>
      <c r="E276">
        <v>382.08687068115</v>
      </c>
      <c r="F276">
        <v>125.41485148515</v>
      </c>
      <c r="G276">
        <v>109.53663366337</v>
      </c>
      <c r="I276" s="9">
        <f t="shared" ref="I276:I291" si="32">E276-G276</f>
        <v>272.55023701777998</v>
      </c>
      <c r="J276" s="9">
        <f t="shared" ref="J276:J291" si="33">D276-F276</f>
        <v>1224.6394426905501</v>
      </c>
      <c r="K276" s="9">
        <f t="shared" si="31"/>
        <v>272.55023701777998</v>
      </c>
      <c r="L276" s="10">
        <f t="shared" si="30"/>
        <v>0.22255549471686398</v>
      </c>
      <c r="M276" s="10">
        <f t="shared" ref="M276:M291" si="34">L276+ABS($N$2)*A276</f>
        <v>0.49278992648647307</v>
      </c>
      <c r="P276" s="8">
        <f t="shared" ref="P276:P291" si="35">(M276-$O$2)/$O$2*100</f>
        <v>-4.7991691550943898</v>
      </c>
    </row>
    <row r="277" spans="1:16" x14ac:dyDescent="0.2">
      <c r="A277" s="8">
        <v>137.5</v>
      </c>
      <c r="B277" s="8">
        <v>275</v>
      </c>
      <c r="D277">
        <v>1353.6850937808999</v>
      </c>
      <c r="E277">
        <v>385.64955577492998</v>
      </c>
      <c r="F277">
        <v>125.28613861386</v>
      </c>
      <c r="G277">
        <v>109.47623762376</v>
      </c>
      <c r="I277" s="9">
        <f t="shared" si="32"/>
        <v>276.17331815116995</v>
      </c>
      <c r="J277" s="9">
        <f t="shared" si="33"/>
        <v>1228.39895516704</v>
      </c>
      <c r="K277" s="9">
        <f t="shared" si="31"/>
        <v>276.17331815116995</v>
      </c>
      <c r="L277" s="10">
        <f t="shared" si="30"/>
        <v>0.22482379766727772</v>
      </c>
      <c r="M277" s="10">
        <f t="shared" si="34"/>
        <v>0.49604448648714089</v>
      </c>
      <c r="N277" s="1"/>
      <c r="P277" s="8">
        <f t="shared" si="35"/>
        <v>-4.170428997382019</v>
      </c>
    </row>
    <row r="278" spans="1:16" x14ac:dyDescent="0.2">
      <c r="A278" s="8">
        <v>138</v>
      </c>
      <c r="B278" s="8">
        <v>276</v>
      </c>
      <c r="D278">
        <v>1347.8904244816999</v>
      </c>
      <c r="E278">
        <v>386.99210266534999</v>
      </c>
      <c r="F278">
        <v>124.93168316832001</v>
      </c>
      <c r="G278">
        <v>109.95544554455</v>
      </c>
      <c r="I278" s="9">
        <f t="shared" si="32"/>
        <v>277.03665712079999</v>
      </c>
      <c r="J278" s="9">
        <f t="shared" si="33"/>
        <v>1222.95874131338</v>
      </c>
      <c r="K278" s="9">
        <f t="shared" si="31"/>
        <v>277.03665712079999</v>
      </c>
      <c r="L278" s="10">
        <f t="shared" si="30"/>
        <v>0.22652984746098648</v>
      </c>
      <c r="M278" s="10">
        <f t="shared" si="34"/>
        <v>0.49873679333110366</v>
      </c>
      <c r="P278" s="8">
        <f t="shared" si="35"/>
        <v>-3.6503090950493227</v>
      </c>
    </row>
    <row r="279" spans="1:16" x14ac:dyDescent="0.2">
      <c r="A279" s="8">
        <v>138.5</v>
      </c>
      <c r="B279" s="8">
        <v>277</v>
      </c>
      <c r="D279">
        <v>1365.1253701876001</v>
      </c>
      <c r="E279">
        <v>384.14511352418998</v>
      </c>
      <c r="F279">
        <v>125.24455445545</v>
      </c>
      <c r="G279">
        <v>109.44752475248001</v>
      </c>
      <c r="I279" s="9">
        <f t="shared" si="32"/>
        <v>274.69758877171</v>
      </c>
      <c r="J279" s="9">
        <f t="shared" si="33"/>
        <v>1239.88081573215</v>
      </c>
      <c r="K279" s="9">
        <f t="shared" si="31"/>
        <v>274.69758877171</v>
      </c>
      <c r="L279" s="10">
        <f t="shared" si="30"/>
        <v>0.221551608256396</v>
      </c>
      <c r="M279" s="10">
        <f t="shared" si="34"/>
        <v>0.49474481117676727</v>
      </c>
      <c r="P279" s="8">
        <f t="shared" si="35"/>
        <v>-4.4215099605387911</v>
      </c>
    </row>
    <row r="280" spans="1:16" x14ac:dyDescent="0.2">
      <c r="A280" s="8">
        <v>139</v>
      </c>
      <c r="B280" s="8">
        <v>278</v>
      </c>
      <c r="D280">
        <v>1317.6298124383</v>
      </c>
      <c r="E280">
        <v>368.60612043434998</v>
      </c>
      <c r="F280">
        <v>125.36435643564</v>
      </c>
      <c r="G280">
        <v>109.47128712871</v>
      </c>
      <c r="I280" s="9">
        <f t="shared" si="32"/>
        <v>259.13483330563997</v>
      </c>
      <c r="J280" s="9">
        <f t="shared" si="33"/>
        <v>1192.2654560026599</v>
      </c>
      <c r="K280" s="9">
        <f t="shared" si="31"/>
        <v>259.13483330563997</v>
      </c>
      <c r="L280" s="10">
        <f t="shared" si="30"/>
        <v>0.21734659173507234</v>
      </c>
      <c r="M280" s="10">
        <f t="shared" si="34"/>
        <v>0.49152605170569763</v>
      </c>
      <c r="P280" s="8">
        <f t="shared" si="35"/>
        <v>-5.0433339051160164</v>
      </c>
    </row>
    <row r="281" spans="1:16" x14ac:dyDescent="0.2">
      <c r="A281" s="8">
        <v>139.5</v>
      </c>
      <c r="B281" s="8">
        <v>279</v>
      </c>
      <c r="D281">
        <v>1428.259765625</v>
      </c>
      <c r="E281">
        <v>398.3134765625</v>
      </c>
      <c r="F281">
        <v>125.22376237624</v>
      </c>
      <c r="G281">
        <v>109.44554455446</v>
      </c>
      <c r="I281" s="9">
        <f t="shared" si="32"/>
        <v>288.86793200803999</v>
      </c>
      <c r="J281" s="9">
        <f t="shared" si="33"/>
        <v>1303.0360032487599</v>
      </c>
      <c r="K281" s="9">
        <f t="shared" si="31"/>
        <v>288.86793200803999</v>
      </c>
      <c r="L281" s="10">
        <f t="shared" si="30"/>
        <v>0.22168837337404929</v>
      </c>
      <c r="M281" s="10">
        <f t="shared" si="34"/>
        <v>0.49685409039492862</v>
      </c>
      <c r="P281" s="8">
        <f t="shared" si="35"/>
        <v>-4.0140236803614213</v>
      </c>
    </row>
    <row r="282" spans="1:16" x14ac:dyDescent="0.2">
      <c r="A282" s="8">
        <v>140</v>
      </c>
      <c r="B282" s="8">
        <v>280</v>
      </c>
      <c r="D282">
        <v>1403.8173828125</v>
      </c>
      <c r="E282">
        <v>398.2705078125</v>
      </c>
      <c r="F282">
        <v>125.57128712871</v>
      </c>
      <c r="G282">
        <v>108.93960396040001</v>
      </c>
      <c r="I282" s="9">
        <f t="shared" si="32"/>
        <v>289.33090385209999</v>
      </c>
      <c r="J282" s="9">
        <f t="shared" si="33"/>
        <v>1278.2460956837899</v>
      </c>
      <c r="K282" s="9">
        <f t="shared" si="31"/>
        <v>289.33090385209999</v>
      </c>
      <c r="L282" s="10">
        <f t="shared" si="30"/>
        <v>0.22634992184139957</v>
      </c>
      <c r="M282" s="10">
        <f t="shared" si="34"/>
        <v>0.50250189591253291</v>
      </c>
      <c r="P282" s="8">
        <f t="shared" si="35"/>
        <v>-2.9229385164256882</v>
      </c>
    </row>
    <row r="283" spans="1:16" x14ac:dyDescent="0.2">
      <c r="A283" s="8">
        <v>140.5</v>
      </c>
      <c r="B283" s="8">
        <v>281</v>
      </c>
      <c r="D283">
        <v>1371.3955078125</v>
      </c>
      <c r="E283">
        <v>382.4912109375</v>
      </c>
      <c r="F283">
        <v>125.19306930693</v>
      </c>
      <c r="G283">
        <v>109.20891089109</v>
      </c>
      <c r="I283" s="9">
        <f t="shared" si="32"/>
        <v>273.28230004641</v>
      </c>
      <c r="J283" s="9">
        <f t="shared" si="33"/>
        <v>1246.2024385055699</v>
      </c>
      <c r="K283" s="9">
        <f t="shared" si="31"/>
        <v>273.28230004641</v>
      </c>
      <c r="L283" s="10">
        <f t="shared" si="30"/>
        <v>0.21929206010391589</v>
      </c>
      <c r="M283" s="10">
        <f t="shared" si="34"/>
        <v>0.4964302912253033</v>
      </c>
      <c r="P283" s="8">
        <f t="shared" si="35"/>
        <v>-4.095896362596168</v>
      </c>
    </row>
    <row r="284" spans="1:16" x14ac:dyDescent="0.2">
      <c r="A284" s="8">
        <v>141</v>
      </c>
      <c r="B284" s="8">
        <v>282</v>
      </c>
      <c r="D284">
        <v>1427.1588235294</v>
      </c>
      <c r="E284">
        <v>391.70882352940998</v>
      </c>
      <c r="F284">
        <v>125.2702970297</v>
      </c>
      <c r="G284">
        <v>109.27623762376</v>
      </c>
      <c r="I284" s="9">
        <f t="shared" si="32"/>
        <v>282.43258590565</v>
      </c>
      <c r="J284" s="9">
        <f t="shared" si="33"/>
        <v>1301.8885264997</v>
      </c>
      <c r="K284" s="9">
        <f t="shared" si="31"/>
        <v>282.43258590565</v>
      </c>
      <c r="L284" s="10">
        <f t="shared" si="30"/>
        <v>0.21694068282866544</v>
      </c>
      <c r="M284" s="10">
        <f t="shared" si="34"/>
        <v>0.49506517100030689</v>
      </c>
      <c r="P284" s="8">
        <f t="shared" si="35"/>
        <v>-4.3596204621317334</v>
      </c>
    </row>
    <row r="285" spans="1:16" x14ac:dyDescent="0.2">
      <c r="A285" s="8">
        <v>141.5</v>
      </c>
      <c r="B285" s="8">
        <v>283</v>
      </c>
      <c r="D285">
        <v>1410.2725490196001</v>
      </c>
      <c r="E285">
        <v>387.13529411765001</v>
      </c>
      <c r="F285">
        <v>125.96831683168</v>
      </c>
      <c r="G285">
        <v>109.40792079208001</v>
      </c>
      <c r="I285" s="9">
        <f t="shared" si="32"/>
        <v>277.72737332557</v>
      </c>
      <c r="J285" s="9">
        <f t="shared" si="33"/>
        <v>1284.3042321879202</v>
      </c>
      <c r="K285" s="9">
        <f t="shared" si="31"/>
        <v>277.72737332557</v>
      </c>
      <c r="L285" s="10">
        <f t="shared" si="30"/>
        <v>0.21624733950493807</v>
      </c>
      <c r="M285" s="10">
        <f t="shared" si="34"/>
        <v>0.49535808472683363</v>
      </c>
      <c r="P285" s="8">
        <f t="shared" si="35"/>
        <v>-4.3030332053060043</v>
      </c>
    </row>
    <row r="286" spans="1:16" x14ac:dyDescent="0.2">
      <c r="A286" s="8">
        <v>142</v>
      </c>
      <c r="B286" s="8">
        <v>284</v>
      </c>
      <c r="D286">
        <v>1396.7529411764999</v>
      </c>
      <c r="E286">
        <v>382.75882352940999</v>
      </c>
      <c r="F286">
        <v>125.22475247525</v>
      </c>
      <c r="G286">
        <v>109.00990099009999</v>
      </c>
      <c r="I286" s="9">
        <f t="shared" si="32"/>
        <v>273.74892253931</v>
      </c>
      <c r="J286" s="9">
        <f t="shared" si="33"/>
        <v>1271.52818870125</v>
      </c>
      <c r="K286" s="9">
        <f t="shared" si="31"/>
        <v>273.74892253931</v>
      </c>
      <c r="L286" s="10">
        <f t="shared" si="30"/>
        <v>0.21529127310887189</v>
      </c>
      <c r="M286" s="10">
        <f t="shared" si="34"/>
        <v>0.49538827538102148</v>
      </c>
      <c r="P286" s="8">
        <f t="shared" si="35"/>
        <v>-4.2972007497139675</v>
      </c>
    </row>
    <row r="287" spans="1:16" x14ac:dyDescent="0.2">
      <c r="A287" s="8">
        <v>142.5</v>
      </c>
      <c r="B287" s="8">
        <v>285</v>
      </c>
      <c r="D287">
        <v>1354.4235294118</v>
      </c>
      <c r="E287">
        <v>388.56960784313998</v>
      </c>
      <c r="F287">
        <v>125.33168316832</v>
      </c>
      <c r="G287">
        <v>109.45049504951</v>
      </c>
      <c r="I287" s="9">
        <f t="shared" si="32"/>
        <v>279.11911279362999</v>
      </c>
      <c r="J287" s="9">
        <f t="shared" si="33"/>
        <v>1229.0918462434799</v>
      </c>
      <c r="K287" s="9">
        <f t="shared" si="31"/>
        <v>279.11911279362999</v>
      </c>
      <c r="L287" s="10">
        <f t="shared" si="30"/>
        <v>0.22709377956310778</v>
      </c>
      <c r="M287" s="10">
        <f t="shared" si="34"/>
        <v>0.50817703888551136</v>
      </c>
      <c r="P287" s="8">
        <f t="shared" si="35"/>
        <v>-1.8265720991101229</v>
      </c>
    </row>
    <row r="288" spans="1:16" x14ac:dyDescent="0.2">
      <c r="A288" s="8">
        <v>143</v>
      </c>
      <c r="B288" s="8">
        <v>286</v>
      </c>
      <c r="D288">
        <v>1335.1141463414999</v>
      </c>
      <c r="E288">
        <v>370.84</v>
      </c>
      <c r="F288">
        <v>125.31287128712999</v>
      </c>
      <c r="G288">
        <v>109.25346534654</v>
      </c>
      <c r="I288" s="9">
        <f t="shared" si="32"/>
        <v>261.58653465345998</v>
      </c>
      <c r="J288" s="9">
        <f t="shared" si="33"/>
        <v>1209.8012750543699</v>
      </c>
      <c r="K288" s="9">
        <f t="shared" si="31"/>
        <v>261.58653465345998</v>
      </c>
      <c r="L288" s="10">
        <f t="shared" si="30"/>
        <v>0.21622273016839397</v>
      </c>
      <c r="M288" s="10">
        <f t="shared" si="34"/>
        <v>0.49829224654105164</v>
      </c>
      <c r="P288" s="8">
        <f t="shared" si="35"/>
        <v>-3.7361899572336053</v>
      </c>
    </row>
    <row r="289" spans="1:16" x14ac:dyDescent="0.2">
      <c r="A289" s="8">
        <v>143.5</v>
      </c>
      <c r="B289" s="8">
        <v>287</v>
      </c>
      <c r="D289">
        <v>1324</v>
      </c>
      <c r="E289">
        <v>367.45170731706997</v>
      </c>
      <c r="F289">
        <v>125.16633663365999</v>
      </c>
      <c r="G289">
        <v>109.35940594058999</v>
      </c>
      <c r="I289" s="9">
        <f t="shared" si="32"/>
        <v>258.09230137648001</v>
      </c>
      <c r="J289" s="9">
        <f t="shared" si="33"/>
        <v>1198.83366336634</v>
      </c>
      <c r="K289" s="9">
        <f t="shared" si="31"/>
        <v>258.09230137648001</v>
      </c>
      <c r="L289" s="10">
        <f t="shared" si="30"/>
        <v>0.21528616459747515</v>
      </c>
      <c r="M289" s="10">
        <f t="shared" si="34"/>
        <v>0.49834193802038684</v>
      </c>
      <c r="P289" s="8">
        <f t="shared" si="35"/>
        <v>-3.7265901868966735</v>
      </c>
    </row>
    <row r="290" spans="1:16" x14ac:dyDescent="0.2">
      <c r="A290" s="8">
        <v>144</v>
      </c>
      <c r="B290" s="8">
        <v>288</v>
      </c>
      <c r="D290">
        <v>1324.1356097560999</v>
      </c>
      <c r="E290">
        <v>370.05365853658998</v>
      </c>
      <c r="F290">
        <v>125.45742574257</v>
      </c>
      <c r="G290">
        <v>109.12673267327</v>
      </c>
      <c r="I290" s="9">
        <f t="shared" si="32"/>
        <v>260.92692586331998</v>
      </c>
      <c r="J290" s="9">
        <f t="shared" si="33"/>
        <v>1198.67818401353</v>
      </c>
      <c r="K290" s="9">
        <f t="shared" si="31"/>
        <v>260.92692586331998</v>
      </c>
      <c r="L290" s="10">
        <f t="shared" si="30"/>
        <v>0.21767888107353323</v>
      </c>
      <c r="M290" s="10">
        <f t="shared" si="34"/>
        <v>0.50172091154669896</v>
      </c>
      <c r="P290" s="8">
        <f t="shared" si="35"/>
        <v>-3.0738148970253949</v>
      </c>
    </row>
    <row r="291" spans="1:16" x14ac:dyDescent="0.2">
      <c r="A291" s="8">
        <v>144.5</v>
      </c>
      <c r="B291" s="8">
        <v>289</v>
      </c>
      <c r="D291">
        <v>1323.3512195122</v>
      </c>
      <c r="E291">
        <v>362.56292682927</v>
      </c>
      <c r="F291">
        <v>125.53762376237999</v>
      </c>
      <c r="G291">
        <v>108.99405940594001</v>
      </c>
      <c r="I291" s="9">
        <f t="shared" si="32"/>
        <v>253.56886742333</v>
      </c>
      <c r="J291" s="9">
        <f t="shared" si="33"/>
        <v>1197.81359574982</v>
      </c>
      <c r="K291" s="9">
        <f t="shared" si="31"/>
        <v>253.56886742333</v>
      </c>
      <c r="L291" s="10">
        <f t="shared" si="30"/>
        <v>0.21169309508847101</v>
      </c>
      <c r="M291" s="10">
        <f t="shared" si="34"/>
        <v>0.4967213826118908</v>
      </c>
      <c r="P291" s="8">
        <f t="shared" si="35"/>
        <v>-4.0396611589821045</v>
      </c>
    </row>
    <row r="292" spans="1:16" x14ac:dyDescent="0.2">
      <c r="A292" s="8">
        <v>145</v>
      </c>
      <c r="B292" s="8">
        <v>290</v>
      </c>
      <c r="D292">
        <v>1342.7326829268</v>
      </c>
      <c r="E292">
        <v>369.00390243902001</v>
      </c>
      <c r="F292">
        <v>125.03069306931</v>
      </c>
      <c r="G292">
        <v>109.35841584158</v>
      </c>
      <c r="I292" s="9">
        <f>E292-G292</f>
        <v>259.64548659744003</v>
      </c>
      <c r="J292" s="9">
        <f>D292-F292</f>
        <v>1217.7019898574899</v>
      </c>
      <c r="K292" s="9">
        <f t="shared" si="31"/>
        <v>259.64548659744003</v>
      </c>
      <c r="L292" s="10">
        <f t="shared" si="30"/>
        <v>0.21322580463864302</v>
      </c>
      <c r="M292" s="10">
        <f>L292+ABS($N$2)*A292</f>
        <v>0.49924034921231686</v>
      </c>
      <c r="O292" s="11"/>
      <c r="P292" s="8">
        <f>(M292-$O$2)/$O$2*100</f>
        <v>-3.5530284168298358</v>
      </c>
    </row>
    <row r="293" spans="1:16" x14ac:dyDescent="0.2">
      <c r="A293" s="8">
        <v>145.5</v>
      </c>
      <c r="B293" s="8">
        <v>291</v>
      </c>
      <c r="D293">
        <v>1323.6302439024</v>
      </c>
      <c r="E293">
        <v>362.91024390244002</v>
      </c>
      <c r="F293">
        <v>125.38118811881</v>
      </c>
      <c r="G293">
        <v>109.42178217822</v>
      </c>
      <c r="I293" s="9">
        <f t="shared" ref="I293:I301" si="36">E293-G293</f>
        <v>253.48846172422003</v>
      </c>
      <c r="J293" s="9">
        <f t="shared" ref="J293:J301" si="37">D293-F293</f>
        <v>1198.2490557835899</v>
      </c>
      <c r="K293" s="9">
        <f t="shared" si="31"/>
        <v>253.48846172422003</v>
      </c>
      <c r="L293" s="10">
        <f t="shared" si="30"/>
        <v>0.21154906027316026</v>
      </c>
      <c r="M293" s="10">
        <f t="shared" ref="M293:M301" si="38">L293+ABS($N$2)*A293</f>
        <v>0.49854986189708816</v>
      </c>
      <c r="P293" s="8">
        <f t="shared" ref="P293:P301" si="39">(M293-$O$2)/$O$2*100</f>
        <v>-3.68642190270387</v>
      </c>
    </row>
    <row r="294" spans="1:16" x14ac:dyDescent="0.2">
      <c r="A294" s="8">
        <v>146</v>
      </c>
      <c r="B294" s="8">
        <v>292</v>
      </c>
      <c r="D294">
        <v>1327.3326829268001</v>
      </c>
      <c r="E294">
        <v>360.36487804877999</v>
      </c>
      <c r="F294">
        <v>124.91188118812001</v>
      </c>
      <c r="G294">
        <v>109.43069306931</v>
      </c>
      <c r="I294" s="9">
        <f t="shared" si="36"/>
        <v>250.93418497946999</v>
      </c>
      <c r="J294" s="9">
        <f t="shared" si="37"/>
        <v>1202.42080173868</v>
      </c>
      <c r="K294" s="9">
        <f t="shared" si="31"/>
        <v>250.93418497946999</v>
      </c>
      <c r="L294" s="10">
        <f t="shared" si="30"/>
        <v>0.2086908215631528</v>
      </c>
      <c r="M294" s="10">
        <f t="shared" si="38"/>
        <v>0.49667788023733472</v>
      </c>
      <c r="N294" s="1"/>
      <c r="P294" s="8">
        <f t="shared" si="39"/>
        <v>-4.0480652719293664</v>
      </c>
    </row>
    <row r="295" spans="1:16" x14ac:dyDescent="0.2">
      <c r="A295" s="8">
        <v>146.5</v>
      </c>
      <c r="B295" s="8">
        <v>293</v>
      </c>
      <c r="D295">
        <v>1322.8741463414999</v>
      </c>
      <c r="E295">
        <v>358.76585365853998</v>
      </c>
      <c r="F295">
        <v>125.50297029703</v>
      </c>
      <c r="G295">
        <v>109.6099009901</v>
      </c>
      <c r="I295" s="9">
        <f t="shared" si="36"/>
        <v>249.15595266843997</v>
      </c>
      <c r="J295" s="9">
        <f t="shared" si="37"/>
        <v>1197.3711760444698</v>
      </c>
      <c r="K295" s="9">
        <f t="shared" si="31"/>
        <v>249.15595266843997</v>
      </c>
      <c r="L295" s="10">
        <f t="shared" si="30"/>
        <v>0.20808581136179483</v>
      </c>
      <c r="M295" s="10">
        <f t="shared" si="38"/>
        <v>0.49705912708623085</v>
      </c>
      <c r="P295" s="8">
        <f t="shared" si="39"/>
        <v>-3.9744131641626925</v>
      </c>
    </row>
    <row r="296" spans="1:16" x14ac:dyDescent="0.2">
      <c r="A296" s="8">
        <v>147</v>
      </c>
      <c r="B296" s="8">
        <v>294</v>
      </c>
      <c r="D296">
        <v>1291.9131707316999</v>
      </c>
      <c r="E296">
        <v>346.99219512194998</v>
      </c>
      <c r="F296">
        <v>124.74257425742999</v>
      </c>
      <c r="G296">
        <v>109.04257425743</v>
      </c>
      <c r="I296" s="9">
        <f t="shared" si="36"/>
        <v>237.94962086451997</v>
      </c>
      <c r="J296" s="9">
        <f t="shared" si="37"/>
        <v>1167.1705964742698</v>
      </c>
      <c r="K296" s="9">
        <f t="shared" si="31"/>
        <v>237.94962086451997</v>
      </c>
      <c r="L296" s="10">
        <f t="shared" si="30"/>
        <v>0.20386875884579872</v>
      </c>
      <c r="M296" s="10">
        <f t="shared" si="38"/>
        <v>0.49382833162048878</v>
      </c>
      <c r="P296" s="8">
        <f t="shared" si="39"/>
        <v>-4.5985623118970285</v>
      </c>
    </row>
    <row r="297" spans="1:16" x14ac:dyDescent="0.2">
      <c r="A297" s="8">
        <v>147.5</v>
      </c>
      <c r="B297" s="8">
        <v>295</v>
      </c>
      <c r="D297">
        <v>1345.1304771178</v>
      </c>
      <c r="E297">
        <v>364.92989289192002</v>
      </c>
      <c r="F297">
        <v>125.13168316832</v>
      </c>
      <c r="G297">
        <v>109.28415841584</v>
      </c>
      <c r="I297" s="9">
        <f t="shared" si="36"/>
        <v>255.64573447608001</v>
      </c>
      <c r="J297" s="9">
        <f t="shared" si="37"/>
        <v>1219.9987939494799</v>
      </c>
      <c r="K297" s="9">
        <f t="shared" si="31"/>
        <v>255.64573447608001</v>
      </c>
      <c r="L297" s="10">
        <f t="shared" si="30"/>
        <v>0.20954589114673033</v>
      </c>
      <c r="M297" s="10">
        <f t="shared" si="38"/>
        <v>0.50049172097167438</v>
      </c>
      <c r="P297" s="8">
        <f t="shared" si="39"/>
        <v>-3.3112790936728462</v>
      </c>
    </row>
    <row r="298" spans="1:16" x14ac:dyDescent="0.2">
      <c r="A298" s="8">
        <v>148</v>
      </c>
      <c r="B298" s="8">
        <v>296</v>
      </c>
      <c r="D298">
        <v>1349.1080817915999</v>
      </c>
      <c r="E298">
        <v>368.23661148977999</v>
      </c>
      <c r="F298">
        <v>124.88019801980001</v>
      </c>
      <c r="G298">
        <v>109.40495049505</v>
      </c>
      <c r="I298" s="9">
        <f t="shared" si="36"/>
        <v>258.83166099472999</v>
      </c>
      <c r="J298" s="9">
        <f t="shared" si="37"/>
        <v>1224.2278837718</v>
      </c>
      <c r="K298" s="9">
        <f t="shared" si="31"/>
        <v>258.83166099472999</v>
      </c>
      <c r="L298" s="10">
        <f t="shared" si="30"/>
        <v>0.21142441242007934</v>
      </c>
      <c r="M298" s="10">
        <f t="shared" si="38"/>
        <v>0.50335649929527748</v>
      </c>
      <c r="P298" s="8">
        <f t="shared" si="39"/>
        <v>-2.7578398654442684</v>
      </c>
    </row>
    <row r="299" spans="1:16" x14ac:dyDescent="0.2">
      <c r="A299" s="8">
        <v>148.5</v>
      </c>
      <c r="B299" s="8">
        <v>297</v>
      </c>
      <c r="D299">
        <v>1344.5277507303001</v>
      </c>
      <c r="E299">
        <v>366.77702044790999</v>
      </c>
      <c r="F299">
        <v>125.13564356436</v>
      </c>
      <c r="G299">
        <v>109.08415841583999</v>
      </c>
      <c r="I299" s="9">
        <f t="shared" si="36"/>
        <v>257.69286203207002</v>
      </c>
      <c r="J299" s="9">
        <f t="shared" si="37"/>
        <v>1219.3921071659402</v>
      </c>
      <c r="K299" s="9">
        <f t="shared" si="31"/>
        <v>257.69286203207002</v>
      </c>
      <c r="L299" s="10">
        <f t="shared" si="30"/>
        <v>0.21132895687752887</v>
      </c>
      <c r="M299" s="10">
        <f t="shared" si="38"/>
        <v>0.50424730080298108</v>
      </c>
      <c r="P299" s="8">
        <f t="shared" si="39"/>
        <v>-2.5857481908925464</v>
      </c>
    </row>
    <row r="300" spans="1:16" x14ac:dyDescent="0.2">
      <c r="A300" s="8">
        <v>149</v>
      </c>
      <c r="B300" s="8">
        <v>298</v>
      </c>
      <c r="D300">
        <v>1322.1518987341999</v>
      </c>
      <c r="E300">
        <v>356.84615384615</v>
      </c>
      <c r="F300">
        <v>125.15049504951</v>
      </c>
      <c r="G300">
        <v>109.20495049505</v>
      </c>
      <c r="I300" s="9">
        <f t="shared" si="36"/>
        <v>247.64120335109999</v>
      </c>
      <c r="J300" s="9">
        <f t="shared" si="37"/>
        <v>1197.0014036846899</v>
      </c>
      <c r="K300" s="9">
        <f t="shared" si="31"/>
        <v>247.64120335109999</v>
      </c>
      <c r="L300" s="10">
        <f t="shared" si="30"/>
        <v>0.20688463905622353</v>
      </c>
      <c r="M300" s="10">
        <f t="shared" si="38"/>
        <v>0.50078924003192982</v>
      </c>
      <c r="P300" s="8">
        <f t="shared" si="39"/>
        <v>-3.2538021441530782</v>
      </c>
    </row>
    <row r="301" spans="1:16" x14ac:dyDescent="0.2">
      <c r="A301" s="8">
        <v>149.5</v>
      </c>
      <c r="B301" s="8">
        <v>299</v>
      </c>
      <c r="D301">
        <v>1330.7692307692</v>
      </c>
      <c r="E301">
        <v>359.48588120739998</v>
      </c>
      <c r="F301">
        <v>124.98217821782001</v>
      </c>
      <c r="G301">
        <v>109.18613861386</v>
      </c>
      <c r="I301" s="9">
        <f t="shared" si="36"/>
        <v>250.29974259353997</v>
      </c>
      <c r="J301" s="9">
        <f t="shared" si="37"/>
        <v>1205.7870525513799</v>
      </c>
      <c r="K301" s="9">
        <f t="shared" si="31"/>
        <v>250.29974259353997</v>
      </c>
      <c r="L301" s="10">
        <f t="shared" si="30"/>
        <v>0.20758204532377364</v>
      </c>
      <c r="M301" s="10">
        <f t="shared" si="38"/>
        <v>0.50247290334973393</v>
      </c>
      <c r="P301" s="8">
        <f t="shared" si="39"/>
        <v>-2.9285395157936445</v>
      </c>
    </row>
    <row r="302" spans="1:16" x14ac:dyDescent="0.2">
      <c r="A302" s="8">
        <v>150</v>
      </c>
      <c r="B302" s="8">
        <v>300</v>
      </c>
      <c r="D302">
        <v>1307.6971762415001</v>
      </c>
      <c r="E302">
        <v>353.1100292113</v>
      </c>
      <c r="F302">
        <v>125.12871287129001</v>
      </c>
      <c r="G302">
        <v>109.47425742574001</v>
      </c>
      <c r="I302" s="9">
        <f>E302-G302</f>
        <v>243.63577178556</v>
      </c>
      <c r="J302" s="9">
        <f>D302-F302</f>
        <v>1182.5684633702101</v>
      </c>
      <c r="K302" s="9">
        <f t="shared" si="31"/>
        <v>243.63577178556</v>
      </c>
      <c r="L302" s="10">
        <f t="shared" si="30"/>
        <v>0.20602255119438981</v>
      </c>
      <c r="M302" s="10">
        <f>L302+ABS($N$2)*A302</f>
        <v>0.50189966627060412</v>
      </c>
      <c r="O302" s="11"/>
      <c r="P302" s="8">
        <f>(M302-$O$2)/$O$2*100</f>
        <v>-3.0392817271723578</v>
      </c>
    </row>
    <row r="303" spans="1:16" x14ac:dyDescent="0.2">
      <c r="A303" s="8">
        <v>150.5</v>
      </c>
      <c r="B303" s="8">
        <v>301</v>
      </c>
      <c r="D303">
        <v>1299.2891918207999</v>
      </c>
      <c r="E303">
        <v>350.33495618306</v>
      </c>
      <c r="F303">
        <v>125.23465346534999</v>
      </c>
      <c r="G303">
        <v>109.20396039604</v>
      </c>
      <c r="I303" s="9">
        <f t="shared" ref="I303:I309" si="40">E303-G303</f>
        <v>241.13099578702</v>
      </c>
      <c r="J303" s="9">
        <f t="shared" ref="J303:J309" si="41">D303-F303</f>
        <v>1174.0545383554499</v>
      </c>
      <c r="K303" s="9">
        <f t="shared" si="31"/>
        <v>241.13099578702</v>
      </c>
      <c r="L303" s="10">
        <f t="shared" si="30"/>
        <v>0.20538312992238233</v>
      </c>
      <c r="M303" s="10">
        <f t="shared" ref="M303:M309" si="42">L303+ABS($N$2)*A303</f>
        <v>0.50224650204885068</v>
      </c>
      <c r="P303" s="8">
        <f t="shared" ref="P303:P309" si="43">(M303-$O$2)/$O$2*100</f>
        <v>-2.9722774065052651</v>
      </c>
    </row>
    <row r="304" spans="1:16" x14ac:dyDescent="0.2">
      <c r="A304" s="8">
        <v>151</v>
      </c>
      <c r="B304" s="8">
        <v>302</v>
      </c>
      <c r="D304">
        <v>1431.2855750486999</v>
      </c>
      <c r="E304">
        <v>382.19980506822998</v>
      </c>
      <c r="F304">
        <v>125.23069306931001</v>
      </c>
      <c r="G304">
        <v>109.24554455446</v>
      </c>
      <c r="I304" s="9">
        <f t="shared" si="40"/>
        <v>272.95426051377001</v>
      </c>
      <c r="J304" s="9">
        <f t="shared" si="41"/>
        <v>1306.0548819793898</v>
      </c>
      <c r="K304" s="9">
        <f t="shared" si="31"/>
        <v>272.95426051377001</v>
      </c>
      <c r="L304" s="10">
        <f t="shared" si="30"/>
        <v>0.20899141703761676</v>
      </c>
      <c r="M304" s="10">
        <f t="shared" si="42"/>
        <v>0.50684104621433912</v>
      </c>
      <c r="N304" s="1"/>
      <c r="P304" s="8">
        <f t="shared" si="43"/>
        <v>-2.0846691207053745</v>
      </c>
    </row>
    <row r="305" spans="1:16" x14ac:dyDescent="0.2">
      <c r="A305" s="8">
        <v>151.5</v>
      </c>
      <c r="B305" s="8">
        <v>303</v>
      </c>
      <c r="D305">
        <v>1472.5302144249999</v>
      </c>
      <c r="E305">
        <v>388.81871345028998</v>
      </c>
      <c r="F305">
        <v>124.85544554454999</v>
      </c>
      <c r="G305">
        <v>109.13267326733001</v>
      </c>
      <c r="I305" s="9">
        <f t="shared" si="40"/>
        <v>279.68604018295997</v>
      </c>
      <c r="J305" s="9">
        <f t="shared" si="41"/>
        <v>1347.6747688804498</v>
      </c>
      <c r="K305" s="9">
        <f t="shared" si="31"/>
        <v>279.68604018295997</v>
      </c>
      <c r="L305" s="10">
        <f t="shared" si="30"/>
        <v>0.20753229684288205</v>
      </c>
      <c r="M305" s="10">
        <f t="shared" si="42"/>
        <v>0.50636818306985854</v>
      </c>
      <c r="P305" s="8">
        <f t="shared" si="43"/>
        <v>-2.176020347284723</v>
      </c>
    </row>
    <row r="306" spans="1:16" x14ac:dyDescent="0.2">
      <c r="A306" s="8">
        <v>152</v>
      </c>
      <c r="B306" s="8">
        <v>304</v>
      </c>
      <c r="D306">
        <v>1442.4883040935999</v>
      </c>
      <c r="E306">
        <v>397.14619883041001</v>
      </c>
      <c r="F306">
        <v>125.30396039604</v>
      </c>
      <c r="G306">
        <v>109.19207920792</v>
      </c>
      <c r="I306" s="9">
        <f t="shared" si="40"/>
        <v>287.95411962249</v>
      </c>
      <c r="J306" s="9">
        <f t="shared" si="41"/>
        <v>1317.1843436975601</v>
      </c>
      <c r="K306" s="9">
        <f t="shared" si="31"/>
        <v>287.95411962249</v>
      </c>
      <c r="L306" s="10">
        <f t="shared" si="30"/>
        <v>0.21861337860587829</v>
      </c>
      <c r="M306" s="10">
        <f t="shared" si="42"/>
        <v>0.51843552188310882</v>
      </c>
      <c r="P306" s="8">
        <f t="shared" si="43"/>
        <v>0.15523810456583259</v>
      </c>
    </row>
    <row r="307" spans="1:16" x14ac:dyDescent="0.2">
      <c r="A307" s="8">
        <v>152.5</v>
      </c>
      <c r="B307" s="8">
        <v>305</v>
      </c>
      <c r="D307">
        <v>1406.6549707602001</v>
      </c>
      <c r="E307">
        <v>393.49415204678002</v>
      </c>
      <c r="F307">
        <v>125.06831683167999</v>
      </c>
      <c r="G307">
        <v>109.82772277228</v>
      </c>
      <c r="I307" s="9">
        <f t="shared" si="40"/>
        <v>283.66642927450005</v>
      </c>
      <c r="J307" s="9">
        <f t="shared" si="41"/>
        <v>1281.58665392852</v>
      </c>
      <c r="K307" s="9">
        <f t="shared" si="31"/>
        <v>283.66642927450005</v>
      </c>
      <c r="L307" s="10">
        <f t="shared" si="30"/>
        <v>0.22134003066040153</v>
      </c>
      <c r="M307" s="10">
        <f t="shared" si="42"/>
        <v>0.5221484309878861</v>
      </c>
      <c r="P307" s="8">
        <f t="shared" si="43"/>
        <v>0.87252555836307422</v>
      </c>
    </row>
    <row r="308" spans="1:16" x14ac:dyDescent="0.2">
      <c r="A308" s="8">
        <v>153</v>
      </c>
      <c r="B308" s="8">
        <v>306</v>
      </c>
      <c r="D308">
        <v>1418.0557184751001</v>
      </c>
      <c r="E308">
        <v>385.35288367546002</v>
      </c>
      <c r="F308">
        <v>124.90099009901</v>
      </c>
      <c r="G308">
        <v>109.38910891089</v>
      </c>
      <c r="I308" s="9">
        <f t="shared" si="40"/>
        <v>275.96377476457002</v>
      </c>
      <c r="J308" s="9">
        <f t="shared" si="41"/>
        <v>1293.1547283760901</v>
      </c>
      <c r="K308" s="9">
        <f t="shared" si="31"/>
        <v>275.96377476457002</v>
      </c>
      <c r="L308" s="10">
        <f t="shared" si="30"/>
        <v>0.2134035229574717</v>
      </c>
      <c r="M308" s="10">
        <f t="shared" si="42"/>
        <v>0.51519818033521037</v>
      </c>
      <c r="P308" s="8">
        <f t="shared" si="43"/>
        <v>-0.47017566410852663</v>
      </c>
    </row>
    <row r="309" spans="1:16" x14ac:dyDescent="0.2">
      <c r="A309" s="8">
        <v>153.5</v>
      </c>
      <c r="B309" s="8">
        <v>307</v>
      </c>
      <c r="D309">
        <v>1400.6491228069999</v>
      </c>
      <c r="E309">
        <v>382.25536062378001</v>
      </c>
      <c r="F309">
        <v>125.18217821782</v>
      </c>
      <c r="G309">
        <v>109.38514851485</v>
      </c>
      <c r="I309" s="9">
        <f t="shared" si="40"/>
        <v>272.87021210892999</v>
      </c>
      <c r="J309" s="9">
        <f t="shared" si="41"/>
        <v>1275.46694458918</v>
      </c>
      <c r="K309" s="9">
        <f t="shared" si="31"/>
        <v>272.87021210892999</v>
      </c>
      <c r="L309" s="10">
        <f t="shared" si="30"/>
        <v>0.21393750207836221</v>
      </c>
      <c r="M309" s="10">
        <f t="shared" si="42"/>
        <v>0.51671841650635486</v>
      </c>
      <c r="P309" s="8">
        <f t="shared" si="43"/>
        <v>-0.17648510999082426</v>
      </c>
    </row>
    <row r="310" spans="1:16" x14ac:dyDescent="0.2">
      <c r="A310" s="8">
        <v>154</v>
      </c>
      <c r="B310" s="8">
        <v>308</v>
      </c>
      <c r="D310">
        <v>1386.6773879141999</v>
      </c>
      <c r="E310">
        <v>383.53118908381998</v>
      </c>
      <c r="F310">
        <v>125.00792079208</v>
      </c>
      <c r="G310">
        <v>109.26930693068999</v>
      </c>
      <c r="I310" s="9">
        <f>E310-G310</f>
        <v>274.26188215312999</v>
      </c>
      <c r="J310" s="9">
        <f>D310-F310</f>
        <v>1261.6694671221198</v>
      </c>
      <c r="K310" s="9">
        <f t="shared" si="31"/>
        <v>274.26188215312999</v>
      </c>
      <c r="L310" s="10">
        <f t="shared" si="30"/>
        <v>0.21738013742911919</v>
      </c>
      <c r="M310" s="10">
        <f>L310+ABS($N$2)*A310</f>
        <v>0.52114730890736594</v>
      </c>
      <c r="O310" s="11"/>
      <c r="P310" s="8">
        <f>(M310-$O$2)/$O$2*100</f>
        <v>0.67912133331685354</v>
      </c>
    </row>
    <row r="311" spans="1:16" x14ac:dyDescent="0.2">
      <c r="A311" s="8">
        <v>154.5</v>
      </c>
      <c r="B311" s="8">
        <v>309</v>
      </c>
      <c r="D311">
        <v>1396.8817204300999</v>
      </c>
      <c r="E311">
        <v>381.79081133919999</v>
      </c>
      <c r="F311">
        <v>125.33465346535</v>
      </c>
      <c r="G311">
        <v>109.39603960396001</v>
      </c>
      <c r="I311" s="9">
        <f t="shared" ref="I311:I319" si="44">E311-G311</f>
        <v>272.39477173524</v>
      </c>
      <c r="J311" s="9">
        <f t="shared" ref="J311:J319" si="45">D311-F311</f>
        <v>1271.54706696475</v>
      </c>
      <c r="K311" s="9">
        <f t="shared" si="31"/>
        <v>272.39477173524</v>
      </c>
      <c r="L311" s="10">
        <f t="shared" si="30"/>
        <v>0.21422311356941015</v>
      </c>
      <c r="M311" s="10">
        <f t="shared" ref="M311:M319" si="46">L311+ABS($N$2)*A311</f>
        <v>0.51897654209791089</v>
      </c>
      <c r="P311" s="8">
        <f t="shared" ref="P311:P319" si="47">(M311-$O$2)/$O$2*100</f>
        <v>0.25975642197599991</v>
      </c>
    </row>
    <row r="312" spans="1:16" x14ac:dyDescent="0.2">
      <c r="A312" s="8">
        <v>155</v>
      </c>
      <c r="B312" s="8">
        <v>310</v>
      </c>
      <c r="D312">
        <v>1404.2649071359001</v>
      </c>
      <c r="E312">
        <v>381.34017595308001</v>
      </c>
      <c r="F312">
        <v>125.03069306931</v>
      </c>
      <c r="G312">
        <v>109.19504950495001</v>
      </c>
      <c r="I312" s="9">
        <f t="shared" si="44"/>
        <v>272.14512644812999</v>
      </c>
      <c r="J312" s="9">
        <f t="shared" si="45"/>
        <v>1279.2342140665901</v>
      </c>
      <c r="K312" s="9">
        <f t="shared" si="31"/>
        <v>272.14512644812999</v>
      </c>
      <c r="L312" s="10">
        <f t="shared" si="30"/>
        <v>0.21274065644554718</v>
      </c>
      <c r="M312" s="10">
        <f t="shared" si="46"/>
        <v>0.51848034202430204</v>
      </c>
      <c r="N312" s="1"/>
      <c r="P312" s="8">
        <f t="shared" si="47"/>
        <v>0.1638967934935944</v>
      </c>
    </row>
    <row r="313" spans="1:16" x14ac:dyDescent="0.2">
      <c r="A313" s="8">
        <v>155.5</v>
      </c>
      <c r="B313" s="8">
        <v>311</v>
      </c>
      <c r="D313">
        <v>1400.1788856305</v>
      </c>
      <c r="E313">
        <v>378.27077223851001</v>
      </c>
      <c r="F313">
        <v>125.10792079207999</v>
      </c>
      <c r="G313">
        <v>108.97623762376</v>
      </c>
      <c r="I313" s="9">
        <f t="shared" si="44"/>
        <v>269.29453461474998</v>
      </c>
      <c r="J313" s="9">
        <f t="shared" si="45"/>
        <v>1275.07096483842</v>
      </c>
      <c r="K313" s="9">
        <f t="shared" si="31"/>
        <v>269.29453461474998</v>
      </c>
      <c r="L313" s="10">
        <f t="shared" si="30"/>
        <v>0.21119964460086002</v>
      </c>
      <c r="M313" s="10">
        <f t="shared" si="46"/>
        <v>0.51792558722986892</v>
      </c>
      <c r="P313" s="8">
        <f t="shared" si="47"/>
        <v>5.6725127624167086E-2</v>
      </c>
    </row>
    <row r="314" spans="1:16" x14ac:dyDescent="0.2">
      <c r="A314" s="8">
        <v>156</v>
      </c>
      <c r="B314" s="8">
        <v>312</v>
      </c>
      <c r="D314">
        <v>1378.6979472140999</v>
      </c>
      <c r="E314">
        <v>373.58846529814002</v>
      </c>
      <c r="F314">
        <v>125.17920792079001</v>
      </c>
      <c r="G314">
        <v>109.16930693069</v>
      </c>
      <c r="I314" s="9">
        <f t="shared" si="44"/>
        <v>264.41915836745</v>
      </c>
      <c r="J314" s="9">
        <f t="shared" si="45"/>
        <v>1253.5187392933099</v>
      </c>
      <c r="K314" s="9">
        <f t="shared" si="31"/>
        <v>264.41915836745</v>
      </c>
      <c r="L314" s="10">
        <f t="shared" si="30"/>
        <v>0.21094152809914934</v>
      </c>
      <c r="M314" s="10">
        <f t="shared" si="46"/>
        <v>0.51865372777841223</v>
      </c>
      <c r="P314" s="8">
        <f t="shared" si="47"/>
        <v>0.19739274574580346</v>
      </c>
    </row>
    <row r="315" spans="1:16" x14ac:dyDescent="0.2">
      <c r="A315" s="8">
        <v>156.5</v>
      </c>
      <c r="B315" s="8">
        <v>313</v>
      </c>
      <c r="D315">
        <v>1389.6754643206</v>
      </c>
      <c r="E315">
        <v>378.52297165200002</v>
      </c>
      <c r="F315">
        <v>124.81683168316999</v>
      </c>
      <c r="G315">
        <v>109.1900990099</v>
      </c>
      <c r="I315" s="9">
        <f t="shared" si="44"/>
        <v>269.33287264210003</v>
      </c>
      <c r="J315" s="9">
        <f t="shared" si="45"/>
        <v>1264.85863263743</v>
      </c>
      <c r="K315" s="9">
        <f t="shared" si="31"/>
        <v>269.33287264210003</v>
      </c>
      <c r="L315" s="10">
        <f t="shared" si="30"/>
        <v>0.21293515788440204</v>
      </c>
      <c r="M315" s="10">
        <f t="shared" si="46"/>
        <v>0.52163361461391899</v>
      </c>
      <c r="P315" s="8">
        <f t="shared" si="47"/>
        <v>0.77306949422703974</v>
      </c>
    </row>
    <row r="316" spans="1:16" x14ac:dyDescent="0.2">
      <c r="A316" s="8">
        <v>157</v>
      </c>
      <c r="B316" s="8">
        <v>314</v>
      </c>
      <c r="D316">
        <v>1329.4809384164</v>
      </c>
      <c r="E316">
        <v>358.70478983381997</v>
      </c>
      <c r="F316">
        <v>125.07227722771999</v>
      </c>
      <c r="G316">
        <v>109.25247524753</v>
      </c>
      <c r="I316" s="9">
        <f t="shared" si="44"/>
        <v>249.45231458628996</v>
      </c>
      <c r="J316" s="9">
        <f t="shared" si="45"/>
        <v>1204.4086611886801</v>
      </c>
      <c r="K316" s="9">
        <f t="shared" si="31"/>
        <v>249.45231458628996</v>
      </c>
      <c r="L316" s="10">
        <f t="shared" si="30"/>
        <v>0.20711600856481327</v>
      </c>
      <c r="M316" s="10">
        <f t="shared" si="46"/>
        <v>0.5168007223445843</v>
      </c>
      <c r="P316" s="8">
        <f t="shared" si="47"/>
        <v>-0.16058465472239924</v>
      </c>
    </row>
    <row r="317" spans="1:16" x14ac:dyDescent="0.2">
      <c r="A317" s="8">
        <v>157.5</v>
      </c>
      <c r="B317" s="8">
        <v>315</v>
      </c>
      <c r="D317">
        <v>1382.2756598241001</v>
      </c>
      <c r="E317">
        <v>376.00097751711002</v>
      </c>
      <c r="F317">
        <v>124.89603960396001</v>
      </c>
      <c r="G317">
        <v>109.33366336634001</v>
      </c>
      <c r="I317" s="9">
        <f t="shared" si="44"/>
        <v>266.66731415077004</v>
      </c>
      <c r="J317" s="9">
        <f t="shared" si="45"/>
        <v>1257.3796202201402</v>
      </c>
      <c r="K317" s="9">
        <f t="shared" si="31"/>
        <v>266.66731415077004</v>
      </c>
      <c r="L317" s="10">
        <f t="shared" si="30"/>
        <v>0.21208178489809015</v>
      </c>
      <c r="M317" s="10">
        <f t="shared" si="46"/>
        <v>0.52275275572811519</v>
      </c>
      <c r="P317" s="8">
        <f t="shared" si="47"/>
        <v>0.98927351581451439</v>
      </c>
    </row>
    <row r="318" spans="1:16" x14ac:dyDescent="0.2">
      <c r="A318" s="8">
        <v>158</v>
      </c>
      <c r="B318" s="8">
        <v>316</v>
      </c>
      <c r="D318">
        <v>1416.8922330097</v>
      </c>
      <c r="E318">
        <v>381.17475728155</v>
      </c>
      <c r="F318">
        <v>124.80693069307</v>
      </c>
      <c r="G318">
        <v>109.19603960396</v>
      </c>
      <c r="I318" s="9">
        <f t="shared" si="44"/>
        <v>271.97871767759</v>
      </c>
      <c r="J318" s="9">
        <f t="shared" si="45"/>
        <v>1292.0853023166301</v>
      </c>
      <c r="K318" s="9">
        <f t="shared" si="31"/>
        <v>271.97871767759</v>
      </c>
      <c r="L318" s="10">
        <f t="shared" si="30"/>
        <v>0.21049594573202618</v>
      </c>
      <c r="M318" s="10">
        <f t="shared" si="46"/>
        <v>0.52215317361230529</v>
      </c>
      <c r="P318" s="8">
        <f t="shared" si="47"/>
        <v>0.87344177389595024</v>
      </c>
    </row>
    <row r="319" spans="1:16" x14ac:dyDescent="0.2">
      <c r="A319" s="8">
        <v>158.5</v>
      </c>
      <c r="B319" s="8">
        <v>317</v>
      </c>
      <c r="D319">
        <v>1398.4912621358999</v>
      </c>
      <c r="E319">
        <v>377.46310679611997</v>
      </c>
      <c r="F319">
        <v>124.87524752474999</v>
      </c>
      <c r="G319">
        <v>109.24752475248</v>
      </c>
      <c r="I319" s="9">
        <f t="shared" si="44"/>
        <v>268.21558204363998</v>
      </c>
      <c r="J319" s="9">
        <f t="shared" si="45"/>
        <v>1273.6160146111499</v>
      </c>
      <c r="K319" s="9">
        <f t="shared" si="31"/>
        <v>268.21558204363998</v>
      </c>
      <c r="L319" s="10">
        <f t="shared" si="30"/>
        <v>0.21059375743287068</v>
      </c>
      <c r="M319" s="10">
        <f t="shared" si="46"/>
        <v>0.52323724236340385</v>
      </c>
      <c r="P319" s="8">
        <f t="shared" si="47"/>
        <v>1.0828702549800002</v>
      </c>
    </row>
    <row r="320" spans="1:16" x14ac:dyDescent="0.2">
      <c r="A320" s="8">
        <v>159</v>
      </c>
      <c r="B320" s="8">
        <v>318</v>
      </c>
      <c r="D320">
        <v>1359.9317738791001</v>
      </c>
      <c r="E320">
        <v>377.46686159844</v>
      </c>
      <c r="F320">
        <v>125.19405940594</v>
      </c>
      <c r="G320">
        <v>109.15544554455001</v>
      </c>
      <c r="I320" s="9">
        <f>E320-G320</f>
        <v>268.31141605389001</v>
      </c>
      <c r="J320" s="9">
        <f>D320-F320</f>
        <v>1234.7377144731602</v>
      </c>
      <c r="K320" s="9">
        <f t="shared" si="31"/>
        <v>268.31141605389001</v>
      </c>
      <c r="L320" s="10">
        <f t="shared" si="30"/>
        <v>0.2173023573418372</v>
      </c>
      <c r="M320" s="10">
        <f>L320+ABS($N$2)*A320</f>
        <v>0.53093209932262442</v>
      </c>
      <c r="O320" s="11"/>
      <c r="P320" s="8">
        <f>(M320-$O$2)/$O$2*100</f>
        <v>2.5694200734260355</v>
      </c>
    </row>
    <row r="321" spans="1:16" x14ac:dyDescent="0.2">
      <c r="A321" s="8">
        <v>159.5</v>
      </c>
      <c r="B321" s="8">
        <v>319</v>
      </c>
      <c r="D321">
        <v>1341.3245614035</v>
      </c>
      <c r="E321">
        <v>379.16959064328</v>
      </c>
      <c r="F321">
        <v>124.69504950495001</v>
      </c>
      <c r="G321">
        <v>109.20396039604</v>
      </c>
      <c r="I321" s="9">
        <f t="shared" ref="I321" si="48">E321-G321</f>
        <v>269.96563024724003</v>
      </c>
      <c r="J321" s="9">
        <f t="shared" ref="J321" si="49">D321-F321</f>
        <v>1216.6295118985499</v>
      </c>
      <c r="K321" s="9">
        <f t="shared" si="31"/>
        <v>269.96563024724003</v>
      </c>
      <c r="L321" s="10">
        <f t="shared" si="30"/>
        <v>0.22189633541435203</v>
      </c>
      <c r="M321" s="10">
        <f t="shared" ref="M321" si="50">L321+ABS($N$2)*A321</f>
        <v>0.53651233444539326</v>
      </c>
      <c r="P321" s="8">
        <f t="shared" ref="P321" si="51">(M321-$O$2)/$O$2*100</f>
        <v>3.6474514848739314</v>
      </c>
    </row>
    <row r="322" spans="1:16" x14ac:dyDescent="0.2">
      <c r="A322" s="8">
        <v>160</v>
      </c>
      <c r="D322">
        <v>1361.7734375</v>
      </c>
      <c r="E322">
        <v>373.9384765625</v>
      </c>
      <c r="F322">
        <v>125.1603960396</v>
      </c>
      <c r="G322">
        <v>109.20891089109</v>
      </c>
      <c r="I322" s="9">
        <f t="shared" ref="I322" si="52">E322-G322</f>
        <v>264.72956567141</v>
      </c>
      <c r="J322" s="9">
        <f t="shared" ref="J322" si="53">D322-F322</f>
        <v>1236.6130414603999</v>
      </c>
      <c r="K322" s="9">
        <f t="shared" ref="K322" si="54">I322*1</f>
        <v>264.72956567141</v>
      </c>
      <c r="L322" s="10">
        <f t="shared" ref="L322" si="55">K322/J322</f>
        <v>0.21407631716286363</v>
      </c>
      <c r="M322" s="10">
        <f t="shared" ref="M322" si="56">L322+ABS($N$2)*A322</f>
        <v>0.5296785732441589</v>
      </c>
      <c r="P322" s="8">
        <f t="shared" ref="P322" si="57">(M322-$O$2)/$O$2*100</f>
        <v>2.3272545628472607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tabSelected="1" topLeftCell="F1" zoomScale="75" zoomScaleNormal="70" workbookViewId="0">
      <selection activeCell="F2" sqref="F2:G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1334.6795048142999</v>
      </c>
      <c r="E2">
        <v>367.94360385144</v>
      </c>
      <c r="F2">
        <v>132.54520547945</v>
      </c>
      <c r="G2">
        <v>114.82739726027</v>
      </c>
      <c r="H2" s="4"/>
      <c r="I2" s="5">
        <f>E2-G2</f>
        <v>253.11620659117</v>
      </c>
      <c r="J2" s="5">
        <f>D2-F2</f>
        <v>1202.1342993348499</v>
      </c>
      <c r="K2" s="9">
        <f>I2*1</f>
        <v>253.11620659117</v>
      </c>
      <c r="L2" s="6">
        <f t="shared" ref="L2:L65" si="0">K2/J2</f>
        <v>0.21055568145025155</v>
      </c>
      <c r="M2" s="6">
        <f>L2+ABS($N$2)*A2</f>
        <v>0.21055568145025155</v>
      </c>
      <c r="N2" s="4">
        <f>LINEST(V64:V103,U64:U103)</f>
        <v>-1.053298969637236E-3</v>
      </c>
      <c r="O2" s="7">
        <f>AVERAGE(M62:M81)</f>
        <v>0.35871016980447135</v>
      </c>
      <c r="P2" s="4">
        <f>(M2-$O$2)/$O$2*100</f>
        <v>-41.302003908887514</v>
      </c>
    </row>
    <row r="3" spans="1:16" x14ac:dyDescent="0.2">
      <c r="A3" s="8">
        <v>0.5</v>
      </c>
      <c r="B3" s="8">
        <v>1</v>
      </c>
      <c r="D3">
        <v>1194.9491059147001</v>
      </c>
      <c r="E3">
        <v>365.43191196699001</v>
      </c>
      <c r="F3">
        <v>131.00273972603</v>
      </c>
      <c r="G3">
        <v>115.13424657534</v>
      </c>
      <c r="I3" s="9">
        <f t="shared" ref="I3:I66" si="1">E3-G3</f>
        <v>250.29766539165001</v>
      </c>
      <c r="J3" s="9">
        <f t="shared" ref="J3:J66" si="2">D3-F3</f>
        <v>1063.94636618867</v>
      </c>
      <c r="K3" s="9">
        <f t="shared" ref="K3:K66" si="3">I3*1</f>
        <v>250.29766539165001</v>
      </c>
      <c r="L3" s="10">
        <f t="shared" si="0"/>
        <v>0.23525402533990575</v>
      </c>
      <c r="M3" s="10">
        <f t="shared" ref="M3:M66" si="4">L3+ABS($N$2)*A3</f>
        <v>0.23578067482472437</v>
      </c>
      <c r="P3" s="8">
        <f t="shared" ref="P3:P66" si="5">(M3-$O$2)/$O$2*100</f>
        <v>-34.269866128065004</v>
      </c>
    </row>
    <row r="4" spans="1:16" ht="16" x14ac:dyDescent="0.2">
      <c r="A4" s="8">
        <v>1</v>
      </c>
      <c r="B4" s="8">
        <v>2</v>
      </c>
      <c r="D4">
        <v>1234.2063273727999</v>
      </c>
      <c r="E4">
        <v>358.33700137552</v>
      </c>
      <c r="F4">
        <v>131.98219178081999</v>
      </c>
      <c r="G4">
        <v>115.31780821917999</v>
      </c>
      <c r="I4" s="9">
        <f t="shared" si="1"/>
        <v>243.01919315634001</v>
      </c>
      <c r="J4" s="9">
        <f t="shared" si="2"/>
        <v>1102.22413559198</v>
      </c>
      <c r="K4" s="9">
        <f t="shared" si="3"/>
        <v>243.01919315634001</v>
      </c>
      <c r="L4" s="10">
        <f t="shared" si="0"/>
        <v>0.22048074008633445</v>
      </c>
      <c r="M4" s="10">
        <f t="shared" si="4"/>
        <v>0.22153403905597169</v>
      </c>
      <c r="N4" s="1" t="s">
        <v>7</v>
      </c>
      <c r="P4" s="8">
        <f t="shared" si="5"/>
        <v>-38.241494748607977</v>
      </c>
    </row>
    <row r="5" spans="1:16" x14ac:dyDescent="0.2">
      <c r="A5" s="8">
        <v>1.5</v>
      </c>
      <c r="B5" s="8">
        <v>3</v>
      </c>
      <c r="D5">
        <v>1179.9697386519999</v>
      </c>
      <c r="E5">
        <v>339.28335625860001</v>
      </c>
      <c r="F5">
        <v>132.31643835616001</v>
      </c>
      <c r="G5">
        <v>115.4397260274</v>
      </c>
      <c r="I5" s="9">
        <f t="shared" si="1"/>
        <v>223.8436302312</v>
      </c>
      <c r="J5" s="9">
        <f t="shared" si="2"/>
        <v>1047.6533002958399</v>
      </c>
      <c r="K5" s="9">
        <f t="shared" si="3"/>
        <v>223.8436302312</v>
      </c>
      <c r="L5" s="10">
        <f t="shared" si="0"/>
        <v>0.21366193393175992</v>
      </c>
      <c r="M5" s="10">
        <f t="shared" si="4"/>
        <v>0.21524188238621578</v>
      </c>
      <c r="N5" s="8">
        <f>RSQ(V64:V83,U64:U83)</f>
        <v>0.61458385961699025</v>
      </c>
      <c r="P5" s="8">
        <f t="shared" si="5"/>
        <v>-39.995600764945813</v>
      </c>
    </row>
    <row r="6" spans="1:16" x14ac:dyDescent="0.2">
      <c r="A6" s="8">
        <v>2</v>
      </c>
      <c r="B6" s="8">
        <v>4</v>
      </c>
      <c r="D6">
        <v>1201.7001375515999</v>
      </c>
      <c r="E6">
        <v>337.45254470425999</v>
      </c>
      <c r="F6">
        <v>132.71369863013999</v>
      </c>
      <c r="G6">
        <v>114.74383561643999</v>
      </c>
      <c r="I6" s="9">
        <f t="shared" si="1"/>
        <v>222.70870908782001</v>
      </c>
      <c r="J6" s="9">
        <f t="shared" si="2"/>
        <v>1068.9864389214599</v>
      </c>
      <c r="K6" s="9">
        <f t="shared" si="3"/>
        <v>222.70870908782001</v>
      </c>
      <c r="L6" s="10">
        <f t="shared" si="0"/>
        <v>0.20833632773912369</v>
      </c>
      <c r="M6" s="10">
        <f t="shared" si="4"/>
        <v>0.21044292567839817</v>
      </c>
      <c r="P6" s="8">
        <f t="shared" si="5"/>
        <v>-41.333437579116278</v>
      </c>
    </row>
    <row r="7" spans="1:16" x14ac:dyDescent="0.2">
      <c r="A7" s="8">
        <v>2.5</v>
      </c>
      <c r="B7" s="8">
        <v>5</v>
      </c>
      <c r="D7">
        <v>1244.5474552957</v>
      </c>
      <c r="E7">
        <v>343.01650618982001</v>
      </c>
      <c r="F7">
        <v>132.16849315069001</v>
      </c>
      <c r="G7">
        <v>114.96164383562</v>
      </c>
      <c r="I7" s="9">
        <f t="shared" si="1"/>
        <v>228.0548623542</v>
      </c>
      <c r="J7" s="9">
        <f t="shared" si="2"/>
        <v>1112.3789621450101</v>
      </c>
      <c r="K7" s="9">
        <f t="shared" si="3"/>
        <v>228.0548623542</v>
      </c>
      <c r="L7" s="10">
        <f t="shared" si="0"/>
        <v>0.20501543998498481</v>
      </c>
      <c r="M7" s="10">
        <f t="shared" si="4"/>
        <v>0.20764868740907791</v>
      </c>
      <c r="P7" s="8">
        <f t="shared" si="5"/>
        <v>-42.112405811559583</v>
      </c>
    </row>
    <row r="8" spans="1:16" x14ac:dyDescent="0.2">
      <c r="A8" s="8">
        <v>3</v>
      </c>
      <c r="B8" s="8">
        <v>6</v>
      </c>
      <c r="D8">
        <v>1072.6231086657999</v>
      </c>
      <c r="E8">
        <v>306.88308115542998</v>
      </c>
      <c r="F8">
        <v>132.13150684932</v>
      </c>
      <c r="G8">
        <v>115.53835616438</v>
      </c>
      <c r="I8" s="9">
        <f t="shared" si="1"/>
        <v>191.34472499104999</v>
      </c>
      <c r="J8" s="9">
        <f t="shared" si="2"/>
        <v>940.49160181647994</v>
      </c>
      <c r="K8" s="9">
        <f t="shared" si="3"/>
        <v>191.34472499104999</v>
      </c>
      <c r="L8" s="10">
        <f t="shared" si="0"/>
        <v>0.20345181671105181</v>
      </c>
      <c r="M8" s="10">
        <f t="shared" si="4"/>
        <v>0.20661171361996353</v>
      </c>
      <c r="P8" s="8">
        <f t="shared" si="5"/>
        <v>-42.401489834373777</v>
      </c>
    </row>
    <row r="9" spans="1:16" x14ac:dyDescent="0.2">
      <c r="A9" s="8">
        <v>3.5</v>
      </c>
      <c r="B9" s="8">
        <v>7</v>
      </c>
      <c r="D9">
        <v>906.62998624483998</v>
      </c>
      <c r="E9">
        <v>268.0674002751</v>
      </c>
      <c r="F9">
        <v>132.50958904110001</v>
      </c>
      <c r="G9">
        <v>115.08493150685</v>
      </c>
      <c r="I9" s="9">
        <f t="shared" si="1"/>
        <v>152.98246876824999</v>
      </c>
      <c r="J9" s="9">
        <f t="shared" si="2"/>
        <v>774.12039720373991</v>
      </c>
      <c r="K9" s="9">
        <f t="shared" si="3"/>
        <v>152.98246876824999</v>
      </c>
      <c r="L9" s="10">
        <f t="shared" si="0"/>
        <v>0.19762102809956925</v>
      </c>
      <c r="M9" s="10">
        <f t="shared" si="4"/>
        <v>0.20130757449329958</v>
      </c>
      <c r="P9" s="8">
        <f t="shared" si="5"/>
        <v>-43.880159683504388</v>
      </c>
    </row>
    <row r="10" spans="1:16" x14ac:dyDescent="0.2">
      <c r="A10" s="8">
        <v>4</v>
      </c>
      <c r="B10" s="8">
        <v>8</v>
      </c>
      <c r="D10">
        <v>1768.6471408647001</v>
      </c>
      <c r="E10">
        <v>444.36262203626001</v>
      </c>
      <c r="F10">
        <v>132.81780821917999</v>
      </c>
      <c r="G10">
        <v>115.3095890411</v>
      </c>
      <c r="I10" s="9">
        <f t="shared" si="1"/>
        <v>329.05303299516004</v>
      </c>
      <c r="J10" s="9">
        <f t="shared" si="2"/>
        <v>1635.82933264552</v>
      </c>
      <c r="K10" s="9">
        <f t="shared" si="3"/>
        <v>329.05303299516004</v>
      </c>
      <c r="L10" s="10">
        <f t="shared" si="0"/>
        <v>0.20115364508289141</v>
      </c>
      <c r="M10" s="10">
        <f t="shared" si="4"/>
        <v>0.20536684096144034</v>
      </c>
      <c r="P10" s="8">
        <f t="shared" si="5"/>
        <v>-42.748531196262604</v>
      </c>
    </row>
    <row r="11" spans="1:16" x14ac:dyDescent="0.2">
      <c r="A11" s="8">
        <v>4.5</v>
      </c>
      <c r="B11" s="8">
        <v>9</v>
      </c>
      <c r="D11">
        <v>1837.1046025104999</v>
      </c>
      <c r="E11">
        <v>457.48675034868</v>
      </c>
      <c r="F11">
        <v>132.58493150685001</v>
      </c>
      <c r="G11">
        <v>115.49315068493</v>
      </c>
      <c r="I11" s="9">
        <f t="shared" si="1"/>
        <v>341.99359966374999</v>
      </c>
      <c r="J11" s="9">
        <f t="shared" si="2"/>
        <v>1704.5196710036498</v>
      </c>
      <c r="K11" s="9">
        <f t="shared" si="3"/>
        <v>341.99359966374999</v>
      </c>
      <c r="L11" s="10">
        <f t="shared" si="0"/>
        <v>0.20063928007494242</v>
      </c>
      <c r="M11" s="10">
        <f t="shared" si="4"/>
        <v>0.20537912543830997</v>
      </c>
      <c r="P11" s="8">
        <f t="shared" si="5"/>
        <v>-42.74510657162029</v>
      </c>
    </row>
    <row r="12" spans="1:16" x14ac:dyDescent="0.2">
      <c r="A12" s="8">
        <v>5</v>
      </c>
      <c r="B12" s="8">
        <v>10</v>
      </c>
      <c r="D12">
        <v>1902.404432133</v>
      </c>
      <c r="E12">
        <v>496.63573407202</v>
      </c>
      <c r="F12">
        <v>132.74657534247001</v>
      </c>
      <c r="G12">
        <v>115.08904109589</v>
      </c>
      <c r="I12" s="9">
        <f t="shared" si="1"/>
        <v>381.54669297612998</v>
      </c>
      <c r="J12" s="9">
        <f t="shared" si="2"/>
        <v>1769.6578567905299</v>
      </c>
      <c r="K12" s="9">
        <f t="shared" si="3"/>
        <v>381.54669297612998</v>
      </c>
      <c r="L12" s="10">
        <f t="shared" si="0"/>
        <v>0.21560478004946509</v>
      </c>
      <c r="M12" s="10">
        <f t="shared" si="4"/>
        <v>0.22087127489765127</v>
      </c>
      <c r="P12" s="8">
        <f t="shared" si="5"/>
        <v>-38.426257884451516</v>
      </c>
    </row>
    <row r="13" spans="1:16" x14ac:dyDescent="0.2">
      <c r="A13" s="8">
        <v>5.5</v>
      </c>
      <c r="B13" s="8">
        <v>11</v>
      </c>
      <c r="D13">
        <v>1842.4390581718001</v>
      </c>
      <c r="E13">
        <v>496.45013850416001</v>
      </c>
      <c r="F13">
        <v>132.74109589041001</v>
      </c>
      <c r="G13">
        <v>115.7301369863</v>
      </c>
      <c r="I13" s="9">
        <f t="shared" si="1"/>
        <v>380.72000151786</v>
      </c>
      <c r="J13" s="9">
        <f t="shared" si="2"/>
        <v>1709.6979622813901</v>
      </c>
      <c r="K13" s="9">
        <f t="shared" si="3"/>
        <v>380.72000151786</v>
      </c>
      <c r="L13" s="10">
        <f t="shared" si="0"/>
        <v>0.22268260822504232</v>
      </c>
      <c r="M13" s="10">
        <f t="shared" si="4"/>
        <v>0.22847575255804711</v>
      </c>
      <c r="P13" s="8">
        <f t="shared" si="5"/>
        <v>-36.306307489808127</v>
      </c>
    </row>
    <row r="14" spans="1:16" x14ac:dyDescent="0.2">
      <c r="A14" s="8">
        <v>6</v>
      </c>
      <c r="B14" s="8">
        <v>12</v>
      </c>
      <c r="D14">
        <v>1469.9501385041999</v>
      </c>
      <c r="E14">
        <v>420.89889196676</v>
      </c>
      <c r="F14">
        <v>132.97397260273999</v>
      </c>
      <c r="G14">
        <v>115.67260273973</v>
      </c>
      <c r="I14" s="9">
        <f t="shared" si="1"/>
        <v>305.22628922703001</v>
      </c>
      <c r="J14" s="9">
        <f t="shared" si="2"/>
        <v>1336.9761659014598</v>
      </c>
      <c r="K14" s="9">
        <f t="shared" si="3"/>
        <v>305.22628922703001</v>
      </c>
      <c r="L14" s="10">
        <f t="shared" si="0"/>
        <v>0.22829598388631733</v>
      </c>
      <c r="M14" s="10">
        <f t="shared" si="4"/>
        <v>0.23461577770414074</v>
      </c>
      <c r="P14" s="8">
        <f t="shared" si="5"/>
        <v>-34.594612181743543</v>
      </c>
    </row>
    <row r="15" spans="1:16" x14ac:dyDescent="0.2">
      <c r="A15" s="8">
        <v>6.5</v>
      </c>
      <c r="B15" s="8">
        <v>13</v>
      </c>
      <c r="D15">
        <v>1568.3254847645001</v>
      </c>
      <c r="E15">
        <v>448.52770083103002</v>
      </c>
      <c r="F15">
        <v>132.94657534247</v>
      </c>
      <c r="G15">
        <v>115.53424657534001</v>
      </c>
      <c r="I15" s="9">
        <f t="shared" si="1"/>
        <v>332.99345425569004</v>
      </c>
      <c r="J15" s="9">
        <f t="shared" si="2"/>
        <v>1435.3789094220301</v>
      </c>
      <c r="K15" s="9">
        <f t="shared" si="3"/>
        <v>332.99345425569004</v>
      </c>
      <c r="L15" s="10">
        <f t="shared" si="0"/>
        <v>0.23198993106968058</v>
      </c>
      <c r="M15" s="10">
        <f t="shared" si="4"/>
        <v>0.23883637437232261</v>
      </c>
      <c r="P15" s="8">
        <f t="shared" si="5"/>
        <v>-33.418008610542188</v>
      </c>
    </row>
    <row r="16" spans="1:16" x14ac:dyDescent="0.2">
      <c r="A16" s="8">
        <v>7</v>
      </c>
      <c r="B16" s="8">
        <v>14</v>
      </c>
      <c r="D16">
        <v>1359.6357340720001</v>
      </c>
      <c r="E16">
        <v>422.79639889197</v>
      </c>
      <c r="F16">
        <v>133.40958904109999</v>
      </c>
      <c r="G16">
        <v>115.46301369862999</v>
      </c>
      <c r="I16" s="9">
        <f t="shared" si="1"/>
        <v>307.33338519334001</v>
      </c>
      <c r="J16" s="9">
        <f t="shared" si="2"/>
        <v>1226.2261450309002</v>
      </c>
      <c r="K16" s="9">
        <f t="shared" si="3"/>
        <v>307.33338519334001</v>
      </c>
      <c r="L16" s="10">
        <f t="shared" si="0"/>
        <v>0.25063352827597341</v>
      </c>
      <c r="M16" s="10">
        <f t="shared" si="4"/>
        <v>0.25800662106343408</v>
      </c>
      <c r="P16" s="8">
        <f t="shared" si="5"/>
        <v>-28.073792498252718</v>
      </c>
    </row>
    <row r="17" spans="1:16" x14ac:dyDescent="0.2">
      <c r="A17" s="8">
        <v>7.5</v>
      </c>
      <c r="B17" s="8">
        <v>15</v>
      </c>
      <c r="D17">
        <v>1725.7188365651</v>
      </c>
      <c r="E17">
        <v>468.14127423822998</v>
      </c>
      <c r="F17">
        <v>133.23424657533999</v>
      </c>
      <c r="G17">
        <v>115.56575342466</v>
      </c>
      <c r="I17" s="9">
        <f t="shared" si="1"/>
        <v>352.57552081356999</v>
      </c>
      <c r="J17" s="9">
        <f t="shared" si="2"/>
        <v>1592.48458998976</v>
      </c>
      <c r="K17" s="9">
        <f t="shared" si="3"/>
        <v>352.57552081356999</v>
      </c>
      <c r="L17" s="10">
        <f t="shared" si="0"/>
        <v>0.22139964369503704</v>
      </c>
      <c r="M17" s="10">
        <f t="shared" si="4"/>
        <v>0.2292993859673163</v>
      </c>
      <c r="P17" s="8">
        <f t="shared" si="5"/>
        <v>-36.076697771823788</v>
      </c>
    </row>
    <row r="18" spans="1:16" x14ac:dyDescent="0.2">
      <c r="A18" s="8">
        <v>8</v>
      </c>
      <c r="B18" s="8">
        <v>16</v>
      </c>
      <c r="D18">
        <v>1430.0249307479</v>
      </c>
      <c r="E18">
        <v>389.78393351800997</v>
      </c>
      <c r="F18">
        <v>133.10821917807999</v>
      </c>
      <c r="G18">
        <v>115.3</v>
      </c>
      <c r="I18" s="9">
        <f t="shared" si="1"/>
        <v>274.48393351800996</v>
      </c>
      <c r="J18" s="9">
        <f t="shared" si="2"/>
        <v>1296.9167115698201</v>
      </c>
      <c r="K18" s="9">
        <f t="shared" si="3"/>
        <v>274.48393351800996</v>
      </c>
      <c r="L18" s="10">
        <f t="shared" si="0"/>
        <v>0.21164345487210803</v>
      </c>
      <c r="M18" s="10">
        <f t="shared" si="4"/>
        <v>0.22006984662920592</v>
      </c>
      <c r="P18" s="8">
        <f t="shared" si="5"/>
        <v>-38.649677328868769</v>
      </c>
    </row>
    <row r="19" spans="1:16" x14ac:dyDescent="0.2">
      <c r="A19" s="8">
        <v>8.5</v>
      </c>
      <c r="B19" s="8">
        <v>17</v>
      </c>
      <c r="D19">
        <v>1522.5470914127</v>
      </c>
      <c r="E19">
        <v>389.76869806093998</v>
      </c>
      <c r="F19">
        <v>132.61232876712</v>
      </c>
      <c r="G19">
        <v>114.78356164384</v>
      </c>
      <c r="I19" s="9">
        <f t="shared" si="1"/>
        <v>274.98513641709997</v>
      </c>
      <c r="J19" s="9">
        <f t="shared" si="2"/>
        <v>1389.9347626455799</v>
      </c>
      <c r="K19" s="9">
        <f t="shared" si="3"/>
        <v>274.98513641709997</v>
      </c>
      <c r="L19" s="10">
        <f t="shared" si="0"/>
        <v>0.19784031870222282</v>
      </c>
      <c r="M19" s="10">
        <f t="shared" si="4"/>
        <v>0.20679335994413933</v>
      </c>
      <c r="P19" s="8">
        <f t="shared" si="5"/>
        <v>-42.35085109048903</v>
      </c>
    </row>
    <row r="20" spans="1:16" x14ac:dyDescent="0.2">
      <c r="A20" s="8">
        <v>9</v>
      </c>
      <c r="B20" s="8">
        <v>18</v>
      </c>
      <c r="D20">
        <v>1799.5540166205001</v>
      </c>
      <c r="E20">
        <v>483.58310249307999</v>
      </c>
      <c r="F20">
        <v>133.09315068493001</v>
      </c>
      <c r="G20">
        <v>115.68082191780999</v>
      </c>
      <c r="I20" s="9">
        <f t="shared" si="1"/>
        <v>367.90228057526997</v>
      </c>
      <c r="J20" s="9">
        <f t="shared" si="2"/>
        <v>1666.4608659355702</v>
      </c>
      <c r="K20" s="9">
        <f t="shared" si="3"/>
        <v>367.90228057526997</v>
      </c>
      <c r="L20" s="10">
        <f t="shared" si="0"/>
        <v>0.22076862895230692</v>
      </c>
      <c r="M20" s="10">
        <f t="shared" si="4"/>
        <v>0.23024831967904205</v>
      </c>
      <c r="P20" s="8">
        <f t="shared" si="5"/>
        <v>-35.812157262073811</v>
      </c>
    </row>
    <row r="21" spans="1:16" x14ac:dyDescent="0.2">
      <c r="A21" s="8">
        <v>9.5</v>
      </c>
      <c r="B21" s="8">
        <v>19</v>
      </c>
      <c r="D21">
        <v>2360.8760330578998</v>
      </c>
      <c r="E21">
        <v>618.08264462809996</v>
      </c>
      <c r="F21">
        <v>134.01369863014</v>
      </c>
      <c r="G21">
        <v>115.89863013698999</v>
      </c>
      <c r="I21" s="9">
        <f t="shared" si="1"/>
        <v>502.18401449110996</v>
      </c>
      <c r="J21" s="9">
        <f t="shared" si="2"/>
        <v>2226.8623344277598</v>
      </c>
      <c r="K21" s="9">
        <f t="shared" si="3"/>
        <v>502.18401449110996</v>
      </c>
      <c r="L21" s="10">
        <f t="shared" si="0"/>
        <v>0.22551192623236718</v>
      </c>
      <c r="M21" s="10">
        <f t="shared" si="4"/>
        <v>0.23551826644392093</v>
      </c>
      <c r="P21" s="8">
        <f t="shared" si="5"/>
        <v>-34.34301944316239</v>
      </c>
    </row>
    <row r="22" spans="1:16" x14ac:dyDescent="0.2">
      <c r="A22" s="8">
        <v>10</v>
      </c>
      <c r="B22" s="8">
        <v>20</v>
      </c>
      <c r="D22">
        <v>2292.4104683196001</v>
      </c>
      <c r="E22">
        <v>610.83471074379997</v>
      </c>
      <c r="F22">
        <v>133.09589041096001</v>
      </c>
      <c r="G22">
        <v>115.77671232877</v>
      </c>
      <c r="I22" s="9">
        <f t="shared" si="1"/>
        <v>495.05799841502994</v>
      </c>
      <c r="J22" s="9">
        <f t="shared" si="2"/>
        <v>2159.3145779086399</v>
      </c>
      <c r="K22" s="9">
        <f t="shared" si="3"/>
        <v>495.05799841502994</v>
      </c>
      <c r="L22" s="10">
        <f t="shared" si="0"/>
        <v>0.22926626971347003</v>
      </c>
      <c r="M22" s="10">
        <f t="shared" si="4"/>
        <v>0.2397992594098424</v>
      </c>
      <c r="P22" s="8">
        <f t="shared" si="5"/>
        <v>-33.149578797681109</v>
      </c>
    </row>
    <row r="23" spans="1:16" x14ac:dyDescent="0.2">
      <c r="A23" s="8">
        <v>10.5</v>
      </c>
      <c r="B23" s="8">
        <v>21</v>
      </c>
      <c r="D23">
        <v>2022.3481276006</v>
      </c>
      <c r="E23">
        <v>559.63522884882002</v>
      </c>
      <c r="F23">
        <v>133.46438356164001</v>
      </c>
      <c r="G23">
        <v>115.58356164384</v>
      </c>
      <c r="I23" s="9">
        <f t="shared" si="1"/>
        <v>444.05166720498005</v>
      </c>
      <c r="J23" s="9">
        <f t="shared" si="2"/>
        <v>1888.88374403896</v>
      </c>
      <c r="K23" s="9">
        <f t="shared" si="3"/>
        <v>444.05166720498005</v>
      </c>
      <c r="L23" s="10">
        <f t="shared" si="0"/>
        <v>0.23508681707190396</v>
      </c>
      <c r="M23" s="10">
        <f t="shared" si="4"/>
        <v>0.24614645625309495</v>
      </c>
      <c r="P23" s="8">
        <f t="shared" si="5"/>
        <v>-31.380128869146233</v>
      </c>
    </row>
    <row r="24" spans="1:16" x14ac:dyDescent="0.2">
      <c r="A24" s="8">
        <v>11</v>
      </c>
      <c r="B24" s="8">
        <v>22</v>
      </c>
      <c r="D24">
        <v>2025.3203883495</v>
      </c>
      <c r="E24">
        <v>541.31067961165002</v>
      </c>
      <c r="F24">
        <v>133.7904109589</v>
      </c>
      <c r="G24">
        <v>115.34383561644</v>
      </c>
      <c r="I24" s="9">
        <f t="shared" si="1"/>
        <v>425.96684399521001</v>
      </c>
      <c r="J24" s="9">
        <f t="shared" si="2"/>
        <v>1891.5299773905999</v>
      </c>
      <c r="K24" s="9">
        <f t="shared" si="3"/>
        <v>425.96684399521001</v>
      </c>
      <c r="L24" s="10">
        <f t="shared" si="0"/>
        <v>0.22519698291159998</v>
      </c>
      <c r="M24" s="10">
        <f t="shared" si="4"/>
        <v>0.23678327157760959</v>
      </c>
      <c r="P24" s="8">
        <f t="shared" si="5"/>
        <v>-33.990365618382846</v>
      </c>
    </row>
    <row r="25" spans="1:16" x14ac:dyDescent="0.2">
      <c r="A25" s="8">
        <v>11.5</v>
      </c>
      <c r="B25" s="8">
        <v>23</v>
      </c>
      <c r="D25">
        <v>1746.3592233009999</v>
      </c>
      <c r="E25">
        <v>479.69348127601</v>
      </c>
      <c r="F25">
        <v>133.56849315068999</v>
      </c>
      <c r="G25">
        <v>115.1301369863</v>
      </c>
      <c r="I25" s="9">
        <f t="shared" si="1"/>
        <v>364.56334428971002</v>
      </c>
      <c r="J25" s="9">
        <f t="shared" si="2"/>
        <v>1612.7907301503099</v>
      </c>
      <c r="K25" s="9">
        <f t="shared" si="3"/>
        <v>364.56334428971002</v>
      </c>
      <c r="L25" s="10">
        <f t="shared" si="0"/>
        <v>0.22604503949234209</v>
      </c>
      <c r="M25" s="10">
        <f t="shared" si="4"/>
        <v>0.23815797764317032</v>
      </c>
      <c r="P25" s="8">
        <f t="shared" si="5"/>
        <v>-33.607129741265105</v>
      </c>
    </row>
    <row r="26" spans="1:16" x14ac:dyDescent="0.2">
      <c r="A26" s="8">
        <v>12</v>
      </c>
      <c r="B26" s="8">
        <v>24</v>
      </c>
      <c r="D26">
        <v>1766.7544827586</v>
      </c>
      <c r="E26">
        <v>528.38344827586002</v>
      </c>
      <c r="F26">
        <v>134.17534246574999</v>
      </c>
      <c r="G26">
        <v>115.97397260274001</v>
      </c>
      <c r="I26" s="9">
        <f t="shared" si="1"/>
        <v>412.40947567312003</v>
      </c>
      <c r="J26" s="9">
        <f t="shared" si="2"/>
        <v>1632.5791402928501</v>
      </c>
      <c r="K26" s="9">
        <f t="shared" si="3"/>
        <v>412.40947567312003</v>
      </c>
      <c r="L26" s="10">
        <f t="shared" si="0"/>
        <v>0.25261224126576953</v>
      </c>
      <c r="M26" s="10">
        <f t="shared" si="4"/>
        <v>0.26525182890141635</v>
      </c>
      <c r="P26" s="8">
        <f t="shared" si="5"/>
        <v>-26.053998121658505</v>
      </c>
    </row>
    <row r="27" spans="1:16" x14ac:dyDescent="0.2">
      <c r="A27" s="8">
        <v>12.5</v>
      </c>
      <c r="B27" s="8">
        <v>25</v>
      </c>
      <c r="D27">
        <v>1455.7917241379</v>
      </c>
      <c r="E27">
        <v>461.17517241378999</v>
      </c>
      <c r="F27">
        <v>134.67397260274001</v>
      </c>
      <c r="G27">
        <v>115.5698630137</v>
      </c>
      <c r="I27" s="9">
        <f t="shared" si="1"/>
        <v>345.60530940008999</v>
      </c>
      <c r="J27" s="9">
        <f t="shared" si="2"/>
        <v>1321.1177515351601</v>
      </c>
      <c r="K27" s="9">
        <f t="shared" si="3"/>
        <v>345.60530940008999</v>
      </c>
      <c r="L27" s="10">
        <f t="shared" si="0"/>
        <v>0.26160068547901277</v>
      </c>
      <c r="M27" s="10">
        <f t="shared" si="4"/>
        <v>0.27476692259947821</v>
      </c>
      <c r="P27" s="8">
        <f t="shared" si="5"/>
        <v>-23.401412692243881</v>
      </c>
    </row>
    <row r="28" spans="1:16" x14ac:dyDescent="0.2">
      <c r="A28" s="8">
        <v>13</v>
      </c>
      <c r="B28" s="8">
        <v>26</v>
      </c>
      <c r="D28">
        <v>1466.6082758621001</v>
      </c>
      <c r="E28">
        <v>451.78620689655003</v>
      </c>
      <c r="F28">
        <v>134.73698630137</v>
      </c>
      <c r="G28">
        <v>115.74520547944999</v>
      </c>
      <c r="I28" s="9">
        <f t="shared" si="1"/>
        <v>336.04100141710001</v>
      </c>
      <c r="J28" s="9">
        <f t="shared" si="2"/>
        <v>1331.87128956073</v>
      </c>
      <c r="K28" s="9">
        <f t="shared" si="3"/>
        <v>336.04100141710001</v>
      </c>
      <c r="L28" s="10">
        <f t="shared" si="0"/>
        <v>0.25230741442585725</v>
      </c>
      <c r="M28" s="10">
        <f t="shared" si="4"/>
        <v>0.26600030103114131</v>
      </c>
      <c r="P28" s="8">
        <f t="shared" si="5"/>
        <v>-25.845341609317927</v>
      </c>
    </row>
    <row r="29" spans="1:16" x14ac:dyDescent="0.2">
      <c r="A29" s="8">
        <v>13.5</v>
      </c>
      <c r="B29" s="8">
        <v>27</v>
      </c>
      <c r="D29">
        <v>1831.6124137930999</v>
      </c>
      <c r="E29">
        <v>549.36689655171995</v>
      </c>
      <c r="F29">
        <v>133.42739726027</v>
      </c>
      <c r="G29">
        <v>115.64246575343</v>
      </c>
      <c r="I29" s="9">
        <f t="shared" si="1"/>
        <v>433.72443079828997</v>
      </c>
      <c r="J29" s="9">
        <f t="shared" si="2"/>
        <v>1698.1850165328299</v>
      </c>
      <c r="K29" s="9">
        <f t="shared" si="3"/>
        <v>433.72443079828997</v>
      </c>
      <c r="L29" s="10">
        <f t="shared" si="0"/>
        <v>0.25540469770709762</v>
      </c>
      <c r="M29" s="10">
        <f t="shared" si="4"/>
        <v>0.2696242337972003</v>
      </c>
      <c r="P29" s="8">
        <f t="shared" si="5"/>
        <v>-24.83507396955897</v>
      </c>
    </row>
    <row r="30" spans="1:16" x14ac:dyDescent="0.2">
      <c r="A30" s="8">
        <v>14</v>
      </c>
      <c r="B30" s="8">
        <v>28</v>
      </c>
      <c r="D30">
        <v>1972.8317241379</v>
      </c>
      <c r="E30">
        <v>594.64689655172003</v>
      </c>
      <c r="F30">
        <v>134.2794520548</v>
      </c>
      <c r="G30">
        <v>115.92054794521</v>
      </c>
      <c r="I30" s="9">
        <f t="shared" si="1"/>
        <v>478.72634860651004</v>
      </c>
      <c r="J30" s="9">
        <f t="shared" si="2"/>
        <v>1838.5522720831</v>
      </c>
      <c r="K30" s="9">
        <f t="shared" si="3"/>
        <v>478.72634860651004</v>
      </c>
      <c r="L30" s="10">
        <f t="shared" si="0"/>
        <v>0.26038223436753738</v>
      </c>
      <c r="M30" s="10">
        <f t="shared" si="4"/>
        <v>0.27512841994245868</v>
      </c>
      <c r="P30" s="8">
        <f t="shared" si="5"/>
        <v>-23.300635693594103</v>
      </c>
    </row>
    <row r="31" spans="1:16" x14ac:dyDescent="0.2">
      <c r="A31" s="8">
        <v>14.5</v>
      </c>
      <c r="B31" s="8">
        <v>29</v>
      </c>
      <c r="D31">
        <v>2125.6882758621</v>
      </c>
      <c r="E31">
        <v>635.24551724137996</v>
      </c>
      <c r="F31">
        <v>133.99041095889999</v>
      </c>
      <c r="G31">
        <v>116.00410958904</v>
      </c>
      <c r="I31" s="9">
        <f t="shared" si="1"/>
        <v>519.24140765233994</v>
      </c>
      <c r="J31" s="9">
        <f t="shared" si="2"/>
        <v>1991.6978649032001</v>
      </c>
      <c r="K31" s="9">
        <f t="shared" si="3"/>
        <v>519.24140765233994</v>
      </c>
      <c r="L31" s="10">
        <f t="shared" si="0"/>
        <v>0.26070289917069123</v>
      </c>
      <c r="M31" s="10">
        <f t="shared" si="4"/>
        <v>0.27597573423043115</v>
      </c>
      <c r="P31" s="8">
        <f t="shared" si="5"/>
        <v>-23.064424300860427</v>
      </c>
    </row>
    <row r="32" spans="1:16" x14ac:dyDescent="0.2">
      <c r="A32" s="8">
        <v>15</v>
      </c>
      <c r="B32" s="8">
        <v>30</v>
      </c>
      <c r="D32">
        <v>2127.2234482759</v>
      </c>
      <c r="E32">
        <v>618.18482758620996</v>
      </c>
      <c r="F32">
        <v>133.30547945206001</v>
      </c>
      <c r="G32">
        <v>115.65068493151</v>
      </c>
      <c r="I32" s="9">
        <f t="shared" si="1"/>
        <v>502.53414265469996</v>
      </c>
      <c r="J32" s="9">
        <f t="shared" si="2"/>
        <v>1993.9179688238401</v>
      </c>
      <c r="K32" s="9">
        <f t="shared" si="3"/>
        <v>502.53414265469996</v>
      </c>
      <c r="L32" s="10">
        <f t="shared" si="0"/>
        <v>0.25203350915741618</v>
      </c>
      <c r="M32" s="10">
        <f t="shared" si="4"/>
        <v>0.26783299370197472</v>
      </c>
      <c r="P32" s="8">
        <f t="shared" si="5"/>
        <v>-25.334429785481881</v>
      </c>
    </row>
    <row r="33" spans="1:16" x14ac:dyDescent="0.2">
      <c r="A33" s="8">
        <v>15.5</v>
      </c>
      <c r="B33" s="8">
        <v>31</v>
      </c>
      <c r="D33">
        <v>2233.0013793102999</v>
      </c>
      <c r="E33">
        <v>637.52827586207002</v>
      </c>
      <c r="F33">
        <v>133.97671232876999</v>
      </c>
      <c r="G33">
        <v>115.40273972603001</v>
      </c>
      <c r="I33" s="9">
        <f t="shared" si="1"/>
        <v>522.12553613603995</v>
      </c>
      <c r="J33" s="9">
        <f t="shared" si="2"/>
        <v>2099.0246669815297</v>
      </c>
      <c r="K33" s="9">
        <f t="shared" si="3"/>
        <v>522.12553613603995</v>
      </c>
      <c r="L33" s="10">
        <f t="shared" si="0"/>
        <v>0.24874673668646047</v>
      </c>
      <c r="M33" s="10">
        <f t="shared" si="4"/>
        <v>0.26507287071583763</v>
      </c>
      <c r="P33" s="8">
        <f t="shared" si="5"/>
        <v>-26.103887475416236</v>
      </c>
    </row>
    <row r="34" spans="1:16" x14ac:dyDescent="0.2">
      <c r="A34" s="8">
        <v>16</v>
      </c>
      <c r="B34" s="8">
        <v>32</v>
      </c>
      <c r="D34">
        <v>2278.5857338820001</v>
      </c>
      <c r="E34">
        <v>648.40054869685002</v>
      </c>
      <c r="F34">
        <v>133.89863013698999</v>
      </c>
      <c r="G34">
        <v>116.18767123288001</v>
      </c>
      <c r="I34" s="9">
        <f t="shared" si="1"/>
        <v>532.21287746397002</v>
      </c>
      <c r="J34" s="9">
        <f t="shared" si="2"/>
        <v>2144.6871037450101</v>
      </c>
      <c r="K34" s="9">
        <f t="shared" si="3"/>
        <v>532.21287746397002</v>
      </c>
      <c r="L34" s="10">
        <f t="shared" si="0"/>
        <v>0.24815409041935788</v>
      </c>
      <c r="M34" s="10">
        <f t="shared" si="4"/>
        <v>0.26500687393355365</v>
      </c>
      <c r="P34" s="8">
        <f t="shared" si="5"/>
        <v>-26.122285833712006</v>
      </c>
    </row>
    <row r="35" spans="1:16" x14ac:dyDescent="0.2">
      <c r="A35" s="8">
        <v>16.5</v>
      </c>
      <c r="B35" s="8">
        <v>33</v>
      </c>
      <c r="D35">
        <v>2268.4636488340002</v>
      </c>
      <c r="E35">
        <v>636.98902606310003</v>
      </c>
      <c r="F35">
        <v>133.7904109589</v>
      </c>
      <c r="G35">
        <v>115.72054794521</v>
      </c>
      <c r="I35" s="9">
        <f t="shared" si="1"/>
        <v>521.26847811789003</v>
      </c>
      <c r="J35" s="9">
        <f t="shared" si="2"/>
        <v>2134.6732378751003</v>
      </c>
      <c r="K35" s="9">
        <f t="shared" si="3"/>
        <v>521.26847811789003</v>
      </c>
      <c r="L35" s="10">
        <f t="shared" si="0"/>
        <v>0.24419122742962379</v>
      </c>
      <c r="M35" s="10">
        <f t="shared" si="4"/>
        <v>0.26157066042863819</v>
      </c>
      <c r="P35" s="8">
        <f t="shared" si="5"/>
        <v>-27.080221736892142</v>
      </c>
    </row>
    <row r="36" spans="1:16" x14ac:dyDescent="0.2">
      <c r="A36" s="8">
        <v>17</v>
      </c>
      <c r="B36" s="8">
        <v>34</v>
      </c>
      <c r="D36">
        <v>2010.4659248957</v>
      </c>
      <c r="E36">
        <v>573.30458970792995</v>
      </c>
      <c r="F36">
        <v>134.73561643836001</v>
      </c>
      <c r="G36">
        <v>115.72465753425</v>
      </c>
      <c r="I36" s="9">
        <f t="shared" si="1"/>
        <v>457.57993217367994</v>
      </c>
      <c r="J36" s="9">
        <f t="shared" si="2"/>
        <v>1875.73030845734</v>
      </c>
      <c r="K36" s="9">
        <f t="shared" si="3"/>
        <v>457.57993217367994</v>
      </c>
      <c r="L36" s="10">
        <f t="shared" si="0"/>
        <v>0.24394761342317284</v>
      </c>
      <c r="M36" s="10">
        <f t="shared" si="4"/>
        <v>0.26185369590700586</v>
      </c>
      <c r="P36" s="8">
        <f t="shared" si="5"/>
        <v>-27.001318069755538</v>
      </c>
    </row>
    <row r="37" spans="1:16" x14ac:dyDescent="0.2">
      <c r="A37" s="8">
        <v>17.5</v>
      </c>
      <c r="B37" s="8">
        <v>35</v>
      </c>
      <c r="D37">
        <v>1942.6689655171999</v>
      </c>
      <c r="E37">
        <v>548.00275862068997</v>
      </c>
      <c r="F37">
        <v>133.83424657533999</v>
      </c>
      <c r="G37">
        <v>116.02465753425</v>
      </c>
      <c r="I37" s="9">
        <f t="shared" si="1"/>
        <v>431.97810108644001</v>
      </c>
      <c r="J37" s="9">
        <f t="shared" si="2"/>
        <v>1808.83471894186</v>
      </c>
      <c r="K37" s="9">
        <f t="shared" si="3"/>
        <v>431.97810108644001</v>
      </c>
      <c r="L37" s="10">
        <f t="shared" si="0"/>
        <v>0.23881568424291436</v>
      </c>
      <c r="M37" s="10">
        <f t="shared" si="4"/>
        <v>0.25724841621156597</v>
      </c>
      <c r="P37" s="8">
        <f t="shared" si="5"/>
        <v>-28.285162265739768</v>
      </c>
    </row>
    <row r="38" spans="1:16" x14ac:dyDescent="0.2">
      <c r="A38" s="8">
        <v>18</v>
      </c>
      <c r="B38" s="8">
        <v>36</v>
      </c>
      <c r="D38">
        <v>1644.6110344828001</v>
      </c>
      <c r="E38">
        <v>461.48413793102998</v>
      </c>
      <c r="F38">
        <v>134.28493150685</v>
      </c>
      <c r="G38">
        <v>115.6698630137</v>
      </c>
      <c r="I38" s="9">
        <f t="shared" si="1"/>
        <v>345.81427491732995</v>
      </c>
      <c r="J38" s="9">
        <f t="shared" si="2"/>
        <v>1510.3261029759501</v>
      </c>
      <c r="K38" s="9">
        <f t="shared" si="3"/>
        <v>345.81427491732995</v>
      </c>
      <c r="L38" s="10">
        <f t="shared" si="0"/>
        <v>0.22896662795931069</v>
      </c>
      <c r="M38" s="10">
        <f t="shared" si="4"/>
        <v>0.24792600941278095</v>
      </c>
      <c r="P38" s="8">
        <f t="shared" si="5"/>
        <v>-30.884031097327831</v>
      </c>
    </row>
    <row r="39" spans="1:16" x14ac:dyDescent="0.2">
      <c r="A39" s="8">
        <v>18.5</v>
      </c>
      <c r="B39" s="8">
        <v>37</v>
      </c>
      <c r="D39">
        <v>1594.6108033241001</v>
      </c>
      <c r="E39">
        <v>439.5595567867</v>
      </c>
      <c r="F39">
        <v>134.50684931507001</v>
      </c>
      <c r="G39">
        <v>116.15342465753</v>
      </c>
      <c r="I39" s="9">
        <f t="shared" si="1"/>
        <v>323.40613212917003</v>
      </c>
      <c r="J39" s="9">
        <f t="shared" si="2"/>
        <v>1460.1039540090301</v>
      </c>
      <c r="K39" s="9">
        <f t="shared" si="3"/>
        <v>323.40613212917003</v>
      </c>
      <c r="L39" s="10">
        <f t="shared" si="0"/>
        <v>0.22149527863491417</v>
      </c>
      <c r="M39" s="10">
        <f t="shared" si="4"/>
        <v>0.24098130957320302</v>
      </c>
      <c r="P39" s="8">
        <f t="shared" si="5"/>
        <v>-32.820050877130399</v>
      </c>
    </row>
    <row r="40" spans="1:16" x14ac:dyDescent="0.2">
      <c r="A40" s="8">
        <v>19</v>
      </c>
      <c r="B40" s="8">
        <v>38</v>
      </c>
      <c r="D40">
        <v>1711.7423822715</v>
      </c>
      <c r="E40">
        <v>458.40443213295998</v>
      </c>
      <c r="F40">
        <v>134.04520547945</v>
      </c>
      <c r="G40">
        <v>116.11506849315001</v>
      </c>
      <c r="I40" s="9">
        <f t="shared" si="1"/>
        <v>342.28936363980995</v>
      </c>
      <c r="J40" s="9">
        <f t="shared" si="2"/>
        <v>1577.69717679205</v>
      </c>
      <c r="K40" s="9">
        <f t="shared" si="3"/>
        <v>342.28936363980995</v>
      </c>
      <c r="L40" s="10">
        <f t="shared" si="0"/>
        <v>0.21695504604742394</v>
      </c>
      <c r="M40" s="10">
        <f t="shared" si="4"/>
        <v>0.23696772647053144</v>
      </c>
      <c r="P40" s="8">
        <f t="shared" si="5"/>
        <v>-33.938943911264147</v>
      </c>
    </row>
    <row r="41" spans="1:16" x14ac:dyDescent="0.2">
      <c r="A41" s="8">
        <v>19.5</v>
      </c>
      <c r="B41" s="8">
        <v>39</v>
      </c>
      <c r="D41">
        <v>1698.3753462604</v>
      </c>
      <c r="E41">
        <v>455.82825484764999</v>
      </c>
      <c r="F41">
        <v>134.05205479451999</v>
      </c>
      <c r="G41">
        <v>115.81506849314999</v>
      </c>
      <c r="I41" s="9">
        <f t="shared" si="1"/>
        <v>340.01318635450002</v>
      </c>
      <c r="J41" s="9">
        <f t="shared" si="2"/>
        <v>1564.3232914658799</v>
      </c>
      <c r="K41" s="9">
        <f t="shared" si="3"/>
        <v>340.01318635450002</v>
      </c>
      <c r="L41" s="10">
        <f t="shared" si="0"/>
        <v>0.21735480652204825</v>
      </c>
      <c r="M41" s="10">
        <f t="shared" si="4"/>
        <v>0.23789413642997434</v>
      </c>
      <c r="P41" s="8">
        <f t="shared" si="5"/>
        <v>-33.680682496499166</v>
      </c>
    </row>
    <row r="42" spans="1:16" x14ac:dyDescent="0.2">
      <c r="A42" s="8">
        <v>20</v>
      </c>
      <c r="B42" s="8">
        <v>40</v>
      </c>
      <c r="D42">
        <v>1744.0817174515</v>
      </c>
      <c r="E42">
        <v>463.78116343490001</v>
      </c>
      <c r="F42">
        <v>134.40958904109999</v>
      </c>
      <c r="G42">
        <v>115.9301369863</v>
      </c>
      <c r="I42" s="9">
        <f t="shared" si="1"/>
        <v>347.85102644860001</v>
      </c>
      <c r="J42" s="9">
        <f t="shared" si="2"/>
        <v>1609.6721284104001</v>
      </c>
      <c r="K42" s="9">
        <f t="shared" si="3"/>
        <v>347.85102644860001</v>
      </c>
      <c r="L42" s="10">
        <f t="shared" si="0"/>
        <v>0.21610054638401016</v>
      </c>
      <c r="M42" s="10">
        <f t="shared" si="4"/>
        <v>0.23716652577675487</v>
      </c>
      <c r="P42" s="8">
        <f t="shared" si="5"/>
        <v>-33.88352331743716</v>
      </c>
    </row>
    <row r="43" spans="1:16" x14ac:dyDescent="0.2">
      <c r="A43" s="8">
        <v>20.5</v>
      </c>
      <c r="B43" s="8">
        <v>41</v>
      </c>
      <c r="D43">
        <v>1902.5274725275001</v>
      </c>
      <c r="E43">
        <v>507.4532967033</v>
      </c>
      <c r="F43">
        <v>134.27123287671</v>
      </c>
      <c r="G43">
        <v>116.66164383562</v>
      </c>
      <c r="I43" s="9">
        <f t="shared" si="1"/>
        <v>390.79165286768</v>
      </c>
      <c r="J43" s="9">
        <f t="shared" si="2"/>
        <v>1768.2562396507901</v>
      </c>
      <c r="K43" s="9">
        <f t="shared" si="3"/>
        <v>390.79165286768</v>
      </c>
      <c r="L43" s="10">
        <f t="shared" si="0"/>
        <v>0.22100397222116222</v>
      </c>
      <c r="M43" s="10">
        <f t="shared" si="4"/>
        <v>0.24259660109872555</v>
      </c>
      <c r="P43" s="8">
        <f t="shared" si="5"/>
        <v>-32.369745404496875</v>
      </c>
    </row>
    <row r="44" spans="1:16" x14ac:dyDescent="0.2">
      <c r="A44" s="8">
        <v>21</v>
      </c>
      <c r="B44" s="8">
        <v>42</v>
      </c>
      <c r="D44">
        <v>1926.0315934066</v>
      </c>
      <c r="E44">
        <v>521.33928571428999</v>
      </c>
      <c r="F44">
        <v>134.47945205479999</v>
      </c>
      <c r="G44">
        <v>116.02739726027001</v>
      </c>
      <c r="I44" s="9">
        <f t="shared" si="1"/>
        <v>405.31188845401999</v>
      </c>
      <c r="J44" s="9">
        <f t="shared" si="2"/>
        <v>1791.5521413517999</v>
      </c>
      <c r="K44" s="9">
        <f t="shared" si="3"/>
        <v>405.31188845401999</v>
      </c>
      <c r="L44" s="10">
        <f t="shared" si="0"/>
        <v>0.2262350500991813</v>
      </c>
      <c r="M44" s="10">
        <f t="shared" si="4"/>
        <v>0.24835432846156325</v>
      </c>
      <c r="P44" s="8">
        <f t="shared" si="5"/>
        <v>-30.76462577101222</v>
      </c>
    </row>
    <row r="45" spans="1:16" x14ac:dyDescent="0.2">
      <c r="A45" s="8">
        <v>21.5</v>
      </c>
      <c r="B45" s="8">
        <v>43</v>
      </c>
      <c r="D45">
        <v>1913.7211538462</v>
      </c>
      <c r="E45">
        <v>518.89285714285995</v>
      </c>
      <c r="F45">
        <v>134.62602739726</v>
      </c>
      <c r="G45">
        <v>116.2397260274</v>
      </c>
      <c r="I45" s="9">
        <f t="shared" si="1"/>
        <v>402.65313111545993</v>
      </c>
      <c r="J45" s="9">
        <f t="shared" si="2"/>
        <v>1779.0951264489399</v>
      </c>
      <c r="K45" s="9">
        <f t="shared" si="3"/>
        <v>402.65313111545993</v>
      </c>
      <c r="L45" s="10">
        <f t="shared" si="0"/>
        <v>0.22632467771363776</v>
      </c>
      <c r="M45" s="10">
        <f t="shared" si="4"/>
        <v>0.24897060556083833</v>
      </c>
      <c r="P45" s="8">
        <f t="shared" si="5"/>
        <v>-30.592822139235903</v>
      </c>
    </row>
    <row r="46" spans="1:16" x14ac:dyDescent="0.2">
      <c r="A46" s="8">
        <v>22</v>
      </c>
      <c r="B46" s="8">
        <v>44</v>
      </c>
      <c r="D46">
        <v>1905.7105263158001</v>
      </c>
      <c r="E46">
        <v>520.25484764543</v>
      </c>
      <c r="F46">
        <v>133.9</v>
      </c>
      <c r="G46">
        <v>115.91232876712</v>
      </c>
      <c r="I46" s="9">
        <f t="shared" si="1"/>
        <v>404.34251887830999</v>
      </c>
      <c r="J46" s="9">
        <f t="shared" si="2"/>
        <v>1771.8105263158</v>
      </c>
      <c r="K46" s="9">
        <f t="shared" si="3"/>
        <v>404.34251887830999</v>
      </c>
      <c r="L46" s="10">
        <f t="shared" si="0"/>
        <v>0.22820866727723779</v>
      </c>
      <c r="M46" s="10">
        <f t="shared" si="4"/>
        <v>0.25138124460925698</v>
      </c>
      <c r="P46" s="8">
        <f t="shared" si="5"/>
        <v>-29.92079239172898</v>
      </c>
    </row>
    <row r="47" spans="1:16" x14ac:dyDescent="0.2">
      <c r="A47" s="8">
        <v>22.5</v>
      </c>
      <c r="B47" s="8">
        <v>45</v>
      </c>
      <c r="D47">
        <v>1910.3563535912001</v>
      </c>
      <c r="E47">
        <v>513.07872928177005</v>
      </c>
      <c r="F47">
        <v>134.46027397259999</v>
      </c>
      <c r="G47">
        <v>115.92876712329</v>
      </c>
      <c r="I47" s="9">
        <f t="shared" si="1"/>
        <v>397.14996215848004</v>
      </c>
      <c r="J47" s="9">
        <f t="shared" si="2"/>
        <v>1775.8960796186002</v>
      </c>
      <c r="K47" s="9">
        <f t="shared" si="3"/>
        <v>397.14996215848004</v>
      </c>
      <c r="L47" s="10">
        <f t="shared" si="0"/>
        <v>0.22363355982168384</v>
      </c>
      <c r="M47" s="10">
        <f t="shared" si="4"/>
        <v>0.24733278663852165</v>
      </c>
      <c r="P47" s="8">
        <f t="shared" si="5"/>
        <v>-31.049407722858867</v>
      </c>
    </row>
    <row r="48" spans="1:16" x14ac:dyDescent="0.2">
      <c r="A48" s="8">
        <v>23</v>
      </c>
      <c r="B48" s="8">
        <v>46</v>
      </c>
      <c r="D48">
        <v>1865.682320442</v>
      </c>
      <c r="E48">
        <v>492.64364640884003</v>
      </c>
      <c r="F48">
        <v>133.62465753424999</v>
      </c>
      <c r="G48">
        <v>116.53835616438</v>
      </c>
      <c r="I48" s="9">
        <f t="shared" si="1"/>
        <v>376.10529024446004</v>
      </c>
      <c r="J48" s="9">
        <f t="shared" si="2"/>
        <v>1732.05766290775</v>
      </c>
      <c r="K48" s="9">
        <f t="shared" si="3"/>
        <v>376.10529024446004</v>
      </c>
      <c r="L48" s="10">
        <f t="shared" si="0"/>
        <v>0.21714363112661078</v>
      </c>
      <c r="M48" s="10">
        <f t="shared" si="4"/>
        <v>0.24136950742826721</v>
      </c>
      <c r="P48" s="8">
        <f t="shared" si="5"/>
        <v>-32.71183040061706</v>
      </c>
    </row>
    <row r="49" spans="1:25" x14ac:dyDescent="0.2">
      <c r="A49" s="8">
        <v>23.5</v>
      </c>
      <c r="B49" s="8">
        <v>47</v>
      </c>
      <c r="D49">
        <v>1864.6102635228999</v>
      </c>
      <c r="E49">
        <v>500.70180305131998</v>
      </c>
      <c r="F49">
        <v>134.15890410959</v>
      </c>
      <c r="G49">
        <v>115.40136986301</v>
      </c>
      <c r="I49" s="9">
        <f t="shared" si="1"/>
        <v>385.30043318830997</v>
      </c>
      <c r="J49" s="9">
        <f t="shared" si="2"/>
        <v>1730.45135941331</v>
      </c>
      <c r="K49" s="9">
        <f t="shared" si="3"/>
        <v>385.30043318830997</v>
      </c>
      <c r="L49" s="10">
        <f t="shared" si="0"/>
        <v>0.22265892138045518</v>
      </c>
      <c r="M49" s="10">
        <f t="shared" si="4"/>
        <v>0.24741144716693023</v>
      </c>
      <c r="P49" s="8">
        <f t="shared" si="5"/>
        <v>-31.027479008529014</v>
      </c>
    </row>
    <row r="50" spans="1:25" x14ac:dyDescent="0.2">
      <c r="A50" s="8">
        <v>24</v>
      </c>
      <c r="B50" s="8">
        <v>48</v>
      </c>
      <c r="D50">
        <v>1922.5795297371999</v>
      </c>
      <c r="E50">
        <v>566.54356846473001</v>
      </c>
      <c r="F50">
        <v>134.61917808218999</v>
      </c>
      <c r="G50">
        <v>116.23150684932</v>
      </c>
      <c r="I50" s="9">
        <f t="shared" si="1"/>
        <v>450.31206161541002</v>
      </c>
      <c r="J50" s="9">
        <f t="shared" si="2"/>
        <v>1787.9603516550098</v>
      </c>
      <c r="K50" s="9">
        <f t="shared" si="3"/>
        <v>450.31206161541002</v>
      </c>
      <c r="L50" s="10">
        <f t="shared" si="0"/>
        <v>0.2518579683260776</v>
      </c>
      <c r="M50" s="10">
        <f t="shared" si="4"/>
        <v>0.27713714359737124</v>
      </c>
      <c r="P50" s="8">
        <f t="shared" si="5"/>
        <v>-22.740650551269454</v>
      </c>
    </row>
    <row r="51" spans="1:25" x14ac:dyDescent="0.2">
      <c r="A51" s="8">
        <v>24.5</v>
      </c>
      <c r="B51" s="8">
        <v>49</v>
      </c>
      <c r="D51">
        <v>1943.4730290456</v>
      </c>
      <c r="E51">
        <v>609.04702627939002</v>
      </c>
      <c r="F51">
        <v>134.21506849315</v>
      </c>
      <c r="G51">
        <v>116.19863013699</v>
      </c>
      <c r="I51" s="9">
        <f t="shared" si="1"/>
        <v>492.84839614240002</v>
      </c>
      <c r="J51" s="9">
        <f t="shared" si="2"/>
        <v>1809.25796055245</v>
      </c>
      <c r="K51" s="9">
        <f t="shared" si="3"/>
        <v>492.84839614240002</v>
      </c>
      <c r="L51" s="10">
        <f t="shared" si="0"/>
        <v>0.27240360793654361</v>
      </c>
      <c r="M51" s="10">
        <f t="shared" si="4"/>
        <v>0.29820943269265587</v>
      </c>
      <c r="P51" s="8">
        <f t="shared" si="5"/>
        <v>-16.866189532567116</v>
      </c>
    </row>
    <row r="52" spans="1:25" x14ac:dyDescent="0.2">
      <c r="A52" s="8">
        <v>25</v>
      </c>
      <c r="B52" s="8">
        <v>50</v>
      </c>
      <c r="D52">
        <v>1989.0013869626</v>
      </c>
      <c r="E52">
        <v>629.44244105408995</v>
      </c>
      <c r="F52">
        <v>134.52465753425</v>
      </c>
      <c r="G52">
        <v>116.15753424658</v>
      </c>
      <c r="I52" s="9">
        <f t="shared" si="1"/>
        <v>513.28490680750997</v>
      </c>
      <c r="J52" s="9">
        <f t="shared" si="2"/>
        <v>1854.4767294283499</v>
      </c>
      <c r="K52" s="9">
        <f t="shared" si="3"/>
        <v>513.28490680750997</v>
      </c>
      <c r="L52" s="10">
        <f t="shared" si="0"/>
        <v>0.27678153015472573</v>
      </c>
      <c r="M52" s="10">
        <f t="shared" si="4"/>
        <v>0.30311400439565661</v>
      </c>
      <c r="P52" s="8">
        <f t="shared" si="5"/>
        <v>-15.498909729579049</v>
      </c>
    </row>
    <row r="53" spans="1:25" x14ac:dyDescent="0.2">
      <c r="A53" s="8">
        <v>25.5</v>
      </c>
      <c r="B53" s="8">
        <v>51</v>
      </c>
      <c r="D53">
        <v>2115.7245179063002</v>
      </c>
      <c r="E53">
        <v>666.12258953167998</v>
      </c>
      <c r="F53">
        <v>134.94383561644</v>
      </c>
      <c r="G53">
        <v>116.54520547945</v>
      </c>
      <c r="I53" s="9">
        <f t="shared" si="1"/>
        <v>549.57738405222995</v>
      </c>
      <c r="J53" s="9">
        <f t="shared" si="2"/>
        <v>1980.7806822898601</v>
      </c>
      <c r="K53" s="9">
        <f t="shared" si="3"/>
        <v>549.57738405222995</v>
      </c>
      <c r="L53" s="10">
        <f t="shared" si="0"/>
        <v>0.27745493934083454</v>
      </c>
      <c r="M53" s="10">
        <f t="shared" si="4"/>
        <v>0.30431406306658404</v>
      </c>
      <c r="P53" s="8">
        <f t="shared" si="5"/>
        <v>-15.16436145859427</v>
      </c>
      <c r="S53" s="11"/>
      <c r="U53" s="12"/>
    </row>
    <row r="54" spans="1:25" x14ac:dyDescent="0.2">
      <c r="A54" s="8">
        <v>26</v>
      </c>
      <c r="B54" s="8">
        <v>52</v>
      </c>
      <c r="D54">
        <v>2101.3581267218001</v>
      </c>
      <c r="E54">
        <v>676.84573002754996</v>
      </c>
      <c r="F54">
        <v>134.81506849314999</v>
      </c>
      <c r="G54">
        <v>116.13835616438</v>
      </c>
      <c r="I54" s="9">
        <f t="shared" si="1"/>
        <v>560.70737386317001</v>
      </c>
      <c r="J54" s="9">
        <f t="shared" si="2"/>
        <v>1966.5430582286501</v>
      </c>
      <c r="K54" s="9">
        <f t="shared" si="3"/>
        <v>560.70737386317001</v>
      </c>
      <c r="L54" s="10">
        <f t="shared" si="0"/>
        <v>0.28512336483912193</v>
      </c>
      <c r="M54" s="10">
        <f t="shared" si="4"/>
        <v>0.31250913804969005</v>
      </c>
      <c r="P54" s="8">
        <f t="shared" si="5"/>
        <v>-12.879766352865024</v>
      </c>
      <c r="S54" s="11"/>
    </row>
    <row r="55" spans="1:25" x14ac:dyDescent="0.2">
      <c r="A55" s="8">
        <v>26.5</v>
      </c>
      <c r="B55" s="8">
        <v>53</v>
      </c>
      <c r="D55">
        <v>2117.5909090908999</v>
      </c>
      <c r="E55">
        <v>686.90220385675002</v>
      </c>
      <c r="F55">
        <v>134.77123287671</v>
      </c>
      <c r="G55">
        <v>116.40958904110001</v>
      </c>
      <c r="I55" s="9">
        <f t="shared" si="1"/>
        <v>570.49261481564997</v>
      </c>
      <c r="J55" s="9">
        <f t="shared" si="2"/>
        <v>1982.8196762141899</v>
      </c>
      <c r="K55" s="9">
        <f t="shared" si="3"/>
        <v>570.49261481564997</v>
      </c>
      <c r="L55" s="10">
        <f t="shared" si="0"/>
        <v>0.28771785032156583</v>
      </c>
      <c r="M55" s="10">
        <f t="shared" si="4"/>
        <v>0.31563027301695257</v>
      </c>
      <c r="P55" s="8">
        <f t="shared" si="5"/>
        <v>-12.009666971806547</v>
      </c>
      <c r="S55" s="11"/>
    </row>
    <row r="56" spans="1:25" x14ac:dyDescent="0.2">
      <c r="A56" s="8">
        <v>27</v>
      </c>
      <c r="B56" s="8">
        <v>54</v>
      </c>
      <c r="D56">
        <v>2145.7136929460999</v>
      </c>
      <c r="E56">
        <v>700.67081604426005</v>
      </c>
      <c r="F56">
        <v>134.39863013698999</v>
      </c>
      <c r="G56">
        <v>116.52191780822</v>
      </c>
      <c r="I56" s="9">
        <f t="shared" si="1"/>
        <v>584.14889823604005</v>
      </c>
      <c r="J56" s="9">
        <f t="shared" si="2"/>
        <v>2011.3150628091098</v>
      </c>
      <c r="K56" s="9">
        <f t="shared" si="3"/>
        <v>584.14889823604005</v>
      </c>
      <c r="L56" s="10">
        <f t="shared" si="0"/>
        <v>0.29043132477722639</v>
      </c>
      <c r="M56" s="10">
        <f t="shared" si="4"/>
        <v>0.31887039695743175</v>
      </c>
      <c r="P56" s="8">
        <f t="shared" si="5"/>
        <v>-11.106396249862609</v>
      </c>
      <c r="S56" s="11"/>
    </row>
    <row r="57" spans="1:25" x14ac:dyDescent="0.2">
      <c r="A57" s="8">
        <v>27.5</v>
      </c>
      <c r="B57" s="8">
        <v>55</v>
      </c>
      <c r="D57">
        <v>2231.4787379973</v>
      </c>
      <c r="E57">
        <v>719.90946502058</v>
      </c>
      <c r="F57">
        <v>134.67945205480001</v>
      </c>
      <c r="G57">
        <v>116.30410958904</v>
      </c>
      <c r="I57" s="9">
        <f t="shared" si="1"/>
        <v>603.60535543154003</v>
      </c>
      <c r="J57" s="9">
        <f t="shared" si="2"/>
        <v>2096.7992859424999</v>
      </c>
      <c r="K57" s="9">
        <f t="shared" si="3"/>
        <v>603.60535543154003</v>
      </c>
      <c r="L57" s="10">
        <f t="shared" si="0"/>
        <v>0.28786987838000083</v>
      </c>
      <c r="M57" s="10">
        <f t="shared" si="4"/>
        <v>0.31683560004502481</v>
      </c>
      <c r="P57" s="8">
        <f t="shared" si="5"/>
        <v>-11.673650006151725</v>
      </c>
      <c r="S57" s="11"/>
    </row>
    <row r="58" spans="1:25" x14ac:dyDescent="0.2">
      <c r="A58" s="8">
        <v>28</v>
      </c>
      <c r="B58" s="8">
        <v>56</v>
      </c>
      <c r="D58">
        <v>2213.0836762689</v>
      </c>
      <c r="E58">
        <v>721.44718792867002</v>
      </c>
      <c r="F58">
        <v>134.52054794521001</v>
      </c>
      <c r="G58">
        <v>116.35342465753</v>
      </c>
      <c r="I58" s="9">
        <f t="shared" si="1"/>
        <v>605.09376327114001</v>
      </c>
      <c r="J58" s="9">
        <f t="shared" si="2"/>
        <v>2078.5631283236899</v>
      </c>
      <c r="K58" s="9">
        <f t="shared" si="3"/>
        <v>605.09376327114001</v>
      </c>
      <c r="L58" s="10">
        <f t="shared" si="0"/>
        <v>0.29111156405393052</v>
      </c>
      <c r="M58" s="10">
        <f t="shared" si="4"/>
        <v>0.32060393520377312</v>
      </c>
      <c r="P58" s="8">
        <f t="shared" si="5"/>
        <v>-10.623126358940279</v>
      </c>
      <c r="S58" s="11"/>
    </row>
    <row r="59" spans="1:25" x14ac:dyDescent="0.2">
      <c r="A59" s="8">
        <v>28.5</v>
      </c>
      <c r="B59" s="8">
        <v>57</v>
      </c>
      <c r="D59">
        <v>2131.7475994513002</v>
      </c>
      <c r="E59">
        <v>704.04115226337001</v>
      </c>
      <c r="F59">
        <v>134.8301369863</v>
      </c>
      <c r="G59">
        <v>116.6602739726</v>
      </c>
      <c r="I59" s="9">
        <f t="shared" si="1"/>
        <v>587.38087829077006</v>
      </c>
      <c r="J59" s="9">
        <f t="shared" si="2"/>
        <v>1996.9174624650002</v>
      </c>
      <c r="K59" s="9">
        <f t="shared" si="3"/>
        <v>587.38087829077006</v>
      </c>
      <c r="L59" s="10">
        <f t="shared" si="0"/>
        <v>0.29414379378790423</v>
      </c>
      <c r="M59" s="10">
        <f t="shared" si="4"/>
        <v>0.32416281442256545</v>
      </c>
      <c r="P59" s="8">
        <f t="shared" si="5"/>
        <v>-9.6309941256299609</v>
      </c>
      <c r="R59" s="1"/>
      <c r="S59" s="11"/>
    </row>
    <row r="60" spans="1:25" x14ac:dyDescent="0.2">
      <c r="A60" s="8">
        <v>29</v>
      </c>
      <c r="B60" s="8">
        <v>58</v>
      </c>
      <c r="D60">
        <v>2181.5185185185001</v>
      </c>
      <c r="E60">
        <v>712.0438957476</v>
      </c>
      <c r="F60">
        <v>135.11232876712</v>
      </c>
      <c r="G60">
        <v>116.37534246574999</v>
      </c>
      <c r="I60" s="9">
        <f t="shared" si="1"/>
        <v>595.66855328185</v>
      </c>
      <c r="J60" s="9">
        <f t="shared" si="2"/>
        <v>2046.40618975138</v>
      </c>
      <c r="K60" s="9">
        <f t="shared" si="3"/>
        <v>595.66855328185</v>
      </c>
      <c r="L60" s="10">
        <f t="shared" si="0"/>
        <v>0.29108031253278138</v>
      </c>
      <c r="M60" s="10">
        <f t="shared" si="4"/>
        <v>0.32162598265226122</v>
      </c>
      <c r="P60" s="8">
        <f t="shared" si="5"/>
        <v>-10.338203450552928</v>
      </c>
      <c r="S60" s="11"/>
    </row>
    <row r="61" spans="1:25" x14ac:dyDescent="0.2">
      <c r="A61" s="8">
        <v>29.5</v>
      </c>
      <c r="B61" s="8">
        <v>59</v>
      </c>
      <c r="C61" s="2"/>
      <c r="D61">
        <v>2141.4623955431998</v>
      </c>
      <c r="E61">
        <v>702.16295264624</v>
      </c>
      <c r="F61">
        <v>134.67808219177999</v>
      </c>
      <c r="G61">
        <v>116.55890410959</v>
      </c>
      <c r="I61" s="9">
        <f t="shared" si="1"/>
        <v>585.60404853665</v>
      </c>
      <c r="J61" s="9">
        <f t="shared" si="2"/>
        <v>2006.7843133514198</v>
      </c>
      <c r="K61" s="9">
        <f t="shared" si="3"/>
        <v>585.60404853665</v>
      </c>
      <c r="L61" s="10">
        <f t="shared" si="0"/>
        <v>0.29181215172978153</v>
      </c>
      <c r="M61" s="10">
        <f t="shared" si="4"/>
        <v>0.32288447133407999</v>
      </c>
      <c r="P61" s="8">
        <f t="shared" si="5"/>
        <v>-9.9873662600420605</v>
      </c>
      <c r="S61" s="11"/>
    </row>
    <row r="62" spans="1:25" x14ac:dyDescent="0.2">
      <c r="A62" s="8">
        <v>30</v>
      </c>
      <c r="B62" s="8">
        <v>60</v>
      </c>
      <c r="D62">
        <v>1940.3008356546</v>
      </c>
      <c r="E62">
        <v>616.31754874651995</v>
      </c>
      <c r="F62">
        <v>134.97534246575</v>
      </c>
      <c r="G62">
        <v>116.42054794521</v>
      </c>
      <c r="I62" s="9">
        <f t="shared" si="1"/>
        <v>499.89700080130996</v>
      </c>
      <c r="J62" s="9">
        <f t="shared" si="2"/>
        <v>1805.32549318885</v>
      </c>
      <c r="K62" s="9">
        <f t="shared" si="3"/>
        <v>499.89700080130996</v>
      </c>
      <c r="L62" s="10">
        <f t="shared" si="0"/>
        <v>0.27690131374498744</v>
      </c>
      <c r="M62" s="10">
        <f t="shared" si="4"/>
        <v>0.30850028283410452</v>
      </c>
      <c r="P62" s="8">
        <f t="shared" si="5"/>
        <v>-13.997341362731822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1905.4580467675</v>
      </c>
      <c r="E63">
        <v>633.22971114168001</v>
      </c>
      <c r="F63">
        <v>134.36986301370001</v>
      </c>
      <c r="G63">
        <v>116.29589041096</v>
      </c>
      <c r="I63" s="9">
        <f t="shared" si="1"/>
        <v>516.93382073072007</v>
      </c>
      <c r="J63" s="9">
        <f t="shared" si="2"/>
        <v>1771.0881837538</v>
      </c>
      <c r="K63" s="9">
        <f t="shared" si="3"/>
        <v>516.93382073072007</v>
      </c>
      <c r="L63" s="10">
        <f t="shared" si="0"/>
        <v>0.29187356421467681</v>
      </c>
      <c r="M63" s="10">
        <f t="shared" si="4"/>
        <v>0.32399918278861251</v>
      </c>
      <c r="P63" s="8">
        <f t="shared" si="5"/>
        <v>-9.6766107955008334</v>
      </c>
    </row>
    <row r="64" spans="1:25" x14ac:dyDescent="0.2">
      <c r="A64" s="8">
        <v>31</v>
      </c>
      <c r="B64" s="8">
        <v>62</v>
      </c>
      <c r="D64">
        <v>1923.7303988996</v>
      </c>
      <c r="E64">
        <v>677.51719394772999</v>
      </c>
      <c r="F64">
        <v>134.90821917808</v>
      </c>
      <c r="G64">
        <v>116.1904109589</v>
      </c>
      <c r="I64" s="9">
        <f t="shared" si="1"/>
        <v>561.32678298883002</v>
      </c>
      <c r="J64" s="9">
        <f t="shared" si="2"/>
        <v>1788.8221797215201</v>
      </c>
      <c r="K64" s="9">
        <f t="shared" si="3"/>
        <v>561.32678298883002</v>
      </c>
      <c r="L64" s="10">
        <f t="shared" si="0"/>
        <v>0.31379685994066564</v>
      </c>
      <c r="M64" s="10">
        <f t="shared" si="4"/>
        <v>0.34644912799941996</v>
      </c>
      <c r="P64" s="8">
        <f t="shared" si="5"/>
        <v>-3.4180914947950143</v>
      </c>
      <c r="U64" s="8">
        <v>30.5</v>
      </c>
      <c r="V64" s="10">
        <f>L62</f>
        <v>0.27690131374498744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1977.5349794239</v>
      </c>
      <c r="E65">
        <v>684.88614540466006</v>
      </c>
      <c r="F65">
        <v>134.93287671233</v>
      </c>
      <c r="G65">
        <v>116.60684931506999</v>
      </c>
      <c r="I65" s="9">
        <f t="shared" si="1"/>
        <v>568.27929608959005</v>
      </c>
      <c r="J65" s="9">
        <f t="shared" si="2"/>
        <v>1842.6021027115701</v>
      </c>
      <c r="K65" s="9">
        <f t="shared" si="3"/>
        <v>568.27929608959005</v>
      </c>
      <c r="L65" s="10">
        <f t="shared" si="0"/>
        <v>0.30841129251579125</v>
      </c>
      <c r="M65" s="10">
        <f t="shared" si="4"/>
        <v>0.34159021005936419</v>
      </c>
      <c r="P65" s="8">
        <f t="shared" si="5"/>
        <v>-4.7726440971659789</v>
      </c>
      <c r="U65" s="8">
        <v>31</v>
      </c>
      <c r="V65" s="10">
        <f t="shared" ref="V65:V83" si="6">L63</f>
        <v>0.29187356421467681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1958.2085048010999</v>
      </c>
      <c r="E66">
        <v>698.65020576131997</v>
      </c>
      <c r="F66">
        <v>134.22876712329</v>
      </c>
      <c r="G66">
        <v>116.5602739726</v>
      </c>
      <c r="I66" s="9">
        <f t="shared" si="1"/>
        <v>582.08993178871992</v>
      </c>
      <c r="J66" s="9">
        <f t="shared" si="2"/>
        <v>1823.9797376778099</v>
      </c>
      <c r="K66" s="9">
        <f t="shared" si="3"/>
        <v>582.08993178871992</v>
      </c>
      <c r="L66" s="10">
        <f t="shared" ref="L66:L129" si="7">K66/J66</f>
        <v>0.31913179722588619</v>
      </c>
      <c r="M66" s="10">
        <f t="shared" si="4"/>
        <v>0.35283736425427775</v>
      </c>
      <c r="P66" s="8">
        <f t="shared" si="5"/>
        <v>-1.6372007388011305</v>
      </c>
      <c r="U66" s="8">
        <v>31.5</v>
      </c>
      <c r="V66" s="10">
        <f t="shared" si="6"/>
        <v>0.31379685994066564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1989.5665294925</v>
      </c>
      <c r="E67">
        <v>705.64197530863999</v>
      </c>
      <c r="F67">
        <v>134.32876712328999</v>
      </c>
      <c r="G67">
        <v>116.49178082192</v>
      </c>
      <c r="I67" s="9">
        <f t="shared" ref="I67:I130" si="8">E67-G67</f>
        <v>589.15019448672001</v>
      </c>
      <c r="J67" s="9">
        <f t="shared" ref="J67:J130" si="9">D67-F67</f>
        <v>1855.23776236921</v>
      </c>
      <c r="K67" s="9">
        <f t="shared" ref="K67:K130" si="10">I67*1</f>
        <v>589.15019448672001</v>
      </c>
      <c r="L67" s="10">
        <f t="shared" si="7"/>
        <v>0.31756048008334659</v>
      </c>
      <c r="M67" s="10">
        <f t="shared" ref="M67:M130" si="11">L67+ABS($N$2)*A67</f>
        <v>0.35179269659655676</v>
      </c>
      <c r="P67" s="8">
        <f t="shared" ref="P67:P130" si="12">(M67-$O$2)/$O$2*100</f>
        <v>-1.9284296321136405</v>
      </c>
      <c r="U67" s="8">
        <v>32</v>
      </c>
      <c r="V67" s="10">
        <f t="shared" si="6"/>
        <v>0.30841129251579125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1977.4869684498999</v>
      </c>
      <c r="E68">
        <v>715.61728395062005</v>
      </c>
      <c r="F68">
        <v>134.72602739726</v>
      </c>
      <c r="G68">
        <v>116.60684931506999</v>
      </c>
      <c r="I68" s="9">
        <f t="shared" si="8"/>
        <v>599.01043463555004</v>
      </c>
      <c r="J68" s="9">
        <f t="shared" si="9"/>
        <v>1842.76094105264</v>
      </c>
      <c r="K68" s="9">
        <f t="shared" si="10"/>
        <v>599.01043463555004</v>
      </c>
      <c r="L68" s="10">
        <f t="shared" si="7"/>
        <v>0.3250613909221331</v>
      </c>
      <c r="M68" s="10">
        <f t="shared" si="11"/>
        <v>0.3598202569201619</v>
      </c>
      <c r="P68" s="8">
        <f t="shared" si="12"/>
        <v>0.30946630710125822</v>
      </c>
      <c r="U68" s="8">
        <v>32.5</v>
      </c>
      <c r="V68" s="10">
        <f t="shared" si="6"/>
        <v>0.31913179722588619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1960.5761316871999</v>
      </c>
      <c r="E69">
        <v>713.12620027435003</v>
      </c>
      <c r="F69">
        <v>135.57260273973</v>
      </c>
      <c r="G69">
        <v>116.32328767123001</v>
      </c>
      <c r="I69" s="9">
        <f t="shared" si="8"/>
        <v>596.80291260312003</v>
      </c>
      <c r="J69" s="9">
        <f t="shared" si="9"/>
        <v>1825.0035289474699</v>
      </c>
      <c r="K69" s="9">
        <f t="shared" si="10"/>
        <v>596.80291260312003</v>
      </c>
      <c r="L69" s="10">
        <f t="shared" si="7"/>
        <v>0.32701466223866033</v>
      </c>
      <c r="M69" s="10">
        <f t="shared" si="11"/>
        <v>0.36230017772150774</v>
      </c>
      <c r="P69" s="8">
        <f t="shared" si="12"/>
        <v>1.0008101858370138</v>
      </c>
      <c r="U69" s="8">
        <v>33</v>
      </c>
      <c r="V69" s="10">
        <f t="shared" si="6"/>
        <v>0.31756048008334659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1947.0809327846</v>
      </c>
      <c r="E70">
        <v>713.86282578875</v>
      </c>
      <c r="F70">
        <v>135.07808219178</v>
      </c>
      <c r="G70">
        <v>116.31917808219001</v>
      </c>
      <c r="I70" s="9">
        <f t="shared" si="8"/>
        <v>597.54364770656002</v>
      </c>
      <c r="J70" s="9">
        <f t="shared" si="9"/>
        <v>1812.0028505928201</v>
      </c>
      <c r="K70" s="9">
        <f t="shared" si="10"/>
        <v>597.54364770656002</v>
      </c>
      <c r="L70" s="10">
        <f t="shared" si="7"/>
        <v>0.32976970621821367</v>
      </c>
      <c r="M70" s="10">
        <f t="shared" si="11"/>
        <v>0.3655818711858797</v>
      </c>
      <c r="P70" s="8">
        <f t="shared" si="12"/>
        <v>1.9156695181388472</v>
      </c>
      <c r="U70" s="8">
        <v>33.5</v>
      </c>
      <c r="V70" s="10">
        <f t="shared" si="6"/>
        <v>0.3250613909221331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1918.0356652948999</v>
      </c>
      <c r="E71">
        <v>698.76543209877002</v>
      </c>
      <c r="F71">
        <v>135.22602739726</v>
      </c>
      <c r="G71">
        <v>116.2397260274</v>
      </c>
      <c r="I71" s="9">
        <f t="shared" si="8"/>
        <v>582.52570607137</v>
      </c>
      <c r="J71" s="9">
        <f t="shared" si="9"/>
        <v>1782.80963789764</v>
      </c>
      <c r="K71" s="9">
        <f t="shared" si="10"/>
        <v>582.52570607137</v>
      </c>
      <c r="L71" s="10">
        <f t="shared" si="7"/>
        <v>0.32674588115773678</v>
      </c>
      <c r="M71" s="10">
        <f t="shared" si="11"/>
        <v>0.36308469561022144</v>
      </c>
      <c r="P71" s="8">
        <f t="shared" si="12"/>
        <v>1.219515412159794</v>
      </c>
      <c r="U71" s="8">
        <v>34</v>
      </c>
      <c r="V71" s="10">
        <f t="shared" si="6"/>
        <v>0.32701466223866033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1960.4331034483</v>
      </c>
      <c r="E72">
        <v>722.21793103447999</v>
      </c>
      <c r="F72">
        <v>135.55205479451999</v>
      </c>
      <c r="G72">
        <v>116.27397260274</v>
      </c>
      <c r="I72" s="9">
        <f t="shared" si="8"/>
        <v>605.94395843173993</v>
      </c>
      <c r="J72" s="9">
        <f t="shared" si="9"/>
        <v>1824.88104865378</v>
      </c>
      <c r="K72" s="9">
        <f t="shared" si="10"/>
        <v>605.94395843173993</v>
      </c>
      <c r="L72" s="10">
        <f t="shared" si="7"/>
        <v>0.3320457291606741</v>
      </c>
      <c r="M72" s="10">
        <f t="shared" si="11"/>
        <v>0.36891119309797737</v>
      </c>
      <c r="P72" s="8">
        <f t="shared" si="12"/>
        <v>2.8438065469586449</v>
      </c>
      <c r="U72" s="8">
        <v>34.5</v>
      </c>
      <c r="V72" s="10">
        <f t="shared" si="6"/>
        <v>0.32976970621821367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1930.0344827586</v>
      </c>
      <c r="E73">
        <v>710.36827586207005</v>
      </c>
      <c r="F73">
        <v>134.93150684931999</v>
      </c>
      <c r="G73">
        <v>116.23835616437999</v>
      </c>
      <c r="I73" s="9">
        <f t="shared" si="8"/>
        <v>594.12991969769007</v>
      </c>
      <c r="J73" s="9">
        <f t="shared" si="9"/>
        <v>1795.1029759092801</v>
      </c>
      <c r="K73" s="9">
        <f t="shared" si="10"/>
        <v>594.12991969769007</v>
      </c>
      <c r="L73" s="10">
        <f t="shared" si="7"/>
        <v>0.33097261141620204</v>
      </c>
      <c r="M73" s="10">
        <f t="shared" si="11"/>
        <v>0.36836472483832394</v>
      </c>
      <c r="P73" s="8">
        <f t="shared" si="12"/>
        <v>2.6914639858455032</v>
      </c>
      <c r="U73" s="8">
        <v>35</v>
      </c>
      <c r="V73" s="10">
        <f t="shared" si="6"/>
        <v>0.32674588115773678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1935.9544827586001</v>
      </c>
      <c r="E74">
        <v>702.60137931035001</v>
      </c>
      <c r="F74">
        <v>134.89589041095999</v>
      </c>
      <c r="G74">
        <v>116.45479452055</v>
      </c>
      <c r="I74" s="9">
        <f t="shared" si="8"/>
        <v>586.14658478980004</v>
      </c>
      <c r="J74" s="9">
        <f t="shared" si="9"/>
        <v>1801.0585923476401</v>
      </c>
      <c r="K74" s="9">
        <f t="shared" si="10"/>
        <v>586.14658478980004</v>
      </c>
      <c r="L74" s="10">
        <f t="shared" si="7"/>
        <v>0.32544559476311702</v>
      </c>
      <c r="M74" s="10">
        <f t="shared" si="11"/>
        <v>0.36336435767005754</v>
      </c>
      <c r="P74" s="8">
        <f t="shared" si="12"/>
        <v>1.2974786491621169</v>
      </c>
      <c r="U74" s="8">
        <v>35.5</v>
      </c>
      <c r="V74" s="10">
        <f t="shared" si="6"/>
        <v>0.3320457291606741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1952.9020689654999</v>
      </c>
      <c r="E75">
        <v>708.77517241378996</v>
      </c>
      <c r="F75">
        <v>135.36438356164001</v>
      </c>
      <c r="G75">
        <v>116.28904109589</v>
      </c>
      <c r="I75" s="9">
        <f t="shared" si="8"/>
        <v>592.4861313179</v>
      </c>
      <c r="J75" s="9">
        <f t="shared" si="9"/>
        <v>1817.53768540386</v>
      </c>
      <c r="K75" s="9">
        <f t="shared" si="10"/>
        <v>592.4861313179</v>
      </c>
      <c r="L75" s="10">
        <f t="shared" si="7"/>
        <v>0.3259828591593954</v>
      </c>
      <c r="M75" s="10">
        <f t="shared" si="11"/>
        <v>0.36442827155115454</v>
      </c>
      <c r="P75" s="8">
        <f t="shared" si="12"/>
        <v>1.5940729391084898</v>
      </c>
      <c r="U75" s="8">
        <v>36</v>
      </c>
      <c r="V75" s="10">
        <f t="shared" si="6"/>
        <v>0.33097261141620204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1835.7668965517</v>
      </c>
      <c r="E76">
        <v>676.48965517241004</v>
      </c>
      <c r="F76">
        <v>135.7095890411</v>
      </c>
      <c r="G76">
        <v>116.19178082192001</v>
      </c>
      <c r="I76" s="9">
        <f t="shared" si="8"/>
        <v>560.29787435049002</v>
      </c>
      <c r="J76" s="9">
        <f t="shared" si="9"/>
        <v>1700.0573075105999</v>
      </c>
      <c r="K76" s="9">
        <f t="shared" si="10"/>
        <v>560.29787435049002</v>
      </c>
      <c r="L76" s="10">
        <f t="shared" si="7"/>
        <v>0.32957587481032402</v>
      </c>
      <c r="M76" s="10">
        <f t="shared" si="11"/>
        <v>0.36854793668690178</v>
      </c>
      <c r="P76" s="8">
        <f t="shared" si="12"/>
        <v>2.7425391612936099</v>
      </c>
      <c r="U76" s="8">
        <v>36.5</v>
      </c>
      <c r="V76" s="10">
        <f t="shared" si="6"/>
        <v>0.32544559476311702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1892.7651098900999</v>
      </c>
      <c r="E77">
        <v>682.32005494505995</v>
      </c>
      <c r="F77">
        <v>135.29863013699</v>
      </c>
      <c r="G77">
        <v>116.44657534247</v>
      </c>
      <c r="I77" s="9">
        <f t="shared" si="8"/>
        <v>565.8734796025899</v>
      </c>
      <c r="J77" s="9">
        <f t="shared" si="9"/>
        <v>1757.46647975311</v>
      </c>
      <c r="K77" s="9">
        <f t="shared" si="10"/>
        <v>565.8734796025899</v>
      </c>
      <c r="L77" s="10">
        <f t="shared" si="7"/>
        <v>0.32198251637896624</v>
      </c>
      <c r="M77" s="10">
        <f t="shared" si="11"/>
        <v>0.36148122774036262</v>
      </c>
      <c r="P77" s="8">
        <f t="shared" si="12"/>
        <v>0.77250609800155523</v>
      </c>
      <c r="U77" s="8">
        <v>37</v>
      </c>
      <c r="V77" s="10">
        <f t="shared" si="6"/>
        <v>0.3259828591593954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1878.9903846154</v>
      </c>
      <c r="E78">
        <v>683.94093406593004</v>
      </c>
      <c r="F78">
        <v>134.10273972602999</v>
      </c>
      <c r="G78">
        <v>116.36164383562</v>
      </c>
      <c r="I78" s="9">
        <f t="shared" si="8"/>
        <v>567.57929023030999</v>
      </c>
      <c r="J78" s="9">
        <f t="shared" si="9"/>
        <v>1744.88764488937</v>
      </c>
      <c r="K78" s="9">
        <f t="shared" si="10"/>
        <v>567.57929023030999</v>
      </c>
      <c r="L78" s="10">
        <f t="shared" si="7"/>
        <v>0.32528128208867907</v>
      </c>
      <c r="M78" s="10">
        <f t="shared" si="11"/>
        <v>0.36530664293489401</v>
      </c>
      <c r="P78" s="8">
        <f t="shared" si="12"/>
        <v>1.8389423232740583</v>
      </c>
      <c r="U78" s="8">
        <v>37.5</v>
      </c>
      <c r="V78" s="10">
        <f t="shared" si="6"/>
        <v>0.32957587481032402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1873.5508241758</v>
      </c>
      <c r="E79">
        <v>692.46153846154004</v>
      </c>
      <c r="F79">
        <v>134.90136986300999</v>
      </c>
      <c r="G79">
        <v>116.33287671233001</v>
      </c>
      <c r="I79" s="9">
        <f t="shared" si="8"/>
        <v>576.1286617492101</v>
      </c>
      <c r="J79" s="9">
        <f t="shared" si="9"/>
        <v>1738.6494543127901</v>
      </c>
      <c r="K79" s="9">
        <f t="shared" si="10"/>
        <v>576.1286617492101</v>
      </c>
      <c r="L79" s="10">
        <f t="shared" si="7"/>
        <v>0.33136562423213012</v>
      </c>
      <c r="M79" s="10">
        <f t="shared" si="11"/>
        <v>0.37191763456316373</v>
      </c>
      <c r="P79" s="8">
        <f t="shared" si="12"/>
        <v>3.6819320639533646</v>
      </c>
      <c r="U79" s="8">
        <v>38</v>
      </c>
      <c r="V79" s="10">
        <f t="shared" si="6"/>
        <v>0.32198251637896624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1945.3626373626</v>
      </c>
      <c r="E80">
        <v>728.03846153845996</v>
      </c>
      <c r="F80">
        <v>134.92876712328999</v>
      </c>
      <c r="G80">
        <v>116.2904109589</v>
      </c>
      <c r="I80" s="9">
        <f t="shared" si="8"/>
        <v>611.74805057955996</v>
      </c>
      <c r="J80" s="9">
        <f t="shared" si="9"/>
        <v>1810.43387023931</v>
      </c>
      <c r="K80" s="9">
        <f t="shared" si="10"/>
        <v>611.74805057955996</v>
      </c>
      <c r="L80" s="10">
        <f t="shared" si="7"/>
        <v>0.33790135096108026</v>
      </c>
      <c r="M80" s="10">
        <f t="shared" si="11"/>
        <v>0.37898001077693244</v>
      </c>
      <c r="P80" s="8">
        <f t="shared" si="12"/>
        <v>5.6507572627533653</v>
      </c>
      <c r="U80" s="8">
        <v>38.5</v>
      </c>
      <c r="V80" s="10">
        <f t="shared" si="6"/>
        <v>0.32528128208867907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1934.7898351648</v>
      </c>
      <c r="E81">
        <v>737.59752747253003</v>
      </c>
      <c r="F81">
        <v>135.21369863013999</v>
      </c>
      <c r="G81">
        <v>116.13150684932</v>
      </c>
      <c r="I81" s="9">
        <f t="shared" si="8"/>
        <v>621.46602062321006</v>
      </c>
      <c r="J81" s="9">
        <f t="shared" si="9"/>
        <v>1799.57613653466</v>
      </c>
      <c r="K81" s="9">
        <f t="shared" si="10"/>
        <v>621.46602062321006</v>
      </c>
      <c r="L81" s="10">
        <f t="shared" si="7"/>
        <v>0.34534022095888167</v>
      </c>
      <c r="M81" s="10">
        <f t="shared" si="11"/>
        <v>0.38694553025955247</v>
      </c>
      <c r="P81" s="8">
        <f t="shared" si="12"/>
        <v>7.8713576675207966</v>
      </c>
      <c r="U81" s="8">
        <v>39</v>
      </c>
      <c r="V81" s="10">
        <f t="shared" si="6"/>
        <v>0.33136562423213012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2010.1057692308</v>
      </c>
      <c r="E82">
        <v>757.75274725275005</v>
      </c>
      <c r="F82">
        <v>134.88904109589001</v>
      </c>
      <c r="G82">
        <v>116.22876712329</v>
      </c>
      <c r="H82" s="13"/>
      <c r="I82" s="14">
        <f t="shared" si="8"/>
        <v>641.52398012946003</v>
      </c>
      <c r="J82" s="14">
        <f t="shared" si="9"/>
        <v>1875.21672813491</v>
      </c>
      <c r="K82" s="9">
        <f t="shared" si="10"/>
        <v>641.52398012946003</v>
      </c>
      <c r="L82" s="15">
        <f t="shared" si="7"/>
        <v>0.34210657920459125</v>
      </c>
      <c r="M82" s="15">
        <f t="shared" si="11"/>
        <v>0.38423853799008068</v>
      </c>
      <c r="N82" s="13"/>
      <c r="O82" s="13"/>
      <c r="P82" s="13">
        <f t="shared" si="12"/>
        <v>7.1167115779082986</v>
      </c>
      <c r="U82" s="8">
        <v>39.5</v>
      </c>
      <c r="V82" s="10">
        <f t="shared" si="6"/>
        <v>0.33790135096108026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1925.3832417582</v>
      </c>
      <c r="E83">
        <v>729.06043956044005</v>
      </c>
      <c r="F83">
        <v>134.80273972603001</v>
      </c>
      <c r="G83">
        <v>116.03561643835999</v>
      </c>
      <c r="I83" s="9">
        <f t="shared" si="8"/>
        <v>613.02482312208008</v>
      </c>
      <c r="J83" s="9">
        <f t="shared" si="9"/>
        <v>1790.58050203217</v>
      </c>
      <c r="K83" s="9">
        <f t="shared" si="10"/>
        <v>613.02482312208008</v>
      </c>
      <c r="L83" s="10">
        <f t="shared" si="7"/>
        <v>0.34236093960944197</v>
      </c>
      <c r="M83" s="10">
        <f t="shared" si="11"/>
        <v>0.38501954787975001</v>
      </c>
      <c r="P83" s="8">
        <f t="shared" si="12"/>
        <v>7.3344388561995881</v>
      </c>
      <c r="U83" s="8">
        <v>40</v>
      </c>
      <c r="V83" s="10">
        <f t="shared" si="6"/>
        <v>0.34534022095888167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1886.3956043956</v>
      </c>
      <c r="E84">
        <v>721.43543956044005</v>
      </c>
      <c r="F84">
        <v>134.84383561644</v>
      </c>
      <c r="G84">
        <v>116.34109589041</v>
      </c>
      <c r="I84" s="9">
        <f t="shared" si="8"/>
        <v>605.09434367003007</v>
      </c>
      <c r="J84" s="9">
        <f t="shared" si="9"/>
        <v>1751.5517687791601</v>
      </c>
      <c r="K84" s="9">
        <f t="shared" si="10"/>
        <v>605.09434367003007</v>
      </c>
      <c r="L84" s="10">
        <f t="shared" si="7"/>
        <v>0.34546186670336537</v>
      </c>
      <c r="M84" s="10">
        <f t="shared" si="11"/>
        <v>0.38864712445849203</v>
      </c>
      <c r="P84" s="8">
        <f t="shared" si="12"/>
        <v>8.3457223056538847</v>
      </c>
      <c r="U84" s="8">
        <v>150.5</v>
      </c>
      <c r="V84" s="10">
        <f>L302</f>
        <v>0.20763790016475042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1846.0137362636999</v>
      </c>
      <c r="E85">
        <v>721.21840659341001</v>
      </c>
      <c r="F85">
        <v>135.61917808218999</v>
      </c>
      <c r="G85">
        <v>116.01780821918</v>
      </c>
      <c r="I85" s="9">
        <f t="shared" si="8"/>
        <v>605.20059837423003</v>
      </c>
      <c r="J85" s="9">
        <f t="shared" si="9"/>
        <v>1710.3945581815099</v>
      </c>
      <c r="K85" s="9">
        <f t="shared" si="10"/>
        <v>605.20059837423003</v>
      </c>
      <c r="L85" s="10">
        <f t="shared" si="7"/>
        <v>0.35383683576360231</v>
      </c>
      <c r="M85" s="10">
        <f t="shared" si="11"/>
        <v>0.39754874300354759</v>
      </c>
      <c r="P85" s="8">
        <f t="shared" si="12"/>
        <v>10.827285220334479</v>
      </c>
      <c r="U85" s="8">
        <v>151</v>
      </c>
      <c r="V85" s="10">
        <f t="shared" ref="V85:V103" si="13">L303</f>
        <v>0.20506961453911338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1987.3090659341001</v>
      </c>
      <c r="E86">
        <v>758.82417582417997</v>
      </c>
      <c r="F86">
        <v>134.86575342466</v>
      </c>
      <c r="G86">
        <v>116.20684931507</v>
      </c>
      <c r="I86" s="9">
        <f t="shared" si="8"/>
        <v>642.61732650910994</v>
      </c>
      <c r="J86" s="9">
        <f t="shared" si="9"/>
        <v>1852.4433125094401</v>
      </c>
      <c r="K86" s="9">
        <f t="shared" si="10"/>
        <v>642.61732650910994</v>
      </c>
      <c r="L86" s="10">
        <f t="shared" si="7"/>
        <v>0.34690255953828825</v>
      </c>
      <c r="M86" s="10">
        <f t="shared" si="11"/>
        <v>0.39114111626305215</v>
      </c>
      <c r="P86" s="8">
        <f t="shared" si="12"/>
        <v>9.0409888507645384</v>
      </c>
      <c r="U86" s="8">
        <v>151.5</v>
      </c>
      <c r="V86" s="10">
        <f t="shared" si="13"/>
        <v>0.20565127207780828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1966.407967033</v>
      </c>
      <c r="E87">
        <v>728.98489010988999</v>
      </c>
      <c r="F87">
        <v>135.59589041096001</v>
      </c>
      <c r="G87">
        <v>116.27671232877</v>
      </c>
      <c r="I87" s="9">
        <f t="shared" si="8"/>
        <v>612.70817778111996</v>
      </c>
      <c r="J87" s="9">
        <f t="shared" si="9"/>
        <v>1830.81207662204</v>
      </c>
      <c r="K87" s="9">
        <f t="shared" si="10"/>
        <v>612.70817778111996</v>
      </c>
      <c r="L87" s="10">
        <f t="shared" si="7"/>
        <v>0.33466470185820707</v>
      </c>
      <c r="M87" s="10">
        <f t="shared" si="11"/>
        <v>0.37942990806778959</v>
      </c>
      <c r="P87" s="8">
        <f t="shared" si="12"/>
        <v>5.7761780979369304</v>
      </c>
      <c r="U87" s="8">
        <v>152</v>
      </c>
      <c r="V87" s="10">
        <f t="shared" si="13"/>
        <v>0.2116402202871307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1903.9684065934</v>
      </c>
      <c r="E88">
        <v>723.61401098901001</v>
      </c>
      <c r="F88">
        <v>134.72739726027001</v>
      </c>
      <c r="G88">
        <v>115.82465753424999</v>
      </c>
      <c r="I88" s="9">
        <f t="shared" si="8"/>
        <v>607.78935345475998</v>
      </c>
      <c r="J88" s="9">
        <f t="shared" si="9"/>
        <v>1769.24100933313</v>
      </c>
      <c r="K88" s="9">
        <f t="shared" si="10"/>
        <v>607.78935345475998</v>
      </c>
      <c r="L88" s="10">
        <f t="shared" si="7"/>
        <v>0.34353112450397616</v>
      </c>
      <c r="M88" s="10">
        <f t="shared" si="11"/>
        <v>0.3888229801983773</v>
      </c>
      <c r="P88" s="8">
        <f t="shared" si="12"/>
        <v>8.3947467701626888</v>
      </c>
      <c r="U88" s="8">
        <v>152.5</v>
      </c>
      <c r="V88" s="10">
        <f t="shared" si="13"/>
        <v>0.21231690383352075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1877.1758241758</v>
      </c>
      <c r="E89">
        <v>707.05357142856997</v>
      </c>
      <c r="F89">
        <v>134.83150684931999</v>
      </c>
      <c r="G89">
        <v>116.24794520547999</v>
      </c>
      <c r="I89" s="9">
        <f t="shared" si="8"/>
        <v>590.80562622309003</v>
      </c>
      <c r="J89" s="9">
        <f t="shared" si="9"/>
        <v>1742.34431732648</v>
      </c>
      <c r="K89" s="9">
        <f t="shared" si="10"/>
        <v>590.80562622309003</v>
      </c>
      <c r="L89" s="10">
        <f t="shared" si="7"/>
        <v>0.33908660897155213</v>
      </c>
      <c r="M89" s="10">
        <f t="shared" si="11"/>
        <v>0.38490511415077189</v>
      </c>
      <c r="P89" s="8">
        <f t="shared" si="12"/>
        <v>7.3025374107957672</v>
      </c>
      <c r="U89" s="8">
        <v>153</v>
      </c>
      <c r="V89" s="10">
        <f t="shared" si="13"/>
        <v>0.2047823660635609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1998.7431318680999</v>
      </c>
      <c r="E90">
        <v>759.14972527473003</v>
      </c>
      <c r="F90">
        <v>134.74383561644001</v>
      </c>
      <c r="G90">
        <v>116.31643835616001</v>
      </c>
      <c r="I90" s="9">
        <f t="shared" si="8"/>
        <v>642.83328691857002</v>
      </c>
      <c r="J90" s="9">
        <f t="shared" si="9"/>
        <v>1863.9992962516599</v>
      </c>
      <c r="K90" s="9">
        <f t="shared" si="10"/>
        <v>642.83328691857002</v>
      </c>
      <c r="L90" s="10">
        <f t="shared" si="7"/>
        <v>0.34486777340058644</v>
      </c>
      <c r="M90" s="10">
        <f t="shared" si="11"/>
        <v>0.39121292806462482</v>
      </c>
      <c r="P90" s="8">
        <f t="shared" si="12"/>
        <v>9.0610083003418449</v>
      </c>
      <c r="U90" s="8">
        <v>153.5</v>
      </c>
      <c r="V90" s="10">
        <f t="shared" si="13"/>
        <v>0.19692256651795181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1993.6126373626</v>
      </c>
      <c r="E91">
        <v>780.21153846154004</v>
      </c>
      <c r="F91">
        <v>134.87397260274</v>
      </c>
      <c r="G91">
        <v>116.12328767123</v>
      </c>
      <c r="I91" s="9">
        <f t="shared" si="8"/>
        <v>664.08825079030998</v>
      </c>
      <c r="J91" s="9">
        <f t="shared" si="9"/>
        <v>1858.7386647598601</v>
      </c>
      <c r="K91" s="9">
        <f t="shared" si="10"/>
        <v>664.08825079030998</v>
      </c>
      <c r="L91" s="10">
        <f t="shared" si="7"/>
        <v>0.35727897814839232</v>
      </c>
      <c r="M91" s="10">
        <f t="shared" si="11"/>
        <v>0.40415078229724932</v>
      </c>
      <c r="P91" s="8">
        <f t="shared" si="12"/>
        <v>12.667779259658882</v>
      </c>
      <c r="U91" s="8">
        <v>154</v>
      </c>
      <c r="V91" s="10">
        <f t="shared" si="13"/>
        <v>0.194595906808847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1965.2362637363001</v>
      </c>
      <c r="E92">
        <v>766.51923076923003</v>
      </c>
      <c r="F92">
        <v>134.51506849315001</v>
      </c>
      <c r="G92">
        <v>115.90136986301</v>
      </c>
      <c r="I92" s="9">
        <f t="shared" si="8"/>
        <v>650.61786090622002</v>
      </c>
      <c r="J92" s="9">
        <f t="shared" si="9"/>
        <v>1830.7211952431501</v>
      </c>
      <c r="K92" s="9">
        <f t="shared" si="10"/>
        <v>650.61786090622002</v>
      </c>
      <c r="L92" s="10">
        <f t="shared" si="7"/>
        <v>0.35538882851018022</v>
      </c>
      <c r="M92" s="10">
        <f t="shared" si="11"/>
        <v>0.40278728214385584</v>
      </c>
      <c r="P92" s="8">
        <f t="shared" si="12"/>
        <v>12.287667328587423</v>
      </c>
      <c r="U92" s="8">
        <v>154.5</v>
      </c>
      <c r="V92" s="10">
        <f t="shared" si="13"/>
        <v>0.20158758902279494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2019.592032967</v>
      </c>
      <c r="E93">
        <v>792.02747252746997</v>
      </c>
      <c r="F93">
        <v>134.51780821918001</v>
      </c>
      <c r="G93">
        <v>116.68630136986</v>
      </c>
      <c r="I93" s="9">
        <f t="shared" si="8"/>
        <v>675.34117115761001</v>
      </c>
      <c r="J93" s="9">
        <f t="shared" si="9"/>
        <v>1885.0742247478199</v>
      </c>
      <c r="K93" s="9">
        <f t="shared" si="10"/>
        <v>675.34117115761001</v>
      </c>
      <c r="L93" s="10">
        <f t="shared" si="7"/>
        <v>0.35825707141476371</v>
      </c>
      <c r="M93" s="10">
        <f t="shared" si="11"/>
        <v>0.40618217453325794</v>
      </c>
      <c r="P93" s="8">
        <f t="shared" si="12"/>
        <v>13.234083871852038</v>
      </c>
      <c r="U93" s="8">
        <v>155</v>
      </c>
      <c r="V93" s="10">
        <f t="shared" si="13"/>
        <v>0.19554695226106181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1948.4752747253001</v>
      </c>
      <c r="E94">
        <v>773.20879120878999</v>
      </c>
      <c r="F94">
        <v>135.08767123288001</v>
      </c>
      <c r="G94">
        <v>116.22328767123</v>
      </c>
      <c r="I94" s="9">
        <f t="shared" si="8"/>
        <v>656.98550353756002</v>
      </c>
      <c r="J94" s="9">
        <f t="shared" si="9"/>
        <v>1813.3876034924201</v>
      </c>
      <c r="K94" s="9">
        <f t="shared" si="10"/>
        <v>656.98550353756002</v>
      </c>
      <c r="L94" s="10">
        <f t="shared" si="7"/>
        <v>0.36229733911948309</v>
      </c>
      <c r="M94" s="10">
        <f t="shared" si="11"/>
        <v>0.41074909172279594</v>
      </c>
      <c r="P94" s="8">
        <f t="shared" si="12"/>
        <v>14.507233499036392</v>
      </c>
      <c r="U94" s="8">
        <v>155.5</v>
      </c>
      <c r="V94" s="10">
        <f t="shared" si="13"/>
        <v>0.19694324004534555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1893.2184065934</v>
      </c>
      <c r="E95">
        <v>749.42582417582003</v>
      </c>
      <c r="F95">
        <v>134.77671232877</v>
      </c>
      <c r="G95">
        <v>116.27534246575</v>
      </c>
      <c r="I95" s="9">
        <f t="shared" si="8"/>
        <v>633.15048171007004</v>
      </c>
      <c r="J95" s="9">
        <f t="shared" si="9"/>
        <v>1758.4416942646301</v>
      </c>
      <c r="K95" s="9">
        <f t="shared" si="10"/>
        <v>633.15048171007004</v>
      </c>
      <c r="L95" s="10">
        <f t="shared" si="7"/>
        <v>0.36006339236334467</v>
      </c>
      <c r="M95" s="10">
        <f t="shared" si="11"/>
        <v>0.40904179445147615</v>
      </c>
      <c r="P95" s="8">
        <f t="shared" si="12"/>
        <v>14.031278977799813</v>
      </c>
      <c r="U95" s="8">
        <v>156</v>
      </c>
      <c r="V95" s="10">
        <f t="shared" si="13"/>
        <v>0.1918696693333263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1900.2458791209001</v>
      </c>
      <c r="E96">
        <v>778.18681318681001</v>
      </c>
      <c r="F96">
        <v>135.30273972603001</v>
      </c>
      <c r="G96">
        <v>115.69589041096</v>
      </c>
      <c r="I96" s="9">
        <f t="shared" si="8"/>
        <v>662.49092277584998</v>
      </c>
      <c r="J96" s="9">
        <f t="shared" si="9"/>
        <v>1764.9431393948701</v>
      </c>
      <c r="K96" s="9">
        <f t="shared" si="10"/>
        <v>662.49092277584998</v>
      </c>
      <c r="L96" s="10">
        <f t="shared" si="7"/>
        <v>0.37536105724232693</v>
      </c>
      <c r="M96" s="10">
        <f t="shared" si="11"/>
        <v>0.42486610881527703</v>
      </c>
      <c r="P96" s="8">
        <f t="shared" si="12"/>
        <v>18.442727466262387</v>
      </c>
      <c r="U96" s="8">
        <v>156.5</v>
      </c>
      <c r="V96" s="10">
        <f t="shared" si="13"/>
        <v>0.18477380412721126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2021.5288461539001</v>
      </c>
      <c r="E97">
        <v>809.88873626374004</v>
      </c>
      <c r="F97">
        <v>134.65068493151</v>
      </c>
      <c r="G97">
        <v>116.06575342466</v>
      </c>
      <c r="I97" s="9">
        <f t="shared" si="8"/>
        <v>693.82298283908005</v>
      </c>
      <c r="J97" s="9">
        <f t="shared" si="9"/>
        <v>1886.8781612223902</v>
      </c>
      <c r="K97" s="9">
        <f t="shared" si="10"/>
        <v>693.82298283908005</v>
      </c>
      <c r="L97" s="10">
        <f t="shared" si="7"/>
        <v>0.36770947753701044</v>
      </c>
      <c r="M97" s="10">
        <f t="shared" si="11"/>
        <v>0.41774117859477916</v>
      </c>
      <c r="P97" s="8">
        <f t="shared" si="12"/>
        <v>16.45646367441573</v>
      </c>
      <c r="U97" s="8">
        <v>157</v>
      </c>
      <c r="V97" s="10">
        <f t="shared" si="13"/>
        <v>0.18639321101519435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1934.9931318680999</v>
      </c>
      <c r="E98">
        <v>769.81868131867998</v>
      </c>
      <c r="F98">
        <v>135.13698630137</v>
      </c>
      <c r="G98">
        <v>115.74109589040999</v>
      </c>
      <c r="I98" s="9">
        <f t="shared" si="8"/>
        <v>654.07758542827003</v>
      </c>
      <c r="J98" s="9">
        <f t="shared" si="9"/>
        <v>1799.85614556673</v>
      </c>
      <c r="K98" s="9">
        <f t="shared" si="10"/>
        <v>654.07758542827003</v>
      </c>
      <c r="L98" s="10">
        <f t="shared" si="7"/>
        <v>0.36340547939864232</v>
      </c>
      <c r="M98" s="10">
        <f t="shared" si="11"/>
        <v>0.41396382994122966</v>
      </c>
      <c r="P98" s="8">
        <f t="shared" si="12"/>
        <v>15.403427275807772</v>
      </c>
      <c r="U98" s="8">
        <v>157.5</v>
      </c>
      <c r="V98" s="10">
        <f t="shared" si="13"/>
        <v>0.18278404847497018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1892.0975274724999</v>
      </c>
      <c r="E99">
        <v>738.24725274724995</v>
      </c>
      <c r="F99">
        <v>134.77671232877</v>
      </c>
      <c r="G99">
        <v>115.58082191781</v>
      </c>
      <c r="I99" s="9">
        <f t="shared" si="8"/>
        <v>622.66643082943995</v>
      </c>
      <c r="J99" s="9">
        <f t="shared" si="9"/>
        <v>1757.32081514373</v>
      </c>
      <c r="K99" s="9">
        <f t="shared" si="10"/>
        <v>622.66643082943995</v>
      </c>
      <c r="L99" s="10">
        <f t="shared" si="7"/>
        <v>0.35432712425847668</v>
      </c>
      <c r="M99" s="10">
        <f t="shared" si="11"/>
        <v>0.40541212428588264</v>
      </c>
      <c r="P99" s="8">
        <f t="shared" si="12"/>
        <v>13.019411885330145</v>
      </c>
      <c r="U99" s="8">
        <v>158</v>
      </c>
      <c r="V99" s="10">
        <f t="shared" si="13"/>
        <v>0.18565759473034535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1949.6758241758</v>
      </c>
      <c r="E100">
        <v>785.76098901098999</v>
      </c>
      <c r="F100">
        <v>133.59452054795</v>
      </c>
      <c r="G100">
        <v>115.75342465753</v>
      </c>
      <c r="I100" s="9">
        <f t="shared" si="8"/>
        <v>670.00756435346</v>
      </c>
      <c r="J100" s="9">
        <f t="shared" si="9"/>
        <v>1816.08130362785</v>
      </c>
      <c r="K100" s="9">
        <f t="shared" si="10"/>
        <v>670.00756435346</v>
      </c>
      <c r="L100" s="10">
        <f t="shared" si="7"/>
        <v>0.36893037939162521</v>
      </c>
      <c r="M100" s="10">
        <f t="shared" si="11"/>
        <v>0.42054202890384978</v>
      </c>
      <c r="P100" s="8">
        <f t="shared" si="12"/>
        <v>17.237275188791624</v>
      </c>
      <c r="U100" s="8">
        <v>158.5</v>
      </c>
      <c r="V100" s="10">
        <f t="shared" si="13"/>
        <v>0.18164271598730122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1912.2527472528</v>
      </c>
      <c r="E101">
        <v>771.58516483516996</v>
      </c>
      <c r="F101">
        <v>134.52739726026999</v>
      </c>
      <c r="G101">
        <v>116.02465753425</v>
      </c>
      <c r="I101" s="9">
        <f t="shared" si="8"/>
        <v>655.56050730091999</v>
      </c>
      <c r="J101" s="9">
        <f t="shared" si="9"/>
        <v>1777.72534999253</v>
      </c>
      <c r="K101" s="9">
        <f t="shared" si="10"/>
        <v>655.56050730091999</v>
      </c>
      <c r="L101" s="10">
        <f t="shared" si="7"/>
        <v>0.36876366042914033</v>
      </c>
      <c r="M101" s="10">
        <f t="shared" si="11"/>
        <v>0.42090195942618353</v>
      </c>
      <c r="P101" s="8">
        <f t="shared" si="12"/>
        <v>17.337615394515353</v>
      </c>
      <c r="U101" s="8">
        <v>159</v>
      </c>
      <c r="V101" s="10">
        <f t="shared" si="13"/>
        <v>0.18503286716557865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1863.5673076922999</v>
      </c>
      <c r="E102">
        <v>768.21703296703004</v>
      </c>
      <c r="F102">
        <v>134.49863013698999</v>
      </c>
      <c r="G102">
        <v>116.69452054795001</v>
      </c>
      <c r="I102" s="9">
        <f t="shared" si="8"/>
        <v>651.52251241908004</v>
      </c>
      <c r="J102" s="9">
        <f t="shared" si="9"/>
        <v>1729.0686775553099</v>
      </c>
      <c r="K102" s="9">
        <f t="shared" si="10"/>
        <v>651.52251241908004</v>
      </c>
      <c r="L102" s="10">
        <f t="shared" si="7"/>
        <v>0.37680545653065245</v>
      </c>
      <c r="M102" s="10">
        <f t="shared" si="11"/>
        <v>0.42947040501251427</v>
      </c>
      <c r="P102" s="8">
        <f t="shared" si="12"/>
        <v>19.726297485965755</v>
      </c>
      <c r="U102" s="8">
        <v>159.5</v>
      </c>
      <c r="V102" s="10">
        <f t="shared" si="13"/>
        <v>0.18637711912866856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1836.9052197802</v>
      </c>
      <c r="E103">
        <v>748.57967032966997</v>
      </c>
      <c r="F103">
        <v>134.67808219177999</v>
      </c>
      <c r="G103">
        <v>115.54794520548</v>
      </c>
      <c r="I103" s="9">
        <f t="shared" si="8"/>
        <v>633.03172512418996</v>
      </c>
      <c r="J103" s="9">
        <f t="shared" si="9"/>
        <v>1702.22713758842</v>
      </c>
      <c r="K103" s="9">
        <f t="shared" si="10"/>
        <v>633.03172512418996</v>
      </c>
      <c r="L103" s="10">
        <f t="shared" si="7"/>
        <v>0.37188440434630771</v>
      </c>
      <c r="M103" s="10">
        <f t="shared" si="11"/>
        <v>0.42507600231298814</v>
      </c>
      <c r="P103" s="8">
        <f t="shared" si="12"/>
        <v>18.501240861024939</v>
      </c>
      <c r="U103" s="8">
        <v>160</v>
      </c>
      <c r="V103" s="10">
        <f t="shared" si="13"/>
        <v>0.1883189265779317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2035.0989010988999</v>
      </c>
      <c r="E104">
        <v>836.77197802197998</v>
      </c>
      <c r="F104">
        <v>134.00547945206</v>
      </c>
      <c r="G104">
        <v>115.87397260274</v>
      </c>
      <c r="I104" s="9">
        <f t="shared" si="8"/>
        <v>720.89800541924001</v>
      </c>
      <c r="J104" s="9">
        <f t="shared" si="9"/>
        <v>1901.0934216468399</v>
      </c>
      <c r="K104" s="9">
        <f t="shared" si="10"/>
        <v>720.89800541924001</v>
      </c>
      <c r="L104" s="10">
        <f t="shared" si="7"/>
        <v>0.37920177788777754</v>
      </c>
      <c r="M104" s="10">
        <f t="shared" si="11"/>
        <v>0.43292002533927659</v>
      </c>
      <c r="P104" s="8">
        <f t="shared" si="12"/>
        <v>20.687970897300222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1892.5563186812999</v>
      </c>
      <c r="E105">
        <v>746.72527472527997</v>
      </c>
      <c r="F105">
        <v>134.76986301369999</v>
      </c>
      <c r="G105">
        <v>116.24383561643999</v>
      </c>
      <c r="I105" s="9">
        <f t="shared" si="8"/>
        <v>630.48143910883994</v>
      </c>
      <c r="J105" s="9">
        <f t="shared" si="9"/>
        <v>1757.7864556676</v>
      </c>
      <c r="K105" s="9">
        <f t="shared" si="10"/>
        <v>630.48143910883994</v>
      </c>
      <c r="L105" s="10">
        <f t="shared" si="7"/>
        <v>0.3586791996695558</v>
      </c>
      <c r="M105" s="10">
        <f t="shared" si="11"/>
        <v>0.41292409660587348</v>
      </c>
      <c r="P105" s="8">
        <f t="shared" si="12"/>
        <v>15.113573956086471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1840.114010989</v>
      </c>
      <c r="E106">
        <v>743.86813186813004</v>
      </c>
      <c r="F106">
        <v>134.99315068492999</v>
      </c>
      <c r="G106">
        <v>116.39315068493001</v>
      </c>
      <c r="I106" s="9">
        <f t="shared" si="8"/>
        <v>627.47498118320004</v>
      </c>
      <c r="J106" s="9">
        <f t="shared" si="9"/>
        <v>1705.12086030407</v>
      </c>
      <c r="K106" s="9">
        <f t="shared" si="10"/>
        <v>627.47498118320004</v>
      </c>
      <c r="L106" s="10">
        <f t="shared" si="7"/>
        <v>0.36799443124008463</v>
      </c>
      <c r="M106" s="10">
        <f t="shared" si="11"/>
        <v>0.42276597766122093</v>
      </c>
      <c r="P106" s="8">
        <f t="shared" si="12"/>
        <v>17.857260052500223</v>
      </c>
      <c r="X106" s="8">
        <v>-13</v>
      </c>
    </row>
    <row r="107" spans="1:25" x14ac:dyDescent="0.2">
      <c r="A107" s="8">
        <v>52.5</v>
      </c>
      <c r="B107" s="8">
        <v>105</v>
      </c>
      <c r="D107">
        <v>1788.3722527473001</v>
      </c>
      <c r="E107">
        <v>716.80769230768999</v>
      </c>
      <c r="F107">
        <v>133.80136986301</v>
      </c>
      <c r="G107">
        <v>115.93150684932</v>
      </c>
      <c r="I107" s="9">
        <f t="shared" si="8"/>
        <v>600.87618545836995</v>
      </c>
      <c r="J107" s="9">
        <f t="shared" si="9"/>
        <v>1654.5708828842901</v>
      </c>
      <c r="K107" s="9">
        <f t="shared" si="10"/>
        <v>600.87618545836995</v>
      </c>
      <c r="L107" s="10">
        <f t="shared" si="7"/>
        <v>0.36316134393161043</v>
      </c>
      <c r="M107" s="10">
        <f t="shared" si="11"/>
        <v>0.41845953983756534</v>
      </c>
      <c r="P107" s="8">
        <f t="shared" si="12"/>
        <v>16.656725976200416</v>
      </c>
      <c r="X107" s="8">
        <v>-13</v>
      </c>
    </row>
    <row r="108" spans="1:25" x14ac:dyDescent="0.2">
      <c r="A108" s="8">
        <v>53</v>
      </c>
      <c r="B108" s="8">
        <v>106</v>
      </c>
      <c r="D108">
        <v>1850.3406593407001</v>
      </c>
      <c r="E108">
        <v>739.43543956044005</v>
      </c>
      <c r="F108">
        <v>135.17397260274001</v>
      </c>
      <c r="G108">
        <v>116.65890410959</v>
      </c>
      <c r="I108" s="9">
        <f t="shared" si="8"/>
        <v>622.77653545085002</v>
      </c>
      <c r="J108" s="9">
        <f t="shared" si="9"/>
        <v>1715.1666867379602</v>
      </c>
      <c r="K108" s="9">
        <f t="shared" si="10"/>
        <v>622.77653545085002</v>
      </c>
      <c r="L108" s="10">
        <f t="shared" si="7"/>
        <v>0.36309971518587253</v>
      </c>
      <c r="M108" s="10">
        <f t="shared" si="11"/>
        <v>0.41892456057664607</v>
      </c>
      <c r="P108" s="8">
        <f t="shared" si="12"/>
        <v>16.786362874795792</v>
      </c>
      <c r="X108" s="8">
        <v>-13</v>
      </c>
    </row>
    <row r="109" spans="1:25" x14ac:dyDescent="0.2">
      <c r="A109" s="8">
        <v>53.5</v>
      </c>
      <c r="B109" s="8">
        <v>107</v>
      </c>
      <c r="D109">
        <v>1829.9368131868</v>
      </c>
      <c r="E109">
        <v>723.52472527473003</v>
      </c>
      <c r="F109">
        <v>134.59863013699001</v>
      </c>
      <c r="G109">
        <v>116.34931506849</v>
      </c>
      <c r="I109" s="9">
        <f t="shared" si="8"/>
        <v>607.17541020624003</v>
      </c>
      <c r="J109" s="9">
        <f t="shared" si="9"/>
        <v>1695.3381830498099</v>
      </c>
      <c r="K109" s="9">
        <f t="shared" si="10"/>
        <v>607.17541020624003</v>
      </c>
      <c r="L109" s="10">
        <f t="shared" si="7"/>
        <v>0.35814412503466919</v>
      </c>
      <c r="M109" s="10">
        <f t="shared" si="11"/>
        <v>0.41449561991026129</v>
      </c>
      <c r="P109" s="8">
        <f t="shared" si="12"/>
        <v>15.551677873029899</v>
      </c>
      <c r="X109" s="8">
        <v>-13</v>
      </c>
    </row>
    <row r="110" spans="1:25" x14ac:dyDescent="0.2">
      <c r="A110" s="8">
        <v>54</v>
      </c>
      <c r="B110" s="8">
        <v>108</v>
      </c>
      <c r="D110">
        <v>1823.2335164834999</v>
      </c>
      <c r="E110">
        <v>756.64148351647998</v>
      </c>
      <c r="F110">
        <v>134.78630136986001</v>
      </c>
      <c r="G110">
        <v>116.4</v>
      </c>
      <c r="I110" s="9">
        <f t="shared" si="8"/>
        <v>640.24148351648</v>
      </c>
      <c r="J110" s="9">
        <f t="shared" si="9"/>
        <v>1688.4472151136399</v>
      </c>
      <c r="K110" s="9">
        <f t="shared" si="10"/>
        <v>640.24148351648</v>
      </c>
      <c r="L110" s="10">
        <f t="shared" si="7"/>
        <v>0.37918951672610562</v>
      </c>
      <c r="M110" s="10">
        <f t="shared" si="11"/>
        <v>0.43606766108651634</v>
      </c>
      <c r="P110" s="8">
        <f t="shared" si="12"/>
        <v>21.565458075585546</v>
      </c>
      <c r="X110" s="8">
        <v>-13</v>
      </c>
    </row>
    <row r="111" spans="1:25" x14ac:dyDescent="0.2">
      <c r="A111" s="8">
        <v>54.5</v>
      </c>
      <c r="B111" s="8">
        <v>109</v>
      </c>
      <c r="D111">
        <v>1953.7596153846</v>
      </c>
      <c r="E111">
        <v>793.81181318681001</v>
      </c>
      <c r="F111">
        <v>134.36164383561999</v>
      </c>
      <c r="G111">
        <v>116.1904109589</v>
      </c>
      <c r="I111" s="9">
        <f t="shared" si="8"/>
        <v>677.62140222791004</v>
      </c>
      <c r="J111" s="9">
        <f t="shared" si="9"/>
        <v>1819.39797154898</v>
      </c>
      <c r="K111" s="9">
        <f t="shared" si="10"/>
        <v>677.62140222791004</v>
      </c>
      <c r="L111" s="10">
        <f t="shared" si="7"/>
        <v>0.37244265016466072</v>
      </c>
      <c r="M111" s="10">
        <f t="shared" si="11"/>
        <v>0.42984744400989006</v>
      </c>
      <c r="P111" s="8">
        <f t="shared" si="12"/>
        <v>19.831407134120226</v>
      </c>
      <c r="X111" s="8">
        <v>-13</v>
      </c>
    </row>
    <row r="112" spans="1:25" x14ac:dyDescent="0.2">
      <c r="A112" s="8">
        <v>55</v>
      </c>
      <c r="B112" s="8">
        <v>110</v>
      </c>
      <c r="D112">
        <v>1908.0769230768999</v>
      </c>
      <c r="E112">
        <v>754.34752747253003</v>
      </c>
      <c r="F112">
        <v>134.30136986301</v>
      </c>
      <c r="G112">
        <v>116.00684931507</v>
      </c>
      <c r="I112" s="9">
        <f t="shared" si="8"/>
        <v>638.34067815746005</v>
      </c>
      <c r="J112" s="9">
        <f t="shared" si="9"/>
        <v>1773.7755532138899</v>
      </c>
      <c r="K112" s="9">
        <f t="shared" si="10"/>
        <v>638.34067815746005</v>
      </c>
      <c r="L112" s="10">
        <f t="shared" si="7"/>
        <v>0.35987680459393839</v>
      </c>
      <c r="M112" s="10">
        <f t="shared" si="11"/>
        <v>0.41780824792398635</v>
      </c>
      <c r="P112" s="8">
        <f t="shared" si="12"/>
        <v>16.475161033691538</v>
      </c>
      <c r="X112" s="8">
        <v>-13</v>
      </c>
    </row>
    <row r="113" spans="1:24" x14ac:dyDescent="0.2">
      <c r="A113" s="8">
        <v>55.5</v>
      </c>
      <c r="B113" s="8">
        <v>111</v>
      </c>
      <c r="D113">
        <v>1812.1277472528</v>
      </c>
      <c r="E113">
        <v>726.19642857143003</v>
      </c>
      <c r="F113">
        <v>134.31780821917999</v>
      </c>
      <c r="G113">
        <v>115.40684931507</v>
      </c>
      <c r="I113" s="9">
        <f t="shared" si="8"/>
        <v>610.78957925636007</v>
      </c>
      <c r="J113" s="9">
        <f t="shared" si="9"/>
        <v>1677.8099390336199</v>
      </c>
      <c r="K113" s="9">
        <f t="shared" si="10"/>
        <v>610.78957925636007</v>
      </c>
      <c r="L113" s="10">
        <f t="shared" si="7"/>
        <v>0.3640397908288473</v>
      </c>
      <c r="M113" s="10">
        <f t="shared" si="11"/>
        <v>0.42249788364371388</v>
      </c>
      <c r="P113" s="8">
        <f t="shared" si="12"/>
        <v>17.782521714957916</v>
      </c>
      <c r="X113" s="8">
        <v>-13</v>
      </c>
    </row>
    <row r="114" spans="1:24" x14ac:dyDescent="0.2">
      <c r="A114" s="8">
        <v>56</v>
      </c>
      <c r="B114" s="8">
        <v>112</v>
      </c>
      <c r="D114">
        <v>1770.228021978</v>
      </c>
      <c r="E114">
        <v>693.90521978022002</v>
      </c>
      <c r="F114">
        <v>134.4</v>
      </c>
      <c r="G114">
        <v>116.04246575342999</v>
      </c>
      <c r="I114" s="9">
        <f t="shared" si="8"/>
        <v>577.86275402679007</v>
      </c>
      <c r="J114" s="9">
        <f t="shared" si="9"/>
        <v>1635.8280219779999</v>
      </c>
      <c r="K114" s="9">
        <f t="shared" si="10"/>
        <v>577.86275402679007</v>
      </c>
      <c r="L114" s="10">
        <f t="shared" si="7"/>
        <v>0.35325397674020387</v>
      </c>
      <c r="M114" s="10">
        <f t="shared" si="11"/>
        <v>0.41223871903988907</v>
      </c>
      <c r="P114" s="8">
        <f t="shared" si="12"/>
        <v>14.922506731435995</v>
      </c>
      <c r="X114" s="8">
        <v>-13</v>
      </c>
    </row>
    <row r="115" spans="1:24" x14ac:dyDescent="0.2">
      <c r="A115" s="8">
        <v>56.5</v>
      </c>
      <c r="B115" s="8">
        <v>113</v>
      </c>
      <c r="D115">
        <v>1928.179945055</v>
      </c>
      <c r="E115">
        <v>765.58516483516996</v>
      </c>
      <c r="F115">
        <v>134.84520547944999</v>
      </c>
      <c r="G115">
        <v>115.85068493151</v>
      </c>
      <c r="I115" s="9">
        <f t="shared" si="8"/>
        <v>649.73447990365992</v>
      </c>
      <c r="J115" s="9">
        <f t="shared" si="9"/>
        <v>1793.33473957555</v>
      </c>
      <c r="K115" s="9">
        <f t="shared" si="10"/>
        <v>649.73447990365992</v>
      </c>
      <c r="L115" s="10">
        <f t="shared" si="7"/>
        <v>0.3623051879636483</v>
      </c>
      <c r="M115" s="10">
        <f t="shared" si="11"/>
        <v>0.42181657974815212</v>
      </c>
      <c r="P115" s="8">
        <f t="shared" si="12"/>
        <v>17.592590134280087</v>
      </c>
      <c r="X115" s="8">
        <v>-13</v>
      </c>
    </row>
    <row r="116" spans="1:24" x14ac:dyDescent="0.2">
      <c r="A116" s="8">
        <v>57</v>
      </c>
      <c r="B116" s="8">
        <v>114</v>
      </c>
      <c r="D116">
        <v>1767.9793956044</v>
      </c>
      <c r="E116">
        <v>695.41620879121001</v>
      </c>
      <c r="F116">
        <v>134.28904109589001</v>
      </c>
      <c r="G116">
        <v>115.68904109589</v>
      </c>
      <c r="I116" s="9">
        <f t="shared" si="8"/>
        <v>579.72716769531996</v>
      </c>
      <c r="J116" s="9">
        <f t="shared" si="9"/>
        <v>1633.6903545085099</v>
      </c>
      <c r="K116" s="9">
        <f t="shared" si="10"/>
        <v>579.72716769531996</v>
      </c>
      <c r="L116" s="10">
        <f t="shared" si="7"/>
        <v>0.35485743433291489</v>
      </c>
      <c r="M116" s="10">
        <f t="shared" si="11"/>
        <v>0.41489547560223733</v>
      </c>
      <c r="P116" s="8">
        <f t="shared" si="12"/>
        <v>15.66314828163136</v>
      </c>
      <c r="X116" s="8">
        <v>-13</v>
      </c>
    </row>
    <row r="117" spans="1:24" x14ac:dyDescent="0.2">
      <c r="A117" s="8">
        <v>57.5</v>
      </c>
      <c r="B117" s="8">
        <v>115</v>
      </c>
      <c r="D117">
        <v>1775.7843406592999</v>
      </c>
      <c r="E117">
        <v>671.875</v>
      </c>
      <c r="F117">
        <v>134.32876712328999</v>
      </c>
      <c r="G117">
        <v>116.07534246575</v>
      </c>
      <c r="I117" s="9">
        <f t="shared" si="8"/>
        <v>555.79965753424995</v>
      </c>
      <c r="J117" s="9">
        <f t="shared" si="9"/>
        <v>1641.45557353601</v>
      </c>
      <c r="K117" s="9">
        <f t="shared" si="10"/>
        <v>555.79965753424995</v>
      </c>
      <c r="L117" s="10">
        <f t="shared" si="7"/>
        <v>0.33860170600715739</v>
      </c>
      <c r="M117" s="10">
        <f t="shared" si="11"/>
        <v>0.39916639676129845</v>
      </c>
      <c r="P117" s="8">
        <f t="shared" si="12"/>
        <v>11.278249228026992</v>
      </c>
      <c r="X117" s="8">
        <v>-13</v>
      </c>
    </row>
    <row r="118" spans="1:24" x14ac:dyDescent="0.2">
      <c r="A118" s="8">
        <v>58</v>
      </c>
      <c r="B118" s="8">
        <v>116</v>
      </c>
      <c r="D118">
        <v>1803.7747252746999</v>
      </c>
      <c r="E118">
        <v>673.79120879121001</v>
      </c>
      <c r="F118">
        <v>134.82054794521</v>
      </c>
      <c r="G118">
        <v>116.34109589041</v>
      </c>
      <c r="I118" s="9">
        <f t="shared" si="8"/>
        <v>557.45011290080004</v>
      </c>
      <c r="J118" s="9">
        <f t="shared" si="9"/>
        <v>1668.95417732949</v>
      </c>
      <c r="K118" s="9">
        <f t="shared" si="10"/>
        <v>557.45011290080004</v>
      </c>
      <c r="L118" s="10">
        <f t="shared" si="7"/>
        <v>0.33401163463503919</v>
      </c>
      <c r="M118" s="10">
        <f t="shared" si="11"/>
        <v>0.39510297487399887</v>
      </c>
      <c r="P118" s="8">
        <f t="shared" si="12"/>
        <v>10.145462307178191</v>
      </c>
      <c r="X118" s="8">
        <v>-13</v>
      </c>
    </row>
    <row r="119" spans="1:24" x14ac:dyDescent="0.2">
      <c r="A119" s="8">
        <v>58.5</v>
      </c>
      <c r="B119" s="8">
        <v>117</v>
      </c>
      <c r="D119">
        <v>1898.1387362636999</v>
      </c>
      <c r="E119">
        <v>726.29807692307998</v>
      </c>
      <c r="F119">
        <v>133.75616438355999</v>
      </c>
      <c r="G119">
        <v>115.55205479452</v>
      </c>
      <c r="I119" s="9">
        <f t="shared" si="8"/>
        <v>610.74602212855996</v>
      </c>
      <c r="J119" s="9">
        <f t="shared" si="9"/>
        <v>1764.3825718801399</v>
      </c>
      <c r="K119" s="9">
        <f t="shared" si="10"/>
        <v>610.74602212855996</v>
      </c>
      <c r="L119" s="10">
        <f t="shared" si="7"/>
        <v>0.34615283094626365</v>
      </c>
      <c r="M119" s="10">
        <f t="shared" si="11"/>
        <v>0.40777082067004194</v>
      </c>
      <c r="P119" s="8">
        <f t="shared" si="12"/>
        <v>13.676961233720519</v>
      </c>
      <c r="X119" s="8">
        <v>-13</v>
      </c>
    </row>
    <row r="120" spans="1:24" x14ac:dyDescent="0.2">
      <c r="A120" s="8">
        <v>59</v>
      </c>
      <c r="B120" s="8">
        <v>118</v>
      </c>
      <c r="D120">
        <v>1773.364010989</v>
      </c>
      <c r="E120">
        <v>680.7706043956</v>
      </c>
      <c r="F120">
        <v>134.19315068493</v>
      </c>
      <c r="G120">
        <v>115.90136986301</v>
      </c>
      <c r="I120" s="9">
        <f t="shared" si="8"/>
        <v>564.86923453258999</v>
      </c>
      <c r="J120" s="9">
        <f t="shared" si="9"/>
        <v>1639.1708603040699</v>
      </c>
      <c r="K120" s="9">
        <f t="shared" si="10"/>
        <v>564.86923453258999</v>
      </c>
      <c r="L120" s="10">
        <f t="shared" si="7"/>
        <v>0.34460668391079469</v>
      </c>
      <c r="M120" s="10">
        <f t="shared" si="11"/>
        <v>0.40675132311939161</v>
      </c>
      <c r="P120" s="8">
        <f t="shared" si="12"/>
        <v>13.3927491771719</v>
      </c>
      <c r="X120" s="8">
        <v>-13</v>
      </c>
    </row>
    <row r="121" spans="1:24" x14ac:dyDescent="0.2">
      <c r="A121" s="8">
        <v>59.5</v>
      </c>
      <c r="B121" s="8">
        <v>119</v>
      </c>
      <c r="D121">
        <v>1788.532967033</v>
      </c>
      <c r="E121">
        <v>666.6978021978</v>
      </c>
      <c r="F121">
        <v>134.1</v>
      </c>
      <c r="G121">
        <v>115.91232876712</v>
      </c>
      <c r="I121" s="9">
        <f t="shared" si="8"/>
        <v>550.78547343067999</v>
      </c>
      <c r="J121" s="9">
        <f t="shared" si="9"/>
        <v>1654.4329670330001</v>
      </c>
      <c r="K121" s="9">
        <f t="shared" si="10"/>
        <v>550.78547343067999</v>
      </c>
      <c r="L121" s="10">
        <f t="shared" si="7"/>
        <v>0.33291495298140644</v>
      </c>
      <c r="M121" s="10">
        <f t="shared" si="11"/>
        <v>0.39558624167482198</v>
      </c>
      <c r="P121" s="8">
        <f t="shared" si="12"/>
        <v>10.280185780752005</v>
      </c>
      <c r="X121" s="8">
        <v>-13</v>
      </c>
    </row>
    <row r="122" spans="1:24" x14ac:dyDescent="0.2">
      <c r="A122" s="8">
        <v>60</v>
      </c>
      <c r="B122" s="8">
        <v>120</v>
      </c>
      <c r="D122">
        <v>1787.5013736264</v>
      </c>
      <c r="E122">
        <v>671.99450549451001</v>
      </c>
      <c r="F122">
        <v>134.67945205480001</v>
      </c>
      <c r="G122">
        <v>115.38630136986001</v>
      </c>
      <c r="I122" s="9">
        <f t="shared" si="8"/>
        <v>556.60820412465</v>
      </c>
      <c r="J122" s="9">
        <f t="shared" si="9"/>
        <v>1652.8219215715999</v>
      </c>
      <c r="K122" s="9">
        <f t="shared" si="10"/>
        <v>556.60820412465</v>
      </c>
      <c r="L122" s="10">
        <f t="shared" si="7"/>
        <v>0.33676235585948322</v>
      </c>
      <c r="M122" s="10">
        <f t="shared" si="11"/>
        <v>0.39996029403771738</v>
      </c>
      <c r="P122" s="8">
        <f t="shared" si="12"/>
        <v>11.499569208124482</v>
      </c>
      <c r="X122" s="8">
        <v>-13</v>
      </c>
    </row>
    <row r="123" spans="1:24" x14ac:dyDescent="0.2">
      <c r="A123" s="8">
        <v>60.5</v>
      </c>
      <c r="B123" s="8">
        <v>121</v>
      </c>
      <c r="D123">
        <v>1790.0865384614999</v>
      </c>
      <c r="E123">
        <v>686.78434065934005</v>
      </c>
      <c r="F123">
        <v>133.91369863014</v>
      </c>
      <c r="G123">
        <v>115.85890410959</v>
      </c>
      <c r="I123" s="9">
        <f t="shared" si="8"/>
        <v>570.92543654975009</v>
      </c>
      <c r="J123" s="9">
        <f t="shared" si="9"/>
        <v>1656.1728398313599</v>
      </c>
      <c r="K123" s="9">
        <f t="shared" si="10"/>
        <v>570.92543654975009</v>
      </c>
      <c r="L123" s="10">
        <f t="shared" si="7"/>
        <v>0.34472575737196892</v>
      </c>
      <c r="M123" s="10">
        <f t="shared" si="11"/>
        <v>0.4084503450350217</v>
      </c>
      <c r="P123" s="8">
        <f t="shared" si="12"/>
        <v>13.866396722920662</v>
      </c>
      <c r="X123" s="8">
        <v>-13</v>
      </c>
    </row>
    <row r="124" spans="1:24" x14ac:dyDescent="0.2">
      <c r="A124" s="8">
        <v>61</v>
      </c>
      <c r="B124" s="8">
        <v>122</v>
      </c>
      <c r="D124">
        <v>1792.8090659341001</v>
      </c>
      <c r="E124">
        <v>693.61538461538998</v>
      </c>
      <c r="F124">
        <v>133.86986301370001</v>
      </c>
      <c r="G124">
        <v>115.54520547945</v>
      </c>
      <c r="I124" s="9">
        <f t="shared" si="8"/>
        <v>578.07017913593995</v>
      </c>
      <c r="J124" s="9">
        <f t="shared" si="9"/>
        <v>1658.9392029204</v>
      </c>
      <c r="K124" s="9">
        <f t="shared" si="10"/>
        <v>578.07017913593995</v>
      </c>
      <c r="L124" s="10">
        <f t="shared" si="7"/>
        <v>0.34845772413980214</v>
      </c>
      <c r="M124" s="10">
        <f t="shared" si="11"/>
        <v>0.41270896128767354</v>
      </c>
      <c r="P124" s="8">
        <f t="shared" si="12"/>
        <v>15.053599264452494</v>
      </c>
      <c r="X124" s="8">
        <v>-13</v>
      </c>
    </row>
    <row r="125" spans="1:24" x14ac:dyDescent="0.2">
      <c r="A125" s="8">
        <v>61.5</v>
      </c>
      <c r="B125" s="8">
        <v>123</v>
      </c>
      <c r="D125">
        <v>1805.9065934066</v>
      </c>
      <c r="E125">
        <v>705.84203296703004</v>
      </c>
      <c r="F125">
        <v>134.49041095889999</v>
      </c>
      <c r="G125">
        <v>116.16164383562</v>
      </c>
      <c r="I125" s="9">
        <f t="shared" si="8"/>
        <v>589.68038913141004</v>
      </c>
      <c r="J125" s="9">
        <f t="shared" si="9"/>
        <v>1671.4161824477001</v>
      </c>
      <c r="K125" s="9">
        <f t="shared" si="10"/>
        <v>589.68038913141004</v>
      </c>
      <c r="L125" s="10">
        <f t="shared" si="7"/>
        <v>0.35280284786273547</v>
      </c>
      <c r="M125" s="10">
        <f t="shared" si="11"/>
        <v>0.41758073449542549</v>
      </c>
      <c r="P125" s="8">
        <f t="shared" si="12"/>
        <v>16.41173561458929</v>
      </c>
      <c r="X125" s="8">
        <v>-13</v>
      </c>
    </row>
    <row r="126" spans="1:24" x14ac:dyDescent="0.2">
      <c r="A126" s="8">
        <v>62</v>
      </c>
      <c r="B126" s="8">
        <v>124</v>
      </c>
      <c r="D126">
        <v>1798.2541208790999</v>
      </c>
      <c r="E126">
        <v>723.35027472527997</v>
      </c>
      <c r="F126">
        <v>133.82191780822001</v>
      </c>
      <c r="G126">
        <v>115.79315068493</v>
      </c>
      <c r="I126" s="9">
        <f t="shared" si="8"/>
        <v>607.55712404035</v>
      </c>
      <c r="J126" s="9">
        <f t="shared" si="9"/>
        <v>1664.43220307088</v>
      </c>
      <c r="K126" s="9">
        <f t="shared" si="10"/>
        <v>607.55712404035</v>
      </c>
      <c r="L126" s="10">
        <f t="shared" si="7"/>
        <v>0.36502365366363748</v>
      </c>
      <c r="M126" s="10">
        <f t="shared" si="11"/>
        <v>0.43032818978114612</v>
      </c>
      <c r="P126" s="8">
        <f t="shared" si="12"/>
        <v>19.965427803653547</v>
      </c>
      <c r="X126" s="8">
        <v>-13</v>
      </c>
    </row>
    <row r="127" spans="1:24" x14ac:dyDescent="0.2">
      <c r="A127" s="8">
        <v>62.5</v>
      </c>
      <c r="B127" s="8">
        <v>125</v>
      </c>
      <c r="D127">
        <v>1782.2760989011001</v>
      </c>
      <c r="E127">
        <v>722.24862637363003</v>
      </c>
      <c r="F127">
        <v>134.46849315068999</v>
      </c>
      <c r="G127">
        <v>116.17260273973</v>
      </c>
      <c r="I127" s="9">
        <f t="shared" si="8"/>
        <v>606.07602363390004</v>
      </c>
      <c r="J127" s="9">
        <f t="shared" si="9"/>
        <v>1647.8076057504102</v>
      </c>
      <c r="K127" s="9">
        <f t="shared" si="10"/>
        <v>606.07602363390004</v>
      </c>
      <c r="L127" s="10">
        <f t="shared" si="7"/>
        <v>0.36780751679920393</v>
      </c>
      <c r="M127" s="10">
        <f t="shared" si="11"/>
        <v>0.43363870240153118</v>
      </c>
      <c r="P127" s="8">
        <f t="shared" si="12"/>
        <v>20.888321242161183</v>
      </c>
      <c r="X127" s="8">
        <v>-13</v>
      </c>
    </row>
    <row r="128" spans="1:24" x14ac:dyDescent="0.2">
      <c r="A128" s="8">
        <v>63</v>
      </c>
      <c r="B128" s="8">
        <v>126</v>
      </c>
      <c r="D128">
        <v>1813.7276478680001</v>
      </c>
      <c r="E128">
        <v>743.82806052269996</v>
      </c>
      <c r="F128">
        <v>134.35753424658</v>
      </c>
      <c r="G128">
        <v>115.71780821918</v>
      </c>
      <c r="I128" s="9">
        <f t="shared" si="8"/>
        <v>628.11025230351993</v>
      </c>
      <c r="J128" s="9">
        <f t="shared" si="9"/>
        <v>1679.3701136214202</v>
      </c>
      <c r="K128" s="9">
        <f t="shared" si="10"/>
        <v>628.11025230351993</v>
      </c>
      <c r="L128" s="10">
        <f t="shared" si="7"/>
        <v>0.37401538065307899</v>
      </c>
      <c r="M128" s="10">
        <f t="shared" si="11"/>
        <v>0.44037321574022487</v>
      </c>
      <c r="P128" s="8">
        <f t="shared" si="12"/>
        <v>22.765745944774043</v>
      </c>
      <c r="X128" s="8">
        <v>-13</v>
      </c>
    </row>
    <row r="129" spans="1:24" x14ac:dyDescent="0.2">
      <c r="A129" s="8">
        <v>63.5</v>
      </c>
      <c r="B129" s="8">
        <v>127</v>
      </c>
      <c r="D129">
        <v>1789.8872077029</v>
      </c>
      <c r="E129">
        <v>756.79504814305005</v>
      </c>
      <c r="F129">
        <v>134.11643835615999</v>
      </c>
      <c r="G129">
        <v>115.66849315069</v>
      </c>
      <c r="I129" s="9">
        <f t="shared" si="8"/>
        <v>641.12655499236007</v>
      </c>
      <c r="J129" s="9">
        <f t="shared" si="9"/>
        <v>1655.7707693467401</v>
      </c>
      <c r="K129" s="9">
        <f t="shared" si="10"/>
        <v>641.12655499236007</v>
      </c>
      <c r="L129" s="10">
        <f t="shared" si="7"/>
        <v>0.38720731568736844</v>
      </c>
      <c r="M129" s="10">
        <f t="shared" si="11"/>
        <v>0.45409180025933293</v>
      </c>
      <c r="P129" s="8">
        <f t="shared" si="12"/>
        <v>26.590166235558076</v>
      </c>
      <c r="X129" s="8">
        <v>-13</v>
      </c>
    </row>
    <row r="130" spans="1:24" x14ac:dyDescent="0.2">
      <c r="A130" s="8">
        <v>64</v>
      </c>
      <c r="B130" s="8">
        <v>128</v>
      </c>
      <c r="D130">
        <v>1841.2255845942</v>
      </c>
      <c r="E130">
        <v>785.43053645117004</v>
      </c>
      <c r="F130">
        <v>133.60136986301001</v>
      </c>
      <c r="G130">
        <v>115.62602739726</v>
      </c>
      <c r="I130" s="9">
        <f t="shared" si="8"/>
        <v>669.80450905391001</v>
      </c>
      <c r="J130" s="9">
        <f t="shared" si="9"/>
        <v>1707.62421473119</v>
      </c>
      <c r="K130" s="9">
        <f t="shared" si="10"/>
        <v>669.80450905391001</v>
      </c>
      <c r="L130" s="10">
        <f t="shared" ref="L130:L193" si="14">K130/J130</f>
        <v>0.3922435060803755</v>
      </c>
      <c r="M130" s="10">
        <f t="shared" si="11"/>
        <v>0.45965464013715862</v>
      </c>
      <c r="P130" s="8">
        <f t="shared" si="12"/>
        <v>28.140955799416258</v>
      </c>
      <c r="X130" s="8">
        <v>-13</v>
      </c>
    </row>
    <row r="131" spans="1:24" x14ac:dyDescent="0.2">
      <c r="A131" s="8">
        <v>64.5</v>
      </c>
      <c r="B131" s="8">
        <v>129</v>
      </c>
      <c r="D131">
        <v>1812.7744154058</v>
      </c>
      <c r="E131">
        <v>792.14030261348</v>
      </c>
      <c r="F131">
        <v>133.88356164384001</v>
      </c>
      <c r="G131">
        <v>115.60821917808001</v>
      </c>
      <c r="I131" s="9">
        <f t="shared" ref="I131:I194" si="15">E131-G131</f>
        <v>676.53208343539995</v>
      </c>
      <c r="J131" s="9">
        <f t="shared" ref="J131:J194" si="16">D131-F131</f>
        <v>1678.89085376196</v>
      </c>
      <c r="K131" s="9">
        <f t="shared" ref="K131:K194" si="17">I131*1</f>
        <v>676.53208343539995</v>
      </c>
      <c r="L131" s="10">
        <f t="shared" si="14"/>
        <v>0.40296370780713148</v>
      </c>
      <c r="M131" s="10">
        <f t="shared" ref="M131:M181" si="18">L131+ABS($N$2)*A131</f>
        <v>0.47090149134873321</v>
      </c>
      <c r="P131" s="8">
        <f t="shared" ref="P131:P194" si="19">(M131-$O$2)/$O$2*100</f>
        <v>31.276314693117296</v>
      </c>
      <c r="X131" s="8">
        <v>-13</v>
      </c>
    </row>
    <row r="132" spans="1:24" x14ac:dyDescent="0.2">
      <c r="A132" s="8">
        <v>65</v>
      </c>
      <c r="B132" s="8">
        <v>130</v>
      </c>
      <c r="D132">
        <v>1892.647632312</v>
      </c>
      <c r="E132">
        <v>805.59749303621004</v>
      </c>
      <c r="F132">
        <v>134.01643835615999</v>
      </c>
      <c r="G132">
        <v>115.47671232877001</v>
      </c>
      <c r="I132" s="9">
        <f t="shared" si="15"/>
        <v>690.12078070744008</v>
      </c>
      <c r="J132" s="9">
        <f t="shared" si="16"/>
        <v>1758.63119395584</v>
      </c>
      <c r="K132" s="9">
        <f t="shared" si="17"/>
        <v>690.12078070744008</v>
      </c>
      <c r="L132" s="10">
        <f t="shared" si="14"/>
        <v>0.39241927646870189</v>
      </c>
      <c r="M132" s="10">
        <f t="shared" si="18"/>
        <v>0.46088370949512225</v>
      </c>
      <c r="P132" s="8">
        <f t="shared" si="19"/>
        <v>28.483591570973438</v>
      </c>
      <c r="X132" s="8">
        <v>-13</v>
      </c>
    </row>
    <row r="133" spans="1:24" x14ac:dyDescent="0.2">
      <c r="A133" s="8">
        <v>65.5</v>
      </c>
      <c r="B133" s="8">
        <v>131</v>
      </c>
      <c r="D133">
        <v>1964.7130919220001</v>
      </c>
      <c r="E133">
        <v>832.27715877437004</v>
      </c>
      <c r="F133">
        <v>134.71369863013999</v>
      </c>
      <c r="G133">
        <v>115.79863013699</v>
      </c>
      <c r="I133" s="9">
        <f t="shared" si="15"/>
        <v>716.47852863738001</v>
      </c>
      <c r="J133" s="9">
        <f t="shared" si="16"/>
        <v>1829.9993932918601</v>
      </c>
      <c r="K133" s="9">
        <f t="shared" si="17"/>
        <v>716.47852863738001</v>
      </c>
      <c r="L133" s="10">
        <f t="shared" si="14"/>
        <v>0.3915184514616456</v>
      </c>
      <c r="M133" s="10">
        <f t="shared" si="18"/>
        <v>0.46050953397288458</v>
      </c>
      <c r="P133" s="8">
        <f t="shared" si="19"/>
        <v>28.379280192669992</v>
      </c>
      <c r="X133" s="8">
        <v>-13</v>
      </c>
    </row>
    <row r="134" spans="1:24" x14ac:dyDescent="0.2">
      <c r="A134" s="8">
        <v>66</v>
      </c>
      <c r="B134" s="8">
        <v>132</v>
      </c>
      <c r="D134">
        <v>1947.4192200557</v>
      </c>
      <c r="E134">
        <v>846.73537604456999</v>
      </c>
      <c r="F134">
        <v>133.84246575342999</v>
      </c>
      <c r="G134">
        <v>115.81095890411</v>
      </c>
      <c r="I134" s="9">
        <f t="shared" si="15"/>
        <v>730.92441714046004</v>
      </c>
      <c r="J134" s="9">
        <f t="shared" si="16"/>
        <v>1813.57675430227</v>
      </c>
      <c r="K134" s="9">
        <f t="shared" si="17"/>
        <v>730.92441714046004</v>
      </c>
      <c r="L134" s="10">
        <f t="shared" si="14"/>
        <v>0.40302921583358381</v>
      </c>
      <c r="M134" s="10">
        <f t="shared" si="18"/>
        <v>0.47254694782964135</v>
      </c>
      <c r="P134" s="8">
        <f t="shared" si="19"/>
        <v>31.735029449324248</v>
      </c>
      <c r="X134" s="8">
        <v>-13</v>
      </c>
    </row>
    <row r="135" spans="1:24" x14ac:dyDescent="0.2">
      <c r="A135" s="8">
        <v>66.5</v>
      </c>
      <c r="B135" s="8">
        <v>133</v>
      </c>
      <c r="D135">
        <v>1787.1615598886001</v>
      </c>
      <c r="E135">
        <v>801.31058495822003</v>
      </c>
      <c r="F135">
        <v>134.06438356164</v>
      </c>
      <c r="G135">
        <v>115.6904109589</v>
      </c>
      <c r="I135" s="9">
        <f t="shared" si="15"/>
        <v>685.62017399932006</v>
      </c>
      <c r="J135" s="9">
        <f t="shared" si="16"/>
        <v>1653.0971763269602</v>
      </c>
      <c r="K135" s="9">
        <f t="shared" si="17"/>
        <v>685.62017399932006</v>
      </c>
      <c r="L135" s="10">
        <f t="shared" si="14"/>
        <v>0.41474886281199097</v>
      </c>
      <c r="M135" s="10">
        <f t="shared" si="18"/>
        <v>0.48479324429286719</v>
      </c>
      <c r="P135" s="8">
        <f t="shared" si="19"/>
        <v>35.149010287921925</v>
      </c>
      <c r="X135" s="8">
        <v>-13</v>
      </c>
    </row>
    <row r="136" spans="1:24" x14ac:dyDescent="0.2">
      <c r="A136" s="8">
        <v>67</v>
      </c>
      <c r="B136" s="8">
        <v>134</v>
      </c>
      <c r="D136">
        <v>1937.4505494506</v>
      </c>
      <c r="E136">
        <v>815.43269230768999</v>
      </c>
      <c r="F136">
        <v>133.94109589041</v>
      </c>
      <c r="G136">
        <v>115.73287671233</v>
      </c>
      <c r="I136" s="9">
        <f t="shared" si="15"/>
        <v>699.69981559535995</v>
      </c>
      <c r="J136" s="9">
        <f t="shared" si="16"/>
        <v>1803.50945356019</v>
      </c>
      <c r="K136" s="9">
        <f t="shared" si="17"/>
        <v>699.69981559535995</v>
      </c>
      <c r="L136" s="10">
        <f t="shared" si="14"/>
        <v>0.38796570442928829</v>
      </c>
      <c r="M136" s="10">
        <f t="shared" si="18"/>
        <v>0.45853673539498307</v>
      </c>
      <c r="P136" s="8">
        <f t="shared" si="19"/>
        <v>27.829310121016643</v>
      </c>
      <c r="X136" s="8">
        <v>-13</v>
      </c>
    </row>
    <row r="137" spans="1:24" x14ac:dyDescent="0.2">
      <c r="A137" s="8">
        <v>67.5</v>
      </c>
      <c r="B137" s="8">
        <v>135</v>
      </c>
      <c r="D137">
        <v>1939.2582417582</v>
      </c>
      <c r="E137">
        <v>826.31868131867998</v>
      </c>
      <c r="F137">
        <v>134.13150684932</v>
      </c>
      <c r="G137">
        <v>115.4301369863</v>
      </c>
      <c r="I137" s="9">
        <f t="shared" si="15"/>
        <v>710.88854433237998</v>
      </c>
      <c r="J137" s="9">
        <f t="shared" si="16"/>
        <v>1805.1267349088801</v>
      </c>
      <c r="K137" s="9">
        <f t="shared" si="17"/>
        <v>710.88854433237998</v>
      </c>
      <c r="L137" s="10">
        <f t="shared" si="14"/>
        <v>0.39381641775321913</v>
      </c>
      <c r="M137" s="10">
        <f t="shared" si="18"/>
        <v>0.46491409820373253</v>
      </c>
      <c r="P137" s="8">
        <f t="shared" si="19"/>
        <v>29.607169614720341</v>
      </c>
      <c r="X137" s="8">
        <v>-13</v>
      </c>
    </row>
    <row r="138" spans="1:24" x14ac:dyDescent="0.2">
      <c r="A138" s="8">
        <v>68</v>
      </c>
      <c r="B138" s="8">
        <v>136</v>
      </c>
      <c r="D138">
        <v>1929.0247252746999</v>
      </c>
      <c r="E138">
        <v>804.70192307692002</v>
      </c>
      <c r="F138">
        <v>133.81369863014001</v>
      </c>
      <c r="G138">
        <v>115.86575342466</v>
      </c>
      <c r="I138" s="9">
        <f t="shared" si="15"/>
        <v>688.83616965225997</v>
      </c>
      <c r="J138" s="9">
        <f t="shared" si="16"/>
        <v>1795.21102664456</v>
      </c>
      <c r="K138" s="9">
        <f t="shared" si="17"/>
        <v>688.83616965225997</v>
      </c>
      <c r="L138" s="10">
        <f t="shared" si="14"/>
        <v>0.38370763070666286</v>
      </c>
      <c r="M138" s="10">
        <f t="shared" si="18"/>
        <v>0.45533196064199488</v>
      </c>
      <c r="P138" s="8">
        <f t="shared" si="19"/>
        <v>26.935893925224068</v>
      </c>
      <c r="X138" s="8">
        <v>-13</v>
      </c>
    </row>
    <row r="139" spans="1:24" x14ac:dyDescent="0.2">
      <c r="A139" s="8">
        <v>68.5</v>
      </c>
      <c r="B139" s="8">
        <v>137</v>
      </c>
      <c r="D139">
        <v>1889.2541208790999</v>
      </c>
      <c r="E139">
        <v>785.61263736264004</v>
      </c>
      <c r="F139">
        <v>133.82328767122999</v>
      </c>
      <c r="G139">
        <v>115.74246575343</v>
      </c>
      <c r="I139" s="9">
        <f t="shared" si="15"/>
        <v>669.87017160921005</v>
      </c>
      <c r="J139" s="9">
        <f t="shared" si="16"/>
        <v>1755.4308332078699</v>
      </c>
      <c r="K139" s="9">
        <f t="shared" si="17"/>
        <v>669.87017160921005</v>
      </c>
      <c r="L139" s="10">
        <f t="shared" si="14"/>
        <v>0.38159872718259769</v>
      </c>
      <c r="M139" s="10">
        <f t="shared" si="18"/>
        <v>0.45374970660274838</v>
      </c>
      <c r="P139" s="8">
        <f t="shared" si="19"/>
        <v>26.494798530546809</v>
      </c>
      <c r="X139" s="8">
        <v>-13</v>
      </c>
    </row>
    <row r="140" spans="1:24" x14ac:dyDescent="0.2">
      <c r="A140" s="8">
        <v>69</v>
      </c>
      <c r="B140" s="8">
        <v>138</v>
      </c>
      <c r="D140">
        <v>1975.0315934066</v>
      </c>
      <c r="E140">
        <v>812.54807692307998</v>
      </c>
      <c r="F140">
        <v>134.48767123287999</v>
      </c>
      <c r="G140">
        <v>115.78767123288</v>
      </c>
      <c r="I140" s="9">
        <f t="shared" si="15"/>
        <v>696.76040569019995</v>
      </c>
      <c r="J140" s="9">
        <f t="shared" si="16"/>
        <v>1840.5439221737199</v>
      </c>
      <c r="K140" s="9">
        <f t="shared" si="17"/>
        <v>696.76040569019995</v>
      </c>
      <c r="L140" s="10">
        <f t="shared" si="14"/>
        <v>0.37856222679397494</v>
      </c>
      <c r="M140" s="10">
        <f t="shared" si="18"/>
        <v>0.4512398556989442</v>
      </c>
      <c r="P140" s="8">
        <f t="shared" si="19"/>
        <v>25.795110839737184</v>
      </c>
      <c r="X140" s="8">
        <v>-13</v>
      </c>
    </row>
    <row r="141" spans="1:24" x14ac:dyDescent="0.2">
      <c r="A141" s="8">
        <v>69.5</v>
      </c>
      <c r="B141" s="8">
        <v>139</v>
      </c>
      <c r="D141">
        <v>1936.4615384614999</v>
      </c>
      <c r="E141">
        <v>782.35302197802002</v>
      </c>
      <c r="F141">
        <v>133.55479452054999</v>
      </c>
      <c r="G141">
        <v>115.79315068493</v>
      </c>
      <c r="I141" s="9">
        <f t="shared" si="15"/>
        <v>666.55987129309005</v>
      </c>
      <c r="J141" s="9">
        <f t="shared" si="16"/>
        <v>1802.90674394095</v>
      </c>
      <c r="K141" s="9">
        <f t="shared" si="17"/>
        <v>666.55987129309005</v>
      </c>
      <c r="L141" s="10">
        <f t="shared" si="14"/>
        <v>0.36971400408435195</v>
      </c>
      <c r="M141" s="10">
        <f t="shared" si="18"/>
        <v>0.44291828247413989</v>
      </c>
      <c r="P141" s="8">
        <f t="shared" si="19"/>
        <v>23.475250984818576</v>
      </c>
      <c r="X141" s="8">
        <v>-13</v>
      </c>
    </row>
    <row r="142" spans="1:24" x14ac:dyDescent="0.2">
      <c r="A142" s="8">
        <v>70</v>
      </c>
      <c r="B142" s="8">
        <v>140</v>
      </c>
      <c r="D142">
        <v>1887.4766483517001</v>
      </c>
      <c r="E142">
        <v>772.23214285714005</v>
      </c>
      <c r="F142">
        <v>133.39178082192001</v>
      </c>
      <c r="G142">
        <v>115.68630136986</v>
      </c>
      <c r="I142" s="9">
        <f t="shared" si="15"/>
        <v>656.54584148728009</v>
      </c>
      <c r="J142" s="9">
        <f t="shared" si="16"/>
        <v>1754.08486752978</v>
      </c>
      <c r="K142" s="9">
        <f t="shared" si="17"/>
        <v>656.54584148728009</v>
      </c>
      <c r="L142" s="10">
        <f t="shared" si="14"/>
        <v>0.37429536828048232</v>
      </c>
      <c r="M142" s="10">
        <f t="shared" si="18"/>
        <v>0.44802629615508882</v>
      </c>
      <c r="P142" s="8">
        <f t="shared" si="19"/>
        <v>24.899245649852254</v>
      </c>
      <c r="X142" s="8">
        <v>-13</v>
      </c>
    </row>
    <row r="143" spans="1:24" x14ac:dyDescent="0.2">
      <c r="A143" s="8">
        <v>70.5</v>
      </c>
      <c r="B143" s="8">
        <v>141</v>
      </c>
      <c r="D143">
        <v>1863.8818681319001</v>
      </c>
      <c r="E143">
        <v>753.79258241757998</v>
      </c>
      <c r="F143">
        <v>134.03424657534001</v>
      </c>
      <c r="G143">
        <v>115.74109589040999</v>
      </c>
      <c r="I143" s="9">
        <f t="shared" si="15"/>
        <v>638.05148652717003</v>
      </c>
      <c r="J143" s="9">
        <f t="shared" si="16"/>
        <v>1729.8476215565602</v>
      </c>
      <c r="K143" s="9">
        <f t="shared" si="17"/>
        <v>638.05148652717003</v>
      </c>
      <c r="L143" s="10">
        <f t="shared" si="14"/>
        <v>0.36884837634024398</v>
      </c>
      <c r="M143" s="10">
        <f t="shared" si="18"/>
        <v>0.4431059536996691</v>
      </c>
      <c r="P143" s="8">
        <f t="shared" si="19"/>
        <v>23.527569330192364</v>
      </c>
      <c r="X143" s="8">
        <v>-13</v>
      </c>
    </row>
    <row r="144" spans="1:24" x14ac:dyDescent="0.2">
      <c r="A144" s="8">
        <v>71</v>
      </c>
      <c r="B144" s="8">
        <v>142</v>
      </c>
      <c r="D144">
        <v>1877.1043956044</v>
      </c>
      <c r="E144">
        <v>750.52884615385005</v>
      </c>
      <c r="F144">
        <v>134.13561643835999</v>
      </c>
      <c r="G144">
        <v>115.65479452055</v>
      </c>
      <c r="I144" s="9">
        <f t="shared" si="15"/>
        <v>634.87405163330004</v>
      </c>
      <c r="J144" s="9">
        <f t="shared" si="16"/>
        <v>1742.9687791660399</v>
      </c>
      <c r="K144" s="9">
        <f t="shared" si="17"/>
        <v>634.87405163330004</v>
      </c>
      <c r="L144" s="10">
        <f t="shared" si="14"/>
        <v>0.36424866539323147</v>
      </c>
      <c r="M144" s="10">
        <f t="shared" si="18"/>
        <v>0.43903289223747521</v>
      </c>
      <c r="P144" s="8">
        <f t="shared" si="19"/>
        <v>22.392095121470025</v>
      </c>
    </row>
    <row r="145" spans="1:16" x14ac:dyDescent="0.2">
      <c r="A145" s="8">
        <v>71.5</v>
      </c>
      <c r="B145" s="8">
        <v>143</v>
      </c>
      <c r="D145">
        <v>1902.1771978022</v>
      </c>
      <c r="E145">
        <v>766.53021978022002</v>
      </c>
      <c r="F145">
        <v>134.15205479452001</v>
      </c>
      <c r="G145">
        <v>115.61506849315001</v>
      </c>
      <c r="I145" s="9">
        <f t="shared" si="15"/>
        <v>650.91515128706999</v>
      </c>
      <c r="J145" s="9">
        <f t="shared" si="16"/>
        <v>1768.0251430076801</v>
      </c>
      <c r="K145" s="9">
        <f t="shared" si="17"/>
        <v>650.91515128706999</v>
      </c>
      <c r="L145" s="10">
        <f t="shared" si="14"/>
        <v>0.36815944267611722</v>
      </c>
      <c r="M145" s="10">
        <f t="shared" si="18"/>
        <v>0.44347031900517958</v>
      </c>
      <c r="P145" s="8">
        <f t="shared" si="19"/>
        <v>23.629145849673005</v>
      </c>
    </row>
    <row r="146" spans="1:16" x14ac:dyDescent="0.2">
      <c r="A146" s="8">
        <v>72</v>
      </c>
      <c r="B146" s="8">
        <v>144</v>
      </c>
      <c r="D146">
        <v>1860.7664835165001</v>
      </c>
      <c r="E146">
        <v>760.41346153845996</v>
      </c>
      <c r="F146">
        <v>133.57260273973</v>
      </c>
      <c r="G146">
        <v>115.62191780822</v>
      </c>
      <c r="I146" s="9">
        <f t="shared" si="15"/>
        <v>644.79154373023994</v>
      </c>
      <c r="J146" s="9">
        <f t="shared" si="16"/>
        <v>1727.1938807767701</v>
      </c>
      <c r="K146" s="9">
        <f t="shared" si="17"/>
        <v>644.79154373023994</v>
      </c>
      <c r="L146" s="10">
        <f t="shared" si="14"/>
        <v>0.37331740860514057</v>
      </c>
      <c r="M146" s="10">
        <f t="shared" si="18"/>
        <v>0.44915493441902155</v>
      </c>
      <c r="P146" s="8">
        <f t="shared" si="19"/>
        <v>25.213883582907776</v>
      </c>
    </row>
    <row r="147" spans="1:16" x14ac:dyDescent="0.2">
      <c r="A147" s="8">
        <v>72.5</v>
      </c>
      <c r="B147" s="8">
        <v>145</v>
      </c>
      <c r="D147">
        <v>1842.3736263736</v>
      </c>
      <c r="E147">
        <v>739.92857142856997</v>
      </c>
      <c r="F147">
        <v>134.36164383561999</v>
      </c>
      <c r="G147">
        <v>115.44931506848999</v>
      </c>
      <c r="I147" s="9">
        <f t="shared" si="15"/>
        <v>624.47925636007994</v>
      </c>
      <c r="J147" s="9">
        <f t="shared" si="16"/>
        <v>1708.01198253798</v>
      </c>
      <c r="K147" s="9">
        <f t="shared" si="17"/>
        <v>624.47925636007994</v>
      </c>
      <c r="L147" s="10">
        <f t="shared" si="14"/>
        <v>0.36561760850889918</v>
      </c>
      <c r="M147" s="10">
        <f t="shared" si="18"/>
        <v>0.44198178380759878</v>
      </c>
      <c r="P147" s="8">
        <f t="shared" si="19"/>
        <v>23.214177074633209</v>
      </c>
    </row>
    <row r="148" spans="1:16" x14ac:dyDescent="0.2">
      <c r="A148" s="8">
        <v>73</v>
      </c>
      <c r="B148" s="8">
        <v>146</v>
      </c>
      <c r="D148">
        <v>1904.864010989</v>
      </c>
      <c r="E148">
        <v>747.59065934065995</v>
      </c>
      <c r="F148">
        <v>133.80547945206001</v>
      </c>
      <c r="G148">
        <v>115.23424657533999</v>
      </c>
      <c r="I148" s="9">
        <f t="shared" si="15"/>
        <v>632.35641276531999</v>
      </c>
      <c r="J148" s="9">
        <f t="shared" si="16"/>
        <v>1771.0585315369399</v>
      </c>
      <c r="K148" s="9">
        <f t="shared" si="17"/>
        <v>632.35641276531999</v>
      </c>
      <c r="L148" s="10">
        <f t="shared" si="14"/>
        <v>0.35704997971837532</v>
      </c>
      <c r="M148" s="10">
        <f t="shared" si="18"/>
        <v>0.43394080450189354</v>
      </c>
      <c r="P148" s="8">
        <f t="shared" si="19"/>
        <v>20.972540237269971</v>
      </c>
    </row>
    <row r="149" spans="1:16" x14ac:dyDescent="0.2">
      <c r="A149" s="8">
        <v>73.5</v>
      </c>
      <c r="B149" s="8">
        <v>147</v>
      </c>
      <c r="D149">
        <v>1939.4862637363001</v>
      </c>
      <c r="E149">
        <v>761.79807692307998</v>
      </c>
      <c r="F149">
        <v>134.00958904110001</v>
      </c>
      <c r="G149">
        <v>115.50410958904</v>
      </c>
      <c r="I149" s="9">
        <f t="shared" si="15"/>
        <v>646.29396733403996</v>
      </c>
      <c r="J149" s="9">
        <f t="shared" si="16"/>
        <v>1805.4766746952</v>
      </c>
      <c r="K149" s="9">
        <f t="shared" si="17"/>
        <v>646.29396733403996</v>
      </c>
      <c r="L149" s="10">
        <f t="shared" si="14"/>
        <v>0.35796306670267403</v>
      </c>
      <c r="M149" s="10">
        <f t="shared" si="18"/>
        <v>0.43538054097101087</v>
      </c>
      <c r="P149" s="8">
        <f t="shared" si="19"/>
        <v>21.373905068911657</v>
      </c>
    </row>
    <row r="150" spans="1:16" x14ac:dyDescent="0.2">
      <c r="A150" s="8">
        <v>74</v>
      </c>
      <c r="B150" s="8">
        <v>148</v>
      </c>
      <c r="D150">
        <v>1923.6708333332999</v>
      </c>
      <c r="E150">
        <v>782.45138888889005</v>
      </c>
      <c r="F150">
        <v>134.57671232876999</v>
      </c>
      <c r="G150">
        <v>115.70273972603</v>
      </c>
      <c r="I150" s="9">
        <f t="shared" si="15"/>
        <v>666.74864916286003</v>
      </c>
      <c r="J150" s="9">
        <f t="shared" si="16"/>
        <v>1789.0941210045298</v>
      </c>
      <c r="K150" s="9">
        <f t="shared" si="17"/>
        <v>666.74864916286003</v>
      </c>
      <c r="L150" s="10">
        <f t="shared" si="14"/>
        <v>0.37267388078414676</v>
      </c>
      <c r="M150" s="10">
        <f t="shared" si="18"/>
        <v>0.45061800453730222</v>
      </c>
      <c r="P150" s="8">
        <f t="shared" si="19"/>
        <v>25.621753289829709</v>
      </c>
    </row>
    <row r="151" spans="1:16" x14ac:dyDescent="0.2">
      <c r="A151" s="8">
        <v>74.5</v>
      </c>
      <c r="B151" s="8">
        <v>149</v>
      </c>
      <c r="D151">
        <v>1916.7243767313</v>
      </c>
      <c r="E151">
        <v>782.70914127423998</v>
      </c>
      <c r="F151">
        <v>133.08630136986</v>
      </c>
      <c r="G151">
        <v>115.68630136986</v>
      </c>
      <c r="I151" s="9">
        <f t="shared" si="15"/>
        <v>667.02283990438002</v>
      </c>
      <c r="J151" s="9">
        <f t="shared" si="16"/>
        <v>1783.6380753614401</v>
      </c>
      <c r="K151" s="9">
        <f t="shared" si="17"/>
        <v>667.02283990438002</v>
      </c>
      <c r="L151" s="10">
        <f t="shared" si="14"/>
        <v>0.37396759416520819</v>
      </c>
      <c r="M151" s="10">
        <f t="shared" si="18"/>
        <v>0.45243836740318227</v>
      </c>
      <c r="P151" s="8">
        <f t="shared" si="19"/>
        <v>26.129227852614566</v>
      </c>
    </row>
    <row r="152" spans="1:16" x14ac:dyDescent="0.2">
      <c r="A152" s="8">
        <v>75</v>
      </c>
      <c r="B152" s="8">
        <v>150</v>
      </c>
      <c r="D152">
        <v>1920.5180055402</v>
      </c>
      <c r="E152">
        <v>784.38365650970002</v>
      </c>
      <c r="F152">
        <v>134.03013698629999</v>
      </c>
      <c r="G152">
        <v>115.20547945206</v>
      </c>
      <c r="I152" s="9">
        <f t="shared" si="15"/>
        <v>669.17817705764003</v>
      </c>
      <c r="J152" s="9">
        <f t="shared" si="16"/>
        <v>1786.4878685538999</v>
      </c>
      <c r="K152" s="9">
        <f t="shared" si="17"/>
        <v>669.17817705764003</v>
      </c>
      <c r="L152" s="10">
        <f t="shared" si="14"/>
        <v>0.3745775097814219</v>
      </c>
      <c r="M152" s="10">
        <f t="shared" si="18"/>
        <v>0.4535749325042146</v>
      </c>
      <c r="P152" s="8">
        <f t="shared" si="19"/>
        <v>26.446075602331799</v>
      </c>
    </row>
    <row r="153" spans="1:16" x14ac:dyDescent="0.2">
      <c r="A153" s="8">
        <v>75.5</v>
      </c>
      <c r="B153" s="8">
        <v>151</v>
      </c>
      <c r="D153">
        <v>1861.1108033241001</v>
      </c>
      <c r="E153">
        <v>759.37396121884001</v>
      </c>
      <c r="F153">
        <v>134.2602739726</v>
      </c>
      <c r="G153">
        <v>115.32602739726001</v>
      </c>
      <c r="I153" s="9">
        <f t="shared" si="15"/>
        <v>644.04793382158005</v>
      </c>
      <c r="J153" s="9">
        <f t="shared" si="16"/>
        <v>1726.8505293515</v>
      </c>
      <c r="K153" s="9">
        <f t="shared" si="17"/>
        <v>644.04793382158005</v>
      </c>
      <c r="L153" s="10">
        <f t="shared" si="14"/>
        <v>0.3729610194250253</v>
      </c>
      <c r="M153" s="10">
        <f t="shared" si="18"/>
        <v>0.45248509163263662</v>
      </c>
      <c r="P153" s="8">
        <f t="shared" si="19"/>
        <v>26.142253474241016</v>
      </c>
    </row>
    <row r="154" spans="1:16" x14ac:dyDescent="0.2">
      <c r="A154" s="8">
        <v>76</v>
      </c>
      <c r="B154" s="8">
        <v>152</v>
      </c>
      <c r="D154">
        <v>1801.7770083103001</v>
      </c>
      <c r="E154">
        <v>742.70360110802994</v>
      </c>
      <c r="F154">
        <v>133.7794520548</v>
      </c>
      <c r="G154">
        <v>115.33561643836001</v>
      </c>
      <c r="I154" s="9">
        <f t="shared" si="15"/>
        <v>627.36798466966991</v>
      </c>
      <c r="J154" s="9">
        <f t="shared" si="16"/>
        <v>1667.9975562555001</v>
      </c>
      <c r="K154" s="9">
        <f t="shared" si="17"/>
        <v>627.36798466966991</v>
      </c>
      <c r="L154" s="10">
        <f t="shared" si="14"/>
        <v>0.37612044593042027</v>
      </c>
      <c r="M154" s="10">
        <f t="shared" si="18"/>
        <v>0.4561711676228502</v>
      </c>
      <c r="P154" s="8">
        <f t="shared" si="19"/>
        <v>27.169845190478902</v>
      </c>
    </row>
    <row r="155" spans="1:16" x14ac:dyDescent="0.2">
      <c r="A155" s="8">
        <v>76.5</v>
      </c>
      <c r="B155" s="8">
        <v>153</v>
      </c>
      <c r="D155">
        <v>1887.7693370166</v>
      </c>
      <c r="E155">
        <v>804.59944751380999</v>
      </c>
      <c r="F155">
        <v>133.46575342465999</v>
      </c>
      <c r="G155">
        <v>115.84246575343001</v>
      </c>
      <c r="I155" s="9">
        <f t="shared" si="15"/>
        <v>688.75698176037997</v>
      </c>
      <c r="J155" s="9">
        <f t="shared" si="16"/>
        <v>1754.30358359194</v>
      </c>
      <c r="K155" s="9">
        <f t="shared" si="17"/>
        <v>688.75698176037997</v>
      </c>
      <c r="L155" s="10">
        <f t="shared" si="14"/>
        <v>0.39260991552565189</v>
      </c>
      <c r="M155" s="10">
        <f t="shared" si="18"/>
        <v>0.47318728670290044</v>
      </c>
      <c r="P155" s="8">
        <f t="shared" si="19"/>
        <v>31.913540940539605</v>
      </c>
    </row>
    <row r="156" spans="1:16" x14ac:dyDescent="0.2">
      <c r="A156" s="8">
        <v>77</v>
      </c>
      <c r="B156" s="8">
        <v>154</v>
      </c>
      <c r="D156">
        <v>1860.3356353591</v>
      </c>
      <c r="E156">
        <v>829.07044198895005</v>
      </c>
      <c r="F156">
        <v>134.6397260274</v>
      </c>
      <c r="G156">
        <v>115.91232876712</v>
      </c>
      <c r="I156" s="9">
        <f t="shared" si="15"/>
        <v>713.15811322183004</v>
      </c>
      <c r="J156" s="9">
        <f t="shared" si="16"/>
        <v>1725.6959093317</v>
      </c>
      <c r="K156" s="9">
        <f t="shared" si="17"/>
        <v>713.15811322183004</v>
      </c>
      <c r="L156" s="10">
        <f t="shared" si="14"/>
        <v>0.41325827416373173</v>
      </c>
      <c r="M156" s="10">
        <f t="shared" si="18"/>
        <v>0.49436229482579891</v>
      </c>
      <c r="P156" s="8">
        <f t="shared" si="19"/>
        <v>37.816637620079163</v>
      </c>
    </row>
    <row r="157" spans="1:16" x14ac:dyDescent="0.2">
      <c r="A157" s="8">
        <v>77.5</v>
      </c>
      <c r="B157" s="8">
        <v>155</v>
      </c>
      <c r="D157">
        <v>1868.6450276242999</v>
      </c>
      <c r="E157">
        <v>849.77762430939003</v>
      </c>
      <c r="F157">
        <v>134.06301369862999</v>
      </c>
      <c r="G157">
        <v>115.81095890411</v>
      </c>
      <c r="I157" s="9">
        <f t="shared" si="15"/>
        <v>733.96666540528008</v>
      </c>
      <c r="J157" s="9">
        <f t="shared" si="16"/>
        <v>1734.58201392567</v>
      </c>
      <c r="K157" s="9">
        <f t="shared" si="17"/>
        <v>733.96666540528008</v>
      </c>
      <c r="L157" s="10">
        <f t="shared" si="14"/>
        <v>0.423137481832976</v>
      </c>
      <c r="M157" s="10">
        <f t="shared" si="18"/>
        <v>0.5047681519798618</v>
      </c>
      <c r="P157" s="8">
        <f t="shared" si="19"/>
        <v>40.717547053378752</v>
      </c>
    </row>
    <row r="158" spans="1:16" x14ac:dyDescent="0.2">
      <c r="A158" s="8">
        <v>78</v>
      </c>
      <c r="B158" s="8">
        <v>156</v>
      </c>
      <c r="D158">
        <v>1912.7983425414</v>
      </c>
      <c r="E158">
        <v>856.62569060774001</v>
      </c>
      <c r="F158">
        <v>133.40273972603001</v>
      </c>
      <c r="G158">
        <v>115.68493150685001</v>
      </c>
      <c r="I158" s="9">
        <f t="shared" si="15"/>
        <v>740.94075910088998</v>
      </c>
      <c r="J158" s="9">
        <f t="shared" si="16"/>
        <v>1779.39560281537</v>
      </c>
      <c r="K158" s="9">
        <f t="shared" si="17"/>
        <v>740.94075910088998</v>
      </c>
      <c r="L158" s="10">
        <f t="shared" si="14"/>
        <v>0.41640024170486273</v>
      </c>
      <c r="M158" s="10">
        <f t="shared" si="18"/>
        <v>0.49855756133656715</v>
      </c>
      <c r="P158" s="8">
        <f t="shared" si="19"/>
        <v>38.986179736226866</v>
      </c>
    </row>
    <row r="159" spans="1:16" x14ac:dyDescent="0.2">
      <c r="A159" s="8">
        <v>78.5</v>
      </c>
      <c r="B159" s="8">
        <v>157</v>
      </c>
      <c r="D159">
        <v>1878.0847222222001</v>
      </c>
      <c r="E159">
        <v>850.49027777777997</v>
      </c>
      <c r="F159">
        <v>133.82191780822001</v>
      </c>
      <c r="G159">
        <v>115.55616438356</v>
      </c>
      <c r="I159" s="9">
        <f t="shared" si="15"/>
        <v>734.93411339421993</v>
      </c>
      <c r="J159" s="9">
        <f t="shared" si="16"/>
        <v>1744.2628044139801</v>
      </c>
      <c r="K159" s="9">
        <f t="shared" si="17"/>
        <v>734.93411339421993</v>
      </c>
      <c r="L159" s="10">
        <f t="shared" si="14"/>
        <v>0.42134368257719956</v>
      </c>
      <c r="M159" s="10">
        <f t="shared" si="18"/>
        <v>0.50402765169372254</v>
      </c>
      <c r="P159" s="8">
        <f t="shared" si="19"/>
        <v>40.511112904454876</v>
      </c>
    </row>
    <row r="160" spans="1:16" x14ac:dyDescent="0.2">
      <c r="A160" s="8">
        <v>79</v>
      </c>
      <c r="B160" s="8">
        <v>158</v>
      </c>
      <c r="D160">
        <v>1852.5444444443999</v>
      </c>
      <c r="E160">
        <v>833.63333333333003</v>
      </c>
      <c r="F160">
        <v>133.97123287670999</v>
      </c>
      <c r="G160">
        <v>115.6301369863</v>
      </c>
      <c r="I160" s="9">
        <f t="shared" si="15"/>
        <v>718.00319634702998</v>
      </c>
      <c r="J160" s="9">
        <f t="shared" si="16"/>
        <v>1718.5732115676899</v>
      </c>
      <c r="K160" s="9">
        <f t="shared" si="17"/>
        <v>718.00319634702998</v>
      </c>
      <c r="L160" s="10">
        <f t="shared" si="14"/>
        <v>0.41779028761426135</v>
      </c>
      <c r="M160" s="10">
        <f t="shared" si="18"/>
        <v>0.501000906215603</v>
      </c>
      <c r="P160" s="8">
        <f t="shared" si="19"/>
        <v>39.667327103854525</v>
      </c>
    </row>
    <row r="161" spans="1:16" x14ac:dyDescent="0.2">
      <c r="A161" s="8">
        <v>79.5</v>
      </c>
      <c r="B161" s="8">
        <v>159</v>
      </c>
      <c r="D161">
        <v>1786.75</v>
      </c>
      <c r="E161">
        <v>776.99583333332998</v>
      </c>
      <c r="F161">
        <v>133.27123287671</v>
      </c>
      <c r="G161">
        <v>115.31917808219001</v>
      </c>
      <c r="I161" s="9">
        <f t="shared" si="15"/>
        <v>661.67665525114001</v>
      </c>
      <c r="J161" s="9">
        <f t="shared" si="16"/>
        <v>1653.47876712329</v>
      </c>
      <c r="K161" s="9">
        <f t="shared" si="17"/>
        <v>661.67665525114001</v>
      </c>
      <c r="L161" s="10">
        <f t="shared" si="14"/>
        <v>0.40017245362171788</v>
      </c>
      <c r="M161" s="10">
        <f t="shared" si="18"/>
        <v>0.48390972170787816</v>
      </c>
      <c r="P161" s="8">
        <f t="shared" si="19"/>
        <v>34.90270486940797</v>
      </c>
    </row>
    <row r="162" spans="1:16" x14ac:dyDescent="0.2">
      <c r="A162" s="8">
        <v>80</v>
      </c>
      <c r="B162" s="4">
        <v>160</v>
      </c>
      <c r="C162" s="4" t="s">
        <v>6</v>
      </c>
      <c r="D162">
        <v>1872.8767313019</v>
      </c>
      <c r="E162">
        <v>825.83656509695004</v>
      </c>
      <c r="F162">
        <v>133.88904109589001</v>
      </c>
      <c r="G162">
        <v>115.3602739726</v>
      </c>
      <c r="H162" s="4"/>
      <c r="I162" s="5">
        <f t="shared" si="15"/>
        <v>710.47629112435004</v>
      </c>
      <c r="J162" s="5">
        <f t="shared" si="16"/>
        <v>1738.98769020601</v>
      </c>
      <c r="K162" s="9">
        <f t="shared" si="17"/>
        <v>710.47629112435004</v>
      </c>
      <c r="L162" s="6">
        <f t="shared" si="14"/>
        <v>0.40855740102460592</v>
      </c>
      <c r="M162" s="6">
        <f t="shared" si="18"/>
        <v>0.49282131859558481</v>
      </c>
      <c r="N162" s="4"/>
      <c r="O162" s="4"/>
      <c r="P162" s="4">
        <f t="shared" si="19"/>
        <v>37.387049512484097</v>
      </c>
    </row>
    <row r="163" spans="1:16" x14ac:dyDescent="0.2">
      <c r="A163" s="8">
        <v>80.5</v>
      </c>
      <c r="B163" s="8">
        <v>161</v>
      </c>
      <c r="D163">
        <v>1874.6620498615</v>
      </c>
      <c r="E163">
        <v>837.75207756232999</v>
      </c>
      <c r="F163">
        <v>133.62191780821999</v>
      </c>
      <c r="G163">
        <v>115.31643835616001</v>
      </c>
      <c r="I163" s="9">
        <f t="shared" si="15"/>
        <v>722.43563920616998</v>
      </c>
      <c r="J163" s="9">
        <f t="shared" si="16"/>
        <v>1741.0401320532801</v>
      </c>
      <c r="K163" s="9">
        <f t="shared" si="17"/>
        <v>722.43563920616998</v>
      </c>
      <c r="L163" s="10">
        <f t="shared" si="14"/>
        <v>0.41494485158947597</v>
      </c>
      <c r="M163" s="10">
        <f t="shared" si="18"/>
        <v>0.49973541864527349</v>
      </c>
      <c r="P163" s="8">
        <f t="shared" si="19"/>
        <v>39.314538787030578</v>
      </c>
    </row>
    <row r="164" spans="1:16" x14ac:dyDescent="0.2">
      <c r="A164" s="8">
        <v>81</v>
      </c>
      <c r="B164" s="8">
        <v>162</v>
      </c>
      <c r="D164">
        <v>1855.4804469274</v>
      </c>
      <c r="E164">
        <v>862.12150837988997</v>
      </c>
      <c r="F164">
        <v>133.69726027396999</v>
      </c>
      <c r="G164">
        <v>114.98493150685</v>
      </c>
      <c r="I164" s="9">
        <f t="shared" si="15"/>
        <v>747.13657687303999</v>
      </c>
      <c r="J164" s="9">
        <f t="shared" si="16"/>
        <v>1721.78318665343</v>
      </c>
      <c r="K164" s="9">
        <f t="shared" si="17"/>
        <v>747.13657687303999</v>
      </c>
      <c r="L164" s="10">
        <f t="shared" si="14"/>
        <v>0.43393185777660154</v>
      </c>
      <c r="M164" s="10">
        <f t="shared" si="18"/>
        <v>0.51924907431721767</v>
      </c>
      <c r="P164" s="8">
        <f t="shared" si="19"/>
        <v>44.754489285947528</v>
      </c>
    </row>
    <row r="165" spans="1:16" x14ac:dyDescent="0.2">
      <c r="A165" s="8">
        <v>81.5</v>
      </c>
      <c r="B165" s="8">
        <v>163</v>
      </c>
      <c r="D165">
        <v>1767.6117318436</v>
      </c>
      <c r="E165">
        <v>781.92737430167995</v>
      </c>
      <c r="F165">
        <v>134.06027397259999</v>
      </c>
      <c r="G165">
        <v>115.55753424658</v>
      </c>
      <c r="I165" s="9">
        <f t="shared" si="15"/>
        <v>666.36984005509998</v>
      </c>
      <c r="J165" s="9">
        <f t="shared" si="16"/>
        <v>1633.5514578709999</v>
      </c>
      <c r="K165" s="9">
        <f t="shared" si="17"/>
        <v>666.36984005509998</v>
      </c>
      <c r="L165" s="10">
        <f t="shared" si="14"/>
        <v>0.40792705784951316</v>
      </c>
      <c r="M165" s="10">
        <f t="shared" si="18"/>
        <v>0.49377092387494792</v>
      </c>
      <c r="P165" s="8">
        <f t="shared" si="19"/>
        <v>37.651777239573832</v>
      </c>
    </row>
    <row r="166" spans="1:16" x14ac:dyDescent="0.2">
      <c r="A166" s="8">
        <v>82</v>
      </c>
      <c r="B166" s="8">
        <v>164</v>
      </c>
      <c r="D166">
        <v>1915.9930555556</v>
      </c>
      <c r="E166">
        <v>862.77361111110997</v>
      </c>
      <c r="F166">
        <v>133.58767123288001</v>
      </c>
      <c r="G166">
        <v>115.61643835616</v>
      </c>
      <c r="I166" s="9">
        <f t="shared" si="15"/>
        <v>747.15717275495001</v>
      </c>
      <c r="J166" s="9">
        <f t="shared" si="16"/>
        <v>1782.40538432272</v>
      </c>
      <c r="K166" s="9">
        <f t="shared" si="17"/>
        <v>747.15717275495001</v>
      </c>
      <c r="L166" s="10">
        <f t="shared" si="14"/>
        <v>0.41918475972224212</v>
      </c>
      <c r="M166" s="10">
        <f t="shared" si="18"/>
        <v>0.50555527523249544</v>
      </c>
      <c r="P166" s="8">
        <f t="shared" si="19"/>
        <v>40.936978594185838</v>
      </c>
    </row>
    <row r="167" spans="1:16" x14ac:dyDescent="0.2">
      <c r="A167" s="8">
        <v>82.5</v>
      </c>
      <c r="B167" s="8">
        <v>165</v>
      </c>
      <c r="D167">
        <v>1951.1694444443999</v>
      </c>
      <c r="E167">
        <v>894.75277777778001</v>
      </c>
      <c r="F167">
        <v>133.65342465753</v>
      </c>
      <c r="G167">
        <v>115.56438356164</v>
      </c>
      <c r="I167" s="9">
        <f t="shared" si="15"/>
        <v>779.18839421614007</v>
      </c>
      <c r="J167" s="9">
        <f t="shared" si="16"/>
        <v>1817.5160197868699</v>
      </c>
      <c r="K167" s="9">
        <f t="shared" si="17"/>
        <v>779.18839421614007</v>
      </c>
      <c r="L167" s="10">
        <f t="shared" si="14"/>
        <v>0.42871060597722332</v>
      </c>
      <c r="M167" s="10">
        <f t="shared" si="18"/>
        <v>0.51560777097229527</v>
      </c>
      <c r="P167" s="8">
        <f t="shared" si="19"/>
        <v>43.739379135346773</v>
      </c>
    </row>
    <row r="168" spans="1:16" x14ac:dyDescent="0.2">
      <c r="A168" s="8">
        <v>83</v>
      </c>
      <c r="B168" s="8">
        <v>166</v>
      </c>
      <c r="D168">
        <v>1952.7680555556001</v>
      </c>
      <c r="E168">
        <v>899.19861111111004</v>
      </c>
      <c r="F168">
        <v>133.64657534246999</v>
      </c>
      <c r="G168">
        <v>116.08767123288</v>
      </c>
      <c r="I168" s="9">
        <f t="shared" si="15"/>
        <v>783.11093987823006</v>
      </c>
      <c r="J168" s="9">
        <f t="shared" si="16"/>
        <v>1819.1214802131301</v>
      </c>
      <c r="K168" s="9">
        <f t="shared" si="17"/>
        <v>783.11093987823006</v>
      </c>
      <c r="L168" s="10">
        <f t="shared" si="14"/>
        <v>0.43048853438115631</v>
      </c>
      <c r="M168" s="10">
        <f t="shared" si="18"/>
        <v>0.51791234886104687</v>
      </c>
      <c r="P168" s="8">
        <f t="shared" si="19"/>
        <v>44.381841513820127</v>
      </c>
    </row>
    <row r="169" spans="1:16" x14ac:dyDescent="0.2">
      <c r="A169" s="8">
        <v>83.5</v>
      </c>
      <c r="B169" s="8">
        <v>167</v>
      </c>
      <c r="D169">
        <v>2031.1472222222001</v>
      </c>
      <c r="E169">
        <v>955.30972222221999</v>
      </c>
      <c r="F169">
        <v>134.30136986301</v>
      </c>
      <c r="G169">
        <v>115.78356164384</v>
      </c>
      <c r="I169" s="9">
        <f t="shared" si="15"/>
        <v>839.52616057837997</v>
      </c>
      <c r="J169" s="9">
        <f t="shared" si="16"/>
        <v>1896.8458523591901</v>
      </c>
      <c r="K169" s="9">
        <f t="shared" si="17"/>
        <v>839.52616057837997</v>
      </c>
      <c r="L169" s="10">
        <f t="shared" si="14"/>
        <v>0.44259060879102252</v>
      </c>
      <c r="M169" s="10">
        <f t="shared" si="18"/>
        <v>0.5305410727557317</v>
      </c>
      <c r="P169" s="8">
        <f t="shared" si="19"/>
        <v>47.902434169882426</v>
      </c>
    </row>
    <row r="170" spans="1:16" x14ac:dyDescent="0.2">
      <c r="A170" s="8">
        <v>84</v>
      </c>
      <c r="B170" s="8">
        <v>168</v>
      </c>
      <c r="D170">
        <v>1893.8888888889001</v>
      </c>
      <c r="E170">
        <v>881.06944444444002</v>
      </c>
      <c r="F170">
        <v>133.77123287671</v>
      </c>
      <c r="G170">
        <v>115.67260273973</v>
      </c>
      <c r="I170" s="9">
        <f t="shared" si="15"/>
        <v>765.39684170471003</v>
      </c>
      <c r="J170" s="9">
        <f t="shared" si="16"/>
        <v>1760.1176560121901</v>
      </c>
      <c r="K170" s="9">
        <f t="shared" si="17"/>
        <v>765.39684170471003</v>
      </c>
      <c r="L170" s="10">
        <f t="shared" si="14"/>
        <v>0.43485549905727955</v>
      </c>
      <c r="M170" s="10">
        <f t="shared" si="18"/>
        <v>0.5233326125068074</v>
      </c>
      <c r="P170" s="8">
        <f t="shared" si="19"/>
        <v>45.892884161067911</v>
      </c>
    </row>
    <row r="171" spans="1:16" x14ac:dyDescent="0.2">
      <c r="A171" s="8">
        <v>84.5</v>
      </c>
      <c r="B171" s="8">
        <v>169</v>
      </c>
      <c r="D171">
        <v>1736.0833333333001</v>
      </c>
      <c r="E171">
        <v>760.70972222221997</v>
      </c>
      <c r="F171">
        <v>133.39178082192001</v>
      </c>
      <c r="G171">
        <v>115.06575342466</v>
      </c>
      <c r="I171" s="9">
        <f t="shared" si="15"/>
        <v>645.64396879755998</v>
      </c>
      <c r="J171" s="9">
        <f t="shared" si="16"/>
        <v>1602.69155251138</v>
      </c>
      <c r="K171" s="9">
        <f t="shared" si="17"/>
        <v>645.64396879755998</v>
      </c>
      <c r="L171" s="10">
        <f t="shared" si="14"/>
        <v>0.40284979838188517</v>
      </c>
      <c r="M171" s="10">
        <f t="shared" si="18"/>
        <v>0.49185356131623159</v>
      </c>
      <c r="P171" s="8">
        <f t="shared" si="19"/>
        <v>37.117261432631011</v>
      </c>
    </row>
    <row r="172" spans="1:16" x14ac:dyDescent="0.2">
      <c r="A172" s="8">
        <v>85</v>
      </c>
      <c r="B172" s="8">
        <v>170</v>
      </c>
      <c r="D172">
        <v>1792.0317679558</v>
      </c>
      <c r="E172">
        <v>792.15469613259995</v>
      </c>
      <c r="F172">
        <v>134.16164383562</v>
      </c>
      <c r="G172">
        <v>115.63835616438</v>
      </c>
      <c r="I172" s="9">
        <f t="shared" si="15"/>
        <v>676.51633996822</v>
      </c>
      <c r="J172" s="9">
        <f t="shared" si="16"/>
        <v>1657.87012412018</v>
      </c>
      <c r="K172" s="9">
        <f t="shared" si="17"/>
        <v>676.51633996822</v>
      </c>
      <c r="L172" s="10">
        <f t="shared" si="14"/>
        <v>0.40806353291832342</v>
      </c>
      <c r="M172" s="10">
        <f t="shared" si="18"/>
        <v>0.49759394533748846</v>
      </c>
      <c r="P172" s="8">
        <f t="shared" si="19"/>
        <v>38.717546148390781</v>
      </c>
    </row>
    <row r="173" spans="1:16" x14ac:dyDescent="0.2">
      <c r="A173" s="8">
        <v>85.5</v>
      </c>
      <c r="B173" s="8">
        <v>171</v>
      </c>
      <c r="D173">
        <v>1880.0452674897001</v>
      </c>
      <c r="E173">
        <v>819.46364883401998</v>
      </c>
      <c r="F173">
        <v>133.91917808219</v>
      </c>
      <c r="G173">
        <v>115.40273972603001</v>
      </c>
      <c r="I173" s="9">
        <f t="shared" si="15"/>
        <v>704.06090910799003</v>
      </c>
      <c r="J173" s="9">
        <f t="shared" si="16"/>
        <v>1746.1260894075101</v>
      </c>
      <c r="K173" s="9">
        <f t="shared" si="17"/>
        <v>704.06090910799003</v>
      </c>
      <c r="L173" s="10">
        <f t="shared" si="14"/>
        <v>0.40321309748420842</v>
      </c>
      <c r="M173" s="10">
        <f t="shared" si="18"/>
        <v>0.49327015938819208</v>
      </c>
      <c r="P173" s="8">
        <f t="shared" si="19"/>
        <v>37.512175820682138</v>
      </c>
    </row>
    <row r="174" spans="1:16" x14ac:dyDescent="0.2">
      <c r="A174" s="8">
        <v>86</v>
      </c>
      <c r="B174" s="8">
        <v>172</v>
      </c>
      <c r="D174">
        <v>1908.1375515817999</v>
      </c>
      <c r="E174">
        <v>857.51444291609005</v>
      </c>
      <c r="F174">
        <v>133.64109589041001</v>
      </c>
      <c r="G174">
        <v>115.44109589041</v>
      </c>
      <c r="I174" s="9">
        <f t="shared" si="15"/>
        <v>742.07334702568005</v>
      </c>
      <c r="J174" s="9">
        <f t="shared" si="16"/>
        <v>1774.4964556913899</v>
      </c>
      <c r="K174" s="9">
        <f t="shared" si="17"/>
        <v>742.07334702568005</v>
      </c>
      <c r="L174" s="10">
        <f t="shared" si="14"/>
        <v>0.41818812578949277</v>
      </c>
      <c r="M174" s="10">
        <f t="shared" si="18"/>
        <v>0.50877183717829511</v>
      </c>
      <c r="P174" s="8">
        <f t="shared" si="19"/>
        <v>41.833680783463869</v>
      </c>
    </row>
    <row r="175" spans="1:16" x14ac:dyDescent="0.2">
      <c r="A175" s="8">
        <v>86.5</v>
      </c>
      <c r="B175" s="8">
        <v>173</v>
      </c>
      <c r="D175">
        <v>1782.3474692202999</v>
      </c>
      <c r="E175">
        <v>790.96853625171002</v>
      </c>
      <c r="F175">
        <v>133.78493150685</v>
      </c>
      <c r="G175">
        <v>115.50547945206</v>
      </c>
      <c r="I175" s="9">
        <f t="shared" si="15"/>
        <v>675.46305679965008</v>
      </c>
      <c r="J175" s="9">
        <f t="shared" si="16"/>
        <v>1648.56253771345</v>
      </c>
      <c r="K175" s="9">
        <f t="shared" si="17"/>
        <v>675.46305679965008</v>
      </c>
      <c r="L175" s="10">
        <f t="shared" si="14"/>
        <v>0.40972850064669963</v>
      </c>
      <c r="M175" s="10">
        <f t="shared" si="18"/>
        <v>0.50083886152032053</v>
      </c>
      <c r="P175" s="8">
        <f t="shared" si="19"/>
        <v>39.622152835343876</v>
      </c>
    </row>
    <row r="176" spans="1:16" x14ac:dyDescent="0.2">
      <c r="A176" s="8">
        <v>87</v>
      </c>
      <c r="B176" s="8">
        <v>174</v>
      </c>
      <c r="D176">
        <v>1716.1956224349999</v>
      </c>
      <c r="E176">
        <v>772.84268125854999</v>
      </c>
      <c r="F176">
        <v>133.85753424658</v>
      </c>
      <c r="G176">
        <v>115.66575342466</v>
      </c>
      <c r="I176" s="9">
        <f t="shared" si="15"/>
        <v>657.17692783388998</v>
      </c>
      <c r="J176" s="9">
        <f t="shared" si="16"/>
        <v>1582.33808818842</v>
      </c>
      <c r="K176" s="9">
        <f t="shared" si="17"/>
        <v>657.17692783388998</v>
      </c>
      <c r="L176" s="10">
        <f t="shared" si="14"/>
        <v>0.41532017255950382</v>
      </c>
      <c r="M176" s="10">
        <f t="shared" si="18"/>
        <v>0.50695718291794334</v>
      </c>
      <c r="P176" s="8">
        <f t="shared" si="19"/>
        <v>41.327797646294691</v>
      </c>
    </row>
    <row r="177" spans="1:16" x14ac:dyDescent="0.2">
      <c r="A177" s="8">
        <v>87.5</v>
      </c>
      <c r="B177" s="8">
        <v>175</v>
      </c>
      <c r="D177">
        <v>1778.656424581</v>
      </c>
      <c r="E177">
        <v>773.47346368715</v>
      </c>
      <c r="F177">
        <v>133.83150684931999</v>
      </c>
      <c r="G177">
        <v>115.52876712329</v>
      </c>
      <c r="I177" s="9">
        <f t="shared" si="15"/>
        <v>657.94469656386002</v>
      </c>
      <c r="J177" s="9">
        <f t="shared" si="16"/>
        <v>1644.82491773168</v>
      </c>
      <c r="K177" s="9">
        <f t="shared" si="17"/>
        <v>657.94469656386002</v>
      </c>
      <c r="L177" s="10">
        <f t="shared" si="14"/>
        <v>0.40000895503894013</v>
      </c>
      <c r="M177" s="10">
        <f t="shared" si="18"/>
        <v>0.49217261488219827</v>
      </c>
      <c r="P177" s="8">
        <f t="shared" si="19"/>
        <v>37.206206099613993</v>
      </c>
    </row>
    <row r="178" spans="1:16" x14ac:dyDescent="0.2">
      <c r="A178" s="8">
        <v>88</v>
      </c>
      <c r="B178" s="8">
        <v>176</v>
      </c>
      <c r="D178">
        <v>1782.7402234637</v>
      </c>
      <c r="E178">
        <v>796.94832402234999</v>
      </c>
      <c r="F178">
        <v>134.29315068493</v>
      </c>
      <c r="G178">
        <v>115.2397260274</v>
      </c>
      <c r="I178" s="9">
        <f t="shared" si="15"/>
        <v>681.70859799494997</v>
      </c>
      <c r="J178" s="9">
        <f t="shared" si="16"/>
        <v>1648.44707277877</v>
      </c>
      <c r="K178" s="9">
        <f t="shared" si="17"/>
        <v>681.70859799494997</v>
      </c>
      <c r="L178" s="10">
        <f t="shared" si="14"/>
        <v>0.41354594227026104</v>
      </c>
      <c r="M178" s="10">
        <f t="shared" si="18"/>
        <v>0.50623625159833785</v>
      </c>
      <c r="P178" s="8">
        <f t="shared" si="19"/>
        <v>41.1268188672435</v>
      </c>
    </row>
    <row r="179" spans="1:16" x14ac:dyDescent="0.2">
      <c r="A179" s="8">
        <v>88.5</v>
      </c>
      <c r="B179" s="8">
        <v>177</v>
      </c>
      <c r="D179">
        <v>1782.5684357542</v>
      </c>
      <c r="E179">
        <v>776.97206703911002</v>
      </c>
      <c r="F179">
        <v>133.99726027397</v>
      </c>
      <c r="G179">
        <v>115.20684931507</v>
      </c>
      <c r="I179" s="9">
        <f t="shared" si="15"/>
        <v>661.76521772403999</v>
      </c>
      <c r="J179" s="9">
        <f t="shared" si="16"/>
        <v>1648.5711754802301</v>
      </c>
      <c r="K179" s="9">
        <f t="shared" si="17"/>
        <v>661.76521772403999</v>
      </c>
      <c r="L179" s="10">
        <f t="shared" si="14"/>
        <v>0.40141743806194308</v>
      </c>
      <c r="M179" s="10">
        <f t="shared" si="18"/>
        <v>0.49463439687483846</v>
      </c>
      <c r="P179" s="8">
        <f t="shared" si="19"/>
        <v>37.892493303007775</v>
      </c>
    </row>
    <row r="180" spans="1:16" x14ac:dyDescent="0.2">
      <c r="A180" s="8">
        <v>89</v>
      </c>
      <c r="B180" s="8">
        <v>178</v>
      </c>
      <c r="D180">
        <v>1752.9259776536001</v>
      </c>
      <c r="E180">
        <v>759.10474860335</v>
      </c>
      <c r="F180">
        <v>132.94109589041</v>
      </c>
      <c r="G180">
        <v>115.2</v>
      </c>
      <c r="I180" s="9">
        <f t="shared" si="15"/>
        <v>643.90474860334996</v>
      </c>
      <c r="J180" s="9">
        <f t="shared" si="16"/>
        <v>1619.9848817631901</v>
      </c>
      <c r="K180" s="9">
        <f t="shared" si="17"/>
        <v>643.90474860334996</v>
      </c>
      <c r="L180" s="10">
        <f t="shared" si="14"/>
        <v>0.39747577638040954</v>
      </c>
      <c r="M180" s="10">
        <f t="shared" si="18"/>
        <v>0.49121938467812354</v>
      </c>
      <c r="P180" s="8">
        <f t="shared" si="19"/>
        <v>36.940467828353292</v>
      </c>
    </row>
    <row r="181" spans="1:16" x14ac:dyDescent="0.2">
      <c r="A181" s="8">
        <v>89.5</v>
      </c>
      <c r="B181" s="8">
        <v>179</v>
      </c>
      <c r="D181">
        <v>1737.3100558659</v>
      </c>
      <c r="E181">
        <v>745.52653631285</v>
      </c>
      <c r="F181">
        <v>133.99863013698999</v>
      </c>
      <c r="G181">
        <v>115.55479452055</v>
      </c>
      <c r="I181" s="9">
        <f t="shared" si="15"/>
        <v>629.97174179230001</v>
      </c>
      <c r="J181" s="9">
        <f t="shared" si="16"/>
        <v>1603.3114257289101</v>
      </c>
      <c r="K181" s="9">
        <f t="shared" si="17"/>
        <v>629.97174179230001</v>
      </c>
      <c r="L181" s="10">
        <f t="shared" si="14"/>
        <v>0.3929191370328427</v>
      </c>
      <c r="M181" s="10">
        <f t="shared" si="18"/>
        <v>0.48718939481537532</v>
      </c>
      <c r="P181" s="8">
        <f t="shared" si="19"/>
        <v>35.81700097349804</v>
      </c>
    </row>
    <row r="182" spans="1:16" x14ac:dyDescent="0.2">
      <c r="A182" s="8">
        <v>90</v>
      </c>
      <c r="B182" s="8">
        <v>180</v>
      </c>
      <c r="D182">
        <v>1723.4944598338</v>
      </c>
      <c r="E182">
        <v>724.70360110802994</v>
      </c>
      <c r="F182">
        <v>133.78493150685</v>
      </c>
      <c r="G182">
        <v>115.22054794521</v>
      </c>
      <c r="I182" s="9">
        <f t="shared" si="15"/>
        <v>609.48305316281994</v>
      </c>
      <c r="J182" s="9">
        <f t="shared" si="16"/>
        <v>1589.70952832695</v>
      </c>
      <c r="K182" s="9">
        <f t="shared" si="17"/>
        <v>609.48305316281994</v>
      </c>
      <c r="L182" s="10">
        <f t="shared" si="14"/>
        <v>0.38339271565180533</v>
      </c>
      <c r="M182" s="10">
        <f>L182+ABS($N$2)*A182</f>
        <v>0.47818962291915657</v>
      </c>
      <c r="P182" s="8">
        <f t="shared" si="19"/>
        <v>33.308075201718438</v>
      </c>
    </row>
    <row r="183" spans="1:16" x14ac:dyDescent="0.2">
      <c r="A183" s="8">
        <v>90.5</v>
      </c>
      <c r="B183" s="8">
        <v>181</v>
      </c>
      <c r="D183">
        <v>1694.0498614958001</v>
      </c>
      <c r="E183">
        <v>711.01939058172002</v>
      </c>
      <c r="F183">
        <v>134.15890410959</v>
      </c>
      <c r="G183">
        <v>115.59041095889999</v>
      </c>
      <c r="I183" s="9">
        <f t="shared" si="15"/>
        <v>595.42897962282007</v>
      </c>
      <c r="J183" s="9">
        <f t="shared" si="16"/>
        <v>1559.8909573862102</v>
      </c>
      <c r="K183" s="9">
        <f t="shared" si="17"/>
        <v>595.42897962282007</v>
      </c>
      <c r="L183" s="10">
        <f t="shared" si="14"/>
        <v>0.38171192467230841</v>
      </c>
      <c r="M183" s="10">
        <f t="shared" ref="M183:M241" si="20">L183+ABS($N$2)*A183</f>
        <v>0.47703548142447827</v>
      </c>
      <c r="P183" s="8">
        <f t="shared" si="19"/>
        <v>32.986327564814971</v>
      </c>
    </row>
    <row r="184" spans="1:16" x14ac:dyDescent="0.2">
      <c r="A184" s="8">
        <v>91</v>
      </c>
      <c r="B184" s="8">
        <v>182</v>
      </c>
      <c r="D184">
        <v>1746.4433701657999</v>
      </c>
      <c r="E184">
        <v>713.62292817679997</v>
      </c>
      <c r="F184">
        <v>133.77671232877</v>
      </c>
      <c r="G184">
        <v>115.28219178082</v>
      </c>
      <c r="I184" s="9">
        <f t="shared" si="15"/>
        <v>598.34073639598</v>
      </c>
      <c r="J184" s="9">
        <f t="shared" si="16"/>
        <v>1612.66665783703</v>
      </c>
      <c r="K184" s="9">
        <f t="shared" si="17"/>
        <v>598.34073639598</v>
      </c>
      <c r="L184" s="10">
        <f t="shared" si="14"/>
        <v>0.37102567569574324</v>
      </c>
      <c r="M184" s="10">
        <f t="shared" si="20"/>
        <v>0.46687588193273172</v>
      </c>
      <c r="P184" s="8">
        <f t="shared" si="19"/>
        <v>30.154069004293969</v>
      </c>
    </row>
    <row r="185" spans="1:16" x14ac:dyDescent="0.2">
      <c r="A185" s="8">
        <v>91.5</v>
      </c>
      <c r="B185" s="8">
        <v>183</v>
      </c>
      <c r="D185">
        <v>1706.7289073305999</v>
      </c>
      <c r="E185">
        <v>698.82019363762004</v>
      </c>
      <c r="F185">
        <v>133.7904109589</v>
      </c>
      <c r="G185">
        <v>115.14794520548</v>
      </c>
      <c r="I185" s="9">
        <f t="shared" si="15"/>
        <v>583.67224843214001</v>
      </c>
      <c r="J185" s="9">
        <f t="shared" si="16"/>
        <v>1572.9384963716998</v>
      </c>
      <c r="K185" s="9">
        <f t="shared" si="17"/>
        <v>583.67224843214001</v>
      </c>
      <c r="L185" s="10">
        <f t="shared" si="14"/>
        <v>0.37107124644637912</v>
      </c>
      <c r="M185" s="10">
        <f t="shared" si="20"/>
        <v>0.46744810216818622</v>
      </c>
      <c r="P185" s="8">
        <f t="shared" si="19"/>
        <v>30.313590613554847</v>
      </c>
    </row>
    <row r="186" spans="1:16" x14ac:dyDescent="0.2">
      <c r="A186" s="8">
        <v>92</v>
      </c>
      <c r="B186" s="8">
        <v>184</v>
      </c>
      <c r="D186">
        <v>1688.7925311203001</v>
      </c>
      <c r="E186">
        <v>685.58091286307001</v>
      </c>
      <c r="F186">
        <v>134.20410958904</v>
      </c>
      <c r="G186">
        <v>114.90547945206001</v>
      </c>
      <c r="I186" s="9">
        <f t="shared" si="15"/>
        <v>570.67543341100998</v>
      </c>
      <c r="J186" s="9">
        <f t="shared" si="16"/>
        <v>1554.5884215312601</v>
      </c>
      <c r="K186" s="9">
        <f t="shared" si="17"/>
        <v>570.67543341100998</v>
      </c>
      <c r="L186" s="10">
        <f t="shared" si="14"/>
        <v>0.36709100975350001</v>
      </c>
      <c r="M186" s="10">
        <f t="shared" si="20"/>
        <v>0.46399451496012573</v>
      </c>
      <c r="P186" s="8">
        <f t="shared" si="19"/>
        <v>29.350811328556318</v>
      </c>
    </row>
    <row r="187" spans="1:16" x14ac:dyDescent="0.2">
      <c r="A187" s="8">
        <v>92.5</v>
      </c>
      <c r="B187" s="8">
        <v>185</v>
      </c>
      <c r="D187">
        <v>1667.5933609959</v>
      </c>
      <c r="E187">
        <v>647.78561549101005</v>
      </c>
      <c r="F187">
        <v>133.54657534246999</v>
      </c>
      <c r="G187">
        <v>115.25890410959001</v>
      </c>
      <c r="I187" s="9">
        <f t="shared" si="15"/>
        <v>532.52671138142</v>
      </c>
      <c r="J187" s="9">
        <f t="shared" si="16"/>
        <v>1534.0467856534299</v>
      </c>
      <c r="K187" s="9">
        <f t="shared" si="17"/>
        <v>532.52671138142</v>
      </c>
      <c r="L187" s="10">
        <f t="shared" si="14"/>
        <v>0.34713850735301355</v>
      </c>
      <c r="M187" s="10">
        <f t="shared" si="20"/>
        <v>0.44456866204445789</v>
      </c>
      <c r="P187" s="8">
        <f t="shared" si="19"/>
        <v>23.935338183131798</v>
      </c>
    </row>
    <row r="188" spans="1:16" x14ac:dyDescent="0.2">
      <c r="A188" s="8">
        <v>93</v>
      </c>
      <c r="B188" s="8">
        <v>186</v>
      </c>
      <c r="D188">
        <v>1747.3651452281999</v>
      </c>
      <c r="E188">
        <v>698.53388658367999</v>
      </c>
      <c r="F188">
        <v>134.02876712329001</v>
      </c>
      <c r="G188">
        <v>115.44109589041</v>
      </c>
      <c r="I188" s="9">
        <f t="shared" si="15"/>
        <v>583.09279069326999</v>
      </c>
      <c r="J188" s="9">
        <f t="shared" si="16"/>
        <v>1613.33637810491</v>
      </c>
      <c r="K188" s="9">
        <f t="shared" si="17"/>
        <v>583.09279069326999</v>
      </c>
      <c r="L188" s="10">
        <f t="shared" si="14"/>
        <v>0.36142046916353199</v>
      </c>
      <c r="M188" s="10">
        <f t="shared" si="20"/>
        <v>0.45937727333979494</v>
      </c>
      <c r="P188" s="8">
        <f t="shared" si="19"/>
        <v>28.063632427872353</v>
      </c>
    </row>
    <row r="189" spans="1:16" x14ac:dyDescent="0.2">
      <c r="A189" s="8">
        <v>93.5</v>
      </c>
      <c r="B189" s="8">
        <v>187</v>
      </c>
      <c r="D189">
        <v>1746.4354395604</v>
      </c>
      <c r="E189">
        <v>704.23076923076997</v>
      </c>
      <c r="F189">
        <v>133.8602739726</v>
      </c>
      <c r="G189">
        <v>114.89315068493001</v>
      </c>
      <c r="I189" s="9">
        <f t="shared" si="15"/>
        <v>589.33761854583997</v>
      </c>
      <c r="J189" s="9">
        <f t="shared" si="16"/>
        <v>1612.5751655878</v>
      </c>
      <c r="K189" s="9">
        <f t="shared" si="17"/>
        <v>589.33761854583997</v>
      </c>
      <c r="L189" s="10">
        <f t="shared" si="14"/>
        <v>0.36546365783266943</v>
      </c>
      <c r="M189" s="10">
        <f t="shared" si="20"/>
        <v>0.46394711149375101</v>
      </c>
      <c r="P189" s="8">
        <f t="shared" si="19"/>
        <v>29.337596351573492</v>
      </c>
    </row>
    <row r="190" spans="1:16" x14ac:dyDescent="0.2">
      <c r="A190" s="8">
        <v>94</v>
      </c>
      <c r="B190" s="8">
        <v>188</v>
      </c>
      <c r="D190">
        <v>1755.2376373626</v>
      </c>
      <c r="E190">
        <v>691.45604395604005</v>
      </c>
      <c r="F190">
        <v>133.42328767123001</v>
      </c>
      <c r="G190">
        <v>114.93424657534</v>
      </c>
      <c r="I190" s="9">
        <f t="shared" si="15"/>
        <v>576.52179738070004</v>
      </c>
      <c r="J190" s="9">
        <f t="shared" si="16"/>
        <v>1621.8143496913699</v>
      </c>
      <c r="K190" s="9">
        <f t="shared" si="17"/>
        <v>576.52179738070004</v>
      </c>
      <c r="L190" s="10">
        <f t="shared" si="14"/>
        <v>0.35547952667357502</v>
      </c>
      <c r="M190" s="10">
        <f t="shared" si="20"/>
        <v>0.45448962981947522</v>
      </c>
      <c r="P190" s="8">
        <f t="shared" si="19"/>
        <v>26.70107180602438</v>
      </c>
    </row>
    <row r="191" spans="1:16" x14ac:dyDescent="0.2">
      <c r="A191" s="8">
        <v>94.5</v>
      </c>
      <c r="B191" s="8">
        <v>189</v>
      </c>
      <c r="D191">
        <v>1731.6868131868</v>
      </c>
      <c r="E191">
        <v>678.84065934065995</v>
      </c>
      <c r="F191">
        <v>134.01506849315001</v>
      </c>
      <c r="G191">
        <v>115.23835616437999</v>
      </c>
      <c r="I191" s="9">
        <f t="shared" si="15"/>
        <v>563.60230317627997</v>
      </c>
      <c r="J191" s="9">
        <f t="shared" si="16"/>
        <v>1597.67174469365</v>
      </c>
      <c r="K191" s="9">
        <f t="shared" si="17"/>
        <v>563.60230317627997</v>
      </c>
      <c r="L191" s="10">
        <f t="shared" si="14"/>
        <v>0.35276476851278948</v>
      </c>
      <c r="M191" s="10">
        <f t="shared" si="20"/>
        <v>0.4523015211435083</v>
      </c>
      <c r="P191" s="8">
        <f t="shared" si="19"/>
        <v>26.091078318201149</v>
      </c>
    </row>
    <row r="192" spans="1:16" x14ac:dyDescent="0.2">
      <c r="A192" s="8">
        <v>95</v>
      </c>
      <c r="B192" s="8">
        <v>190</v>
      </c>
      <c r="D192">
        <v>1766.9313186812999</v>
      </c>
      <c r="E192">
        <v>701.68131868132002</v>
      </c>
      <c r="F192">
        <v>133.20410958904</v>
      </c>
      <c r="G192">
        <v>114.94520547945</v>
      </c>
      <c r="I192" s="9">
        <f t="shared" si="15"/>
        <v>586.73611320187001</v>
      </c>
      <c r="J192" s="9">
        <f t="shared" si="16"/>
        <v>1633.72720909226</v>
      </c>
      <c r="K192" s="9">
        <f t="shared" si="17"/>
        <v>586.73611320187001</v>
      </c>
      <c r="L192" s="10">
        <f t="shared" si="14"/>
        <v>0.35913958581119265</v>
      </c>
      <c r="M192" s="10">
        <f t="shared" si="20"/>
        <v>0.45920298792673009</v>
      </c>
      <c r="P192" s="8">
        <f t="shared" si="19"/>
        <v>28.015045733728762</v>
      </c>
    </row>
    <row r="193" spans="1:16" x14ac:dyDescent="0.2">
      <c r="A193" s="8">
        <v>95.5</v>
      </c>
      <c r="B193" s="8">
        <v>191</v>
      </c>
      <c r="D193">
        <v>1750.2431318680999</v>
      </c>
      <c r="E193">
        <v>698.05082417582003</v>
      </c>
      <c r="F193">
        <v>133.92739726027</v>
      </c>
      <c r="G193">
        <v>115.73287671233</v>
      </c>
      <c r="I193" s="9">
        <f t="shared" si="15"/>
        <v>582.31794746348999</v>
      </c>
      <c r="J193" s="9">
        <f t="shared" si="16"/>
        <v>1616.3157346078299</v>
      </c>
      <c r="K193" s="9">
        <f t="shared" si="17"/>
        <v>582.31794746348999</v>
      </c>
      <c r="L193" s="10">
        <f t="shared" si="14"/>
        <v>0.36027487389694873</v>
      </c>
      <c r="M193" s="10">
        <f t="shared" si="20"/>
        <v>0.46086492549730479</v>
      </c>
      <c r="P193" s="8">
        <f t="shared" si="19"/>
        <v>28.478355032007258</v>
      </c>
    </row>
    <row r="194" spans="1:16" x14ac:dyDescent="0.2">
      <c r="A194" s="8">
        <v>96</v>
      </c>
      <c r="B194" s="8">
        <v>192</v>
      </c>
      <c r="D194">
        <v>1768.7774725275001</v>
      </c>
      <c r="E194">
        <v>705.75274725275005</v>
      </c>
      <c r="F194">
        <v>133.64109589041001</v>
      </c>
      <c r="G194">
        <v>115.05342465753</v>
      </c>
      <c r="I194" s="9">
        <f t="shared" si="15"/>
        <v>590.69932259522011</v>
      </c>
      <c r="J194" s="9">
        <f t="shared" si="16"/>
        <v>1635.1363766370901</v>
      </c>
      <c r="K194" s="9">
        <f t="shared" si="17"/>
        <v>590.69932259522011</v>
      </c>
      <c r="L194" s="10">
        <f t="shared" ref="L194:L257" si="21">K194/J194</f>
        <v>0.36125385688628875</v>
      </c>
      <c r="M194" s="10">
        <f t="shared" si="20"/>
        <v>0.46237055797146343</v>
      </c>
      <c r="P194" s="8">
        <f t="shared" si="19"/>
        <v>28.898090127608071</v>
      </c>
    </row>
    <row r="195" spans="1:16" x14ac:dyDescent="0.2">
      <c r="A195" s="8">
        <v>96.5</v>
      </c>
      <c r="B195" s="8">
        <v>193</v>
      </c>
      <c r="D195">
        <v>1787.304945055</v>
      </c>
      <c r="E195">
        <v>710.80082417582003</v>
      </c>
      <c r="F195">
        <v>133.10684931507001</v>
      </c>
      <c r="G195">
        <v>115.24520547944999</v>
      </c>
      <c r="I195" s="9">
        <f t="shared" ref="I195:I241" si="22">E195-G195</f>
        <v>595.55561869637006</v>
      </c>
      <c r="J195" s="9">
        <f t="shared" ref="J195:J241" si="23">D195-F195</f>
        <v>1654.1980957399301</v>
      </c>
      <c r="K195" s="9">
        <f t="shared" ref="K195:K258" si="24">I195*1</f>
        <v>595.55561869637006</v>
      </c>
      <c r="L195" s="10">
        <f t="shared" si="21"/>
        <v>0.36002678290472545</v>
      </c>
      <c r="M195" s="10">
        <f t="shared" si="20"/>
        <v>0.46167013347471875</v>
      </c>
      <c r="P195" s="8">
        <f t="shared" ref="P195:P241" si="25">(M195-$O$2)/$O$2*100</f>
        <v>28.702828170823718</v>
      </c>
    </row>
    <row r="196" spans="1:16" x14ac:dyDescent="0.2">
      <c r="A196" s="8">
        <v>97</v>
      </c>
      <c r="B196" s="8">
        <v>194</v>
      </c>
      <c r="D196">
        <v>1722.3141654978999</v>
      </c>
      <c r="E196">
        <v>705.13043478261</v>
      </c>
      <c r="F196">
        <v>133.30547945206001</v>
      </c>
      <c r="G196">
        <v>115.02054794521</v>
      </c>
      <c r="I196" s="9">
        <f t="shared" si="22"/>
        <v>590.10988683740004</v>
      </c>
      <c r="J196" s="9">
        <f t="shared" si="23"/>
        <v>1589.00868604584</v>
      </c>
      <c r="K196" s="9">
        <f t="shared" si="24"/>
        <v>590.10988683740004</v>
      </c>
      <c r="L196" s="10">
        <f t="shared" si="21"/>
        <v>0.37136983077534697</v>
      </c>
      <c r="M196" s="10">
        <f t="shared" si="20"/>
        <v>0.47353983083015883</v>
      </c>
      <c r="P196" s="8">
        <f t="shared" si="25"/>
        <v>32.01182199218934</v>
      </c>
    </row>
    <row r="197" spans="1:16" x14ac:dyDescent="0.2">
      <c r="A197" s="8">
        <v>97.5</v>
      </c>
      <c r="B197" s="8">
        <v>195</v>
      </c>
      <c r="D197">
        <v>1653.6437587657999</v>
      </c>
      <c r="E197">
        <v>642.22720897616</v>
      </c>
      <c r="F197">
        <v>133.92465753425</v>
      </c>
      <c r="G197">
        <v>115.16301369863</v>
      </c>
      <c r="I197" s="9">
        <f t="shared" si="22"/>
        <v>527.06419527752996</v>
      </c>
      <c r="J197" s="9">
        <f t="shared" si="23"/>
        <v>1519.71910123155</v>
      </c>
      <c r="K197" s="9">
        <f t="shared" si="24"/>
        <v>527.06419527752996</v>
      </c>
      <c r="L197" s="10">
        <f t="shared" si="21"/>
        <v>0.34681685243701132</v>
      </c>
      <c r="M197" s="10">
        <f t="shared" si="20"/>
        <v>0.44951350197664186</v>
      </c>
      <c r="P197" s="8">
        <f t="shared" si="25"/>
        <v>25.313843825968561</v>
      </c>
    </row>
    <row r="198" spans="1:16" x14ac:dyDescent="0.2">
      <c r="A198" s="8">
        <v>98</v>
      </c>
      <c r="B198" s="8">
        <v>196</v>
      </c>
      <c r="D198">
        <v>1804.510989011</v>
      </c>
      <c r="E198">
        <v>716.16895604395995</v>
      </c>
      <c r="F198">
        <v>133.43150684931999</v>
      </c>
      <c r="G198">
        <v>115.10273972602999</v>
      </c>
      <c r="I198" s="9">
        <f t="shared" si="22"/>
        <v>601.06621631792996</v>
      </c>
      <c r="J198" s="9">
        <f t="shared" si="23"/>
        <v>1671.0794821616801</v>
      </c>
      <c r="K198" s="9">
        <f t="shared" si="24"/>
        <v>601.06621631792996</v>
      </c>
      <c r="L198" s="10">
        <f t="shared" si="21"/>
        <v>0.35968738933973438</v>
      </c>
      <c r="M198" s="10">
        <f t="shared" si="20"/>
        <v>0.46291068836418348</v>
      </c>
      <c r="P198" s="8">
        <f t="shared" si="25"/>
        <v>29.048665839753191</v>
      </c>
    </row>
    <row r="199" spans="1:16" x14ac:dyDescent="0.2">
      <c r="A199" s="8">
        <v>98.5</v>
      </c>
      <c r="B199" s="8">
        <v>197</v>
      </c>
      <c r="D199">
        <v>1822.0961538462</v>
      </c>
      <c r="E199">
        <v>728.83379120878999</v>
      </c>
      <c r="F199">
        <v>133.40958904109999</v>
      </c>
      <c r="G199">
        <v>115.44794520548</v>
      </c>
      <c r="I199" s="9">
        <f t="shared" si="22"/>
        <v>613.38584600331001</v>
      </c>
      <c r="J199" s="9">
        <f t="shared" si="23"/>
        <v>1688.6865648051</v>
      </c>
      <c r="K199" s="9">
        <f t="shared" si="24"/>
        <v>613.38584600331001</v>
      </c>
      <c r="L199" s="10">
        <f t="shared" si="21"/>
        <v>0.36323250198541374</v>
      </c>
      <c r="M199" s="10">
        <f t="shared" si="20"/>
        <v>0.46698245049468146</v>
      </c>
      <c r="P199" s="8">
        <f t="shared" si="25"/>
        <v>30.18377782520859</v>
      </c>
    </row>
    <row r="200" spans="1:16" x14ac:dyDescent="0.2">
      <c r="A200" s="8">
        <v>99</v>
      </c>
      <c r="B200" s="8">
        <v>198</v>
      </c>
      <c r="D200">
        <v>1807.0770288858</v>
      </c>
      <c r="E200">
        <v>740.67950481431001</v>
      </c>
      <c r="F200">
        <v>133.58082191781</v>
      </c>
      <c r="G200">
        <v>114.88767123288</v>
      </c>
      <c r="I200" s="9">
        <f t="shared" si="22"/>
        <v>625.79183358142996</v>
      </c>
      <c r="J200" s="9">
        <f t="shared" si="23"/>
        <v>1673.49620696799</v>
      </c>
      <c r="K200" s="9">
        <f t="shared" si="24"/>
        <v>625.79183358142996</v>
      </c>
      <c r="L200" s="10">
        <f t="shared" si="21"/>
        <v>0.37394278575344264</v>
      </c>
      <c r="M200" s="10">
        <f t="shared" si="20"/>
        <v>0.47821938374752904</v>
      </c>
      <c r="P200" s="8">
        <f t="shared" si="25"/>
        <v>33.316371824138898</v>
      </c>
    </row>
    <row r="201" spans="1:16" x14ac:dyDescent="0.2">
      <c r="A201" s="8">
        <v>99.5</v>
      </c>
      <c r="B201" s="8">
        <v>199</v>
      </c>
      <c r="D201">
        <v>1880.1939477303999</v>
      </c>
      <c r="E201">
        <v>753.87070151307</v>
      </c>
      <c r="F201">
        <v>133.49178082192</v>
      </c>
      <c r="G201">
        <v>115.56301369863</v>
      </c>
      <c r="I201" s="9">
        <f t="shared" si="22"/>
        <v>638.30768781443999</v>
      </c>
      <c r="J201" s="9">
        <f t="shared" si="23"/>
        <v>1746.70216690848</v>
      </c>
      <c r="K201" s="9">
        <f t="shared" si="24"/>
        <v>638.30768781443999</v>
      </c>
      <c r="L201" s="10">
        <f t="shared" si="21"/>
        <v>0.36543590539204085</v>
      </c>
      <c r="M201" s="10">
        <f t="shared" si="20"/>
        <v>0.47023915287094586</v>
      </c>
      <c r="P201" s="8">
        <f t="shared" si="25"/>
        <v>31.091670227043643</v>
      </c>
    </row>
    <row r="202" spans="1:16" x14ac:dyDescent="0.2">
      <c r="A202" s="8">
        <v>100</v>
      </c>
      <c r="B202" s="8">
        <v>200</v>
      </c>
      <c r="D202">
        <v>2148</v>
      </c>
      <c r="E202">
        <v>795.35555555556004</v>
      </c>
      <c r="F202">
        <v>133.48219178081999</v>
      </c>
      <c r="G202">
        <v>115.12876712329</v>
      </c>
      <c r="I202" s="9">
        <f t="shared" si="22"/>
        <v>680.22678843227004</v>
      </c>
      <c r="J202" s="9">
        <f t="shared" si="23"/>
        <v>2014.5178082191801</v>
      </c>
      <c r="K202" s="9">
        <f t="shared" si="24"/>
        <v>680.22678843227004</v>
      </c>
      <c r="L202" s="10">
        <f t="shared" si="21"/>
        <v>0.33766233569986948</v>
      </c>
      <c r="M202" s="10">
        <f t="shared" si="20"/>
        <v>0.44299223266359306</v>
      </c>
      <c r="P202" s="8">
        <f t="shared" si="25"/>
        <v>23.495866566889603</v>
      </c>
    </row>
    <row r="203" spans="1:16" x14ac:dyDescent="0.2">
      <c r="A203" s="8">
        <v>100.5</v>
      </c>
      <c r="B203" s="8">
        <v>201</v>
      </c>
      <c r="D203">
        <v>1991.1958333333</v>
      </c>
      <c r="E203">
        <v>708.27638888888998</v>
      </c>
      <c r="F203">
        <v>133.61917808218999</v>
      </c>
      <c r="G203">
        <v>115.11506849315001</v>
      </c>
      <c r="I203" s="9">
        <f t="shared" si="22"/>
        <v>593.16132039573995</v>
      </c>
      <c r="J203" s="9">
        <f t="shared" si="23"/>
        <v>1857.57665525111</v>
      </c>
      <c r="K203" s="9">
        <f t="shared" si="24"/>
        <v>593.16132039573995</v>
      </c>
      <c r="L203" s="10">
        <f t="shared" si="21"/>
        <v>0.3193199692292405</v>
      </c>
      <c r="M203" s="10">
        <f t="shared" si="20"/>
        <v>0.4251765156777827</v>
      </c>
      <c r="P203" s="8">
        <f t="shared" si="25"/>
        <v>18.529261634690027</v>
      </c>
    </row>
    <row r="204" spans="1:16" x14ac:dyDescent="0.2">
      <c r="A204" s="8">
        <v>101</v>
      </c>
      <c r="B204" s="8">
        <v>202</v>
      </c>
      <c r="D204">
        <v>1971.3722222222</v>
      </c>
      <c r="E204">
        <v>679.5</v>
      </c>
      <c r="F204">
        <v>133.88493150684999</v>
      </c>
      <c r="G204">
        <v>114.96164383562</v>
      </c>
      <c r="I204" s="9">
        <f t="shared" si="22"/>
        <v>564.53835616438005</v>
      </c>
      <c r="J204" s="9">
        <f t="shared" si="23"/>
        <v>1837.4872907153499</v>
      </c>
      <c r="K204" s="9">
        <f t="shared" si="24"/>
        <v>564.53835616438005</v>
      </c>
      <c r="L204" s="10">
        <f t="shared" si="21"/>
        <v>0.30723388347605951</v>
      </c>
      <c r="M204" s="10">
        <f t="shared" si="20"/>
        <v>0.41361707940942033</v>
      </c>
      <c r="P204" s="8">
        <f t="shared" si="25"/>
        <v>15.306761342974493</v>
      </c>
    </row>
    <row r="205" spans="1:16" x14ac:dyDescent="0.2">
      <c r="A205" s="8">
        <v>101.5</v>
      </c>
      <c r="B205" s="8">
        <v>203</v>
      </c>
      <c r="D205">
        <v>1716.3083333333</v>
      </c>
      <c r="E205">
        <v>567.48611111110995</v>
      </c>
      <c r="F205">
        <v>133.91917808219</v>
      </c>
      <c r="G205">
        <v>115.48219178082</v>
      </c>
      <c r="I205" s="9">
        <f t="shared" si="22"/>
        <v>452.00391933028993</v>
      </c>
      <c r="J205" s="9">
        <f t="shared" si="23"/>
        <v>1582.38915525111</v>
      </c>
      <c r="K205" s="9">
        <f t="shared" si="24"/>
        <v>452.00391933028993</v>
      </c>
      <c r="L205" s="10">
        <f t="shared" si="21"/>
        <v>0.28564649715294671</v>
      </c>
      <c r="M205" s="10">
        <f t="shared" si="20"/>
        <v>0.39255634257112615</v>
      </c>
      <c r="P205" s="8">
        <f t="shared" si="25"/>
        <v>9.4355208231492149</v>
      </c>
    </row>
    <row r="206" spans="1:16" x14ac:dyDescent="0.2">
      <c r="A206" s="8">
        <v>102</v>
      </c>
      <c r="B206" s="8">
        <v>204</v>
      </c>
      <c r="D206">
        <v>1746.0625</v>
      </c>
      <c r="E206">
        <v>570.20972222221997</v>
      </c>
      <c r="F206">
        <v>133.62876712329</v>
      </c>
      <c r="G206">
        <v>115.23424657533999</v>
      </c>
      <c r="I206" s="9">
        <f t="shared" si="22"/>
        <v>454.97547564688</v>
      </c>
      <c r="J206" s="9">
        <f t="shared" si="23"/>
        <v>1612.4337328767101</v>
      </c>
      <c r="K206" s="9">
        <f t="shared" si="24"/>
        <v>454.97547564688</v>
      </c>
      <c r="L206" s="10">
        <f t="shared" si="21"/>
        <v>0.28216692963571754</v>
      </c>
      <c r="M206" s="10">
        <f t="shared" si="20"/>
        <v>0.3896034245387156</v>
      </c>
      <c r="P206" s="8">
        <f t="shared" si="25"/>
        <v>8.612316386536742</v>
      </c>
    </row>
    <row r="207" spans="1:16" x14ac:dyDescent="0.2">
      <c r="A207" s="8">
        <v>102.5</v>
      </c>
      <c r="B207" s="8">
        <v>205</v>
      </c>
      <c r="D207">
        <v>1758.8642659279999</v>
      </c>
      <c r="E207">
        <v>599.31855955678998</v>
      </c>
      <c r="F207">
        <v>133.98767123287999</v>
      </c>
      <c r="G207">
        <v>115.38493150684999</v>
      </c>
      <c r="I207" s="9">
        <f t="shared" si="22"/>
        <v>483.93362804994001</v>
      </c>
      <c r="J207" s="9">
        <f t="shared" si="23"/>
        <v>1624.8765946951198</v>
      </c>
      <c r="K207" s="9">
        <f t="shared" si="24"/>
        <v>483.93362804994001</v>
      </c>
      <c r="L207" s="10">
        <f t="shared" si="21"/>
        <v>0.29782792713605544</v>
      </c>
      <c r="M207" s="10">
        <f t="shared" si="20"/>
        <v>0.40579107152387212</v>
      </c>
      <c r="P207" s="8">
        <f t="shared" si="25"/>
        <v>13.125053506306781</v>
      </c>
    </row>
    <row r="208" spans="1:16" x14ac:dyDescent="0.2">
      <c r="A208" s="8">
        <v>103</v>
      </c>
      <c r="B208" s="8">
        <v>206</v>
      </c>
      <c r="D208">
        <v>1708.7579972184001</v>
      </c>
      <c r="E208">
        <v>601.71905424199997</v>
      </c>
      <c r="F208">
        <v>132.89863013698999</v>
      </c>
      <c r="G208">
        <v>115.10684931506999</v>
      </c>
      <c r="I208" s="9">
        <f t="shared" si="22"/>
        <v>486.61220492692996</v>
      </c>
      <c r="J208" s="9">
        <f t="shared" si="23"/>
        <v>1575.85936708141</v>
      </c>
      <c r="K208" s="9">
        <f t="shared" si="24"/>
        <v>486.61220492692996</v>
      </c>
      <c r="L208" s="10">
        <f t="shared" si="21"/>
        <v>0.30879164416058658</v>
      </c>
      <c r="M208" s="10">
        <f t="shared" si="20"/>
        <v>0.41728143803322187</v>
      </c>
      <c r="P208" s="8">
        <f t="shared" si="25"/>
        <v>16.328298765735312</v>
      </c>
    </row>
    <row r="209" spans="1:16" x14ac:dyDescent="0.2">
      <c r="A209" s="8">
        <v>103.5</v>
      </c>
      <c r="B209" s="8">
        <v>207</v>
      </c>
      <c r="D209">
        <v>1735.1696801113001</v>
      </c>
      <c r="E209">
        <v>586.32406119611005</v>
      </c>
      <c r="F209">
        <v>133.55068493151001</v>
      </c>
      <c r="G209">
        <v>115.47945205480001</v>
      </c>
      <c r="I209" s="9">
        <f t="shared" si="22"/>
        <v>470.84460914131006</v>
      </c>
      <c r="J209" s="9">
        <f t="shared" si="23"/>
        <v>1601.6189951797901</v>
      </c>
      <c r="K209" s="9">
        <f t="shared" si="24"/>
        <v>470.84460914131006</v>
      </c>
      <c r="L209" s="10">
        <f t="shared" si="21"/>
        <v>0.29398041017143112</v>
      </c>
      <c r="M209" s="10">
        <f t="shared" si="20"/>
        <v>0.40299685352888504</v>
      </c>
      <c r="P209" s="8">
        <f t="shared" si="25"/>
        <v>12.346090925873062</v>
      </c>
    </row>
    <row r="210" spans="1:16" x14ac:dyDescent="0.2">
      <c r="A210" s="8">
        <v>104</v>
      </c>
      <c r="B210" s="8">
        <v>208</v>
      </c>
      <c r="D210">
        <v>1775.4228094575999</v>
      </c>
      <c r="E210">
        <v>602.34631432544995</v>
      </c>
      <c r="F210">
        <v>134.05753424657999</v>
      </c>
      <c r="G210">
        <v>115.1698630137</v>
      </c>
      <c r="I210" s="9">
        <f t="shared" si="22"/>
        <v>487.17645131174993</v>
      </c>
      <c r="J210" s="9">
        <f t="shared" si="23"/>
        <v>1641.3652752110199</v>
      </c>
      <c r="K210" s="9">
        <f t="shared" si="24"/>
        <v>487.17645131174993</v>
      </c>
      <c r="L210" s="10">
        <f t="shared" si="21"/>
        <v>0.29681172050451521</v>
      </c>
      <c r="M210" s="10">
        <f t="shared" si="20"/>
        <v>0.40635481334678775</v>
      </c>
      <c r="P210" s="8">
        <f t="shared" si="25"/>
        <v>13.282211532582677</v>
      </c>
    </row>
    <row r="211" spans="1:16" x14ac:dyDescent="0.2">
      <c r="A211" s="8">
        <v>104.5</v>
      </c>
      <c r="B211" s="8">
        <v>209</v>
      </c>
      <c r="D211">
        <v>1755.9026425591001</v>
      </c>
      <c r="E211">
        <v>591.26981919332002</v>
      </c>
      <c r="F211">
        <v>133.6397260274</v>
      </c>
      <c r="G211">
        <v>115.34109589041</v>
      </c>
      <c r="I211" s="9">
        <f t="shared" si="22"/>
        <v>475.92872330291004</v>
      </c>
      <c r="J211" s="9">
        <f t="shared" si="23"/>
        <v>1622.2629165317001</v>
      </c>
      <c r="K211" s="9">
        <f t="shared" si="24"/>
        <v>475.92872330291004</v>
      </c>
      <c r="L211" s="10">
        <f t="shared" si="21"/>
        <v>0.29337336041707524</v>
      </c>
      <c r="M211" s="10">
        <f t="shared" si="20"/>
        <v>0.40344310274416639</v>
      </c>
      <c r="P211" s="8">
        <f t="shared" si="25"/>
        <v>12.470494762966558</v>
      </c>
    </row>
    <row r="212" spans="1:16" x14ac:dyDescent="0.2">
      <c r="A212" s="8">
        <v>105</v>
      </c>
      <c r="B212" s="8">
        <v>210</v>
      </c>
      <c r="D212">
        <v>1710.4186369957999</v>
      </c>
      <c r="E212">
        <v>591.42837273991995</v>
      </c>
      <c r="F212">
        <v>133.98767123287999</v>
      </c>
      <c r="G212">
        <v>114.82739726027</v>
      </c>
      <c r="I212" s="9">
        <f t="shared" si="22"/>
        <v>476.60097547964995</v>
      </c>
      <c r="J212" s="9">
        <f t="shared" si="23"/>
        <v>1576.4309657629199</v>
      </c>
      <c r="K212" s="9">
        <f t="shared" si="24"/>
        <v>476.60097547964995</v>
      </c>
      <c r="L212" s="10">
        <f t="shared" si="21"/>
        <v>0.30232911293327525</v>
      </c>
      <c r="M212" s="10">
        <f t="shared" si="20"/>
        <v>0.41292550474518502</v>
      </c>
      <c r="P212" s="8">
        <f t="shared" si="25"/>
        <v>15.113966512370089</v>
      </c>
    </row>
    <row r="213" spans="1:16" x14ac:dyDescent="0.2">
      <c r="A213" s="8">
        <v>105.5</v>
      </c>
      <c r="B213" s="8">
        <v>211</v>
      </c>
      <c r="D213">
        <v>1667.9860917942001</v>
      </c>
      <c r="E213">
        <v>577.71070931849999</v>
      </c>
      <c r="F213">
        <v>134.15342465753</v>
      </c>
      <c r="G213">
        <v>114.77534246575</v>
      </c>
      <c r="I213" s="9">
        <f t="shared" si="22"/>
        <v>462.93536685275001</v>
      </c>
      <c r="J213" s="9">
        <f t="shared" si="23"/>
        <v>1533.8326671366701</v>
      </c>
      <c r="K213" s="9">
        <f t="shared" si="24"/>
        <v>462.93536685275001</v>
      </c>
      <c r="L213" s="10">
        <f t="shared" si="21"/>
        <v>0.30181608253066416</v>
      </c>
      <c r="M213" s="10">
        <f t="shared" si="20"/>
        <v>0.41293912382739256</v>
      </c>
      <c r="P213" s="8">
        <f t="shared" si="25"/>
        <v>15.117763193745182</v>
      </c>
    </row>
    <row r="214" spans="1:16" x14ac:dyDescent="0.2">
      <c r="A214" s="8">
        <v>106</v>
      </c>
      <c r="B214" s="8">
        <v>212</v>
      </c>
      <c r="D214">
        <v>1736.3157162726</v>
      </c>
      <c r="E214">
        <v>568.08762169680006</v>
      </c>
      <c r="F214">
        <v>133.30273972603001</v>
      </c>
      <c r="G214">
        <v>115.17671232876999</v>
      </c>
      <c r="I214" s="9">
        <f t="shared" si="22"/>
        <v>452.91090936803005</v>
      </c>
      <c r="J214" s="9">
        <f t="shared" si="23"/>
        <v>1603.0129765465699</v>
      </c>
      <c r="K214" s="9">
        <f t="shared" si="24"/>
        <v>452.91090936803005</v>
      </c>
      <c r="L214" s="10">
        <f t="shared" si="21"/>
        <v>0.28253726950093239</v>
      </c>
      <c r="M214" s="10">
        <f t="shared" si="20"/>
        <v>0.3941869602824794</v>
      </c>
      <c r="P214" s="8">
        <f t="shared" si="25"/>
        <v>9.8900988776945002</v>
      </c>
    </row>
    <row r="215" spans="1:16" x14ac:dyDescent="0.2">
      <c r="A215" s="8">
        <v>106.5</v>
      </c>
      <c r="B215" s="8">
        <v>213</v>
      </c>
      <c r="D215">
        <v>1697.5980528512</v>
      </c>
      <c r="E215">
        <v>555.32406119611005</v>
      </c>
      <c r="F215">
        <v>134.08904109589</v>
      </c>
      <c r="G215">
        <v>114.94931506848999</v>
      </c>
      <c r="I215" s="9">
        <f t="shared" si="22"/>
        <v>440.37474612762003</v>
      </c>
      <c r="J215" s="9">
        <f t="shared" si="23"/>
        <v>1563.50901175531</v>
      </c>
      <c r="K215" s="9">
        <f t="shared" si="24"/>
        <v>440.37474612762003</v>
      </c>
      <c r="L215" s="10">
        <f t="shared" si="21"/>
        <v>0.28165795196359183</v>
      </c>
      <c r="M215" s="10">
        <f t="shared" si="20"/>
        <v>0.39383429222995747</v>
      </c>
      <c r="P215" s="8">
        <f t="shared" si="25"/>
        <v>9.791783278581665</v>
      </c>
    </row>
    <row r="216" spans="1:16" x14ac:dyDescent="0.2">
      <c r="A216" s="8">
        <v>107</v>
      </c>
      <c r="B216" s="8">
        <v>214</v>
      </c>
      <c r="D216">
        <v>1695.6467315716</v>
      </c>
      <c r="E216">
        <v>563.94853963839</v>
      </c>
      <c r="F216">
        <v>133.79863013699</v>
      </c>
      <c r="G216">
        <v>115.35205479452</v>
      </c>
      <c r="I216" s="9">
        <f t="shared" si="22"/>
        <v>448.59648484387003</v>
      </c>
      <c r="J216" s="9">
        <f t="shared" si="23"/>
        <v>1561.84810143461</v>
      </c>
      <c r="K216" s="9">
        <f t="shared" si="24"/>
        <v>448.59648484387003</v>
      </c>
      <c r="L216" s="10">
        <f t="shared" si="21"/>
        <v>0.28722158347653592</v>
      </c>
      <c r="M216" s="10">
        <f t="shared" si="20"/>
        <v>0.39992457322772018</v>
      </c>
      <c r="P216" s="8">
        <f t="shared" si="25"/>
        <v>11.489611082315932</v>
      </c>
    </row>
    <row r="217" spans="1:16" x14ac:dyDescent="0.2">
      <c r="A217" s="8">
        <v>107.5</v>
      </c>
      <c r="B217" s="8">
        <v>215</v>
      </c>
      <c r="D217">
        <v>1712.5187760778999</v>
      </c>
      <c r="E217">
        <v>572.44089012516997</v>
      </c>
      <c r="F217">
        <v>133.32328767122999</v>
      </c>
      <c r="G217">
        <v>114.63698630137</v>
      </c>
      <c r="I217" s="9">
        <f t="shared" si="22"/>
        <v>457.80390382379994</v>
      </c>
      <c r="J217" s="9">
        <f t="shared" si="23"/>
        <v>1579.1954884066699</v>
      </c>
      <c r="K217" s="9">
        <f t="shared" si="24"/>
        <v>457.80390382379994</v>
      </c>
      <c r="L217" s="10">
        <f t="shared" si="21"/>
        <v>0.28989691724974559</v>
      </c>
      <c r="M217" s="10">
        <f t="shared" si="20"/>
        <v>0.40312655648574847</v>
      </c>
      <c r="P217" s="8">
        <f t="shared" si="25"/>
        <v>12.382249074646522</v>
      </c>
    </row>
    <row r="218" spans="1:16" x14ac:dyDescent="0.2">
      <c r="A218" s="8">
        <v>108</v>
      </c>
      <c r="B218" s="8">
        <v>216</v>
      </c>
      <c r="D218">
        <v>1699.495132128</v>
      </c>
      <c r="E218">
        <v>551.87899860918003</v>
      </c>
      <c r="F218">
        <v>133.85068493150999</v>
      </c>
      <c r="G218">
        <v>115.20410958904</v>
      </c>
      <c r="I218" s="9">
        <f t="shared" si="22"/>
        <v>436.67488902014003</v>
      </c>
      <c r="J218" s="9">
        <f t="shared" si="23"/>
        <v>1565.6444471964901</v>
      </c>
      <c r="K218" s="9">
        <f t="shared" si="24"/>
        <v>436.67488902014003</v>
      </c>
      <c r="L218" s="10">
        <f t="shared" si="21"/>
        <v>0.27891063632108093</v>
      </c>
      <c r="M218" s="10">
        <f t="shared" si="20"/>
        <v>0.39266692504190243</v>
      </c>
      <c r="P218" s="8">
        <f t="shared" si="25"/>
        <v>9.4663486279021605</v>
      </c>
    </row>
    <row r="219" spans="1:16" x14ac:dyDescent="0.2">
      <c r="A219" s="8">
        <v>108.5</v>
      </c>
      <c r="B219" s="8">
        <v>217</v>
      </c>
      <c r="D219">
        <v>1747.016689847</v>
      </c>
      <c r="E219">
        <v>543.21140472878994</v>
      </c>
      <c r="F219">
        <v>133.13698630137</v>
      </c>
      <c r="G219">
        <v>114.36438356164</v>
      </c>
      <c r="I219" s="9">
        <f t="shared" si="22"/>
        <v>428.84702116714993</v>
      </c>
      <c r="J219" s="9">
        <f t="shared" si="23"/>
        <v>1613.87970354563</v>
      </c>
      <c r="K219" s="9">
        <f t="shared" si="24"/>
        <v>428.84702116714993</v>
      </c>
      <c r="L219" s="10">
        <f t="shared" si="21"/>
        <v>0.26572427934064102</v>
      </c>
      <c r="M219" s="10">
        <f t="shared" si="20"/>
        <v>0.38000721754628114</v>
      </c>
      <c r="P219" s="8">
        <f t="shared" si="25"/>
        <v>5.9371184690466299</v>
      </c>
    </row>
    <row r="220" spans="1:16" x14ac:dyDescent="0.2">
      <c r="A220" s="8">
        <v>109</v>
      </c>
      <c r="B220" s="8">
        <v>218</v>
      </c>
      <c r="D220">
        <v>1679.8136300417</v>
      </c>
      <c r="E220">
        <v>524.61196105702004</v>
      </c>
      <c r="F220">
        <v>133.81780821917999</v>
      </c>
      <c r="G220">
        <v>115.04109589041001</v>
      </c>
      <c r="I220" s="9">
        <f t="shared" si="22"/>
        <v>409.57086516661002</v>
      </c>
      <c r="J220" s="9">
        <f t="shared" si="23"/>
        <v>1545.9958218225199</v>
      </c>
      <c r="K220" s="9">
        <f t="shared" si="24"/>
        <v>409.57086516661002</v>
      </c>
      <c r="L220" s="10">
        <f t="shared" si="21"/>
        <v>0.26492365592798395</v>
      </c>
      <c r="M220" s="10">
        <f t="shared" si="20"/>
        <v>0.37973324361844268</v>
      </c>
      <c r="P220" s="8">
        <f t="shared" si="25"/>
        <v>5.8607409501188004</v>
      </c>
    </row>
    <row r="221" spans="1:16" x14ac:dyDescent="0.2">
      <c r="A221" s="8">
        <v>109.5</v>
      </c>
      <c r="B221" s="8">
        <v>219</v>
      </c>
      <c r="D221">
        <v>1682.1135734072</v>
      </c>
      <c r="E221">
        <v>543.01385041550998</v>
      </c>
      <c r="F221">
        <v>133.72876712329</v>
      </c>
      <c r="G221">
        <v>114.99452054795</v>
      </c>
      <c r="I221" s="9">
        <f t="shared" si="22"/>
        <v>428.01932986755997</v>
      </c>
      <c r="J221" s="9">
        <f t="shared" si="23"/>
        <v>1548.3848062839099</v>
      </c>
      <c r="K221" s="9">
        <f t="shared" si="24"/>
        <v>428.01932986755997</v>
      </c>
      <c r="L221" s="10">
        <f t="shared" si="21"/>
        <v>0.27642955945479541</v>
      </c>
      <c r="M221" s="10">
        <f t="shared" si="20"/>
        <v>0.39176579663007277</v>
      </c>
      <c r="P221" s="8">
        <f t="shared" si="25"/>
        <v>9.2151351169161586</v>
      </c>
    </row>
    <row r="222" spans="1:16" x14ac:dyDescent="0.2">
      <c r="A222" s="8">
        <v>110</v>
      </c>
      <c r="B222" s="8">
        <v>220</v>
      </c>
      <c r="D222">
        <v>1593.3933518005999</v>
      </c>
      <c r="E222">
        <v>529.94459833794997</v>
      </c>
      <c r="F222">
        <v>133.40273972603001</v>
      </c>
      <c r="G222">
        <v>114.74383561643999</v>
      </c>
      <c r="I222" s="9">
        <f t="shared" si="22"/>
        <v>415.20076272150999</v>
      </c>
      <c r="J222" s="9">
        <f t="shared" si="23"/>
        <v>1459.99061207457</v>
      </c>
      <c r="K222" s="9">
        <f t="shared" si="24"/>
        <v>415.20076272150999</v>
      </c>
      <c r="L222" s="10">
        <f t="shared" si="21"/>
        <v>0.28438591268167918</v>
      </c>
      <c r="M222" s="10">
        <f t="shared" si="20"/>
        <v>0.40024879934177515</v>
      </c>
      <c r="P222" s="8">
        <f t="shared" si="25"/>
        <v>11.579997734646335</v>
      </c>
    </row>
    <row r="223" spans="1:16" x14ac:dyDescent="0.2">
      <c r="A223" s="8">
        <v>110.5</v>
      </c>
      <c r="B223" s="8">
        <v>221</v>
      </c>
      <c r="D223">
        <v>1690.1204986150001</v>
      </c>
      <c r="E223">
        <v>548.68005540165996</v>
      </c>
      <c r="F223">
        <v>133.69589041096</v>
      </c>
      <c r="G223">
        <v>114.85205479452</v>
      </c>
      <c r="I223" s="9">
        <f t="shared" si="22"/>
        <v>433.82800060713998</v>
      </c>
      <c r="J223" s="9">
        <f t="shared" si="23"/>
        <v>1556.4246082040402</v>
      </c>
      <c r="K223" s="9">
        <f t="shared" si="24"/>
        <v>433.82800060713998</v>
      </c>
      <c r="L223" s="10">
        <f t="shared" si="21"/>
        <v>0.27873370693344057</v>
      </c>
      <c r="M223" s="10">
        <f t="shared" si="20"/>
        <v>0.39512324307835517</v>
      </c>
      <c r="P223" s="8">
        <f t="shared" si="25"/>
        <v>10.151112608190662</v>
      </c>
    </row>
    <row r="224" spans="1:16" x14ac:dyDescent="0.2">
      <c r="A224" s="8">
        <v>111</v>
      </c>
      <c r="B224" s="8">
        <v>222</v>
      </c>
      <c r="D224">
        <v>1660.8905817175</v>
      </c>
      <c r="E224">
        <v>528.74653739611995</v>
      </c>
      <c r="F224">
        <v>133.74794520547999</v>
      </c>
      <c r="G224">
        <v>115.02054794521</v>
      </c>
      <c r="I224" s="9">
        <f t="shared" si="22"/>
        <v>413.72598945090994</v>
      </c>
      <c r="J224" s="9">
        <f t="shared" si="23"/>
        <v>1527.1426365120201</v>
      </c>
      <c r="K224" s="9">
        <f t="shared" si="24"/>
        <v>413.72598945090994</v>
      </c>
      <c r="L224" s="10">
        <f t="shared" si="21"/>
        <v>0.27091509303666378</v>
      </c>
      <c r="M224" s="10">
        <f t="shared" si="20"/>
        <v>0.38783127866639699</v>
      </c>
      <c r="P224" s="8">
        <f t="shared" si="25"/>
        <v>8.1182835930743806</v>
      </c>
    </row>
    <row r="225" spans="1:16" x14ac:dyDescent="0.2">
      <c r="A225" s="8">
        <v>111.5</v>
      </c>
      <c r="B225" s="8">
        <v>223</v>
      </c>
      <c r="D225">
        <v>1602.5207756233001</v>
      </c>
      <c r="E225">
        <v>516.40720221607</v>
      </c>
      <c r="F225">
        <v>133.19315068493</v>
      </c>
      <c r="G225">
        <v>114.66164383562</v>
      </c>
      <c r="I225" s="9">
        <f t="shared" si="22"/>
        <v>401.74555838045001</v>
      </c>
      <c r="J225" s="9">
        <f t="shared" si="23"/>
        <v>1469.32762493837</v>
      </c>
      <c r="K225" s="9">
        <f t="shared" si="24"/>
        <v>401.74555838045001</v>
      </c>
      <c r="L225" s="10">
        <f t="shared" si="21"/>
        <v>0.2734213606017929</v>
      </c>
      <c r="M225" s="10">
        <f t="shared" si="20"/>
        <v>0.39086419571634468</v>
      </c>
      <c r="P225" s="8">
        <f t="shared" si="25"/>
        <v>8.9637898834594267</v>
      </c>
    </row>
    <row r="226" spans="1:16" x14ac:dyDescent="0.2">
      <c r="A226" s="8">
        <v>112</v>
      </c>
      <c r="B226" s="8">
        <v>224</v>
      </c>
      <c r="D226">
        <v>1594.7257617728999</v>
      </c>
      <c r="E226">
        <v>484.78670360110999</v>
      </c>
      <c r="F226">
        <v>133.15616438356</v>
      </c>
      <c r="G226">
        <v>114.74794520547999</v>
      </c>
      <c r="I226" s="9">
        <f t="shared" si="22"/>
        <v>370.03875839563</v>
      </c>
      <c r="J226" s="9">
        <f t="shared" si="23"/>
        <v>1461.5695973893398</v>
      </c>
      <c r="K226" s="9">
        <f t="shared" si="24"/>
        <v>370.03875839563</v>
      </c>
      <c r="L226" s="10">
        <f t="shared" si="21"/>
        <v>0.25317902004570592</v>
      </c>
      <c r="M226" s="10">
        <f t="shared" si="20"/>
        <v>0.37114850464507632</v>
      </c>
      <c r="P226" s="8">
        <f t="shared" si="25"/>
        <v>3.4675166436973224</v>
      </c>
    </row>
    <row r="227" spans="1:16" x14ac:dyDescent="0.2">
      <c r="A227" s="8">
        <v>112.5</v>
      </c>
      <c r="B227" s="8">
        <v>225</v>
      </c>
      <c r="D227">
        <v>1670.6357340720001</v>
      </c>
      <c r="E227">
        <v>518.31717451524003</v>
      </c>
      <c r="F227">
        <v>133.80410958904</v>
      </c>
      <c r="G227">
        <v>114.67123287670999</v>
      </c>
      <c r="I227" s="9">
        <f t="shared" si="22"/>
        <v>403.64594163853002</v>
      </c>
      <c r="J227" s="9">
        <f t="shared" si="23"/>
        <v>1536.83162448296</v>
      </c>
      <c r="K227" s="9">
        <f t="shared" si="24"/>
        <v>403.64594163853002</v>
      </c>
      <c r="L227" s="10">
        <f t="shared" si="21"/>
        <v>0.26264812306574548</v>
      </c>
      <c r="M227" s="10">
        <f t="shared" si="20"/>
        <v>0.3811442571499345</v>
      </c>
      <c r="P227" s="8">
        <f t="shared" si="25"/>
        <v>6.2540984989892277</v>
      </c>
    </row>
    <row r="228" spans="1:16" x14ac:dyDescent="0.2">
      <c r="A228" s="8">
        <v>113</v>
      </c>
      <c r="B228" s="8">
        <v>226</v>
      </c>
      <c r="D228">
        <v>1664.1855955679</v>
      </c>
      <c r="E228">
        <v>518.82409972299001</v>
      </c>
      <c r="F228">
        <v>133.75068493150999</v>
      </c>
      <c r="G228">
        <v>115.12191780822</v>
      </c>
      <c r="I228" s="9">
        <f t="shared" si="22"/>
        <v>403.70218191476999</v>
      </c>
      <c r="J228" s="9">
        <f t="shared" si="23"/>
        <v>1530.43491063639</v>
      </c>
      <c r="K228" s="9">
        <f t="shared" si="24"/>
        <v>403.70218191476999</v>
      </c>
      <c r="L228" s="10">
        <f t="shared" si="21"/>
        <v>0.263782653616351</v>
      </c>
      <c r="M228" s="10">
        <f t="shared" si="20"/>
        <v>0.38280543718535864</v>
      </c>
      <c r="P228" s="8">
        <f t="shared" si="25"/>
        <v>6.717196614197289</v>
      </c>
    </row>
    <row r="229" spans="1:16" x14ac:dyDescent="0.2">
      <c r="A229" s="8">
        <v>113.5</v>
      </c>
      <c r="B229" s="8">
        <v>227</v>
      </c>
      <c r="D229">
        <v>1624.8074792243999</v>
      </c>
      <c r="E229">
        <v>518.20083102493004</v>
      </c>
      <c r="F229">
        <v>133.20410958904</v>
      </c>
      <c r="G229">
        <v>115.00136986301</v>
      </c>
      <c r="I229" s="9">
        <f t="shared" si="22"/>
        <v>403.19946116192006</v>
      </c>
      <c r="J229" s="9">
        <f t="shared" si="23"/>
        <v>1491.60336963536</v>
      </c>
      <c r="K229" s="9">
        <f t="shared" si="24"/>
        <v>403.19946116192006</v>
      </c>
      <c r="L229" s="10">
        <f t="shared" si="21"/>
        <v>0.27031278513435303</v>
      </c>
      <c r="M229" s="10">
        <f t="shared" si="20"/>
        <v>0.38986221818817934</v>
      </c>
      <c r="P229" s="8">
        <f t="shared" si="25"/>
        <v>8.6844619991366869</v>
      </c>
    </row>
    <row r="230" spans="1:16" x14ac:dyDescent="0.2">
      <c r="A230" s="8">
        <v>114</v>
      </c>
      <c r="B230" s="8">
        <v>228</v>
      </c>
      <c r="D230">
        <v>1637.5373961219</v>
      </c>
      <c r="E230">
        <v>488.73407202215998</v>
      </c>
      <c r="F230">
        <v>133.29726027397001</v>
      </c>
      <c r="G230">
        <v>114.88356164384</v>
      </c>
      <c r="I230" s="9">
        <f t="shared" si="22"/>
        <v>373.85051037832</v>
      </c>
      <c r="J230" s="9">
        <f t="shared" si="23"/>
        <v>1504.2401358479299</v>
      </c>
      <c r="K230" s="9">
        <f t="shared" si="24"/>
        <v>373.85051037832</v>
      </c>
      <c r="L230" s="10">
        <f t="shared" si="21"/>
        <v>0.24853113639836702</v>
      </c>
      <c r="M230" s="10">
        <f t="shared" si="20"/>
        <v>0.36860721893701193</v>
      </c>
      <c r="P230" s="8">
        <f t="shared" si="25"/>
        <v>2.7590656651678831</v>
      </c>
    </row>
    <row r="231" spans="1:16" x14ac:dyDescent="0.2">
      <c r="A231" s="8">
        <v>114.5</v>
      </c>
      <c r="B231" s="8">
        <v>229</v>
      </c>
      <c r="D231">
        <v>1539.6066481994999</v>
      </c>
      <c r="E231">
        <v>454.34626038780999</v>
      </c>
      <c r="F231">
        <v>132.9301369863</v>
      </c>
      <c r="G231">
        <v>114.6301369863</v>
      </c>
      <c r="I231" s="9">
        <f t="shared" si="22"/>
        <v>339.71612340151</v>
      </c>
      <c r="J231" s="9">
        <f t="shared" si="23"/>
        <v>1406.6765112131998</v>
      </c>
      <c r="K231" s="9">
        <f t="shared" si="24"/>
        <v>339.71612340151</v>
      </c>
      <c r="L231" s="10">
        <f t="shared" si="21"/>
        <v>0.24150266297438849</v>
      </c>
      <c r="M231" s="10">
        <f t="shared" si="20"/>
        <v>0.36210539499785199</v>
      </c>
      <c r="P231" s="8">
        <f t="shared" si="25"/>
        <v>0.9465093212248048</v>
      </c>
    </row>
    <row r="232" spans="1:16" x14ac:dyDescent="0.2">
      <c r="A232" s="8">
        <v>115</v>
      </c>
      <c r="B232" s="8">
        <v>230</v>
      </c>
      <c r="D232">
        <v>1571.625</v>
      </c>
      <c r="E232">
        <v>446.59583333333001</v>
      </c>
      <c r="F232">
        <v>133.29178082192001</v>
      </c>
      <c r="G232">
        <v>114.64931506849</v>
      </c>
      <c r="I232" s="9">
        <f t="shared" si="22"/>
        <v>331.94651826483999</v>
      </c>
      <c r="J232" s="9">
        <f t="shared" si="23"/>
        <v>1438.3332191780801</v>
      </c>
      <c r="K232" s="9">
        <f t="shared" si="24"/>
        <v>331.94651826483999</v>
      </c>
      <c r="L232" s="10">
        <f t="shared" si="21"/>
        <v>0.23078554665832388</v>
      </c>
      <c r="M232" s="10">
        <f t="shared" si="20"/>
        <v>0.35191492816660602</v>
      </c>
      <c r="P232" s="8">
        <f t="shared" si="25"/>
        <v>-1.8943543311217881</v>
      </c>
    </row>
    <row r="233" spans="1:16" x14ac:dyDescent="0.2">
      <c r="A233" s="8">
        <v>115.5</v>
      </c>
      <c r="B233" s="8">
        <v>231</v>
      </c>
      <c r="D233">
        <v>1586.4402777778</v>
      </c>
      <c r="E233">
        <v>445.52916666666999</v>
      </c>
      <c r="F233">
        <v>133.09315068493001</v>
      </c>
      <c r="G233">
        <v>114.69863013699</v>
      </c>
      <c r="I233" s="9">
        <f t="shared" si="22"/>
        <v>330.83053652967999</v>
      </c>
      <c r="J233" s="9">
        <f t="shared" si="23"/>
        <v>1453.3471270928701</v>
      </c>
      <c r="K233" s="9">
        <f t="shared" si="24"/>
        <v>330.83053652967999</v>
      </c>
      <c r="L233" s="10">
        <f t="shared" si="21"/>
        <v>0.22763352977580809</v>
      </c>
      <c r="M233" s="10">
        <f t="shared" si="20"/>
        <v>0.34928956076890882</v>
      </c>
      <c r="P233" s="8">
        <f t="shared" si="25"/>
        <v>-2.6262453168522053</v>
      </c>
    </row>
    <row r="234" spans="1:16" x14ac:dyDescent="0.2">
      <c r="A234" s="8">
        <v>116</v>
      </c>
      <c r="B234" s="8">
        <v>232</v>
      </c>
      <c r="D234">
        <v>1557.4349030471001</v>
      </c>
      <c r="E234">
        <v>444.40443213295998</v>
      </c>
      <c r="F234">
        <v>133.03835616437999</v>
      </c>
      <c r="G234">
        <v>114.56849315069</v>
      </c>
      <c r="I234" s="9">
        <f t="shared" si="22"/>
        <v>329.83593898226997</v>
      </c>
      <c r="J234" s="9">
        <f t="shared" si="23"/>
        <v>1424.39654688272</v>
      </c>
      <c r="K234" s="9">
        <f t="shared" si="24"/>
        <v>329.83593898226997</v>
      </c>
      <c r="L234" s="10">
        <f t="shared" si="21"/>
        <v>0.23156187769769113</v>
      </c>
      <c r="M234" s="10">
        <f t="shared" si="20"/>
        <v>0.35374455817561051</v>
      </c>
      <c r="P234" s="8">
        <f t="shared" si="25"/>
        <v>-1.3842963057243483</v>
      </c>
    </row>
    <row r="235" spans="1:16" x14ac:dyDescent="0.2">
      <c r="A235" s="8">
        <v>116.5</v>
      </c>
      <c r="B235" s="8">
        <v>233</v>
      </c>
      <c r="D235">
        <v>1524.1515994437</v>
      </c>
      <c r="E235">
        <v>450.70375521557997</v>
      </c>
      <c r="F235">
        <v>133.45479452055</v>
      </c>
      <c r="G235">
        <v>114.79452054795</v>
      </c>
      <c r="I235" s="9">
        <f t="shared" si="22"/>
        <v>335.90923466762996</v>
      </c>
      <c r="J235" s="9">
        <f t="shared" si="23"/>
        <v>1390.69680492315</v>
      </c>
      <c r="K235" s="9">
        <f t="shared" si="24"/>
        <v>335.90923466762996</v>
      </c>
      <c r="L235" s="10">
        <f t="shared" si="21"/>
        <v>0.24154023614528425</v>
      </c>
      <c r="M235" s="10">
        <f t="shared" si="20"/>
        <v>0.36424956610802223</v>
      </c>
      <c r="P235" s="8">
        <f t="shared" si="25"/>
        <v>1.5442540440295685</v>
      </c>
    </row>
    <row r="236" spans="1:16" x14ac:dyDescent="0.2">
      <c r="A236" s="8">
        <v>117</v>
      </c>
      <c r="B236" s="8">
        <v>234</v>
      </c>
      <c r="D236">
        <v>1485.1988873435</v>
      </c>
      <c r="E236">
        <v>440.15159944367002</v>
      </c>
      <c r="F236">
        <v>133.25753424658001</v>
      </c>
      <c r="G236">
        <v>114.90958904110001</v>
      </c>
      <c r="I236" s="9">
        <f t="shared" si="22"/>
        <v>325.24201040257003</v>
      </c>
      <c r="J236" s="9">
        <f t="shared" si="23"/>
        <v>1351.94135309692</v>
      </c>
      <c r="K236" s="9">
        <f t="shared" si="24"/>
        <v>325.24201040257003</v>
      </c>
      <c r="L236" s="10">
        <f t="shared" si="21"/>
        <v>0.24057405275571417</v>
      </c>
      <c r="M236" s="10">
        <f t="shared" si="20"/>
        <v>0.36381003220327079</v>
      </c>
      <c r="P236" s="8">
        <f t="shared" si="25"/>
        <v>1.4217222783450281</v>
      </c>
    </row>
    <row r="237" spans="1:16" x14ac:dyDescent="0.2">
      <c r="A237" s="8">
        <v>117.5</v>
      </c>
      <c r="B237" s="8">
        <v>235</v>
      </c>
      <c r="D237">
        <v>1499.4005563282001</v>
      </c>
      <c r="E237">
        <v>451.29485396384001</v>
      </c>
      <c r="F237">
        <v>132.52054794521001</v>
      </c>
      <c r="G237">
        <v>114.99178082192</v>
      </c>
      <c r="I237" s="9">
        <f t="shared" si="22"/>
        <v>336.30307314191998</v>
      </c>
      <c r="J237" s="9">
        <f t="shared" si="23"/>
        <v>1366.8800083829901</v>
      </c>
      <c r="K237" s="9">
        <f t="shared" si="24"/>
        <v>336.30307314191998</v>
      </c>
      <c r="L237" s="10">
        <f t="shared" si="21"/>
        <v>0.24603701208547504</v>
      </c>
      <c r="M237" s="10">
        <f t="shared" si="20"/>
        <v>0.36979964101785029</v>
      </c>
      <c r="P237" s="8">
        <f t="shared" si="25"/>
        <v>3.0914850335644743</v>
      </c>
    </row>
    <row r="238" spans="1:16" x14ac:dyDescent="0.2">
      <c r="A238" s="8">
        <v>118</v>
      </c>
      <c r="B238" s="8">
        <v>236</v>
      </c>
      <c r="D238">
        <v>1483.8901251739001</v>
      </c>
      <c r="E238">
        <v>446.52851182197998</v>
      </c>
      <c r="F238">
        <v>132.92465753425</v>
      </c>
      <c r="G238">
        <v>115.02876712329</v>
      </c>
      <c r="I238" s="9">
        <f t="shared" si="22"/>
        <v>331.49974469868999</v>
      </c>
      <c r="J238" s="9">
        <f t="shared" si="23"/>
        <v>1350.9654676396501</v>
      </c>
      <c r="K238" s="9">
        <f t="shared" si="24"/>
        <v>331.49974469868999</v>
      </c>
      <c r="L238" s="10">
        <f t="shared" si="21"/>
        <v>0.24537988027027247</v>
      </c>
      <c r="M238" s="10">
        <f t="shared" si="20"/>
        <v>0.3696691586874663</v>
      </c>
      <c r="P238" s="8">
        <f t="shared" si="25"/>
        <v>3.0551096136941345</v>
      </c>
    </row>
    <row r="239" spans="1:16" x14ac:dyDescent="0.2">
      <c r="A239" s="8">
        <v>118.5</v>
      </c>
      <c r="B239" s="8">
        <v>237</v>
      </c>
      <c r="D239">
        <v>1483.3324061195999</v>
      </c>
      <c r="E239">
        <v>433.15577190542001</v>
      </c>
      <c r="F239">
        <v>132.61095890410999</v>
      </c>
      <c r="G239">
        <v>114.54246575342999</v>
      </c>
      <c r="I239" s="9">
        <f t="shared" si="22"/>
        <v>318.61330615199</v>
      </c>
      <c r="J239" s="9">
        <f t="shared" si="23"/>
        <v>1350.7214472154899</v>
      </c>
      <c r="K239" s="9">
        <f t="shared" si="24"/>
        <v>318.61330615199</v>
      </c>
      <c r="L239" s="10">
        <f t="shared" si="21"/>
        <v>0.2358837988460247</v>
      </c>
      <c r="M239" s="10">
        <f t="shared" si="20"/>
        <v>0.36069972674803719</v>
      </c>
      <c r="P239" s="8">
        <f t="shared" si="25"/>
        <v>0.55464191178363409</v>
      </c>
    </row>
    <row r="240" spans="1:16" x14ac:dyDescent="0.2">
      <c r="A240" s="8">
        <v>119</v>
      </c>
      <c r="B240" s="8">
        <v>238</v>
      </c>
      <c r="D240">
        <v>1362.4347222222</v>
      </c>
      <c r="E240">
        <v>382.21388888888998</v>
      </c>
      <c r="F240">
        <v>132.41232876711999</v>
      </c>
      <c r="G240">
        <v>114.44657534247</v>
      </c>
      <c r="I240" s="9">
        <f t="shared" si="22"/>
        <v>267.76731354641998</v>
      </c>
      <c r="J240" s="9">
        <f t="shared" si="23"/>
        <v>1230.02239345508</v>
      </c>
      <c r="K240" s="9">
        <f t="shared" si="24"/>
        <v>267.76731354641998</v>
      </c>
      <c r="L240" s="10">
        <f t="shared" si="21"/>
        <v>0.21769303955050209</v>
      </c>
      <c r="M240" s="10">
        <f t="shared" si="20"/>
        <v>0.3430356169373332</v>
      </c>
      <c r="P240" s="8">
        <f t="shared" si="25"/>
        <v>-4.3696984882480914</v>
      </c>
    </row>
    <row r="241" spans="1:16" x14ac:dyDescent="0.2">
      <c r="A241" s="8">
        <v>119.5</v>
      </c>
      <c r="B241" s="8">
        <v>239</v>
      </c>
      <c r="D241">
        <v>1394.5472222221999</v>
      </c>
      <c r="E241">
        <v>385.95972222222002</v>
      </c>
      <c r="F241">
        <v>132.7904109589</v>
      </c>
      <c r="G241">
        <v>114.64383561644</v>
      </c>
      <c r="I241" s="9">
        <f t="shared" si="22"/>
        <v>271.31588660578001</v>
      </c>
      <c r="J241" s="9">
        <f t="shared" si="23"/>
        <v>1261.7568112632998</v>
      </c>
      <c r="K241" s="9">
        <f t="shared" si="24"/>
        <v>271.31588660578001</v>
      </c>
      <c r="L241" s="10">
        <f t="shared" si="21"/>
        <v>0.215030253202384</v>
      </c>
      <c r="M241" s="10">
        <f t="shared" si="20"/>
        <v>0.3408994800740337</v>
      </c>
      <c r="P241" s="8">
        <f t="shared" si="25"/>
        <v>-4.9652034510607939</v>
      </c>
    </row>
    <row r="242" spans="1:16" x14ac:dyDescent="0.2">
      <c r="A242" s="8">
        <v>120</v>
      </c>
      <c r="B242" s="8">
        <v>240</v>
      </c>
      <c r="D242">
        <v>1481.3777777778</v>
      </c>
      <c r="E242">
        <v>398.63472222221998</v>
      </c>
      <c r="F242">
        <v>132.28219178082</v>
      </c>
      <c r="G242">
        <v>114.21369863014</v>
      </c>
      <c r="I242" s="9">
        <f>E242-G242</f>
        <v>284.42102359207996</v>
      </c>
      <c r="J242" s="9">
        <f>D242-F242</f>
        <v>1349.0955859969799</v>
      </c>
      <c r="K242" s="9">
        <f t="shared" si="24"/>
        <v>284.42102359207996</v>
      </c>
      <c r="L242" s="10">
        <f t="shared" si="21"/>
        <v>0.21082347799833115</v>
      </c>
      <c r="M242" s="10">
        <f>L242+ABS($N$2)*A242</f>
        <v>0.33721935435479944</v>
      </c>
      <c r="O242" s="11"/>
      <c r="P242" s="8">
        <f>(M242-$O$2)/$O$2*100</f>
        <v>-5.9911363710112528</v>
      </c>
    </row>
    <row r="243" spans="1:16" x14ac:dyDescent="0.2">
      <c r="A243" s="8">
        <v>120.5</v>
      </c>
      <c r="B243" s="8">
        <v>241</v>
      </c>
      <c r="D243">
        <v>1445.3125</v>
      </c>
      <c r="E243">
        <v>386.68888888889001</v>
      </c>
      <c r="F243">
        <v>132.61232876712</v>
      </c>
      <c r="G243">
        <v>114.83561643836001</v>
      </c>
      <c r="I243" s="9">
        <f t="shared" ref="I243:I274" si="26">E243-G243</f>
        <v>271.85327245052997</v>
      </c>
      <c r="J243" s="9">
        <f t="shared" ref="J243:J274" si="27">D243-F243</f>
        <v>1312.7001712328799</v>
      </c>
      <c r="K243" s="9">
        <f t="shared" si="24"/>
        <v>271.85327245052997</v>
      </c>
      <c r="L243" s="10">
        <f t="shared" si="21"/>
        <v>0.20709471851078304</v>
      </c>
      <c r="M243" s="10">
        <f t="shared" ref="M243:M274" si="28">L243+ABS($N$2)*A243</f>
        <v>0.33401724435206998</v>
      </c>
      <c r="P243" s="8">
        <f t="shared" ref="P243:P274" si="29">(M243-$O$2)/$O$2*100</f>
        <v>-6.883809696798167</v>
      </c>
    </row>
    <row r="244" spans="1:16" x14ac:dyDescent="0.2">
      <c r="A244" s="8">
        <v>121</v>
      </c>
      <c r="B244" s="8">
        <v>242</v>
      </c>
      <c r="D244">
        <v>1612.7947295423</v>
      </c>
      <c r="E244">
        <v>412.93203883494999</v>
      </c>
      <c r="F244">
        <v>132.29452054794999</v>
      </c>
      <c r="G244">
        <v>114.88219178081999</v>
      </c>
      <c r="I244" s="9">
        <f t="shared" si="26"/>
        <v>298.04984705413</v>
      </c>
      <c r="J244" s="9">
        <f t="shared" si="27"/>
        <v>1480.50020899435</v>
      </c>
      <c r="K244" s="9">
        <f t="shared" si="24"/>
        <v>298.04984705413</v>
      </c>
      <c r="L244" s="10">
        <f t="shared" si="21"/>
        <v>0.20131699086796107</v>
      </c>
      <c r="M244" s="10">
        <f t="shared" si="28"/>
        <v>0.32876616619406662</v>
      </c>
      <c r="N244" s="1"/>
      <c r="P244" s="8">
        <f t="shared" si="29"/>
        <v>-8.3476873897182351</v>
      </c>
    </row>
    <row r="245" spans="1:16" x14ac:dyDescent="0.2">
      <c r="A245" s="8">
        <v>121.5</v>
      </c>
      <c r="B245" s="8">
        <v>243</v>
      </c>
      <c r="D245">
        <v>1610.9708737864</v>
      </c>
      <c r="E245">
        <v>408.82662968099999</v>
      </c>
      <c r="F245">
        <v>132.77534246574999</v>
      </c>
      <c r="G245">
        <v>114.51232876712</v>
      </c>
      <c r="I245" s="9">
        <f t="shared" si="26"/>
        <v>294.31430091388</v>
      </c>
      <c r="J245" s="9">
        <f t="shared" si="27"/>
        <v>1478.1955313206499</v>
      </c>
      <c r="K245" s="9">
        <f t="shared" si="24"/>
        <v>294.31430091388</v>
      </c>
      <c r="L245" s="10">
        <f t="shared" si="21"/>
        <v>0.19910376853252534</v>
      </c>
      <c r="M245" s="10">
        <f t="shared" si="28"/>
        <v>0.32707959334344949</v>
      </c>
      <c r="P245" s="8">
        <f t="shared" si="29"/>
        <v>-8.8178644275023768</v>
      </c>
    </row>
    <row r="246" spans="1:16" x14ac:dyDescent="0.2">
      <c r="A246" s="8">
        <v>122</v>
      </c>
      <c r="B246" s="8">
        <v>244</v>
      </c>
      <c r="D246">
        <v>1639.3328710124999</v>
      </c>
      <c r="E246">
        <v>416.68515950069002</v>
      </c>
      <c r="F246">
        <v>132.17945205480001</v>
      </c>
      <c r="G246">
        <v>114.54520547945</v>
      </c>
      <c r="I246" s="9">
        <f t="shared" si="26"/>
        <v>302.13995402123999</v>
      </c>
      <c r="J246" s="9">
        <f t="shared" si="27"/>
        <v>1507.1534189576998</v>
      </c>
      <c r="K246" s="9">
        <f t="shared" si="24"/>
        <v>302.13995402123999</v>
      </c>
      <c r="L246" s="10">
        <f t="shared" si="21"/>
        <v>0.20047060254170443</v>
      </c>
      <c r="M246" s="10">
        <f t="shared" si="28"/>
        <v>0.32897307683744725</v>
      </c>
      <c r="P246" s="8">
        <f t="shared" si="29"/>
        <v>-8.2900055449315619</v>
      </c>
    </row>
    <row r="247" spans="1:16" x14ac:dyDescent="0.2">
      <c r="A247" s="8">
        <v>122.5</v>
      </c>
      <c r="B247" s="8">
        <v>245</v>
      </c>
      <c r="D247">
        <v>1641.0984743412</v>
      </c>
      <c r="E247">
        <v>408.13592233010002</v>
      </c>
      <c r="F247">
        <v>133.05205479451999</v>
      </c>
      <c r="G247">
        <v>114.59726027396999</v>
      </c>
      <c r="I247" s="9">
        <f t="shared" si="26"/>
        <v>293.53866205613002</v>
      </c>
      <c r="J247" s="9">
        <f t="shared" si="27"/>
        <v>1508.04641954668</v>
      </c>
      <c r="K247" s="9">
        <f t="shared" si="24"/>
        <v>293.53866205613002</v>
      </c>
      <c r="L247" s="10">
        <f t="shared" si="21"/>
        <v>0.19464829348182</v>
      </c>
      <c r="M247" s="10">
        <f t="shared" si="28"/>
        <v>0.32367741726238142</v>
      </c>
      <c r="P247" s="8">
        <f t="shared" si="29"/>
        <v>-9.7663114935341433</v>
      </c>
    </row>
    <row r="248" spans="1:16" x14ac:dyDescent="0.2">
      <c r="A248" s="8">
        <v>123</v>
      </c>
      <c r="B248" s="8">
        <v>246</v>
      </c>
      <c r="D248">
        <v>1629.0624133148001</v>
      </c>
      <c r="E248">
        <v>397.48543689320002</v>
      </c>
      <c r="F248">
        <v>132.55342465753</v>
      </c>
      <c r="G248">
        <v>114.47808219178</v>
      </c>
      <c r="I248" s="9">
        <f t="shared" si="26"/>
        <v>283.00735470142001</v>
      </c>
      <c r="J248" s="9">
        <f t="shared" si="27"/>
        <v>1496.50898865727</v>
      </c>
      <c r="K248" s="9">
        <f t="shared" si="24"/>
        <v>283.00735470142001</v>
      </c>
      <c r="L248" s="10">
        <f t="shared" si="21"/>
        <v>0.18911169718756313</v>
      </c>
      <c r="M248" s="10">
        <f t="shared" si="28"/>
        <v>0.31866747045294319</v>
      </c>
      <c r="P248" s="8">
        <f t="shared" si="29"/>
        <v>-11.162967409971944</v>
      </c>
    </row>
    <row r="249" spans="1:16" x14ac:dyDescent="0.2">
      <c r="A249" s="8">
        <v>123.5</v>
      </c>
      <c r="B249" s="8">
        <v>247</v>
      </c>
      <c r="D249">
        <v>1652.2399445215001</v>
      </c>
      <c r="E249">
        <v>398.89320388350001</v>
      </c>
      <c r="F249">
        <v>132.87808219178001</v>
      </c>
      <c r="G249">
        <v>114.55342465753</v>
      </c>
      <c r="I249" s="9">
        <f t="shared" si="26"/>
        <v>284.33977922597001</v>
      </c>
      <c r="J249" s="9">
        <f t="shared" si="27"/>
        <v>1519.36186232972</v>
      </c>
      <c r="K249" s="9">
        <f t="shared" si="24"/>
        <v>284.33977922597001</v>
      </c>
      <c r="L249" s="10">
        <f t="shared" si="21"/>
        <v>0.18714421249851329</v>
      </c>
      <c r="M249" s="10">
        <f t="shared" si="28"/>
        <v>0.31722663524871197</v>
      </c>
      <c r="P249" s="8">
        <f t="shared" si="29"/>
        <v>-11.564638543248314</v>
      </c>
    </row>
    <row r="250" spans="1:16" x14ac:dyDescent="0.2">
      <c r="A250" s="8">
        <v>124</v>
      </c>
      <c r="B250" s="8">
        <v>248</v>
      </c>
      <c r="D250">
        <v>1594.3578363383999</v>
      </c>
      <c r="E250">
        <v>390.85436893204002</v>
      </c>
      <c r="F250">
        <v>132.14794520548</v>
      </c>
      <c r="G250">
        <v>114.01369863014</v>
      </c>
      <c r="I250" s="9">
        <f t="shared" si="26"/>
        <v>276.84067030189999</v>
      </c>
      <c r="J250" s="9">
        <f t="shared" si="27"/>
        <v>1462.2098911329199</v>
      </c>
      <c r="K250" s="9">
        <f t="shared" si="24"/>
        <v>276.84067030189999</v>
      </c>
      <c r="L250" s="10">
        <f t="shared" si="21"/>
        <v>0.18933032253488855</v>
      </c>
      <c r="M250" s="10">
        <f t="shared" si="28"/>
        <v>0.31993939476990585</v>
      </c>
      <c r="P250" s="8">
        <f t="shared" si="29"/>
        <v>-10.808384678833887</v>
      </c>
    </row>
    <row r="251" spans="1:16" x14ac:dyDescent="0.2">
      <c r="A251" s="8">
        <v>124.5</v>
      </c>
      <c r="B251" s="8">
        <v>249</v>
      </c>
      <c r="D251">
        <v>1589.0457697642</v>
      </c>
      <c r="E251">
        <v>388.11373092926999</v>
      </c>
      <c r="F251">
        <v>132.11232876712</v>
      </c>
      <c r="G251">
        <v>114.70410958904</v>
      </c>
      <c r="I251" s="9">
        <f t="shared" si="26"/>
        <v>273.40962134022999</v>
      </c>
      <c r="J251" s="9">
        <f t="shared" si="27"/>
        <v>1456.93344099708</v>
      </c>
      <c r="K251" s="9">
        <f t="shared" si="24"/>
        <v>273.40962134022999</v>
      </c>
      <c r="L251" s="10">
        <f t="shared" si="21"/>
        <v>0.18766102393333559</v>
      </c>
      <c r="M251" s="10">
        <f t="shared" si="28"/>
        <v>0.31879674565317145</v>
      </c>
      <c r="P251" s="8">
        <f t="shared" si="29"/>
        <v>-11.126928509737047</v>
      </c>
    </row>
    <row r="252" spans="1:16" x14ac:dyDescent="0.2">
      <c r="A252" s="8">
        <v>125</v>
      </c>
      <c r="B252" s="8">
        <v>250</v>
      </c>
      <c r="D252">
        <v>1549.7073509014999</v>
      </c>
      <c r="E252">
        <v>380.28987517336998</v>
      </c>
      <c r="F252">
        <v>132.14931506849001</v>
      </c>
      <c r="G252">
        <v>114.43150684932</v>
      </c>
      <c r="I252" s="9">
        <f t="shared" si="26"/>
        <v>265.85836832404999</v>
      </c>
      <c r="J252" s="9">
        <f t="shared" si="27"/>
        <v>1417.5580358330099</v>
      </c>
      <c r="K252" s="9">
        <f t="shared" si="24"/>
        <v>265.85836832404999</v>
      </c>
      <c r="L252" s="10">
        <f t="shared" si="21"/>
        <v>0.187546725850855</v>
      </c>
      <c r="M252" s="10">
        <f t="shared" si="28"/>
        <v>0.31920909705550948</v>
      </c>
      <c r="P252" s="8">
        <f t="shared" si="29"/>
        <v>-11.011974589539356</v>
      </c>
    </row>
    <row r="253" spans="1:16" x14ac:dyDescent="0.2">
      <c r="A253" s="8">
        <v>125.5</v>
      </c>
      <c r="B253" s="8">
        <v>251</v>
      </c>
      <c r="D253">
        <v>1588.2795549374</v>
      </c>
      <c r="E253">
        <v>376.41168289290999</v>
      </c>
      <c r="F253">
        <v>132.42876712328999</v>
      </c>
      <c r="G253">
        <v>114.9904109589</v>
      </c>
      <c r="I253" s="9">
        <f t="shared" si="26"/>
        <v>261.42127193401001</v>
      </c>
      <c r="J253" s="9">
        <f t="shared" si="27"/>
        <v>1455.8507878141099</v>
      </c>
      <c r="K253" s="9">
        <f t="shared" si="24"/>
        <v>261.42127193401001</v>
      </c>
      <c r="L253" s="10">
        <f t="shared" si="21"/>
        <v>0.17956597896033116</v>
      </c>
      <c r="M253" s="10">
        <f t="shared" si="28"/>
        <v>0.31175499964980424</v>
      </c>
      <c r="P253" s="8">
        <f t="shared" si="29"/>
        <v>-13.090002488711654</v>
      </c>
    </row>
    <row r="254" spans="1:16" x14ac:dyDescent="0.2">
      <c r="A254" s="8">
        <v>126</v>
      </c>
      <c r="B254" s="8">
        <v>252</v>
      </c>
      <c r="D254">
        <v>1595.5479833101999</v>
      </c>
      <c r="E254">
        <v>381.31154381085003</v>
      </c>
      <c r="F254">
        <v>132.40136986300999</v>
      </c>
      <c r="G254">
        <v>114.8794520548</v>
      </c>
      <c r="I254" s="9">
        <f t="shared" si="26"/>
        <v>266.43209175605</v>
      </c>
      <c r="J254" s="9">
        <f t="shared" si="27"/>
        <v>1463.14661344719</v>
      </c>
      <c r="K254" s="9">
        <f t="shared" si="24"/>
        <v>266.43209175605</v>
      </c>
      <c r="L254" s="10">
        <f t="shared" si="21"/>
        <v>0.1820952796578143</v>
      </c>
      <c r="M254" s="10">
        <f t="shared" si="28"/>
        <v>0.314810949832106</v>
      </c>
      <c r="P254" s="8">
        <f t="shared" si="29"/>
        <v>-12.238075100099417</v>
      </c>
    </row>
    <row r="255" spans="1:16" x14ac:dyDescent="0.2">
      <c r="A255" s="8">
        <v>126.5</v>
      </c>
      <c r="B255" s="8">
        <v>253</v>
      </c>
      <c r="D255">
        <v>1574.4325452016999</v>
      </c>
      <c r="E255">
        <v>375.86369958274997</v>
      </c>
      <c r="F255">
        <v>132.41232876711999</v>
      </c>
      <c r="G255">
        <v>114.44931506848999</v>
      </c>
      <c r="I255" s="9">
        <f t="shared" si="26"/>
        <v>261.41438451425995</v>
      </c>
      <c r="J255" s="9">
        <f t="shared" si="27"/>
        <v>1442.0202164345799</v>
      </c>
      <c r="K255" s="9">
        <f t="shared" si="24"/>
        <v>261.41438451425995</v>
      </c>
      <c r="L255" s="10">
        <f t="shared" si="21"/>
        <v>0.18128343939630165</v>
      </c>
      <c r="M255" s="10">
        <f t="shared" si="28"/>
        <v>0.31452575905541202</v>
      </c>
      <c r="P255" s="8">
        <f t="shared" si="29"/>
        <v>-12.317579613966261</v>
      </c>
    </row>
    <row r="256" spans="1:16" x14ac:dyDescent="0.2">
      <c r="A256" s="8">
        <v>127</v>
      </c>
      <c r="B256" s="8">
        <v>254</v>
      </c>
      <c r="D256">
        <v>1571.7148817802999</v>
      </c>
      <c r="E256">
        <v>372.18080667594</v>
      </c>
      <c r="F256">
        <v>132.40821917808</v>
      </c>
      <c r="G256">
        <v>114.83150684931999</v>
      </c>
      <c r="I256" s="9">
        <f t="shared" si="26"/>
        <v>257.34929982662004</v>
      </c>
      <c r="J256" s="9">
        <f t="shared" si="27"/>
        <v>1439.3066626022201</v>
      </c>
      <c r="K256" s="9">
        <f t="shared" si="24"/>
        <v>257.34929982662004</v>
      </c>
      <c r="L256" s="10">
        <f t="shared" si="21"/>
        <v>0.17880088136418462</v>
      </c>
      <c r="M256" s="10">
        <f t="shared" si="28"/>
        <v>0.31256985050811359</v>
      </c>
      <c r="P256" s="8">
        <f t="shared" si="29"/>
        <v>-12.862841140385928</v>
      </c>
    </row>
    <row r="257" spans="1:16" x14ac:dyDescent="0.2">
      <c r="A257" s="8">
        <v>127.5</v>
      </c>
      <c r="B257" s="8">
        <v>255</v>
      </c>
      <c r="D257">
        <v>1533.0361613351999</v>
      </c>
      <c r="E257">
        <v>366.34909596661998</v>
      </c>
      <c r="F257">
        <v>132.54931506848999</v>
      </c>
      <c r="G257">
        <v>114.39452054794999</v>
      </c>
      <c r="I257" s="9">
        <f t="shared" si="26"/>
        <v>251.95457541867</v>
      </c>
      <c r="J257" s="9">
        <f t="shared" si="27"/>
        <v>1400.48684626671</v>
      </c>
      <c r="K257" s="9">
        <f t="shared" si="24"/>
        <v>251.95457541867</v>
      </c>
      <c r="L257" s="10">
        <f t="shared" si="21"/>
        <v>0.17990499238911634</v>
      </c>
      <c r="M257" s="10">
        <f t="shared" si="28"/>
        <v>0.3142006110178639</v>
      </c>
      <c r="P257" s="8">
        <f t="shared" si="29"/>
        <v>-12.408223276989633</v>
      </c>
    </row>
    <row r="258" spans="1:16" x14ac:dyDescent="0.2">
      <c r="A258" s="8">
        <v>128</v>
      </c>
      <c r="B258" s="8">
        <v>256</v>
      </c>
      <c r="D258">
        <v>1520.3991655077</v>
      </c>
      <c r="E258">
        <v>359.41307371349001</v>
      </c>
      <c r="F258">
        <v>132.57260273973</v>
      </c>
      <c r="G258">
        <v>114.46301369862999</v>
      </c>
      <c r="I258" s="9">
        <f t="shared" si="26"/>
        <v>244.95006001486001</v>
      </c>
      <c r="J258" s="9">
        <f t="shared" si="27"/>
        <v>1387.82656276797</v>
      </c>
      <c r="K258" s="9">
        <f t="shared" si="24"/>
        <v>244.95006001486001</v>
      </c>
      <c r="L258" s="10">
        <f t="shared" ref="L258:L321" si="30">K258/J258</f>
        <v>0.17649904288207019</v>
      </c>
      <c r="M258" s="10">
        <f t="shared" si="28"/>
        <v>0.31132131099563642</v>
      </c>
      <c r="P258" s="8">
        <f t="shared" si="29"/>
        <v>-13.210904735337174</v>
      </c>
    </row>
    <row r="259" spans="1:16" x14ac:dyDescent="0.2">
      <c r="A259" s="8">
        <v>128.5</v>
      </c>
      <c r="B259" s="8">
        <v>257</v>
      </c>
      <c r="D259">
        <v>1514.0139082057999</v>
      </c>
      <c r="E259">
        <v>358.54381084840003</v>
      </c>
      <c r="F259">
        <v>132.89452054795001</v>
      </c>
      <c r="G259">
        <v>114.06301369863</v>
      </c>
      <c r="I259" s="9">
        <f t="shared" si="26"/>
        <v>244.48079714977001</v>
      </c>
      <c r="J259" s="9">
        <f t="shared" si="27"/>
        <v>1381.11938765785</v>
      </c>
      <c r="K259" s="9">
        <f t="shared" ref="K259:K322" si="31">I259*1</f>
        <v>244.48079714977001</v>
      </c>
      <c r="L259" s="10">
        <f t="shared" si="30"/>
        <v>0.17701641098845844</v>
      </c>
      <c r="M259" s="10">
        <f t="shared" si="28"/>
        <v>0.31236532858684329</v>
      </c>
      <c r="P259" s="8">
        <f t="shared" si="29"/>
        <v>-12.919857065354481</v>
      </c>
    </row>
    <row r="260" spans="1:16" x14ac:dyDescent="0.2">
      <c r="A260" s="8">
        <v>129</v>
      </c>
      <c r="B260" s="8">
        <v>258</v>
      </c>
      <c r="D260">
        <v>1514.9471488178001</v>
      </c>
      <c r="E260">
        <v>360.15020862309001</v>
      </c>
      <c r="F260">
        <v>131.73150684932</v>
      </c>
      <c r="G260">
        <v>114.44520547945</v>
      </c>
      <c r="I260" s="9">
        <f t="shared" si="26"/>
        <v>245.70500314364</v>
      </c>
      <c r="J260" s="9">
        <f t="shared" si="27"/>
        <v>1383.2156419684802</v>
      </c>
      <c r="K260" s="9">
        <f t="shared" si="31"/>
        <v>245.70500314364</v>
      </c>
      <c r="L260" s="10">
        <f t="shared" si="30"/>
        <v>0.17763318725486113</v>
      </c>
      <c r="M260" s="10">
        <f t="shared" si="28"/>
        <v>0.31350875433806458</v>
      </c>
      <c r="P260" s="8">
        <f t="shared" si="29"/>
        <v>-12.601096726932923</v>
      </c>
    </row>
    <row r="261" spans="1:16" x14ac:dyDescent="0.2">
      <c r="A261" s="8">
        <v>129.5</v>
      </c>
      <c r="B261" s="8">
        <v>259</v>
      </c>
      <c r="D261">
        <v>1501.1655076494999</v>
      </c>
      <c r="E261">
        <v>361.71210013908001</v>
      </c>
      <c r="F261">
        <v>132.86438356164001</v>
      </c>
      <c r="G261">
        <v>114.39726027397001</v>
      </c>
      <c r="I261" s="9">
        <f t="shared" si="26"/>
        <v>247.31483986511</v>
      </c>
      <c r="J261" s="9">
        <f t="shared" si="27"/>
        <v>1368.30112408786</v>
      </c>
      <c r="K261" s="9">
        <f t="shared" si="31"/>
        <v>247.31483986511</v>
      </c>
      <c r="L261" s="10">
        <f t="shared" si="30"/>
        <v>0.18074591587431135</v>
      </c>
      <c r="M261" s="10">
        <f t="shared" si="28"/>
        <v>0.31714813244233342</v>
      </c>
      <c r="P261" s="8">
        <f t="shared" si="29"/>
        <v>-11.58652328836757</v>
      </c>
    </row>
    <row r="262" spans="1:16" x14ac:dyDescent="0.2">
      <c r="A262" s="8">
        <v>130</v>
      </c>
      <c r="B262" s="8">
        <v>260</v>
      </c>
      <c r="D262">
        <v>1550.0661157024999</v>
      </c>
      <c r="E262">
        <v>361.84986225895</v>
      </c>
      <c r="F262">
        <v>131.85068493150999</v>
      </c>
      <c r="G262">
        <v>114.10273972602999</v>
      </c>
      <c r="I262" s="9">
        <f t="shared" si="26"/>
        <v>247.74712253292</v>
      </c>
      <c r="J262" s="9">
        <f t="shared" si="27"/>
        <v>1418.21543077099</v>
      </c>
      <c r="K262" s="9">
        <f t="shared" si="31"/>
        <v>247.74712253292</v>
      </c>
      <c r="L262" s="10">
        <f t="shared" si="30"/>
        <v>0.17468934349292495</v>
      </c>
      <c r="M262" s="10">
        <f t="shared" si="28"/>
        <v>0.31161820954576563</v>
      </c>
      <c r="P262" s="8">
        <f t="shared" si="29"/>
        <v>-13.12813636824821</v>
      </c>
    </row>
    <row r="263" spans="1:16" x14ac:dyDescent="0.2">
      <c r="A263" s="8">
        <v>130.5</v>
      </c>
      <c r="B263" s="8">
        <v>261</v>
      </c>
      <c r="D263">
        <v>1530.9022038568</v>
      </c>
      <c r="E263">
        <v>360.09641873278002</v>
      </c>
      <c r="F263">
        <v>131.68493150685001</v>
      </c>
      <c r="G263">
        <v>114.4301369863</v>
      </c>
      <c r="I263" s="9">
        <f t="shared" si="26"/>
        <v>245.66628174648002</v>
      </c>
      <c r="J263" s="9">
        <f t="shared" si="27"/>
        <v>1399.21727234995</v>
      </c>
      <c r="K263" s="9">
        <f t="shared" si="31"/>
        <v>245.66628174648002</v>
      </c>
      <c r="L263" s="10">
        <f t="shared" si="30"/>
        <v>0.17557407745109502</v>
      </c>
      <c r="M263" s="10">
        <f t="shared" si="28"/>
        <v>0.31302959298875432</v>
      </c>
      <c r="P263" s="8">
        <f t="shared" si="29"/>
        <v>-12.734675696709955</v>
      </c>
    </row>
    <row r="264" spans="1:16" x14ac:dyDescent="0.2">
      <c r="A264" s="8">
        <v>131</v>
      </c>
      <c r="B264" s="8">
        <v>262</v>
      </c>
      <c r="D264">
        <v>1516.4035812672</v>
      </c>
      <c r="E264">
        <v>355.65840220386002</v>
      </c>
      <c r="F264">
        <v>132.46027397259999</v>
      </c>
      <c r="G264">
        <v>114.21095890411</v>
      </c>
      <c r="I264" s="9">
        <f t="shared" si="26"/>
        <v>241.44744329975003</v>
      </c>
      <c r="J264" s="9">
        <f t="shared" si="27"/>
        <v>1383.9433072946001</v>
      </c>
      <c r="K264" s="9">
        <f t="shared" si="31"/>
        <v>241.44744329975003</v>
      </c>
      <c r="L264" s="10">
        <f t="shared" si="30"/>
        <v>0.17446339169177622</v>
      </c>
      <c r="M264" s="10">
        <f t="shared" si="28"/>
        <v>0.31244555671425411</v>
      </c>
      <c r="P264" s="8">
        <f t="shared" si="29"/>
        <v>-12.897491341111273</v>
      </c>
    </row>
    <row r="265" spans="1:16" x14ac:dyDescent="0.2">
      <c r="A265" s="8">
        <v>131.5</v>
      </c>
      <c r="B265" s="8">
        <v>263</v>
      </c>
      <c r="D265">
        <v>1499.4834710744001</v>
      </c>
      <c r="E265">
        <v>351.18732782369</v>
      </c>
      <c r="F265">
        <v>132.29315068493</v>
      </c>
      <c r="G265">
        <v>114.17260273973</v>
      </c>
      <c r="I265" s="9">
        <f t="shared" si="26"/>
        <v>237.01472508396</v>
      </c>
      <c r="J265" s="9">
        <f t="shared" si="27"/>
        <v>1367.1903203894701</v>
      </c>
      <c r="K265" s="9">
        <f t="shared" si="31"/>
        <v>237.01472508396</v>
      </c>
      <c r="L265" s="10">
        <f t="shared" si="30"/>
        <v>0.17335898415111795</v>
      </c>
      <c r="M265" s="10">
        <f t="shared" si="28"/>
        <v>0.31186779865841452</v>
      </c>
      <c r="P265" s="8">
        <f t="shared" si="29"/>
        <v>-13.058556765086992</v>
      </c>
    </row>
    <row r="266" spans="1:16" x14ac:dyDescent="0.2">
      <c r="A266" s="8">
        <v>132</v>
      </c>
      <c r="B266" s="8">
        <v>264</v>
      </c>
      <c r="D266">
        <v>1481.9545454546001</v>
      </c>
      <c r="E266">
        <v>348.47658402204002</v>
      </c>
      <c r="F266">
        <v>132.54794520548</v>
      </c>
      <c r="G266">
        <v>114.42602739726</v>
      </c>
      <c r="I266" s="9">
        <f t="shared" si="26"/>
        <v>234.05055662478003</v>
      </c>
      <c r="J266" s="9">
        <f t="shared" si="27"/>
        <v>1349.4066002491199</v>
      </c>
      <c r="K266" s="9">
        <f t="shared" si="31"/>
        <v>234.05055662478003</v>
      </c>
      <c r="L266" s="10">
        <f t="shared" si="30"/>
        <v>0.17344702225524236</v>
      </c>
      <c r="M266" s="10">
        <f t="shared" si="28"/>
        <v>0.31248248624735753</v>
      </c>
      <c r="P266" s="8">
        <f t="shared" si="29"/>
        <v>-12.887196251589961</v>
      </c>
    </row>
    <row r="267" spans="1:16" x14ac:dyDescent="0.2">
      <c r="A267" s="8">
        <v>132.5</v>
      </c>
      <c r="B267" s="8">
        <v>265</v>
      </c>
      <c r="D267">
        <v>1542.9614325069001</v>
      </c>
      <c r="E267">
        <v>355.77548209366</v>
      </c>
      <c r="F267">
        <v>132.17260273973</v>
      </c>
      <c r="G267">
        <v>113.90821917808</v>
      </c>
      <c r="I267" s="9">
        <f t="shared" si="26"/>
        <v>241.86726291558</v>
      </c>
      <c r="J267" s="9">
        <f t="shared" si="27"/>
        <v>1410.7888297671702</v>
      </c>
      <c r="K267" s="9">
        <f t="shared" si="31"/>
        <v>241.86726291558</v>
      </c>
      <c r="L267" s="10">
        <f t="shared" si="30"/>
        <v>0.17144115250437347</v>
      </c>
      <c r="M267" s="10">
        <f t="shared" si="28"/>
        <v>0.31100326598130723</v>
      </c>
      <c r="P267" s="8">
        <f t="shared" si="29"/>
        <v>-13.299568241728018</v>
      </c>
    </row>
    <row r="268" spans="1:16" x14ac:dyDescent="0.2">
      <c r="A268" s="8">
        <v>133</v>
      </c>
      <c r="B268" s="8">
        <v>266</v>
      </c>
      <c r="D268">
        <v>1547.0619834710999</v>
      </c>
      <c r="E268">
        <v>366.57713498623002</v>
      </c>
      <c r="F268">
        <v>132.89178082192001</v>
      </c>
      <c r="G268">
        <v>114.44109589041</v>
      </c>
      <c r="I268" s="9">
        <f t="shared" si="26"/>
        <v>252.13603909582002</v>
      </c>
      <c r="J268" s="9">
        <f t="shared" si="27"/>
        <v>1414.1702026491798</v>
      </c>
      <c r="K268" s="9">
        <f t="shared" si="31"/>
        <v>252.13603909582002</v>
      </c>
      <c r="L268" s="10">
        <f t="shared" si="30"/>
        <v>0.1782925694682938</v>
      </c>
      <c r="M268" s="10">
        <f t="shared" si="28"/>
        <v>0.31838133243004618</v>
      </c>
      <c r="P268" s="8">
        <f t="shared" si="29"/>
        <v>-11.242735993910609</v>
      </c>
    </row>
    <row r="269" spans="1:16" x14ac:dyDescent="0.2">
      <c r="A269" s="8">
        <v>133.5</v>
      </c>
      <c r="B269" s="8">
        <v>267</v>
      </c>
      <c r="D269">
        <v>1542.4710743802</v>
      </c>
      <c r="E269">
        <v>362.61845730028</v>
      </c>
      <c r="F269">
        <v>132.39452054795001</v>
      </c>
      <c r="G269">
        <v>114.10136986301001</v>
      </c>
      <c r="I269" s="9">
        <f t="shared" si="26"/>
        <v>248.51708743726999</v>
      </c>
      <c r="J269" s="9">
        <f t="shared" si="27"/>
        <v>1410.0765538322501</v>
      </c>
      <c r="K269" s="9">
        <f t="shared" si="31"/>
        <v>248.51708743726999</v>
      </c>
      <c r="L269" s="10">
        <f t="shared" si="30"/>
        <v>0.176243684615463</v>
      </c>
      <c r="M269" s="10">
        <f t="shared" si="28"/>
        <v>0.31685909706203397</v>
      </c>
      <c r="P269" s="8">
        <f t="shared" si="29"/>
        <v>-11.667099587739568</v>
      </c>
    </row>
    <row r="270" spans="1:16" x14ac:dyDescent="0.2">
      <c r="A270" s="8">
        <v>134</v>
      </c>
      <c r="B270" s="8">
        <v>268</v>
      </c>
      <c r="D270">
        <v>1514.5151515151999</v>
      </c>
      <c r="E270">
        <v>361.16528925620003</v>
      </c>
      <c r="F270">
        <v>132.57945205479999</v>
      </c>
      <c r="G270">
        <v>114.32191780821999</v>
      </c>
      <c r="I270" s="9">
        <f t="shared" si="26"/>
        <v>246.84337144798002</v>
      </c>
      <c r="J270" s="9">
        <f t="shared" si="27"/>
        <v>1381.9356994604</v>
      </c>
      <c r="K270" s="9">
        <f t="shared" si="31"/>
        <v>246.84337144798002</v>
      </c>
      <c r="L270" s="10">
        <f t="shared" si="30"/>
        <v>0.17862145940969915</v>
      </c>
      <c r="M270" s="10">
        <f t="shared" si="28"/>
        <v>0.31976352134108876</v>
      </c>
      <c r="P270" s="8">
        <f t="shared" si="29"/>
        <v>-10.857414074602886</v>
      </c>
    </row>
    <row r="271" spans="1:16" x14ac:dyDescent="0.2">
      <c r="A271" s="8">
        <v>134.5</v>
      </c>
      <c r="B271" s="8">
        <v>269</v>
      </c>
      <c r="D271">
        <v>1499.7906336087999</v>
      </c>
      <c r="E271">
        <v>360.47245179062998</v>
      </c>
      <c r="F271">
        <v>132.13424657534</v>
      </c>
      <c r="G271">
        <v>114.84657534247</v>
      </c>
      <c r="I271" s="9">
        <f t="shared" si="26"/>
        <v>245.62587644815997</v>
      </c>
      <c r="J271" s="9">
        <f t="shared" si="27"/>
        <v>1367.6563870334599</v>
      </c>
      <c r="K271" s="9">
        <f t="shared" si="31"/>
        <v>245.62587644815997</v>
      </c>
      <c r="L271" s="10">
        <f t="shared" si="30"/>
        <v>0.17959619007881014</v>
      </c>
      <c r="M271" s="10">
        <f t="shared" si="28"/>
        <v>0.32126490149501841</v>
      </c>
      <c r="P271" s="8">
        <f t="shared" si="29"/>
        <v>-10.438864426359562</v>
      </c>
    </row>
    <row r="272" spans="1:16" x14ac:dyDescent="0.2">
      <c r="A272" s="8">
        <v>135</v>
      </c>
      <c r="B272" s="8">
        <v>270</v>
      </c>
      <c r="D272">
        <v>1518.3677685949999</v>
      </c>
      <c r="E272">
        <v>360.02754820937002</v>
      </c>
      <c r="F272">
        <v>131.72602739726</v>
      </c>
      <c r="G272">
        <v>114.05890410959</v>
      </c>
      <c r="I272" s="9">
        <f t="shared" si="26"/>
        <v>245.96864409978002</v>
      </c>
      <c r="J272" s="9">
        <f t="shared" si="27"/>
        <v>1386.64174119774</v>
      </c>
      <c r="K272" s="9">
        <f t="shared" si="31"/>
        <v>245.96864409978002</v>
      </c>
      <c r="L272" s="10">
        <f t="shared" si="30"/>
        <v>0.17738442222813774</v>
      </c>
      <c r="M272" s="10">
        <f t="shared" si="28"/>
        <v>0.31957978312916457</v>
      </c>
      <c r="P272" s="8">
        <f t="shared" si="29"/>
        <v>-10.908635987832819</v>
      </c>
    </row>
    <row r="273" spans="1:16" x14ac:dyDescent="0.2">
      <c r="A273" s="8">
        <v>135.5</v>
      </c>
      <c r="B273" s="8">
        <v>271</v>
      </c>
      <c r="D273">
        <v>1593.9201101927999</v>
      </c>
      <c r="E273">
        <v>366.24517906336001</v>
      </c>
      <c r="F273">
        <v>131.82328767122999</v>
      </c>
      <c r="G273">
        <v>114.42602739726</v>
      </c>
      <c r="I273" s="9">
        <f t="shared" si="26"/>
        <v>251.81915166610003</v>
      </c>
      <c r="J273" s="9">
        <f t="shared" si="27"/>
        <v>1462.0968225215699</v>
      </c>
      <c r="K273" s="9">
        <f t="shared" si="31"/>
        <v>251.81915166610003</v>
      </c>
      <c r="L273" s="10">
        <f t="shared" si="30"/>
        <v>0.17223151557897939</v>
      </c>
      <c r="M273" s="10">
        <f t="shared" si="28"/>
        <v>0.31495352596482484</v>
      </c>
      <c r="P273" s="8">
        <f t="shared" si="29"/>
        <v>-12.198328211184458</v>
      </c>
    </row>
    <row r="274" spans="1:16" x14ac:dyDescent="0.2">
      <c r="A274" s="8">
        <v>136</v>
      </c>
      <c r="B274" s="8">
        <v>272</v>
      </c>
      <c r="D274">
        <v>1437.0564738292001</v>
      </c>
      <c r="E274">
        <v>348.10192837466002</v>
      </c>
      <c r="F274">
        <v>131.53972602740001</v>
      </c>
      <c r="G274">
        <v>114.26575342466001</v>
      </c>
      <c r="I274" s="9">
        <f t="shared" si="26"/>
        <v>233.83617495000001</v>
      </c>
      <c r="J274" s="9">
        <f t="shared" si="27"/>
        <v>1305.5167478018</v>
      </c>
      <c r="K274" s="9">
        <f t="shared" si="31"/>
        <v>233.83617495000001</v>
      </c>
      <c r="L274" s="10">
        <f t="shared" si="30"/>
        <v>0.17911388371212256</v>
      </c>
      <c r="M274" s="10">
        <f t="shared" si="28"/>
        <v>0.32236254358278665</v>
      </c>
      <c r="P274" s="8">
        <f t="shared" si="29"/>
        <v>-10.132867501776532</v>
      </c>
    </row>
    <row r="275" spans="1:16" x14ac:dyDescent="0.2">
      <c r="A275" s="8">
        <v>136.5</v>
      </c>
      <c r="B275" s="8">
        <v>273</v>
      </c>
      <c r="D275">
        <v>1488.7066115703001</v>
      </c>
      <c r="E275">
        <v>356.42699724518002</v>
      </c>
      <c r="F275">
        <v>132.29178082192001</v>
      </c>
      <c r="G275">
        <v>114.11780821918001</v>
      </c>
      <c r="I275" s="9">
        <f>E275-G275</f>
        <v>242.30918902600001</v>
      </c>
      <c r="J275" s="9">
        <f>D275-F275</f>
        <v>1356.4148307483802</v>
      </c>
      <c r="K275" s="9">
        <f t="shared" si="31"/>
        <v>242.30918902600001</v>
      </c>
      <c r="L275" s="10">
        <f t="shared" si="30"/>
        <v>0.17863944239853954</v>
      </c>
      <c r="M275" s="10">
        <f>L275+ABS($N$2)*A275</f>
        <v>0.32241475175402223</v>
      </c>
      <c r="O275" s="11"/>
      <c r="P275" s="8">
        <f>(M275-$O$2)/$O$2*100</f>
        <v>-10.118313085529</v>
      </c>
    </row>
    <row r="276" spans="1:16" x14ac:dyDescent="0.2">
      <c r="A276" s="8">
        <v>137</v>
      </c>
      <c r="B276" s="8">
        <v>274</v>
      </c>
      <c r="D276">
        <v>1546.1265646731999</v>
      </c>
      <c r="E276">
        <v>389.85674547983001</v>
      </c>
      <c r="F276">
        <v>131.6904109589</v>
      </c>
      <c r="G276">
        <v>114.08082191781</v>
      </c>
      <c r="I276" s="9">
        <f t="shared" ref="I276:I291" si="32">E276-G276</f>
        <v>275.77592356202001</v>
      </c>
      <c r="J276" s="9">
        <f t="shared" ref="J276:J291" si="33">D276-F276</f>
        <v>1414.4361537143</v>
      </c>
      <c r="K276" s="9">
        <f t="shared" si="31"/>
        <v>275.77592356202001</v>
      </c>
      <c r="L276" s="10">
        <f t="shared" si="30"/>
        <v>0.19497233780247647</v>
      </c>
      <c r="M276" s="10">
        <f t="shared" ref="M276:M291" si="34">L276+ABS($N$2)*A276</f>
        <v>0.33927429664277781</v>
      </c>
      <c r="P276" s="8">
        <f t="shared" ref="P276:P291" si="35">(M276-$O$2)/$O$2*100</f>
        <v>-5.4182665555001694</v>
      </c>
    </row>
    <row r="277" spans="1:16" x14ac:dyDescent="0.2">
      <c r="A277" s="8">
        <v>137.5</v>
      </c>
      <c r="B277" s="8">
        <v>275</v>
      </c>
      <c r="D277">
        <v>1406.2169680111001</v>
      </c>
      <c r="E277">
        <v>351.97079276773002</v>
      </c>
      <c r="F277">
        <v>132.12876712329</v>
      </c>
      <c r="G277">
        <v>114.08493150685</v>
      </c>
      <c r="I277" s="9">
        <f t="shared" si="32"/>
        <v>237.88586126088001</v>
      </c>
      <c r="J277" s="9">
        <f t="shared" si="33"/>
        <v>1274.0882008878102</v>
      </c>
      <c r="K277" s="9">
        <f t="shared" si="31"/>
        <v>237.88586126088001</v>
      </c>
      <c r="L277" s="10">
        <f t="shared" si="30"/>
        <v>0.1867106697127533</v>
      </c>
      <c r="M277" s="10">
        <f t="shared" si="34"/>
        <v>0.33153927803787325</v>
      </c>
      <c r="N277" s="1"/>
      <c r="P277" s="8">
        <f t="shared" si="35"/>
        <v>-7.5746087102600477</v>
      </c>
    </row>
    <row r="278" spans="1:16" x14ac:dyDescent="0.2">
      <c r="A278" s="8">
        <v>138</v>
      </c>
      <c r="B278" s="8">
        <v>276</v>
      </c>
      <c r="D278">
        <v>1383.0751043114999</v>
      </c>
      <c r="E278">
        <v>341.65229485395997</v>
      </c>
      <c r="F278">
        <v>131.64931506849001</v>
      </c>
      <c r="G278">
        <v>114.20410958904</v>
      </c>
      <c r="I278" s="9">
        <f t="shared" si="32"/>
        <v>227.44818526491997</v>
      </c>
      <c r="J278" s="9">
        <f t="shared" si="33"/>
        <v>1251.4257892430098</v>
      </c>
      <c r="K278" s="9">
        <f t="shared" si="31"/>
        <v>227.44818526491997</v>
      </c>
      <c r="L278" s="10">
        <f t="shared" si="30"/>
        <v>0.18175123704498999</v>
      </c>
      <c r="M278" s="10">
        <f t="shared" si="34"/>
        <v>0.3271064948549286</v>
      </c>
      <c r="P278" s="8">
        <f t="shared" si="35"/>
        <v>-8.8103649157116273</v>
      </c>
    </row>
    <row r="279" spans="1:16" x14ac:dyDescent="0.2">
      <c r="A279" s="8">
        <v>138.5</v>
      </c>
      <c r="B279" s="8">
        <v>277</v>
      </c>
      <c r="D279">
        <v>1390.1752433936001</v>
      </c>
      <c r="E279">
        <v>338.94297635605</v>
      </c>
      <c r="F279">
        <v>131.79178082192001</v>
      </c>
      <c r="G279">
        <v>114.3794520548</v>
      </c>
      <c r="I279" s="9">
        <f t="shared" si="32"/>
        <v>224.56352430125</v>
      </c>
      <c r="J279" s="9">
        <f t="shared" si="33"/>
        <v>1258.3834625716802</v>
      </c>
      <c r="K279" s="9">
        <f t="shared" si="31"/>
        <v>224.56352430125</v>
      </c>
      <c r="L279" s="10">
        <f t="shared" si="30"/>
        <v>0.17845396970039917</v>
      </c>
      <c r="M279" s="10">
        <f t="shared" si="34"/>
        <v>0.32433587699515637</v>
      </c>
      <c r="P279" s="8">
        <f t="shared" si="35"/>
        <v>-9.5827483307908423</v>
      </c>
    </row>
    <row r="280" spans="1:16" x14ac:dyDescent="0.2">
      <c r="A280" s="8">
        <v>139</v>
      </c>
      <c r="B280" s="8">
        <v>278</v>
      </c>
      <c r="D280">
        <v>1507.7579972184001</v>
      </c>
      <c r="E280">
        <v>383.98748261473997</v>
      </c>
      <c r="F280">
        <v>132.10547945206</v>
      </c>
      <c r="G280">
        <v>113.69178082192001</v>
      </c>
      <c r="I280" s="9">
        <f t="shared" si="32"/>
        <v>270.29570179281995</v>
      </c>
      <c r="J280" s="9">
        <f t="shared" si="33"/>
        <v>1375.65251776634</v>
      </c>
      <c r="K280" s="9">
        <f t="shared" si="31"/>
        <v>270.29570179281995</v>
      </c>
      <c r="L280" s="10">
        <f t="shared" si="30"/>
        <v>0.196485448397755</v>
      </c>
      <c r="M280" s="10">
        <f t="shared" si="34"/>
        <v>0.34289400517733082</v>
      </c>
      <c r="P280" s="8">
        <f t="shared" si="35"/>
        <v>-4.4091765326201182</v>
      </c>
    </row>
    <row r="281" spans="1:16" x14ac:dyDescent="0.2">
      <c r="A281" s="8">
        <v>139.5</v>
      </c>
      <c r="B281" s="8">
        <v>279</v>
      </c>
      <c r="D281">
        <v>1493.0236439498999</v>
      </c>
      <c r="E281">
        <v>404.62169680110998</v>
      </c>
      <c r="F281">
        <v>131.82191780822001</v>
      </c>
      <c r="G281">
        <v>113.93835616438</v>
      </c>
      <c r="I281" s="9">
        <f t="shared" si="32"/>
        <v>290.68334063673001</v>
      </c>
      <c r="J281" s="9">
        <f t="shared" si="33"/>
        <v>1361.20172614168</v>
      </c>
      <c r="K281" s="9">
        <f t="shared" si="31"/>
        <v>290.68334063673001</v>
      </c>
      <c r="L281" s="10">
        <f t="shared" si="30"/>
        <v>0.2135490537913661</v>
      </c>
      <c r="M281" s="10">
        <f t="shared" si="34"/>
        <v>0.36048426005576051</v>
      </c>
      <c r="P281" s="8">
        <f t="shared" si="35"/>
        <v>0.49457484081262532</v>
      </c>
    </row>
    <row r="282" spans="1:16" x14ac:dyDescent="0.2">
      <c r="A282" s="8">
        <v>140</v>
      </c>
      <c r="B282" s="8">
        <v>280</v>
      </c>
      <c r="D282">
        <v>1473.0278164117001</v>
      </c>
      <c r="E282">
        <v>409.15020862309001</v>
      </c>
      <c r="F282">
        <v>132.1904109589</v>
      </c>
      <c r="G282">
        <v>114.3095890411</v>
      </c>
      <c r="I282" s="9">
        <f t="shared" si="32"/>
        <v>294.84061958199004</v>
      </c>
      <c r="J282" s="9">
        <f t="shared" si="33"/>
        <v>1340.8374054528001</v>
      </c>
      <c r="K282" s="9">
        <f t="shared" si="31"/>
        <v>294.84061958199004</v>
      </c>
      <c r="L282" s="10">
        <f t="shared" si="30"/>
        <v>0.21989289557627051</v>
      </c>
      <c r="M282" s="10">
        <f t="shared" si="34"/>
        <v>0.36735475132548356</v>
      </c>
      <c r="P282" s="8">
        <f t="shared" si="35"/>
        <v>2.4099070081353635</v>
      </c>
    </row>
    <row r="283" spans="1:16" x14ac:dyDescent="0.2">
      <c r="A283" s="8">
        <v>140.5</v>
      </c>
      <c r="B283" s="8">
        <v>281</v>
      </c>
      <c r="D283">
        <v>1464.0695410292001</v>
      </c>
      <c r="E283">
        <v>394.19332406119997</v>
      </c>
      <c r="F283">
        <v>131.84657534247</v>
      </c>
      <c r="G283">
        <v>114.37671232877</v>
      </c>
      <c r="I283" s="9">
        <f t="shared" si="32"/>
        <v>279.81661173242998</v>
      </c>
      <c r="J283" s="9">
        <f t="shared" si="33"/>
        <v>1332.22296568673</v>
      </c>
      <c r="K283" s="9">
        <f t="shared" si="31"/>
        <v>279.81661173242998</v>
      </c>
      <c r="L283" s="10">
        <f t="shared" si="30"/>
        <v>0.21003737282684584</v>
      </c>
      <c r="M283" s="10">
        <f t="shared" si="34"/>
        <v>0.35802587806087749</v>
      </c>
      <c r="P283" s="8">
        <f t="shared" si="35"/>
        <v>-0.19076452278084449</v>
      </c>
    </row>
    <row r="284" spans="1:16" x14ac:dyDescent="0.2">
      <c r="A284" s="8">
        <v>141</v>
      </c>
      <c r="B284" s="8">
        <v>282</v>
      </c>
      <c r="D284">
        <v>1453.6790633609</v>
      </c>
      <c r="E284">
        <v>399.66528925620003</v>
      </c>
      <c r="F284">
        <v>131.95616438356001</v>
      </c>
      <c r="G284">
        <v>114.35342465753</v>
      </c>
      <c r="I284" s="9">
        <f t="shared" si="32"/>
        <v>285.31186459867001</v>
      </c>
      <c r="J284" s="9">
        <f t="shared" si="33"/>
        <v>1321.72289897734</v>
      </c>
      <c r="K284" s="9">
        <f t="shared" si="31"/>
        <v>285.31186459867001</v>
      </c>
      <c r="L284" s="10">
        <f t="shared" si="30"/>
        <v>0.21586360107661376</v>
      </c>
      <c r="M284" s="10">
        <f t="shared" si="34"/>
        <v>0.36437875579546403</v>
      </c>
      <c r="P284" s="8">
        <f t="shared" si="35"/>
        <v>1.5802691053009619</v>
      </c>
    </row>
    <row r="285" spans="1:16" x14ac:dyDescent="0.2">
      <c r="A285" s="8">
        <v>141.5</v>
      </c>
      <c r="B285" s="8">
        <v>283</v>
      </c>
      <c r="D285">
        <v>1462.5743801653</v>
      </c>
      <c r="E285">
        <v>386.19696969696997</v>
      </c>
      <c r="F285">
        <v>132.6</v>
      </c>
      <c r="G285">
        <v>114.17534246575001</v>
      </c>
      <c r="I285" s="9">
        <f t="shared" si="32"/>
        <v>272.02162723121995</v>
      </c>
      <c r="J285" s="9">
        <f t="shared" si="33"/>
        <v>1329.9743801653001</v>
      </c>
      <c r="K285" s="9">
        <f t="shared" si="31"/>
        <v>272.02162723121995</v>
      </c>
      <c r="L285" s="10">
        <f t="shared" si="30"/>
        <v>0.20453147916835127</v>
      </c>
      <c r="M285" s="10">
        <f t="shared" si="34"/>
        <v>0.35357328337202015</v>
      </c>
      <c r="P285" s="8">
        <f t="shared" si="35"/>
        <v>-1.4320437124074985</v>
      </c>
    </row>
    <row r="286" spans="1:16" x14ac:dyDescent="0.2">
      <c r="A286" s="8">
        <v>142</v>
      </c>
      <c r="B286" s="8">
        <v>284</v>
      </c>
      <c r="D286">
        <v>1471.2286501377</v>
      </c>
      <c r="E286">
        <v>402.66115702478999</v>
      </c>
      <c r="F286">
        <v>132.54246575343001</v>
      </c>
      <c r="G286">
        <v>114.11232876712</v>
      </c>
      <c r="I286" s="9">
        <f t="shared" si="32"/>
        <v>288.54882825766998</v>
      </c>
      <c r="J286" s="9">
        <f t="shared" si="33"/>
        <v>1338.6861843842701</v>
      </c>
      <c r="K286" s="9">
        <f t="shared" si="31"/>
        <v>288.54882825766998</v>
      </c>
      <c r="L286" s="10">
        <f t="shared" si="30"/>
        <v>0.21554628084130731</v>
      </c>
      <c r="M286" s="10">
        <f t="shared" si="34"/>
        <v>0.36511473452979482</v>
      </c>
      <c r="P286" s="8">
        <f t="shared" si="35"/>
        <v>1.7854427514041549</v>
      </c>
    </row>
    <row r="287" spans="1:16" x14ac:dyDescent="0.2">
      <c r="A287" s="8">
        <v>142.5</v>
      </c>
      <c r="B287" s="8">
        <v>285</v>
      </c>
      <c r="D287">
        <v>1451.1198347106999</v>
      </c>
      <c r="E287">
        <v>387.74380165289</v>
      </c>
      <c r="F287">
        <v>131.49041095889999</v>
      </c>
      <c r="G287">
        <v>114.39726027397001</v>
      </c>
      <c r="I287" s="9">
        <f t="shared" si="32"/>
        <v>273.34654137891999</v>
      </c>
      <c r="J287" s="9">
        <f t="shared" si="33"/>
        <v>1319.6294237518</v>
      </c>
      <c r="K287" s="9">
        <f t="shared" si="31"/>
        <v>273.34654137891999</v>
      </c>
      <c r="L287" s="10">
        <f t="shared" si="30"/>
        <v>0.20713886524428685</v>
      </c>
      <c r="M287" s="10">
        <f t="shared" si="34"/>
        <v>0.35723396841759297</v>
      </c>
      <c r="P287" s="8">
        <f t="shared" si="35"/>
        <v>-0.41153039727951757</v>
      </c>
    </row>
    <row r="288" spans="1:16" x14ac:dyDescent="0.2">
      <c r="A288" s="8">
        <v>143</v>
      </c>
      <c r="B288" s="8">
        <v>286</v>
      </c>
      <c r="D288">
        <v>1498.0027855153</v>
      </c>
      <c r="E288">
        <v>388.45682451253998</v>
      </c>
      <c r="F288">
        <v>131.82876712328999</v>
      </c>
      <c r="G288">
        <v>114.17534246575001</v>
      </c>
      <c r="I288" s="9">
        <f t="shared" si="32"/>
        <v>274.28148204678996</v>
      </c>
      <c r="J288" s="9">
        <f t="shared" si="33"/>
        <v>1366.1740183920101</v>
      </c>
      <c r="K288" s="9">
        <f t="shared" si="31"/>
        <v>274.28148204678996</v>
      </c>
      <c r="L288" s="10">
        <f t="shared" si="30"/>
        <v>0.2007661383940092</v>
      </c>
      <c r="M288" s="10">
        <f t="shared" si="34"/>
        <v>0.35138789105213397</v>
      </c>
      <c r="P288" s="8">
        <f t="shared" si="35"/>
        <v>-2.0412799437296862</v>
      </c>
    </row>
    <row r="289" spans="1:16" x14ac:dyDescent="0.2">
      <c r="A289" s="8">
        <v>143.5</v>
      </c>
      <c r="B289" s="8">
        <v>287</v>
      </c>
      <c r="D289">
        <v>1539.7451253482</v>
      </c>
      <c r="E289">
        <v>416.74094707520999</v>
      </c>
      <c r="F289">
        <v>132.2794520548</v>
      </c>
      <c r="G289">
        <v>114.16575342466</v>
      </c>
      <c r="I289" s="9">
        <f t="shared" si="32"/>
        <v>302.57519365054998</v>
      </c>
      <c r="J289" s="9">
        <f t="shared" si="33"/>
        <v>1407.4656732934</v>
      </c>
      <c r="K289" s="9">
        <f t="shared" si="31"/>
        <v>302.57519365054998</v>
      </c>
      <c r="L289" s="10">
        <f t="shared" si="30"/>
        <v>0.21497873759332192</v>
      </c>
      <c r="M289" s="10">
        <f t="shared" si="34"/>
        <v>0.36612713973626532</v>
      </c>
      <c r="P289" s="8">
        <f t="shared" si="35"/>
        <v>2.0676776283864138</v>
      </c>
    </row>
    <row r="290" spans="1:16" x14ac:dyDescent="0.2">
      <c r="A290" s="8">
        <v>144</v>
      </c>
      <c r="B290" s="8">
        <v>288</v>
      </c>
      <c r="D290">
        <v>1723.5955983494</v>
      </c>
      <c r="E290">
        <v>441.04814305364999</v>
      </c>
      <c r="F290">
        <v>132.09589041096001</v>
      </c>
      <c r="G290">
        <v>113.95342465752999</v>
      </c>
      <c r="I290" s="9">
        <f t="shared" si="32"/>
        <v>327.09471839612002</v>
      </c>
      <c r="J290" s="9">
        <f t="shared" si="33"/>
        <v>1591.49970793844</v>
      </c>
      <c r="K290" s="9">
        <f t="shared" si="31"/>
        <v>327.09471839612002</v>
      </c>
      <c r="L290" s="10">
        <f t="shared" si="30"/>
        <v>0.20552609388777357</v>
      </c>
      <c r="M290" s="10">
        <f t="shared" si="34"/>
        <v>0.35720114551553556</v>
      </c>
      <c r="P290" s="8">
        <f t="shared" si="35"/>
        <v>-0.42068065417781186</v>
      </c>
    </row>
    <row r="291" spans="1:16" x14ac:dyDescent="0.2">
      <c r="A291" s="8">
        <v>144.5</v>
      </c>
      <c r="B291" s="8">
        <v>289</v>
      </c>
      <c r="D291">
        <v>1705.8743093922999</v>
      </c>
      <c r="E291">
        <v>430.91988950275999</v>
      </c>
      <c r="F291">
        <v>131.80684931507</v>
      </c>
      <c r="G291">
        <v>114.28630136986</v>
      </c>
      <c r="I291" s="9">
        <f t="shared" si="32"/>
        <v>316.6335881329</v>
      </c>
      <c r="J291" s="9">
        <f t="shared" si="33"/>
        <v>1574.06746007723</v>
      </c>
      <c r="K291" s="9">
        <f t="shared" si="31"/>
        <v>316.6335881329</v>
      </c>
      <c r="L291" s="10">
        <f t="shared" si="30"/>
        <v>0.20115630121555572</v>
      </c>
      <c r="M291" s="10">
        <f t="shared" si="34"/>
        <v>0.3533580023281363</v>
      </c>
      <c r="P291" s="8">
        <f t="shared" si="35"/>
        <v>-1.4920590289515483</v>
      </c>
    </row>
    <row r="292" spans="1:16" x14ac:dyDescent="0.2">
      <c r="A292" s="8">
        <v>145</v>
      </c>
      <c r="B292" s="8">
        <v>290</v>
      </c>
      <c r="D292">
        <v>1704.6436464087999</v>
      </c>
      <c r="E292">
        <v>426.60359116021999</v>
      </c>
      <c r="F292">
        <v>131.71917808219001</v>
      </c>
      <c r="G292">
        <v>114.02739726027001</v>
      </c>
      <c r="I292" s="9">
        <f>E292-G292</f>
        <v>312.57619389995</v>
      </c>
      <c r="J292" s="9">
        <f>D292-F292</f>
        <v>1572.9244683266099</v>
      </c>
      <c r="K292" s="9">
        <f t="shared" si="31"/>
        <v>312.57619389995</v>
      </c>
      <c r="L292" s="10">
        <f t="shared" si="30"/>
        <v>0.19872295217868344</v>
      </c>
      <c r="M292" s="10">
        <f>L292+ABS($N$2)*A292</f>
        <v>0.35145130277608266</v>
      </c>
      <c r="O292" s="11"/>
      <c r="P292" s="8">
        <f>(M292-$O$2)/$O$2*100</f>
        <v>-2.0236022391964532</v>
      </c>
    </row>
    <row r="293" spans="1:16" x14ac:dyDescent="0.2">
      <c r="A293" s="8">
        <v>145.5</v>
      </c>
      <c r="B293" s="8">
        <v>291</v>
      </c>
      <c r="D293">
        <v>1663.4544198895001</v>
      </c>
      <c r="E293">
        <v>413.72237569061002</v>
      </c>
      <c r="F293">
        <v>132.18630136985999</v>
      </c>
      <c r="G293">
        <v>114.53561643835999</v>
      </c>
      <c r="I293" s="9">
        <f t="shared" ref="I293:I301" si="36">E293-G293</f>
        <v>299.18675925225</v>
      </c>
      <c r="J293" s="9">
        <f t="shared" ref="J293:J301" si="37">D293-F293</f>
        <v>1531.26811851964</v>
      </c>
      <c r="K293" s="9">
        <f t="shared" si="31"/>
        <v>299.18675925225</v>
      </c>
      <c r="L293" s="10">
        <f t="shared" si="30"/>
        <v>0.19538495945536311</v>
      </c>
      <c r="M293" s="10">
        <f t="shared" ref="M293:M301" si="38">L293+ABS($N$2)*A293</f>
        <v>0.34863995953758098</v>
      </c>
      <c r="P293" s="8">
        <f t="shared" ref="P293:P301" si="39">(M293-$O$2)/$O$2*100</f>
        <v>-2.8073389367186103</v>
      </c>
    </row>
    <row r="294" spans="1:16" x14ac:dyDescent="0.2">
      <c r="A294" s="8">
        <v>146</v>
      </c>
      <c r="B294" s="8">
        <v>292</v>
      </c>
      <c r="D294">
        <v>1596.6781767955999</v>
      </c>
      <c r="E294">
        <v>409.68232044198999</v>
      </c>
      <c r="F294">
        <v>132.22602739726</v>
      </c>
      <c r="G294">
        <v>114.26438356164</v>
      </c>
      <c r="I294" s="9">
        <f t="shared" si="36"/>
        <v>295.41793688035</v>
      </c>
      <c r="J294" s="9">
        <f t="shared" si="37"/>
        <v>1464.45214939834</v>
      </c>
      <c r="K294" s="9">
        <f t="shared" si="31"/>
        <v>295.41793688035</v>
      </c>
      <c r="L294" s="10">
        <f t="shared" si="30"/>
        <v>0.20172590617024969</v>
      </c>
      <c r="M294" s="10">
        <f t="shared" si="38"/>
        <v>0.35550755573728615</v>
      </c>
      <c r="N294" s="1"/>
      <c r="P294" s="8">
        <f t="shared" si="39"/>
        <v>-0.8928138471599234</v>
      </c>
    </row>
    <row r="295" spans="1:16" x14ac:dyDescent="0.2">
      <c r="A295" s="8">
        <v>146.5</v>
      </c>
      <c r="B295" s="8">
        <v>293</v>
      </c>
      <c r="D295">
        <v>1696.2430555556</v>
      </c>
      <c r="E295">
        <v>419.49861111110999</v>
      </c>
      <c r="F295">
        <v>131.89452054795001</v>
      </c>
      <c r="G295">
        <v>114.28082191781</v>
      </c>
      <c r="I295" s="9">
        <f t="shared" si="36"/>
        <v>305.21778919330001</v>
      </c>
      <c r="J295" s="9">
        <f t="shared" si="37"/>
        <v>1564.3485350076501</v>
      </c>
      <c r="K295" s="9">
        <f t="shared" si="31"/>
        <v>305.21778919330001</v>
      </c>
      <c r="L295" s="10">
        <f t="shared" si="30"/>
        <v>0.19510855948211528</v>
      </c>
      <c r="M295" s="10">
        <f t="shared" si="38"/>
        <v>0.34941685853397036</v>
      </c>
      <c r="P295" s="8">
        <f t="shared" si="39"/>
        <v>-2.5907576792614089</v>
      </c>
    </row>
    <row r="296" spans="1:16" x14ac:dyDescent="0.2">
      <c r="A296" s="8">
        <v>147</v>
      </c>
      <c r="B296" s="8">
        <v>294</v>
      </c>
      <c r="D296">
        <v>1684.6875</v>
      </c>
      <c r="E296">
        <v>417.10138888889003</v>
      </c>
      <c r="F296">
        <v>131.87671232877</v>
      </c>
      <c r="G296">
        <v>113.91095890411</v>
      </c>
      <c r="I296" s="9">
        <f t="shared" si="36"/>
        <v>303.19042998478005</v>
      </c>
      <c r="J296" s="9">
        <f t="shared" si="37"/>
        <v>1552.8107876712299</v>
      </c>
      <c r="K296" s="9">
        <f t="shared" si="31"/>
        <v>303.19042998478005</v>
      </c>
      <c r="L296" s="10">
        <f t="shared" si="30"/>
        <v>0.19525265563068286</v>
      </c>
      <c r="M296" s="10">
        <f t="shared" si="38"/>
        <v>0.35008760416735651</v>
      </c>
      <c r="P296" s="8">
        <f t="shared" si="39"/>
        <v>-2.4037694949699611</v>
      </c>
    </row>
    <row r="297" spans="1:16" x14ac:dyDescent="0.2">
      <c r="A297" s="8">
        <v>147.5</v>
      </c>
      <c r="B297" s="8">
        <v>295</v>
      </c>
      <c r="D297">
        <v>1663.8722222222</v>
      </c>
      <c r="E297">
        <v>426.67222222222</v>
      </c>
      <c r="F297">
        <v>132.78219178082</v>
      </c>
      <c r="G297">
        <v>114.09863013699</v>
      </c>
      <c r="I297" s="9">
        <f t="shared" si="36"/>
        <v>312.57359208523002</v>
      </c>
      <c r="J297" s="9">
        <f t="shared" si="37"/>
        <v>1531.0900304413799</v>
      </c>
      <c r="K297" s="9">
        <f t="shared" si="31"/>
        <v>312.57359208523002</v>
      </c>
      <c r="L297" s="10">
        <f t="shared" si="30"/>
        <v>0.20415102043027597</v>
      </c>
      <c r="M297" s="10">
        <f t="shared" si="38"/>
        <v>0.3595126184517683</v>
      </c>
      <c r="P297" s="8">
        <f t="shared" si="39"/>
        <v>0.22370390215988431</v>
      </c>
    </row>
    <row r="298" spans="1:16" x14ac:dyDescent="0.2">
      <c r="A298" s="8">
        <v>148</v>
      </c>
      <c r="B298" s="8">
        <v>296</v>
      </c>
      <c r="D298">
        <v>1674.7333333332999</v>
      </c>
      <c r="E298">
        <v>417.28888888889003</v>
      </c>
      <c r="F298">
        <v>132.07260273973</v>
      </c>
      <c r="G298">
        <v>113.88356164384</v>
      </c>
      <c r="I298" s="9">
        <f t="shared" si="36"/>
        <v>303.40532724505005</v>
      </c>
      <c r="J298" s="9">
        <f t="shared" si="37"/>
        <v>1542.66073059357</v>
      </c>
      <c r="K298" s="9">
        <f t="shared" si="31"/>
        <v>303.40532724505005</v>
      </c>
      <c r="L298" s="10">
        <f t="shared" si="30"/>
        <v>0.19667663876315092</v>
      </c>
      <c r="M298" s="10">
        <f t="shared" si="38"/>
        <v>0.35256488626946181</v>
      </c>
      <c r="P298" s="8">
        <f t="shared" si="39"/>
        <v>-1.713161223825703</v>
      </c>
    </row>
    <row r="299" spans="1:16" x14ac:dyDescent="0.2">
      <c r="A299" s="8">
        <v>148.5</v>
      </c>
      <c r="B299" s="8">
        <v>297</v>
      </c>
      <c r="D299">
        <v>1674.175</v>
      </c>
      <c r="E299">
        <v>414.13749999999999</v>
      </c>
      <c r="F299">
        <v>131.94520547945001</v>
      </c>
      <c r="G299">
        <v>114.43698630137</v>
      </c>
      <c r="I299" s="9">
        <f t="shared" si="36"/>
        <v>299.70051369863</v>
      </c>
      <c r="J299" s="9">
        <f t="shared" si="37"/>
        <v>1542.2297945205501</v>
      </c>
      <c r="K299" s="9">
        <f t="shared" si="31"/>
        <v>299.70051369863</v>
      </c>
      <c r="L299" s="10">
        <f t="shared" si="30"/>
        <v>0.19432935011594768</v>
      </c>
      <c r="M299" s="10">
        <f t="shared" si="38"/>
        <v>0.35074424710707719</v>
      </c>
      <c r="P299" s="8">
        <f t="shared" si="39"/>
        <v>-2.2207128116095194</v>
      </c>
    </row>
    <row r="300" spans="1:16" x14ac:dyDescent="0.2">
      <c r="A300" s="8">
        <v>149</v>
      </c>
      <c r="B300" s="8">
        <v>298</v>
      </c>
      <c r="D300">
        <v>1672.9875</v>
      </c>
      <c r="E300">
        <v>418.80972222221999</v>
      </c>
      <c r="F300">
        <v>131.66575342466001</v>
      </c>
      <c r="G300">
        <v>113.97945205480001</v>
      </c>
      <c r="I300" s="9">
        <f t="shared" si="36"/>
        <v>304.83027016742</v>
      </c>
      <c r="J300" s="9">
        <f t="shared" si="37"/>
        <v>1541.3217465753401</v>
      </c>
      <c r="K300" s="9">
        <f t="shared" si="31"/>
        <v>304.83027016742</v>
      </c>
      <c r="L300" s="10">
        <f t="shared" si="30"/>
        <v>0.19777199072466331</v>
      </c>
      <c r="M300" s="10">
        <f t="shared" si="38"/>
        <v>0.3547135372006115</v>
      </c>
      <c r="P300" s="8">
        <f t="shared" si="39"/>
        <v>-1.1141676317787053</v>
      </c>
    </row>
    <row r="301" spans="1:16" x14ac:dyDescent="0.2">
      <c r="A301" s="8">
        <v>149.5</v>
      </c>
      <c r="B301" s="8">
        <v>299</v>
      </c>
      <c r="D301">
        <v>1617.7277777777999</v>
      </c>
      <c r="E301">
        <v>426.62083333332998</v>
      </c>
      <c r="F301">
        <v>132.10410958904001</v>
      </c>
      <c r="G301">
        <v>114.05342465753</v>
      </c>
      <c r="I301" s="9">
        <f t="shared" si="36"/>
        <v>312.56740867579998</v>
      </c>
      <c r="J301" s="9">
        <f t="shared" si="37"/>
        <v>1485.6236681887599</v>
      </c>
      <c r="K301" s="9">
        <f t="shared" si="31"/>
        <v>312.56740867579998</v>
      </c>
      <c r="L301" s="10">
        <f t="shared" si="30"/>
        <v>0.21039474220067816</v>
      </c>
      <c r="M301" s="10">
        <f t="shared" si="38"/>
        <v>0.36786293816144494</v>
      </c>
      <c r="P301" s="8">
        <f t="shared" si="39"/>
        <v>2.5515776042710638</v>
      </c>
    </row>
    <row r="302" spans="1:16" x14ac:dyDescent="0.2">
      <c r="A302" s="8">
        <v>150</v>
      </c>
      <c r="B302" s="8">
        <v>300</v>
      </c>
      <c r="D302">
        <v>1663.1736111110999</v>
      </c>
      <c r="E302">
        <v>431.55277777778002</v>
      </c>
      <c r="F302">
        <v>132.31095890411001</v>
      </c>
      <c r="G302">
        <v>113.68767123288001</v>
      </c>
      <c r="I302" s="9">
        <f>E302-G302</f>
        <v>317.86510654490002</v>
      </c>
      <c r="J302" s="9">
        <f>D302-F302</f>
        <v>1530.8626522069899</v>
      </c>
      <c r="K302" s="9">
        <f t="shared" si="31"/>
        <v>317.86510654490002</v>
      </c>
      <c r="L302" s="10">
        <f t="shared" si="30"/>
        <v>0.20763790016475042</v>
      </c>
      <c r="M302" s="10">
        <f>L302+ABS($N$2)*A302</f>
        <v>0.36563274561033582</v>
      </c>
      <c r="O302" s="11"/>
      <c r="P302" s="8">
        <f>(M302-$O$2)/$O$2*100</f>
        <v>1.9298521169996061</v>
      </c>
    </row>
    <row r="303" spans="1:16" x14ac:dyDescent="0.2">
      <c r="A303" s="8">
        <v>150.5</v>
      </c>
      <c r="B303" s="8">
        <v>301</v>
      </c>
      <c r="D303">
        <v>1648.2888888888999</v>
      </c>
      <c r="E303">
        <v>424.78194444444</v>
      </c>
      <c r="F303">
        <v>131.47808219178</v>
      </c>
      <c r="G303">
        <v>113.7301369863</v>
      </c>
      <c r="I303" s="9">
        <f t="shared" ref="I303:I309" si="40">E303-G303</f>
        <v>311.05180745813999</v>
      </c>
      <c r="J303" s="9">
        <f t="shared" ref="J303:J309" si="41">D303-F303</f>
        <v>1516.8108066971199</v>
      </c>
      <c r="K303" s="9">
        <f t="shared" si="31"/>
        <v>311.05180745813999</v>
      </c>
      <c r="L303" s="10">
        <f t="shared" si="30"/>
        <v>0.20506961453911338</v>
      </c>
      <c r="M303" s="10">
        <f t="shared" ref="M303:M309" si="42">L303+ABS($N$2)*A303</f>
        <v>0.36359110946951739</v>
      </c>
      <c r="P303" s="8">
        <f t="shared" ref="P303:P309" si="43">(M303-$O$2)/$O$2*100</f>
        <v>1.3606917438963577</v>
      </c>
    </row>
    <row r="304" spans="1:16" x14ac:dyDescent="0.2">
      <c r="A304" s="8">
        <v>151</v>
      </c>
      <c r="B304" s="8">
        <v>302</v>
      </c>
      <c r="D304">
        <v>1684.6111111110999</v>
      </c>
      <c r="E304">
        <v>433.38888888888999</v>
      </c>
      <c r="F304">
        <v>131.88356164384001</v>
      </c>
      <c r="G304">
        <v>114.06849315069</v>
      </c>
      <c r="I304" s="9">
        <f t="shared" si="40"/>
        <v>319.32039573819998</v>
      </c>
      <c r="J304" s="9">
        <f t="shared" si="41"/>
        <v>1552.7275494672599</v>
      </c>
      <c r="K304" s="9">
        <f t="shared" si="31"/>
        <v>319.32039573819998</v>
      </c>
      <c r="L304" s="10">
        <f t="shared" si="30"/>
        <v>0.20565127207780828</v>
      </c>
      <c r="M304" s="10">
        <f t="shared" si="42"/>
        <v>0.36469941649303095</v>
      </c>
      <c r="N304" s="1"/>
      <c r="P304" s="8">
        <f t="shared" si="43"/>
        <v>1.6696618029603871</v>
      </c>
    </row>
    <row r="305" spans="1:16" x14ac:dyDescent="0.2">
      <c r="A305" s="8">
        <v>151.5</v>
      </c>
      <c r="B305" s="8">
        <v>303</v>
      </c>
      <c r="D305">
        <v>1564.2041666667001</v>
      </c>
      <c r="E305">
        <v>416.77638888888998</v>
      </c>
      <c r="F305">
        <v>132.25890410958999</v>
      </c>
      <c r="G305">
        <v>113.71917808219</v>
      </c>
      <c r="I305" s="9">
        <f t="shared" si="40"/>
        <v>303.05721080669997</v>
      </c>
      <c r="J305" s="9">
        <f t="shared" si="41"/>
        <v>1431.94526255711</v>
      </c>
      <c r="K305" s="9">
        <f t="shared" si="31"/>
        <v>303.05721080669997</v>
      </c>
      <c r="L305" s="10">
        <f t="shared" si="30"/>
        <v>0.2116402202871307</v>
      </c>
      <c r="M305" s="10">
        <f t="shared" si="42"/>
        <v>0.37121501418717195</v>
      </c>
      <c r="P305" s="8">
        <f t="shared" si="43"/>
        <v>3.4860579474278217</v>
      </c>
    </row>
    <row r="306" spans="1:16" x14ac:dyDescent="0.2">
      <c r="A306" s="8">
        <v>152</v>
      </c>
      <c r="B306" s="8">
        <v>304</v>
      </c>
      <c r="D306">
        <v>1592.9638888889001</v>
      </c>
      <c r="E306">
        <v>424.43194444443998</v>
      </c>
      <c r="F306">
        <v>132.04794520548</v>
      </c>
      <c r="G306">
        <v>114.25479452055001</v>
      </c>
      <c r="I306" s="9">
        <f t="shared" si="40"/>
        <v>310.17714992388994</v>
      </c>
      <c r="J306" s="9">
        <f t="shared" si="41"/>
        <v>1460.9159436834202</v>
      </c>
      <c r="K306" s="9">
        <f t="shared" si="31"/>
        <v>310.17714992388994</v>
      </c>
      <c r="L306" s="10">
        <f t="shared" si="30"/>
        <v>0.21231690383352075</v>
      </c>
      <c r="M306" s="10">
        <f t="shared" si="42"/>
        <v>0.37241834721838063</v>
      </c>
      <c r="P306" s="8">
        <f t="shared" si="43"/>
        <v>3.8215190334250764</v>
      </c>
    </row>
    <row r="307" spans="1:16" x14ac:dyDescent="0.2">
      <c r="A307" s="8">
        <v>152.5</v>
      </c>
      <c r="B307" s="8">
        <v>305</v>
      </c>
      <c r="D307">
        <v>1677.6629834253999</v>
      </c>
      <c r="E307">
        <v>430.72375690607998</v>
      </c>
      <c r="F307">
        <v>131.81643835616001</v>
      </c>
      <c r="G307">
        <v>114.16164383562</v>
      </c>
      <c r="I307" s="9">
        <f t="shared" si="40"/>
        <v>316.56211307045999</v>
      </c>
      <c r="J307" s="9">
        <f t="shared" si="41"/>
        <v>1545.8465450692399</v>
      </c>
      <c r="K307" s="9">
        <f t="shared" si="31"/>
        <v>316.56211307045999</v>
      </c>
      <c r="L307" s="10">
        <f t="shared" si="30"/>
        <v>0.2047823660635609</v>
      </c>
      <c r="M307" s="10">
        <f t="shared" si="42"/>
        <v>0.36541045893323942</v>
      </c>
      <c r="P307" s="8">
        <f t="shared" si="43"/>
        <v>1.8678837938774711</v>
      </c>
    </row>
    <row r="308" spans="1:16" x14ac:dyDescent="0.2">
      <c r="A308" s="8">
        <v>153</v>
      </c>
      <c r="B308" s="8">
        <v>306</v>
      </c>
      <c r="D308">
        <v>1657.7679558011</v>
      </c>
      <c r="E308">
        <v>414.35082872928001</v>
      </c>
      <c r="F308">
        <v>131.84931506849</v>
      </c>
      <c r="G308">
        <v>113.86301369863</v>
      </c>
      <c r="I308" s="9">
        <f t="shared" si="40"/>
        <v>300.48781503065004</v>
      </c>
      <c r="J308" s="9">
        <f t="shared" si="41"/>
        <v>1525.9186407326101</v>
      </c>
      <c r="K308" s="9">
        <f t="shared" si="31"/>
        <v>300.48781503065004</v>
      </c>
      <c r="L308" s="10">
        <f t="shared" si="30"/>
        <v>0.19692256651795181</v>
      </c>
      <c r="M308" s="10">
        <f t="shared" si="42"/>
        <v>0.35807730887244893</v>
      </c>
      <c r="P308" s="8">
        <f t="shared" si="43"/>
        <v>-0.17642681621415462</v>
      </c>
    </row>
    <row r="309" spans="1:16" x14ac:dyDescent="0.2">
      <c r="A309" s="8">
        <v>153.5</v>
      </c>
      <c r="B309" s="8">
        <v>307</v>
      </c>
      <c r="D309">
        <v>1664.2182320442</v>
      </c>
      <c r="E309">
        <v>412.21685082873</v>
      </c>
      <c r="F309">
        <v>131.80273972603001</v>
      </c>
      <c r="G309">
        <v>114.01506849315</v>
      </c>
      <c r="I309" s="9">
        <f t="shared" si="40"/>
        <v>298.20178233557999</v>
      </c>
      <c r="J309" s="9">
        <f t="shared" si="41"/>
        <v>1532.41549231817</v>
      </c>
      <c r="K309" s="9">
        <f t="shared" si="31"/>
        <v>298.20178233557999</v>
      </c>
      <c r="L309" s="10">
        <f t="shared" si="30"/>
        <v>0.194595906808847</v>
      </c>
      <c r="M309" s="10">
        <f t="shared" si="42"/>
        <v>0.35627729864816271</v>
      </c>
      <c r="P309" s="8">
        <f t="shared" si="43"/>
        <v>-0.67822753886090403</v>
      </c>
    </row>
    <row r="310" spans="1:16" x14ac:dyDescent="0.2">
      <c r="A310" s="8">
        <v>154</v>
      </c>
      <c r="B310" s="8">
        <v>308</v>
      </c>
      <c r="D310">
        <v>1594.3839779006</v>
      </c>
      <c r="E310">
        <v>408.75</v>
      </c>
      <c r="F310">
        <v>131.28904109589001</v>
      </c>
      <c r="G310">
        <v>113.80821917807999</v>
      </c>
      <c r="I310" s="9">
        <f>E310-G310</f>
        <v>294.94178082192002</v>
      </c>
      <c r="J310" s="9">
        <f>D310-F310</f>
        <v>1463.09493680471</v>
      </c>
      <c r="K310" s="9">
        <f t="shared" si="31"/>
        <v>294.94178082192002</v>
      </c>
      <c r="L310" s="10">
        <f t="shared" si="30"/>
        <v>0.20158758902279494</v>
      </c>
      <c r="M310" s="10">
        <f>L310+ABS($N$2)*A310</f>
        <v>0.3637956303469293</v>
      </c>
      <c r="O310" s="11"/>
      <c r="P310" s="8">
        <f>(M310-$O$2)/$O$2*100</f>
        <v>1.4177073778616252</v>
      </c>
    </row>
    <row r="311" spans="1:16" x14ac:dyDescent="0.2">
      <c r="A311" s="8">
        <v>154.5</v>
      </c>
      <c r="B311" s="8">
        <v>309</v>
      </c>
      <c r="D311">
        <v>1595.453038674</v>
      </c>
      <c r="E311">
        <v>399.79281767956002</v>
      </c>
      <c r="F311">
        <v>131.78356164383999</v>
      </c>
      <c r="G311">
        <v>113.57671232877</v>
      </c>
      <c r="I311" s="9">
        <f t="shared" ref="I311:I319" si="44">E311-G311</f>
        <v>286.21610535079003</v>
      </c>
      <c r="J311" s="9">
        <f t="shared" ref="J311:J319" si="45">D311-F311</f>
        <v>1463.6694770301601</v>
      </c>
      <c r="K311" s="9">
        <f t="shared" si="31"/>
        <v>286.21610535079003</v>
      </c>
      <c r="L311" s="10">
        <f t="shared" si="30"/>
        <v>0.19554695226106181</v>
      </c>
      <c r="M311" s="10">
        <f t="shared" ref="M311:M319" si="46">L311+ABS($N$2)*A311</f>
        <v>0.35828164307001475</v>
      </c>
      <c r="P311" s="8">
        <f t="shared" ref="P311:P319" si="47">(M311-$O$2)/$O$2*100</f>
        <v>-0.1194632242208734</v>
      </c>
    </row>
    <row r="312" spans="1:16" x14ac:dyDescent="0.2">
      <c r="A312" s="8">
        <v>155</v>
      </c>
      <c r="B312" s="8">
        <v>310</v>
      </c>
      <c r="D312">
        <v>1589.6657458564</v>
      </c>
      <c r="E312">
        <v>401.40745856353999</v>
      </c>
      <c r="F312">
        <v>131.61095890410999</v>
      </c>
      <c r="G312">
        <v>114.25342465753</v>
      </c>
      <c r="I312" s="9">
        <f t="shared" si="44"/>
        <v>287.15403390601</v>
      </c>
      <c r="J312" s="9">
        <f t="shared" si="45"/>
        <v>1458.05478695229</v>
      </c>
      <c r="K312" s="9">
        <f t="shared" si="31"/>
        <v>287.15403390601</v>
      </c>
      <c r="L312" s="10">
        <f t="shared" si="30"/>
        <v>0.19694324004534555</v>
      </c>
      <c r="M312" s="10">
        <f t="shared" si="46"/>
        <v>0.36020458033911712</v>
      </c>
      <c r="N312" s="1"/>
      <c r="P312" s="8">
        <f t="shared" si="47"/>
        <v>0.41660668150567326</v>
      </c>
    </row>
    <row r="313" spans="1:16" x14ac:dyDescent="0.2">
      <c r="A313" s="8">
        <v>155.5</v>
      </c>
      <c r="B313" s="8">
        <v>311</v>
      </c>
      <c r="D313">
        <v>1583.7762430938999</v>
      </c>
      <c r="E313">
        <v>392</v>
      </c>
      <c r="F313">
        <v>131.55616438356</v>
      </c>
      <c r="G313">
        <v>113.36301369863</v>
      </c>
      <c r="I313" s="9">
        <f t="shared" si="44"/>
        <v>278.63698630137003</v>
      </c>
      <c r="J313" s="9">
        <f t="shared" si="45"/>
        <v>1452.22007871034</v>
      </c>
      <c r="K313" s="9">
        <f t="shared" si="31"/>
        <v>278.63698630137003</v>
      </c>
      <c r="L313" s="10">
        <f t="shared" si="30"/>
        <v>0.1918696693333263</v>
      </c>
      <c r="M313" s="10">
        <f t="shared" si="46"/>
        <v>0.35565765911191649</v>
      </c>
      <c r="P313" s="8">
        <f t="shared" si="47"/>
        <v>-0.85096853936946992</v>
      </c>
    </row>
    <row r="314" spans="1:16" x14ac:dyDescent="0.2">
      <c r="A314" s="8">
        <v>156</v>
      </c>
      <c r="B314" s="8">
        <v>312</v>
      </c>
      <c r="D314">
        <v>1424.0801104971999</v>
      </c>
      <c r="E314">
        <v>352.9544198895</v>
      </c>
      <c r="F314">
        <v>131.48356164384001</v>
      </c>
      <c r="G314">
        <v>114.11643835616</v>
      </c>
      <c r="I314" s="9">
        <f t="shared" si="44"/>
        <v>238.83798153333998</v>
      </c>
      <c r="J314" s="9">
        <f t="shared" si="45"/>
        <v>1292.59654885336</v>
      </c>
      <c r="K314" s="9">
        <f t="shared" si="31"/>
        <v>238.83798153333998</v>
      </c>
      <c r="L314" s="10">
        <f t="shared" si="30"/>
        <v>0.18477380412721126</v>
      </c>
      <c r="M314" s="10">
        <f t="shared" si="46"/>
        <v>0.34908844339062006</v>
      </c>
      <c r="P314" s="8">
        <f t="shared" si="47"/>
        <v>-2.6823121349182748</v>
      </c>
    </row>
    <row r="315" spans="1:16" x14ac:dyDescent="0.2">
      <c r="A315" s="8">
        <v>156.5</v>
      </c>
      <c r="B315" s="8">
        <v>313</v>
      </c>
      <c r="D315">
        <v>1468.5773480662999</v>
      </c>
      <c r="E315">
        <v>362.84254143646001</v>
      </c>
      <c r="F315">
        <v>131.83150684931999</v>
      </c>
      <c r="G315">
        <v>113.68219178082001</v>
      </c>
      <c r="I315" s="9">
        <f t="shared" si="44"/>
        <v>249.16034965564</v>
      </c>
      <c r="J315" s="9">
        <f t="shared" si="45"/>
        <v>1336.7458412169799</v>
      </c>
      <c r="K315" s="9">
        <f t="shared" si="31"/>
        <v>249.16034965564</v>
      </c>
      <c r="L315" s="10">
        <f t="shared" si="30"/>
        <v>0.18639321101519435</v>
      </c>
      <c r="M315" s="10">
        <f t="shared" si="46"/>
        <v>0.3512344997634218</v>
      </c>
      <c r="P315" s="8">
        <f t="shared" si="47"/>
        <v>-2.0840418450149998</v>
      </c>
    </row>
    <row r="316" spans="1:16" x14ac:dyDescent="0.2">
      <c r="A316" s="8">
        <v>157</v>
      </c>
      <c r="B316" s="8">
        <v>314</v>
      </c>
      <c r="D316">
        <v>1639.9074585635001</v>
      </c>
      <c r="E316">
        <v>389.61049723756997</v>
      </c>
      <c r="F316">
        <v>131.71506849315</v>
      </c>
      <c r="G316">
        <v>113.93698630137</v>
      </c>
      <c r="I316" s="9">
        <f t="shared" si="44"/>
        <v>275.67351093619999</v>
      </c>
      <c r="J316" s="9">
        <f t="shared" si="45"/>
        <v>1508.19239007035</v>
      </c>
      <c r="K316" s="9">
        <f t="shared" si="31"/>
        <v>275.67351093619999</v>
      </c>
      <c r="L316" s="10">
        <f t="shared" si="30"/>
        <v>0.18278404847497018</v>
      </c>
      <c r="M316" s="10">
        <f t="shared" si="46"/>
        <v>0.34815198670801623</v>
      </c>
      <c r="P316" s="8">
        <f t="shared" si="47"/>
        <v>-2.9433743409645343</v>
      </c>
    </row>
    <row r="317" spans="1:16" x14ac:dyDescent="0.2">
      <c r="A317" s="8">
        <v>157.5</v>
      </c>
      <c r="B317" s="8">
        <v>315</v>
      </c>
      <c r="D317">
        <v>1647.7099447513999</v>
      </c>
      <c r="E317">
        <v>395.23066298343002</v>
      </c>
      <c r="F317">
        <v>131.78493150685</v>
      </c>
      <c r="G317">
        <v>113.78767123288</v>
      </c>
      <c r="I317" s="9">
        <f t="shared" si="44"/>
        <v>281.44299175055005</v>
      </c>
      <c r="J317" s="9">
        <f t="shared" si="45"/>
        <v>1515.92501324455</v>
      </c>
      <c r="K317" s="9">
        <f t="shared" si="31"/>
        <v>281.44299175055005</v>
      </c>
      <c r="L317" s="10">
        <f t="shared" si="30"/>
        <v>0.18565759473034535</v>
      </c>
      <c r="M317" s="10">
        <f t="shared" si="46"/>
        <v>0.35155218244821002</v>
      </c>
      <c r="P317" s="8">
        <f t="shared" si="47"/>
        <v>-1.9954793476201313</v>
      </c>
    </row>
    <row r="318" spans="1:16" x14ac:dyDescent="0.2">
      <c r="A318" s="8">
        <v>158</v>
      </c>
      <c r="B318" s="8">
        <v>316</v>
      </c>
      <c r="D318">
        <v>1701.5220994475001</v>
      </c>
      <c r="E318">
        <v>398.99723756906002</v>
      </c>
      <c r="F318">
        <v>131.28630136986001</v>
      </c>
      <c r="G318">
        <v>113.77534246575</v>
      </c>
      <c r="I318" s="9">
        <f t="shared" si="44"/>
        <v>285.22189510331003</v>
      </c>
      <c r="J318" s="9">
        <f t="shared" si="45"/>
        <v>1570.2357980776401</v>
      </c>
      <c r="K318" s="9">
        <f t="shared" si="31"/>
        <v>285.22189510331003</v>
      </c>
      <c r="L318" s="10">
        <f t="shared" si="30"/>
        <v>0.18164271598730122</v>
      </c>
      <c r="M318" s="10">
        <f t="shared" si="46"/>
        <v>0.34806395318998451</v>
      </c>
      <c r="P318" s="8">
        <f t="shared" si="47"/>
        <v>-2.967916025433559</v>
      </c>
    </row>
    <row r="319" spans="1:16" x14ac:dyDescent="0.2">
      <c r="A319" s="8">
        <v>158.5</v>
      </c>
      <c r="B319" s="8">
        <v>317</v>
      </c>
      <c r="D319">
        <v>1765.3080110497001</v>
      </c>
      <c r="E319">
        <v>415.97928176796</v>
      </c>
      <c r="F319">
        <v>131.96712328767001</v>
      </c>
      <c r="G319">
        <v>113.75753424657999</v>
      </c>
      <c r="I319" s="9">
        <f t="shared" si="44"/>
        <v>302.22174752138</v>
      </c>
      <c r="J319" s="9">
        <f t="shared" si="45"/>
        <v>1633.34088776203</v>
      </c>
      <c r="K319" s="9">
        <f t="shared" si="31"/>
        <v>302.22174752138</v>
      </c>
      <c r="L319" s="10">
        <f t="shared" si="30"/>
        <v>0.18503286716557865</v>
      </c>
      <c r="M319" s="10">
        <f t="shared" si="46"/>
        <v>0.35198075385308059</v>
      </c>
      <c r="P319" s="8">
        <f t="shared" si="47"/>
        <v>-1.8760036703333181</v>
      </c>
    </row>
    <row r="320" spans="1:16" x14ac:dyDescent="0.2">
      <c r="A320" s="8">
        <v>159</v>
      </c>
      <c r="B320" s="8">
        <v>318</v>
      </c>
      <c r="D320">
        <v>1753.4309392265</v>
      </c>
      <c r="E320">
        <v>416.26657458564</v>
      </c>
      <c r="F320">
        <v>131.10821917807999</v>
      </c>
      <c r="G320">
        <v>113.90273972603001</v>
      </c>
      <c r="I320" s="9">
        <f>E320-G320</f>
        <v>302.36383485960999</v>
      </c>
      <c r="J320" s="9">
        <f>D320-F320</f>
        <v>1622.32272004842</v>
      </c>
      <c r="K320" s="9">
        <f t="shared" si="31"/>
        <v>302.36383485960999</v>
      </c>
      <c r="L320" s="10">
        <f t="shared" si="30"/>
        <v>0.18637711912866856</v>
      </c>
      <c r="M320" s="10">
        <f>L320+ABS($N$2)*A320</f>
        <v>0.35385165530098905</v>
      </c>
      <c r="O320" s="11"/>
      <c r="P320" s="8">
        <f>(M320-$O$2)/$O$2*100</f>
        <v>-1.3544401336964074</v>
      </c>
    </row>
    <row r="321" spans="1:16" x14ac:dyDescent="0.2">
      <c r="A321" s="8">
        <v>159.5</v>
      </c>
      <c r="B321" s="8">
        <v>319</v>
      </c>
      <c r="D321">
        <v>1704.8563535912001</v>
      </c>
      <c r="E321">
        <v>410.27071823204</v>
      </c>
      <c r="F321">
        <v>131.67534246574999</v>
      </c>
      <c r="G321">
        <v>114.01095890411</v>
      </c>
      <c r="I321" s="9">
        <f t="shared" ref="I321:I322" si="48">E321-G321</f>
        <v>296.25975932793</v>
      </c>
      <c r="J321" s="9">
        <f t="shared" ref="J321:J322" si="49">D321-F321</f>
        <v>1573.1810111254501</v>
      </c>
      <c r="K321" s="9">
        <f t="shared" si="31"/>
        <v>296.25975932793</v>
      </c>
      <c r="L321" s="10">
        <f t="shared" si="30"/>
        <v>0.1883189265779317</v>
      </c>
      <c r="M321" s="10">
        <f t="shared" ref="M321:M322" si="50">L321+ABS($N$2)*A321</f>
        <v>0.35632011223507087</v>
      </c>
      <c r="P321" s="8">
        <f t="shared" ref="P321:P322" si="51">(M321-$O$2)/$O$2*100</f>
        <v>-0.66629211285067946</v>
      </c>
    </row>
    <row r="322" spans="1:16" x14ac:dyDescent="0.2">
      <c r="A322" s="8">
        <v>160</v>
      </c>
      <c r="D322">
        <v>1633.6187845304</v>
      </c>
      <c r="E322">
        <v>391.61049723756997</v>
      </c>
      <c r="F322">
        <v>131.65753424658001</v>
      </c>
      <c r="G322">
        <v>113.93835616438</v>
      </c>
      <c r="I322" s="9">
        <f t="shared" si="48"/>
        <v>277.67214107319001</v>
      </c>
      <c r="J322" s="9">
        <f t="shared" si="49"/>
        <v>1501.9612502838199</v>
      </c>
      <c r="K322" s="9">
        <f t="shared" si="31"/>
        <v>277.67214107319001</v>
      </c>
      <c r="L322" s="10">
        <f t="shared" ref="L322" si="52">K322/J322</f>
        <v>0.18487303918174944</v>
      </c>
      <c r="M322" s="10">
        <f t="shared" si="50"/>
        <v>0.3534008743237072</v>
      </c>
      <c r="P322" s="8">
        <f t="shared" si="51"/>
        <v>-1.4801073199731629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240828B007</vt:lpstr>
      <vt:lpstr>240828B008</vt:lpstr>
      <vt:lpstr>240828B012</vt:lpstr>
      <vt:lpstr>240828B013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2024-11-19T02:08:21Z</dcterms:modified>
</cp:coreProperties>
</file>