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"/>
    </mc:Choice>
  </mc:AlternateContent>
  <xr:revisionPtr revIDLastSave="0" documentId="8_{DAB840A8-8646-7240-84BA-46BD6C8220A2}" xr6:coauthVersionLast="47" xr6:coauthVersionMax="47" xr10:uidLastSave="{00000000-0000-0000-0000-000000000000}"/>
  <bookViews>
    <workbookView xWindow="780" yWindow="500" windowWidth="28020" windowHeight="15720" xr2:uid="{0C74EE80-9E16-8E4D-8560-44844AF3BD6C}"/>
  </bookViews>
  <sheets>
    <sheet name="Summary Data" sheetId="3" r:id="rId1"/>
    <sheet name="Activation at 21% O2" sheetId="2" r:id="rId2"/>
    <sheet name="Activation at 7% O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14" i="3"/>
  <c r="M14" i="3"/>
  <c r="M13" i="3"/>
  <c r="G13" i="3"/>
  <c r="G14" i="3"/>
  <c r="F14" i="3"/>
  <c r="F13" i="3"/>
  <c r="P172" i="1"/>
  <c r="O174" i="1" s="1"/>
  <c r="H172" i="1"/>
  <c r="G174" i="1" s="1"/>
  <c r="P161" i="1"/>
  <c r="O163" i="1" s="1"/>
  <c r="H161" i="1"/>
  <c r="G163" i="1" s="1"/>
  <c r="N12" i="3"/>
  <c r="M12" i="3"/>
  <c r="N11" i="3"/>
  <c r="M11" i="3"/>
  <c r="G12" i="3"/>
  <c r="F12" i="3"/>
  <c r="G11" i="3"/>
  <c r="F11" i="3"/>
  <c r="P150" i="1"/>
  <c r="O152" i="1" s="1"/>
  <c r="H150" i="1"/>
  <c r="G152" i="1" s="1"/>
  <c r="P139" i="1"/>
  <c r="O141" i="1" s="1"/>
  <c r="H139" i="1"/>
  <c r="G141" i="1" s="1"/>
  <c r="M29" i="3"/>
  <c r="N29" i="3" s="1"/>
  <c r="F29" i="3"/>
  <c r="G29" i="3" s="1"/>
  <c r="M28" i="3"/>
  <c r="N28" i="3" s="1"/>
  <c r="F28" i="3"/>
  <c r="G28" i="3" s="1"/>
  <c r="P188" i="2"/>
  <c r="O190" i="2" s="1"/>
  <c r="H188" i="2"/>
  <c r="G190" i="2" s="1"/>
  <c r="P177" i="2"/>
  <c r="O179" i="2" s="1"/>
  <c r="H177" i="2"/>
  <c r="G179" i="2" s="1"/>
  <c r="M27" i="3"/>
  <c r="N27" i="3" s="1"/>
  <c r="F27" i="3"/>
  <c r="G27" i="3" s="1"/>
  <c r="P166" i="2"/>
  <c r="H166" i="2"/>
  <c r="O168" i="2"/>
  <c r="F168" i="2"/>
  <c r="M10" i="3"/>
  <c r="N10" i="3" s="1"/>
  <c r="M9" i="3"/>
  <c r="N9" i="3" s="1"/>
  <c r="F10" i="3"/>
  <c r="G10" i="3" s="1"/>
  <c r="F9" i="3"/>
  <c r="G9" i="3" s="1"/>
  <c r="P128" i="1"/>
  <c r="H128" i="1"/>
  <c r="G130" i="1" s="1"/>
  <c r="O130" i="1"/>
  <c r="P117" i="1"/>
  <c r="H117" i="1"/>
  <c r="N119" i="1"/>
  <c r="F119" i="1"/>
  <c r="O119" i="1"/>
  <c r="G119" i="1"/>
  <c r="N26" i="3"/>
  <c r="L26" i="3"/>
  <c r="G26" i="3"/>
  <c r="E26" i="3"/>
  <c r="G155" i="2"/>
  <c r="G157" i="2" s="1"/>
  <c r="O155" i="2"/>
  <c r="O157" i="2" s="1"/>
  <c r="F157" i="2"/>
  <c r="N157" i="2"/>
  <c r="N8" i="3"/>
  <c r="L8" i="3"/>
  <c r="G8" i="3"/>
  <c r="E8" i="3"/>
  <c r="N7" i="3"/>
  <c r="L7" i="3"/>
  <c r="G7" i="3"/>
  <c r="E7" i="3"/>
  <c r="N108" i="1"/>
  <c r="F108" i="1"/>
  <c r="O106" i="1"/>
  <c r="O108" i="1" s="1"/>
  <c r="G106" i="1"/>
  <c r="G108" i="1" s="1"/>
  <c r="N97" i="1"/>
  <c r="F97" i="1"/>
  <c r="O95" i="1"/>
  <c r="O97" i="1" s="1"/>
  <c r="G95" i="1"/>
  <c r="G97" i="1" s="1"/>
  <c r="M25" i="3"/>
  <c r="N25" i="3" s="1"/>
  <c r="F25" i="3"/>
  <c r="G25" i="3" s="1"/>
  <c r="P144" i="2"/>
  <c r="H144" i="2"/>
  <c r="N146" i="2"/>
  <c r="F146" i="2"/>
  <c r="O146" i="2"/>
  <c r="G146" i="2"/>
  <c r="L24" i="3"/>
  <c r="N24" i="3"/>
  <c r="E24" i="3"/>
  <c r="G24" i="3"/>
  <c r="N135" i="2"/>
  <c r="F135" i="2"/>
  <c r="O133" i="2"/>
  <c r="O135" i="2" s="1"/>
  <c r="G133" i="2"/>
  <c r="G135" i="2" s="1"/>
  <c r="N124" i="2"/>
  <c r="F124" i="2"/>
  <c r="O122" i="2"/>
  <c r="O124" i="2" s="1"/>
  <c r="G122" i="2"/>
  <c r="G124" i="2" s="1"/>
  <c r="M19" i="3"/>
  <c r="K19" i="3"/>
  <c r="N19" i="3" s="1"/>
  <c r="M20" i="3"/>
  <c r="L20" i="3" s="1"/>
  <c r="K20" i="3"/>
  <c r="M21" i="3"/>
  <c r="N21" i="3" s="1"/>
  <c r="K21" i="3"/>
  <c r="M22" i="3"/>
  <c r="L22" i="3" s="1"/>
  <c r="K22" i="3"/>
  <c r="N22" i="3" s="1"/>
  <c r="F22" i="3"/>
  <c r="D22" i="3"/>
  <c r="E22" i="3" s="1"/>
  <c r="F21" i="3"/>
  <c r="D21" i="3"/>
  <c r="E21" i="3" s="1"/>
  <c r="F20" i="3"/>
  <c r="D20" i="3"/>
  <c r="F19" i="3"/>
  <c r="D19" i="3"/>
  <c r="G19" i="3" s="1"/>
  <c r="L23" i="3"/>
  <c r="N23" i="3"/>
  <c r="E23" i="3"/>
  <c r="G23" i="3"/>
  <c r="N18" i="3"/>
  <c r="L18" i="3"/>
  <c r="G18" i="3"/>
  <c r="E18" i="3"/>
  <c r="M6" i="3"/>
  <c r="K6" i="3"/>
  <c r="M5" i="3"/>
  <c r="K5" i="3"/>
  <c r="M4" i="3"/>
  <c r="K4" i="3"/>
  <c r="N3" i="3"/>
  <c r="L3" i="3"/>
  <c r="F6" i="3"/>
  <c r="D6" i="3"/>
  <c r="F5" i="3"/>
  <c r="D5" i="3"/>
  <c r="F4" i="3"/>
  <c r="D4" i="3"/>
  <c r="G4" i="3" s="1"/>
  <c r="G3" i="3"/>
  <c r="E3" i="3"/>
  <c r="F174" i="1" l="1"/>
  <c r="N174" i="1"/>
  <c r="F163" i="1"/>
  <c r="N163" i="1"/>
  <c r="G5" i="3"/>
  <c r="N5" i="3"/>
  <c r="E19" i="3"/>
  <c r="E4" i="3"/>
  <c r="G6" i="3"/>
  <c r="L4" i="3"/>
  <c r="N20" i="3"/>
  <c r="F152" i="1"/>
  <c r="N152" i="1"/>
  <c r="F141" i="1"/>
  <c r="N141" i="1"/>
  <c r="F190" i="2"/>
  <c r="N190" i="2"/>
  <c r="F179" i="2"/>
  <c r="N179" i="2"/>
  <c r="G168" i="2"/>
  <c r="N168" i="2"/>
  <c r="N130" i="1"/>
  <c r="F130" i="1"/>
  <c r="L19" i="3"/>
  <c r="L21" i="3"/>
  <c r="G22" i="3"/>
  <c r="G21" i="3"/>
  <c r="G20" i="3"/>
  <c r="E20" i="3"/>
  <c r="N6" i="3"/>
  <c r="L5" i="3"/>
  <c r="N4" i="3"/>
  <c r="L6" i="3"/>
  <c r="E6" i="3"/>
  <c r="E5" i="3"/>
  <c r="P110" i="2"/>
  <c r="H110" i="2"/>
  <c r="P97" i="2"/>
  <c r="H97" i="2"/>
  <c r="O112" i="2"/>
  <c r="N112" i="2"/>
  <c r="G112" i="2"/>
  <c r="F112" i="2"/>
  <c r="N99" i="2"/>
  <c r="F99" i="2"/>
  <c r="O99" i="2"/>
  <c r="G99" i="2"/>
  <c r="P84" i="1"/>
  <c r="O86" i="1" s="1"/>
  <c r="H84" i="1"/>
  <c r="P71" i="1"/>
  <c r="N73" i="1" s="1"/>
  <c r="H71" i="1"/>
  <c r="G86" i="1"/>
  <c r="F86" i="1"/>
  <c r="F73" i="1"/>
  <c r="O73" i="1"/>
  <c r="G73" i="1"/>
  <c r="N60" i="1"/>
  <c r="F60" i="1"/>
  <c r="O58" i="1"/>
  <c r="O60" i="1" s="1"/>
  <c r="G58" i="1"/>
  <c r="G60" i="1" s="1"/>
  <c r="N47" i="1"/>
  <c r="F47" i="1"/>
  <c r="O45" i="1"/>
  <c r="O47" i="1" s="1"/>
  <c r="G45" i="1"/>
  <c r="G47" i="1" s="1"/>
  <c r="O84" i="2"/>
  <c r="G84" i="2"/>
  <c r="O71" i="2"/>
  <c r="G71" i="2"/>
  <c r="G73" i="2" s="1"/>
  <c r="N73" i="2"/>
  <c r="O86" i="2"/>
  <c r="G86" i="2"/>
  <c r="O73" i="2"/>
  <c r="H59" i="2"/>
  <c r="P59" i="2"/>
  <c r="O61" i="2" s="1"/>
  <c r="G61" i="2"/>
  <c r="P46" i="2"/>
  <c r="N48" i="2" s="1"/>
  <c r="H46" i="2"/>
  <c r="F48" i="2"/>
  <c r="O48" i="2"/>
  <c r="G48" i="2"/>
  <c r="O33" i="1"/>
  <c r="O35" i="1" s="1"/>
  <c r="G33" i="1"/>
  <c r="G35" i="1" s="1"/>
  <c r="G20" i="1"/>
  <c r="O20" i="1"/>
  <c r="O22" i="1" s="1"/>
  <c r="O33" i="2"/>
  <c r="O35" i="2" s="1"/>
  <c r="G33" i="2"/>
  <c r="O20" i="2"/>
  <c r="O22" i="2" s="1"/>
  <c r="G20" i="2"/>
  <c r="G22" i="2" s="1"/>
  <c r="N35" i="2"/>
  <c r="G35" i="2"/>
  <c r="F35" i="2"/>
  <c r="N22" i="2"/>
  <c r="F22" i="2"/>
  <c r="N35" i="1"/>
  <c r="F35" i="1"/>
  <c r="P8" i="2"/>
  <c r="N10" i="2" s="1"/>
  <c r="L8" i="2"/>
  <c r="H8" i="2"/>
  <c r="D8" i="2"/>
  <c r="P8" i="1"/>
  <c r="O10" i="1" s="1"/>
  <c r="L8" i="1"/>
  <c r="K10" i="1" s="1"/>
  <c r="H8" i="1"/>
  <c r="G10" i="1" s="1"/>
  <c r="D8" i="1"/>
  <c r="B10" i="1" s="1"/>
  <c r="O10" i="2"/>
  <c r="K10" i="2"/>
  <c r="J10" i="2"/>
  <c r="G10" i="2"/>
  <c r="F10" i="2"/>
  <c r="C10" i="2"/>
  <c r="B10" i="2"/>
  <c r="N22" i="1"/>
  <c r="G22" i="1"/>
  <c r="F22" i="1"/>
  <c r="J10" i="1"/>
  <c r="F10" i="1"/>
  <c r="N86" i="1" l="1"/>
  <c r="F73" i="2"/>
  <c r="F86" i="2"/>
  <c r="N86" i="2"/>
  <c r="N61" i="2"/>
  <c r="F61" i="2"/>
  <c r="C10" i="1"/>
  <c r="N10" i="1"/>
</calcChain>
</file>

<file path=xl/sharedStrings.xml><?xml version="1.0" encoding="utf-8"?>
<sst xmlns="http://schemas.openxmlformats.org/spreadsheetml/2006/main" count="872" uniqueCount="71">
  <si>
    <t>Assay #</t>
  </si>
  <si>
    <t>Date</t>
  </si>
  <si>
    <t>Experimentor</t>
  </si>
  <si>
    <t>wild-type iL3s in BU</t>
  </si>
  <si>
    <t># activated</t>
  </si>
  <si>
    <t># non-activated</t>
  </si>
  <si>
    <t>total</t>
  </si>
  <si>
    <t>% activated</t>
  </si>
  <si>
    <t>% non-activated</t>
  </si>
  <si>
    <t>wild-type iL3s in DMEM</t>
  </si>
  <si>
    <r>
      <rPr>
        <i/>
        <sz val="12"/>
        <color theme="1"/>
        <rFont val="Aptos Narrow"/>
        <scheme val="minor"/>
      </rPr>
      <t>Ss-gcy-35</t>
    </r>
    <r>
      <rPr>
        <sz val="12"/>
        <color theme="1"/>
        <rFont val="Aptos Narrow"/>
        <scheme val="minor"/>
      </rPr>
      <t xml:space="preserve"> KO</t>
    </r>
    <r>
      <rPr>
        <sz val="12"/>
        <color theme="1"/>
        <rFont val="Aptos Narrow"/>
        <family val="2"/>
        <scheme val="minor"/>
      </rPr>
      <t xml:space="preserve"> iL3s in BU</t>
    </r>
  </si>
  <si>
    <r>
      <rPr>
        <i/>
        <sz val="12"/>
        <color theme="1"/>
        <rFont val="Aptos Narrow"/>
        <scheme val="minor"/>
      </rPr>
      <t>Ss-gcy-35</t>
    </r>
    <r>
      <rPr>
        <sz val="12"/>
        <color theme="1"/>
        <rFont val="Aptos Narrow"/>
        <scheme val="minor"/>
      </rPr>
      <t xml:space="preserve"> KO</t>
    </r>
    <r>
      <rPr>
        <sz val="12"/>
        <color theme="1"/>
        <rFont val="Aptos Narrow"/>
        <family val="2"/>
        <scheme val="minor"/>
      </rPr>
      <t xml:space="preserve"> iL3s in DMEM</t>
    </r>
  </si>
  <si>
    <t>NB</t>
  </si>
  <si>
    <t>DMEM</t>
  </si>
  <si>
    <t>new bottle</t>
  </si>
  <si>
    <t>dpi (WT)</t>
  </si>
  <si>
    <t>9d</t>
  </si>
  <si>
    <t>iL3 plate (WT)</t>
  </si>
  <si>
    <t>iL3 plate (G11)</t>
  </si>
  <si>
    <t>2025-0410</t>
  </si>
  <si>
    <t>2025-0331</t>
  </si>
  <si>
    <t>7d</t>
  </si>
  <si>
    <t>dpi (G10)</t>
  </si>
  <si>
    <t>Plates made on:</t>
  </si>
  <si>
    <t>dpi (G11)</t>
  </si>
  <si>
    <t>2025-0420</t>
  </si>
  <si>
    <t>BW</t>
  </si>
  <si>
    <t>2025-0425</t>
  </si>
  <si>
    <t>2025-0427</t>
  </si>
  <si>
    <t>10d</t>
  </si>
  <si>
    <t>2d after opening</t>
  </si>
  <si>
    <t>2025-0428</t>
  </si>
  <si>
    <t>3d after opening</t>
  </si>
  <si>
    <t>2025-0503</t>
  </si>
  <si>
    <t>2025-0506</t>
  </si>
  <si>
    <t>2025-0508</t>
  </si>
  <si>
    <t>4d after opening</t>
  </si>
  <si>
    <t>Wild-type iL3s at 7% oxygen</t>
  </si>
  <si>
    <t>#activated</t>
  </si>
  <si>
    <t># not activated</t>
  </si>
  <si>
    <t>activation rate</t>
  </si>
  <si>
    <t>Ss-gcy-35 KO iL3s at 7% oxygen</t>
  </si>
  <si>
    <t>Wild-type iL3s at 21% oxygen</t>
  </si>
  <si>
    <t>Ss-gcy-35 KO iL3s at 21% oxygen</t>
  </si>
  <si>
    <t>2025-0509</t>
  </si>
  <si>
    <t>8d</t>
  </si>
  <si>
    <t>1d after opening</t>
  </si>
  <si>
    <t>dpi (G12)</t>
  </si>
  <si>
    <t>iL3 plate (G12)</t>
  </si>
  <si>
    <t>2025-0510</t>
  </si>
  <si>
    <t>2025-0521</t>
  </si>
  <si>
    <t>D27 and D28</t>
  </si>
  <si>
    <t>D25</t>
  </si>
  <si>
    <t>7d and 8d</t>
  </si>
  <si>
    <t>2025-0524</t>
  </si>
  <si>
    <t>2025-0525</t>
  </si>
  <si>
    <t>2025-0527</t>
  </si>
  <si>
    <t>6d after opening</t>
  </si>
  <si>
    <t>2025-0529</t>
  </si>
  <si>
    <t>2025-0530</t>
  </si>
  <si>
    <t>2025-0602</t>
  </si>
  <si>
    <t>dpi (G13)</t>
  </si>
  <si>
    <t>iL3 plate (G13)</t>
  </si>
  <si>
    <t>2025-0605</t>
  </si>
  <si>
    <t>2025-0606</t>
  </si>
  <si>
    <t xml:space="preserve"> </t>
  </si>
  <si>
    <t>2025-0612</t>
  </si>
  <si>
    <t>2025-0613</t>
  </si>
  <si>
    <t>2025-0617</t>
  </si>
  <si>
    <t>2025-0618</t>
  </si>
  <si>
    <t>5d after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</si>
</sst>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right"/>
    </xf>
    <xf numFmtId="0" fontId="2" fillId="0" borderId="0" xfId="0" applyFont="1"/>
    <xf numFmtId="164" fontId="0" fillId="0" borderId="7" xfId="0" applyNumberFormat="1" applyBorder="1"/>
    <xf numFmtId="164" fontId="0" fillId="0" borderId="8" xfId="0" applyNumberFormat="1" applyBorder="1"/>
    <xf numFmtId="164" fontId="3" fillId="0" borderId="0" xfId="0" applyNumberFormat="1" applyFont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4A80-FF41-4C44-8935-1C6D18D50D03}">
  <dimension ref="B2:N32"/>
  <sheetViews>
    <sheetView tabSelected="1" workbookViewId="0">
      <selection activeCell="H29" sqref="H29"/>
    </sheetView>
  </sheetViews>
  <sheetFormatPr baseColWidth="10" defaultRowHeight="16" x14ac:dyDescent="0.2"/>
  <cols>
    <col min="2" max="2" width="23.83203125" customWidth="1"/>
    <col min="5" max="5" width="14" customWidth="1"/>
    <col min="7" max="7" width="13.83203125" customWidth="1"/>
    <col min="9" max="9" width="25.6640625" customWidth="1"/>
    <col min="12" max="12" width="14" customWidth="1"/>
    <col min="14" max="14" width="13.83203125" customWidth="1"/>
  </cols>
  <sheetData>
    <row r="2" spans="2:14" x14ac:dyDescent="0.2">
      <c r="B2" s="15" t="s">
        <v>37</v>
      </c>
      <c r="C2" s="15"/>
      <c r="D2" s="15" t="s">
        <v>38</v>
      </c>
      <c r="E2" s="15" t="s">
        <v>39</v>
      </c>
      <c r="F2" s="15" t="s">
        <v>6</v>
      </c>
      <c r="G2" s="15" t="s">
        <v>40</v>
      </c>
      <c r="I2" s="16" t="s">
        <v>41</v>
      </c>
      <c r="J2" s="16"/>
      <c r="K2" s="16" t="s">
        <v>38</v>
      </c>
      <c r="L2" s="16" t="s">
        <v>39</v>
      </c>
      <c r="M2" s="16" t="s">
        <v>6</v>
      </c>
      <c r="N2" s="16" t="s">
        <v>40</v>
      </c>
    </row>
    <row r="3" spans="2:14" x14ac:dyDescent="0.2">
      <c r="C3" t="s">
        <v>20</v>
      </c>
      <c r="D3">
        <v>90</v>
      </c>
      <c r="E3">
        <f t="shared" ref="E3:E8" si="0">F3-D3</f>
        <v>139</v>
      </c>
      <c r="F3">
        <v>229</v>
      </c>
      <c r="G3" s="14">
        <f t="shared" ref="G3:G14" si="1">D3/F3*100</f>
        <v>39.301310043668117</v>
      </c>
      <c r="J3" t="s">
        <v>20</v>
      </c>
      <c r="K3">
        <v>132</v>
      </c>
      <c r="L3">
        <f t="shared" ref="L3:L8" si="2">M3-K3</f>
        <v>92</v>
      </c>
      <c r="M3">
        <v>224</v>
      </c>
      <c r="N3" s="14">
        <f t="shared" ref="N3:N14" si="3">K3/M3*100</f>
        <v>58.928571428571431</v>
      </c>
    </row>
    <row r="4" spans="2:14" x14ac:dyDescent="0.2">
      <c r="C4" t="s">
        <v>27</v>
      </c>
      <c r="D4">
        <f>SUM(145+125)</f>
        <v>270</v>
      </c>
      <c r="E4">
        <f t="shared" si="0"/>
        <v>192</v>
      </c>
      <c r="F4">
        <f>SUM(223+239)</f>
        <v>462</v>
      </c>
      <c r="G4" s="14">
        <f t="shared" si="1"/>
        <v>58.441558441558442</v>
      </c>
      <c r="J4" t="s">
        <v>27</v>
      </c>
      <c r="K4">
        <f>SUM(170+180)</f>
        <v>350</v>
      </c>
      <c r="L4">
        <f t="shared" si="2"/>
        <v>100</v>
      </c>
      <c r="M4">
        <f>SUM(225+225)</f>
        <v>450</v>
      </c>
      <c r="N4" s="14">
        <f t="shared" si="3"/>
        <v>77.777777777777786</v>
      </c>
    </row>
    <row r="5" spans="2:14" x14ac:dyDescent="0.2">
      <c r="C5" t="s">
        <v>33</v>
      </c>
      <c r="D5">
        <f>SUM(164+153)</f>
        <v>317</v>
      </c>
      <c r="E5">
        <f t="shared" si="0"/>
        <v>95</v>
      </c>
      <c r="F5">
        <f>SUM(209+203)</f>
        <v>412</v>
      </c>
      <c r="G5" s="14">
        <f t="shared" si="1"/>
        <v>76.94174757281553</v>
      </c>
      <c r="J5" t="s">
        <v>33</v>
      </c>
      <c r="K5">
        <f>SUM(181+189)</f>
        <v>370</v>
      </c>
      <c r="L5">
        <f t="shared" si="2"/>
        <v>49</v>
      </c>
      <c r="M5">
        <f>SUM(208+211)</f>
        <v>419</v>
      </c>
      <c r="N5" s="14">
        <f t="shared" si="3"/>
        <v>88.305489260143204</v>
      </c>
    </row>
    <row r="6" spans="2:14" x14ac:dyDescent="0.2">
      <c r="C6" t="s">
        <v>34</v>
      </c>
      <c r="D6">
        <f>SUM(175+158)</f>
        <v>333</v>
      </c>
      <c r="E6">
        <f t="shared" si="0"/>
        <v>74</v>
      </c>
      <c r="F6">
        <f>SUM(206+201)</f>
        <v>407</v>
      </c>
      <c r="G6" s="14">
        <f t="shared" si="1"/>
        <v>81.818181818181827</v>
      </c>
      <c r="J6" t="s">
        <v>34</v>
      </c>
      <c r="K6">
        <f>SUM(165+181)</f>
        <v>346</v>
      </c>
      <c r="L6">
        <f t="shared" si="2"/>
        <v>79</v>
      </c>
      <c r="M6">
        <f>SUM(209+216)</f>
        <v>425</v>
      </c>
      <c r="N6" s="14">
        <f t="shared" si="3"/>
        <v>81.411764705882348</v>
      </c>
    </row>
    <row r="7" spans="2:14" x14ac:dyDescent="0.2">
      <c r="C7" t="s">
        <v>54</v>
      </c>
      <c r="D7">
        <v>237</v>
      </c>
      <c r="E7">
        <f t="shared" si="0"/>
        <v>15</v>
      </c>
      <c r="F7">
        <v>252</v>
      </c>
      <c r="G7" s="14">
        <f t="shared" si="1"/>
        <v>94.047619047619051</v>
      </c>
      <c r="J7" t="s">
        <v>54</v>
      </c>
      <c r="K7">
        <v>230</v>
      </c>
      <c r="L7">
        <f t="shared" si="2"/>
        <v>42</v>
      </c>
      <c r="M7">
        <v>272</v>
      </c>
      <c r="N7" s="14">
        <f t="shared" si="3"/>
        <v>84.558823529411768</v>
      </c>
    </row>
    <row r="8" spans="2:14" x14ac:dyDescent="0.2">
      <c r="C8" t="s">
        <v>55</v>
      </c>
      <c r="D8">
        <v>215</v>
      </c>
      <c r="E8">
        <f t="shared" si="0"/>
        <v>42</v>
      </c>
      <c r="F8">
        <v>257</v>
      </c>
      <c r="G8" s="14">
        <f t="shared" si="1"/>
        <v>83.657587548638134</v>
      </c>
      <c r="J8" t="s">
        <v>55</v>
      </c>
      <c r="K8">
        <v>233</v>
      </c>
      <c r="L8">
        <f t="shared" si="2"/>
        <v>25</v>
      </c>
      <c r="M8">
        <v>258</v>
      </c>
      <c r="N8" s="14">
        <f t="shared" si="3"/>
        <v>90.310077519379846</v>
      </c>
    </row>
    <row r="9" spans="2:14" x14ac:dyDescent="0.2">
      <c r="C9" t="s">
        <v>58</v>
      </c>
      <c r="D9">
        <v>97</v>
      </c>
      <c r="E9">
        <v>110</v>
      </c>
      <c r="F9">
        <f t="shared" ref="F9:F14" si="4">D9+E9</f>
        <v>207</v>
      </c>
      <c r="G9" s="14">
        <f t="shared" si="1"/>
        <v>46.859903381642518</v>
      </c>
      <c r="J9" t="s">
        <v>58</v>
      </c>
      <c r="K9">
        <v>133</v>
      </c>
      <c r="L9">
        <v>76</v>
      </c>
      <c r="M9">
        <f t="shared" ref="M9:M14" si="5">K9+L9</f>
        <v>209</v>
      </c>
      <c r="N9" s="14">
        <f t="shared" si="3"/>
        <v>63.636363636363633</v>
      </c>
    </row>
    <row r="10" spans="2:14" x14ac:dyDescent="0.2">
      <c r="C10" t="s">
        <v>59</v>
      </c>
      <c r="D10">
        <v>137</v>
      </c>
      <c r="E10">
        <v>67</v>
      </c>
      <c r="F10">
        <f t="shared" si="4"/>
        <v>204</v>
      </c>
      <c r="G10" s="14">
        <f t="shared" si="1"/>
        <v>67.156862745098039</v>
      </c>
      <c r="J10" t="s">
        <v>59</v>
      </c>
      <c r="K10">
        <v>153</v>
      </c>
      <c r="L10">
        <v>66</v>
      </c>
      <c r="M10">
        <f t="shared" si="5"/>
        <v>219</v>
      </c>
      <c r="N10" s="14">
        <f t="shared" si="3"/>
        <v>69.863013698630141</v>
      </c>
    </row>
    <row r="11" spans="2:14" x14ac:dyDescent="0.2">
      <c r="C11" t="s">
        <v>66</v>
      </c>
      <c r="D11">
        <v>172</v>
      </c>
      <c r="E11">
        <v>35</v>
      </c>
      <c r="F11">
        <f t="shared" si="4"/>
        <v>207</v>
      </c>
      <c r="G11" s="14">
        <f t="shared" si="1"/>
        <v>83.091787439613526</v>
      </c>
      <c r="J11" t="s">
        <v>66</v>
      </c>
      <c r="K11">
        <v>117</v>
      </c>
      <c r="L11">
        <v>95</v>
      </c>
      <c r="M11">
        <f t="shared" si="5"/>
        <v>212</v>
      </c>
      <c r="N11" s="14">
        <f t="shared" si="3"/>
        <v>55.188679245283026</v>
      </c>
    </row>
    <row r="12" spans="2:14" x14ac:dyDescent="0.2">
      <c r="C12" t="s">
        <v>67</v>
      </c>
      <c r="D12">
        <v>170</v>
      </c>
      <c r="E12">
        <v>50</v>
      </c>
      <c r="F12">
        <f t="shared" si="4"/>
        <v>220</v>
      </c>
      <c r="G12" s="14">
        <f t="shared" si="1"/>
        <v>77.272727272727266</v>
      </c>
      <c r="J12" t="s">
        <v>67</v>
      </c>
      <c r="K12">
        <v>176</v>
      </c>
      <c r="L12">
        <v>32</v>
      </c>
      <c r="M12">
        <f t="shared" si="5"/>
        <v>208</v>
      </c>
      <c r="N12" s="14">
        <f t="shared" si="3"/>
        <v>84.615384615384613</v>
      </c>
    </row>
    <row r="13" spans="2:14" x14ac:dyDescent="0.2">
      <c r="C13" t="s">
        <v>68</v>
      </c>
      <c r="D13">
        <v>163</v>
      </c>
      <c r="E13">
        <v>39</v>
      </c>
      <c r="F13">
        <f t="shared" si="4"/>
        <v>202</v>
      </c>
      <c r="G13" s="14">
        <f t="shared" si="1"/>
        <v>80.693069306930695</v>
      </c>
      <c r="J13" t="s">
        <v>68</v>
      </c>
      <c r="K13">
        <v>160</v>
      </c>
      <c r="L13">
        <v>47</v>
      </c>
      <c r="M13">
        <f t="shared" si="5"/>
        <v>207</v>
      </c>
      <c r="N13" s="14">
        <f t="shared" si="3"/>
        <v>77.294685990338166</v>
      </c>
    </row>
    <row r="14" spans="2:14" x14ac:dyDescent="0.2">
      <c r="C14" t="s">
        <v>69</v>
      </c>
      <c r="D14">
        <v>186</v>
      </c>
      <c r="E14">
        <v>26</v>
      </c>
      <c r="F14">
        <f t="shared" si="4"/>
        <v>212</v>
      </c>
      <c r="G14" s="14">
        <f t="shared" si="1"/>
        <v>87.735849056603783</v>
      </c>
      <c r="J14" t="s">
        <v>69</v>
      </c>
      <c r="K14">
        <v>150</v>
      </c>
      <c r="L14">
        <v>54</v>
      </c>
      <c r="M14">
        <f t="shared" si="5"/>
        <v>204</v>
      </c>
      <c r="N14" s="14">
        <f t="shared" si="3"/>
        <v>73.529411764705884</v>
      </c>
    </row>
    <row r="17" spans="2:14" x14ac:dyDescent="0.2">
      <c r="B17" s="18" t="s">
        <v>42</v>
      </c>
      <c r="C17" s="18"/>
      <c r="D17" s="18" t="s">
        <v>38</v>
      </c>
      <c r="E17" s="18" t="s">
        <v>39</v>
      </c>
      <c r="F17" s="18" t="s">
        <v>6</v>
      </c>
      <c r="G17" s="18" t="s">
        <v>40</v>
      </c>
      <c r="I17" s="17" t="s">
        <v>43</v>
      </c>
      <c r="J17" s="17"/>
      <c r="K17" s="17" t="s">
        <v>38</v>
      </c>
      <c r="L17" s="17" t="s">
        <v>39</v>
      </c>
      <c r="M17" s="17" t="s">
        <v>6</v>
      </c>
      <c r="N17" s="17" t="s">
        <v>40</v>
      </c>
    </row>
    <row r="18" spans="2:14" x14ac:dyDescent="0.2">
      <c r="C18" t="s">
        <v>19</v>
      </c>
      <c r="D18">
        <v>259</v>
      </c>
      <c r="E18">
        <f>F18-D18</f>
        <v>145</v>
      </c>
      <c r="F18">
        <v>404</v>
      </c>
      <c r="G18" s="14">
        <f>D18/F18*100</f>
        <v>64.10891089108911</v>
      </c>
      <c r="J18" t="s">
        <v>19</v>
      </c>
      <c r="K18">
        <v>359</v>
      </c>
      <c r="L18">
        <f>M18-K18</f>
        <v>48</v>
      </c>
      <c r="M18">
        <v>407</v>
      </c>
      <c r="N18" s="14">
        <f>K18/M18*100</f>
        <v>88.206388206388212</v>
      </c>
    </row>
    <row r="19" spans="2:14" x14ac:dyDescent="0.2">
      <c r="C19" t="s">
        <v>25</v>
      </c>
      <c r="D19">
        <f>SUM(89+38)</f>
        <v>127</v>
      </c>
      <c r="E19">
        <f t="shared" ref="E19:E23" si="6">F19-D19</f>
        <v>711</v>
      </c>
      <c r="F19">
        <f>SUM(437+401)</f>
        <v>838</v>
      </c>
      <c r="G19" s="14">
        <f t="shared" ref="G19:G23" si="7">D19/F19*100</f>
        <v>15.155131264916468</v>
      </c>
      <c r="J19" t="s">
        <v>25</v>
      </c>
      <c r="K19">
        <f>SUM(181+96)</f>
        <v>277</v>
      </c>
      <c r="L19">
        <f t="shared" ref="L19:L23" si="8">M19-K19</f>
        <v>535</v>
      </c>
      <c r="M19">
        <f>SUM(411+401)</f>
        <v>812</v>
      </c>
      <c r="N19" s="14">
        <f t="shared" ref="N19:N23" si="9">K19/M19*100</f>
        <v>34.11330049261084</v>
      </c>
    </row>
    <row r="20" spans="2:14" x14ac:dyDescent="0.2">
      <c r="C20" t="s">
        <v>28</v>
      </c>
      <c r="D20">
        <f>SUM(116+106)</f>
        <v>222</v>
      </c>
      <c r="E20">
        <f t="shared" si="6"/>
        <v>207</v>
      </c>
      <c r="F20">
        <f>SUM(210+219)</f>
        <v>429</v>
      </c>
      <c r="G20" s="14">
        <f t="shared" si="7"/>
        <v>51.748251748251747</v>
      </c>
      <c r="J20" t="s">
        <v>28</v>
      </c>
      <c r="K20">
        <f>SUM(154+121)</f>
        <v>275</v>
      </c>
      <c r="L20">
        <f t="shared" si="8"/>
        <v>150</v>
      </c>
      <c r="M20">
        <f>SUM(214+211)</f>
        <v>425</v>
      </c>
      <c r="N20" s="14">
        <f t="shared" si="9"/>
        <v>64.705882352941174</v>
      </c>
    </row>
    <row r="21" spans="2:14" x14ac:dyDescent="0.2">
      <c r="C21" t="s">
        <v>31</v>
      </c>
      <c r="D21">
        <f>SUM(115+129)</f>
        <v>244</v>
      </c>
      <c r="E21">
        <f t="shared" si="6"/>
        <v>219</v>
      </c>
      <c r="F21">
        <f>SUM(225+238)</f>
        <v>463</v>
      </c>
      <c r="G21" s="14">
        <f t="shared" si="7"/>
        <v>52.699784017278617</v>
      </c>
      <c r="J21" t="s">
        <v>31</v>
      </c>
      <c r="K21">
        <f>SUM(144+132)</f>
        <v>276</v>
      </c>
      <c r="L21">
        <f t="shared" si="8"/>
        <v>245</v>
      </c>
      <c r="M21">
        <f>SUM(282+239)</f>
        <v>521</v>
      </c>
      <c r="N21" s="14">
        <f t="shared" si="9"/>
        <v>52.975047984644917</v>
      </c>
    </row>
    <row r="22" spans="2:14" x14ac:dyDescent="0.2">
      <c r="C22" t="s">
        <v>35</v>
      </c>
      <c r="D22">
        <f>SUM(103+105)</f>
        <v>208</v>
      </c>
      <c r="E22">
        <f t="shared" si="6"/>
        <v>199</v>
      </c>
      <c r="F22">
        <f>SUM(200+207)</f>
        <v>407</v>
      </c>
      <c r="G22" s="14">
        <f t="shared" si="7"/>
        <v>51.105651105651106</v>
      </c>
      <c r="J22" t="s">
        <v>35</v>
      </c>
      <c r="K22">
        <f>SUM(120+124)</f>
        <v>244</v>
      </c>
      <c r="L22">
        <f t="shared" si="8"/>
        <v>169</v>
      </c>
      <c r="M22">
        <f>SUM(206+207)</f>
        <v>413</v>
      </c>
      <c r="N22" s="14">
        <f t="shared" si="9"/>
        <v>59.079903147699753</v>
      </c>
    </row>
    <row r="23" spans="2:14" x14ac:dyDescent="0.2">
      <c r="C23" t="s">
        <v>44</v>
      </c>
      <c r="D23">
        <v>145</v>
      </c>
      <c r="E23">
        <f t="shared" si="6"/>
        <v>183</v>
      </c>
      <c r="F23">
        <v>328</v>
      </c>
      <c r="G23" s="14">
        <f t="shared" si="7"/>
        <v>44.207317073170735</v>
      </c>
      <c r="J23" t="s">
        <v>44</v>
      </c>
      <c r="K23">
        <v>127</v>
      </c>
      <c r="L23">
        <f t="shared" si="8"/>
        <v>209</v>
      </c>
      <c r="M23">
        <v>336</v>
      </c>
      <c r="N23" s="14">
        <f t="shared" si="9"/>
        <v>37.797619047619044</v>
      </c>
    </row>
    <row r="24" spans="2:14" x14ac:dyDescent="0.2">
      <c r="C24" t="s">
        <v>49</v>
      </c>
      <c r="D24">
        <v>60</v>
      </c>
      <c r="E24">
        <f t="shared" ref="E24" si="10">F24-D24</f>
        <v>197</v>
      </c>
      <c r="F24">
        <v>257</v>
      </c>
      <c r="G24" s="14">
        <f t="shared" ref="G24:G29" si="11">D24/F24*100</f>
        <v>23.346303501945524</v>
      </c>
      <c r="J24" t="s">
        <v>49</v>
      </c>
      <c r="K24">
        <v>119</v>
      </c>
      <c r="L24">
        <f t="shared" ref="L24" si="12">M24-K24</f>
        <v>140</v>
      </c>
      <c r="M24">
        <v>259</v>
      </c>
      <c r="N24" s="14">
        <f t="shared" ref="N24:N29" si="13">K24/M24*100</f>
        <v>45.945945945945951</v>
      </c>
    </row>
    <row r="25" spans="2:14" x14ac:dyDescent="0.2">
      <c r="C25" t="s">
        <v>50</v>
      </c>
      <c r="D25">
        <v>54</v>
      </c>
      <c r="E25">
        <v>157</v>
      </c>
      <c r="F25">
        <f>D25+E25</f>
        <v>211</v>
      </c>
      <c r="G25" s="14">
        <f t="shared" si="11"/>
        <v>25.592417061611371</v>
      </c>
      <c r="J25" t="s">
        <v>50</v>
      </c>
      <c r="K25">
        <v>67</v>
      </c>
      <c r="L25">
        <v>138</v>
      </c>
      <c r="M25">
        <f>K25+L25</f>
        <v>205</v>
      </c>
      <c r="N25" s="14">
        <f t="shared" si="13"/>
        <v>32.682926829268297</v>
      </c>
    </row>
    <row r="26" spans="2:14" x14ac:dyDescent="0.2">
      <c r="C26" t="s">
        <v>56</v>
      </c>
      <c r="D26">
        <v>56</v>
      </c>
      <c r="E26">
        <f>F26-D26</f>
        <v>172</v>
      </c>
      <c r="F26">
        <v>228</v>
      </c>
      <c r="G26" s="14">
        <f t="shared" si="11"/>
        <v>24.561403508771928</v>
      </c>
      <c r="J26" t="s">
        <v>56</v>
      </c>
      <c r="K26">
        <v>127</v>
      </c>
      <c r="L26">
        <f>M26-K26</f>
        <v>112</v>
      </c>
      <c r="M26">
        <v>239</v>
      </c>
      <c r="N26" s="14">
        <f t="shared" si="13"/>
        <v>53.138075313807533</v>
      </c>
    </row>
    <row r="27" spans="2:14" x14ac:dyDescent="0.2">
      <c r="C27" t="s">
        <v>60</v>
      </c>
      <c r="D27">
        <v>91</v>
      </c>
      <c r="E27">
        <v>128</v>
      </c>
      <c r="F27">
        <f>D27+E27</f>
        <v>219</v>
      </c>
      <c r="G27" s="14">
        <f t="shared" si="11"/>
        <v>41.55251141552511</v>
      </c>
      <c r="J27" t="s">
        <v>60</v>
      </c>
      <c r="K27">
        <v>155</v>
      </c>
      <c r="L27">
        <v>53</v>
      </c>
      <c r="M27">
        <f>K27+L27</f>
        <v>208</v>
      </c>
      <c r="N27" s="14">
        <f t="shared" si="13"/>
        <v>74.519230769230774</v>
      </c>
    </row>
    <row r="28" spans="2:14" x14ac:dyDescent="0.2">
      <c r="C28" t="s">
        <v>63</v>
      </c>
      <c r="D28">
        <v>66</v>
      </c>
      <c r="E28">
        <v>138</v>
      </c>
      <c r="F28">
        <f>D28+E28</f>
        <v>204</v>
      </c>
      <c r="G28" s="14">
        <f t="shared" si="11"/>
        <v>32.352941176470587</v>
      </c>
      <c r="J28" t="s">
        <v>63</v>
      </c>
      <c r="K28">
        <v>71</v>
      </c>
      <c r="L28">
        <v>132</v>
      </c>
      <c r="M28">
        <f>K28+L28</f>
        <v>203</v>
      </c>
      <c r="N28" s="14">
        <f t="shared" si="13"/>
        <v>34.975369458128078</v>
      </c>
    </row>
    <row r="29" spans="2:14" x14ac:dyDescent="0.2">
      <c r="C29" t="s">
        <v>64</v>
      </c>
      <c r="D29">
        <v>98</v>
      </c>
      <c r="E29">
        <v>105</v>
      </c>
      <c r="F29">
        <f>D29+E29</f>
        <v>203</v>
      </c>
      <c r="G29" s="14">
        <f t="shared" si="11"/>
        <v>48.275862068965516</v>
      </c>
      <c r="J29" t="s">
        <v>64</v>
      </c>
      <c r="K29">
        <v>168</v>
      </c>
      <c r="L29">
        <v>47</v>
      </c>
      <c r="M29">
        <f>K29+L29</f>
        <v>215</v>
      </c>
      <c r="N29" s="14">
        <f t="shared" si="13"/>
        <v>78.139534883720927</v>
      </c>
    </row>
    <row r="32" spans="2:14" x14ac:dyDescent="0.2">
      <c r="I32" t="s">
        <v>65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DF93-ADF6-984F-A6D6-B46AFCA3E8FA}">
  <dimension ref="B1:P190"/>
  <sheetViews>
    <sheetView zoomScaleNormal="110" workbookViewId="0">
      <selection activeCell="E197" sqref="E197"/>
    </sheetView>
  </sheetViews>
  <sheetFormatPr baseColWidth="10" defaultRowHeight="16" x14ac:dyDescent="0.2"/>
  <cols>
    <col min="1" max="1" width="11.83203125" customWidth="1"/>
    <col min="2" max="2" width="12.5" customWidth="1"/>
    <col min="3" max="3" width="16.33203125" customWidth="1"/>
    <col min="5" max="5" width="14.5" customWidth="1"/>
    <col min="6" max="6" width="12.5" customWidth="1"/>
    <col min="7" max="7" width="16.33203125" customWidth="1"/>
    <col min="8" max="8" width="13.6640625" customWidth="1"/>
    <col min="10" max="10" width="12.5" customWidth="1"/>
    <col min="11" max="11" width="16.33203125" customWidth="1"/>
    <col min="14" max="14" width="12.5" customWidth="1"/>
    <col min="15" max="15" width="16.33203125" customWidth="1"/>
  </cols>
  <sheetData>
    <row r="1" spans="2:16" x14ac:dyDescent="0.2">
      <c r="E1" t="s">
        <v>23</v>
      </c>
    </row>
    <row r="2" spans="2:16" x14ac:dyDescent="0.2">
      <c r="B2" t="s">
        <v>0</v>
      </c>
      <c r="C2" s="10">
        <v>1</v>
      </c>
      <c r="E2" t="s">
        <v>15</v>
      </c>
      <c r="F2">
        <v>14</v>
      </c>
      <c r="H2" t="s">
        <v>17</v>
      </c>
      <c r="I2" s="10" t="s">
        <v>16</v>
      </c>
      <c r="K2" t="s">
        <v>13</v>
      </c>
      <c r="L2" t="s">
        <v>14</v>
      </c>
    </row>
    <row r="3" spans="2:16" x14ac:dyDescent="0.2">
      <c r="B3" t="s">
        <v>1</v>
      </c>
      <c r="C3" s="10" t="s">
        <v>19</v>
      </c>
      <c r="E3" t="s">
        <v>22</v>
      </c>
      <c r="F3">
        <v>40</v>
      </c>
      <c r="H3" t="s">
        <v>18</v>
      </c>
      <c r="I3" s="10" t="s">
        <v>16</v>
      </c>
    </row>
    <row r="4" spans="2:16" x14ac:dyDescent="0.2">
      <c r="B4" t="s">
        <v>2</v>
      </c>
      <c r="C4" s="10" t="s">
        <v>12</v>
      </c>
    </row>
    <row r="5" spans="2:16" ht="17" thickBot="1" x14ac:dyDescent="0.25"/>
    <row r="6" spans="2:16" ht="17" thickBot="1" x14ac:dyDescent="0.25">
      <c r="B6" s="25" t="s">
        <v>3</v>
      </c>
      <c r="C6" s="26"/>
      <c r="D6" s="27"/>
      <c r="F6" s="19" t="s">
        <v>9</v>
      </c>
      <c r="G6" s="20"/>
      <c r="H6" s="21"/>
      <c r="J6" s="28" t="s">
        <v>10</v>
      </c>
      <c r="K6" s="29"/>
      <c r="L6" s="30"/>
      <c r="N6" s="22" t="s">
        <v>11</v>
      </c>
      <c r="O6" s="23"/>
      <c r="P6" s="24"/>
    </row>
    <row r="7" spans="2:16" x14ac:dyDescent="0.2">
      <c r="B7" s="7" t="s">
        <v>4</v>
      </c>
      <c r="C7" s="8" t="s">
        <v>5</v>
      </c>
      <c r="D7" s="9" t="s">
        <v>6</v>
      </c>
      <c r="F7" s="2" t="s">
        <v>4</v>
      </c>
      <c r="G7" s="1" t="s">
        <v>5</v>
      </c>
      <c r="H7" s="3" t="s">
        <v>6</v>
      </c>
      <c r="J7" s="2" t="s">
        <v>4</v>
      </c>
      <c r="K7" s="1" t="s">
        <v>5</v>
      </c>
      <c r="L7" s="3" t="s">
        <v>6</v>
      </c>
      <c r="N7" s="2" t="s">
        <v>4</v>
      </c>
      <c r="O7" s="1" t="s">
        <v>5</v>
      </c>
      <c r="P7" s="3" t="s">
        <v>6</v>
      </c>
    </row>
    <row r="8" spans="2:16" x14ac:dyDescent="0.2">
      <c r="B8" s="2">
        <v>2</v>
      </c>
      <c r="C8" s="1">
        <v>107</v>
      </c>
      <c r="D8" s="3">
        <f>B8+C8</f>
        <v>109</v>
      </c>
      <c r="F8" s="2">
        <v>259</v>
      </c>
      <c r="G8" s="1">
        <v>145</v>
      </c>
      <c r="H8" s="3">
        <f>F8+G8</f>
        <v>404</v>
      </c>
      <c r="J8" s="2">
        <v>0</v>
      </c>
      <c r="K8" s="1">
        <v>112</v>
      </c>
      <c r="L8" s="3">
        <f>J8+K8</f>
        <v>112</v>
      </c>
      <c r="N8" s="2">
        <v>359</v>
      </c>
      <c r="O8" s="1">
        <v>48</v>
      </c>
      <c r="P8" s="3">
        <f>N8+O8</f>
        <v>407</v>
      </c>
    </row>
    <row r="9" spans="2:16" x14ac:dyDescent="0.2">
      <c r="B9" s="2" t="s">
        <v>7</v>
      </c>
      <c r="C9" s="1" t="s">
        <v>8</v>
      </c>
      <c r="D9" s="3"/>
      <c r="F9" s="2" t="s">
        <v>7</v>
      </c>
      <c r="G9" s="1" t="s">
        <v>8</v>
      </c>
      <c r="H9" s="3"/>
      <c r="J9" s="2" t="s">
        <v>7</v>
      </c>
      <c r="K9" s="1" t="s">
        <v>8</v>
      </c>
      <c r="L9" s="3"/>
      <c r="N9" s="2" t="s">
        <v>7</v>
      </c>
      <c r="O9" s="1" t="s">
        <v>8</v>
      </c>
      <c r="P9" s="3"/>
    </row>
    <row r="10" spans="2:16" ht="17" thickBot="1" x14ac:dyDescent="0.25">
      <c r="B10" s="4">
        <f>(B8/D8)*100</f>
        <v>1.834862385321101</v>
      </c>
      <c r="C10" s="5">
        <f>(C8/D8)*100</f>
        <v>98.165137614678898</v>
      </c>
      <c r="D10" s="6"/>
      <c r="F10" s="12">
        <f>(F8/H8)*100</f>
        <v>64.10891089108911</v>
      </c>
      <c r="G10" s="13">
        <f>(G8/H8)*100</f>
        <v>35.89108910891089</v>
      </c>
      <c r="H10" s="6"/>
      <c r="J10" s="4">
        <f>(J8/L8)*100</f>
        <v>0</v>
      </c>
      <c r="K10" s="5">
        <f>(K8/L8)*100</f>
        <v>100</v>
      </c>
      <c r="L10" s="6"/>
      <c r="N10" s="12">
        <f>(N8/P8)*100</f>
        <v>88.206388206388212</v>
      </c>
      <c r="O10" s="13">
        <f>(O8/P8)*100</f>
        <v>11.793611793611793</v>
      </c>
      <c r="P10" s="6"/>
    </row>
    <row r="14" spans="2:16" x14ac:dyDescent="0.2">
      <c r="B14" t="s">
        <v>0</v>
      </c>
      <c r="C14" s="10">
        <v>2</v>
      </c>
      <c r="E14" t="s">
        <v>23</v>
      </c>
    </row>
    <row r="15" spans="2:16" x14ac:dyDescent="0.2">
      <c r="B15" t="s">
        <v>1</v>
      </c>
      <c r="C15" s="10" t="s">
        <v>25</v>
      </c>
      <c r="E15" t="s">
        <v>15</v>
      </c>
      <c r="F15">
        <v>24</v>
      </c>
      <c r="H15" t="s">
        <v>17</v>
      </c>
      <c r="I15" s="10" t="s">
        <v>16</v>
      </c>
      <c r="K15" t="s">
        <v>13</v>
      </c>
      <c r="L15" t="s">
        <v>14</v>
      </c>
    </row>
    <row r="16" spans="2:16" x14ac:dyDescent="0.2">
      <c r="B16" t="s">
        <v>2</v>
      </c>
      <c r="C16" s="10" t="s">
        <v>26</v>
      </c>
      <c r="E16" t="s">
        <v>24</v>
      </c>
      <c r="F16">
        <v>22</v>
      </c>
      <c r="H16" t="s">
        <v>18</v>
      </c>
      <c r="I16" s="10" t="s">
        <v>16</v>
      </c>
    </row>
    <row r="17" spans="2:16" ht="17" thickBot="1" x14ac:dyDescent="0.25"/>
    <row r="18" spans="2:16" x14ac:dyDescent="0.2">
      <c r="F18" s="19" t="s">
        <v>9</v>
      </c>
      <c r="G18" s="20"/>
      <c r="H18" s="21"/>
      <c r="J18" s="11"/>
      <c r="N18" s="22" t="s">
        <v>11</v>
      </c>
      <c r="O18" s="23"/>
      <c r="P18" s="24"/>
    </row>
    <row r="19" spans="2:16" x14ac:dyDescent="0.2">
      <c r="F19" s="2" t="s">
        <v>4</v>
      </c>
      <c r="G19" s="1" t="s">
        <v>5</v>
      </c>
      <c r="H19" s="3" t="s">
        <v>6</v>
      </c>
      <c r="N19" s="2" t="s">
        <v>4</v>
      </c>
      <c r="O19" s="1" t="s">
        <v>5</v>
      </c>
      <c r="P19" s="3" t="s">
        <v>6</v>
      </c>
    </row>
    <row r="20" spans="2:16" x14ac:dyDescent="0.2">
      <c r="F20" s="2">
        <v>89</v>
      </c>
      <c r="G20" s="1">
        <f>H20-F20</f>
        <v>348</v>
      </c>
      <c r="H20" s="3">
        <v>437</v>
      </c>
      <c r="N20" s="2">
        <v>181</v>
      </c>
      <c r="O20" s="1">
        <f>P20-N20</f>
        <v>230</v>
      </c>
      <c r="P20" s="3">
        <v>411</v>
      </c>
    </row>
    <row r="21" spans="2:16" x14ac:dyDescent="0.2">
      <c r="F21" s="2" t="s">
        <v>7</v>
      </c>
      <c r="G21" s="1" t="s">
        <v>8</v>
      </c>
      <c r="H21" s="3"/>
      <c r="N21" s="2" t="s">
        <v>7</v>
      </c>
      <c r="O21" s="1" t="s">
        <v>8</v>
      </c>
      <c r="P21" s="3"/>
    </row>
    <row r="22" spans="2:16" ht="17" thickBot="1" x14ac:dyDescent="0.25">
      <c r="F22" s="12">
        <f>(F20/H20)*100</f>
        <v>20.366132723112131</v>
      </c>
      <c r="G22" s="13">
        <f>(G20/H20)*100</f>
        <v>79.633867276887869</v>
      </c>
      <c r="H22" s="6"/>
      <c r="N22" s="12">
        <f>(N20/P20)*100</f>
        <v>44.038929440389296</v>
      </c>
      <c r="O22" s="13">
        <f>(O20/P20)*100</f>
        <v>55.961070559610704</v>
      </c>
      <c r="P22" s="6"/>
    </row>
    <row r="27" spans="2:16" x14ac:dyDescent="0.2">
      <c r="B27" t="s">
        <v>0</v>
      </c>
      <c r="C27" s="10">
        <v>3</v>
      </c>
      <c r="E27" t="s">
        <v>23</v>
      </c>
    </row>
    <row r="28" spans="2:16" x14ac:dyDescent="0.2">
      <c r="B28" t="s">
        <v>1</v>
      </c>
      <c r="C28" s="10" t="s">
        <v>25</v>
      </c>
      <c r="E28" t="s">
        <v>15</v>
      </c>
      <c r="F28">
        <v>24</v>
      </c>
      <c r="H28" t="s">
        <v>17</v>
      </c>
      <c r="I28" s="10" t="s">
        <v>16</v>
      </c>
      <c r="K28" t="s">
        <v>13</v>
      </c>
      <c r="L28" t="s">
        <v>14</v>
      </c>
    </row>
    <row r="29" spans="2:16" x14ac:dyDescent="0.2">
      <c r="B29" t="s">
        <v>2</v>
      </c>
      <c r="C29" s="10" t="s">
        <v>26</v>
      </c>
      <c r="E29" t="s">
        <v>24</v>
      </c>
      <c r="F29">
        <v>22</v>
      </c>
      <c r="H29" t="s">
        <v>18</v>
      </c>
      <c r="I29" s="10" t="s">
        <v>16</v>
      </c>
    </row>
    <row r="30" spans="2:16" ht="17" thickBot="1" x14ac:dyDescent="0.25"/>
    <row r="31" spans="2:16" x14ac:dyDescent="0.2">
      <c r="F31" s="19" t="s">
        <v>9</v>
      </c>
      <c r="G31" s="20"/>
      <c r="H31" s="21"/>
      <c r="J31" s="11"/>
      <c r="N31" s="22" t="s">
        <v>11</v>
      </c>
      <c r="O31" s="23"/>
      <c r="P31" s="24"/>
    </row>
    <row r="32" spans="2:16" x14ac:dyDescent="0.2">
      <c r="F32" s="2" t="s">
        <v>4</v>
      </c>
      <c r="G32" s="1" t="s">
        <v>5</v>
      </c>
      <c r="H32" s="3" t="s">
        <v>6</v>
      </c>
      <c r="N32" s="2" t="s">
        <v>4</v>
      </c>
      <c r="O32" s="1" t="s">
        <v>5</v>
      </c>
      <c r="P32" s="3" t="s">
        <v>6</v>
      </c>
    </row>
    <row r="33" spans="2:16" x14ac:dyDescent="0.2">
      <c r="F33" s="2">
        <v>38</v>
      </c>
      <c r="G33" s="1">
        <f>H33-F33</f>
        <v>363</v>
      </c>
      <c r="H33" s="3">
        <v>401</v>
      </c>
      <c r="N33" s="2">
        <v>96</v>
      </c>
      <c r="O33" s="1">
        <f>P33-N33</f>
        <v>305</v>
      </c>
      <c r="P33" s="3">
        <v>401</v>
      </c>
    </row>
    <row r="34" spans="2:16" x14ac:dyDescent="0.2">
      <c r="F34" s="2" t="s">
        <v>7</v>
      </c>
      <c r="G34" s="1" t="s">
        <v>8</v>
      </c>
      <c r="H34" s="3"/>
      <c r="N34" s="2" t="s">
        <v>7</v>
      </c>
      <c r="O34" s="1" t="s">
        <v>8</v>
      </c>
      <c r="P34" s="3"/>
    </row>
    <row r="35" spans="2:16" ht="17" thickBot="1" x14ac:dyDescent="0.25">
      <c r="F35" s="12">
        <f>(F33/H33)*100</f>
        <v>9.4763092269326688</v>
      </c>
      <c r="G35" s="13">
        <f>(G33/H33)*100</f>
        <v>90.523690773067329</v>
      </c>
      <c r="H35" s="6"/>
      <c r="N35" s="12">
        <f>(N33/P33)*100</f>
        <v>23.940149625935163</v>
      </c>
      <c r="O35" s="13">
        <f>(O33/P33)*100</f>
        <v>76.059850374064837</v>
      </c>
      <c r="P35" s="6"/>
    </row>
    <row r="40" spans="2:16" x14ac:dyDescent="0.2">
      <c r="B40" t="s">
        <v>0</v>
      </c>
      <c r="C40" s="10">
        <v>4</v>
      </c>
      <c r="E40" t="s">
        <v>23</v>
      </c>
    </row>
    <row r="41" spans="2:16" x14ac:dyDescent="0.2">
      <c r="B41" t="s">
        <v>1</v>
      </c>
      <c r="C41" s="10" t="s">
        <v>28</v>
      </c>
      <c r="E41" t="s">
        <v>15</v>
      </c>
      <c r="F41">
        <v>30</v>
      </c>
      <c r="H41" t="s">
        <v>17</v>
      </c>
      <c r="I41" s="10" t="s">
        <v>29</v>
      </c>
      <c r="K41" t="s">
        <v>13</v>
      </c>
      <c r="L41" t="s">
        <v>30</v>
      </c>
    </row>
    <row r="42" spans="2:16" x14ac:dyDescent="0.2">
      <c r="B42" t="s">
        <v>2</v>
      </c>
      <c r="C42" s="10" t="s">
        <v>12</v>
      </c>
      <c r="E42" t="s">
        <v>24</v>
      </c>
      <c r="F42">
        <v>30</v>
      </c>
      <c r="H42" t="s">
        <v>18</v>
      </c>
      <c r="I42" s="10" t="s">
        <v>16</v>
      </c>
    </row>
    <row r="43" spans="2:16" ht="17" thickBot="1" x14ac:dyDescent="0.25"/>
    <row r="44" spans="2:16" x14ac:dyDescent="0.2">
      <c r="F44" s="19" t="s">
        <v>9</v>
      </c>
      <c r="G44" s="20"/>
      <c r="H44" s="21"/>
      <c r="J44" s="11"/>
      <c r="N44" s="22" t="s">
        <v>11</v>
      </c>
      <c r="O44" s="23"/>
      <c r="P44" s="24"/>
    </row>
    <row r="45" spans="2:16" x14ac:dyDescent="0.2">
      <c r="F45" s="2" t="s">
        <v>4</v>
      </c>
      <c r="G45" s="1" t="s">
        <v>5</v>
      </c>
      <c r="H45" s="3" t="s">
        <v>6</v>
      </c>
      <c r="N45" s="2" t="s">
        <v>4</v>
      </c>
      <c r="O45" s="1" t="s">
        <v>5</v>
      </c>
      <c r="P45" s="3" t="s">
        <v>6</v>
      </c>
    </row>
    <row r="46" spans="2:16" x14ac:dyDescent="0.2">
      <c r="F46" s="2">
        <v>116</v>
      </c>
      <c r="G46" s="1">
        <v>94</v>
      </c>
      <c r="H46" s="3">
        <f>F46+G46</f>
        <v>210</v>
      </c>
      <c r="N46" s="2">
        <v>154</v>
      </c>
      <c r="O46" s="1">
        <v>60</v>
      </c>
      <c r="P46" s="3">
        <f>N46+O46</f>
        <v>214</v>
      </c>
    </row>
    <row r="47" spans="2:16" x14ac:dyDescent="0.2">
      <c r="F47" s="2" t="s">
        <v>7</v>
      </c>
      <c r="G47" s="1" t="s">
        <v>8</v>
      </c>
      <c r="H47" s="3"/>
      <c r="N47" s="2" t="s">
        <v>7</v>
      </c>
      <c r="O47" s="1" t="s">
        <v>8</v>
      </c>
      <c r="P47" s="3"/>
    </row>
    <row r="48" spans="2:16" ht="17" thickBot="1" x14ac:dyDescent="0.25">
      <c r="F48" s="12">
        <f>(F46/H46)*100</f>
        <v>55.238095238095241</v>
      </c>
      <c r="G48" s="13">
        <f>(G46/H46)*100</f>
        <v>44.761904761904766</v>
      </c>
      <c r="H48" s="6"/>
      <c r="N48" s="12">
        <f>(N46/P46)*100</f>
        <v>71.962616822429908</v>
      </c>
      <c r="O48" s="13">
        <f>(O46/P46)*100</f>
        <v>28.037383177570092</v>
      </c>
      <c r="P48" s="6"/>
    </row>
    <row r="53" spans="2:16" x14ac:dyDescent="0.2">
      <c r="B53" t="s">
        <v>0</v>
      </c>
      <c r="C53" s="10">
        <v>5</v>
      </c>
      <c r="E53" t="s">
        <v>23</v>
      </c>
    </row>
    <row r="54" spans="2:16" x14ac:dyDescent="0.2">
      <c r="B54" t="s">
        <v>1</v>
      </c>
      <c r="C54" s="10" t="s">
        <v>28</v>
      </c>
      <c r="E54" t="s">
        <v>15</v>
      </c>
      <c r="F54">
        <v>30</v>
      </c>
      <c r="H54" t="s">
        <v>17</v>
      </c>
      <c r="I54" s="10" t="s">
        <v>29</v>
      </c>
      <c r="K54" t="s">
        <v>13</v>
      </c>
      <c r="L54" t="s">
        <v>30</v>
      </c>
    </row>
    <row r="55" spans="2:16" x14ac:dyDescent="0.2">
      <c r="B55" t="s">
        <v>2</v>
      </c>
      <c r="C55" s="10" t="s">
        <v>12</v>
      </c>
      <c r="E55" t="s">
        <v>24</v>
      </c>
      <c r="F55">
        <v>30</v>
      </c>
      <c r="H55" t="s">
        <v>18</v>
      </c>
      <c r="I55" s="10" t="s">
        <v>16</v>
      </c>
    </row>
    <row r="56" spans="2:16" ht="17" thickBot="1" x14ac:dyDescent="0.25"/>
    <row r="57" spans="2:16" x14ac:dyDescent="0.2">
      <c r="F57" s="19" t="s">
        <v>9</v>
      </c>
      <c r="G57" s="20"/>
      <c r="H57" s="21"/>
      <c r="J57" s="11"/>
      <c r="N57" s="22" t="s">
        <v>11</v>
      </c>
      <c r="O57" s="23"/>
      <c r="P57" s="24"/>
    </row>
    <row r="58" spans="2:16" x14ac:dyDescent="0.2">
      <c r="F58" s="2" t="s">
        <v>4</v>
      </c>
      <c r="G58" s="1" t="s">
        <v>5</v>
      </c>
      <c r="H58" s="3" t="s">
        <v>6</v>
      </c>
      <c r="N58" s="2" t="s">
        <v>4</v>
      </c>
      <c r="O58" s="1" t="s">
        <v>5</v>
      </c>
      <c r="P58" s="3" t="s">
        <v>6</v>
      </c>
    </row>
    <row r="59" spans="2:16" x14ac:dyDescent="0.2">
      <c r="F59" s="2">
        <v>106</v>
      </c>
      <c r="G59" s="1">
        <v>113</v>
      </c>
      <c r="H59" s="3">
        <f>F59+G59</f>
        <v>219</v>
      </c>
      <c r="N59" s="2">
        <v>121</v>
      </c>
      <c r="O59" s="1">
        <v>90</v>
      </c>
      <c r="P59" s="3">
        <f>N59+O59</f>
        <v>211</v>
      </c>
    </row>
    <row r="60" spans="2:16" x14ac:dyDescent="0.2">
      <c r="F60" s="2" t="s">
        <v>7</v>
      </c>
      <c r="G60" s="1" t="s">
        <v>8</v>
      </c>
      <c r="H60" s="3"/>
      <c r="N60" s="2" t="s">
        <v>7</v>
      </c>
      <c r="O60" s="1" t="s">
        <v>8</v>
      </c>
      <c r="P60" s="3"/>
    </row>
    <row r="61" spans="2:16" ht="17" thickBot="1" x14ac:dyDescent="0.25">
      <c r="F61" s="12">
        <f>(F59/H59)*100</f>
        <v>48.401826484018265</v>
      </c>
      <c r="G61" s="13">
        <f>(G59/H59)*100</f>
        <v>51.598173515981735</v>
      </c>
      <c r="H61" s="6"/>
      <c r="N61" s="12">
        <f>(N59/P59)*100</f>
        <v>57.345971563981045</v>
      </c>
      <c r="O61" s="13">
        <f>(O59/P59)*100</f>
        <v>42.654028436018962</v>
      </c>
      <c r="P61" s="6"/>
    </row>
    <row r="65" spans="2:16" x14ac:dyDescent="0.2">
      <c r="B65" t="s">
        <v>0</v>
      </c>
      <c r="C65" s="10">
        <v>6</v>
      </c>
      <c r="E65" t="s">
        <v>23</v>
      </c>
    </row>
    <row r="66" spans="2:16" x14ac:dyDescent="0.2">
      <c r="B66" t="s">
        <v>1</v>
      </c>
      <c r="C66" s="10" t="s">
        <v>31</v>
      </c>
      <c r="E66" t="s">
        <v>15</v>
      </c>
      <c r="F66">
        <v>34</v>
      </c>
      <c r="H66" t="s">
        <v>17</v>
      </c>
      <c r="I66" s="10" t="s">
        <v>21</v>
      </c>
      <c r="K66" t="s">
        <v>13</v>
      </c>
      <c r="L66" t="s">
        <v>32</v>
      </c>
    </row>
    <row r="67" spans="2:16" x14ac:dyDescent="0.2">
      <c r="B67" t="s">
        <v>2</v>
      </c>
      <c r="C67" s="10" t="s">
        <v>26</v>
      </c>
      <c r="E67" t="s">
        <v>24</v>
      </c>
      <c r="F67">
        <v>32</v>
      </c>
      <c r="H67" t="s">
        <v>18</v>
      </c>
      <c r="I67" s="10" t="s">
        <v>21</v>
      </c>
    </row>
    <row r="68" spans="2:16" ht="17" thickBot="1" x14ac:dyDescent="0.25"/>
    <row r="69" spans="2:16" x14ac:dyDescent="0.2">
      <c r="F69" s="19" t="s">
        <v>9</v>
      </c>
      <c r="G69" s="20"/>
      <c r="H69" s="21"/>
      <c r="J69" s="11"/>
      <c r="N69" s="22" t="s">
        <v>11</v>
      </c>
      <c r="O69" s="23"/>
      <c r="P69" s="24"/>
    </row>
    <row r="70" spans="2:16" x14ac:dyDescent="0.2">
      <c r="F70" s="2" t="s">
        <v>4</v>
      </c>
      <c r="G70" s="1" t="s">
        <v>5</v>
      </c>
      <c r="H70" s="3" t="s">
        <v>6</v>
      </c>
      <c r="N70" s="2" t="s">
        <v>4</v>
      </c>
      <c r="O70" s="1" t="s">
        <v>5</v>
      </c>
      <c r="P70" s="3" t="s">
        <v>6</v>
      </c>
    </row>
    <row r="71" spans="2:16" x14ac:dyDescent="0.2">
      <c r="F71" s="2">
        <v>115</v>
      </c>
      <c r="G71" s="1">
        <f>H71-F71</f>
        <v>110</v>
      </c>
      <c r="H71" s="3">
        <v>225</v>
      </c>
      <c r="N71" s="2">
        <v>144</v>
      </c>
      <c r="O71" s="1">
        <f>P71-N71</f>
        <v>138</v>
      </c>
      <c r="P71" s="3">
        <v>282</v>
      </c>
    </row>
    <row r="72" spans="2:16" x14ac:dyDescent="0.2">
      <c r="F72" s="2" t="s">
        <v>7</v>
      </c>
      <c r="G72" s="1" t="s">
        <v>8</v>
      </c>
      <c r="H72" s="3"/>
      <c r="N72" s="2" t="s">
        <v>7</v>
      </c>
      <c r="O72" s="1" t="s">
        <v>8</v>
      </c>
      <c r="P72" s="3"/>
    </row>
    <row r="73" spans="2:16" ht="17" thickBot="1" x14ac:dyDescent="0.25">
      <c r="F73" s="12">
        <f>(F71/H71)*100</f>
        <v>51.111111111111107</v>
      </c>
      <c r="G73" s="13">
        <f>(G71/H71)*100</f>
        <v>48.888888888888886</v>
      </c>
      <c r="H73" s="6"/>
      <c r="N73" s="12">
        <f>(N71/P71)*100</f>
        <v>51.063829787234042</v>
      </c>
      <c r="O73" s="13">
        <f>(O71/P71)*100</f>
        <v>48.936170212765958</v>
      </c>
      <c r="P73" s="6"/>
    </row>
    <row r="78" spans="2:16" x14ac:dyDescent="0.2">
      <c r="B78" t="s">
        <v>0</v>
      </c>
      <c r="C78" s="10">
        <v>7</v>
      </c>
      <c r="E78" t="s">
        <v>23</v>
      </c>
    </row>
    <row r="79" spans="2:16" x14ac:dyDescent="0.2">
      <c r="B79" t="s">
        <v>1</v>
      </c>
      <c r="C79" s="10" t="s">
        <v>31</v>
      </c>
      <c r="E79" t="s">
        <v>15</v>
      </c>
      <c r="F79">
        <v>34</v>
      </c>
      <c r="H79" t="s">
        <v>17</v>
      </c>
      <c r="I79" s="10" t="s">
        <v>21</v>
      </c>
      <c r="K79" t="s">
        <v>13</v>
      </c>
      <c r="L79" t="s">
        <v>32</v>
      </c>
    </row>
    <row r="80" spans="2:16" x14ac:dyDescent="0.2">
      <c r="B80" t="s">
        <v>2</v>
      </c>
      <c r="C80" s="10" t="s">
        <v>26</v>
      </c>
      <c r="E80" t="s">
        <v>24</v>
      </c>
      <c r="F80">
        <v>32</v>
      </c>
      <c r="H80" t="s">
        <v>18</v>
      </c>
      <c r="I80" s="10" t="s">
        <v>21</v>
      </c>
    </row>
    <row r="81" spans="2:16" ht="17" thickBot="1" x14ac:dyDescent="0.25"/>
    <row r="82" spans="2:16" x14ac:dyDescent="0.2">
      <c r="F82" s="19" t="s">
        <v>9</v>
      </c>
      <c r="G82" s="20"/>
      <c r="H82" s="21"/>
      <c r="J82" s="11"/>
      <c r="N82" s="22" t="s">
        <v>11</v>
      </c>
      <c r="O82" s="23"/>
      <c r="P82" s="24"/>
    </row>
    <row r="83" spans="2:16" x14ac:dyDescent="0.2">
      <c r="F83" s="2" t="s">
        <v>4</v>
      </c>
      <c r="G83" s="1" t="s">
        <v>5</v>
      </c>
      <c r="H83" s="3" t="s">
        <v>6</v>
      </c>
      <c r="N83" s="2" t="s">
        <v>4</v>
      </c>
      <c r="O83" s="1" t="s">
        <v>5</v>
      </c>
      <c r="P83" s="3" t="s">
        <v>6</v>
      </c>
    </row>
    <row r="84" spans="2:16" x14ac:dyDescent="0.2">
      <c r="F84" s="2">
        <v>129</v>
      </c>
      <c r="G84" s="1">
        <f>H84-F84</f>
        <v>109</v>
      </c>
      <c r="H84" s="3">
        <v>238</v>
      </c>
      <c r="N84" s="2">
        <v>132</v>
      </c>
      <c r="O84" s="1">
        <f>P84-N84</f>
        <v>107</v>
      </c>
      <c r="P84" s="3">
        <v>239</v>
      </c>
    </row>
    <row r="85" spans="2:16" x14ac:dyDescent="0.2">
      <c r="F85" s="2" t="s">
        <v>7</v>
      </c>
      <c r="G85" s="1" t="s">
        <v>8</v>
      </c>
      <c r="H85" s="3"/>
      <c r="N85" s="2" t="s">
        <v>7</v>
      </c>
      <c r="O85" s="1" t="s">
        <v>8</v>
      </c>
      <c r="P85" s="3"/>
    </row>
    <row r="86" spans="2:16" ht="17" thickBot="1" x14ac:dyDescent="0.25">
      <c r="F86" s="12">
        <f>(F84/H84)*100</f>
        <v>54.201680672268907</v>
      </c>
      <c r="G86" s="13">
        <f>(G84/H84)*100</f>
        <v>45.798319327731093</v>
      </c>
      <c r="H86" s="6"/>
      <c r="N86" s="12">
        <f>(N84/P84)*100</f>
        <v>55.230125523012553</v>
      </c>
      <c r="O86" s="13">
        <f>(O84/P84)*100</f>
        <v>44.769874476987447</v>
      </c>
      <c r="P86" s="6"/>
    </row>
    <row r="91" spans="2:16" x14ac:dyDescent="0.2">
      <c r="B91" t="s">
        <v>0</v>
      </c>
      <c r="C91" s="10">
        <v>8</v>
      </c>
      <c r="E91" t="s">
        <v>23</v>
      </c>
    </row>
    <row r="92" spans="2:16" x14ac:dyDescent="0.2">
      <c r="B92" t="s">
        <v>1</v>
      </c>
      <c r="C92" s="10" t="s">
        <v>35</v>
      </c>
      <c r="E92" t="s">
        <v>15</v>
      </c>
      <c r="F92">
        <v>41</v>
      </c>
      <c r="H92" t="s">
        <v>17</v>
      </c>
      <c r="I92" s="10" t="s">
        <v>16</v>
      </c>
      <c r="K92" t="s">
        <v>13</v>
      </c>
      <c r="L92" t="s">
        <v>36</v>
      </c>
    </row>
    <row r="93" spans="2:16" x14ac:dyDescent="0.2">
      <c r="B93" t="s">
        <v>2</v>
      </c>
      <c r="C93" s="10" t="s">
        <v>12</v>
      </c>
      <c r="E93" t="s">
        <v>24</v>
      </c>
      <c r="F93">
        <v>39</v>
      </c>
      <c r="H93" t="s">
        <v>18</v>
      </c>
      <c r="I93" s="10" t="s">
        <v>16</v>
      </c>
    </row>
    <row r="94" spans="2:16" ht="17" thickBot="1" x14ac:dyDescent="0.25"/>
    <row r="95" spans="2:16" x14ac:dyDescent="0.2">
      <c r="F95" s="19" t="s">
        <v>9</v>
      </c>
      <c r="G95" s="20"/>
      <c r="H95" s="21"/>
      <c r="J95" s="11"/>
      <c r="N95" s="22" t="s">
        <v>11</v>
      </c>
      <c r="O95" s="23"/>
      <c r="P95" s="24"/>
    </row>
    <row r="96" spans="2:16" x14ac:dyDescent="0.2">
      <c r="F96" s="2" t="s">
        <v>4</v>
      </c>
      <c r="G96" s="1" t="s">
        <v>5</v>
      </c>
      <c r="H96" s="3" t="s">
        <v>6</v>
      </c>
      <c r="N96" s="2" t="s">
        <v>4</v>
      </c>
      <c r="O96" s="1" t="s">
        <v>5</v>
      </c>
      <c r="P96" s="3" t="s">
        <v>6</v>
      </c>
    </row>
    <row r="97" spans="2:16" x14ac:dyDescent="0.2">
      <c r="F97" s="2">
        <v>103</v>
      </c>
      <c r="G97" s="1">
        <v>97</v>
      </c>
      <c r="H97" s="3">
        <f>F97+G97</f>
        <v>200</v>
      </c>
      <c r="N97" s="2">
        <v>120</v>
      </c>
      <c r="O97" s="1">
        <v>86</v>
      </c>
      <c r="P97" s="3">
        <f>N97+O97</f>
        <v>206</v>
      </c>
    </row>
    <row r="98" spans="2:16" x14ac:dyDescent="0.2">
      <c r="F98" s="2" t="s">
        <v>7</v>
      </c>
      <c r="G98" s="1" t="s">
        <v>8</v>
      </c>
      <c r="H98" s="3"/>
      <c r="N98" s="2" t="s">
        <v>7</v>
      </c>
      <c r="O98" s="1" t="s">
        <v>8</v>
      </c>
      <c r="P98" s="3"/>
    </row>
    <row r="99" spans="2:16" ht="17" thickBot="1" x14ac:dyDescent="0.25">
      <c r="F99" s="12">
        <f>(F97/H97)*100</f>
        <v>51.5</v>
      </c>
      <c r="G99" s="13">
        <f>(G97/H97)*100</f>
        <v>48.5</v>
      </c>
      <c r="H99" s="6"/>
      <c r="N99" s="12">
        <f>(N97/P97)*100</f>
        <v>58.252427184466015</v>
      </c>
      <c r="O99" s="13">
        <f>(O97/P97)*100</f>
        <v>41.747572815533978</v>
      </c>
      <c r="P99" s="6"/>
    </row>
    <row r="104" spans="2:16" x14ac:dyDescent="0.2">
      <c r="B104" t="s">
        <v>0</v>
      </c>
      <c r="C104" s="10">
        <v>9</v>
      </c>
      <c r="E104" t="s">
        <v>23</v>
      </c>
    </row>
    <row r="105" spans="2:16" x14ac:dyDescent="0.2">
      <c r="B105" t="s">
        <v>1</v>
      </c>
      <c r="C105" s="10" t="s">
        <v>35</v>
      </c>
      <c r="E105" t="s">
        <v>15</v>
      </c>
      <c r="F105">
        <v>41</v>
      </c>
      <c r="H105" t="s">
        <v>17</v>
      </c>
      <c r="I105" s="10" t="s">
        <v>16</v>
      </c>
      <c r="K105" t="s">
        <v>13</v>
      </c>
      <c r="L105" t="s">
        <v>36</v>
      </c>
    </row>
    <row r="106" spans="2:16" x14ac:dyDescent="0.2">
      <c r="B106" t="s">
        <v>2</v>
      </c>
      <c r="C106" s="10" t="s">
        <v>12</v>
      </c>
      <c r="E106" t="s">
        <v>24</v>
      </c>
      <c r="F106">
        <v>39</v>
      </c>
      <c r="H106" t="s">
        <v>18</v>
      </c>
      <c r="I106" s="10" t="s">
        <v>16</v>
      </c>
    </row>
    <row r="107" spans="2:16" ht="17" thickBot="1" x14ac:dyDescent="0.25"/>
    <row r="108" spans="2:16" x14ac:dyDescent="0.2">
      <c r="F108" s="19" t="s">
        <v>9</v>
      </c>
      <c r="G108" s="20"/>
      <c r="H108" s="21"/>
      <c r="J108" s="11"/>
      <c r="N108" s="22" t="s">
        <v>11</v>
      </c>
      <c r="O108" s="23"/>
      <c r="P108" s="24"/>
    </row>
    <row r="109" spans="2:16" x14ac:dyDescent="0.2">
      <c r="F109" s="2" t="s">
        <v>4</v>
      </c>
      <c r="G109" s="1" t="s">
        <v>5</v>
      </c>
      <c r="H109" s="3" t="s">
        <v>6</v>
      </c>
      <c r="N109" s="2" t="s">
        <v>4</v>
      </c>
      <c r="O109" s="1" t="s">
        <v>5</v>
      </c>
      <c r="P109" s="3" t="s">
        <v>6</v>
      </c>
    </row>
    <row r="110" spans="2:16" x14ac:dyDescent="0.2">
      <c r="F110" s="2">
        <v>105</v>
      </c>
      <c r="G110" s="1">
        <v>102</v>
      </c>
      <c r="H110" s="3">
        <f>F110+G110</f>
        <v>207</v>
      </c>
      <c r="N110" s="2">
        <v>124</v>
      </c>
      <c r="O110" s="1">
        <v>83</v>
      </c>
      <c r="P110" s="3">
        <f>N110+O110</f>
        <v>207</v>
      </c>
    </row>
    <row r="111" spans="2:16" x14ac:dyDescent="0.2">
      <c r="F111" s="2" t="s">
        <v>7</v>
      </c>
      <c r="G111" s="1" t="s">
        <v>8</v>
      </c>
      <c r="H111" s="3"/>
      <c r="N111" s="2" t="s">
        <v>7</v>
      </c>
      <c r="O111" s="1" t="s">
        <v>8</v>
      </c>
      <c r="P111" s="3"/>
    </row>
    <row r="112" spans="2:16" ht="17" thickBot="1" x14ac:dyDescent="0.25">
      <c r="F112" s="12">
        <f>(F110/H110)*100</f>
        <v>50.724637681159422</v>
      </c>
      <c r="G112" s="13">
        <f>(G110/H110)*100</f>
        <v>49.275362318840585</v>
      </c>
      <c r="H112" s="6"/>
      <c r="N112" s="12">
        <f>(N110/P110)*100</f>
        <v>59.903381642512073</v>
      </c>
      <c r="O112" s="13">
        <f>(O110/P110)*100</f>
        <v>40.096618357487927</v>
      </c>
      <c r="P112" s="6"/>
    </row>
    <row r="116" spans="2:16" x14ac:dyDescent="0.2">
      <c r="B116" t="s">
        <v>0</v>
      </c>
      <c r="C116" s="10">
        <v>10</v>
      </c>
      <c r="E116" t="s">
        <v>23</v>
      </c>
    </row>
    <row r="117" spans="2:16" x14ac:dyDescent="0.2">
      <c r="B117" t="s">
        <v>1</v>
      </c>
      <c r="C117" s="10" t="s">
        <v>44</v>
      </c>
      <c r="E117" t="s">
        <v>15</v>
      </c>
      <c r="F117">
        <v>43</v>
      </c>
      <c r="H117" t="s">
        <v>17</v>
      </c>
      <c r="I117" s="10" t="s">
        <v>45</v>
      </c>
      <c r="K117" t="s">
        <v>13</v>
      </c>
      <c r="L117" t="s">
        <v>14</v>
      </c>
    </row>
    <row r="118" spans="2:16" x14ac:dyDescent="0.2">
      <c r="B118" t="s">
        <v>2</v>
      </c>
      <c r="C118" s="10" t="s">
        <v>26</v>
      </c>
      <c r="E118" t="s">
        <v>24</v>
      </c>
      <c r="F118">
        <v>41</v>
      </c>
      <c r="H118" t="s">
        <v>18</v>
      </c>
      <c r="I118" s="10" t="s">
        <v>45</v>
      </c>
    </row>
    <row r="119" spans="2:16" ht="17" thickBot="1" x14ac:dyDescent="0.25"/>
    <row r="120" spans="2:16" x14ac:dyDescent="0.2">
      <c r="F120" s="19" t="s">
        <v>9</v>
      </c>
      <c r="G120" s="20"/>
      <c r="H120" s="21"/>
      <c r="J120" s="11"/>
      <c r="N120" s="22" t="s">
        <v>11</v>
      </c>
      <c r="O120" s="23"/>
      <c r="P120" s="24"/>
    </row>
    <row r="121" spans="2:16" x14ac:dyDescent="0.2">
      <c r="F121" s="2" t="s">
        <v>4</v>
      </c>
      <c r="G121" s="1" t="s">
        <v>5</v>
      </c>
      <c r="H121" s="3" t="s">
        <v>6</v>
      </c>
      <c r="N121" s="2" t="s">
        <v>4</v>
      </c>
      <c r="O121" s="1" t="s">
        <v>5</v>
      </c>
      <c r="P121" s="3" t="s">
        <v>6</v>
      </c>
    </row>
    <row r="122" spans="2:16" x14ac:dyDescent="0.2">
      <c r="F122" s="2">
        <v>145</v>
      </c>
      <c r="G122" s="1">
        <f>H122-F122</f>
        <v>183</v>
      </c>
      <c r="H122" s="3">
        <v>328</v>
      </c>
      <c r="N122" s="2">
        <v>127</v>
      </c>
      <c r="O122" s="1">
        <f>P122-N122</f>
        <v>209</v>
      </c>
      <c r="P122" s="3">
        <v>336</v>
      </c>
    </row>
    <row r="123" spans="2:16" x14ac:dyDescent="0.2">
      <c r="F123" s="2" t="s">
        <v>7</v>
      </c>
      <c r="G123" s="1" t="s">
        <v>8</v>
      </c>
      <c r="H123" s="3"/>
      <c r="N123" s="2" t="s">
        <v>7</v>
      </c>
      <c r="O123" s="1" t="s">
        <v>8</v>
      </c>
      <c r="P123" s="3"/>
    </row>
    <row r="124" spans="2:16" ht="17" thickBot="1" x14ac:dyDescent="0.25">
      <c r="F124" s="12">
        <f>(F122/H122)*100</f>
        <v>44.207317073170735</v>
      </c>
      <c r="G124" s="13">
        <f>(G122/H122)*100</f>
        <v>55.792682926829272</v>
      </c>
      <c r="H124" s="6"/>
      <c r="N124" s="12">
        <f>(N122/P122)*100</f>
        <v>37.797619047619044</v>
      </c>
      <c r="O124" s="13">
        <f>(O122/P122)*100</f>
        <v>62.202380952380956</v>
      </c>
      <c r="P124" s="6"/>
    </row>
    <row r="127" spans="2:16" x14ac:dyDescent="0.2">
      <c r="B127" t="s">
        <v>0</v>
      </c>
      <c r="C127" s="10">
        <v>11</v>
      </c>
      <c r="E127" t="s">
        <v>23</v>
      </c>
    </row>
    <row r="128" spans="2:16" x14ac:dyDescent="0.2">
      <c r="B128" t="s">
        <v>1</v>
      </c>
      <c r="C128" s="10" t="s">
        <v>49</v>
      </c>
      <c r="E128" t="s">
        <v>15</v>
      </c>
      <c r="F128">
        <v>14</v>
      </c>
      <c r="H128" t="s">
        <v>17</v>
      </c>
      <c r="I128" s="10" t="s">
        <v>45</v>
      </c>
      <c r="K128" t="s">
        <v>13</v>
      </c>
      <c r="L128" t="s">
        <v>46</v>
      </c>
    </row>
    <row r="129" spans="2:16" x14ac:dyDescent="0.2">
      <c r="B129" t="s">
        <v>2</v>
      </c>
      <c r="C129" s="10" t="s">
        <v>26</v>
      </c>
      <c r="E129" t="s">
        <v>47</v>
      </c>
      <c r="F129">
        <v>16</v>
      </c>
      <c r="H129" t="s">
        <v>48</v>
      </c>
      <c r="I129" s="10" t="s">
        <v>45</v>
      </c>
    </row>
    <row r="130" spans="2:16" ht="17" thickBot="1" x14ac:dyDescent="0.25"/>
    <row r="131" spans="2:16" x14ac:dyDescent="0.2">
      <c r="F131" s="19" t="s">
        <v>9</v>
      </c>
      <c r="G131" s="20"/>
      <c r="H131" s="21"/>
      <c r="J131" s="11"/>
      <c r="N131" s="22" t="s">
        <v>11</v>
      </c>
      <c r="O131" s="23"/>
      <c r="P131" s="24"/>
    </row>
    <row r="132" spans="2:16" x14ac:dyDescent="0.2">
      <c r="F132" s="2" t="s">
        <v>4</v>
      </c>
      <c r="G132" s="1" t="s">
        <v>5</v>
      </c>
      <c r="H132" s="3" t="s">
        <v>6</v>
      </c>
      <c r="N132" s="2" t="s">
        <v>4</v>
      </c>
      <c r="O132" s="1" t="s">
        <v>5</v>
      </c>
      <c r="P132" s="3" t="s">
        <v>6</v>
      </c>
    </row>
    <row r="133" spans="2:16" x14ac:dyDescent="0.2">
      <c r="F133" s="2">
        <v>60</v>
      </c>
      <c r="G133" s="1">
        <f>H133-F133</f>
        <v>197</v>
      </c>
      <c r="H133" s="3">
        <v>257</v>
      </c>
      <c r="N133" s="2">
        <v>119</v>
      </c>
      <c r="O133" s="1">
        <f>P133-N133</f>
        <v>140</v>
      </c>
      <c r="P133" s="3">
        <v>259</v>
      </c>
    </row>
    <row r="134" spans="2:16" x14ac:dyDescent="0.2">
      <c r="F134" s="2" t="s">
        <v>7</v>
      </c>
      <c r="G134" s="1" t="s">
        <v>8</v>
      </c>
      <c r="H134" s="3"/>
      <c r="N134" s="2" t="s">
        <v>7</v>
      </c>
      <c r="O134" s="1" t="s">
        <v>8</v>
      </c>
      <c r="P134" s="3"/>
    </row>
    <row r="135" spans="2:16" ht="17" thickBot="1" x14ac:dyDescent="0.25">
      <c r="F135" s="12">
        <f>(F133/H133)*100</f>
        <v>23.346303501945524</v>
      </c>
      <c r="G135" s="13">
        <f>(G133/H133)*100</f>
        <v>76.653696498054487</v>
      </c>
      <c r="H135" s="6"/>
      <c r="N135" s="12">
        <f>(N133/P133)*100</f>
        <v>45.945945945945951</v>
      </c>
      <c r="O135" s="13">
        <f>(O133/P133)*100</f>
        <v>54.054054054054056</v>
      </c>
      <c r="P135" s="6"/>
    </row>
    <row r="138" spans="2:16" x14ac:dyDescent="0.2">
      <c r="B138" t="s">
        <v>0</v>
      </c>
      <c r="C138" s="10">
        <v>12</v>
      </c>
      <c r="E138" t="s">
        <v>23</v>
      </c>
    </row>
    <row r="139" spans="2:16" x14ac:dyDescent="0.2">
      <c r="B139" t="s">
        <v>1</v>
      </c>
      <c r="C139" s="10" t="s">
        <v>50</v>
      </c>
      <c r="E139" t="s">
        <v>15</v>
      </c>
      <c r="F139" t="s">
        <v>52</v>
      </c>
      <c r="H139" t="s">
        <v>17</v>
      </c>
      <c r="I139" s="10" t="s">
        <v>45</v>
      </c>
      <c r="K139" t="s">
        <v>13</v>
      </c>
      <c r="L139" t="s">
        <v>14</v>
      </c>
    </row>
    <row r="140" spans="2:16" x14ac:dyDescent="0.2">
      <c r="B140" t="s">
        <v>2</v>
      </c>
      <c r="C140" s="10" t="s">
        <v>12</v>
      </c>
      <c r="E140" t="s">
        <v>47</v>
      </c>
      <c r="F140" t="s">
        <v>51</v>
      </c>
      <c r="H140" t="s">
        <v>48</v>
      </c>
      <c r="I140" s="10" t="s">
        <v>53</v>
      </c>
    </row>
    <row r="141" spans="2:16" ht="17" thickBot="1" x14ac:dyDescent="0.25"/>
    <row r="142" spans="2:16" x14ac:dyDescent="0.2">
      <c r="F142" s="19" t="s">
        <v>9</v>
      </c>
      <c r="G142" s="20"/>
      <c r="H142" s="21"/>
      <c r="J142" s="11"/>
      <c r="N142" s="22" t="s">
        <v>11</v>
      </c>
      <c r="O142" s="23"/>
      <c r="P142" s="24"/>
    </row>
    <row r="143" spans="2:16" x14ac:dyDescent="0.2">
      <c r="F143" s="2" t="s">
        <v>4</v>
      </c>
      <c r="G143" s="1" t="s">
        <v>5</v>
      </c>
      <c r="H143" s="3" t="s">
        <v>6</v>
      </c>
      <c r="N143" s="2" t="s">
        <v>4</v>
      </c>
      <c r="O143" s="1" t="s">
        <v>5</v>
      </c>
      <c r="P143" s="3" t="s">
        <v>6</v>
      </c>
    </row>
    <row r="144" spans="2:16" x14ac:dyDescent="0.2">
      <c r="F144" s="2">
        <v>54</v>
      </c>
      <c r="G144" s="1">
        <v>157</v>
      </c>
      <c r="H144" s="3">
        <f>F144+G144</f>
        <v>211</v>
      </c>
      <c r="N144" s="2">
        <v>67</v>
      </c>
      <c r="O144" s="1">
        <v>138</v>
      </c>
      <c r="P144" s="3">
        <f>N144+O144</f>
        <v>205</v>
      </c>
    </row>
    <row r="145" spans="2:16" x14ac:dyDescent="0.2">
      <c r="F145" s="2" t="s">
        <v>7</v>
      </c>
      <c r="G145" s="1" t="s">
        <v>8</v>
      </c>
      <c r="H145" s="3"/>
      <c r="N145" s="2" t="s">
        <v>7</v>
      </c>
      <c r="O145" s="1" t="s">
        <v>8</v>
      </c>
      <c r="P145" s="3"/>
    </row>
    <row r="146" spans="2:16" ht="17" thickBot="1" x14ac:dyDescent="0.25">
      <c r="F146" s="12">
        <f>(F144/H144)*100</f>
        <v>25.592417061611371</v>
      </c>
      <c r="G146" s="13">
        <f>(G144/H144)*100</f>
        <v>74.407582938388629</v>
      </c>
      <c r="H146" s="6"/>
      <c r="N146" s="12">
        <f>(N144/P144)*100</f>
        <v>32.682926829268297</v>
      </c>
      <c r="O146" s="13">
        <f>(O144/P144)*100</f>
        <v>67.317073170731717</v>
      </c>
      <c r="P146" s="6"/>
    </row>
    <row r="149" spans="2:16" x14ac:dyDescent="0.2">
      <c r="B149" t="s">
        <v>0</v>
      </c>
      <c r="C149" s="10">
        <v>13</v>
      </c>
      <c r="E149" t="s">
        <v>23</v>
      </c>
    </row>
    <row r="150" spans="2:16" x14ac:dyDescent="0.2">
      <c r="B150" t="s">
        <v>1</v>
      </c>
      <c r="C150" s="10" t="s">
        <v>56</v>
      </c>
      <c r="E150" t="s">
        <v>15</v>
      </c>
      <c r="F150">
        <v>29</v>
      </c>
      <c r="H150" t="s">
        <v>17</v>
      </c>
      <c r="I150" s="10">
        <v>10</v>
      </c>
      <c r="K150" t="s">
        <v>13</v>
      </c>
      <c r="L150" t="s">
        <v>57</v>
      </c>
    </row>
    <row r="151" spans="2:16" x14ac:dyDescent="0.2">
      <c r="B151" t="s">
        <v>2</v>
      </c>
      <c r="C151" s="10" t="s">
        <v>26</v>
      </c>
      <c r="E151" t="s">
        <v>47</v>
      </c>
      <c r="F151">
        <v>31</v>
      </c>
      <c r="H151" t="s">
        <v>48</v>
      </c>
      <c r="I151" s="10">
        <v>10</v>
      </c>
    </row>
    <row r="152" spans="2:16" ht="17" thickBot="1" x14ac:dyDescent="0.25"/>
    <row r="153" spans="2:16" x14ac:dyDescent="0.2">
      <c r="F153" s="19" t="s">
        <v>9</v>
      </c>
      <c r="G153" s="20"/>
      <c r="H153" s="21"/>
      <c r="J153" s="11"/>
      <c r="N153" s="22" t="s">
        <v>11</v>
      </c>
      <c r="O153" s="23"/>
      <c r="P153" s="24"/>
    </row>
    <row r="154" spans="2:16" x14ac:dyDescent="0.2">
      <c r="F154" s="2" t="s">
        <v>4</v>
      </c>
      <c r="G154" s="1" t="s">
        <v>5</v>
      </c>
      <c r="H154" s="3" t="s">
        <v>6</v>
      </c>
      <c r="N154" s="2" t="s">
        <v>4</v>
      </c>
      <c r="O154" s="1" t="s">
        <v>5</v>
      </c>
      <c r="P154" s="3" t="s">
        <v>6</v>
      </c>
    </row>
    <row r="155" spans="2:16" x14ac:dyDescent="0.2">
      <c r="F155" s="2">
        <v>56</v>
      </c>
      <c r="G155" s="1">
        <f>H155-F155</f>
        <v>172</v>
      </c>
      <c r="H155" s="3">
        <v>228</v>
      </c>
      <c r="N155" s="2">
        <v>127</v>
      </c>
      <c r="O155" s="1">
        <f>P155-N155</f>
        <v>112</v>
      </c>
      <c r="P155" s="3">
        <v>239</v>
      </c>
    </row>
    <row r="156" spans="2:16" x14ac:dyDescent="0.2">
      <c r="F156" s="2" t="s">
        <v>7</v>
      </c>
      <c r="G156" s="1" t="s">
        <v>8</v>
      </c>
      <c r="H156" s="3"/>
      <c r="N156" s="2" t="s">
        <v>7</v>
      </c>
      <c r="O156" s="1" t="s">
        <v>8</v>
      </c>
      <c r="P156" s="3"/>
    </row>
    <row r="157" spans="2:16" ht="17" thickBot="1" x14ac:dyDescent="0.25">
      <c r="F157" s="4">
        <f>(F155/H155)*100</f>
        <v>24.561403508771928</v>
      </c>
      <c r="G157" s="5">
        <f>(G155/H155)*100</f>
        <v>75.438596491228068</v>
      </c>
      <c r="H157" s="6"/>
      <c r="N157" s="4">
        <f>(N155/P155)*100</f>
        <v>53.138075313807533</v>
      </c>
      <c r="O157" s="5">
        <f>(O155/P155)*100</f>
        <v>46.861924686192467</v>
      </c>
      <c r="P157" s="6"/>
    </row>
    <row r="160" spans="2:16" x14ac:dyDescent="0.2">
      <c r="B160" t="s">
        <v>0</v>
      </c>
      <c r="C160" s="10">
        <v>14</v>
      </c>
      <c r="E160" t="s">
        <v>23</v>
      </c>
    </row>
    <row r="161" spans="2:16" x14ac:dyDescent="0.2">
      <c r="B161" t="s">
        <v>1</v>
      </c>
      <c r="C161" s="10" t="s">
        <v>60</v>
      </c>
      <c r="E161" t="s">
        <v>15</v>
      </c>
      <c r="F161">
        <v>36</v>
      </c>
      <c r="H161" t="s">
        <v>17</v>
      </c>
      <c r="I161" s="10" t="s">
        <v>16</v>
      </c>
      <c r="K161" t="s">
        <v>13</v>
      </c>
      <c r="L161" t="s">
        <v>32</v>
      </c>
    </row>
    <row r="162" spans="2:16" x14ac:dyDescent="0.2">
      <c r="B162" t="s">
        <v>2</v>
      </c>
      <c r="C162" s="10" t="s">
        <v>12</v>
      </c>
      <c r="E162" t="s">
        <v>61</v>
      </c>
      <c r="F162">
        <v>15</v>
      </c>
      <c r="H162" t="s">
        <v>62</v>
      </c>
      <c r="I162" s="10" t="s">
        <v>16</v>
      </c>
    </row>
    <row r="163" spans="2:16" ht="17" thickBot="1" x14ac:dyDescent="0.25"/>
    <row r="164" spans="2:16" x14ac:dyDescent="0.2">
      <c r="F164" s="19" t="s">
        <v>9</v>
      </c>
      <c r="G164" s="20"/>
      <c r="H164" s="21"/>
      <c r="J164" s="11"/>
      <c r="N164" s="22" t="s">
        <v>11</v>
      </c>
      <c r="O164" s="23"/>
      <c r="P164" s="24"/>
    </row>
    <row r="165" spans="2:16" x14ac:dyDescent="0.2">
      <c r="F165" s="2" t="s">
        <v>4</v>
      </c>
      <c r="G165" s="1" t="s">
        <v>5</v>
      </c>
      <c r="H165" s="3" t="s">
        <v>6</v>
      </c>
      <c r="N165" s="2" t="s">
        <v>4</v>
      </c>
      <c r="O165" s="1" t="s">
        <v>5</v>
      </c>
      <c r="P165" s="3" t="s">
        <v>6</v>
      </c>
    </row>
    <row r="166" spans="2:16" x14ac:dyDescent="0.2">
      <c r="F166" s="2">
        <v>91</v>
      </c>
      <c r="G166" s="1">
        <v>128</v>
      </c>
      <c r="H166" s="3">
        <f>F166+G166</f>
        <v>219</v>
      </c>
      <c r="N166" s="2">
        <v>155</v>
      </c>
      <c r="O166" s="1">
        <v>53</v>
      </c>
      <c r="P166" s="3">
        <f>N166+O166</f>
        <v>208</v>
      </c>
    </row>
    <row r="167" spans="2:16" x14ac:dyDescent="0.2">
      <c r="F167" s="2" t="s">
        <v>7</v>
      </c>
      <c r="G167" s="1" t="s">
        <v>8</v>
      </c>
      <c r="H167" s="3"/>
      <c r="N167" s="2" t="s">
        <v>7</v>
      </c>
      <c r="O167" s="1" t="s">
        <v>8</v>
      </c>
      <c r="P167" s="3"/>
    </row>
    <row r="168" spans="2:16" ht="17" thickBot="1" x14ac:dyDescent="0.25">
      <c r="F168" s="12">
        <f>(F166/H166)*100</f>
        <v>41.55251141552511</v>
      </c>
      <c r="G168" s="13">
        <f>(G166/H166)*100</f>
        <v>58.447488584474883</v>
      </c>
      <c r="H168" s="6"/>
      <c r="N168" s="12">
        <f>(N166/P166)*100</f>
        <v>74.519230769230774</v>
      </c>
      <c r="O168" s="13">
        <f>(O166/P166)*100</f>
        <v>25.48076923076923</v>
      </c>
      <c r="P168" s="6"/>
    </row>
    <row r="171" spans="2:16" x14ac:dyDescent="0.2">
      <c r="B171" t="s">
        <v>0</v>
      </c>
      <c r="C171" s="10">
        <v>15</v>
      </c>
      <c r="E171" t="s">
        <v>23</v>
      </c>
    </row>
    <row r="172" spans="2:16" x14ac:dyDescent="0.2">
      <c r="B172" t="s">
        <v>1</v>
      </c>
      <c r="C172" s="10" t="s">
        <v>63</v>
      </c>
      <c r="E172" t="s">
        <v>15</v>
      </c>
      <c r="F172">
        <v>40</v>
      </c>
      <c r="H172" t="s">
        <v>17</v>
      </c>
      <c r="I172" s="10" t="s">
        <v>45</v>
      </c>
      <c r="K172" t="s">
        <v>13</v>
      </c>
      <c r="L172" t="s">
        <v>57</v>
      </c>
    </row>
    <row r="173" spans="2:16" x14ac:dyDescent="0.2">
      <c r="B173" t="s">
        <v>2</v>
      </c>
      <c r="C173" s="10" t="s">
        <v>12</v>
      </c>
      <c r="E173" t="s">
        <v>61</v>
      </c>
      <c r="F173">
        <v>19</v>
      </c>
      <c r="H173" t="s">
        <v>62</v>
      </c>
      <c r="I173" s="10" t="s">
        <v>45</v>
      </c>
    </row>
    <row r="174" spans="2:16" ht="17" thickBot="1" x14ac:dyDescent="0.25"/>
    <row r="175" spans="2:16" x14ac:dyDescent="0.2">
      <c r="F175" s="19" t="s">
        <v>9</v>
      </c>
      <c r="G175" s="20"/>
      <c r="H175" s="21"/>
      <c r="J175" s="11"/>
      <c r="N175" s="22" t="s">
        <v>11</v>
      </c>
      <c r="O175" s="23"/>
      <c r="P175" s="24"/>
    </row>
    <row r="176" spans="2:16" x14ac:dyDescent="0.2">
      <c r="F176" s="2" t="s">
        <v>4</v>
      </c>
      <c r="G176" s="1" t="s">
        <v>5</v>
      </c>
      <c r="H176" s="3" t="s">
        <v>6</v>
      </c>
      <c r="N176" s="2" t="s">
        <v>4</v>
      </c>
      <c r="O176" s="1" t="s">
        <v>5</v>
      </c>
      <c r="P176" s="3" t="s">
        <v>6</v>
      </c>
    </row>
    <row r="177" spans="2:16" x14ac:dyDescent="0.2">
      <c r="F177" s="2">
        <v>66</v>
      </c>
      <c r="G177" s="1">
        <v>138</v>
      </c>
      <c r="H177" s="3">
        <f>F177+G177</f>
        <v>204</v>
      </c>
      <c r="N177" s="2">
        <v>71</v>
      </c>
      <c r="O177" s="1">
        <v>132</v>
      </c>
      <c r="P177" s="3">
        <f>N177+O177</f>
        <v>203</v>
      </c>
    </row>
    <row r="178" spans="2:16" x14ac:dyDescent="0.2">
      <c r="F178" s="2" t="s">
        <v>7</v>
      </c>
      <c r="G178" s="1" t="s">
        <v>8</v>
      </c>
      <c r="H178" s="3"/>
      <c r="N178" s="2" t="s">
        <v>7</v>
      </c>
      <c r="O178" s="1" t="s">
        <v>8</v>
      </c>
      <c r="P178" s="3"/>
    </row>
    <row r="179" spans="2:16" ht="17" thickBot="1" x14ac:dyDescent="0.25">
      <c r="F179" s="12">
        <f>(F177/H177)*100</f>
        <v>32.352941176470587</v>
      </c>
      <c r="G179" s="13">
        <f>(G177/H177)*100</f>
        <v>67.64705882352942</v>
      </c>
      <c r="H179" s="6"/>
      <c r="N179" s="12">
        <f>(N177/P177)*100</f>
        <v>34.975369458128078</v>
      </c>
      <c r="O179" s="13">
        <f>(O177/P177)*100</f>
        <v>65.024630541871915</v>
      </c>
      <c r="P179" s="6"/>
    </row>
    <row r="182" spans="2:16" x14ac:dyDescent="0.2">
      <c r="B182" t="s">
        <v>0</v>
      </c>
      <c r="C182" s="10">
        <v>16</v>
      </c>
      <c r="E182" t="s">
        <v>23</v>
      </c>
    </row>
    <row r="183" spans="2:16" x14ac:dyDescent="0.2">
      <c r="B183" t="s">
        <v>1</v>
      </c>
      <c r="C183" s="10" t="s">
        <v>64</v>
      </c>
      <c r="E183" t="s">
        <v>15</v>
      </c>
      <c r="F183">
        <v>41</v>
      </c>
      <c r="H183" t="s">
        <v>17</v>
      </c>
      <c r="I183" s="10" t="s">
        <v>45</v>
      </c>
      <c r="K183" t="s">
        <v>13</v>
      </c>
      <c r="L183" t="s">
        <v>14</v>
      </c>
    </row>
    <row r="184" spans="2:16" x14ac:dyDescent="0.2">
      <c r="B184" t="s">
        <v>2</v>
      </c>
      <c r="C184" s="10" t="s">
        <v>12</v>
      </c>
      <c r="E184" t="s">
        <v>61</v>
      </c>
      <c r="F184">
        <v>20</v>
      </c>
      <c r="H184" t="s">
        <v>62</v>
      </c>
      <c r="I184" s="10" t="s">
        <v>45</v>
      </c>
    </row>
    <row r="185" spans="2:16" ht="17" thickBot="1" x14ac:dyDescent="0.25"/>
    <row r="186" spans="2:16" x14ac:dyDescent="0.2">
      <c r="F186" s="19" t="s">
        <v>9</v>
      </c>
      <c r="G186" s="20"/>
      <c r="H186" s="21"/>
      <c r="J186" s="11"/>
      <c r="N186" s="22" t="s">
        <v>11</v>
      </c>
      <c r="O186" s="23"/>
      <c r="P186" s="24"/>
    </row>
    <row r="187" spans="2:16" x14ac:dyDescent="0.2">
      <c r="F187" s="2" t="s">
        <v>4</v>
      </c>
      <c r="G187" s="1" t="s">
        <v>5</v>
      </c>
      <c r="H187" s="3" t="s">
        <v>6</v>
      </c>
      <c r="N187" s="2" t="s">
        <v>4</v>
      </c>
      <c r="O187" s="1" t="s">
        <v>5</v>
      </c>
      <c r="P187" s="3" t="s">
        <v>6</v>
      </c>
    </row>
    <row r="188" spans="2:16" x14ac:dyDescent="0.2">
      <c r="F188" s="2">
        <v>98</v>
      </c>
      <c r="G188" s="1">
        <v>105</v>
      </c>
      <c r="H188" s="3">
        <f>F188+G188</f>
        <v>203</v>
      </c>
      <c r="N188" s="2">
        <v>168</v>
      </c>
      <c r="O188" s="1">
        <v>47</v>
      </c>
      <c r="P188" s="3">
        <f>N188+O188</f>
        <v>215</v>
      </c>
    </row>
    <row r="189" spans="2:16" x14ac:dyDescent="0.2">
      <c r="F189" s="2" t="s">
        <v>7</v>
      </c>
      <c r="G189" s="1" t="s">
        <v>8</v>
      </c>
      <c r="H189" s="3"/>
      <c r="N189" s="2" t="s">
        <v>7</v>
      </c>
      <c r="O189" s="1" t="s">
        <v>8</v>
      </c>
      <c r="P189" s="3"/>
    </row>
    <row r="190" spans="2:16" ht="17" thickBot="1" x14ac:dyDescent="0.25">
      <c r="F190" s="12">
        <f>(F188/H188)*100</f>
        <v>48.275862068965516</v>
      </c>
      <c r="G190" s="13">
        <f>(G188/H188)*100</f>
        <v>51.724137931034484</v>
      </c>
      <c r="H190" s="6"/>
      <c r="N190" s="12">
        <f>(N188/P188)*100</f>
        <v>78.139534883720927</v>
      </c>
      <c r="O190" s="13">
        <f>(O188/P188)*100</f>
        <v>21.86046511627907</v>
      </c>
      <c r="P190" s="6"/>
    </row>
  </sheetData>
  <mergeCells count="34">
    <mergeCell ref="F31:H31"/>
    <mergeCell ref="N31:P31"/>
    <mergeCell ref="F108:H108"/>
    <mergeCell ref="N108:P108"/>
    <mergeCell ref="F69:H69"/>
    <mergeCell ref="N69:P69"/>
    <mergeCell ref="F82:H82"/>
    <mergeCell ref="N82:P82"/>
    <mergeCell ref="F44:H44"/>
    <mergeCell ref="N44:P44"/>
    <mergeCell ref="F57:H57"/>
    <mergeCell ref="N57:P57"/>
    <mergeCell ref="F95:H95"/>
    <mergeCell ref="N95:P95"/>
    <mergeCell ref="B6:D6"/>
    <mergeCell ref="F6:H6"/>
    <mergeCell ref="J6:L6"/>
    <mergeCell ref="N6:P6"/>
    <mergeCell ref="F18:H18"/>
    <mergeCell ref="N18:P18"/>
    <mergeCell ref="F186:H186"/>
    <mergeCell ref="N186:P186"/>
    <mergeCell ref="F142:H142"/>
    <mergeCell ref="N142:P142"/>
    <mergeCell ref="F120:H120"/>
    <mergeCell ref="N120:P120"/>
    <mergeCell ref="F131:H131"/>
    <mergeCell ref="N131:P131"/>
    <mergeCell ref="F175:H175"/>
    <mergeCell ref="N175:P175"/>
    <mergeCell ref="F164:H164"/>
    <mergeCell ref="N164:P164"/>
    <mergeCell ref="F153:H153"/>
    <mergeCell ref="N153:P1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1ACA-8C67-8A48-9F6B-7F164E479BAE}">
  <dimension ref="B1:P184"/>
  <sheetViews>
    <sheetView workbookViewId="0">
      <selection activeCell="C177" sqref="C177"/>
    </sheetView>
  </sheetViews>
  <sheetFormatPr baseColWidth="10" defaultRowHeight="16" x14ac:dyDescent="0.2"/>
  <cols>
    <col min="1" max="1" width="11.83203125" customWidth="1"/>
    <col min="2" max="2" width="12.5" customWidth="1"/>
    <col min="3" max="3" width="16.33203125" customWidth="1"/>
    <col min="5" max="5" width="13.6640625" customWidth="1"/>
    <col min="6" max="6" width="12.5" customWidth="1"/>
    <col min="7" max="7" width="16.33203125" customWidth="1"/>
    <col min="8" max="8" width="12.6640625" customWidth="1"/>
    <col min="10" max="10" width="12.5" customWidth="1"/>
    <col min="11" max="11" width="16.33203125" customWidth="1"/>
    <col min="14" max="14" width="12.5" customWidth="1"/>
    <col min="15" max="15" width="16.33203125" customWidth="1"/>
  </cols>
  <sheetData>
    <row r="1" spans="2:16" x14ac:dyDescent="0.2">
      <c r="E1" t="s">
        <v>23</v>
      </c>
    </row>
    <row r="2" spans="2:16" x14ac:dyDescent="0.2">
      <c r="B2" t="s">
        <v>0</v>
      </c>
      <c r="C2">
        <v>1</v>
      </c>
      <c r="E2" t="s">
        <v>15</v>
      </c>
      <c r="F2">
        <v>33</v>
      </c>
      <c r="H2" t="s">
        <v>17</v>
      </c>
      <c r="I2" s="10" t="s">
        <v>21</v>
      </c>
      <c r="K2" t="s">
        <v>13</v>
      </c>
      <c r="L2" t="s">
        <v>14</v>
      </c>
    </row>
    <row r="3" spans="2:16" x14ac:dyDescent="0.2">
      <c r="B3" t="s">
        <v>1</v>
      </c>
      <c r="C3" s="10" t="s">
        <v>20</v>
      </c>
      <c r="E3" t="s">
        <v>22</v>
      </c>
      <c r="F3">
        <v>32</v>
      </c>
      <c r="H3" t="s">
        <v>18</v>
      </c>
      <c r="I3" s="10" t="s">
        <v>21</v>
      </c>
    </row>
    <row r="4" spans="2:16" x14ac:dyDescent="0.2">
      <c r="B4" t="s">
        <v>2</v>
      </c>
      <c r="C4" s="10" t="s">
        <v>12</v>
      </c>
    </row>
    <row r="5" spans="2:16" ht="17" thickBot="1" x14ac:dyDescent="0.25"/>
    <row r="6" spans="2:16" ht="17" thickBot="1" x14ac:dyDescent="0.25">
      <c r="B6" s="25" t="s">
        <v>3</v>
      </c>
      <c r="C6" s="26"/>
      <c r="D6" s="27"/>
      <c r="F6" s="19" t="s">
        <v>9</v>
      </c>
      <c r="G6" s="20"/>
      <c r="H6" s="21"/>
      <c r="J6" s="28" t="s">
        <v>10</v>
      </c>
      <c r="K6" s="29"/>
      <c r="L6" s="30"/>
      <c r="N6" s="22" t="s">
        <v>11</v>
      </c>
      <c r="O6" s="23"/>
      <c r="P6" s="24"/>
    </row>
    <row r="7" spans="2:16" x14ac:dyDescent="0.2">
      <c r="B7" s="7" t="s">
        <v>4</v>
      </c>
      <c r="C7" s="8" t="s">
        <v>5</v>
      </c>
      <c r="D7" s="9" t="s">
        <v>6</v>
      </c>
      <c r="F7" s="2" t="s">
        <v>4</v>
      </c>
      <c r="G7" s="1" t="s">
        <v>5</v>
      </c>
      <c r="H7" s="3" t="s">
        <v>6</v>
      </c>
      <c r="J7" s="2" t="s">
        <v>4</v>
      </c>
      <c r="K7" s="1" t="s">
        <v>5</v>
      </c>
      <c r="L7" s="3" t="s">
        <v>6</v>
      </c>
      <c r="N7" s="2" t="s">
        <v>4</v>
      </c>
      <c r="O7" s="1" t="s">
        <v>5</v>
      </c>
      <c r="P7" s="3" t="s">
        <v>6</v>
      </c>
    </row>
    <row r="8" spans="2:16" x14ac:dyDescent="0.2">
      <c r="B8" s="2">
        <v>3</v>
      </c>
      <c r="C8" s="1">
        <v>197</v>
      </c>
      <c r="D8" s="3">
        <f>B8+C8</f>
        <v>200</v>
      </c>
      <c r="F8" s="2">
        <v>90</v>
      </c>
      <c r="G8" s="1">
        <v>139</v>
      </c>
      <c r="H8" s="3">
        <f>F8+G8</f>
        <v>229</v>
      </c>
      <c r="J8" s="2">
        <v>2</v>
      </c>
      <c r="K8" s="1">
        <v>202</v>
      </c>
      <c r="L8" s="3">
        <f>J8+K8</f>
        <v>204</v>
      </c>
      <c r="N8" s="2">
        <v>132</v>
      </c>
      <c r="O8" s="1">
        <v>92</v>
      </c>
      <c r="P8" s="3">
        <f>N8+O8</f>
        <v>224</v>
      </c>
    </row>
    <row r="9" spans="2:16" x14ac:dyDescent="0.2">
      <c r="B9" s="2" t="s">
        <v>7</v>
      </c>
      <c r="C9" s="1" t="s">
        <v>8</v>
      </c>
      <c r="D9" s="3"/>
      <c r="F9" s="2" t="s">
        <v>7</v>
      </c>
      <c r="G9" s="1" t="s">
        <v>8</v>
      </c>
      <c r="H9" s="3"/>
      <c r="J9" s="2" t="s">
        <v>7</v>
      </c>
      <c r="K9" s="1" t="s">
        <v>8</v>
      </c>
      <c r="L9" s="3"/>
      <c r="N9" s="2" t="s">
        <v>7</v>
      </c>
      <c r="O9" s="1" t="s">
        <v>8</v>
      </c>
      <c r="P9" s="3"/>
    </row>
    <row r="10" spans="2:16" ht="17" thickBot="1" x14ac:dyDescent="0.25">
      <c r="B10" s="4">
        <f>(B8/D8)*100</f>
        <v>1.5</v>
      </c>
      <c r="C10" s="5">
        <f>(C8/D8)*100</f>
        <v>98.5</v>
      </c>
      <c r="D10" s="6"/>
      <c r="F10" s="4">
        <f>(F8/H8)*100</f>
        <v>39.301310043668117</v>
      </c>
      <c r="G10" s="5">
        <f>(G8/H8)*100</f>
        <v>60.698689956331876</v>
      </c>
      <c r="H10" s="6"/>
      <c r="J10" s="4">
        <f>(J8/L8)*100</f>
        <v>0.98039215686274506</v>
      </c>
      <c r="K10" s="5">
        <f>(K8/L8)*100</f>
        <v>99.019607843137265</v>
      </c>
      <c r="L10" s="6"/>
      <c r="N10" s="4">
        <f>(N8/P8)*100</f>
        <v>58.928571428571431</v>
      </c>
      <c r="O10" s="5">
        <f>(O8/P8)*100</f>
        <v>41.071428571428569</v>
      </c>
      <c r="P10" s="6"/>
    </row>
    <row r="14" spans="2:16" x14ac:dyDescent="0.2">
      <c r="B14" t="s">
        <v>0</v>
      </c>
      <c r="C14" s="10">
        <v>2</v>
      </c>
      <c r="E14" t="s">
        <v>23</v>
      </c>
    </row>
    <row r="15" spans="2:16" x14ac:dyDescent="0.2">
      <c r="B15" t="s">
        <v>1</v>
      </c>
      <c r="C15" s="10" t="s">
        <v>27</v>
      </c>
      <c r="E15" t="s">
        <v>15</v>
      </c>
      <c r="F15">
        <v>30</v>
      </c>
      <c r="H15" t="s">
        <v>17</v>
      </c>
      <c r="I15" s="10">
        <v>8</v>
      </c>
      <c r="K15" t="s">
        <v>13</v>
      </c>
      <c r="L15" t="s">
        <v>14</v>
      </c>
    </row>
    <row r="16" spans="2:16" x14ac:dyDescent="0.2">
      <c r="B16" t="s">
        <v>2</v>
      </c>
      <c r="C16" s="10" t="s">
        <v>26</v>
      </c>
      <c r="E16" t="s">
        <v>24</v>
      </c>
      <c r="F16">
        <v>28</v>
      </c>
      <c r="H16" t="s">
        <v>18</v>
      </c>
      <c r="I16" s="10">
        <v>8</v>
      </c>
    </row>
    <row r="17" spans="2:16" ht="17" thickBot="1" x14ac:dyDescent="0.25"/>
    <row r="18" spans="2:16" x14ac:dyDescent="0.2">
      <c r="F18" s="19" t="s">
        <v>9</v>
      </c>
      <c r="G18" s="20"/>
      <c r="H18" s="21"/>
      <c r="J18" s="11"/>
      <c r="N18" s="22" t="s">
        <v>11</v>
      </c>
      <c r="O18" s="23"/>
      <c r="P18" s="24"/>
    </row>
    <row r="19" spans="2:16" x14ac:dyDescent="0.2">
      <c r="F19" s="2" t="s">
        <v>4</v>
      </c>
      <c r="G19" s="1" t="s">
        <v>5</v>
      </c>
      <c r="H19" s="3" t="s">
        <v>6</v>
      </c>
      <c r="N19" s="2" t="s">
        <v>4</v>
      </c>
      <c r="O19" s="1" t="s">
        <v>5</v>
      </c>
      <c r="P19" s="3" t="s">
        <v>6</v>
      </c>
    </row>
    <row r="20" spans="2:16" x14ac:dyDescent="0.2">
      <c r="F20" s="2">
        <v>145</v>
      </c>
      <c r="G20" s="1">
        <f>H20-F20</f>
        <v>78</v>
      </c>
      <c r="H20" s="3">
        <v>223</v>
      </c>
      <c r="N20" s="2">
        <v>170</v>
      </c>
      <c r="O20" s="1">
        <f>P20-N20</f>
        <v>55</v>
      </c>
      <c r="P20" s="3">
        <v>225</v>
      </c>
    </row>
    <row r="21" spans="2:16" x14ac:dyDescent="0.2">
      <c r="F21" s="2" t="s">
        <v>7</v>
      </c>
      <c r="G21" s="1" t="s">
        <v>8</v>
      </c>
      <c r="H21" s="3"/>
      <c r="N21" s="2" t="s">
        <v>7</v>
      </c>
      <c r="O21" s="1" t="s">
        <v>8</v>
      </c>
      <c r="P21" s="3"/>
    </row>
    <row r="22" spans="2:16" ht="17" thickBot="1" x14ac:dyDescent="0.25">
      <c r="F22" s="4">
        <f>(F20/H20)*100</f>
        <v>65.02242152466367</v>
      </c>
      <c r="G22" s="5">
        <f>(G20/H20)*100</f>
        <v>34.977578475336323</v>
      </c>
      <c r="H22" s="6"/>
      <c r="N22" s="4">
        <f>(N20/P20)*100</f>
        <v>75.555555555555557</v>
      </c>
      <c r="O22" s="5">
        <f>(O20/P20)*100</f>
        <v>24.444444444444443</v>
      </c>
      <c r="P22" s="6"/>
    </row>
    <row r="27" spans="2:16" x14ac:dyDescent="0.2">
      <c r="B27" t="s">
        <v>0</v>
      </c>
      <c r="C27" s="10">
        <v>3</v>
      </c>
      <c r="E27" t="s">
        <v>23</v>
      </c>
    </row>
    <row r="28" spans="2:16" x14ac:dyDescent="0.2">
      <c r="B28" t="s">
        <v>1</v>
      </c>
      <c r="C28" s="10" t="s">
        <v>27</v>
      </c>
      <c r="E28" t="s">
        <v>15</v>
      </c>
      <c r="F28">
        <v>30</v>
      </c>
      <c r="H28" t="s">
        <v>17</v>
      </c>
      <c r="I28" s="10">
        <v>8</v>
      </c>
      <c r="K28" t="s">
        <v>13</v>
      </c>
      <c r="L28" t="s">
        <v>14</v>
      </c>
    </row>
    <row r="29" spans="2:16" x14ac:dyDescent="0.2">
      <c r="B29" t="s">
        <v>2</v>
      </c>
      <c r="C29" s="10" t="s">
        <v>26</v>
      </c>
      <c r="E29" t="s">
        <v>24</v>
      </c>
      <c r="F29">
        <v>28</v>
      </c>
      <c r="H29" t="s">
        <v>18</v>
      </c>
      <c r="I29" s="10">
        <v>8</v>
      </c>
    </row>
    <row r="30" spans="2:16" ht="17" thickBot="1" x14ac:dyDescent="0.25"/>
    <row r="31" spans="2:16" x14ac:dyDescent="0.2">
      <c r="F31" s="19" t="s">
        <v>9</v>
      </c>
      <c r="G31" s="20"/>
      <c r="H31" s="21"/>
      <c r="J31" s="11"/>
      <c r="N31" s="22" t="s">
        <v>11</v>
      </c>
      <c r="O31" s="23"/>
      <c r="P31" s="24"/>
    </row>
    <row r="32" spans="2:16" x14ac:dyDescent="0.2">
      <c r="F32" s="2" t="s">
        <v>4</v>
      </c>
      <c r="G32" s="1" t="s">
        <v>5</v>
      </c>
      <c r="H32" s="3" t="s">
        <v>6</v>
      </c>
      <c r="N32" s="2" t="s">
        <v>4</v>
      </c>
      <c r="O32" s="1" t="s">
        <v>5</v>
      </c>
      <c r="P32" s="3" t="s">
        <v>6</v>
      </c>
    </row>
    <row r="33" spans="2:16" x14ac:dyDescent="0.2">
      <c r="F33" s="2">
        <v>125</v>
      </c>
      <c r="G33" s="1">
        <f>H33-F33</f>
        <v>114</v>
      </c>
      <c r="H33" s="3">
        <v>239</v>
      </c>
      <c r="N33" s="2">
        <v>180</v>
      </c>
      <c r="O33" s="1">
        <f>P33-N33</f>
        <v>45</v>
      </c>
      <c r="P33" s="3">
        <v>225</v>
      </c>
    </row>
    <row r="34" spans="2:16" x14ac:dyDescent="0.2">
      <c r="F34" s="2" t="s">
        <v>7</v>
      </c>
      <c r="G34" s="1" t="s">
        <v>8</v>
      </c>
      <c r="H34" s="3"/>
      <c r="N34" s="2" t="s">
        <v>7</v>
      </c>
      <c r="O34" s="1" t="s">
        <v>8</v>
      </c>
      <c r="P34" s="3"/>
    </row>
    <row r="35" spans="2:16" ht="17" thickBot="1" x14ac:dyDescent="0.25">
      <c r="F35" s="4">
        <f>(F33/H33)*100</f>
        <v>52.30125523012552</v>
      </c>
      <c r="G35" s="5">
        <f>(G33/H33)*100</f>
        <v>47.69874476987448</v>
      </c>
      <c r="H35" s="6"/>
      <c r="N35" s="4">
        <f>(N33/P33)*100</f>
        <v>80</v>
      </c>
      <c r="O35" s="5">
        <f>(O33/P33)*100</f>
        <v>20</v>
      </c>
      <c r="P35" s="6"/>
    </row>
    <row r="39" spans="2:16" x14ac:dyDescent="0.2">
      <c r="B39" t="s">
        <v>0</v>
      </c>
      <c r="C39" s="10">
        <v>4</v>
      </c>
      <c r="E39" t="s">
        <v>23</v>
      </c>
    </row>
    <row r="40" spans="2:16" x14ac:dyDescent="0.2">
      <c r="B40" t="s">
        <v>1</v>
      </c>
      <c r="C40" s="10" t="s">
        <v>33</v>
      </c>
      <c r="E40" t="s">
        <v>15</v>
      </c>
      <c r="F40">
        <v>37</v>
      </c>
      <c r="H40" t="s">
        <v>17</v>
      </c>
      <c r="I40" s="10">
        <v>9</v>
      </c>
      <c r="K40" t="s">
        <v>13</v>
      </c>
      <c r="L40" t="s">
        <v>14</v>
      </c>
    </row>
    <row r="41" spans="2:16" x14ac:dyDescent="0.2">
      <c r="B41" t="s">
        <v>2</v>
      </c>
      <c r="C41" s="10" t="s">
        <v>26</v>
      </c>
      <c r="E41" t="s">
        <v>24</v>
      </c>
      <c r="F41">
        <v>35</v>
      </c>
      <c r="H41" t="s">
        <v>18</v>
      </c>
      <c r="I41" s="10">
        <v>9</v>
      </c>
    </row>
    <row r="42" spans="2:16" ht="17" thickBot="1" x14ac:dyDescent="0.25"/>
    <row r="43" spans="2:16" x14ac:dyDescent="0.2">
      <c r="F43" s="19" t="s">
        <v>9</v>
      </c>
      <c r="G43" s="20"/>
      <c r="H43" s="21"/>
      <c r="J43" s="11"/>
      <c r="N43" s="22" t="s">
        <v>11</v>
      </c>
      <c r="O43" s="23"/>
      <c r="P43" s="24"/>
    </row>
    <row r="44" spans="2:16" x14ac:dyDescent="0.2">
      <c r="F44" s="2" t="s">
        <v>4</v>
      </c>
      <c r="G44" s="1" t="s">
        <v>5</v>
      </c>
      <c r="H44" s="3" t="s">
        <v>6</v>
      </c>
      <c r="N44" s="2" t="s">
        <v>4</v>
      </c>
      <c r="O44" s="1" t="s">
        <v>5</v>
      </c>
      <c r="P44" s="3" t="s">
        <v>6</v>
      </c>
    </row>
    <row r="45" spans="2:16" x14ac:dyDescent="0.2">
      <c r="F45" s="2">
        <v>164</v>
      </c>
      <c r="G45" s="1">
        <f>H45-F45</f>
        <v>45</v>
      </c>
      <c r="H45" s="3">
        <v>209</v>
      </c>
      <c r="N45" s="2">
        <v>181</v>
      </c>
      <c r="O45" s="1">
        <f>P45-N45</f>
        <v>27</v>
      </c>
      <c r="P45" s="3">
        <v>208</v>
      </c>
    </row>
    <row r="46" spans="2:16" x14ac:dyDescent="0.2">
      <c r="F46" s="2" t="s">
        <v>7</v>
      </c>
      <c r="G46" s="1" t="s">
        <v>8</v>
      </c>
      <c r="H46" s="3"/>
      <c r="N46" s="2" t="s">
        <v>7</v>
      </c>
      <c r="O46" s="1" t="s">
        <v>8</v>
      </c>
      <c r="P46" s="3"/>
    </row>
    <row r="47" spans="2:16" ht="17" thickBot="1" x14ac:dyDescent="0.25">
      <c r="F47" s="4">
        <f>(F45/H45)*100</f>
        <v>78.4688995215311</v>
      </c>
      <c r="G47" s="5">
        <f>(G45/H45)*100</f>
        <v>21.5311004784689</v>
      </c>
      <c r="H47" s="6"/>
      <c r="N47" s="4">
        <f>(N45/P45)*100</f>
        <v>87.019230769230774</v>
      </c>
      <c r="O47" s="5">
        <f>(O45/P45)*100</f>
        <v>12.980769230769232</v>
      </c>
      <c r="P47" s="6"/>
    </row>
    <row r="52" spans="2:16" x14ac:dyDescent="0.2">
      <c r="B52" t="s">
        <v>0</v>
      </c>
      <c r="C52" s="10">
        <v>5</v>
      </c>
      <c r="E52" t="s">
        <v>23</v>
      </c>
    </row>
    <row r="53" spans="2:16" x14ac:dyDescent="0.2">
      <c r="B53" t="s">
        <v>1</v>
      </c>
      <c r="C53" s="10" t="s">
        <v>33</v>
      </c>
      <c r="E53" t="s">
        <v>15</v>
      </c>
      <c r="F53">
        <v>37</v>
      </c>
      <c r="H53" t="s">
        <v>17</v>
      </c>
      <c r="I53" s="10">
        <v>9</v>
      </c>
      <c r="K53" t="s">
        <v>13</v>
      </c>
      <c r="L53" t="s">
        <v>14</v>
      </c>
    </row>
    <row r="54" spans="2:16" x14ac:dyDescent="0.2">
      <c r="B54" t="s">
        <v>2</v>
      </c>
      <c r="C54" s="10" t="s">
        <v>26</v>
      </c>
      <c r="E54" t="s">
        <v>24</v>
      </c>
      <c r="F54">
        <v>35</v>
      </c>
      <c r="H54" t="s">
        <v>18</v>
      </c>
      <c r="I54" s="10">
        <v>9</v>
      </c>
    </row>
    <row r="55" spans="2:16" ht="17" thickBot="1" x14ac:dyDescent="0.25"/>
    <row r="56" spans="2:16" x14ac:dyDescent="0.2">
      <c r="F56" s="19" t="s">
        <v>9</v>
      </c>
      <c r="G56" s="20"/>
      <c r="H56" s="21"/>
      <c r="J56" s="11"/>
      <c r="N56" s="22" t="s">
        <v>11</v>
      </c>
      <c r="O56" s="23"/>
      <c r="P56" s="24"/>
    </row>
    <row r="57" spans="2:16" x14ac:dyDescent="0.2">
      <c r="F57" s="2" t="s">
        <v>4</v>
      </c>
      <c r="G57" s="1" t="s">
        <v>5</v>
      </c>
      <c r="H57" s="3" t="s">
        <v>6</v>
      </c>
      <c r="N57" s="2" t="s">
        <v>4</v>
      </c>
      <c r="O57" s="1" t="s">
        <v>5</v>
      </c>
      <c r="P57" s="3" t="s">
        <v>6</v>
      </c>
    </row>
    <row r="58" spans="2:16" x14ac:dyDescent="0.2">
      <c r="F58" s="2">
        <v>153</v>
      </c>
      <c r="G58" s="1">
        <f>H58-F58</f>
        <v>50</v>
      </c>
      <c r="H58" s="3">
        <v>203</v>
      </c>
      <c r="N58" s="2">
        <v>189</v>
      </c>
      <c r="O58" s="1">
        <f>P58-N58</f>
        <v>22</v>
      </c>
      <c r="P58" s="3">
        <v>211</v>
      </c>
    </row>
    <row r="59" spans="2:16" x14ac:dyDescent="0.2">
      <c r="F59" s="2" t="s">
        <v>7</v>
      </c>
      <c r="G59" s="1" t="s">
        <v>8</v>
      </c>
      <c r="H59" s="3"/>
      <c r="N59" s="2" t="s">
        <v>7</v>
      </c>
      <c r="O59" s="1" t="s">
        <v>8</v>
      </c>
      <c r="P59" s="3"/>
    </row>
    <row r="60" spans="2:16" ht="17" thickBot="1" x14ac:dyDescent="0.25">
      <c r="F60" s="4">
        <f>(F58/H58)*100</f>
        <v>75.369458128078819</v>
      </c>
      <c r="G60" s="5">
        <f>(G58/H58)*100</f>
        <v>24.630541871921181</v>
      </c>
      <c r="H60" s="6"/>
      <c r="N60" s="4">
        <f>(N58/P58)*100</f>
        <v>89.573459715639814</v>
      </c>
      <c r="O60" s="5">
        <f>(O58/P58)*100</f>
        <v>10.42654028436019</v>
      </c>
      <c r="P60" s="6"/>
    </row>
    <row r="65" spans="2:16" x14ac:dyDescent="0.2">
      <c r="B65" t="s">
        <v>0</v>
      </c>
      <c r="C65" s="10">
        <v>6</v>
      </c>
      <c r="E65" t="s">
        <v>23</v>
      </c>
    </row>
    <row r="66" spans="2:16" x14ac:dyDescent="0.2">
      <c r="B66" t="s">
        <v>1</v>
      </c>
      <c r="C66" s="10" t="s">
        <v>34</v>
      </c>
      <c r="E66" t="s">
        <v>15</v>
      </c>
      <c r="F66">
        <v>40</v>
      </c>
      <c r="H66" t="s">
        <v>17</v>
      </c>
      <c r="I66" s="10">
        <v>10</v>
      </c>
      <c r="K66" t="s">
        <v>13</v>
      </c>
      <c r="L66" t="s">
        <v>30</v>
      </c>
    </row>
    <row r="67" spans="2:16" x14ac:dyDescent="0.2">
      <c r="B67" t="s">
        <v>2</v>
      </c>
      <c r="C67" s="10" t="s">
        <v>12</v>
      </c>
      <c r="E67" t="s">
        <v>24</v>
      </c>
      <c r="F67">
        <v>38</v>
      </c>
      <c r="H67" t="s">
        <v>18</v>
      </c>
      <c r="I67" s="10">
        <v>10</v>
      </c>
    </row>
    <row r="68" spans="2:16" ht="17" thickBot="1" x14ac:dyDescent="0.25"/>
    <row r="69" spans="2:16" x14ac:dyDescent="0.2">
      <c r="F69" s="19" t="s">
        <v>9</v>
      </c>
      <c r="G69" s="20"/>
      <c r="H69" s="21"/>
      <c r="J69" s="11"/>
      <c r="N69" s="22" t="s">
        <v>11</v>
      </c>
      <c r="O69" s="23"/>
      <c r="P69" s="24"/>
    </row>
    <row r="70" spans="2:16" x14ac:dyDescent="0.2">
      <c r="F70" s="2" t="s">
        <v>4</v>
      </c>
      <c r="G70" s="1" t="s">
        <v>5</v>
      </c>
      <c r="H70" s="3" t="s">
        <v>6</v>
      </c>
      <c r="N70" s="2" t="s">
        <v>4</v>
      </c>
      <c r="O70" s="1" t="s">
        <v>5</v>
      </c>
      <c r="P70" s="3" t="s">
        <v>6</v>
      </c>
    </row>
    <row r="71" spans="2:16" x14ac:dyDescent="0.2">
      <c r="F71" s="2">
        <v>175</v>
      </c>
      <c r="G71" s="1">
        <v>31</v>
      </c>
      <c r="H71" s="3">
        <f>F71+G71</f>
        <v>206</v>
      </c>
      <c r="N71" s="2">
        <v>165</v>
      </c>
      <c r="O71" s="1">
        <v>44</v>
      </c>
      <c r="P71" s="3">
        <f>N71+O71</f>
        <v>209</v>
      </c>
    </row>
    <row r="72" spans="2:16" x14ac:dyDescent="0.2">
      <c r="F72" s="2" t="s">
        <v>7</v>
      </c>
      <c r="G72" s="1" t="s">
        <v>8</v>
      </c>
      <c r="H72" s="3"/>
      <c r="N72" s="2" t="s">
        <v>7</v>
      </c>
      <c r="O72" s="1" t="s">
        <v>8</v>
      </c>
      <c r="P72" s="3"/>
    </row>
    <row r="73" spans="2:16" ht="17" thickBot="1" x14ac:dyDescent="0.25">
      <c r="F73" s="4">
        <f>(F71/H71)*100</f>
        <v>84.951456310679603</v>
      </c>
      <c r="G73" s="5">
        <f>(G71/H71)*100</f>
        <v>15.048543689320388</v>
      </c>
      <c r="H73" s="6"/>
      <c r="N73" s="4">
        <f>(N71/P71)*100</f>
        <v>78.94736842105263</v>
      </c>
      <c r="O73" s="5">
        <f>(O71/P71)*100</f>
        <v>21.052631578947366</v>
      </c>
      <c r="P73" s="6"/>
    </row>
    <row r="78" spans="2:16" x14ac:dyDescent="0.2">
      <c r="B78" t="s">
        <v>0</v>
      </c>
      <c r="C78" s="10">
        <v>7</v>
      </c>
      <c r="E78" t="s">
        <v>23</v>
      </c>
    </row>
    <row r="79" spans="2:16" x14ac:dyDescent="0.2">
      <c r="B79" t="s">
        <v>1</v>
      </c>
      <c r="C79" s="10" t="s">
        <v>34</v>
      </c>
      <c r="E79" t="s">
        <v>15</v>
      </c>
      <c r="F79">
        <v>40</v>
      </c>
      <c r="H79" t="s">
        <v>17</v>
      </c>
      <c r="I79" s="10">
        <v>10</v>
      </c>
      <c r="K79" t="s">
        <v>13</v>
      </c>
      <c r="L79" t="s">
        <v>30</v>
      </c>
    </row>
    <row r="80" spans="2:16" x14ac:dyDescent="0.2">
      <c r="B80" t="s">
        <v>2</v>
      </c>
      <c r="C80" s="10" t="s">
        <v>12</v>
      </c>
      <c r="E80" t="s">
        <v>24</v>
      </c>
      <c r="F80">
        <v>38</v>
      </c>
      <c r="H80" t="s">
        <v>18</v>
      </c>
      <c r="I80" s="10">
        <v>10</v>
      </c>
    </row>
    <row r="81" spans="2:16" ht="17" thickBot="1" x14ac:dyDescent="0.25"/>
    <row r="82" spans="2:16" x14ac:dyDescent="0.2">
      <c r="F82" s="19" t="s">
        <v>9</v>
      </c>
      <c r="G82" s="20"/>
      <c r="H82" s="21"/>
      <c r="J82" s="11"/>
      <c r="N82" s="22" t="s">
        <v>11</v>
      </c>
      <c r="O82" s="23"/>
      <c r="P82" s="24"/>
    </row>
    <row r="83" spans="2:16" x14ac:dyDescent="0.2">
      <c r="F83" s="2" t="s">
        <v>4</v>
      </c>
      <c r="G83" s="1" t="s">
        <v>5</v>
      </c>
      <c r="H83" s="3" t="s">
        <v>6</v>
      </c>
      <c r="N83" s="2" t="s">
        <v>4</v>
      </c>
      <c r="O83" s="1" t="s">
        <v>5</v>
      </c>
      <c r="P83" s="3" t="s">
        <v>6</v>
      </c>
    </row>
    <row r="84" spans="2:16" x14ac:dyDescent="0.2">
      <c r="F84" s="2">
        <v>158</v>
      </c>
      <c r="G84" s="1">
        <v>43</v>
      </c>
      <c r="H84" s="3">
        <f>F84+G84</f>
        <v>201</v>
      </c>
      <c r="N84" s="2">
        <v>181</v>
      </c>
      <c r="O84" s="1">
        <v>35</v>
      </c>
      <c r="P84" s="3">
        <f>N84+O84</f>
        <v>216</v>
      </c>
    </row>
    <row r="85" spans="2:16" x14ac:dyDescent="0.2">
      <c r="F85" s="2" t="s">
        <v>7</v>
      </c>
      <c r="G85" s="1" t="s">
        <v>8</v>
      </c>
      <c r="H85" s="3"/>
      <c r="N85" s="2" t="s">
        <v>7</v>
      </c>
      <c r="O85" s="1" t="s">
        <v>8</v>
      </c>
      <c r="P85" s="3"/>
    </row>
    <row r="86" spans="2:16" ht="17" thickBot="1" x14ac:dyDescent="0.25">
      <c r="F86" s="4">
        <f>(F84/H84)*100</f>
        <v>78.606965174129357</v>
      </c>
      <c r="G86" s="5">
        <f>(G84/H84)*100</f>
        <v>21.393034825870647</v>
      </c>
      <c r="H86" s="6"/>
      <c r="N86" s="4">
        <f>(N84/P84)*100</f>
        <v>83.796296296296291</v>
      </c>
      <c r="O86" s="5">
        <f>(O84/P84)*100</f>
        <v>16.203703703703702</v>
      </c>
      <c r="P86" s="6"/>
    </row>
    <row r="89" spans="2:16" x14ac:dyDescent="0.2">
      <c r="B89" t="s">
        <v>0</v>
      </c>
      <c r="C89" s="10">
        <v>8</v>
      </c>
      <c r="E89" t="s">
        <v>23</v>
      </c>
    </row>
    <row r="90" spans="2:16" x14ac:dyDescent="0.2">
      <c r="B90" t="s">
        <v>1</v>
      </c>
      <c r="C90" s="10" t="s">
        <v>54</v>
      </c>
      <c r="E90" t="s">
        <v>15</v>
      </c>
      <c r="F90">
        <v>27</v>
      </c>
      <c r="H90" t="s">
        <v>17</v>
      </c>
      <c r="I90" s="10">
        <v>9</v>
      </c>
      <c r="K90" t="s">
        <v>13</v>
      </c>
      <c r="L90" t="s">
        <v>32</v>
      </c>
    </row>
    <row r="91" spans="2:16" x14ac:dyDescent="0.2">
      <c r="B91" t="s">
        <v>2</v>
      </c>
      <c r="C91" s="10" t="s">
        <v>26</v>
      </c>
      <c r="E91" t="s">
        <v>47</v>
      </c>
      <c r="F91">
        <v>29</v>
      </c>
      <c r="H91" t="s">
        <v>48</v>
      </c>
      <c r="I91" s="10">
        <v>9</v>
      </c>
    </row>
    <row r="92" spans="2:16" ht="17" thickBot="1" x14ac:dyDescent="0.25"/>
    <row r="93" spans="2:16" x14ac:dyDescent="0.2">
      <c r="F93" s="19" t="s">
        <v>9</v>
      </c>
      <c r="G93" s="20"/>
      <c r="H93" s="21"/>
      <c r="J93" s="11"/>
      <c r="N93" s="22" t="s">
        <v>11</v>
      </c>
      <c r="O93" s="23"/>
      <c r="P93" s="24"/>
    </row>
    <row r="94" spans="2:16" x14ac:dyDescent="0.2">
      <c r="F94" s="2" t="s">
        <v>4</v>
      </c>
      <c r="G94" s="1" t="s">
        <v>5</v>
      </c>
      <c r="H94" s="3" t="s">
        <v>6</v>
      </c>
      <c r="N94" s="2" t="s">
        <v>4</v>
      </c>
      <c r="O94" s="1" t="s">
        <v>5</v>
      </c>
      <c r="P94" s="3" t="s">
        <v>6</v>
      </c>
    </row>
    <row r="95" spans="2:16" x14ac:dyDescent="0.2">
      <c r="F95" s="2">
        <v>237</v>
      </c>
      <c r="G95" s="1">
        <f>H95-F95</f>
        <v>15</v>
      </c>
      <c r="H95" s="3">
        <v>252</v>
      </c>
      <c r="N95" s="2">
        <v>230</v>
      </c>
      <c r="O95" s="1">
        <f>P95-N95</f>
        <v>42</v>
      </c>
      <c r="P95" s="3">
        <v>272</v>
      </c>
    </row>
    <row r="96" spans="2:16" x14ac:dyDescent="0.2">
      <c r="F96" s="2" t="s">
        <v>7</v>
      </c>
      <c r="G96" s="1" t="s">
        <v>8</v>
      </c>
      <c r="H96" s="3"/>
      <c r="N96" s="2" t="s">
        <v>7</v>
      </c>
      <c r="O96" s="1" t="s">
        <v>8</v>
      </c>
      <c r="P96" s="3"/>
    </row>
    <row r="97" spans="2:16" ht="17" thickBot="1" x14ac:dyDescent="0.25">
      <c r="F97" s="4">
        <f>(F95/H95)*100</f>
        <v>94.047619047619051</v>
      </c>
      <c r="G97" s="5">
        <f>(G95/H95)*100</f>
        <v>5.9523809523809517</v>
      </c>
      <c r="H97" s="6"/>
      <c r="N97" s="4">
        <f>(N95/P95)*100</f>
        <v>84.558823529411768</v>
      </c>
      <c r="O97" s="5">
        <f>(O95/P95)*100</f>
        <v>15.441176470588236</v>
      </c>
      <c r="P97" s="6"/>
    </row>
    <row r="100" spans="2:16" x14ac:dyDescent="0.2">
      <c r="B100" t="s">
        <v>0</v>
      </c>
      <c r="C100" s="10">
        <v>9</v>
      </c>
      <c r="E100" t="s">
        <v>23</v>
      </c>
    </row>
    <row r="101" spans="2:16" x14ac:dyDescent="0.2">
      <c r="B101" t="s">
        <v>1</v>
      </c>
      <c r="C101" s="10" t="s">
        <v>55</v>
      </c>
      <c r="E101" t="s">
        <v>15</v>
      </c>
      <c r="F101">
        <v>28</v>
      </c>
      <c r="H101" t="s">
        <v>17</v>
      </c>
      <c r="I101" s="10">
        <v>9</v>
      </c>
      <c r="K101" t="s">
        <v>13</v>
      </c>
      <c r="L101" t="s">
        <v>36</v>
      </c>
    </row>
    <row r="102" spans="2:16" x14ac:dyDescent="0.2">
      <c r="B102" t="s">
        <v>2</v>
      </c>
      <c r="C102" s="10" t="s">
        <v>26</v>
      </c>
      <c r="E102" t="s">
        <v>47</v>
      </c>
      <c r="F102">
        <v>30</v>
      </c>
      <c r="H102" t="s">
        <v>48</v>
      </c>
      <c r="I102" s="10">
        <v>9</v>
      </c>
    </row>
    <row r="103" spans="2:16" ht="17" thickBot="1" x14ac:dyDescent="0.25"/>
    <row r="104" spans="2:16" x14ac:dyDescent="0.2">
      <c r="F104" s="19" t="s">
        <v>9</v>
      </c>
      <c r="G104" s="20"/>
      <c r="H104" s="21"/>
      <c r="J104" s="11"/>
      <c r="N104" s="22" t="s">
        <v>11</v>
      </c>
      <c r="O104" s="23"/>
      <c r="P104" s="24"/>
    </row>
    <row r="105" spans="2:16" x14ac:dyDescent="0.2">
      <c r="F105" s="2" t="s">
        <v>4</v>
      </c>
      <c r="G105" s="1" t="s">
        <v>5</v>
      </c>
      <c r="H105" s="3" t="s">
        <v>6</v>
      </c>
      <c r="N105" s="2" t="s">
        <v>4</v>
      </c>
      <c r="O105" s="1" t="s">
        <v>5</v>
      </c>
      <c r="P105" s="3" t="s">
        <v>6</v>
      </c>
    </row>
    <row r="106" spans="2:16" x14ac:dyDescent="0.2">
      <c r="F106" s="2">
        <v>215</v>
      </c>
      <c r="G106" s="1">
        <f>H106-F106</f>
        <v>42</v>
      </c>
      <c r="H106" s="3">
        <v>257</v>
      </c>
      <c r="N106" s="2">
        <v>233</v>
      </c>
      <c r="O106" s="1">
        <f>P106-N106</f>
        <v>25</v>
      </c>
      <c r="P106" s="3">
        <v>258</v>
      </c>
    </row>
    <row r="107" spans="2:16" x14ac:dyDescent="0.2">
      <c r="F107" s="2" t="s">
        <v>7</v>
      </c>
      <c r="G107" s="1" t="s">
        <v>8</v>
      </c>
      <c r="H107" s="3"/>
      <c r="N107" s="2" t="s">
        <v>7</v>
      </c>
      <c r="O107" s="1" t="s">
        <v>8</v>
      </c>
      <c r="P107" s="3"/>
    </row>
    <row r="108" spans="2:16" ht="17" thickBot="1" x14ac:dyDescent="0.25">
      <c r="F108" s="4">
        <f>(F106/H106)*100</f>
        <v>83.657587548638134</v>
      </c>
      <c r="G108" s="5">
        <f>(G106/H106)*100</f>
        <v>16.342412451361866</v>
      </c>
      <c r="H108" s="6"/>
      <c r="N108" s="4">
        <f>(N106/P106)*100</f>
        <v>90.310077519379846</v>
      </c>
      <c r="O108" s="5">
        <f>(O106/P106)*100</f>
        <v>9.6899224806201563</v>
      </c>
      <c r="P108" s="6"/>
    </row>
    <row r="111" spans="2:16" x14ac:dyDescent="0.2">
      <c r="B111" t="s">
        <v>0</v>
      </c>
      <c r="C111" s="10">
        <v>10</v>
      </c>
      <c r="E111" t="s">
        <v>23</v>
      </c>
    </row>
    <row r="112" spans="2:16" x14ac:dyDescent="0.2">
      <c r="B112" t="s">
        <v>1</v>
      </c>
      <c r="C112" s="10" t="s">
        <v>58</v>
      </c>
      <c r="E112" t="s">
        <v>15</v>
      </c>
      <c r="F112">
        <v>33</v>
      </c>
      <c r="H112" t="s">
        <v>17</v>
      </c>
      <c r="I112" s="10">
        <v>8</v>
      </c>
      <c r="K112" t="s">
        <v>13</v>
      </c>
      <c r="L112" t="s">
        <v>14</v>
      </c>
    </row>
    <row r="113" spans="2:16" x14ac:dyDescent="0.2">
      <c r="B113" t="s">
        <v>2</v>
      </c>
      <c r="C113" s="10" t="s">
        <v>12</v>
      </c>
      <c r="E113" t="s">
        <v>47</v>
      </c>
      <c r="F113">
        <v>35</v>
      </c>
      <c r="H113" t="s">
        <v>48</v>
      </c>
      <c r="I113" s="10">
        <v>8</v>
      </c>
    </row>
    <row r="114" spans="2:16" ht="17" thickBot="1" x14ac:dyDescent="0.25"/>
    <row r="115" spans="2:16" x14ac:dyDescent="0.2">
      <c r="F115" s="19" t="s">
        <v>9</v>
      </c>
      <c r="G115" s="20"/>
      <c r="H115" s="21"/>
      <c r="J115" s="11"/>
      <c r="N115" s="22" t="s">
        <v>11</v>
      </c>
      <c r="O115" s="23"/>
      <c r="P115" s="24"/>
    </row>
    <row r="116" spans="2:16" x14ac:dyDescent="0.2">
      <c r="F116" s="2" t="s">
        <v>4</v>
      </c>
      <c r="G116" s="1" t="s">
        <v>5</v>
      </c>
      <c r="H116" s="3" t="s">
        <v>6</v>
      </c>
      <c r="N116" s="2" t="s">
        <v>4</v>
      </c>
      <c r="O116" s="1" t="s">
        <v>5</v>
      </c>
      <c r="P116" s="3" t="s">
        <v>6</v>
      </c>
    </row>
    <row r="117" spans="2:16" x14ac:dyDescent="0.2">
      <c r="F117" s="2">
        <v>97</v>
      </c>
      <c r="G117" s="1">
        <v>110</v>
      </c>
      <c r="H117" s="3">
        <f>F117+G117</f>
        <v>207</v>
      </c>
      <c r="N117" s="2">
        <v>133</v>
      </c>
      <c r="O117" s="1">
        <v>76</v>
      </c>
      <c r="P117" s="3">
        <f>N117+O117</f>
        <v>209</v>
      </c>
    </row>
    <row r="118" spans="2:16" x14ac:dyDescent="0.2">
      <c r="F118" s="2" t="s">
        <v>7</v>
      </c>
      <c r="G118" s="1" t="s">
        <v>8</v>
      </c>
      <c r="H118" s="3"/>
      <c r="N118" s="2" t="s">
        <v>7</v>
      </c>
      <c r="O118" s="1" t="s">
        <v>8</v>
      </c>
      <c r="P118" s="3"/>
    </row>
    <row r="119" spans="2:16" ht="17" thickBot="1" x14ac:dyDescent="0.25">
      <c r="F119" s="4">
        <f>(F117/H117)*100</f>
        <v>46.859903381642518</v>
      </c>
      <c r="G119" s="5">
        <f>(G117/H117)*100</f>
        <v>53.140096618357489</v>
      </c>
      <c r="H119" s="6"/>
      <c r="N119" s="4">
        <f>(N117/P117)*100</f>
        <v>63.636363636363633</v>
      </c>
      <c r="O119" s="5">
        <f>(O117/P117)*100</f>
        <v>36.363636363636367</v>
      </c>
      <c r="P119" s="6"/>
    </row>
    <row r="122" spans="2:16" x14ac:dyDescent="0.2">
      <c r="B122" t="s">
        <v>0</v>
      </c>
      <c r="C122" s="10">
        <v>11</v>
      </c>
      <c r="E122" t="s">
        <v>23</v>
      </c>
    </row>
    <row r="123" spans="2:16" x14ac:dyDescent="0.2">
      <c r="B123" t="s">
        <v>1</v>
      </c>
      <c r="C123" s="10" t="s">
        <v>59</v>
      </c>
      <c r="E123" t="s">
        <v>15</v>
      </c>
      <c r="F123">
        <v>34</v>
      </c>
      <c r="H123" t="s">
        <v>17</v>
      </c>
      <c r="I123" s="10">
        <v>8</v>
      </c>
      <c r="K123" t="s">
        <v>13</v>
      </c>
      <c r="L123" t="s">
        <v>46</v>
      </c>
    </row>
    <row r="124" spans="2:16" x14ac:dyDescent="0.2">
      <c r="B124" t="s">
        <v>2</v>
      </c>
      <c r="C124" s="10" t="s">
        <v>12</v>
      </c>
      <c r="E124" t="s">
        <v>47</v>
      </c>
      <c r="F124">
        <v>36</v>
      </c>
      <c r="H124" t="s">
        <v>48</v>
      </c>
      <c r="I124" s="10">
        <v>8</v>
      </c>
    </row>
    <row r="125" spans="2:16" ht="17" thickBot="1" x14ac:dyDescent="0.25"/>
    <row r="126" spans="2:16" x14ac:dyDescent="0.2">
      <c r="F126" s="19" t="s">
        <v>9</v>
      </c>
      <c r="G126" s="20"/>
      <c r="H126" s="21"/>
      <c r="J126" s="11"/>
      <c r="N126" s="22" t="s">
        <v>11</v>
      </c>
      <c r="O126" s="23"/>
      <c r="P126" s="24"/>
    </row>
    <row r="127" spans="2:16" x14ac:dyDescent="0.2">
      <c r="F127" s="2" t="s">
        <v>4</v>
      </c>
      <c r="G127" s="1" t="s">
        <v>5</v>
      </c>
      <c r="H127" s="3" t="s">
        <v>6</v>
      </c>
      <c r="N127" s="2" t="s">
        <v>4</v>
      </c>
      <c r="O127" s="1" t="s">
        <v>5</v>
      </c>
      <c r="P127" s="3" t="s">
        <v>6</v>
      </c>
    </row>
    <row r="128" spans="2:16" x14ac:dyDescent="0.2">
      <c r="F128" s="2">
        <v>137</v>
      </c>
      <c r="G128" s="1">
        <v>67</v>
      </c>
      <c r="H128" s="3">
        <f>F128+G128</f>
        <v>204</v>
      </c>
      <c r="N128" s="2">
        <v>153</v>
      </c>
      <c r="O128" s="1">
        <v>66</v>
      </c>
      <c r="P128" s="3">
        <f>N128+O128</f>
        <v>219</v>
      </c>
    </row>
    <row r="129" spans="2:16" x14ac:dyDescent="0.2">
      <c r="F129" s="2" t="s">
        <v>7</v>
      </c>
      <c r="G129" s="1" t="s">
        <v>8</v>
      </c>
      <c r="H129" s="3"/>
      <c r="N129" s="2" t="s">
        <v>7</v>
      </c>
      <c r="O129" s="1" t="s">
        <v>8</v>
      </c>
      <c r="P129" s="3"/>
    </row>
    <row r="130" spans="2:16" ht="17" thickBot="1" x14ac:dyDescent="0.25">
      <c r="F130" s="4">
        <f>(F128/H128)*100</f>
        <v>67.156862745098039</v>
      </c>
      <c r="G130" s="5">
        <f>(G128/H128)*100</f>
        <v>32.843137254901961</v>
      </c>
      <c r="H130" s="6"/>
      <c r="N130" s="4">
        <f>(N128/P128)*100</f>
        <v>69.863013698630141</v>
      </c>
      <c r="O130" s="5">
        <f>(O128/P128)*100</f>
        <v>30.136986301369863</v>
      </c>
      <c r="P130" s="6"/>
    </row>
    <row r="133" spans="2:16" x14ac:dyDescent="0.2">
      <c r="B133" t="s">
        <v>0</v>
      </c>
      <c r="C133" s="10">
        <v>12</v>
      </c>
      <c r="E133" t="s">
        <v>23</v>
      </c>
    </row>
    <row r="134" spans="2:16" x14ac:dyDescent="0.2">
      <c r="B134" t="s">
        <v>1</v>
      </c>
      <c r="C134" s="10" t="s">
        <v>66</v>
      </c>
      <c r="E134" t="s">
        <v>15</v>
      </c>
      <c r="F134">
        <v>18</v>
      </c>
      <c r="H134" t="s">
        <v>17</v>
      </c>
      <c r="I134" s="10">
        <v>9</v>
      </c>
      <c r="K134" t="s">
        <v>13</v>
      </c>
      <c r="L134" t="s">
        <v>14</v>
      </c>
    </row>
    <row r="135" spans="2:16" x14ac:dyDescent="0.2">
      <c r="B135" t="s">
        <v>2</v>
      </c>
      <c r="C135" s="10" t="s">
        <v>12</v>
      </c>
      <c r="E135" t="s">
        <v>47</v>
      </c>
      <c r="F135">
        <v>25</v>
      </c>
      <c r="H135" t="s">
        <v>48</v>
      </c>
      <c r="I135" s="10">
        <v>9</v>
      </c>
    </row>
    <row r="136" spans="2:16" ht="17" thickBot="1" x14ac:dyDescent="0.25"/>
    <row r="137" spans="2:16" x14ac:dyDescent="0.2">
      <c r="F137" s="19" t="s">
        <v>9</v>
      </c>
      <c r="G137" s="20"/>
      <c r="H137" s="21"/>
      <c r="J137" s="11"/>
      <c r="N137" s="22" t="s">
        <v>11</v>
      </c>
      <c r="O137" s="23"/>
      <c r="P137" s="24"/>
    </row>
    <row r="138" spans="2:16" x14ac:dyDescent="0.2">
      <c r="F138" s="2" t="s">
        <v>4</v>
      </c>
      <c r="G138" s="1" t="s">
        <v>5</v>
      </c>
      <c r="H138" s="3" t="s">
        <v>6</v>
      </c>
      <c r="N138" s="2" t="s">
        <v>4</v>
      </c>
      <c r="O138" s="1" t="s">
        <v>5</v>
      </c>
      <c r="P138" s="3" t="s">
        <v>6</v>
      </c>
    </row>
    <row r="139" spans="2:16" x14ac:dyDescent="0.2">
      <c r="F139" s="2">
        <v>172</v>
      </c>
      <c r="G139" s="1">
        <v>35</v>
      </c>
      <c r="H139" s="3">
        <f>F139+G139</f>
        <v>207</v>
      </c>
      <c r="N139" s="2">
        <v>117</v>
      </c>
      <c r="O139" s="1">
        <v>95</v>
      </c>
      <c r="P139" s="3">
        <f>N139+O139</f>
        <v>212</v>
      </c>
    </row>
    <row r="140" spans="2:16" x14ac:dyDescent="0.2">
      <c r="F140" s="2" t="s">
        <v>7</v>
      </c>
      <c r="G140" s="1" t="s">
        <v>8</v>
      </c>
      <c r="H140" s="3"/>
      <c r="N140" s="2" t="s">
        <v>7</v>
      </c>
      <c r="O140" s="1" t="s">
        <v>8</v>
      </c>
      <c r="P140" s="3"/>
    </row>
    <row r="141" spans="2:16" ht="17" thickBot="1" x14ac:dyDescent="0.25">
      <c r="F141" s="4">
        <f>(F139/H139)*100</f>
        <v>83.091787439613526</v>
      </c>
      <c r="G141" s="5">
        <f>(G139/H139)*100</f>
        <v>16.908212560386474</v>
      </c>
      <c r="H141" s="6"/>
      <c r="N141" s="4">
        <f>(N139/P139)*100</f>
        <v>55.188679245283026</v>
      </c>
      <c r="O141" s="5">
        <f>(O139/P139)*100</f>
        <v>44.811320754716981</v>
      </c>
      <c r="P141" s="6"/>
    </row>
    <row r="144" spans="2:16" x14ac:dyDescent="0.2">
      <c r="B144" t="s">
        <v>0</v>
      </c>
      <c r="C144" s="10">
        <v>13</v>
      </c>
      <c r="E144" t="s">
        <v>23</v>
      </c>
    </row>
    <row r="145" spans="2:16" x14ac:dyDescent="0.2">
      <c r="B145" t="s">
        <v>1</v>
      </c>
      <c r="C145" s="10" t="s">
        <v>67</v>
      </c>
      <c r="E145" t="s">
        <v>15</v>
      </c>
      <c r="F145">
        <v>20</v>
      </c>
      <c r="H145" t="s">
        <v>17</v>
      </c>
      <c r="I145" s="10">
        <v>8</v>
      </c>
      <c r="K145" t="s">
        <v>13</v>
      </c>
      <c r="L145" t="s">
        <v>46</v>
      </c>
    </row>
    <row r="146" spans="2:16" x14ac:dyDescent="0.2">
      <c r="B146" t="s">
        <v>2</v>
      </c>
      <c r="C146" s="10" t="s">
        <v>12</v>
      </c>
      <c r="E146" t="s">
        <v>47</v>
      </c>
      <c r="F146">
        <v>27</v>
      </c>
      <c r="H146" t="s">
        <v>48</v>
      </c>
      <c r="I146" s="10">
        <v>8</v>
      </c>
    </row>
    <row r="147" spans="2:16" ht="17" thickBot="1" x14ac:dyDescent="0.25"/>
    <row r="148" spans="2:16" x14ac:dyDescent="0.2">
      <c r="F148" s="19" t="s">
        <v>9</v>
      </c>
      <c r="G148" s="20"/>
      <c r="H148" s="21"/>
      <c r="J148" s="11"/>
      <c r="N148" s="22" t="s">
        <v>11</v>
      </c>
      <c r="O148" s="23"/>
      <c r="P148" s="24"/>
    </row>
    <row r="149" spans="2:16" x14ac:dyDescent="0.2">
      <c r="F149" s="2" t="s">
        <v>4</v>
      </c>
      <c r="G149" s="1" t="s">
        <v>5</v>
      </c>
      <c r="H149" s="3" t="s">
        <v>6</v>
      </c>
      <c r="N149" s="2" t="s">
        <v>4</v>
      </c>
      <c r="O149" s="1" t="s">
        <v>5</v>
      </c>
      <c r="P149" s="3" t="s">
        <v>6</v>
      </c>
    </row>
    <row r="150" spans="2:16" x14ac:dyDescent="0.2">
      <c r="F150" s="2">
        <v>170</v>
      </c>
      <c r="G150" s="1">
        <v>50</v>
      </c>
      <c r="H150" s="3">
        <f>F150+G150</f>
        <v>220</v>
      </c>
      <c r="N150" s="2">
        <v>176</v>
      </c>
      <c r="O150" s="1">
        <v>32</v>
      </c>
      <c r="P150" s="3">
        <f>N150+O150</f>
        <v>208</v>
      </c>
    </row>
    <row r="151" spans="2:16" x14ac:dyDescent="0.2">
      <c r="F151" s="2" t="s">
        <v>7</v>
      </c>
      <c r="G151" s="1" t="s">
        <v>8</v>
      </c>
      <c r="H151" s="3"/>
      <c r="N151" s="2" t="s">
        <v>7</v>
      </c>
      <c r="O151" s="1" t="s">
        <v>8</v>
      </c>
      <c r="P151" s="3"/>
    </row>
    <row r="152" spans="2:16" ht="17" thickBot="1" x14ac:dyDescent="0.25">
      <c r="F152" s="4">
        <f>(F150/H150)*100</f>
        <v>77.272727272727266</v>
      </c>
      <c r="G152" s="5">
        <f>(G150/H150)*100</f>
        <v>22.727272727272727</v>
      </c>
      <c r="H152" s="6"/>
      <c r="N152" s="4">
        <f>(N150/P150)*100</f>
        <v>84.615384615384613</v>
      </c>
      <c r="O152" s="5">
        <f>(O150/P150)*100</f>
        <v>15.384615384615385</v>
      </c>
      <c r="P152" s="6"/>
    </row>
    <row r="155" spans="2:16" x14ac:dyDescent="0.2">
      <c r="B155" t="s">
        <v>0</v>
      </c>
      <c r="C155" s="10">
        <v>14</v>
      </c>
      <c r="E155" t="s">
        <v>23</v>
      </c>
    </row>
    <row r="156" spans="2:16" x14ac:dyDescent="0.2">
      <c r="B156" t="s">
        <v>1</v>
      </c>
      <c r="C156" s="10" t="s">
        <v>68</v>
      </c>
      <c r="E156" t="s">
        <v>15</v>
      </c>
      <c r="F156">
        <v>22</v>
      </c>
      <c r="H156" t="s">
        <v>17</v>
      </c>
      <c r="I156" s="10">
        <v>10</v>
      </c>
      <c r="K156" t="s">
        <v>13</v>
      </c>
      <c r="L156" t="s">
        <v>70</v>
      </c>
    </row>
    <row r="157" spans="2:16" x14ac:dyDescent="0.2">
      <c r="B157" t="s">
        <v>2</v>
      </c>
      <c r="C157" s="10" t="s">
        <v>12</v>
      </c>
      <c r="E157" t="s">
        <v>47</v>
      </c>
      <c r="F157">
        <v>29</v>
      </c>
      <c r="H157" t="s">
        <v>48</v>
      </c>
      <c r="I157" s="10">
        <v>10</v>
      </c>
    </row>
    <row r="158" spans="2:16" ht="17" thickBot="1" x14ac:dyDescent="0.25"/>
    <row r="159" spans="2:16" x14ac:dyDescent="0.2">
      <c r="F159" s="19" t="s">
        <v>9</v>
      </c>
      <c r="G159" s="20"/>
      <c r="H159" s="21"/>
      <c r="J159" s="11"/>
      <c r="N159" s="22" t="s">
        <v>11</v>
      </c>
      <c r="O159" s="23"/>
      <c r="P159" s="24"/>
    </row>
    <row r="160" spans="2:16" x14ac:dyDescent="0.2">
      <c r="F160" s="2" t="s">
        <v>4</v>
      </c>
      <c r="G160" s="1" t="s">
        <v>5</v>
      </c>
      <c r="H160" s="3" t="s">
        <v>6</v>
      </c>
      <c r="N160" s="2" t="s">
        <v>4</v>
      </c>
      <c r="O160" s="1" t="s">
        <v>5</v>
      </c>
      <c r="P160" s="3" t="s">
        <v>6</v>
      </c>
    </row>
    <row r="161" spans="2:16" x14ac:dyDescent="0.2">
      <c r="F161" s="2">
        <v>163</v>
      </c>
      <c r="G161" s="1">
        <v>39</v>
      </c>
      <c r="H161" s="3">
        <f>F161+G161</f>
        <v>202</v>
      </c>
      <c r="N161" s="2">
        <v>160</v>
      </c>
      <c r="O161" s="1">
        <v>47</v>
      </c>
      <c r="P161" s="3">
        <f>N161+O161</f>
        <v>207</v>
      </c>
    </row>
    <row r="162" spans="2:16" x14ac:dyDescent="0.2">
      <c r="F162" s="2" t="s">
        <v>7</v>
      </c>
      <c r="G162" s="1" t="s">
        <v>8</v>
      </c>
      <c r="H162" s="3"/>
      <c r="N162" s="2" t="s">
        <v>7</v>
      </c>
      <c r="O162" s="1" t="s">
        <v>8</v>
      </c>
      <c r="P162" s="3"/>
    </row>
    <row r="163" spans="2:16" ht="17" thickBot="1" x14ac:dyDescent="0.25">
      <c r="F163" s="4">
        <f>(F161/H161)*100</f>
        <v>80.693069306930695</v>
      </c>
      <c r="G163" s="5">
        <f>(G161/H161)*100</f>
        <v>19.306930693069308</v>
      </c>
      <c r="H163" s="6"/>
      <c r="N163" s="4">
        <f>(N161/P161)*100</f>
        <v>77.294685990338166</v>
      </c>
      <c r="O163" s="5">
        <f>(O161/P161)*100</f>
        <v>22.705314009661837</v>
      </c>
      <c r="P163" s="6"/>
    </row>
    <row r="166" spans="2:16" x14ac:dyDescent="0.2">
      <c r="B166" t="s">
        <v>0</v>
      </c>
      <c r="C166" s="10">
        <v>15</v>
      </c>
      <c r="E166" t="s">
        <v>23</v>
      </c>
    </row>
    <row r="167" spans="2:16" x14ac:dyDescent="0.2">
      <c r="B167" t="s">
        <v>1</v>
      </c>
      <c r="C167" s="10" t="s">
        <v>69</v>
      </c>
      <c r="E167" t="s">
        <v>15</v>
      </c>
      <c r="F167">
        <v>25</v>
      </c>
      <c r="H167" t="s">
        <v>17</v>
      </c>
      <c r="I167" s="10">
        <v>8</v>
      </c>
      <c r="K167" t="s">
        <v>13</v>
      </c>
      <c r="L167" t="s">
        <v>57</v>
      </c>
    </row>
    <row r="168" spans="2:16" x14ac:dyDescent="0.2">
      <c r="B168" t="s">
        <v>2</v>
      </c>
      <c r="C168" s="10" t="s">
        <v>12</v>
      </c>
      <c r="E168" t="s">
        <v>47</v>
      </c>
      <c r="F168">
        <v>32</v>
      </c>
      <c r="H168" t="s">
        <v>48</v>
      </c>
      <c r="I168" s="10">
        <v>8</v>
      </c>
    </row>
    <row r="169" spans="2:16" ht="17" thickBot="1" x14ac:dyDescent="0.25"/>
    <row r="170" spans="2:16" x14ac:dyDescent="0.2">
      <c r="F170" s="19" t="s">
        <v>9</v>
      </c>
      <c r="G170" s="20"/>
      <c r="H170" s="21"/>
      <c r="J170" s="11"/>
      <c r="N170" s="22" t="s">
        <v>11</v>
      </c>
      <c r="O170" s="23"/>
      <c r="P170" s="24"/>
    </row>
    <row r="171" spans="2:16" x14ac:dyDescent="0.2">
      <c r="F171" s="2" t="s">
        <v>4</v>
      </c>
      <c r="G171" s="1" t="s">
        <v>5</v>
      </c>
      <c r="H171" s="3" t="s">
        <v>6</v>
      </c>
      <c r="N171" s="2" t="s">
        <v>4</v>
      </c>
      <c r="O171" s="1" t="s">
        <v>5</v>
      </c>
      <c r="P171" s="3" t="s">
        <v>6</v>
      </c>
    </row>
    <row r="172" spans="2:16" x14ac:dyDescent="0.2">
      <c r="F172" s="2">
        <v>186</v>
      </c>
      <c r="G172" s="1">
        <v>26</v>
      </c>
      <c r="H172" s="3">
        <f>F172+G172</f>
        <v>212</v>
      </c>
      <c r="N172" s="2">
        <v>150</v>
      </c>
      <c r="O172" s="1">
        <v>54</v>
      </c>
      <c r="P172" s="3">
        <f>N172+O172</f>
        <v>204</v>
      </c>
    </row>
    <row r="173" spans="2:16" x14ac:dyDescent="0.2">
      <c r="F173" s="2" t="s">
        <v>7</v>
      </c>
      <c r="G173" s="1" t="s">
        <v>8</v>
      </c>
      <c r="H173" s="3"/>
      <c r="N173" s="2" t="s">
        <v>7</v>
      </c>
      <c r="O173" s="1" t="s">
        <v>8</v>
      </c>
      <c r="P173" s="3"/>
    </row>
    <row r="174" spans="2:16" ht="17" thickBot="1" x14ac:dyDescent="0.25">
      <c r="F174" s="4">
        <f>(F172/H172)*100</f>
        <v>87.735849056603783</v>
      </c>
      <c r="G174" s="5">
        <f>(G172/H172)*100</f>
        <v>12.264150943396226</v>
      </c>
      <c r="H174" s="6"/>
      <c r="N174" s="4">
        <f>(N172/P172)*100</f>
        <v>73.529411764705884</v>
      </c>
      <c r="O174" s="5">
        <f>(O172/P172)*100</f>
        <v>26.47058823529412</v>
      </c>
      <c r="P174" s="6"/>
    </row>
    <row r="184" spans="7:7" x14ac:dyDescent="0.2">
      <c r="G184" t="s">
        <v>65</v>
      </c>
    </row>
  </sheetData>
  <mergeCells count="32">
    <mergeCell ref="F137:H137"/>
    <mergeCell ref="N137:P137"/>
    <mergeCell ref="F148:H148"/>
    <mergeCell ref="N148:P148"/>
    <mergeCell ref="F115:H115"/>
    <mergeCell ref="N115:P115"/>
    <mergeCell ref="F126:H126"/>
    <mergeCell ref="N126:P126"/>
    <mergeCell ref="F31:H31"/>
    <mergeCell ref="N31:P31"/>
    <mergeCell ref="B6:D6"/>
    <mergeCell ref="F6:H6"/>
    <mergeCell ref="J6:L6"/>
    <mergeCell ref="N6:P6"/>
    <mergeCell ref="F18:H18"/>
    <mergeCell ref="N18:P18"/>
    <mergeCell ref="F159:H159"/>
    <mergeCell ref="N159:P159"/>
    <mergeCell ref="F170:H170"/>
    <mergeCell ref="N170:P170"/>
    <mergeCell ref="F43:H43"/>
    <mergeCell ref="N43:P43"/>
    <mergeCell ref="F56:H56"/>
    <mergeCell ref="N56:P56"/>
    <mergeCell ref="F93:H93"/>
    <mergeCell ref="N93:P93"/>
    <mergeCell ref="F104:H104"/>
    <mergeCell ref="N104:P104"/>
    <mergeCell ref="F69:H69"/>
    <mergeCell ref="N69:P69"/>
    <mergeCell ref="F82:H82"/>
    <mergeCell ref="N82:P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Data</vt:lpstr>
      <vt:lpstr>Activation at 21% O2</vt:lpstr>
      <vt:lpstr>Activation at 7% 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2025-03-31T19:01:51Z</dcterms:created>
  <dcterms:modified xsi:type="dcterms:W3CDTF">2026-04-19T21:27:14Z</dcterms:modified>
</cp:coreProperties>
</file>