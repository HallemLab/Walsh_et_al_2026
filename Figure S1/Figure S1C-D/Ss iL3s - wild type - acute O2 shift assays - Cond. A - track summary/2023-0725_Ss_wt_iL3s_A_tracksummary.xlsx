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iL3s\wild-type\aggregate analysis\"/>
    </mc:Choice>
  </mc:AlternateContent>
  <xr:revisionPtr revIDLastSave="0" documentId="13_ncr:1_{4852778B-D5AB-49CF-9FB0-7B05209AB4AB}" xr6:coauthVersionLast="36" xr6:coauthVersionMax="36" xr10:uidLastSave="{00000000-0000-0000-0000-000000000000}"/>
  <bookViews>
    <workbookView xWindow="0" yWindow="0" windowWidth="15315" windowHeight="8730" firstSheet="20" activeTab="27" xr2:uid="{C89EBCA6-4313-463A-BB97-5172F623FF7B}"/>
  </bookViews>
  <sheets>
    <sheet name="220913A001.4" sheetId="2" r:id="rId1"/>
    <sheet name="220913A001.5" sheetId="3" r:id="rId2"/>
    <sheet name="220926A001.1" sheetId="4" r:id="rId3"/>
    <sheet name="220926A001.4" sheetId="5" r:id="rId4"/>
    <sheet name="220926A002.1" sheetId="6" r:id="rId5"/>
    <sheet name="220926A002.2" sheetId="7" r:id="rId6"/>
    <sheet name="220926A002.3" sheetId="8" r:id="rId7"/>
    <sheet name="220927A001.1" sheetId="9" r:id="rId8"/>
    <sheet name="220927A001.4" sheetId="10" r:id="rId9"/>
    <sheet name="230406A001.1" sheetId="11" r:id="rId10"/>
    <sheet name="230406A001.2" sheetId="12" r:id="rId11"/>
    <sheet name="230406A001.4" sheetId="13" r:id="rId12"/>
    <sheet name="230406A002.2" sheetId="14" r:id="rId13"/>
    <sheet name="230406A002.3" sheetId="15" r:id="rId14"/>
    <sheet name="230406A002.4" sheetId="16" r:id="rId15"/>
    <sheet name="230406A003.2" sheetId="17" r:id="rId16"/>
    <sheet name="230406A003.3" sheetId="18" r:id="rId17"/>
    <sheet name="230406A003.4" sheetId="19" r:id="rId18"/>
    <sheet name="230406A003.5" sheetId="20" r:id="rId19"/>
    <sheet name="230615A001.3" sheetId="21" r:id="rId20"/>
    <sheet name="230615A001.4" sheetId="22" r:id="rId21"/>
    <sheet name="230615A002.1" sheetId="23" r:id="rId22"/>
    <sheet name="230615A002.4" sheetId="24" r:id="rId23"/>
    <sheet name="230615A002.5" sheetId="25" r:id="rId24"/>
    <sheet name="230615A003.1" sheetId="26" r:id="rId25"/>
    <sheet name="230615A003.2" sheetId="27" r:id="rId26"/>
    <sheet name="230615A003.3" sheetId="28" r:id="rId27"/>
    <sheet name="230615A004.2" sheetId="29" r:id="rId28"/>
    <sheet name="template" sheetId="1" r:id="rId2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29" l="1"/>
  <c r="D35" i="29"/>
  <c r="G28" i="29"/>
  <c r="G29" i="29" s="1"/>
  <c r="F28" i="29"/>
  <c r="F29" i="29" s="1"/>
  <c r="E28" i="29"/>
  <c r="E29" i="29" s="1"/>
  <c r="D28" i="29"/>
  <c r="D29" i="29" s="1"/>
  <c r="C28" i="29"/>
  <c r="C31" i="29" s="1"/>
  <c r="B28" i="29"/>
  <c r="B29" i="29" s="1"/>
  <c r="C29" i="29" l="1"/>
  <c r="C30" i="29"/>
  <c r="D31" i="29"/>
  <c r="B30" i="29"/>
  <c r="F30" i="29"/>
  <c r="G30" i="29"/>
  <c r="F31" i="29"/>
  <c r="D30" i="29"/>
  <c r="E30" i="29"/>
  <c r="B31" i="29"/>
  <c r="G31" i="29"/>
  <c r="E31" i="29"/>
  <c r="F35" i="28"/>
  <c r="D35" i="28"/>
  <c r="B30" i="28"/>
  <c r="G28" i="28"/>
  <c r="G30" i="28" s="1"/>
  <c r="F28" i="28"/>
  <c r="F30" i="28" s="1"/>
  <c r="E28" i="28"/>
  <c r="E31" i="28" s="1"/>
  <c r="D28" i="28"/>
  <c r="D31" i="28" s="1"/>
  <c r="C28" i="28"/>
  <c r="C30" i="28" s="1"/>
  <c r="B28" i="28"/>
  <c r="B29" i="28" s="1"/>
  <c r="F35" i="27"/>
  <c r="D35" i="27"/>
  <c r="B31" i="27"/>
  <c r="B30" i="27"/>
  <c r="G28" i="27"/>
  <c r="G31" i="27" s="1"/>
  <c r="F28" i="27"/>
  <c r="F31" i="27" s="1"/>
  <c r="E28" i="27"/>
  <c r="E31" i="27" s="1"/>
  <c r="D28" i="27"/>
  <c r="D31" i="27" s="1"/>
  <c r="C28" i="27"/>
  <c r="C31" i="27" s="1"/>
  <c r="B28" i="27"/>
  <c r="B29" i="27" s="1"/>
  <c r="F35" i="26"/>
  <c r="D35" i="26"/>
  <c r="G28" i="26"/>
  <c r="G30" i="26" s="1"/>
  <c r="F28" i="26"/>
  <c r="F31" i="26" s="1"/>
  <c r="E28" i="26"/>
  <c r="E31" i="26" s="1"/>
  <c r="D28" i="26"/>
  <c r="D31" i="26" s="1"/>
  <c r="C28" i="26"/>
  <c r="C30" i="26" s="1"/>
  <c r="B28" i="26"/>
  <c r="B31" i="26" s="1"/>
  <c r="F35" i="25"/>
  <c r="D35" i="25"/>
  <c r="B30" i="25"/>
  <c r="G28" i="25"/>
  <c r="G30" i="25" s="1"/>
  <c r="F28" i="25"/>
  <c r="F31" i="25" s="1"/>
  <c r="E28" i="25"/>
  <c r="E31" i="25" s="1"/>
  <c r="D28" i="25"/>
  <c r="D31" i="25" s="1"/>
  <c r="C28" i="25"/>
  <c r="C29" i="25" s="1"/>
  <c r="B28" i="25"/>
  <c r="B31" i="25" s="1"/>
  <c r="F35" i="24"/>
  <c r="D35" i="24"/>
  <c r="D31" i="24"/>
  <c r="C31" i="24"/>
  <c r="D30" i="24"/>
  <c r="C30" i="24"/>
  <c r="B30" i="24"/>
  <c r="G28" i="24"/>
  <c r="G31" i="24" s="1"/>
  <c r="F28" i="24"/>
  <c r="F31" i="24" s="1"/>
  <c r="E28" i="24"/>
  <c r="E31" i="24" s="1"/>
  <c r="D28" i="24"/>
  <c r="D29" i="24" s="1"/>
  <c r="C28" i="24"/>
  <c r="C29" i="24" s="1"/>
  <c r="B28" i="24"/>
  <c r="B31" i="24" s="1"/>
  <c r="F35" i="23"/>
  <c r="D35" i="23"/>
  <c r="G28" i="23"/>
  <c r="G29" i="23" s="1"/>
  <c r="F28" i="23"/>
  <c r="F31" i="23" s="1"/>
  <c r="E28" i="23"/>
  <c r="E30" i="23" s="1"/>
  <c r="D28" i="23"/>
  <c r="D30" i="23" s="1"/>
  <c r="C28" i="23"/>
  <c r="C30" i="23" s="1"/>
  <c r="B28" i="23"/>
  <c r="B30" i="23" s="1"/>
  <c r="F35" i="22"/>
  <c r="D35" i="22"/>
  <c r="B30" i="22"/>
  <c r="B29" i="22"/>
  <c r="G28" i="22"/>
  <c r="G31" i="22" s="1"/>
  <c r="F28" i="22"/>
  <c r="F31" i="22" s="1"/>
  <c r="E28" i="22"/>
  <c r="E31" i="22" s="1"/>
  <c r="D28" i="22"/>
  <c r="D31" i="22" s="1"/>
  <c r="C28" i="22"/>
  <c r="C31" i="22" s="1"/>
  <c r="B28" i="22"/>
  <c r="B31" i="22" s="1"/>
  <c r="F35" i="21"/>
  <c r="D35" i="21"/>
  <c r="F31" i="21"/>
  <c r="E31" i="21"/>
  <c r="D31" i="21"/>
  <c r="C31" i="21"/>
  <c r="B31" i="21"/>
  <c r="G30" i="21"/>
  <c r="F30" i="21"/>
  <c r="E30" i="21"/>
  <c r="D30" i="21"/>
  <c r="C30" i="21"/>
  <c r="B30" i="21"/>
  <c r="G29" i="21"/>
  <c r="F29" i="21"/>
  <c r="E29" i="21"/>
  <c r="D29" i="21"/>
  <c r="C29" i="21"/>
  <c r="B29" i="21"/>
  <c r="G28" i="21"/>
  <c r="G31" i="21" s="1"/>
  <c r="F28" i="21"/>
  <c r="E28" i="21"/>
  <c r="D28" i="21"/>
  <c r="C28" i="21"/>
  <c r="B28" i="21"/>
  <c r="B31" i="28" l="1"/>
  <c r="C31" i="28"/>
  <c r="C29" i="28"/>
  <c r="G31" i="28"/>
  <c r="F31" i="28"/>
  <c r="D29" i="28"/>
  <c r="E29" i="28"/>
  <c r="F29" i="28"/>
  <c r="G29" i="28"/>
  <c r="D30" i="28"/>
  <c r="E30" i="28"/>
  <c r="E30" i="27"/>
  <c r="E29" i="27"/>
  <c r="D29" i="27"/>
  <c r="D30" i="27"/>
  <c r="C29" i="27"/>
  <c r="C30" i="27"/>
  <c r="G30" i="27"/>
  <c r="F29" i="27"/>
  <c r="F30" i="27"/>
  <c r="G29" i="27"/>
  <c r="B29" i="26"/>
  <c r="C29" i="26"/>
  <c r="D29" i="26"/>
  <c r="B30" i="26"/>
  <c r="D30" i="26"/>
  <c r="C31" i="26"/>
  <c r="G31" i="26"/>
  <c r="F29" i="26"/>
  <c r="E29" i="26"/>
  <c r="G29" i="26"/>
  <c r="E30" i="26"/>
  <c r="F30" i="26"/>
  <c r="B29" i="25"/>
  <c r="C30" i="25"/>
  <c r="C31" i="25"/>
  <c r="G31" i="25"/>
  <c r="D29" i="25"/>
  <c r="E29" i="25"/>
  <c r="F29" i="25"/>
  <c r="G29" i="25"/>
  <c r="D30" i="25"/>
  <c r="E30" i="25"/>
  <c r="F30" i="25"/>
  <c r="B29" i="24"/>
  <c r="E29" i="24"/>
  <c r="F29" i="24"/>
  <c r="E30" i="24"/>
  <c r="F30" i="24"/>
  <c r="G30" i="24"/>
  <c r="G29" i="24"/>
  <c r="C31" i="23"/>
  <c r="G30" i="23"/>
  <c r="G31" i="23"/>
  <c r="B31" i="23"/>
  <c r="D31" i="23"/>
  <c r="E31" i="23"/>
  <c r="C29" i="23"/>
  <c r="B29" i="23"/>
  <c r="D29" i="23"/>
  <c r="E29" i="23"/>
  <c r="F29" i="23"/>
  <c r="F30" i="23"/>
  <c r="C30" i="22"/>
  <c r="D30" i="22"/>
  <c r="F30" i="22"/>
  <c r="G30" i="22"/>
  <c r="C29" i="22"/>
  <c r="D29" i="22"/>
  <c r="E29" i="22"/>
  <c r="G29" i="22"/>
  <c r="E30" i="22"/>
  <c r="F29" i="22"/>
  <c r="F35" i="20"/>
  <c r="D35" i="20"/>
  <c r="B30" i="20"/>
  <c r="G28" i="20"/>
  <c r="G31" i="20" s="1"/>
  <c r="F28" i="20"/>
  <c r="F31" i="20" s="1"/>
  <c r="E28" i="20"/>
  <c r="E31" i="20" s="1"/>
  <c r="D28" i="20"/>
  <c r="D31" i="20" s="1"/>
  <c r="C28" i="20"/>
  <c r="C31" i="20" s="1"/>
  <c r="B28" i="20"/>
  <c r="B31" i="20" s="1"/>
  <c r="F35" i="19"/>
  <c r="D35" i="19"/>
  <c r="G28" i="19"/>
  <c r="G31" i="19" s="1"/>
  <c r="F28" i="19"/>
  <c r="F31" i="19" s="1"/>
  <c r="E28" i="19"/>
  <c r="E31" i="19" s="1"/>
  <c r="D28" i="19"/>
  <c r="D31" i="19" s="1"/>
  <c r="C28" i="19"/>
  <c r="C31" i="19" s="1"/>
  <c r="B28" i="19"/>
  <c r="B30" i="19" s="1"/>
  <c r="F35" i="18"/>
  <c r="D35" i="18"/>
  <c r="G28" i="18"/>
  <c r="G31" i="18" s="1"/>
  <c r="F28" i="18"/>
  <c r="F31" i="18" s="1"/>
  <c r="E28" i="18"/>
  <c r="E31" i="18" s="1"/>
  <c r="D28" i="18"/>
  <c r="D31" i="18" s="1"/>
  <c r="C28" i="18"/>
  <c r="C31" i="18" s="1"/>
  <c r="B28" i="18"/>
  <c r="B31" i="18" s="1"/>
  <c r="F35" i="17"/>
  <c r="D35" i="17"/>
  <c r="G31" i="17"/>
  <c r="F31" i="17"/>
  <c r="E31" i="17"/>
  <c r="C31" i="17"/>
  <c r="G30" i="17"/>
  <c r="F30" i="17"/>
  <c r="E30" i="17"/>
  <c r="G28" i="17"/>
  <c r="G29" i="17" s="1"/>
  <c r="F28" i="17"/>
  <c r="F29" i="17" s="1"/>
  <c r="E28" i="17"/>
  <c r="E29" i="17" s="1"/>
  <c r="D28" i="17"/>
  <c r="D31" i="17" s="1"/>
  <c r="C28" i="17"/>
  <c r="C30" i="17" s="1"/>
  <c r="B28" i="17"/>
  <c r="B31" i="17" s="1"/>
  <c r="C29" i="20" l="1"/>
  <c r="B29" i="20"/>
  <c r="D29" i="20"/>
  <c r="C30" i="20"/>
  <c r="D30" i="20"/>
  <c r="E29" i="20"/>
  <c r="F29" i="20"/>
  <c r="G29" i="20"/>
  <c r="E30" i="20"/>
  <c r="F30" i="20"/>
  <c r="G30" i="20"/>
  <c r="C30" i="19"/>
  <c r="B31" i="19"/>
  <c r="B29" i="19"/>
  <c r="C29" i="19"/>
  <c r="D29" i="19"/>
  <c r="D30" i="19"/>
  <c r="E29" i="19"/>
  <c r="F29" i="19"/>
  <c r="G29" i="19"/>
  <c r="E30" i="19"/>
  <c r="F30" i="19"/>
  <c r="G30" i="19"/>
  <c r="D30" i="18"/>
  <c r="B29" i="18"/>
  <c r="C29" i="18"/>
  <c r="F29" i="18"/>
  <c r="B30" i="18"/>
  <c r="E30" i="18"/>
  <c r="F30" i="18"/>
  <c r="D29" i="18"/>
  <c r="E29" i="18"/>
  <c r="C30" i="18"/>
  <c r="G29" i="18"/>
  <c r="G30" i="18"/>
  <c r="B29" i="17"/>
  <c r="C29" i="17"/>
  <c r="B30" i="17"/>
  <c r="D29" i="17"/>
  <c r="D30" i="17"/>
  <c r="F35" i="16"/>
  <c r="D35" i="16"/>
  <c r="F31" i="16"/>
  <c r="E31" i="16"/>
  <c r="G30" i="16"/>
  <c r="F30" i="16"/>
  <c r="F29" i="16"/>
  <c r="E29" i="16"/>
  <c r="G28" i="16"/>
  <c r="G31" i="16" s="1"/>
  <c r="F28" i="16"/>
  <c r="E28" i="16"/>
  <c r="E30" i="16" s="1"/>
  <c r="D28" i="16"/>
  <c r="D31" i="16" s="1"/>
  <c r="C28" i="16"/>
  <c r="C30" i="16" s="1"/>
  <c r="B28" i="16"/>
  <c r="B29" i="16" s="1"/>
  <c r="F35" i="15"/>
  <c r="D35" i="15"/>
  <c r="G31" i="15"/>
  <c r="C31" i="15"/>
  <c r="B31" i="15"/>
  <c r="C30" i="15"/>
  <c r="B30" i="15"/>
  <c r="C29" i="15"/>
  <c r="B29" i="15"/>
  <c r="G28" i="15"/>
  <c r="G30" i="15" s="1"/>
  <c r="F28" i="15"/>
  <c r="F31" i="15" s="1"/>
  <c r="E28" i="15"/>
  <c r="E31" i="15" s="1"/>
  <c r="D28" i="15"/>
  <c r="D31" i="15" s="1"/>
  <c r="C28" i="15"/>
  <c r="B28" i="15"/>
  <c r="F35" i="14"/>
  <c r="D35" i="14"/>
  <c r="G28" i="14"/>
  <c r="G31" i="14" s="1"/>
  <c r="F28" i="14"/>
  <c r="F31" i="14" s="1"/>
  <c r="E28" i="14"/>
  <c r="E29" i="14" s="1"/>
  <c r="D28" i="14"/>
  <c r="D31" i="14" s="1"/>
  <c r="C28" i="14"/>
  <c r="C31" i="14" s="1"/>
  <c r="B28" i="14"/>
  <c r="B31" i="14" s="1"/>
  <c r="F35" i="13"/>
  <c r="D35" i="13"/>
  <c r="G31" i="13"/>
  <c r="C31" i="13"/>
  <c r="B31" i="13"/>
  <c r="C30" i="13"/>
  <c r="B30" i="13"/>
  <c r="G29" i="13"/>
  <c r="C29" i="13"/>
  <c r="G28" i="13"/>
  <c r="G30" i="13" s="1"/>
  <c r="F28" i="13"/>
  <c r="F31" i="13" s="1"/>
  <c r="E28" i="13"/>
  <c r="E31" i="13" s="1"/>
  <c r="D28" i="13"/>
  <c r="D30" i="13" s="1"/>
  <c r="C28" i="13"/>
  <c r="B28" i="13"/>
  <c r="B29" i="13" s="1"/>
  <c r="F35" i="12"/>
  <c r="D35" i="12"/>
  <c r="E31" i="12"/>
  <c r="D31" i="12"/>
  <c r="C31" i="12"/>
  <c r="B31" i="12"/>
  <c r="E30" i="12"/>
  <c r="D30" i="12"/>
  <c r="C30" i="12"/>
  <c r="B30" i="12"/>
  <c r="E29" i="12"/>
  <c r="D29" i="12"/>
  <c r="G28" i="12"/>
  <c r="G29" i="12" s="1"/>
  <c r="F28" i="12"/>
  <c r="F31" i="12" s="1"/>
  <c r="E28" i="12"/>
  <c r="D28" i="12"/>
  <c r="C28" i="12"/>
  <c r="C29" i="12" s="1"/>
  <c r="B28" i="12"/>
  <c r="B29" i="12" s="1"/>
  <c r="F35" i="11"/>
  <c r="D35" i="11"/>
  <c r="F31" i="11"/>
  <c r="D31" i="11"/>
  <c r="C31" i="11"/>
  <c r="B31" i="11"/>
  <c r="F30" i="11"/>
  <c r="E30" i="11"/>
  <c r="D30" i="11"/>
  <c r="C30" i="11"/>
  <c r="B30" i="11"/>
  <c r="F29" i="11"/>
  <c r="E29" i="11"/>
  <c r="D29" i="11"/>
  <c r="C29" i="11"/>
  <c r="B29" i="11"/>
  <c r="G28" i="11"/>
  <c r="G31" i="11" s="1"/>
  <c r="F28" i="11"/>
  <c r="E28" i="11"/>
  <c r="E31" i="11" s="1"/>
  <c r="D28" i="11"/>
  <c r="C28" i="11"/>
  <c r="B28" i="11"/>
  <c r="C31" i="16" l="1"/>
  <c r="B30" i="16"/>
  <c r="B31" i="16"/>
  <c r="C29" i="16"/>
  <c r="G29" i="16"/>
  <c r="D30" i="16"/>
  <c r="D29" i="16"/>
  <c r="D29" i="15"/>
  <c r="E29" i="15"/>
  <c r="F29" i="15"/>
  <c r="G29" i="15"/>
  <c r="D30" i="15"/>
  <c r="E30" i="15"/>
  <c r="F30" i="15"/>
  <c r="B29" i="14"/>
  <c r="C29" i="14"/>
  <c r="D29" i="14"/>
  <c r="B30" i="14"/>
  <c r="C30" i="14"/>
  <c r="D30" i="14"/>
  <c r="E31" i="14"/>
  <c r="E30" i="14"/>
  <c r="F29" i="14"/>
  <c r="G29" i="14"/>
  <c r="F30" i="14"/>
  <c r="G30" i="14"/>
  <c r="D29" i="13"/>
  <c r="E30" i="13"/>
  <c r="F30" i="13"/>
  <c r="F29" i="13"/>
  <c r="D31" i="13"/>
  <c r="E29" i="13"/>
  <c r="G30" i="12"/>
  <c r="F29" i="12"/>
  <c r="G31" i="12"/>
  <c r="F30" i="12"/>
  <c r="G29" i="11"/>
  <c r="G30" i="11"/>
  <c r="F35" i="10"/>
  <c r="D35" i="10"/>
  <c r="G28" i="10"/>
  <c r="G31" i="10" s="1"/>
  <c r="F28" i="10"/>
  <c r="F30" i="10" s="1"/>
  <c r="E28" i="10"/>
  <c r="E30" i="10" s="1"/>
  <c r="D28" i="10"/>
  <c r="D30" i="10" s="1"/>
  <c r="C28" i="10"/>
  <c r="C30" i="10" s="1"/>
  <c r="B28" i="10"/>
  <c r="B30" i="10" s="1"/>
  <c r="B31" i="10" l="1"/>
  <c r="G30" i="10"/>
  <c r="C31" i="10"/>
  <c r="B29" i="10"/>
  <c r="C29" i="10"/>
  <c r="D31" i="10"/>
  <c r="E31" i="10"/>
  <c r="D29" i="10"/>
  <c r="E29" i="10"/>
  <c r="F29" i="10"/>
  <c r="G29" i="10"/>
  <c r="F31" i="10"/>
  <c r="F35" i="9"/>
  <c r="D35" i="9"/>
  <c r="F31" i="9"/>
  <c r="E31" i="9"/>
  <c r="C31" i="9"/>
  <c r="G28" i="9"/>
  <c r="G29" i="9" s="1"/>
  <c r="F28" i="9"/>
  <c r="F30" i="9" s="1"/>
  <c r="E28" i="9"/>
  <c r="E29" i="9" s="1"/>
  <c r="D28" i="9"/>
  <c r="D31" i="9" s="1"/>
  <c r="C28" i="9"/>
  <c r="C29" i="9" s="1"/>
  <c r="B28" i="9"/>
  <c r="B29" i="9" s="1"/>
  <c r="F35" i="8"/>
  <c r="D35" i="8"/>
  <c r="F31" i="8"/>
  <c r="G28" i="8"/>
  <c r="G29" i="8" s="1"/>
  <c r="F28" i="8"/>
  <c r="F29" i="8" s="1"/>
  <c r="E28" i="8"/>
  <c r="E29" i="8" s="1"/>
  <c r="D28" i="8"/>
  <c r="D29" i="8" s="1"/>
  <c r="C28" i="8"/>
  <c r="C29" i="8" s="1"/>
  <c r="B28" i="8"/>
  <c r="B29" i="8" s="1"/>
  <c r="F35" i="7"/>
  <c r="D35" i="7"/>
  <c r="B30" i="7"/>
  <c r="G29" i="7"/>
  <c r="G28" i="7"/>
  <c r="G31" i="7" s="1"/>
  <c r="F28" i="7"/>
  <c r="F31" i="7" s="1"/>
  <c r="E28" i="7"/>
  <c r="E29" i="7" s="1"/>
  <c r="D28" i="7"/>
  <c r="D29" i="7" s="1"/>
  <c r="C28" i="7"/>
  <c r="C29" i="7" s="1"/>
  <c r="B28" i="7"/>
  <c r="B29" i="7" s="1"/>
  <c r="F35" i="6"/>
  <c r="D35" i="6"/>
  <c r="D31" i="6"/>
  <c r="C31" i="6"/>
  <c r="D30" i="6"/>
  <c r="C30" i="6"/>
  <c r="B30" i="6"/>
  <c r="F29" i="6"/>
  <c r="G28" i="6"/>
  <c r="G31" i="6" s="1"/>
  <c r="F28" i="6"/>
  <c r="F31" i="6" s="1"/>
  <c r="E28" i="6"/>
  <c r="E31" i="6" s="1"/>
  <c r="D28" i="6"/>
  <c r="D29" i="6" s="1"/>
  <c r="C28" i="6"/>
  <c r="C29" i="6" s="1"/>
  <c r="B28" i="6"/>
  <c r="B29" i="6" s="1"/>
  <c r="F35" i="5"/>
  <c r="D35" i="5"/>
  <c r="C31" i="5"/>
  <c r="D30" i="5"/>
  <c r="G28" i="5"/>
  <c r="G31" i="5" s="1"/>
  <c r="F28" i="5"/>
  <c r="F31" i="5" s="1"/>
  <c r="E28" i="5"/>
  <c r="E31" i="5" s="1"/>
  <c r="D28" i="5"/>
  <c r="D31" i="5" s="1"/>
  <c r="C28" i="5"/>
  <c r="C30" i="5" s="1"/>
  <c r="B28" i="5"/>
  <c r="B31" i="5" s="1"/>
  <c r="F35" i="4"/>
  <c r="D35" i="4"/>
  <c r="G28" i="4"/>
  <c r="G30" i="4" s="1"/>
  <c r="F28" i="4"/>
  <c r="F30" i="4" s="1"/>
  <c r="E28" i="4"/>
  <c r="E30" i="4" s="1"/>
  <c r="D28" i="4"/>
  <c r="D30" i="4" s="1"/>
  <c r="C28" i="4"/>
  <c r="C30" i="4" s="1"/>
  <c r="B28" i="4"/>
  <c r="B31" i="4" s="1"/>
  <c r="F35" i="3"/>
  <c r="D35" i="3"/>
  <c r="B30" i="3"/>
  <c r="B29" i="3"/>
  <c r="G28" i="3"/>
  <c r="G31" i="3" s="1"/>
  <c r="F28" i="3"/>
  <c r="F31" i="3" s="1"/>
  <c r="E28" i="3"/>
  <c r="E31" i="3" s="1"/>
  <c r="D28" i="3"/>
  <c r="D29" i="3" s="1"/>
  <c r="C28" i="3"/>
  <c r="C31" i="3" s="1"/>
  <c r="B28" i="3"/>
  <c r="B31" i="3" s="1"/>
  <c r="F35" i="2"/>
  <c r="D35" i="2"/>
  <c r="G28" i="2"/>
  <c r="G30" i="2" s="1"/>
  <c r="F28" i="2"/>
  <c r="F31" i="2" s="1"/>
  <c r="E28" i="2"/>
  <c r="E31" i="2" s="1"/>
  <c r="D28" i="2"/>
  <c r="D31" i="2" s="1"/>
  <c r="C28" i="2"/>
  <c r="C31" i="2" s="1"/>
  <c r="B28" i="2"/>
  <c r="B31" i="2" s="1"/>
  <c r="F35" i="1"/>
  <c r="D35" i="1"/>
  <c r="G31" i="1"/>
  <c r="F31" i="1"/>
  <c r="G30" i="1"/>
  <c r="B29" i="1"/>
  <c r="G28" i="1"/>
  <c r="G29" i="1" s="1"/>
  <c r="F28" i="1"/>
  <c r="F30" i="1" s="1"/>
  <c r="E28" i="1"/>
  <c r="E31" i="1" s="1"/>
  <c r="D28" i="1"/>
  <c r="D31" i="1" s="1"/>
  <c r="C28" i="1"/>
  <c r="C31" i="1" s="1"/>
  <c r="B28" i="1"/>
  <c r="B31" i="1" s="1"/>
  <c r="D29" i="9" l="1"/>
  <c r="F29" i="9"/>
  <c r="D30" i="9"/>
  <c r="B30" i="9"/>
  <c r="E30" i="9"/>
  <c r="C30" i="9"/>
  <c r="B31" i="9"/>
  <c r="G31" i="9"/>
  <c r="G30" i="9"/>
  <c r="B31" i="8"/>
  <c r="B30" i="8"/>
  <c r="D30" i="8"/>
  <c r="F30" i="8"/>
  <c r="C30" i="8"/>
  <c r="C31" i="8"/>
  <c r="E30" i="8"/>
  <c r="G30" i="8"/>
  <c r="D31" i="8"/>
  <c r="E31" i="8"/>
  <c r="G31" i="8"/>
  <c r="G30" i="7"/>
  <c r="F30" i="7"/>
  <c r="B31" i="7"/>
  <c r="F29" i="7"/>
  <c r="C30" i="7"/>
  <c r="C31" i="7"/>
  <c r="D30" i="7"/>
  <c r="D31" i="7"/>
  <c r="E30" i="7"/>
  <c r="E31" i="7"/>
  <c r="G29" i="6"/>
  <c r="E30" i="6"/>
  <c r="F30" i="6"/>
  <c r="G30" i="6"/>
  <c r="B31" i="6"/>
  <c r="E29" i="6"/>
  <c r="B30" i="5"/>
  <c r="E29" i="5"/>
  <c r="C29" i="5"/>
  <c r="G29" i="5"/>
  <c r="E30" i="5"/>
  <c r="F30" i="5"/>
  <c r="D29" i="5"/>
  <c r="B29" i="5"/>
  <c r="F29" i="5"/>
  <c r="G30" i="5"/>
  <c r="E31" i="4"/>
  <c r="F31" i="4"/>
  <c r="C31" i="4"/>
  <c r="D31" i="4"/>
  <c r="G31" i="4"/>
  <c r="D29" i="4"/>
  <c r="B29" i="4"/>
  <c r="C29" i="4"/>
  <c r="E29" i="4"/>
  <c r="F29" i="4"/>
  <c r="G29" i="4"/>
  <c r="B30" i="4"/>
  <c r="D30" i="3"/>
  <c r="F29" i="3"/>
  <c r="C29" i="3"/>
  <c r="E29" i="3"/>
  <c r="G29" i="3"/>
  <c r="C30" i="3"/>
  <c r="E30" i="3"/>
  <c r="F30" i="3"/>
  <c r="G30" i="3"/>
  <c r="D31" i="3"/>
  <c r="B29" i="2"/>
  <c r="B30" i="2"/>
  <c r="D29" i="2"/>
  <c r="C30" i="2"/>
  <c r="C29" i="2"/>
  <c r="G31" i="2"/>
  <c r="E29" i="2"/>
  <c r="F29" i="2"/>
  <c r="G29" i="2"/>
  <c r="D30" i="2"/>
  <c r="E30" i="2"/>
  <c r="F30" i="2"/>
  <c r="C29" i="1"/>
  <c r="D29" i="1"/>
  <c r="E29" i="1"/>
  <c r="F29" i="1"/>
  <c r="B30" i="1"/>
  <c r="C30" i="1"/>
  <c r="D30" i="1"/>
  <c r="E30" i="1"/>
</calcChain>
</file>

<file path=xl/sharedStrings.xml><?xml version="1.0" encoding="utf-8"?>
<sst xmlns="http://schemas.openxmlformats.org/spreadsheetml/2006/main" count="1073" uniqueCount="37">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</sst>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4BE6-77B1-417A-A3AE-ACC5B79D303A}">
  <dimension ref="A1:G35"/>
  <sheetViews>
    <sheetView topLeftCell="A13" workbookViewId="0">
      <selection activeCell="D38" sqref="D3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435.69</v>
      </c>
      <c r="C2" s="1">
        <v>355.49</v>
      </c>
      <c r="D2" s="1">
        <v>354.1</v>
      </c>
      <c r="E2" s="1">
        <v>296.75</v>
      </c>
      <c r="F2" s="1">
        <v>333.3</v>
      </c>
      <c r="G2" s="1">
        <v>278.73</v>
      </c>
    </row>
    <row r="3" spans="1:7" x14ac:dyDescent="0.25">
      <c r="A3" s="1" t="s">
        <v>7</v>
      </c>
      <c r="B3" s="1">
        <v>38.94</v>
      </c>
      <c r="C3" s="1">
        <v>34.01</v>
      </c>
      <c r="D3" s="1">
        <v>33.909999999999997</v>
      </c>
      <c r="E3" s="1">
        <v>29.72</v>
      </c>
      <c r="F3" s="1">
        <v>35.85</v>
      </c>
      <c r="G3" s="1">
        <v>30.52</v>
      </c>
    </row>
    <row r="4" spans="1:7" x14ac:dyDescent="0.25">
      <c r="A4" s="1" t="s">
        <v>8</v>
      </c>
      <c r="B4" s="1">
        <v>17355.29</v>
      </c>
      <c r="C4" s="1">
        <v>12524.21</v>
      </c>
      <c r="D4" s="1">
        <v>12254.45</v>
      </c>
      <c r="E4" s="1">
        <v>9082.2900000000009</v>
      </c>
      <c r="F4" s="1">
        <v>12282.91</v>
      </c>
      <c r="G4" s="1">
        <v>8739.2000000000007</v>
      </c>
    </row>
    <row r="5" spans="1:7" x14ac:dyDescent="0.25">
      <c r="A5" s="1" t="s">
        <v>9</v>
      </c>
      <c r="B5" s="1">
        <v>1708.07</v>
      </c>
      <c r="C5" s="1">
        <v>2509.0500000000002</v>
      </c>
      <c r="D5" s="1">
        <v>2062.23</v>
      </c>
      <c r="E5" s="1">
        <v>1311.92</v>
      </c>
      <c r="F5" s="1">
        <v>1266.24</v>
      </c>
      <c r="G5" s="1">
        <v>1873.25</v>
      </c>
    </row>
    <row r="6" spans="1:7" x14ac:dyDescent="0.25">
      <c r="A6" s="3" t="s">
        <v>10</v>
      </c>
      <c r="B6" s="3">
        <v>170.81</v>
      </c>
      <c r="C6" s="3">
        <v>253.44</v>
      </c>
      <c r="D6" s="3">
        <v>208.31</v>
      </c>
      <c r="E6" s="3">
        <v>132.52000000000001</v>
      </c>
      <c r="F6" s="3">
        <v>127.9</v>
      </c>
      <c r="G6" s="3">
        <v>189.22</v>
      </c>
    </row>
    <row r="7" spans="1:7" x14ac:dyDescent="0.25">
      <c r="A7" s="1" t="s">
        <v>11</v>
      </c>
      <c r="B7" s="1">
        <v>1559.43</v>
      </c>
      <c r="C7" s="1">
        <v>2344.0500000000002</v>
      </c>
      <c r="D7" s="1">
        <v>1917.29</v>
      </c>
      <c r="E7" s="1">
        <v>1219.47</v>
      </c>
      <c r="F7" s="1">
        <v>1015.94</v>
      </c>
      <c r="G7" s="1">
        <v>1711.03</v>
      </c>
    </row>
    <row r="8" spans="1:7" x14ac:dyDescent="0.25">
      <c r="A8" s="1" t="s">
        <v>12</v>
      </c>
      <c r="B8" s="1">
        <v>155.94</v>
      </c>
      <c r="C8" s="1">
        <v>236.77</v>
      </c>
      <c r="D8" s="1">
        <v>193.67</v>
      </c>
      <c r="E8" s="1">
        <v>123.18</v>
      </c>
      <c r="F8" s="1">
        <v>102.62</v>
      </c>
      <c r="G8" s="1">
        <v>172.83</v>
      </c>
    </row>
    <row r="9" spans="1:7" x14ac:dyDescent="0.25">
      <c r="A9" s="1" t="s">
        <v>13</v>
      </c>
      <c r="B9" s="1">
        <v>1530.45</v>
      </c>
      <c r="C9" s="1">
        <v>2344.0500000000002</v>
      </c>
      <c r="D9" s="1">
        <v>1917.29</v>
      </c>
      <c r="E9" s="1">
        <v>1177.42</v>
      </c>
      <c r="F9" s="1">
        <v>795.11</v>
      </c>
      <c r="G9" s="1">
        <v>1151.06</v>
      </c>
    </row>
    <row r="10" spans="1:7" x14ac:dyDescent="0.25">
      <c r="A10" s="1" t="s">
        <v>14</v>
      </c>
      <c r="B10" s="1">
        <v>153.05000000000001</v>
      </c>
      <c r="C10" s="1">
        <v>236.77</v>
      </c>
      <c r="D10" s="1">
        <v>193.67</v>
      </c>
      <c r="E10" s="1">
        <v>118.93</v>
      </c>
      <c r="F10" s="1">
        <v>80.31</v>
      </c>
      <c r="G10" s="1">
        <v>116.27</v>
      </c>
    </row>
    <row r="11" spans="1:7" x14ac:dyDescent="0.25">
      <c r="A11" s="1" t="s">
        <v>15</v>
      </c>
      <c r="B11" s="1">
        <v>1411.57</v>
      </c>
      <c r="C11" s="1">
        <v>2126.04</v>
      </c>
      <c r="D11" s="1">
        <v>1696.74</v>
      </c>
      <c r="E11" s="1">
        <v>942.49</v>
      </c>
      <c r="F11" s="1">
        <v>779.57</v>
      </c>
      <c r="G11" s="1">
        <v>1015.24</v>
      </c>
    </row>
    <row r="12" spans="1:7" x14ac:dyDescent="0.25">
      <c r="A12" s="1" t="s">
        <v>16</v>
      </c>
      <c r="B12" s="1">
        <v>217.64</v>
      </c>
      <c r="C12" s="1">
        <v>212.9</v>
      </c>
      <c r="D12" s="1">
        <v>206.01</v>
      </c>
      <c r="E12" s="1">
        <v>159.88</v>
      </c>
      <c r="F12" s="1">
        <v>164.88</v>
      </c>
      <c r="G12" s="1">
        <v>168.77</v>
      </c>
    </row>
    <row r="13" spans="1:7" x14ac:dyDescent="0.25">
      <c r="A13" s="1" t="s">
        <v>17</v>
      </c>
      <c r="B13" s="1">
        <v>23.58</v>
      </c>
      <c r="C13" s="1">
        <v>25.65</v>
      </c>
      <c r="D13" s="1">
        <v>26.57</v>
      </c>
      <c r="E13" s="1">
        <v>27.94</v>
      </c>
      <c r="F13" s="1">
        <v>21.4</v>
      </c>
      <c r="G13" s="1">
        <v>30.32</v>
      </c>
    </row>
    <row r="14" spans="1:7" x14ac:dyDescent="0.25">
      <c r="A14" s="1" t="s">
        <v>18</v>
      </c>
      <c r="B14" s="1">
        <v>59.52</v>
      </c>
      <c r="C14" s="1">
        <v>57.38</v>
      </c>
      <c r="D14" s="1">
        <v>52.52</v>
      </c>
      <c r="E14" s="1">
        <v>63.12</v>
      </c>
      <c r="F14" s="1">
        <v>62.69</v>
      </c>
      <c r="G14" s="1">
        <v>70.09</v>
      </c>
    </row>
    <row r="15" spans="1:7" x14ac:dyDescent="0.25">
      <c r="A15" s="1" t="s">
        <v>19</v>
      </c>
      <c r="B15" s="1">
        <v>4</v>
      </c>
      <c r="C15" s="1">
        <v>8</v>
      </c>
      <c r="D15" s="1">
        <v>6</v>
      </c>
      <c r="E15" s="1">
        <v>6</v>
      </c>
      <c r="F15" s="1">
        <v>7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1544.94</v>
      </c>
      <c r="C17" s="1">
        <v>2344.0500000000002</v>
      </c>
      <c r="D17" s="1">
        <v>1917.29</v>
      </c>
      <c r="E17" s="1">
        <v>1198.44</v>
      </c>
      <c r="F17" s="1">
        <v>905.53</v>
      </c>
      <c r="G17" s="1">
        <v>1431.04</v>
      </c>
    </row>
    <row r="18" spans="1:7" x14ac:dyDescent="0.25">
      <c r="A18" s="1" t="s">
        <v>22</v>
      </c>
      <c r="B18" s="1">
        <v>14.49</v>
      </c>
      <c r="C18" s="1">
        <v>0</v>
      </c>
      <c r="D18" s="1">
        <v>0</v>
      </c>
      <c r="E18" s="1">
        <v>21.03</v>
      </c>
      <c r="F18" s="1">
        <v>110.42</v>
      </c>
      <c r="G18" s="1">
        <v>279.98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1.1000000000000001</v>
      </c>
      <c r="G20" s="1">
        <v>1.4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8.9</v>
      </c>
      <c r="G21" s="1">
        <v>8.6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1.4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1.1000000000000001</v>
      </c>
      <c r="F25" s="1">
        <v>2.9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8.9</v>
      </c>
      <c r="F26" s="1">
        <v>7.1</v>
      </c>
      <c r="G26" s="1">
        <v>8.6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13.999999999999998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11.000000000000002</v>
      </c>
      <c r="F30" s="3">
        <f t="shared" si="2"/>
        <v>28.999999999999996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89</v>
      </c>
      <c r="F31" s="3">
        <f t="shared" si="3"/>
        <v>71</v>
      </c>
      <c r="G31" s="3">
        <f t="shared" si="3"/>
        <v>86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164.06</v>
      </c>
      <c r="C33" s="3">
        <v>249.09</v>
      </c>
      <c r="D33" s="3">
        <v>208.14</v>
      </c>
      <c r="E33" s="3">
        <v>113.25</v>
      </c>
      <c r="F33" s="3">
        <v>100.89</v>
      </c>
      <c r="G33" s="3">
        <v>123.79</v>
      </c>
    </row>
    <row r="35" spans="1:7" x14ac:dyDescent="0.25">
      <c r="A35" s="3" t="s">
        <v>36</v>
      </c>
      <c r="B35" s="3"/>
      <c r="C35" s="3"/>
      <c r="D35" s="3">
        <f>D33-C33</f>
        <v>-40.950000000000017</v>
      </c>
      <c r="E35" s="3"/>
      <c r="F35" s="3">
        <f>F33-E33</f>
        <v>-12.36</v>
      </c>
      <c r="G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4EF1-A26F-4E4E-A1F5-62F8797FF0EF}">
  <dimension ref="A1:G35"/>
  <sheetViews>
    <sheetView topLeftCell="A13" workbookViewId="0">
      <selection activeCell="J24" sqref="J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463.19</v>
      </c>
      <c r="C2" s="1">
        <v>482.96</v>
      </c>
      <c r="D2" s="1">
        <v>429.85</v>
      </c>
      <c r="E2" s="1">
        <v>492.34</v>
      </c>
      <c r="F2" s="1">
        <v>493.95</v>
      </c>
      <c r="G2" s="1">
        <v>419.68</v>
      </c>
    </row>
    <row r="3" spans="1:7" x14ac:dyDescent="0.25">
      <c r="A3" s="1" t="s">
        <v>7</v>
      </c>
      <c r="B3" s="1">
        <v>38.76</v>
      </c>
      <c r="C3" s="1">
        <v>40.06</v>
      </c>
      <c r="D3" s="1">
        <v>35.659999999999997</v>
      </c>
      <c r="E3" s="1">
        <v>41.58</v>
      </c>
      <c r="F3" s="1">
        <v>41.56</v>
      </c>
      <c r="G3" s="1">
        <v>35.54</v>
      </c>
    </row>
    <row r="4" spans="1:7" x14ac:dyDescent="0.25">
      <c r="A4" s="1" t="s">
        <v>8</v>
      </c>
      <c r="B4" s="1">
        <v>18313.78</v>
      </c>
      <c r="C4" s="1">
        <v>19716.89</v>
      </c>
      <c r="D4" s="1">
        <v>15645.91</v>
      </c>
      <c r="E4" s="1">
        <v>20849.580000000002</v>
      </c>
      <c r="F4" s="1">
        <v>20879.77</v>
      </c>
      <c r="G4" s="1">
        <v>15181.62</v>
      </c>
    </row>
    <row r="5" spans="1:7" x14ac:dyDescent="0.25">
      <c r="A5" s="1" t="s">
        <v>9</v>
      </c>
      <c r="B5" s="1">
        <v>3214.88</v>
      </c>
      <c r="C5" s="1">
        <v>3180.12</v>
      </c>
      <c r="D5" s="1">
        <v>3788.49</v>
      </c>
      <c r="E5" s="1">
        <v>3280.82</v>
      </c>
      <c r="F5" s="1">
        <v>3182.52</v>
      </c>
      <c r="G5" s="1">
        <v>3401.77</v>
      </c>
    </row>
    <row r="6" spans="1:7" x14ac:dyDescent="0.25">
      <c r="A6" s="3" t="s">
        <v>10</v>
      </c>
      <c r="B6" s="3">
        <v>321.49</v>
      </c>
      <c r="C6" s="3">
        <v>321.22000000000003</v>
      </c>
      <c r="D6" s="3">
        <v>382.68</v>
      </c>
      <c r="E6" s="3">
        <v>331.4</v>
      </c>
      <c r="F6" s="3">
        <v>321.47000000000003</v>
      </c>
      <c r="G6" s="3">
        <v>343.61</v>
      </c>
    </row>
    <row r="7" spans="1:7" x14ac:dyDescent="0.25">
      <c r="A7" s="1" t="s">
        <v>11</v>
      </c>
      <c r="B7" s="1">
        <v>2802.36</v>
      </c>
      <c r="C7" s="1">
        <v>2953.06</v>
      </c>
      <c r="D7" s="1">
        <v>3484.62</v>
      </c>
      <c r="E7" s="1">
        <v>2999.66</v>
      </c>
      <c r="F7" s="1">
        <v>2953.44</v>
      </c>
      <c r="G7" s="1">
        <v>3051.72</v>
      </c>
    </row>
    <row r="8" spans="1:7" x14ac:dyDescent="0.25">
      <c r="A8" s="1" t="s">
        <v>12</v>
      </c>
      <c r="B8" s="1">
        <v>280.24</v>
      </c>
      <c r="C8" s="1">
        <v>298.29000000000002</v>
      </c>
      <c r="D8" s="1">
        <v>351.98</v>
      </c>
      <c r="E8" s="1">
        <v>303</v>
      </c>
      <c r="F8" s="1">
        <v>298.33</v>
      </c>
      <c r="G8" s="1">
        <v>308.25</v>
      </c>
    </row>
    <row r="9" spans="1:7" x14ac:dyDescent="0.25">
      <c r="A9" s="1" t="s">
        <v>13</v>
      </c>
      <c r="B9" s="1">
        <v>2802.36</v>
      </c>
      <c r="C9" s="1">
        <v>2953.06</v>
      </c>
      <c r="D9" s="1">
        <v>3484.62</v>
      </c>
      <c r="E9" s="1">
        <v>2999.66</v>
      </c>
      <c r="F9" s="1">
        <v>2953.44</v>
      </c>
      <c r="G9" s="1">
        <v>3051.72</v>
      </c>
    </row>
    <row r="10" spans="1:7" x14ac:dyDescent="0.25">
      <c r="A10" s="1" t="s">
        <v>14</v>
      </c>
      <c r="B10" s="1">
        <v>280.24</v>
      </c>
      <c r="C10" s="1">
        <v>298.29000000000002</v>
      </c>
      <c r="D10" s="1">
        <v>351.98</v>
      </c>
      <c r="E10" s="1">
        <v>303</v>
      </c>
      <c r="F10" s="1">
        <v>298.33</v>
      </c>
      <c r="G10" s="1">
        <v>308.25</v>
      </c>
    </row>
    <row r="11" spans="1:7" x14ac:dyDescent="0.25">
      <c r="A11" s="1" t="s">
        <v>15</v>
      </c>
      <c r="B11" s="1">
        <v>2935.49</v>
      </c>
      <c r="C11" s="1">
        <v>2828.38</v>
      </c>
      <c r="D11" s="1">
        <v>3059.76</v>
      </c>
      <c r="E11" s="1">
        <v>2613.41</v>
      </c>
      <c r="F11" s="1">
        <v>2948.03</v>
      </c>
      <c r="G11" s="1">
        <v>3223.72</v>
      </c>
    </row>
    <row r="12" spans="1:7" x14ac:dyDescent="0.25">
      <c r="A12" s="1" t="s">
        <v>16</v>
      </c>
      <c r="B12" s="1">
        <v>259.74</v>
      </c>
      <c r="C12" s="1">
        <v>276.06</v>
      </c>
      <c r="D12" s="1">
        <v>250.22</v>
      </c>
      <c r="E12" s="1">
        <v>261.55</v>
      </c>
      <c r="F12" s="1">
        <v>266.76</v>
      </c>
      <c r="G12" s="1">
        <v>258.89</v>
      </c>
    </row>
    <row r="13" spans="1:7" x14ac:dyDescent="0.25">
      <c r="A13" s="1" t="s">
        <v>17</v>
      </c>
      <c r="B13" s="1">
        <v>27.93</v>
      </c>
      <c r="C13" s="1">
        <v>31.22</v>
      </c>
      <c r="D13" s="1">
        <v>27.63</v>
      </c>
      <c r="E13" s="1">
        <v>28.44</v>
      </c>
      <c r="F13" s="1">
        <v>31.56</v>
      </c>
      <c r="G13" s="1">
        <v>22.58</v>
      </c>
    </row>
    <row r="14" spans="1:7" x14ac:dyDescent="0.25">
      <c r="A14" s="1" t="s">
        <v>18</v>
      </c>
      <c r="B14" s="1">
        <v>67.010000000000005</v>
      </c>
      <c r="C14" s="1">
        <v>66.739999999999995</v>
      </c>
      <c r="D14" s="1">
        <v>52.83</v>
      </c>
      <c r="E14" s="1">
        <v>84.52</v>
      </c>
      <c r="F14" s="1">
        <v>67.16</v>
      </c>
      <c r="G14" s="1">
        <v>59.11</v>
      </c>
    </row>
    <row r="15" spans="1:7" x14ac:dyDescent="0.25">
      <c r="A15" s="1" t="s">
        <v>19</v>
      </c>
      <c r="B15" s="1">
        <v>4</v>
      </c>
      <c r="C15" s="1">
        <v>7</v>
      </c>
      <c r="D15" s="1">
        <v>6</v>
      </c>
      <c r="E15" s="1">
        <v>4</v>
      </c>
      <c r="F15" s="1">
        <v>8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2802.36</v>
      </c>
      <c r="C17" s="1">
        <v>2953.06</v>
      </c>
      <c r="D17" s="1">
        <v>3484.62</v>
      </c>
      <c r="E17" s="1">
        <v>2999.66</v>
      </c>
      <c r="F17" s="1">
        <v>2953.44</v>
      </c>
      <c r="G17" s="1">
        <v>3051.72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311.35000000000002</v>
      </c>
      <c r="C33" s="3">
        <v>316.22000000000003</v>
      </c>
      <c r="D33" s="3">
        <v>379.12</v>
      </c>
      <c r="E33" s="3">
        <v>325.38119000000012</v>
      </c>
      <c r="F33" s="3">
        <v>316.57</v>
      </c>
      <c r="G33" s="3">
        <v>341.13</v>
      </c>
    </row>
    <row r="35" spans="1:7" x14ac:dyDescent="0.25">
      <c r="A35" s="3" t="s">
        <v>36</v>
      </c>
      <c r="B35" s="3"/>
      <c r="C35" s="3"/>
      <c r="D35" s="3">
        <f>D33-C33</f>
        <v>62.899999999999977</v>
      </c>
      <c r="E35" s="3"/>
      <c r="F35" s="3">
        <f>F33-E33</f>
        <v>-8.8111900000001242</v>
      </c>
      <c r="G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132F-6CCD-4BA3-BD91-78D4FDD87E0D}">
  <dimension ref="A1:G35"/>
  <sheetViews>
    <sheetView topLeftCell="A16" workbookViewId="0">
      <selection activeCell="J24" sqref="J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338.75</v>
      </c>
      <c r="C2" s="1">
        <v>411.81</v>
      </c>
      <c r="D2" s="1">
        <v>406.94</v>
      </c>
      <c r="E2" s="1">
        <v>388.47</v>
      </c>
      <c r="F2" s="1">
        <v>476.77</v>
      </c>
      <c r="G2" s="1">
        <v>497.05</v>
      </c>
    </row>
    <row r="3" spans="1:7" x14ac:dyDescent="0.25">
      <c r="A3" s="1" t="s">
        <v>7</v>
      </c>
      <c r="B3" s="1">
        <v>33.9</v>
      </c>
      <c r="C3" s="1">
        <v>34.85</v>
      </c>
      <c r="D3" s="1">
        <v>34.94</v>
      </c>
      <c r="E3" s="1">
        <v>32.46</v>
      </c>
      <c r="F3" s="1">
        <v>45.49</v>
      </c>
      <c r="G3" s="1">
        <v>50.58</v>
      </c>
    </row>
    <row r="4" spans="1:7" x14ac:dyDescent="0.25">
      <c r="A4" s="1" t="s">
        <v>8</v>
      </c>
      <c r="B4" s="1">
        <v>11852.91</v>
      </c>
      <c r="C4" s="1">
        <v>14648.76</v>
      </c>
      <c r="D4" s="1">
        <v>14467.41</v>
      </c>
      <c r="E4" s="1">
        <v>12851.81</v>
      </c>
      <c r="F4" s="1">
        <v>22091.71</v>
      </c>
      <c r="G4" s="1">
        <v>25668.63</v>
      </c>
    </row>
    <row r="5" spans="1:7" x14ac:dyDescent="0.25">
      <c r="A5" s="1" t="s">
        <v>9</v>
      </c>
      <c r="B5" s="1">
        <v>1742.12</v>
      </c>
      <c r="C5" s="1">
        <v>2771.16</v>
      </c>
      <c r="D5" s="1">
        <v>1867.4</v>
      </c>
      <c r="E5" s="1">
        <v>2908.17</v>
      </c>
      <c r="F5" s="1">
        <v>2177.84</v>
      </c>
      <c r="G5" s="1">
        <v>3101.74</v>
      </c>
    </row>
    <row r="6" spans="1:7" x14ac:dyDescent="0.25">
      <c r="A6" s="3" t="s">
        <v>10</v>
      </c>
      <c r="B6" s="3">
        <v>174.21</v>
      </c>
      <c r="C6" s="3">
        <v>279.92</v>
      </c>
      <c r="D6" s="3">
        <v>188.63</v>
      </c>
      <c r="E6" s="3">
        <v>293.76</v>
      </c>
      <c r="F6" s="3">
        <v>219.98</v>
      </c>
      <c r="G6" s="3">
        <v>313.31</v>
      </c>
    </row>
    <row r="7" spans="1:7" x14ac:dyDescent="0.25">
      <c r="A7" s="1" t="s">
        <v>11</v>
      </c>
      <c r="B7" s="1">
        <v>1659.86</v>
      </c>
      <c r="C7" s="1">
        <v>2617.54</v>
      </c>
      <c r="D7" s="1">
        <v>1722.54</v>
      </c>
      <c r="E7" s="1">
        <v>2692.4</v>
      </c>
      <c r="F7" s="1">
        <v>2054.06</v>
      </c>
      <c r="G7" s="1">
        <v>2922.8</v>
      </c>
    </row>
    <row r="8" spans="1:7" x14ac:dyDescent="0.25">
      <c r="A8" s="1" t="s">
        <v>12</v>
      </c>
      <c r="B8" s="1">
        <v>165.99</v>
      </c>
      <c r="C8" s="1">
        <v>264.39999999999998</v>
      </c>
      <c r="D8" s="1">
        <v>173.99</v>
      </c>
      <c r="E8" s="1">
        <v>271.95999999999998</v>
      </c>
      <c r="F8" s="1">
        <v>207.48</v>
      </c>
      <c r="G8" s="1">
        <v>295.23</v>
      </c>
    </row>
    <row r="9" spans="1:7" x14ac:dyDescent="0.25">
      <c r="A9" s="1" t="s">
        <v>13</v>
      </c>
      <c r="B9" s="1">
        <v>1332.15</v>
      </c>
      <c r="C9" s="1">
        <v>2617.54</v>
      </c>
      <c r="D9" s="1">
        <v>1684.46</v>
      </c>
      <c r="E9" s="1">
        <v>2692.4</v>
      </c>
      <c r="F9" s="1">
        <v>2052.16</v>
      </c>
      <c r="G9" s="1">
        <v>2922.8</v>
      </c>
    </row>
    <row r="10" spans="1:7" x14ac:dyDescent="0.25">
      <c r="A10" s="1" t="s">
        <v>14</v>
      </c>
      <c r="B10" s="1">
        <v>133.22</v>
      </c>
      <c r="C10" s="1">
        <v>264.39999999999998</v>
      </c>
      <c r="D10" s="1">
        <v>170.15</v>
      </c>
      <c r="E10" s="1">
        <v>271.95999999999998</v>
      </c>
      <c r="F10" s="1">
        <v>207.29</v>
      </c>
      <c r="G10" s="1">
        <v>295.23</v>
      </c>
    </row>
    <row r="11" spans="1:7" x14ac:dyDescent="0.25">
      <c r="A11" s="1" t="s">
        <v>15</v>
      </c>
      <c r="B11" s="1">
        <v>987.53</v>
      </c>
      <c r="C11" s="1">
        <v>2537.65</v>
      </c>
      <c r="D11" s="1">
        <v>1541.64</v>
      </c>
      <c r="E11" s="1">
        <v>2726.95</v>
      </c>
      <c r="F11" s="1">
        <v>1087.25</v>
      </c>
      <c r="G11" s="1">
        <v>2815.96</v>
      </c>
    </row>
    <row r="12" spans="1:7" x14ac:dyDescent="0.25">
      <c r="A12" s="1" t="s">
        <v>16</v>
      </c>
      <c r="B12" s="1">
        <v>183.69</v>
      </c>
      <c r="C12" s="1">
        <v>226.05</v>
      </c>
      <c r="D12" s="1">
        <v>230.42</v>
      </c>
      <c r="E12" s="1">
        <v>220.47</v>
      </c>
      <c r="F12" s="1">
        <v>253.94</v>
      </c>
      <c r="G12" s="1">
        <v>268.91000000000003</v>
      </c>
    </row>
    <row r="13" spans="1:7" x14ac:dyDescent="0.25">
      <c r="A13" s="1" t="s">
        <v>17</v>
      </c>
      <c r="B13" s="1">
        <v>32.299999999999997</v>
      </c>
      <c r="C13" s="1">
        <v>26.1</v>
      </c>
      <c r="D13" s="1">
        <v>24.67</v>
      </c>
      <c r="E13" s="1">
        <v>24.49</v>
      </c>
      <c r="F13" s="1">
        <v>34.909999999999997</v>
      </c>
      <c r="G13" s="1">
        <v>26.62</v>
      </c>
    </row>
    <row r="14" spans="1:7" x14ac:dyDescent="0.25">
      <c r="A14" s="1" t="s">
        <v>18</v>
      </c>
      <c r="B14" s="1">
        <v>81.16</v>
      </c>
      <c r="C14" s="1">
        <v>65.37</v>
      </c>
      <c r="D14" s="1">
        <v>76.63</v>
      </c>
      <c r="E14" s="1">
        <v>48.61</v>
      </c>
      <c r="F14" s="1">
        <v>75.3</v>
      </c>
      <c r="G14" s="1">
        <v>69.87</v>
      </c>
    </row>
    <row r="15" spans="1:7" x14ac:dyDescent="0.25">
      <c r="A15" s="1" t="s">
        <v>19</v>
      </c>
      <c r="B15" s="1">
        <v>6</v>
      </c>
      <c r="C15" s="1">
        <v>7</v>
      </c>
      <c r="D15" s="1">
        <v>6</v>
      </c>
      <c r="E15" s="1">
        <v>7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1496.01</v>
      </c>
      <c r="C17" s="1">
        <v>2617.54</v>
      </c>
      <c r="D17" s="1">
        <v>1703.5</v>
      </c>
      <c r="E17" s="1">
        <v>2692.4</v>
      </c>
      <c r="F17" s="1">
        <v>2053.11</v>
      </c>
      <c r="G17" s="1">
        <v>2922.8</v>
      </c>
    </row>
    <row r="18" spans="1:7" x14ac:dyDescent="0.25">
      <c r="A18" s="1" t="s">
        <v>22</v>
      </c>
      <c r="B18" s="1">
        <v>163.86</v>
      </c>
      <c r="C18" s="1">
        <v>0</v>
      </c>
      <c r="D18" s="1">
        <v>19.04</v>
      </c>
      <c r="E18" s="1">
        <v>0</v>
      </c>
      <c r="F18" s="1">
        <v>0.95</v>
      </c>
      <c r="G18" s="1">
        <v>0</v>
      </c>
    </row>
    <row r="19" spans="1:7" x14ac:dyDescent="0.25">
      <c r="A19" s="1" t="s">
        <v>23</v>
      </c>
      <c r="B19" s="1">
        <v>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2.2999999999999998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7.8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2.5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7.5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25.742574257425744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74.257425742574256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122.95</v>
      </c>
      <c r="C33" s="3">
        <v>275.82</v>
      </c>
      <c r="D33" s="3">
        <v>182.78</v>
      </c>
      <c r="E33" s="3">
        <v>288.58999999999997</v>
      </c>
      <c r="F33" s="3">
        <v>218.1</v>
      </c>
      <c r="G33" s="3">
        <v>310.16000000000003</v>
      </c>
    </row>
    <row r="35" spans="1:7" x14ac:dyDescent="0.25">
      <c r="A35" s="3" t="s">
        <v>36</v>
      </c>
      <c r="B35" s="3"/>
      <c r="C35" s="3"/>
      <c r="D35" s="3">
        <f>D33-C33</f>
        <v>-93.039999999999992</v>
      </c>
      <c r="E35" s="3"/>
      <c r="F35" s="3">
        <f>F33-E33</f>
        <v>-70.489999999999981</v>
      </c>
      <c r="G3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F38A-3F56-4523-BE72-260BD9888112}">
  <dimension ref="A1:G35"/>
  <sheetViews>
    <sheetView topLeftCell="A13" workbookViewId="0">
      <selection activeCell="J27" sqref="J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331.97</v>
      </c>
      <c r="C2" s="1">
        <v>352.56</v>
      </c>
      <c r="D2" s="1">
        <v>386.75</v>
      </c>
      <c r="E2" s="1">
        <v>404.62</v>
      </c>
      <c r="F2" s="1">
        <v>377.82</v>
      </c>
      <c r="G2" s="1">
        <v>402.94</v>
      </c>
    </row>
    <row r="3" spans="1:7" x14ac:dyDescent="0.25">
      <c r="A3" s="1" t="s">
        <v>7</v>
      </c>
      <c r="B3" s="1">
        <v>32.450000000000003</v>
      </c>
      <c r="C3" s="1">
        <v>35.200000000000003</v>
      </c>
      <c r="D3" s="1">
        <v>34.26</v>
      </c>
      <c r="E3" s="1">
        <v>36.79</v>
      </c>
      <c r="F3" s="1">
        <v>35.51</v>
      </c>
      <c r="G3" s="1">
        <v>36.49</v>
      </c>
    </row>
    <row r="4" spans="1:7" x14ac:dyDescent="0.25">
      <c r="A4" s="1" t="s">
        <v>8</v>
      </c>
      <c r="B4" s="1">
        <v>11324.71</v>
      </c>
      <c r="C4" s="1">
        <v>12959.76</v>
      </c>
      <c r="D4" s="1">
        <v>13652.96</v>
      </c>
      <c r="E4" s="1">
        <v>15292.88</v>
      </c>
      <c r="F4" s="1">
        <v>13752.11</v>
      </c>
      <c r="G4" s="1">
        <v>15006.36</v>
      </c>
    </row>
    <row r="5" spans="1:7" x14ac:dyDescent="0.25">
      <c r="A5" s="1" t="s">
        <v>9</v>
      </c>
      <c r="B5" s="1">
        <v>3010.42</v>
      </c>
      <c r="C5" s="1">
        <v>3123.84</v>
      </c>
      <c r="D5" s="1">
        <v>2965.6</v>
      </c>
      <c r="E5" s="1">
        <v>2858.51</v>
      </c>
      <c r="F5" s="1">
        <v>2911.29</v>
      </c>
      <c r="G5" s="1">
        <v>2655.31</v>
      </c>
    </row>
    <row r="6" spans="1:7" x14ac:dyDescent="0.25">
      <c r="A6" s="3" t="s">
        <v>10</v>
      </c>
      <c r="B6" s="3">
        <v>301.04000000000002</v>
      </c>
      <c r="C6" s="3">
        <v>315.54000000000002</v>
      </c>
      <c r="D6" s="3">
        <v>299.56</v>
      </c>
      <c r="E6" s="3">
        <v>288.74</v>
      </c>
      <c r="F6" s="3">
        <v>294.07</v>
      </c>
      <c r="G6" s="3">
        <v>268.20999999999998</v>
      </c>
    </row>
    <row r="7" spans="1:7" x14ac:dyDescent="0.25">
      <c r="A7" s="1" t="s">
        <v>11</v>
      </c>
      <c r="B7" s="1">
        <v>2773.73</v>
      </c>
      <c r="C7" s="1">
        <v>2777.5</v>
      </c>
      <c r="D7" s="1">
        <v>2851.96</v>
      </c>
      <c r="E7" s="1">
        <v>2626.64</v>
      </c>
      <c r="F7" s="1">
        <v>2694.82</v>
      </c>
      <c r="G7" s="1">
        <v>2441.25</v>
      </c>
    </row>
    <row r="8" spans="1:7" x14ac:dyDescent="0.25">
      <c r="A8" s="1" t="s">
        <v>12</v>
      </c>
      <c r="B8" s="1">
        <v>277.37</v>
      </c>
      <c r="C8" s="1">
        <v>280.56</v>
      </c>
      <c r="D8" s="1">
        <v>288.08</v>
      </c>
      <c r="E8" s="1">
        <v>265.32</v>
      </c>
      <c r="F8" s="1">
        <v>272.2</v>
      </c>
      <c r="G8" s="1">
        <v>246.59</v>
      </c>
    </row>
    <row r="9" spans="1:7" x14ac:dyDescent="0.25">
      <c r="A9" s="1" t="s">
        <v>13</v>
      </c>
      <c r="B9" s="1">
        <v>2773.73</v>
      </c>
      <c r="C9" s="1">
        <v>2777.5</v>
      </c>
      <c r="D9" s="1">
        <v>2851.96</v>
      </c>
      <c r="E9" s="1">
        <v>2626.64</v>
      </c>
      <c r="F9" s="1">
        <v>2694.82</v>
      </c>
      <c r="G9" s="1">
        <v>2441.25</v>
      </c>
    </row>
    <row r="10" spans="1:7" x14ac:dyDescent="0.25">
      <c r="A10" s="1" t="s">
        <v>14</v>
      </c>
      <c r="B10" s="1">
        <v>277.37</v>
      </c>
      <c r="C10" s="1">
        <v>280.56</v>
      </c>
      <c r="D10" s="1">
        <v>288.08</v>
      </c>
      <c r="E10" s="1">
        <v>265.32</v>
      </c>
      <c r="F10" s="1">
        <v>272.2</v>
      </c>
      <c r="G10" s="1">
        <v>246.59</v>
      </c>
    </row>
    <row r="11" spans="1:7" x14ac:dyDescent="0.25">
      <c r="A11" s="1" t="s">
        <v>15</v>
      </c>
      <c r="B11" s="1">
        <v>2711.22</v>
      </c>
      <c r="C11" s="1">
        <v>2977.15</v>
      </c>
      <c r="D11" s="1">
        <v>2547.41</v>
      </c>
      <c r="E11" s="1">
        <v>2510.48</v>
      </c>
      <c r="F11" s="1">
        <v>2659.82</v>
      </c>
      <c r="G11" s="1">
        <v>2404.4</v>
      </c>
    </row>
    <row r="12" spans="1:7" x14ac:dyDescent="0.25">
      <c r="A12" s="1" t="s">
        <v>16</v>
      </c>
      <c r="B12" s="1">
        <v>185.32</v>
      </c>
      <c r="C12" s="1">
        <v>207.84</v>
      </c>
      <c r="D12" s="1">
        <v>233.45</v>
      </c>
      <c r="E12" s="1">
        <v>247.51</v>
      </c>
      <c r="F12" s="1">
        <v>236</v>
      </c>
      <c r="G12" s="1">
        <v>226.46</v>
      </c>
    </row>
    <row r="13" spans="1:7" x14ac:dyDescent="0.25">
      <c r="A13" s="1" t="s">
        <v>17</v>
      </c>
      <c r="B13" s="1">
        <v>22.08</v>
      </c>
      <c r="C13" s="1">
        <v>19.48</v>
      </c>
      <c r="D13" s="1">
        <v>27.01</v>
      </c>
      <c r="E13" s="1">
        <v>27.28</v>
      </c>
      <c r="F13" s="1">
        <v>24.04</v>
      </c>
      <c r="G13" s="1">
        <v>25.24</v>
      </c>
    </row>
    <row r="14" spans="1:7" x14ac:dyDescent="0.25">
      <c r="A14" s="1" t="s">
        <v>18</v>
      </c>
      <c r="B14" s="1">
        <v>53.76</v>
      </c>
      <c r="C14" s="1">
        <v>65.3</v>
      </c>
      <c r="D14" s="1">
        <v>52.52</v>
      </c>
      <c r="E14" s="1">
        <v>60.83</v>
      </c>
      <c r="F14" s="1">
        <v>60.63</v>
      </c>
      <c r="G14" s="1">
        <v>55.45</v>
      </c>
    </row>
    <row r="15" spans="1:7" x14ac:dyDescent="0.25">
      <c r="A15" s="1" t="s">
        <v>19</v>
      </c>
      <c r="B15" s="1">
        <v>6</v>
      </c>
      <c r="C15" s="1">
        <v>6</v>
      </c>
      <c r="D15" s="1">
        <v>10</v>
      </c>
      <c r="E15" s="1">
        <v>11</v>
      </c>
      <c r="F15" s="1">
        <v>7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2773.73</v>
      </c>
      <c r="C17" s="1">
        <v>2777.5</v>
      </c>
      <c r="D17" s="1">
        <v>2851.96</v>
      </c>
      <c r="E17" s="1">
        <v>2626.64</v>
      </c>
      <c r="F17" s="1">
        <v>2694.82</v>
      </c>
      <c r="G17" s="1">
        <v>2441.25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293.08</v>
      </c>
      <c r="C33" s="3">
        <v>311.35639000000009</v>
      </c>
      <c r="D33" s="3">
        <v>298.70103</v>
      </c>
      <c r="E33" s="3">
        <v>285.5</v>
      </c>
      <c r="F33" s="3">
        <v>288.73</v>
      </c>
      <c r="G33" s="3">
        <v>267.92</v>
      </c>
    </row>
    <row r="35" spans="1:7" x14ac:dyDescent="0.25">
      <c r="A35" s="3" t="s">
        <v>36</v>
      </c>
      <c r="B35" s="3"/>
      <c r="C35" s="3"/>
      <c r="D35" s="3">
        <f>D33-C33</f>
        <v>-12.655360000000087</v>
      </c>
      <c r="E35" s="3"/>
      <c r="F35" s="3">
        <f>F33-E33</f>
        <v>3.2300000000000182</v>
      </c>
      <c r="G3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E717-AA16-443D-9A4F-A79172BB1373}">
  <dimension ref="A1:G35"/>
  <sheetViews>
    <sheetView topLeftCell="A10" workbookViewId="0">
      <selection activeCell="J17" sqref="J1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471.89</v>
      </c>
      <c r="C2" s="1">
        <v>481.22</v>
      </c>
      <c r="D2" s="1">
        <v>477.01</v>
      </c>
      <c r="E2" s="1">
        <v>524.24</v>
      </c>
      <c r="F2" s="1">
        <v>511.67</v>
      </c>
      <c r="G2" s="1">
        <v>498.98</v>
      </c>
    </row>
    <row r="3" spans="1:7" x14ac:dyDescent="0.25">
      <c r="A3" s="1" t="s">
        <v>7</v>
      </c>
      <c r="B3" s="1">
        <v>47.06</v>
      </c>
      <c r="C3" s="1">
        <v>48.5</v>
      </c>
      <c r="D3" s="1">
        <v>47.83</v>
      </c>
      <c r="E3" s="1">
        <v>51.3</v>
      </c>
      <c r="F3" s="1">
        <v>52.08</v>
      </c>
      <c r="G3" s="1">
        <v>48.26</v>
      </c>
    </row>
    <row r="4" spans="1:7" x14ac:dyDescent="0.25">
      <c r="A4" s="1" t="s">
        <v>8</v>
      </c>
      <c r="B4" s="1">
        <v>22728.27</v>
      </c>
      <c r="C4" s="1">
        <v>23979.4</v>
      </c>
      <c r="D4" s="1">
        <v>23300.09</v>
      </c>
      <c r="E4" s="1">
        <v>27355.78</v>
      </c>
      <c r="F4" s="1">
        <v>27470.21</v>
      </c>
      <c r="G4" s="1">
        <v>24536.98</v>
      </c>
    </row>
    <row r="5" spans="1:7" x14ac:dyDescent="0.25">
      <c r="A5" s="1" t="s">
        <v>9</v>
      </c>
      <c r="B5" s="1">
        <v>3161.72</v>
      </c>
      <c r="C5" s="1">
        <v>2982.68</v>
      </c>
      <c r="D5" s="1">
        <v>3057.69</v>
      </c>
      <c r="E5" s="1">
        <v>2931.86</v>
      </c>
      <c r="F5" s="1">
        <v>3070.49</v>
      </c>
      <c r="G5" s="1">
        <v>2909.02</v>
      </c>
    </row>
    <row r="6" spans="1:7" x14ac:dyDescent="0.25">
      <c r="A6" s="3" t="s">
        <v>10</v>
      </c>
      <c r="B6" s="3">
        <v>316.17</v>
      </c>
      <c r="C6" s="3">
        <v>301.27999999999997</v>
      </c>
      <c r="D6" s="3">
        <v>308.86</v>
      </c>
      <c r="E6" s="3">
        <v>296.14999999999998</v>
      </c>
      <c r="F6" s="3">
        <v>310.14999999999998</v>
      </c>
      <c r="G6" s="3">
        <v>293.83999999999997</v>
      </c>
    </row>
    <row r="7" spans="1:7" x14ac:dyDescent="0.25">
      <c r="A7" s="1" t="s">
        <v>11</v>
      </c>
      <c r="B7" s="1">
        <v>2943.5</v>
      </c>
      <c r="C7" s="1">
        <v>2580.12</v>
      </c>
      <c r="D7" s="1">
        <v>2805.25</v>
      </c>
      <c r="E7" s="1">
        <v>2779.98</v>
      </c>
      <c r="F7" s="1">
        <v>2799.4</v>
      </c>
      <c r="G7" s="1">
        <v>2585.04</v>
      </c>
    </row>
    <row r="8" spans="1:7" x14ac:dyDescent="0.25">
      <c r="A8" s="1" t="s">
        <v>12</v>
      </c>
      <c r="B8" s="1">
        <v>294.35000000000002</v>
      </c>
      <c r="C8" s="1">
        <v>260.62</v>
      </c>
      <c r="D8" s="1">
        <v>283.36</v>
      </c>
      <c r="E8" s="1">
        <v>280.81</v>
      </c>
      <c r="F8" s="1">
        <v>282.77</v>
      </c>
      <c r="G8" s="1">
        <v>261.11</v>
      </c>
    </row>
    <row r="9" spans="1:7" x14ac:dyDescent="0.25">
      <c r="A9" s="1" t="s">
        <v>13</v>
      </c>
      <c r="B9" s="1">
        <v>2941.88</v>
      </c>
      <c r="C9" s="1">
        <v>2469.25</v>
      </c>
      <c r="D9" s="1">
        <v>2805.25</v>
      </c>
      <c r="E9" s="1">
        <v>2779.98</v>
      </c>
      <c r="F9" s="1">
        <v>2457.3000000000002</v>
      </c>
      <c r="G9" s="1">
        <v>2581.63</v>
      </c>
    </row>
    <row r="10" spans="1:7" x14ac:dyDescent="0.25">
      <c r="A10" s="1" t="s">
        <v>14</v>
      </c>
      <c r="B10" s="1">
        <v>294.19</v>
      </c>
      <c r="C10" s="1">
        <v>249.42</v>
      </c>
      <c r="D10" s="1">
        <v>283.36</v>
      </c>
      <c r="E10" s="1">
        <v>280.81</v>
      </c>
      <c r="F10" s="1">
        <v>248.21</v>
      </c>
      <c r="G10" s="1">
        <v>260.77</v>
      </c>
    </row>
    <row r="11" spans="1:7" x14ac:dyDescent="0.25">
      <c r="A11" s="1" t="s">
        <v>15</v>
      </c>
      <c r="B11" s="1">
        <v>2065.5100000000002</v>
      </c>
      <c r="C11" s="1">
        <v>2015.78</v>
      </c>
      <c r="D11" s="1">
        <v>2683.72</v>
      </c>
      <c r="E11" s="1">
        <v>2739.99</v>
      </c>
      <c r="F11" s="1">
        <v>2215.5700000000002</v>
      </c>
      <c r="G11" s="1">
        <v>1428.24</v>
      </c>
    </row>
    <row r="12" spans="1:7" x14ac:dyDescent="0.25">
      <c r="A12" s="1" t="s">
        <v>16</v>
      </c>
      <c r="B12" s="1">
        <v>253.83</v>
      </c>
      <c r="C12" s="1">
        <v>248.32</v>
      </c>
      <c r="D12" s="1">
        <v>243.69</v>
      </c>
      <c r="E12" s="1">
        <v>264.64</v>
      </c>
      <c r="F12" s="1">
        <v>256.64999999999998</v>
      </c>
      <c r="G12" s="1">
        <v>258.25</v>
      </c>
    </row>
    <row r="13" spans="1:7" x14ac:dyDescent="0.25">
      <c r="A13" s="1" t="s">
        <v>17</v>
      </c>
      <c r="B13" s="1">
        <v>27.08</v>
      </c>
      <c r="C13" s="1">
        <v>37.11</v>
      </c>
      <c r="D13" s="1">
        <v>27.84</v>
      </c>
      <c r="E13" s="1">
        <v>28.17</v>
      </c>
      <c r="F13" s="1">
        <v>40.57</v>
      </c>
      <c r="G13" s="1">
        <v>43.85</v>
      </c>
    </row>
    <row r="14" spans="1:7" x14ac:dyDescent="0.25">
      <c r="A14" s="1" t="s">
        <v>18</v>
      </c>
      <c r="B14" s="1">
        <v>55.65</v>
      </c>
      <c r="C14" s="1">
        <v>104.36</v>
      </c>
      <c r="D14" s="1">
        <v>75.67</v>
      </c>
      <c r="E14" s="1">
        <v>65.349999999999994</v>
      </c>
      <c r="F14" s="1">
        <v>109.68</v>
      </c>
      <c r="G14" s="1">
        <v>89.07</v>
      </c>
    </row>
    <row r="15" spans="1:7" x14ac:dyDescent="0.25">
      <c r="A15" s="1" t="s">
        <v>19</v>
      </c>
      <c r="B15" s="1">
        <v>7</v>
      </c>
      <c r="C15" s="1">
        <v>6</v>
      </c>
      <c r="D15" s="1">
        <v>7</v>
      </c>
      <c r="E15" s="1">
        <v>6</v>
      </c>
      <c r="F15" s="1">
        <v>7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2942.69</v>
      </c>
      <c r="C17" s="1">
        <v>2524.69</v>
      </c>
      <c r="D17" s="1">
        <v>2805.25</v>
      </c>
      <c r="E17" s="1">
        <v>2779.98</v>
      </c>
      <c r="F17" s="1">
        <v>2628.35</v>
      </c>
      <c r="G17" s="1">
        <v>2583.34</v>
      </c>
    </row>
    <row r="18" spans="1:7" x14ac:dyDescent="0.25">
      <c r="A18" s="1" t="s">
        <v>22</v>
      </c>
      <c r="B18" s="1">
        <v>0.81</v>
      </c>
      <c r="C18" s="1">
        <v>55.43</v>
      </c>
      <c r="D18" s="1">
        <v>0</v>
      </c>
      <c r="E18" s="1">
        <v>0</v>
      </c>
      <c r="F18" s="1">
        <v>171.05</v>
      </c>
      <c r="G18" s="1">
        <v>1.7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1.3</v>
      </c>
      <c r="D24" s="1">
        <v>0</v>
      </c>
      <c r="E24" s="1">
        <v>0</v>
      </c>
      <c r="F24" s="1">
        <v>1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8.6999999999999993</v>
      </c>
      <c r="D26" s="1">
        <v>10</v>
      </c>
      <c r="E26" s="1">
        <v>10</v>
      </c>
      <c r="F26" s="1">
        <v>9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13</v>
      </c>
      <c r="D29" s="3">
        <f t="shared" si="1"/>
        <v>0</v>
      </c>
      <c r="E29" s="3">
        <f t="shared" si="1"/>
        <v>0</v>
      </c>
      <c r="F29" s="3">
        <f t="shared" si="1"/>
        <v>10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86.999999999999986</v>
      </c>
      <c r="D31" s="3">
        <f t="shared" si="3"/>
        <v>100</v>
      </c>
      <c r="E31" s="3">
        <f t="shared" si="3"/>
        <v>100</v>
      </c>
      <c r="F31" s="3">
        <f t="shared" si="3"/>
        <v>90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310.66000000000003</v>
      </c>
      <c r="C33" s="3">
        <v>263.94</v>
      </c>
      <c r="D33" s="3">
        <v>308.29000000000002</v>
      </c>
      <c r="E33" s="3">
        <v>291.77</v>
      </c>
      <c r="F33" s="3">
        <v>264.66000000000003</v>
      </c>
      <c r="G33" s="3">
        <v>280.25</v>
      </c>
    </row>
    <row r="35" spans="1:7" x14ac:dyDescent="0.25">
      <c r="A35" s="3" t="s">
        <v>36</v>
      </c>
      <c r="B35" s="3"/>
      <c r="C35" s="3"/>
      <c r="D35" s="3">
        <f>D33-C33</f>
        <v>44.350000000000023</v>
      </c>
      <c r="E35" s="3"/>
      <c r="F35" s="3">
        <f>F33-E33</f>
        <v>-27.109999999999957</v>
      </c>
      <c r="G3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D266-6F4A-4ECD-A3F1-554C5D55AEB0}">
  <dimension ref="A1:G35"/>
  <sheetViews>
    <sheetView topLeftCell="A19" workbookViewId="0">
      <selection activeCell="D43" sqref="D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276.66000000000003</v>
      </c>
      <c r="C2" s="1">
        <v>326.22000000000003</v>
      </c>
      <c r="D2" s="1">
        <v>214.03</v>
      </c>
      <c r="E2" s="1">
        <v>395.4</v>
      </c>
      <c r="F2" s="1">
        <v>350.23</v>
      </c>
      <c r="G2" s="1">
        <v>420.11</v>
      </c>
    </row>
    <row r="3" spans="1:7" x14ac:dyDescent="0.25">
      <c r="A3" s="1" t="s">
        <v>7</v>
      </c>
      <c r="B3" s="1">
        <v>32.630000000000003</v>
      </c>
      <c r="C3" s="1">
        <v>33.479999999999997</v>
      </c>
      <c r="D3" s="1">
        <v>26.11</v>
      </c>
      <c r="E3" s="1">
        <v>40.61</v>
      </c>
      <c r="F3" s="1">
        <v>36.869999999999997</v>
      </c>
      <c r="G3" s="1">
        <v>39.340000000000003</v>
      </c>
    </row>
    <row r="4" spans="1:7" x14ac:dyDescent="0.25">
      <c r="A4" s="1" t="s">
        <v>8</v>
      </c>
      <c r="B4" s="1">
        <v>9296.49</v>
      </c>
      <c r="C4" s="1">
        <v>11242.17</v>
      </c>
      <c r="D4" s="1">
        <v>5836.37</v>
      </c>
      <c r="E4" s="1">
        <v>16354.15</v>
      </c>
      <c r="F4" s="1">
        <v>13161.68</v>
      </c>
      <c r="G4" s="1">
        <v>16816.82</v>
      </c>
    </row>
    <row r="5" spans="1:7" x14ac:dyDescent="0.25">
      <c r="A5" s="1" t="s">
        <v>9</v>
      </c>
      <c r="B5" s="1">
        <v>1225.44</v>
      </c>
      <c r="C5" s="1">
        <v>1866.61</v>
      </c>
      <c r="D5" s="1">
        <v>1880.93</v>
      </c>
      <c r="E5" s="1">
        <v>1873.5</v>
      </c>
      <c r="F5" s="1">
        <v>1940.14</v>
      </c>
      <c r="G5" s="1">
        <v>1828.72</v>
      </c>
    </row>
    <row r="6" spans="1:7" x14ac:dyDescent="0.25">
      <c r="A6" s="3" t="s">
        <v>10</v>
      </c>
      <c r="B6" s="3">
        <v>122.54</v>
      </c>
      <c r="C6" s="3">
        <v>188.55</v>
      </c>
      <c r="D6" s="3">
        <v>189.99</v>
      </c>
      <c r="E6" s="3">
        <v>189.24</v>
      </c>
      <c r="F6" s="3">
        <v>195.97</v>
      </c>
      <c r="G6" s="3">
        <v>184.72</v>
      </c>
    </row>
    <row r="7" spans="1:7" x14ac:dyDescent="0.25">
      <c r="A7" s="1" t="s">
        <v>11</v>
      </c>
      <c r="B7" s="1">
        <v>1122.48</v>
      </c>
      <c r="C7" s="1">
        <v>1710.31</v>
      </c>
      <c r="D7" s="1">
        <v>1740.43</v>
      </c>
      <c r="E7" s="1">
        <v>1737.5</v>
      </c>
      <c r="F7" s="1">
        <v>1730.25</v>
      </c>
      <c r="G7" s="1">
        <v>1732.38</v>
      </c>
    </row>
    <row r="8" spans="1:7" x14ac:dyDescent="0.25">
      <c r="A8" s="1" t="s">
        <v>12</v>
      </c>
      <c r="B8" s="1">
        <v>112.25</v>
      </c>
      <c r="C8" s="1">
        <v>172.76</v>
      </c>
      <c r="D8" s="1">
        <v>175.8</v>
      </c>
      <c r="E8" s="1">
        <v>175.51</v>
      </c>
      <c r="F8" s="1">
        <v>174.77</v>
      </c>
      <c r="G8" s="1">
        <v>174.99</v>
      </c>
    </row>
    <row r="9" spans="1:7" x14ac:dyDescent="0.25">
      <c r="A9" s="1" t="s">
        <v>13</v>
      </c>
      <c r="B9" s="1">
        <v>1063.71</v>
      </c>
      <c r="C9" s="1">
        <v>1710.31</v>
      </c>
      <c r="D9" s="1">
        <v>1740.43</v>
      </c>
      <c r="E9" s="1">
        <v>1732.57</v>
      </c>
      <c r="F9" s="1">
        <v>1730.25</v>
      </c>
      <c r="G9" s="1">
        <v>1732.38</v>
      </c>
    </row>
    <row r="10" spans="1:7" x14ac:dyDescent="0.25">
      <c r="A10" s="1" t="s">
        <v>14</v>
      </c>
      <c r="B10" s="1">
        <v>106.37</v>
      </c>
      <c r="C10" s="1">
        <v>172.76</v>
      </c>
      <c r="D10" s="1">
        <v>175.8</v>
      </c>
      <c r="E10" s="1">
        <v>175.01</v>
      </c>
      <c r="F10" s="1">
        <v>174.77</v>
      </c>
      <c r="G10" s="1">
        <v>174.99</v>
      </c>
    </row>
    <row r="11" spans="1:7" x14ac:dyDescent="0.25">
      <c r="A11" s="1" t="s">
        <v>15</v>
      </c>
      <c r="B11" s="1">
        <v>677.6</v>
      </c>
      <c r="C11" s="1">
        <v>1741.83</v>
      </c>
      <c r="D11" s="1">
        <v>1765.14</v>
      </c>
      <c r="E11" s="1">
        <v>1583.31</v>
      </c>
      <c r="F11" s="1">
        <v>1821.53</v>
      </c>
      <c r="G11" s="1">
        <v>1723.21</v>
      </c>
    </row>
    <row r="12" spans="1:7" x14ac:dyDescent="0.25">
      <c r="A12" s="1" t="s">
        <v>16</v>
      </c>
      <c r="B12" s="1">
        <v>158.32</v>
      </c>
      <c r="C12" s="1">
        <v>185.26</v>
      </c>
      <c r="D12" s="1">
        <v>125.27</v>
      </c>
      <c r="E12" s="1">
        <v>212.84</v>
      </c>
      <c r="F12" s="1">
        <v>208.38</v>
      </c>
      <c r="G12" s="1">
        <v>197.44</v>
      </c>
    </row>
    <row r="13" spans="1:7" x14ac:dyDescent="0.25">
      <c r="A13" s="1" t="s">
        <v>17</v>
      </c>
      <c r="B13" s="1">
        <v>18.739999999999998</v>
      </c>
      <c r="C13" s="1">
        <v>19.86</v>
      </c>
      <c r="D13" s="1">
        <v>13.06</v>
      </c>
      <c r="E13" s="1">
        <v>17.61</v>
      </c>
      <c r="F13" s="1">
        <v>17.399999999999999</v>
      </c>
      <c r="G13" s="1">
        <v>17.059999999999999</v>
      </c>
    </row>
    <row r="14" spans="1:7" x14ac:dyDescent="0.25">
      <c r="A14" s="1" t="s">
        <v>18</v>
      </c>
      <c r="B14" s="1">
        <v>46.32</v>
      </c>
      <c r="C14" s="1">
        <v>43.14</v>
      </c>
      <c r="D14" s="1">
        <v>25.41</v>
      </c>
      <c r="E14" s="1">
        <v>42.51</v>
      </c>
      <c r="F14" s="1">
        <v>51.78</v>
      </c>
      <c r="G14" s="1">
        <v>48.47</v>
      </c>
    </row>
    <row r="15" spans="1:7" x14ac:dyDescent="0.25">
      <c r="A15" s="1" t="s">
        <v>19</v>
      </c>
      <c r="B15" s="1">
        <v>7</v>
      </c>
      <c r="C15" s="1">
        <v>7</v>
      </c>
      <c r="D15" s="1">
        <v>7</v>
      </c>
      <c r="E15" s="1">
        <v>4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1093.0899999999999</v>
      </c>
      <c r="C17" s="1">
        <v>1710.31</v>
      </c>
      <c r="D17" s="1">
        <v>1740.43</v>
      </c>
      <c r="E17" s="1">
        <v>1735.04</v>
      </c>
      <c r="F17" s="1">
        <v>1730.25</v>
      </c>
      <c r="G17" s="1">
        <v>1732.38</v>
      </c>
    </row>
    <row r="18" spans="1:7" x14ac:dyDescent="0.25">
      <c r="A18" s="1" t="s">
        <v>22</v>
      </c>
      <c r="B18" s="1">
        <v>29.38</v>
      </c>
      <c r="C18" s="1">
        <v>0</v>
      </c>
      <c r="D18" s="1">
        <v>0</v>
      </c>
      <c r="E18" s="1">
        <v>2.4700000000000002</v>
      </c>
      <c r="F18" s="1">
        <v>0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1.1000000000000001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9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112.78</v>
      </c>
      <c r="C33" s="3">
        <v>189.61</v>
      </c>
      <c r="D33" s="3">
        <v>185.54</v>
      </c>
      <c r="E33" s="3">
        <v>189.28</v>
      </c>
      <c r="F33" s="3">
        <v>192.48</v>
      </c>
      <c r="G33" s="3">
        <v>184.18</v>
      </c>
    </row>
    <row r="35" spans="1:7" x14ac:dyDescent="0.25">
      <c r="A35" s="3" t="s">
        <v>36</v>
      </c>
      <c r="B35" s="3"/>
      <c r="C35" s="3"/>
      <c r="D35" s="3">
        <f>D33-C33</f>
        <v>-4.0700000000000216</v>
      </c>
      <c r="E35" s="3"/>
      <c r="F35" s="3">
        <f>F33-E33</f>
        <v>3.1999999999999886</v>
      </c>
      <c r="G3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41FA-54FF-4887-B1C3-7B0145A194A6}">
  <dimension ref="A1:G35"/>
  <sheetViews>
    <sheetView topLeftCell="A10" workbookViewId="0">
      <selection activeCell="J16" sqref="J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404.25</v>
      </c>
      <c r="C2" s="1">
        <v>383.41</v>
      </c>
      <c r="D2" s="1">
        <v>481.11</v>
      </c>
      <c r="E2" s="1">
        <v>441.09</v>
      </c>
      <c r="F2" s="1">
        <v>498.12</v>
      </c>
      <c r="G2" s="1">
        <v>449.83</v>
      </c>
    </row>
    <row r="3" spans="1:7" x14ac:dyDescent="0.25">
      <c r="A3" s="1" t="s">
        <v>7</v>
      </c>
      <c r="B3" s="1">
        <v>38.840000000000003</v>
      </c>
      <c r="C3" s="1">
        <v>35.51</v>
      </c>
      <c r="D3" s="1">
        <v>44.28</v>
      </c>
      <c r="E3" s="1">
        <v>43.65</v>
      </c>
      <c r="F3" s="1">
        <v>50.66</v>
      </c>
      <c r="G3" s="1">
        <v>43.36</v>
      </c>
    </row>
    <row r="4" spans="1:7" x14ac:dyDescent="0.25">
      <c r="A4" s="1" t="s">
        <v>8</v>
      </c>
      <c r="B4" s="1">
        <v>16001.27</v>
      </c>
      <c r="C4" s="1">
        <v>14283.83</v>
      </c>
      <c r="D4" s="1">
        <v>21686.14</v>
      </c>
      <c r="E4" s="1">
        <v>19820.79</v>
      </c>
      <c r="F4" s="1">
        <v>25743.99</v>
      </c>
      <c r="G4" s="1">
        <v>19872.13</v>
      </c>
    </row>
    <row r="5" spans="1:7" x14ac:dyDescent="0.25">
      <c r="A5" s="1" t="s">
        <v>9</v>
      </c>
      <c r="B5" s="1">
        <v>3009.11</v>
      </c>
      <c r="C5" s="1">
        <v>3269.81</v>
      </c>
      <c r="D5" s="1">
        <v>2980.42</v>
      </c>
      <c r="E5" s="1">
        <v>2922.74</v>
      </c>
      <c r="F5" s="1">
        <v>2980.61</v>
      </c>
      <c r="G5" s="1">
        <v>3046.53</v>
      </c>
    </row>
    <row r="6" spans="1:7" x14ac:dyDescent="0.25">
      <c r="A6" s="3" t="s">
        <v>10</v>
      </c>
      <c r="B6" s="3">
        <v>300.91000000000003</v>
      </c>
      <c r="C6" s="3">
        <v>330.28</v>
      </c>
      <c r="D6" s="3">
        <v>301.05</v>
      </c>
      <c r="E6" s="3">
        <v>295.23</v>
      </c>
      <c r="F6" s="3">
        <v>301.07</v>
      </c>
      <c r="G6" s="3">
        <v>307.73</v>
      </c>
    </row>
    <row r="7" spans="1:7" x14ac:dyDescent="0.25">
      <c r="A7" s="1" t="s">
        <v>11</v>
      </c>
      <c r="B7" s="1">
        <v>2769.47</v>
      </c>
      <c r="C7" s="1">
        <v>3095.5</v>
      </c>
      <c r="D7" s="1">
        <v>2802.33</v>
      </c>
      <c r="E7" s="1">
        <v>2623.47</v>
      </c>
      <c r="F7" s="1">
        <v>2763.16</v>
      </c>
      <c r="G7" s="1">
        <v>2836.79</v>
      </c>
    </row>
    <row r="8" spans="1:7" x14ac:dyDescent="0.25">
      <c r="A8" s="1" t="s">
        <v>12</v>
      </c>
      <c r="B8" s="1">
        <v>276.95</v>
      </c>
      <c r="C8" s="1">
        <v>312.68</v>
      </c>
      <c r="D8" s="1">
        <v>283.06</v>
      </c>
      <c r="E8" s="1">
        <v>265</v>
      </c>
      <c r="F8" s="1">
        <v>279.11</v>
      </c>
      <c r="G8" s="1">
        <v>286.54000000000002</v>
      </c>
    </row>
    <row r="9" spans="1:7" x14ac:dyDescent="0.25">
      <c r="A9" s="1" t="s">
        <v>13</v>
      </c>
      <c r="B9" s="1">
        <v>2769.47</v>
      </c>
      <c r="C9" s="1">
        <v>3095.5</v>
      </c>
      <c r="D9" s="1">
        <v>2802.33</v>
      </c>
      <c r="E9" s="1">
        <v>2623.47</v>
      </c>
      <c r="F9" s="1">
        <v>2763.16</v>
      </c>
      <c r="G9" s="1">
        <v>2836.79</v>
      </c>
    </row>
    <row r="10" spans="1:7" x14ac:dyDescent="0.25">
      <c r="A10" s="1" t="s">
        <v>14</v>
      </c>
      <c r="B10" s="1">
        <v>276.95</v>
      </c>
      <c r="C10" s="1">
        <v>312.68</v>
      </c>
      <c r="D10" s="1">
        <v>283.06</v>
      </c>
      <c r="E10" s="1">
        <v>265</v>
      </c>
      <c r="F10" s="1">
        <v>279.11</v>
      </c>
      <c r="G10" s="1">
        <v>286.54000000000002</v>
      </c>
    </row>
    <row r="11" spans="1:7" x14ac:dyDescent="0.25">
      <c r="A11" s="1" t="s">
        <v>15</v>
      </c>
      <c r="B11" s="1">
        <v>2797.57</v>
      </c>
      <c r="C11" s="1">
        <v>2773.72</v>
      </c>
      <c r="D11" s="1">
        <v>2747.55</v>
      </c>
      <c r="E11" s="1">
        <v>2306.87</v>
      </c>
      <c r="F11" s="1">
        <v>2200.29</v>
      </c>
      <c r="G11" s="1">
        <v>2635.53</v>
      </c>
    </row>
    <row r="12" spans="1:7" x14ac:dyDescent="0.25">
      <c r="A12" s="1" t="s">
        <v>16</v>
      </c>
      <c r="B12" s="1">
        <v>247.84</v>
      </c>
      <c r="C12" s="1">
        <v>219.29</v>
      </c>
      <c r="D12" s="1">
        <v>256.10000000000002</v>
      </c>
      <c r="E12" s="1">
        <v>254.42</v>
      </c>
      <c r="F12" s="1">
        <v>294.41000000000003</v>
      </c>
      <c r="G12" s="1">
        <v>256.52999999999997</v>
      </c>
    </row>
    <row r="13" spans="1:7" x14ac:dyDescent="0.25">
      <c r="A13" s="1" t="s">
        <v>17</v>
      </c>
      <c r="B13" s="1">
        <v>23.82</v>
      </c>
      <c r="C13" s="1">
        <v>24.1</v>
      </c>
      <c r="D13" s="1">
        <v>27.44</v>
      </c>
      <c r="E13" s="1">
        <v>30.68</v>
      </c>
      <c r="F13" s="1">
        <v>29.42</v>
      </c>
      <c r="G13" s="1">
        <v>26.8</v>
      </c>
    </row>
    <row r="14" spans="1:7" x14ac:dyDescent="0.25">
      <c r="A14" s="1" t="s">
        <v>18</v>
      </c>
      <c r="B14" s="1">
        <v>48.45</v>
      </c>
      <c r="C14" s="1">
        <v>53.81</v>
      </c>
      <c r="D14" s="1">
        <v>65.16</v>
      </c>
      <c r="E14" s="1">
        <v>74.08</v>
      </c>
      <c r="F14" s="1">
        <v>64.8</v>
      </c>
      <c r="G14" s="1">
        <v>50.31</v>
      </c>
    </row>
    <row r="15" spans="1:7" x14ac:dyDescent="0.25">
      <c r="A15" s="1" t="s">
        <v>19</v>
      </c>
      <c r="B15" s="1">
        <v>6</v>
      </c>
      <c r="C15" s="1">
        <v>7</v>
      </c>
      <c r="D15" s="1">
        <v>8</v>
      </c>
      <c r="E15" s="1">
        <v>6</v>
      </c>
      <c r="F15" s="1">
        <v>8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2769.47</v>
      </c>
      <c r="C17" s="1">
        <v>3095.5</v>
      </c>
      <c r="D17" s="1">
        <v>2802.33</v>
      </c>
      <c r="E17" s="1">
        <v>2623.47</v>
      </c>
      <c r="F17" s="1">
        <v>2763.16</v>
      </c>
      <c r="G17" s="1">
        <v>2836.79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296.50969306930688</v>
      </c>
      <c r="C33" s="3">
        <v>331.98</v>
      </c>
      <c r="D33" s="3">
        <v>296.23977999999988</v>
      </c>
      <c r="E33" s="3">
        <v>292.63</v>
      </c>
      <c r="F33" s="3">
        <v>293.17</v>
      </c>
      <c r="G33" s="3">
        <v>304.97000000000003</v>
      </c>
    </row>
    <row r="35" spans="1:7" x14ac:dyDescent="0.25">
      <c r="A35" s="3" t="s">
        <v>36</v>
      </c>
      <c r="B35" s="3"/>
      <c r="C35" s="3"/>
      <c r="D35" s="3">
        <f>D33-C33</f>
        <v>-35.740220000000136</v>
      </c>
      <c r="E35" s="3"/>
      <c r="F35" s="3">
        <f>F33-E33</f>
        <v>0.54000000000002046</v>
      </c>
      <c r="G3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6DA8-374F-40C4-B7A6-3D240A3BE10A}">
  <dimension ref="A1:G35"/>
  <sheetViews>
    <sheetView topLeftCell="A10" workbookViewId="0">
      <selection activeCell="I22" sqref="I2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411.82</v>
      </c>
      <c r="C2" s="1">
        <v>411.39</v>
      </c>
      <c r="D2" s="1">
        <v>432.34</v>
      </c>
      <c r="E2" s="1">
        <v>398.85</v>
      </c>
      <c r="F2" s="1">
        <v>435.13</v>
      </c>
      <c r="G2" s="1">
        <v>428.11</v>
      </c>
    </row>
    <row r="3" spans="1:7" x14ac:dyDescent="0.25">
      <c r="A3" s="1" t="s">
        <v>7</v>
      </c>
      <c r="B3" s="1">
        <v>38.71</v>
      </c>
      <c r="C3" s="1">
        <v>36.6</v>
      </c>
      <c r="D3" s="1">
        <v>36.03</v>
      </c>
      <c r="E3" s="1">
        <v>35.68</v>
      </c>
      <c r="F3" s="1">
        <v>37.409999999999997</v>
      </c>
      <c r="G3" s="1">
        <v>43.99</v>
      </c>
    </row>
    <row r="4" spans="1:7" x14ac:dyDescent="0.25">
      <c r="A4" s="1" t="s">
        <v>8</v>
      </c>
      <c r="B4" s="1">
        <v>16206.96</v>
      </c>
      <c r="C4" s="1">
        <v>15323.97</v>
      </c>
      <c r="D4" s="1">
        <v>15835.7</v>
      </c>
      <c r="E4" s="1">
        <v>14542.31</v>
      </c>
      <c r="F4" s="1">
        <v>16599.080000000002</v>
      </c>
      <c r="G4" s="1">
        <v>19641.689999999999</v>
      </c>
    </row>
    <row r="5" spans="1:7" x14ac:dyDescent="0.25">
      <c r="A5" s="1" t="s">
        <v>9</v>
      </c>
      <c r="B5" s="1">
        <v>2733.39</v>
      </c>
      <c r="C5" s="1">
        <v>2893.52</v>
      </c>
      <c r="D5" s="1">
        <v>2971.09</v>
      </c>
      <c r="E5" s="1">
        <v>2718.67</v>
      </c>
      <c r="F5" s="1">
        <v>2819.59</v>
      </c>
      <c r="G5" s="1">
        <v>2972.5</v>
      </c>
    </row>
    <row r="6" spans="1:7" x14ac:dyDescent="0.25">
      <c r="A6" s="3" t="s">
        <v>10</v>
      </c>
      <c r="B6" s="3">
        <v>273.33999999999997</v>
      </c>
      <c r="C6" s="3">
        <v>292.27</v>
      </c>
      <c r="D6" s="3">
        <v>300.11</v>
      </c>
      <c r="E6" s="3">
        <v>274.61</v>
      </c>
      <c r="F6" s="3">
        <v>284.81</v>
      </c>
      <c r="G6" s="3">
        <v>303.32</v>
      </c>
    </row>
    <row r="7" spans="1:7" x14ac:dyDescent="0.25">
      <c r="A7" s="1" t="s">
        <v>11</v>
      </c>
      <c r="B7" s="1">
        <v>2594.7800000000002</v>
      </c>
      <c r="C7" s="1">
        <v>2728.87</v>
      </c>
      <c r="D7" s="1">
        <v>2806.85</v>
      </c>
      <c r="E7" s="1">
        <v>2533.63</v>
      </c>
      <c r="F7" s="1">
        <v>2650.95</v>
      </c>
      <c r="G7" s="1">
        <v>2654.07</v>
      </c>
    </row>
    <row r="8" spans="1:7" x14ac:dyDescent="0.25">
      <c r="A8" s="1" t="s">
        <v>12</v>
      </c>
      <c r="B8" s="1">
        <v>259.48</v>
      </c>
      <c r="C8" s="1">
        <v>275.64</v>
      </c>
      <c r="D8" s="1">
        <v>283.52</v>
      </c>
      <c r="E8" s="1">
        <v>255.92</v>
      </c>
      <c r="F8" s="1">
        <v>267.77</v>
      </c>
      <c r="G8" s="1">
        <v>270.82</v>
      </c>
    </row>
    <row r="9" spans="1:7" x14ac:dyDescent="0.25">
      <c r="A9" s="1" t="s">
        <v>13</v>
      </c>
      <c r="B9" s="1">
        <v>2594.7800000000002</v>
      </c>
      <c r="C9" s="1">
        <v>2728.87</v>
      </c>
      <c r="D9" s="1">
        <v>2806.85</v>
      </c>
      <c r="E9" s="1">
        <v>2533.63</v>
      </c>
      <c r="F9" s="1">
        <v>2650.95</v>
      </c>
      <c r="G9" s="1">
        <v>2616.8000000000002</v>
      </c>
    </row>
    <row r="10" spans="1:7" x14ac:dyDescent="0.25">
      <c r="A10" s="1" t="s">
        <v>14</v>
      </c>
      <c r="B10" s="1">
        <v>259.48</v>
      </c>
      <c r="C10" s="1">
        <v>275.64</v>
      </c>
      <c r="D10" s="1">
        <v>283.52</v>
      </c>
      <c r="E10" s="1">
        <v>255.92</v>
      </c>
      <c r="F10" s="1">
        <v>267.77</v>
      </c>
      <c r="G10" s="1">
        <v>267.02</v>
      </c>
    </row>
    <row r="11" spans="1:7" x14ac:dyDescent="0.25">
      <c r="A11" s="1" t="s">
        <v>15</v>
      </c>
      <c r="B11" s="1">
        <v>2495.02</v>
      </c>
      <c r="C11" s="1">
        <v>2630.01</v>
      </c>
      <c r="D11" s="1">
        <v>2836.81</v>
      </c>
      <c r="E11" s="1">
        <v>2518.2600000000002</v>
      </c>
      <c r="F11" s="1">
        <v>2567.6799999999998</v>
      </c>
      <c r="G11" s="1">
        <v>2414.6999999999998</v>
      </c>
    </row>
    <row r="12" spans="1:7" x14ac:dyDescent="0.25">
      <c r="A12" s="1" t="s">
        <v>16</v>
      </c>
      <c r="B12" s="1">
        <v>239.65</v>
      </c>
      <c r="C12" s="1">
        <v>235.62</v>
      </c>
      <c r="D12" s="1">
        <v>242.44</v>
      </c>
      <c r="E12" s="1">
        <v>211.32</v>
      </c>
      <c r="F12" s="1">
        <v>239.02</v>
      </c>
      <c r="G12" s="1">
        <v>218.2</v>
      </c>
    </row>
    <row r="13" spans="1:7" x14ac:dyDescent="0.25">
      <c r="A13" s="1" t="s">
        <v>17</v>
      </c>
      <c r="B13" s="1">
        <v>26.36</v>
      </c>
      <c r="C13" s="1">
        <v>23.82</v>
      </c>
      <c r="D13" s="1">
        <v>21.93</v>
      </c>
      <c r="E13" s="1">
        <v>21.75</v>
      </c>
      <c r="F13" s="1">
        <v>22.08</v>
      </c>
      <c r="G13" s="1">
        <v>28.87</v>
      </c>
    </row>
    <row r="14" spans="1:7" x14ac:dyDescent="0.25">
      <c r="A14" s="1" t="s">
        <v>18</v>
      </c>
      <c r="B14" s="1">
        <v>60.84</v>
      </c>
      <c r="C14" s="1">
        <v>50.35</v>
      </c>
      <c r="D14" s="1">
        <v>61.28</v>
      </c>
      <c r="E14" s="1">
        <v>47.02</v>
      </c>
      <c r="F14" s="1">
        <v>47.94</v>
      </c>
      <c r="G14" s="1">
        <v>95.52</v>
      </c>
    </row>
    <row r="15" spans="1:7" x14ac:dyDescent="0.25">
      <c r="A15" s="1" t="s">
        <v>19</v>
      </c>
      <c r="B15" s="1">
        <v>5</v>
      </c>
      <c r="C15" s="1">
        <v>5</v>
      </c>
      <c r="D15" s="1">
        <v>5</v>
      </c>
      <c r="E15" s="1">
        <v>5</v>
      </c>
      <c r="F15" s="1">
        <v>5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2594.7800000000002</v>
      </c>
      <c r="C17" s="1">
        <v>2728.87</v>
      </c>
      <c r="D17" s="1">
        <v>2806.85</v>
      </c>
      <c r="E17" s="1">
        <v>2533.63</v>
      </c>
      <c r="F17" s="1">
        <v>2650.95</v>
      </c>
      <c r="G17" s="1">
        <v>2635.43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18.64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266.77</v>
      </c>
      <c r="C33" s="3">
        <v>286.8</v>
      </c>
      <c r="D33" s="3">
        <v>297.94</v>
      </c>
      <c r="E33" s="3">
        <v>270.04000000000002</v>
      </c>
      <c r="F33" s="3">
        <v>281.05</v>
      </c>
      <c r="G33" s="3">
        <v>302.14999999999998</v>
      </c>
    </row>
    <row r="35" spans="1:7" x14ac:dyDescent="0.25">
      <c r="A35" s="3" t="s">
        <v>36</v>
      </c>
      <c r="B35" s="3"/>
      <c r="C35" s="3"/>
      <c r="D35" s="3">
        <f>D33-C33</f>
        <v>11.139999999999986</v>
      </c>
      <c r="E35" s="3"/>
      <c r="F35" s="3">
        <f>F33-E33</f>
        <v>11.009999999999991</v>
      </c>
      <c r="G3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9C9F-7198-46C0-A443-F28C8C3AFB79}">
  <dimension ref="A1:G35"/>
  <sheetViews>
    <sheetView topLeftCell="A10" workbookViewId="0">
      <selection activeCell="I18" sqref="I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305.01</v>
      </c>
      <c r="C2" s="1">
        <v>325.11</v>
      </c>
      <c r="D2" s="1">
        <v>322.36</v>
      </c>
      <c r="E2" s="1">
        <v>329.34</v>
      </c>
      <c r="F2" s="1">
        <v>350.37</v>
      </c>
      <c r="G2" s="1">
        <v>351.74</v>
      </c>
    </row>
    <row r="3" spans="1:7" x14ac:dyDescent="0.25">
      <c r="A3" s="1" t="s">
        <v>7</v>
      </c>
      <c r="B3" s="1">
        <v>32.590000000000003</v>
      </c>
      <c r="C3" s="1">
        <v>38.119999999999997</v>
      </c>
      <c r="D3" s="1">
        <v>38.82</v>
      </c>
      <c r="E3" s="1">
        <v>40.450000000000003</v>
      </c>
      <c r="F3" s="1">
        <v>43.3</v>
      </c>
      <c r="G3" s="1">
        <v>48.19</v>
      </c>
    </row>
    <row r="4" spans="1:7" x14ac:dyDescent="0.25">
      <c r="A4" s="1" t="s">
        <v>8</v>
      </c>
      <c r="B4" s="1">
        <v>10137.469999999999</v>
      </c>
      <c r="C4" s="1">
        <v>12688.61</v>
      </c>
      <c r="D4" s="1">
        <v>12783.91</v>
      </c>
      <c r="E4" s="1">
        <v>13692.73</v>
      </c>
      <c r="F4" s="1">
        <v>15387.78</v>
      </c>
      <c r="G4" s="1">
        <v>17242.55</v>
      </c>
    </row>
    <row r="5" spans="1:7" x14ac:dyDescent="0.25">
      <c r="A5" s="1" t="s">
        <v>9</v>
      </c>
      <c r="B5" s="1">
        <v>2950.02</v>
      </c>
      <c r="C5" s="1">
        <v>1838.63</v>
      </c>
      <c r="D5" s="1">
        <v>2593.94</v>
      </c>
      <c r="E5" s="1">
        <v>1927.46</v>
      </c>
      <c r="F5" s="1">
        <v>1635.33</v>
      </c>
      <c r="G5" s="1">
        <v>2277.56</v>
      </c>
    </row>
    <row r="6" spans="1:7" x14ac:dyDescent="0.25">
      <c r="A6" s="3" t="s">
        <v>10</v>
      </c>
      <c r="B6" s="3">
        <v>295</v>
      </c>
      <c r="C6" s="3">
        <v>185.72</v>
      </c>
      <c r="D6" s="3">
        <v>262.01</v>
      </c>
      <c r="E6" s="3">
        <v>194.69</v>
      </c>
      <c r="F6" s="3">
        <v>165.18</v>
      </c>
      <c r="G6" s="3">
        <v>232.4</v>
      </c>
    </row>
    <row r="7" spans="1:7" x14ac:dyDescent="0.25">
      <c r="A7" s="1" t="s">
        <v>11</v>
      </c>
      <c r="B7" s="1">
        <v>2765.18</v>
      </c>
      <c r="C7" s="1">
        <v>1581.09</v>
      </c>
      <c r="D7" s="1">
        <v>2332.12</v>
      </c>
      <c r="E7" s="1">
        <v>1777.05</v>
      </c>
      <c r="F7" s="1">
        <v>1385.51</v>
      </c>
      <c r="G7" s="1">
        <v>2103.8200000000002</v>
      </c>
    </row>
    <row r="8" spans="1:7" x14ac:dyDescent="0.25">
      <c r="A8" s="1" t="s">
        <v>12</v>
      </c>
      <c r="B8" s="1">
        <v>276.52</v>
      </c>
      <c r="C8" s="1">
        <v>159.71</v>
      </c>
      <c r="D8" s="1">
        <v>235.57</v>
      </c>
      <c r="E8" s="1">
        <v>179.5</v>
      </c>
      <c r="F8" s="1">
        <v>139.94999999999999</v>
      </c>
      <c r="G8" s="1">
        <v>214.68</v>
      </c>
    </row>
    <row r="9" spans="1:7" x14ac:dyDescent="0.25">
      <c r="A9" s="1" t="s">
        <v>13</v>
      </c>
      <c r="B9" s="1">
        <v>2755.05</v>
      </c>
      <c r="C9" s="1">
        <v>1475.53</v>
      </c>
      <c r="D9" s="1">
        <v>2332.12</v>
      </c>
      <c r="E9" s="1">
        <v>1723.02</v>
      </c>
      <c r="F9" s="1">
        <v>480.99</v>
      </c>
      <c r="G9" s="1">
        <v>2103.8200000000002</v>
      </c>
    </row>
    <row r="10" spans="1:7" x14ac:dyDescent="0.25">
      <c r="A10" s="1" t="s">
        <v>14</v>
      </c>
      <c r="B10" s="1">
        <v>275.51</v>
      </c>
      <c r="C10" s="1">
        <v>149.04</v>
      </c>
      <c r="D10" s="1">
        <v>235.57</v>
      </c>
      <c r="E10" s="1">
        <v>174.04</v>
      </c>
      <c r="F10" s="1">
        <v>48.58</v>
      </c>
      <c r="G10" s="1">
        <v>214.68</v>
      </c>
    </row>
    <row r="11" spans="1:7" x14ac:dyDescent="0.25">
      <c r="A11" s="1" t="s">
        <v>15</v>
      </c>
      <c r="B11" s="1">
        <v>2740.76</v>
      </c>
      <c r="C11" s="1">
        <v>920.46</v>
      </c>
      <c r="D11" s="1">
        <v>2396.17</v>
      </c>
      <c r="E11" s="1">
        <v>1668.27</v>
      </c>
      <c r="F11" s="1">
        <v>311.48</v>
      </c>
      <c r="G11" s="1">
        <v>1982.98</v>
      </c>
    </row>
    <row r="12" spans="1:7" x14ac:dyDescent="0.25">
      <c r="A12" s="1" t="s">
        <v>16</v>
      </c>
      <c r="B12" s="1">
        <v>176.65</v>
      </c>
      <c r="C12" s="1">
        <v>190.92</v>
      </c>
      <c r="D12" s="1">
        <v>195.48</v>
      </c>
      <c r="E12" s="1">
        <v>210.59</v>
      </c>
      <c r="F12" s="1">
        <v>212.48</v>
      </c>
      <c r="G12" s="1">
        <v>180.65</v>
      </c>
    </row>
    <row r="13" spans="1:7" x14ac:dyDescent="0.25">
      <c r="A13" s="1" t="s">
        <v>17</v>
      </c>
      <c r="B13" s="1">
        <v>23.51</v>
      </c>
      <c r="C13" s="1">
        <v>30.2</v>
      </c>
      <c r="D13" s="1">
        <v>19.809999999999999</v>
      </c>
      <c r="E13" s="1">
        <v>21.59</v>
      </c>
      <c r="F13" s="1">
        <v>35.799999999999997</v>
      </c>
      <c r="G13" s="1">
        <v>17.309999999999999</v>
      </c>
    </row>
    <row r="14" spans="1:7" x14ac:dyDescent="0.25">
      <c r="A14" s="1" t="s">
        <v>18</v>
      </c>
      <c r="B14" s="1">
        <v>50.32</v>
      </c>
      <c r="C14" s="1">
        <v>66.489999999999995</v>
      </c>
      <c r="D14" s="1">
        <v>47.81</v>
      </c>
      <c r="E14" s="1">
        <v>50.61</v>
      </c>
      <c r="F14" s="1">
        <v>66.48</v>
      </c>
      <c r="G14" s="1">
        <v>43.93</v>
      </c>
    </row>
    <row r="15" spans="1:7" x14ac:dyDescent="0.25">
      <c r="A15" s="1" t="s">
        <v>19</v>
      </c>
      <c r="B15" s="1">
        <v>6</v>
      </c>
      <c r="C15" s="1">
        <v>5</v>
      </c>
      <c r="D15" s="1">
        <v>6</v>
      </c>
      <c r="E15" s="1">
        <v>7</v>
      </c>
      <c r="F15" s="1">
        <v>6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2760.12</v>
      </c>
      <c r="C17" s="1">
        <v>1528.31</v>
      </c>
      <c r="D17" s="1">
        <v>2332.12</v>
      </c>
      <c r="E17" s="1">
        <v>1750.03</v>
      </c>
      <c r="F17" s="1">
        <v>933.25</v>
      </c>
      <c r="G17" s="1">
        <v>2103.8200000000002</v>
      </c>
    </row>
    <row r="18" spans="1:7" x14ac:dyDescent="0.25">
      <c r="A18" s="1" t="s">
        <v>22</v>
      </c>
      <c r="B18" s="1">
        <v>5.0599999999999996</v>
      </c>
      <c r="C18" s="1">
        <v>52.78</v>
      </c>
      <c r="D18" s="1">
        <v>0</v>
      </c>
      <c r="E18" s="1">
        <v>27.02</v>
      </c>
      <c r="F18" s="1">
        <v>452.26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285.83</v>
      </c>
      <c r="C33" s="3">
        <v>171.74</v>
      </c>
      <c r="D33" s="3">
        <v>267.48</v>
      </c>
      <c r="E33" s="3">
        <v>189.96</v>
      </c>
      <c r="F33" s="3">
        <v>51.07</v>
      </c>
      <c r="G33" s="3">
        <v>238.25</v>
      </c>
    </row>
    <row r="35" spans="1:7" x14ac:dyDescent="0.25">
      <c r="A35" s="3" t="s">
        <v>36</v>
      </c>
      <c r="B35" s="3"/>
      <c r="C35" s="3"/>
      <c r="D35" s="3">
        <f>D33-C33</f>
        <v>95.740000000000009</v>
      </c>
      <c r="E35" s="3"/>
      <c r="F35" s="3">
        <f>F33-E33</f>
        <v>-138.89000000000001</v>
      </c>
      <c r="G3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354E-6272-424F-8046-B4AD87CF2C06}">
  <dimension ref="A1:G35"/>
  <sheetViews>
    <sheetView topLeftCell="A10" workbookViewId="0">
      <selection activeCell="N16" sqref="N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501.48</v>
      </c>
      <c r="C2" s="1">
        <v>511.83</v>
      </c>
      <c r="D2" s="1">
        <v>507.09</v>
      </c>
      <c r="E2" s="1">
        <v>486.6</v>
      </c>
      <c r="F2" s="1">
        <v>472.55</v>
      </c>
      <c r="G2" s="1">
        <v>475.46</v>
      </c>
    </row>
    <row r="3" spans="1:7" x14ac:dyDescent="0.25">
      <c r="A3" s="1" t="s">
        <v>7</v>
      </c>
      <c r="B3" s="1">
        <v>42.13</v>
      </c>
      <c r="C3" s="1">
        <v>43.97</v>
      </c>
      <c r="D3" s="1">
        <v>40.619999999999997</v>
      </c>
      <c r="E3" s="1">
        <v>39.85</v>
      </c>
      <c r="F3" s="1">
        <v>38.18</v>
      </c>
      <c r="G3" s="1">
        <v>40.79</v>
      </c>
    </row>
    <row r="4" spans="1:7" x14ac:dyDescent="0.25">
      <c r="A4" s="1" t="s">
        <v>8</v>
      </c>
      <c r="B4" s="1">
        <v>21441.21</v>
      </c>
      <c r="C4" s="1">
        <v>22915.48</v>
      </c>
      <c r="D4" s="1">
        <v>20944.259999999998</v>
      </c>
      <c r="E4" s="1">
        <v>19709.09</v>
      </c>
      <c r="F4" s="1">
        <v>18349.53</v>
      </c>
      <c r="G4" s="1">
        <v>19715.939999999999</v>
      </c>
    </row>
    <row r="5" spans="1:7" x14ac:dyDescent="0.25">
      <c r="A5" s="1" t="s">
        <v>9</v>
      </c>
      <c r="B5" s="1">
        <v>2417.91</v>
      </c>
      <c r="C5" s="1">
        <v>2180.39</v>
      </c>
      <c r="D5" s="1">
        <v>2328.0300000000002</v>
      </c>
      <c r="E5" s="1">
        <v>2490.4499999999998</v>
      </c>
      <c r="F5" s="1">
        <v>2501.84</v>
      </c>
      <c r="G5" s="1">
        <v>1672.67</v>
      </c>
    </row>
    <row r="6" spans="1:7" x14ac:dyDescent="0.25">
      <c r="A6" s="3" t="s">
        <v>10</v>
      </c>
      <c r="B6" s="3">
        <v>241.79</v>
      </c>
      <c r="C6" s="3">
        <v>220.24</v>
      </c>
      <c r="D6" s="3">
        <v>235.15</v>
      </c>
      <c r="E6" s="3">
        <v>251.56</v>
      </c>
      <c r="F6" s="3">
        <v>252.71</v>
      </c>
      <c r="G6" s="3">
        <v>168.96</v>
      </c>
    </row>
    <row r="7" spans="1:7" x14ac:dyDescent="0.25">
      <c r="A7" s="1" t="s">
        <v>11</v>
      </c>
      <c r="B7" s="1">
        <v>2240.4</v>
      </c>
      <c r="C7" s="1">
        <v>2033.58</v>
      </c>
      <c r="D7" s="1">
        <v>2165.16</v>
      </c>
      <c r="E7" s="1">
        <v>2307.31</v>
      </c>
      <c r="F7" s="1">
        <v>2332.7399999999998</v>
      </c>
      <c r="G7" s="1">
        <v>1507.84</v>
      </c>
    </row>
    <row r="8" spans="1:7" x14ac:dyDescent="0.25">
      <c r="A8" s="1" t="s">
        <v>12</v>
      </c>
      <c r="B8" s="1">
        <v>224.04</v>
      </c>
      <c r="C8" s="1">
        <v>205.41</v>
      </c>
      <c r="D8" s="1">
        <v>218.7</v>
      </c>
      <c r="E8" s="1">
        <v>233.06</v>
      </c>
      <c r="F8" s="1">
        <v>235.63</v>
      </c>
      <c r="G8" s="1">
        <v>152.31</v>
      </c>
    </row>
    <row r="9" spans="1:7" x14ac:dyDescent="0.25">
      <c r="A9" s="1" t="s">
        <v>13</v>
      </c>
      <c r="B9" s="1">
        <v>2240.4</v>
      </c>
      <c r="C9" s="1">
        <v>2033.58</v>
      </c>
      <c r="D9" s="1">
        <v>2147.62</v>
      </c>
      <c r="E9" s="1">
        <v>2307.31</v>
      </c>
      <c r="F9" s="1">
        <v>2332.7399999999998</v>
      </c>
      <c r="G9" s="1">
        <v>1158.7</v>
      </c>
    </row>
    <row r="10" spans="1:7" x14ac:dyDescent="0.25">
      <c r="A10" s="1" t="s">
        <v>14</v>
      </c>
      <c r="B10" s="1">
        <v>224.04</v>
      </c>
      <c r="C10" s="1">
        <v>205.41</v>
      </c>
      <c r="D10" s="1">
        <v>216.93</v>
      </c>
      <c r="E10" s="1">
        <v>233.06</v>
      </c>
      <c r="F10" s="1">
        <v>235.63</v>
      </c>
      <c r="G10" s="1">
        <v>117.04</v>
      </c>
    </row>
    <row r="11" spans="1:7" x14ac:dyDescent="0.25">
      <c r="A11" s="1" t="s">
        <v>15</v>
      </c>
      <c r="B11" s="1">
        <v>2295.4899999999998</v>
      </c>
      <c r="C11" s="1">
        <v>1858.76</v>
      </c>
      <c r="D11" s="1">
        <v>1993.57</v>
      </c>
      <c r="E11" s="1">
        <v>2014.28</v>
      </c>
      <c r="F11" s="1">
        <v>2305.38</v>
      </c>
      <c r="G11" s="1">
        <v>662.46</v>
      </c>
    </row>
    <row r="12" spans="1:7" x14ac:dyDescent="0.25">
      <c r="A12" s="1" t="s">
        <v>16</v>
      </c>
      <c r="B12" s="1">
        <v>246.94</v>
      </c>
      <c r="C12" s="1">
        <v>248.5</v>
      </c>
      <c r="D12" s="1">
        <v>250.32</v>
      </c>
      <c r="E12" s="1">
        <v>227.44</v>
      </c>
      <c r="F12" s="1">
        <v>248.04</v>
      </c>
      <c r="G12" s="1">
        <v>240.98</v>
      </c>
    </row>
    <row r="13" spans="1:7" x14ac:dyDescent="0.25">
      <c r="A13" s="1" t="s">
        <v>17</v>
      </c>
      <c r="B13" s="1">
        <v>17.78</v>
      </c>
      <c r="C13" s="1">
        <v>26.26</v>
      </c>
      <c r="D13" s="1">
        <v>30.35</v>
      </c>
      <c r="E13" s="1">
        <v>24.44</v>
      </c>
      <c r="F13" s="1">
        <v>23.82</v>
      </c>
      <c r="G13" s="1">
        <v>38.21</v>
      </c>
    </row>
    <row r="14" spans="1:7" x14ac:dyDescent="0.25">
      <c r="A14" s="1" t="s">
        <v>18</v>
      </c>
      <c r="B14" s="1">
        <v>53.13</v>
      </c>
      <c r="C14" s="1">
        <v>70.45</v>
      </c>
      <c r="D14" s="1">
        <v>67.37</v>
      </c>
      <c r="E14" s="1">
        <v>58.57</v>
      </c>
      <c r="F14" s="1">
        <v>52.65</v>
      </c>
      <c r="G14" s="1">
        <v>79.239999999999995</v>
      </c>
    </row>
    <row r="15" spans="1:7" x14ac:dyDescent="0.25">
      <c r="A15" s="1" t="s">
        <v>19</v>
      </c>
      <c r="B15" s="1">
        <v>3</v>
      </c>
      <c r="C15" s="1">
        <v>7</v>
      </c>
      <c r="D15" s="1">
        <v>5</v>
      </c>
      <c r="E15" s="1">
        <v>6</v>
      </c>
      <c r="F15" s="1">
        <v>4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2240.4</v>
      </c>
      <c r="C17" s="1">
        <v>2033.58</v>
      </c>
      <c r="D17" s="1">
        <v>2156.39</v>
      </c>
      <c r="E17" s="1">
        <v>2307.31</v>
      </c>
      <c r="F17" s="1">
        <v>2332.7399999999998</v>
      </c>
      <c r="G17" s="1">
        <v>1333.27</v>
      </c>
    </row>
    <row r="18" spans="1:7" x14ac:dyDescent="0.25">
      <c r="A18" s="1" t="s">
        <v>22</v>
      </c>
      <c r="B18" s="1">
        <v>0</v>
      </c>
      <c r="C18" s="1">
        <v>0</v>
      </c>
      <c r="D18" s="1">
        <v>8.77</v>
      </c>
      <c r="E18" s="1">
        <v>0</v>
      </c>
      <c r="F18" s="1">
        <v>0</v>
      </c>
      <c r="G18" s="1">
        <v>174.57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1.3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1.3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7.4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74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233.91</v>
      </c>
      <c r="C33" s="3">
        <v>221.12</v>
      </c>
      <c r="D33" s="3">
        <v>231.33</v>
      </c>
      <c r="E33" s="3">
        <v>247.87</v>
      </c>
      <c r="F33" s="3">
        <v>253.28</v>
      </c>
      <c r="G33" s="3">
        <v>131.72</v>
      </c>
    </row>
    <row r="35" spans="1:7" x14ac:dyDescent="0.25">
      <c r="A35" s="3" t="s">
        <v>36</v>
      </c>
      <c r="B35" s="3"/>
      <c r="C35" s="3"/>
      <c r="D35" s="3">
        <f>D33-C33</f>
        <v>10.210000000000008</v>
      </c>
      <c r="E35" s="3"/>
      <c r="F35" s="3">
        <f>F33-E33</f>
        <v>5.4099999999999966</v>
      </c>
      <c r="G3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CF3A-8E98-42E5-9F5A-2801CC4C5856}">
  <dimension ref="A1:G35"/>
  <sheetViews>
    <sheetView topLeftCell="A7" workbookViewId="0">
      <selection activeCell="M20" sqref="M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468.73</v>
      </c>
      <c r="C2" s="1">
        <v>467.9</v>
      </c>
      <c r="D2" s="1">
        <v>503.52</v>
      </c>
      <c r="E2" s="1">
        <v>518.08000000000004</v>
      </c>
      <c r="F2" s="1">
        <v>490.49</v>
      </c>
      <c r="G2" s="1">
        <v>526.77</v>
      </c>
    </row>
    <row r="3" spans="1:7" x14ac:dyDescent="0.25">
      <c r="A3" s="1" t="s">
        <v>7</v>
      </c>
      <c r="B3" s="1">
        <v>42.14</v>
      </c>
      <c r="C3" s="1">
        <v>42.71</v>
      </c>
      <c r="D3" s="1">
        <v>50.29</v>
      </c>
      <c r="E3" s="1">
        <v>56.9</v>
      </c>
      <c r="F3" s="1">
        <v>51.14</v>
      </c>
      <c r="G3" s="1">
        <v>61.71</v>
      </c>
    </row>
    <row r="4" spans="1:7" x14ac:dyDescent="0.25">
      <c r="A4" s="1" t="s">
        <v>8</v>
      </c>
      <c r="B4" s="1">
        <v>20073.349999999999</v>
      </c>
      <c r="C4" s="1">
        <v>20306.330000000002</v>
      </c>
      <c r="D4" s="1">
        <v>25813.66</v>
      </c>
      <c r="E4" s="1">
        <v>30092.34</v>
      </c>
      <c r="F4" s="1">
        <v>25486.45</v>
      </c>
      <c r="G4" s="1">
        <v>33090.44</v>
      </c>
    </row>
    <row r="5" spans="1:7" x14ac:dyDescent="0.25">
      <c r="A5" s="1" t="s">
        <v>9</v>
      </c>
      <c r="B5" s="1">
        <v>2107.08</v>
      </c>
      <c r="C5" s="1">
        <v>2605.86</v>
      </c>
      <c r="D5" s="1">
        <v>2642.02</v>
      </c>
      <c r="E5" s="1">
        <v>2675.79</v>
      </c>
      <c r="F5" s="1">
        <v>2606.0300000000002</v>
      </c>
      <c r="G5" s="1">
        <v>2564.29</v>
      </c>
    </row>
    <row r="6" spans="1:7" x14ac:dyDescent="0.25">
      <c r="A6" s="3" t="s">
        <v>10</v>
      </c>
      <c r="B6" s="3">
        <v>210.71</v>
      </c>
      <c r="C6" s="3">
        <v>263.22000000000003</v>
      </c>
      <c r="D6" s="3">
        <v>266.87</v>
      </c>
      <c r="E6" s="3">
        <v>270.27999999999997</v>
      </c>
      <c r="F6" s="3">
        <v>263.24</v>
      </c>
      <c r="G6" s="3">
        <v>259.02</v>
      </c>
    </row>
    <row r="7" spans="1:7" x14ac:dyDescent="0.25">
      <c r="A7" s="1" t="s">
        <v>11</v>
      </c>
      <c r="B7" s="1">
        <v>1944.74</v>
      </c>
      <c r="C7" s="1">
        <v>2442.04</v>
      </c>
      <c r="D7" s="1">
        <v>2497.75</v>
      </c>
      <c r="E7" s="1">
        <v>2467.75</v>
      </c>
      <c r="F7" s="1">
        <v>2503.86</v>
      </c>
      <c r="G7" s="1">
        <v>2410.5500000000002</v>
      </c>
    </row>
    <row r="8" spans="1:7" x14ac:dyDescent="0.25">
      <c r="A8" s="1" t="s">
        <v>12</v>
      </c>
      <c r="B8" s="1">
        <v>194.47</v>
      </c>
      <c r="C8" s="1">
        <v>246.67</v>
      </c>
      <c r="D8" s="1">
        <v>252.3</v>
      </c>
      <c r="E8" s="1">
        <v>249.27</v>
      </c>
      <c r="F8" s="1">
        <v>252.92</v>
      </c>
      <c r="G8" s="1">
        <v>243.49</v>
      </c>
    </row>
    <row r="9" spans="1:7" x14ac:dyDescent="0.25">
      <c r="A9" s="1" t="s">
        <v>13</v>
      </c>
      <c r="B9" s="1">
        <v>1914.02</v>
      </c>
      <c r="C9" s="1">
        <v>2442.04</v>
      </c>
      <c r="D9" s="1">
        <v>2497.75</v>
      </c>
      <c r="E9" s="1">
        <v>2464.96</v>
      </c>
      <c r="F9" s="1">
        <v>2503.86</v>
      </c>
      <c r="G9" s="1">
        <v>2410.5500000000002</v>
      </c>
    </row>
    <row r="10" spans="1:7" x14ac:dyDescent="0.25">
      <c r="A10" s="1" t="s">
        <v>14</v>
      </c>
      <c r="B10" s="1">
        <v>191.4</v>
      </c>
      <c r="C10" s="1">
        <v>246.67</v>
      </c>
      <c r="D10" s="1">
        <v>252.3</v>
      </c>
      <c r="E10" s="1">
        <v>248.99</v>
      </c>
      <c r="F10" s="1">
        <v>252.92</v>
      </c>
      <c r="G10" s="1">
        <v>243.49</v>
      </c>
    </row>
    <row r="11" spans="1:7" x14ac:dyDescent="0.25">
      <c r="A11" s="1" t="s">
        <v>15</v>
      </c>
      <c r="B11" s="1">
        <v>565.78</v>
      </c>
      <c r="C11" s="1">
        <v>2380.44</v>
      </c>
      <c r="D11" s="1">
        <v>2140.83</v>
      </c>
      <c r="E11" s="1">
        <v>2316.3200000000002</v>
      </c>
      <c r="F11" s="1">
        <v>2314.94</v>
      </c>
      <c r="G11" s="1">
        <v>2362.46</v>
      </c>
    </row>
    <row r="12" spans="1:7" x14ac:dyDescent="0.25">
      <c r="A12" s="1" t="s">
        <v>16</v>
      </c>
      <c r="B12" s="1">
        <v>239.51</v>
      </c>
      <c r="C12" s="1">
        <v>257.77999999999997</v>
      </c>
      <c r="D12" s="1">
        <v>271.20999999999998</v>
      </c>
      <c r="E12" s="1">
        <v>252.79</v>
      </c>
      <c r="F12" s="1">
        <v>254.11</v>
      </c>
      <c r="G12" s="1">
        <v>257.36</v>
      </c>
    </row>
    <row r="13" spans="1:7" x14ac:dyDescent="0.25">
      <c r="A13" s="1" t="s">
        <v>17</v>
      </c>
      <c r="B13" s="1">
        <v>50.36</v>
      </c>
      <c r="C13" s="1">
        <v>25.42</v>
      </c>
      <c r="D13" s="1">
        <v>26.07</v>
      </c>
      <c r="E13" s="1">
        <v>31.95</v>
      </c>
      <c r="F13" s="1">
        <v>24.55</v>
      </c>
      <c r="G13" s="1">
        <v>28.76</v>
      </c>
    </row>
    <row r="14" spans="1:7" x14ac:dyDescent="0.25">
      <c r="A14" s="1" t="s">
        <v>18</v>
      </c>
      <c r="B14" s="1">
        <v>90.49</v>
      </c>
      <c r="C14" s="1">
        <v>57.9</v>
      </c>
      <c r="D14" s="1">
        <v>64.66</v>
      </c>
      <c r="E14" s="1">
        <v>89.22</v>
      </c>
      <c r="F14" s="1">
        <v>66.319999999999993</v>
      </c>
      <c r="G14" s="1">
        <v>75.099999999999994</v>
      </c>
    </row>
    <row r="15" spans="1:7" x14ac:dyDescent="0.25">
      <c r="A15" s="1" t="s">
        <v>19</v>
      </c>
      <c r="B15" s="1">
        <v>7</v>
      </c>
      <c r="C15" s="1">
        <v>7</v>
      </c>
      <c r="D15" s="1">
        <v>8</v>
      </c>
      <c r="E15" s="1">
        <v>8</v>
      </c>
      <c r="F15" s="1">
        <v>6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1929.38</v>
      </c>
      <c r="C17" s="1">
        <v>2442.04</v>
      </c>
      <c r="D17" s="1">
        <v>2497.75</v>
      </c>
      <c r="E17" s="1">
        <v>2466.35</v>
      </c>
      <c r="F17" s="1">
        <v>2503.86</v>
      </c>
      <c r="G17" s="1">
        <v>2410.5500000000002</v>
      </c>
    </row>
    <row r="18" spans="1:7" x14ac:dyDescent="0.25">
      <c r="A18" s="1" t="s">
        <v>22</v>
      </c>
      <c r="B18" s="1">
        <v>15.36</v>
      </c>
      <c r="C18" s="1">
        <v>0</v>
      </c>
      <c r="D18" s="1">
        <v>0</v>
      </c>
      <c r="E18" s="1">
        <v>1.4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194.03</v>
      </c>
      <c r="C33" s="3">
        <v>261.08</v>
      </c>
      <c r="D33" s="3">
        <v>264.24</v>
      </c>
      <c r="E33" s="3">
        <v>266.95999999999998</v>
      </c>
      <c r="F33" s="3">
        <v>258.43</v>
      </c>
      <c r="G33" s="3">
        <v>258.02</v>
      </c>
    </row>
    <row r="35" spans="1:7" x14ac:dyDescent="0.25">
      <c r="A35" s="3" t="s">
        <v>36</v>
      </c>
      <c r="B35" s="3"/>
      <c r="C35" s="3"/>
      <c r="D35" s="3">
        <f>D33-C33</f>
        <v>3.160000000000025</v>
      </c>
      <c r="E35" s="3"/>
      <c r="F35" s="3">
        <f>F33-E33</f>
        <v>-8.5299999999999727</v>
      </c>
      <c r="G3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2B51-DF8A-4708-830D-02EF32B39A2A}">
  <dimension ref="A1:G35"/>
  <sheetViews>
    <sheetView topLeftCell="A10" workbookViewId="0">
      <selection activeCell="K32" sqref="K3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435.2</v>
      </c>
      <c r="C2" s="1">
        <v>429.39</v>
      </c>
      <c r="D2" s="1">
        <v>482.45</v>
      </c>
      <c r="E2" s="1">
        <v>448.23</v>
      </c>
      <c r="F2" s="1">
        <v>448.8</v>
      </c>
      <c r="G2" s="1">
        <v>404.13</v>
      </c>
    </row>
    <row r="3" spans="1:7" x14ac:dyDescent="0.25">
      <c r="A3" s="1" t="s">
        <v>7</v>
      </c>
      <c r="B3" s="1">
        <v>39.94</v>
      </c>
      <c r="C3" s="1">
        <v>35.29</v>
      </c>
      <c r="D3" s="1">
        <v>42.73</v>
      </c>
      <c r="E3" s="1">
        <v>42.12</v>
      </c>
      <c r="F3" s="1">
        <v>40.04</v>
      </c>
      <c r="G3" s="1">
        <v>36.450000000000003</v>
      </c>
    </row>
    <row r="4" spans="1:7" x14ac:dyDescent="0.25">
      <c r="A4" s="1" t="s">
        <v>8</v>
      </c>
      <c r="B4" s="1">
        <v>17688.16</v>
      </c>
      <c r="C4" s="1">
        <v>15388.07</v>
      </c>
      <c r="D4" s="1">
        <v>20961.400000000001</v>
      </c>
      <c r="E4" s="1">
        <v>19291.990000000002</v>
      </c>
      <c r="F4" s="1">
        <v>18339.2</v>
      </c>
      <c r="G4" s="1">
        <v>14953.68</v>
      </c>
    </row>
    <row r="5" spans="1:7" x14ac:dyDescent="0.25">
      <c r="A5" s="1" t="s">
        <v>9</v>
      </c>
      <c r="B5" s="1">
        <v>2334.81</v>
      </c>
      <c r="C5" s="1">
        <v>2626.59</v>
      </c>
      <c r="D5" s="1">
        <v>2380.02</v>
      </c>
      <c r="E5" s="1">
        <v>2494.59</v>
      </c>
      <c r="F5" s="1">
        <v>2530.38</v>
      </c>
      <c r="G5" s="1">
        <v>2444.9899999999998</v>
      </c>
    </row>
    <row r="6" spans="1:7" x14ac:dyDescent="0.25">
      <c r="A6" s="3" t="s">
        <v>10</v>
      </c>
      <c r="B6" s="3">
        <v>233.48</v>
      </c>
      <c r="C6" s="3">
        <v>265.31</v>
      </c>
      <c r="D6" s="3">
        <v>240.41</v>
      </c>
      <c r="E6" s="3">
        <v>251.98</v>
      </c>
      <c r="F6" s="3">
        <v>255.59</v>
      </c>
      <c r="G6" s="3">
        <v>246.97</v>
      </c>
    </row>
    <row r="7" spans="1:7" x14ac:dyDescent="0.25">
      <c r="A7" s="1" t="s">
        <v>11</v>
      </c>
      <c r="B7" s="1">
        <v>2198.69</v>
      </c>
      <c r="C7" s="1">
        <v>2462.66</v>
      </c>
      <c r="D7" s="1">
        <v>2204.79</v>
      </c>
      <c r="E7" s="1">
        <v>2367.33</v>
      </c>
      <c r="F7" s="1">
        <v>2397.65</v>
      </c>
      <c r="G7" s="1">
        <v>2274.89</v>
      </c>
    </row>
    <row r="8" spans="1:7" x14ac:dyDescent="0.25">
      <c r="A8" s="1" t="s">
        <v>12</v>
      </c>
      <c r="B8" s="1">
        <v>219.87</v>
      </c>
      <c r="C8" s="1">
        <v>248.75</v>
      </c>
      <c r="D8" s="1">
        <v>222.71</v>
      </c>
      <c r="E8" s="1">
        <v>239.12</v>
      </c>
      <c r="F8" s="1">
        <v>242.19</v>
      </c>
      <c r="G8" s="1">
        <v>229.79</v>
      </c>
    </row>
    <row r="9" spans="1:7" x14ac:dyDescent="0.25">
      <c r="A9" s="1" t="s">
        <v>13</v>
      </c>
      <c r="B9" s="1">
        <v>2198.69</v>
      </c>
      <c r="C9" s="1">
        <v>2462.66</v>
      </c>
      <c r="D9" s="1">
        <v>2204.79</v>
      </c>
      <c r="E9" s="1">
        <v>2367.33</v>
      </c>
      <c r="F9" s="1">
        <v>2397.65</v>
      </c>
      <c r="G9" s="1">
        <v>2272.92</v>
      </c>
    </row>
    <row r="10" spans="1:7" x14ac:dyDescent="0.25">
      <c r="A10" s="1" t="s">
        <v>14</v>
      </c>
      <c r="B10" s="1">
        <v>219.87</v>
      </c>
      <c r="C10" s="1">
        <v>248.75</v>
      </c>
      <c r="D10" s="1">
        <v>222.71</v>
      </c>
      <c r="E10" s="1">
        <v>239.12</v>
      </c>
      <c r="F10" s="1">
        <v>242.19</v>
      </c>
      <c r="G10" s="1">
        <v>229.59</v>
      </c>
    </row>
    <row r="11" spans="1:7" x14ac:dyDescent="0.25">
      <c r="A11" s="1" t="s">
        <v>15</v>
      </c>
      <c r="B11" s="1">
        <v>2003.24</v>
      </c>
      <c r="C11" s="1">
        <v>2376</v>
      </c>
      <c r="D11" s="1">
        <v>2197</v>
      </c>
      <c r="E11" s="1">
        <v>1999.56</v>
      </c>
      <c r="F11" s="1">
        <v>2061.2199999999998</v>
      </c>
      <c r="G11" s="1">
        <v>1884.04</v>
      </c>
    </row>
    <row r="12" spans="1:7" x14ac:dyDescent="0.25">
      <c r="A12" s="1" t="s">
        <v>16</v>
      </c>
      <c r="B12" s="1">
        <v>241.76</v>
      </c>
      <c r="C12" s="1">
        <v>256.26</v>
      </c>
      <c r="D12" s="1">
        <v>258.88</v>
      </c>
      <c r="E12" s="1">
        <v>239.83</v>
      </c>
      <c r="F12" s="1">
        <v>247.76</v>
      </c>
      <c r="G12" s="1">
        <v>234.72</v>
      </c>
    </row>
    <row r="13" spans="1:7" x14ac:dyDescent="0.25">
      <c r="A13" s="1" t="s">
        <v>17</v>
      </c>
      <c r="B13" s="1">
        <v>29.17</v>
      </c>
      <c r="C13" s="1">
        <v>24.59</v>
      </c>
      <c r="D13" s="1">
        <v>23.41</v>
      </c>
      <c r="E13" s="1">
        <v>23.67</v>
      </c>
      <c r="F13" s="1">
        <v>27.72</v>
      </c>
      <c r="G13" s="1">
        <v>29.8</v>
      </c>
    </row>
    <row r="14" spans="1:7" x14ac:dyDescent="0.25">
      <c r="A14" s="1" t="s">
        <v>18</v>
      </c>
      <c r="B14" s="1">
        <v>62.89</v>
      </c>
      <c r="C14" s="1">
        <v>71.400000000000006</v>
      </c>
      <c r="D14" s="1">
        <v>54.71</v>
      </c>
      <c r="E14" s="1">
        <v>53.66</v>
      </c>
      <c r="F14" s="1">
        <v>57.81</v>
      </c>
      <c r="G14" s="1">
        <v>69.989999999999995</v>
      </c>
    </row>
    <row r="15" spans="1:7" x14ac:dyDescent="0.25">
      <c r="A15" s="1" t="s">
        <v>19</v>
      </c>
      <c r="B15" s="1">
        <v>8</v>
      </c>
      <c r="C15" s="1">
        <v>6</v>
      </c>
      <c r="D15" s="1">
        <v>5</v>
      </c>
      <c r="E15" s="1">
        <v>6</v>
      </c>
      <c r="F15" s="1">
        <v>7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2198.69</v>
      </c>
      <c r="C17" s="1">
        <v>2462.66</v>
      </c>
      <c r="D17" s="1">
        <v>2204.79</v>
      </c>
      <c r="E17" s="1">
        <v>2367.33</v>
      </c>
      <c r="F17" s="1">
        <v>2397.65</v>
      </c>
      <c r="G17" s="1">
        <v>2273.91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0.99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228.16</v>
      </c>
      <c r="C33" s="3">
        <v>263.42</v>
      </c>
      <c r="D33" s="3">
        <v>238.03</v>
      </c>
      <c r="E33" s="3">
        <v>248.96</v>
      </c>
      <c r="F33" s="3">
        <v>253.98</v>
      </c>
      <c r="G33" s="3">
        <v>244.69</v>
      </c>
    </row>
    <row r="35" spans="1:7" x14ac:dyDescent="0.25">
      <c r="A35" s="3" t="s">
        <v>36</v>
      </c>
      <c r="B35" s="3"/>
      <c r="C35" s="3"/>
      <c r="D35" s="3">
        <f>D33-C33</f>
        <v>-25.390000000000015</v>
      </c>
      <c r="E35" s="3"/>
      <c r="F35" s="3">
        <f>F33-E33</f>
        <v>5.0199999999999818</v>
      </c>
      <c r="G35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A0C1-98F7-4448-9552-4660FF879473}">
  <dimension ref="A1:G35"/>
  <sheetViews>
    <sheetView topLeftCell="A13" workbookViewId="0">
      <selection activeCell="K27" sqref="K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401.28</v>
      </c>
      <c r="C2" s="1">
        <v>352.79</v>
      </c>
      <c r="D2" s="1">
        <v>304.54000000000002</v>
      </c>
      <c r="E2" s="1">
        <v>413.99</v>
      </c>
      <c r="F2" s="1">
        <v>379.84</v>
      </c>
      <c r="G2" s="1">
        <v>422.12</v>
      </c>
    </row>
    <row r="3" spans="1:7" x14ac:dyDescent="0.25">
      <c r="A3" s="1" t="s">
        <v>7</v>
      </c>
      <c r="B3" s="1">
        <v>37.340000000000003</v>
      </c>
      <c r="C3" s="1">
        <v>37.04</v>
      </c>
      <c r="D3" s="1">
        <v>38.26</v>
      </c>
      <c r="E3" s="1">
        <v>48.41</v>
      </c>
      <c r="F3" s="1">
        <v>46.56</v>
      </c>
      <c r="G3" s="1">
        <v>45.12</v>
      </c>
    </row>
    <row r="4" spans="1:7" x14ac:dyDescent="0.25">
      <c r="A4" s="1" t="s">
        <v>8</v>
      </c>
      <c r="B4" s="1">
        <v>15239.59</v>
      </c>
      <c r="C4" s="1">
        <v>13305.26</v>
      </c>
      <c r="D4" s="1">
        <v>11909.59</v>
      </c>
      <c r="E4" s="1">
        <v>20405.28</v>
      </c>
      <c r="F4" s="1">
        <v>18025.57</v>
      </c>
      <c r="G4" s="1">
        <v>19450.02</v>
      </c>
    </row>
    <row r="5" spans="1:7" x14ac:dyDescent="0.25">
      <c r="A5" s="1" t="s">
        <v>9</v>
      </c>
      <c r="B5" s="1">
        <v>1029.49</v>
      </c>
      <c r="C5" s="1">
        <v>1052.5</v>
      </c>
      <c r="D5" s="1">
        <v>578.16</v>
      </c>
      <c r="E5" s="1">
        <v>999.27</v>
      </c>
      <c r="F5" s="1">
        <v>835.3</v>
      </c>
      <c r="G5" s="1">
        <v>1707.69</v>
      </c>
    </row>
    <row r="6" spans="1:7" x14ac:dyDescent="0.25">
      <c r="A6" s="3" t="s">
        <v>10</v>
      </c>
      <c r="B6" s="3">
        <v>102.95</v>
      </c>
      <c r="C6" s="3">
        <v>106.31</v>
      </c>
      <c r="D6" s="3">
        <v>58.4</v>
      </c>
      <c r="E6" s="3">
        <v>100.94</v>
      </c>
      <c r="F6" s="3">
        <v>84.37</v>
      </c>
      <c r="G6" s="3">
        <v>172.49</v>
      </c>
    </row>
    <row r="7" spans="1:7" x14ac:dyDescent="0.25">
      <c r="A7" s="1" t="s">
        <v>11</v>
      </c>
      <c r="B7" s="1">
        <v>982.75</v>
      </c>
      <c r="C7" s="1">
        <v>970.29</v>
      </c>
      <c r="D7" s="1">
        <v>445.79</v>
      </c>
      <c r="E7" s="1">
        <v>829.67</v>
      </c>
      <c r="F7" s="1">
        <v>681.9</v>
      </c>
      <c r="G7" s="1">
        <v>1583.09</v>
      </c>
    </row>
    <row r="8" spans="1:7" x14ac:dyDescent="0.25">
      <c r="A8" s="1" t="s">
        <v>12</v>
      </c>
      <c r="B8" s="1">
        <v>98.27</v>
      </c>
      <c r="C8" s="1">
        <v>98.01</v>
      </c>
      <c r="D8" s="1">
        <v>45.03</v>
      </c>
      <c r="E8" s="1">
        <v>83.81</v>
      </c>
      <c r="F8" s="1">
        <v>68.88</v>
      </c>
      <c r="G8" s="1">
        <v>159.91</v>
      </c>
    </row>
    <row r="9" spans="1:7" x14ac:dyDescent="0.25">
      <c r="A9" s="1" t="s">
        <v>13</v>
      </c>
      <c r="B9" s="1">
        <v>978.94</v>
      </c>
      <c r="C9" s="1">
        <v>615.55999999999995</v>
      </c>
      <c r="D9" s="1">
        <v>203.37</v>
      </c>
      <c r="E9" s="1">
        <v>371.99</v>
      </c>
      <c r="F9" s="1">
        <v>-455.89</v>
      </c>
      <c r="G9" s="1">
        <v>1583.09</v>
      </c>
    </row>
    <row r="10" spans="1:7" x14ac:dyDescent="0.25">
      <c r="A10" s="1" t="s">
        <v>14</v>
      </c>
      <c r="B10" s="1">
        <v>97.89</v>
      </c>
      <c r="C10" s="1">
        <v>62.18</v>
      </c>
      <c r="D10" s="1">
        <v>20.54</v>
      </c>
      <c r="E10" s="1">
        <v>37.57</v>
      </c>
      <c r="F10" s="1">
        <v>-46.05</v>
      </c>
      <c r="G10" s="1">
        <v>159.91</v>
      </c>
    </row>
    <row r="11" spans="1:7" x14ac:dyDescent="0.25">
      <c r="A11" s="1" t="s">
        <v>15</v>
      </c>
      <c r="B11" s="1">
        <v>955.22</v>
      </c>
      <c r="C11" s="1">
        <v>638.29999999999995</v>
      </c>
      <c r="D11" s="1">
        <v>94.13</v>
      </c>
      <c r="E11" s="1">
        <v>310.68</v>
      </c>
      <c r="F11" s="1">
        <v>25.67</v>
      </c>
      <c r="G11" s="1">
        <v>421.97</v>
      </c>
    </row>
    <row r="12" spans="1:7" x14ac:dyDescent="0.25">
      <c r="A12" s="1" t="s">
        <v>16</v>
      </c>
      <c r="B12" s="1">
        <v>214.06</v>
      </c>
      <c r="C12" s="1">
        <v>192.19</v>
      </c>
      <c r="D12" s="1">
        <v>146.4</v>
      </c>
      <c r="E12" s="1">
        <v>165.77</v>
      </c>
      <c r="F12" s="1">
        <v>141.56</v>
      </c>
      <c r="G12" s="1">
        <v>206.71</v>
      </c>
    </row>
    <row r="13" spans="1:7" x14ac:dyDescent="0.25">
      <c r="A13" s="1" t="s">
        <v>17</v>
      </c>
      <c r="B13" s="1">
        <v>15.46</v>
      </c>
      <c r="C13" s="1">
        <v>14.92</v>
      </c>
      <c r="D13" s="1">
        <v>41.95</v>
      </c>
      <c r="E13" s="1">
        <v>60.03</v>
      </c>
      <c r="F13" s="1">
        <v>52.44</v>
      </c>
      <c r="G13" s="1">
        <v>34.72</v>
      </c>
    </row>
    <row r="14" spans="1:7" x14ac:dyDescent="0.25">
      <c r="A14" s="1" t="s">
        <v>18</v>
      </c>
      <c r="B14" s="1">
        <v>36.58</v>
      </c>
      <c r="C14" s="1">
        <v>65.89</v>
      </c>
      <c r="D14" s="1">
        <v>64.61</v>
      </c>
      <c r="E14" s="1">
        <v>86.15</v>
      </c>
      <c r="F14" s="1">
        <v>81.73</v>
      </c>
      <c r="G14" s="1">
        <v>81.459999999999994</v>
      </c>
    </row>
    <row r="15" spans="1:7" x14ac:dyDescent="0.25">
      <c r="A15" s="1" t="s">
        <v>19</v>
      </c>
      <c r="B15" s="1">
        <v>4</v>
      </c>
      <c r="C15" s="1">
        <v>2</v>
      </c>
      <c r="D15" s="1">
        <v>2</v>
      </c>
      <c r="E15" s="1">
        <v>6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980.84</v>
      </c>
      <c r="C17" s="1">
        <v>792.92</v>
      </c>
      <c r="D17" s="1">
        <v>324.58</v>
      </c>
      <c r="E17" s="1">
        <v>600.83000000000004</v>
      </c>
      <c r="F17" s="1">
        <v>113</v>
      </c>
      <c r="G17" s="1">
        <v>1583.09</v>
      </c>
    </row>
    <row r="18" spans="1:7" x14ac:dyDescent="0.25">
      <c r="A18" s="1" t="s">
        <v>22</v>
      </c>
      <c r="B18" s="1">
        <v>1.91</v>
      </c>
      <c r="C18" s="1">
        <v>177.36</v>
      </c>
      <c r="D18" s="1">
        <v>121.21</v>
      </c>
      <c r="E18" s="1">
        <v>228.84</v>
      </c>
      <c r="F18" s="1">
        <v>568.89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1</v>
      </c>
      <c r="E19" s="1">
        <v>2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1.6</v>
      </c>
      <c r="D20" s="1">
        <v>1.8</v>
      </c>
      <c r="E20" s="1">
        <v>2.4</v>
      </c>
      <c r="F20" s="1">
        <v>7.7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8.4</v>
      </c>
      <c r="D21" s="1">
        <v>8.1999999999999993</v>
      </c>
      <c r="E21" s="1">
        <v>7.6</v>
      </c>
      <c r="F21" s="1">
        <v>2.2999999999999998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1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1.5</v>
      </c>
      <c r="E23" s="1">
        <v>2.2000000000000002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1.1000000000000001</v>
      </c>
      <c r="F24" s="1">
        <v>3.8</v>
      </c>
      <c r="G24" s="1">
        <v>0</v>
      </c>
    </row>
    <row r="25" spans="1:7" x14ac:dyDescent="0.25">
      <c r="A25" s="1" t="s">
        <v>29</v>
      </c>
      <c r="B25" s="1">
        <v>0</v>
      </c>
      <c r="C25" s="1">
        <v>3.4</v>
      </c>
      <c r="D25" s="1">
        <v>3.7</v>
      </c>
      <c r="E25" s="1">
        <v>3</v>
      </c>
      <c r="F25" s="1">
        <v>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6.6</v>
      </c>
      <c r="D26" s="1">
        <v>6.3</v>
      </c>
      <c r="E26" s="1">
        <v>5.9</v>
      </c>
      <c r="F26" s="1">
        <v>2.2000000000000002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11.000000000000002</v>
      </c>
      <c r="F29" s="3">
        <f t="shared" si="1"/>
        <v>38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34</v>
      </c>
      <c r="D30" s="3">
        <f t="shared" si="2"/>
        <v>37</v>
      </c>
      <c r="E30" s="3">
        <f t="shared" si="2"/>
        <v>30</v>
      </c>
      <c r="F30" s="3">
        <f t="shared" si="2"/>
        <v>40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65.999999999999986</v>
      </c>
      <c r="D31" s="3">
        <f t="shared" si="3"/>
        <v>63</v>
      </c>
      <c r="E31" s="3">
        <f t="shared" si="3"/>
        <v>59.000000000000007</v>
      </c>
      <c r="F31" s="3">
        <f t="shared" si="3"/>
        <v>22.000000000000004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99.8</v>
      </c>
      <c r="C33" s="3">
        <v>70.430000000000007</v>
      </c>
      <c r="D33" s="3">
        <v>21.75</v>
      </c>
      <c r="E33" s="3">
        <v>26.2</v>
      </c>
      <c r="F33" s="3">
        <v>-40</v>
      </c>
      <c r="G33" s="3">
        <v>169.55</v>
      </c>
    </row>
    <row r="35" spans="1:7" x14ac:dyDescent="0.25">
      <c r="A35" s="3" t="s">
        <v>36</v>
      </c>
      <c r="B35" s="3"/>
      <c r="C35" s="3"/>
      <c r="D35" s="3">
        <f>D33-C33</f>
        <v>-48.680000000000007</v>
      </c>
      <c r="E35" s="3"/>
      <c r="F35" s="3">
        <f>F33-E33</f>
        <v>-66.2</v>
      </c>
      <c r="G3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3746-A02A-44B8-8CAB-247F20384806}">
  <dimension ref="A1:G35"/>
  <sheetViews>
    <sheetView topLeftCell="A10" workbookViewId="0">
      <selection activeCell="O29" sqref="O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409.03</v>
      </c>
      <c r="C2" s="1">
        <v>438.9</v>
      </c>
      <c r="D2" s="1">
        <v>423.94</v>
      </c>
      <c r="E2" s="1">
        <v>397.66</v>
      </c>
      <c r="F2" s="1">
        <v>426.12</v>
      </c>
      <c r="G2" s="1">
        <v>446.74</v>
      </c>
    </row>
    <row r="3" spans="1:7" x14ac:dyDescent="0.25">
      <c r="A3" s="1" t="s">
        <v>7</v>
      </c>
      <c r="B3" s="1">
        <v>38.79</v>
      </c>
      <c r="C3" s="1">
        <v>44.16</v>
      </c>
      <c r="D3" s="1">
        <v>43.12</v>
      </c>
      <c r="E3" s="1">
        <v>43.5</v>
      </c>
      <c r="F3" s="1">
        <v>44.83</v>
      </c>
      <c r="G3" s="1">
        <v>49.69</v>
      </c>
    </row>
    <row r="4" spans="1:7" x14ac:dyDescent="0.25">
      <c r="A4" s="1" t="s">
        <v>8</v>
      </c>
      <c r="B4" s="1">
        <v>16102.73</v>
      </c>
      <c r="C4" s="1">
        <v>19694.3</v>
      </c>
      <c r="D4" s="1">
        <v>18572.09</v>
      </c>
      <c r="E4" s="1">
        <v>17673.62</v>
      </c>
      <c r="F4" s="1">
        <v>19477.29</v>
      </c>
      <c r="G4" s="1">
        <v>22664.78</v>
      </c>
    </row>
    <row r="5" spans="1:7" x14ac:dyDescent="0.25">
      <c r="A5" s="1" t="s">
        <v>9</v>
      </c>
      <c r="B5" s="1">
        <v>582.51</v>
      </c>
      <c r="C5" s="1">
        <v>1068.28</v>
      </c>
      <c r="D5" s="1">
        <v>1128.68</v>
      </c>
      <c r="E5" s="1">
        <v>1305.51</v>
      </c>
      <c r="F5" s="1">
        <v>982.21</v>
      </c>
      <c r="G5" s="1">
        <v>890.45</v>
      </c>
    </row>
    <row r="6" spans="1:7" x14ac:dyDescent="0.25">
      <c r="A6" s="3" t="s">
        <v>10</v>
      </c>
      <c r="B6" s="3">
        <v>58.25</v>
      </c>
      <c r="C6" s="3">
        <v>107.91</v>
      </c>
      <c r="D6" s="3">
        <v>114.01</v>
      </c>
      <c r="E6" s="3">
        <v>131.87</v>
      </c>
      <c r="F6" s="3">
        <v>99.21</v>
      </c>
      <c r="G6" s="3">
        <v>89.94</v>
      </c>
    </row>
    <row r="7" spans="1:7" x14ac:dyDescent="0.25">
      <c r="A7" s="1" t="s">
        <v>11</v>
      </c>
      <c r="B7" s="1">
        <v>568.36</v>
      </c>
      <c r="C7" s="1">
        <v>1032.52</v>
      </c>
      <c r="D7" s="1">
        <v>1100.47</v>
      </c>
      <c r="E7" s="1">
        <v>1224.3800000000001</v>
      </c>
      <c r="F7" s="1">
        <v>902.53</v>
      </c>
      <c r="G7" s="1">
        <v>837.43</v>
      </c>
    </row>
    <row r="8" spans="1:7" x14ac:dyDescent="0.25">
      <c r="A8" s="1" t="s">
        <v>12</v>
      </c>
      <c r="B8" s="1">
        <v>56.84</v>
      </c>
      <c r="C8" s="1">
        <v>104.29</v>
      </c>
      <c r="D8" s="1">
        <v>111.16</v>
      </c>
      <c r="E8" s="1">
        <v>123.67</v>
      </c>
      <c r="F8" s="1">
        <v>91.16</v>
      </c>
      <c r="G8" s="1">
        <v>84.59</v>
      </c>
    </row>
    <row r="9" spans="1:7" x14ac:dyDescent="0.25">
      <c r="A9" s="1" t="s">
        <v>13</v>
      </c>
      <c r="B9" s="1">
        <v>566.14</v>
      </c>
      <c r="C9" s="1">
        <v>1032.52</v>
      </c>
      <c r="D9" s="1">
        <v>1093.49</v>
      </c>
      <c r="E9" s="1">
        <v>1153.29</v>
      </c>
      <c r="F9" s="1">
        <v>814.6</v>
      </c>
      <c r="G9" s="1">
        <v>781.12</v>
      </c>
    </row>
    <row r="10" spans="1:7" x14ac:dyDescent="0.25">
      <c r="A10" s="1" t="s">
        <v>14</v>
      </c>
      <c r="B10" s="1">
        <v>56.61</v>
      </c>
      <c r="C10" s="1">
        <v>104.29</v>
      </c>
      <c r="D10" s="1">
        <v>110.45</v>
      </c>
      <c r="E10" s="1">
        <v>116.49</v>
      </c>
      <c r="F10" s="1">
        <v>82.28</v>
      </c>
      <c r="G10" s="1">
        <v>78.900000000000006</v>
      </c>
    </row>
    <row r="11" spans="1:7" x14ac:dyDescent="0.25">
      <c r="A11" s="1" t="s">
        <v>15</v>
      </c>
      <c r="B11" s="1">
        <v>552.14</v>
      </c>
      <c r="C11" s="1">
        <v>1018.95</v>
      </c>
      <c r="D11" s="1">
        <v>1064.05</v>
      </c>
      <c r="E11" s="1">
        <v>1173.3699999999999</v>
      </c>
      <c r="F11" s="1">
        <v>746.86</v>
      </c>
      <c r="G11" s="1">
        <v>670.06</v>
      </c>
    </row>
    <row r="12" spans="1:7" x14ac:dyDescent="0.25">
      <c r="A12" s="1" t="s">
        <v>16</v>
      </c>
      <c r="B12" s="1">
        <v>199.1</v>
      </c>
      <c r="C12" s="1">
        <v>232.89</v>
      </c>
      <c r="D12" s="1">
        <v>225.31</v>
      </c>
      <c r="E12" s="1">
        <v>192.48</v>
      </c>
      <c r="F12" s="1">
        <v>207.15</v>
      </c>
      <c r="G12" s="1">
        <v>202.13</v>
      </c>
    </row>
    <row r="13" spans="1:7" x14ac:dyDescent="0.25">
      <c r="A13" s="1" t="s">
        <v>17</v>
      </c>
      <c r="B13" s="1">
        <v>8.86</v>
      </c>
      <c r="C13" s="1">
        <v>9.42</v>
      </c>
      <c r="D13" s="1">
        <v>11.81</v>
      </c>
      <c r="E13" s="1">
        <v>21.5</v>
      </c>
      <c r="F13" s="1">
        <v>21.06</v>
      </c>
      <c r="G13" s="1">
        <v>29.64</v>
      </c>
    </row>
    <row r="14" spans="1:7" x14ac:dyDescent="0.25">
      <c r="A14" s="1" t="s">
        <v>18</v>
      </c>
      <c r="B14" s="1">
        <v>26.68</v>
      </c>
      <c r="C14" s="1">
        <v>25.69</v>
      </c>
      <c r="D14" s="1">
        <v>28.42</v>
      </c>
      <c r="E14" s="1">
        <v>42.24</v>
      </c>
      <c r="F14" s="1">
        <v>64.099999999999994</v>
      </c>
      <c r="G14" s="1">
        <v>64.55</v>
      </c>
    </row>
    <row r="15" spans="1:7" x14ac:dyDescent="0.25">
      <c r="A15" s="1" t="s">
        <v>19</v>
      </c>
      <c r="B15" s="1">
        <v>2</v>
      </c>
      <c r="C15" s="1">
        <v>1</v>
      </c>
      <c r="D15" s="1">
        <v>2</v>
      </c>
      <c r="E15" s="1">
        <v>5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567.25</v>
      </c>
      <c r="C17" s="1">
        <v>1032.52</v>
      </c>
      <c r="D17" s="1">
        <v>1096.98</v>
      </c>
      <c r="E17" s="1">
        <v>1188.8399999999999</v>
      </c>
      <c r="F17" s="1">
        <v>858.56</v>
      </c>
      <c r="G17" s="1">
        <v>809.27</v>
      </c>
    </row>
    <row r="18" spans="1:7" x14ac:dyDescent="0.25">
      <c r="A18" s="1" t="s">
        <v>22</v>
      </c>
      <c r="B18" s="1">
        <v>1.1100000000000001</v>
      </c>
      <c r="C18" s="1">
        <v>0</v>
      </c>
      <c r="D18" s="1">
        <v>3.49</v>
      </c>
      <c r="E18" s="1">
        <v>35.54</v>
      </c>
      <c r="F18" s="1">
        <v>43.96</v>
      </c>
      <c r="G18" s="1">
        <v>28.15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1.7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8.3000000000000007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83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57.32</v>
      </c>
      <c r="C33" s="3">
        <v>107.35</v>
      </c>
      <c r="D33" s="3">
        <v>113.81</v>
      </c>
      <c r="E33" s="3">
        <v>125.13</v>
      </c>
      <c r="F33" s="3">
        <v>86.97</v>
      </c>
      <c r="G33" s="3">
        <v>80.150000000000006</v>
      </c>
    </row>
    <row r="35" spans="1:7" x14ac:dyDescent="0.25">
      <c r="A35" s="3" t="s">
        <v>36</v>
      </c>
      <c r="B35" s="3"/>
      <c r="C35" s="3"/>
      <c r="D35" s="3">
        <f>D33-C33</f>
        <v>6.460000000000008</v>
      </c>
      <c r="E35" s="3"/>
      <c r="F35" s="3">
        <f>F33-E33</f>
        <v>-38.159999999999997</v>
      </c>
      <c r="G35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8673-82BD-4D51-B0CC-33D44A0649DF}">
  <dimension ref="A1:G35"/>
  <sheetViews>
    <sheetView zoomScale="80" zoomScaleNormal="80" workbookViewId="0">
      <selection activeCell="P20" sqref="P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380.25</v>
      </c>
      <c r="C2" s="1">
        <v>481.7</v>
      </c>
      <c r="D2" s="1">
        <v>475.96</v>
      </c>
      <c r="E2" s="1">
        <v>349.69</v>
      </c>
      <c r="F2" s="1">
        <v>374.42</v>
      </c>
      <c r="G2" s="1">
        <v>422.78</v>
      </c>
    </row>
    <row r="3" spans="1:7" x14ac:dyDescent="0.25">
      <c r="A3" s="1" t="s">
        <v>7</v>
      </c>
      <c r="B3" s="1">
        <v>37.93</v>
      </c>
      <c r="C3" s="1">
        <v>56.67</v>
      </c>
      <c r="D3" s="1">
        <v>57.81</v>
      </c>
      <c r="E3" s="1">
        <v>35.549999999999997</v>
      </c>
      <c r="F3" s="1">
        <v>36.6</v>
      </c>
      <c r="G3" s="1">
        <v>46.3</v>
      </c>
    </row>
    <row r="4" spans="1:7" x14ac:dyDescent="0.25">
      <c r="A4" s="1" t="s">
        <v>8</v>
      </c>
      <c r="B4" s="1">
        <v>14651.26</v>
      </c>
      <c r="C4" s="1">
        <v>27792.45</v>
      </c>
      <c r="D4" s="1">
        <v>28067.01</v>
      </c>
      <c r="E4" s="1">
        <v>12665.75</v>
      </c>
      <c r="F4" s="1">
        <v>13957.11</v>
      </c>
      <c r="G4" s="1">
        <v>20102.740000000002</v>
      </c>
    </row>
    <row r="5" spans="1:7" x14ac:dyDescent="0.25">
      <c r="A5" s="1" t="s">
        <v>9</v>
      </c>
      <c r="B5" s="1">
        <v>1785.86</v>
      </c>
      <c r="C5" s="1">
        <v>1903.3</v>
      </c>
      <c r="D5" s="1">
        <v>1761.74</v>
      </c>
      <c r="E5" s="1">
        <v>1961.65</v>
      </c>
      <c r="F5" s="1">
        <v>1976.53</v>
      </c>
      <c r="G5" s="1">
        <v>2604.5100000000002</v>
      </c>
    </row>
    <row r="6" spans="1:7" x14ac:dyDescent="0.25">
      <c r="A6" s="3" t="s">
        <v>10</v>
      </c>
      <c r="B6" s="3">
        <v>178.59</v>
      </c>
      <c r="C6" s="3">
        <v>192.25</v>
      </c>
      <c r="D6" s="3">
        <v>177.95</v>
      </c>
      <c r="E6" s="3">
        <v>198.15</v>
      </c>
      <c r="F6" s="3">
        <v>199.65</v>
      </c>
      <c r="G6" s="3">
        <v>263.08</v>
      </c>
    </row>
    <row r="7" spans="1:7" x14ac:dyDescent="0.25">
      <c r="A7" s="1" t="s">
        <v>11</v>
      </c>
      <c r="B7" s="1">
        <v>1632.23</v>
      </c>
      <c r="C7" s="1">
        <v>1768.38</v>
      </c>
      <c r="D7" s="1">
        <v>1624.49</v>
      </c>
      <c r="E7" s="1">
        <v>1895.46</v>
      </c>
      <c r="F7" s="1">
        <v>1768.84</v>
      </c>
      <c r="G7" s="1">
        <v>2436.5100000000002</v>
      </c>
    </row>
    <row r="8" spans="1:7" x14ac:dyDescent="0.25">
      <c r="A8" s="1" t="s">
        <v>12</v>
      </c>
      <c r="B8" s="1">
        <v>163.22</v>
      </c>
      <c r="C8" s="1">
        <v>178.62</v>
      </c>
      <c r="D8" s="1">
        <v>164.09</v>
      </c>
      <c r="E8" s="1">
        <v>191.46</v>
      </c>
      <c r="F8" s="1">
        <v>178.67</v>
      </c>
      <c r="G8" s="1">
        <v>246.11</v>
      </c>
    </row>
    <row r="9" spans="1:7" x14ac:dyDescent="0.25">
      <c r="A9" s="1" t="s">
        <v>13</v>
      </c>
      <c r="B9" s="1">
        <v>1632.23</v>
      </c>
      <c r="C9" s="1">
        <v>1768.38</v>
      </c>
      <c r="D9" s="1">
        <v>1623.09</v>
      </c>
      <c r="E9" s="1">
        <v>1776.9</v>
      </c>
      <c r="F9" s="1">
        <v>1447.71</v>
      </c>
      <c r="G9" s="1">
        <v>2436.5100000000002</v>
      </c>
    </row>
    <row r="10" spans="1:7" x14ac:dyDescent="0.25">
      <c r="A10" s="1" t="s">
        <v>14</v>
      </c>
      <c r="B10" s="1">
        <v>163.22</v>
      </c>
      <c r="C10" s="1">
        <v>178.62</v>
      </c>
      <c r="D10" s="1">
        <v>163.95</v>
      </c>
      <c r="E10" s="1">
        <v>179.48</v>
      </c>
      <c r="F10" s="1">
        <v>146.22999999999999</v>
      </c>
      <c r="G10" s="1">
        <v>246.11</v>
      </c>
    </row>
    <row r="11" spans="1:7" x14ac:dyDescent="0.25">
      <c r="A11" s="1" t="s">
        <v>15</v>
      </c>
      <c r="B11" s="1">
        <v>1582.04</v>
      </c>
      <c r="C11" s="1">
        <v>1648.69</v>
      </c>
      <c r="D11" s="1">
        <v>1561.72</v>
      </c>
      <c r="E11" s="1">
        <v>1531.66</v>
      </c>
      <c r="F11" s="1">
        <v>1247.6099999999999</v>
      </c>
      <c r="G11" s="1">
        <v>2454.73</v>
      </c>
    </row>
    <row r="12" spans="1:7" x14ac:dyDescent="0.25">
      <c r="A12" s="1" t="s">
        <v>16</v>
      </c>
      <c r="B12" s="1">
        <v>214.85</v>
      </c>
      <c r="C12" s="1">
        <v>234.67</v>
      </c>
      <c r="D12" s="1">
        <v>244.64</v>
      </c>
      <c r="E12" s="1">
        <v>192.49</v>
      </c>
      <c r="F12" s="1">
        <v>197.27</v>
      </c>
      <c r="G12" s="1">
        <v>250.19</v>
      </c>
    </row>
    <row r="13" spans="1:7" x14ac:dyDescent="0.25">
      <c r="A13" s="1" t="s">
        <v>17</v>
      </c>
      <c r="B13" s="1">
        <v>24.67</v>
      </c>
      <c r="C13" s="1">
        <v>26.66</v>
      </c>
      <c r="D13" s="1">
        <v>27.74</v>
      </c>
      <c r="E13" s="1">
        <v>24.72</v>
      </c>
      <c r="F13" s="1">
        <v>24.86</v>
      </c>
      <c r="G13" s="1">
        <v>23.52</v>
      </c>
    </row>
    <row r="14" spans="1:7" x14ac:dyDescent="0.25">
      <c r="A14" s="1" t="s">
        <v>18</v>
      </c>
      <c r="B14" s="1">
        <v>51.39</v>
      </c>
      <c r="C14" s="1">
        <v>70.17</v>
      </c>
      <c r="D14" s="1">
        <v>56.19</v>
      </c>
      <c r="E14" s="1">
        <v>47.9</v>
      </c>
      <c r="F14" s="1">
        <v>55.06</v>
      </c>
      <c r="G14" s="1">
        <v>51.97</v>
      </c>
    </row>
    <row r="15" spans="1:7" x14ac:dyDescent="0.25">
      <c r="A15" s="1" t="s">
        <v>19</v>
      </c>
      <c r="B15" s="1">
        <v>8</v>
      </c>
      <c r="C15" s="1">
        <v>6</v>
      </c>
      <c r="D15" s="1">
        <v>8</v>
      </c>
      <c r="E15" s="1">
        <v>8</v>
      </c>
      <c r="F15" s="1">
        <v>7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1632.23</v>
      </c>
      <c r="C17" s="1">
        <v>1768.38</v>
      </c>
      <c r="D17" s="1">
        <v>1623.79</v>
      </c>
      <c r="E17" s="1">
        <v>1836.18</v>
      </c>
      <c r="F17" s="1">
        <v>1608.28</v>
      </c>
      <c r="G17" s="1">
        <v>2436.5100000000002</v>
      </c>
    </row>
    <row r="18" spans="1:7" x14ac:dyDescent="0.25">
      <c r="A18" s="1" t="s">
        <v>22</v>
      </c>
      <c r="B18" s="1">
        <v>0</v>
      </c>
      <c r="C18" s="1">
        <v>0</v>
      </c>
      <c r="D18" s="1">
        <v>0.7</v>
      </c>
      <c r="E18" s="1">
        <v>59.28</v>
      </c>
      <c r="F18" s="1">
        <v>160.57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1.4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8.6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1.1000000000000001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2.5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7.5</v>
      </c>
      <c r="F26" s="1">
        <v>8.9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11.000000000000002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25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75</v>
      </c>
      <c r="F31" s="3">
        <f t="shared" si="3"/>
        <v>89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176.08</v>
      </c>
      <c r="C33" s="3">
        <v>190.19</v>
      </c>
      <c r="D33" s="3">
        <v>172.8</v>
      </c>
      <c r="E33" s="3">
        <v>187.46</v>
      </c>
      <c r="F33" s="3">
        <v>138.96</v>
      </c>
      <c r="G33" s="3">
        <v>259.61</v>
      </c>
    </row>
    <row r="35" spans="1:7" x14ac:dyDescent="0.25">
      <c r="A35" s="3" t="s">
        <v>36</v>
      </c>
      <c r="B35" s="3"/>
      <c r="C35" s="3"/>
      <c r="D35" s="3">
        <f>D33-C33</f>
        <v>-17.389999999999986</v>
      </c>
      <c r="E35" s="3"/>
      <c r="F35" s="3">
        <f>F33-E33</f>
        <v>-48.5</v>
      </c>
      <c r="G3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AE72-DD1E-480E-9EEF-52F4EE8950DA}">
  <dimension ref="A1:G35"/>
  <sheetViews>
    <sheetView topLeftCell="A10" workbookViewId="0">
      <selection activeCell="K26" sqref="K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378.33</v>
      </c>
      <c r="C2" s="1">
        <v>400.55</v>
      </c>
      <c r="D2" s="1">
        <v>431.33</v>
      </c>
      <c r="E2" s="1">
        <v>394.12</v>
      </c>
      <c r="F2" s="1">
        <v>409.49</v>
      </c>
      <c r="G2" s="1">
        <v>402.33</v>
      </c>
    </row>
    <row r="3" spans="1:7" x14ac:dyDescent="0.25">
      <c r="A3" s="1" t="s">
        <v>7</v>
      </c>
      <c r="B3" s="1">
        <v>35.700000000000003</v>
      </c>
      <c r="C3" s="1">
        <v>41.97</v>
      </c>
      <c r="D3" s="1">
        <v>44.04</v>
      </c>
      <c r="E3" s="1">
        <v>39.020000000000003</v>
      </c>
      <c r="F3" s="1">
        <v>38.380000000000003</v>
      </c>
      <c r="G3" s="1">
        <v>45.98</v>
      </c>
    </row>
    <row r="4" spans="1:7" x14ac:dyDescent="0.25">
      <c r="A4" s="1" t="s">
        <v>8</v>
      </c>
      <c r="B4" s="1">
        <v>13769.88</v>
      </c>
      <c r="C4" s="1">
        <v>17135.8</v>
      </c>
      <c r="D4" s="1">
        <v>19274.5</v>
      </c>
      <c r="E4" s="1">
        <v>16033.31</v>
      </c>
      <c r="F4" s="1">
        <v>15996.38</v>
      </c>
      <c r="G4" s="1">
        <v>18812.32</v>
      </c>
    </row>
    <row r="5" spans="1:7" x14ac:dyDescent="0.25">
      <c r="A5" s="1" t="s">
        <v>9</v>
      </c>
      <c r="B5" s="1">
        <v>1261.3900000000001</v>
      </c>
      <c r="C5" s="1">
        <v>1360.34</v>
      </c>
      <c r="D5" s="1">
        <v>1634.51</v>
      </c>
      <c r="E5" s="1">
        <v>1244.23</v>
      </c>
      <c r="F5" s="1">
        <v>1050.3399999999999</v>
      </c>
      <c r="G5" s="1">
        <v>772</v>
      </c>
    </row>
    <row r="6" spans="1:7" x14ac:dyDescent="0.25">
      <c r="A6" s="3" t="s">
        <v>10</v>
      </c>
      <c r="B6" s="3">
        <v>126.14</v>
      </c>
      <c r="C6" s="3">
        <v>137.41</v>
      </c>
      <c r="D6" s="3">
        <v>165.1</v>
      </c>
      <c r="E6" s="3">
        <v>125.68</v>
      </c>
      <c r="F6" s="3">
        <v>106.1</v>
      </c>
      <c r="G6" s="3">
        <v>77.98</v>
      </c>
    </row>
    <row r="7" spans="1:7" x14ac:dyDescent="0.25">
      <c r="A7" s="1" t="s">
        <v>11</v>
      </c>
      <c r="B7" s="1">
        <v>1199.3399999999999</v>
      </c>
      <c r="C7" s="1">
        <v>1249.6500000000001</v>
      </c>
      <c r="D7" s="1">
        <v>1571.31</v>
      </c>
      <c r="E7" s="1">
        <v>1188</v>
      </c>
      <c r="F7" s="1">
        <v>869.29</v>
      </c>
      <c r="G7" s="1">
        <v>672.92</v>
      </c>
    </row>
    <row r="8" spans="1:7" x14ac:dyDescent="0.25">
      <c r="A8" s="1" t="s">
        <v>12</v>
      </c>
      <c r="B8" s="1">
        <v>119.93</v>
      </c>
      <c r="C8" s="1">
        <v>126.23</v>
      </c>
      <c r="D8" s="1">
        <v>158.72</v>
      </c>
      <c r="E8" s="1">
        <v>120</v>
      </c>
      <c r="F8" s="1">
        <v>87.81</v>
      </c>
      <c r="G8" s="1">
        <v>67.97</v>
      </c>
    </row>
    <row r="9" spans="1:7" x14ac:dyDescent="0.25">
      <c r="A9" s="1" t="s">
        <v>13</v>
      </c>
      <c r="B9" s="1">
        <v>1126.48</v>
      </c>
      <c r="C9" s="1">
        <v>821.97</v>
      </c>
      <c r="D9" s="1">
        <v>1570.85</v>
      </c>
      <c r="E9" s="1">
        <v>826.33</v>
      </c>
      <c r="F9" s="1">
        <v>-354.97</v>
      </c>
      <c r="G9" s="1">
        <v>190.54</v>
      </c>
    </row>
    <row r="10" spans="1:7" x14ac:dyDescent="0.25">
      <c r="A10" s="1" t="s">
        <v>14</v>
      </c>
      <c r="B10" s="1">
        <v>112.65</v>
      </c>
      <c r="C10" s="1">
        <v>83.03</v>
      </c>
      <c r="D10" s="1">
        <v>158.66999999999999</v>
      </c>
      <c r="E10" s="1">
        <v>83.47</v>
      </c>
      <c r="F10" s="1">
        <v>-35.86</v>
      </c>
      <c r="G10" s="1">
        <v>19.25</v>
      </c>
    </row>
    <row r="11" spans="1:7" x14ac:dyDescent="0.25">
      <c r="A11" s="1" t="s">
        <v>15</v>
      </c>
      <c r="B11" s="1">
        <v>1099.43</v>
      </c>
      <c r="C11" s="1">
        <v>686.22</v>
      </c>
      <c r="D11" s="1">
        <v>1527.57</v>
      </c>
      <c r="E11" s="1">
        <v>685.89</v>
      </c>
      <c r="F11" s="1">
        <v>183.57</v>
      </c>
      <c r="G11" s="1">
        <v>64.72</v>
      </c>
    </row>
    <row r="12" spans="1:7" x14ac:dyDescent="0.25">
      <c r="A12" s="1" t="s">
        <v>16</v>
      </c>
      <c r="B12" s="1">
        <v>216.11</v>
      </c>
      <c r="C12" s="1">
        <v>215.86</v>
      </c>
      <c r="D12" s="1">
        <v>225.3</v>
      </c>
      <c r="E12" s="1">
        <v>215.18</v>
      </c>
      <c r="F12" s="1">
        <v>196.64</v>
      </c>
      <c r="G12" s="1">
        <v>174.26</v>
      </c>
    </row>
    <row r="13" spans="1:7" x14ac:dyDescent="0.25">
      <c r="A13" s="1" t="s">
        <v>17</v>
      </c>
      <c r="B13" s="1">
        <v>18.489999999999998</v>
      </c>
      <c r="C13" s="1">
        <v>30.15</v>
      </c>
      <c r="D13" s="1">
        <v>16.489999999999998</v>
      </c>
      <c r="E13" s="1">
        <v>21.69</v>
      </c>
      <c r="F13" s="1">
        <v>42.55</v>
      </c>
      <c r="G13" s="1">
        <v>40.24</v>
      </c>
    </row>
    <row r="14" spans="1:7" x14ac:dyDescent="0.25">
      <c r="A14" s="1" t="s">
        <v>18</v>
      </c>
      <c r="B14" s="1">
        <v>38.31</v>
      </c>
      <c r="C14" s="1">
        <v>75.260000000000005</v>
      </c>
      <c r="D14" s="1">
        <v>50.62</v>
      </c>
      <c r="E14" s="1">
        <v>72.2</v>
      </c>
      <c r="F14" s="1">
        <v>80.73</v>
      </c>
      <c r="G14" s="1">
        <v>79.69</v>
      </c>
    </row>
    <row r="15" spans="1:7" x14ac:dyDescent="0.25">
      <c r="A15" s="1" t="s">
        <v>19</v>
      </c>
      <c r="B15" s="1">
        <v>5</v>
      </c>
      <c r="C15" s="1">
        <v>5</v>
      </c>
      <c r="D15" s="1">
        <v>6</v>
      </c>
      <c r="E15" s="1">
        <v>5</v>
      </c>
      <c r="F15" s="1">
        <v>5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1162.9100000000001</v>
      </c>
      <c r="C17" s="1">
        <v>1035.81</v>
      </c>
      <c r="D17" s="1">
        <v>1571.08</v>
      </c>
      <c r="E17" s="1">
        <v>1007.17</v>
      </c>
      <c r="F17" s="1">
        <v>257.16000000000003</v>
      </c>
      <c r="G17" s="1">
        <v>431.73</v>
      </c>
    </row>
    <row r="18" spans="1:7" x14ac:dyDescent="0.25">
      <c r="A18" s="1" t="s">
        <v>22</v>
      </c>
      <c r="B18" s="1">
        <v>36.43</v>
      </c>
      <c r="C18" s="1">
        <v>213.84</v>
      </c>
      <c r="D18" s="1">
        <v>0.23</v>
      </c>
      <c r="E18" s="1">
        <v>180.84</v>
      </c>
      <c r="F18" s="1">
        <v>612.13</v>
      </c>
      <c r="G18" s="1">
        <v>241.19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1</v>
      </c>
      <c r="F19" s="1">
        <v>3</v>
      </c>
      <c r="G19" s="1">
        <v>2</v>
      </c>
    </row>
    <row r="20" spans="1:7" x14ac:dyDescent="0.25">
      <c r="A20" s="1" t="s">
        <v>24</v>
      </c>
      <c r="B20" s="1">
        <v>0</v>
      </c>
      <c r="C20" s="1">
        <v>1.7</v>
      </c>
      <c r="D20" s="1">
        <v>0</v>
      </c>
      <c r="E20" s="1">
        <v>1.2</v>
      </c>
      <c r="F20" s="1">
        <v>5</v>
      </c>
      <c r="G20" s="1">
        <v>3.5</v>
      </c>
    </row>
    <row r="21" spans="1:7" x14ac:dyDescent="0.25">
      <c r="A21" s="1" t="s">
        <v>25</v>
      </c>
      <c r="B21" s="1">
        <v>10.1</v>
      </c>
      <c r="C21" s="1">
        <v>8.3000000000000007</v>
      </c>
      <c r="D21" s="1">
        <v>10</v>
      </c>
      <c r="E21" s="1">
        <v>8.8000000000000007</v>
      </c>
      <c r="F21" s="1">
        <v>5</v>
      </c>
      <c r="G21" s="1">
        <v>6.5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2.2999999999999998</v>
      </c>
      <c r="G23" s="1">
        <v>2.6</v>
      </c>
    </row>
    <row r="24" spans="1:7" x14ac:dyDescent="0.25">
      <c r="A24" s="1" t="s">
        <v>28</v>
      </c>
      <c r="B24" s="1">
        <v>0</v>
      </c>
      <c r="C24" s="1">
        <v>2.4</v>
      </c>
      <c r="D24" s="1">
        <v>0</v>
      </c>
      <c r="E24" s="1">
        <v>3.2</v>
      </c>
      <c r="F24" s="1">
        <v>1.2</v>
      </c>
      <c r="G24" s="1">
        <v>1.4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2.2000000000000002</v>
      </c>
      <c r="F25" s="1">
        <v>4.8</v>
      </c>
      <c r="G25" s="1">
        <v>4.4000000000000004</v>
      </c>
    </row>
    <row r="26" spans="1:7" x14ac:dyDescent="0.25">
      <c r="A26" s="1" t="s">
        <v>30</v>
      </c>
      <c r="B26" s="1">
        <v>10.1</v>
      </c>
      <c r="C26" s="1">
        <v>7.6</v>
      </c>
      <c r="D26" s="1">
        <v>10</v>
      </c>
      <c r="E26" s="1">
        <v>4.5999999999999996</v>
      </c>
      <c r="F26" s="1">
        <v>4</v>
      </c>
      <c r="G26" s="1">
        <v>4.2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24</v>
      </c>
      <c r="D29" s="3">
        <f t="shared" si="1"/>
        <v>0</v>
      </c>
      <c r="E29" s="3">
        <f t="shared" si="1"/>
        <v>32</v>
      </c>
      <c r="F29" s="3">
        <f t="shared" si="1"/>
        <v>12</v>
      </c>
      <c r="G29" s="3">
        <f t="shared" si="1"/>
        <v>13.999999999999998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22.000000000000004</v>
      </c>
      <c r="F30" s="3">
        <f t="shared" si="2"/>
        <v>48</v>
      </c>
      <c r="G30" s="3">
        <f t="shared" si="2"/>
        <v>44.000000000000007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76</v>
      </c>
      <c r="D31" s="3">
        <f t="shared" si="3"/>
        <v>100</v>
      </c>
      <c r="E31" s="3">
        <f t="shared" si="3"/>
        <v>46</v>
      </c>
      <c r="F31" s="3">
        <f t="shared" si="3"/>
        <v>40</v>
      </c>
      <c r="G31" s="3">
        <f t="shared" si="3"/>
        <v>42.000000000000007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117.42</v>
      </c>
      <c r="C33" s="3">
        <v>72.92</v>
      </c>
      <c r="D33" s="3">
        <v>163.28</v>
      </c>
      <c r="E33" s="3">
        <v>60.91</v>
      </c>
      <c r="F33" s="3">
        <v>3.17</v>
      </c>
      <c r="G33" s="3">
        <v>21.92</v>
      </c>
    </row>
    <row r="35" spans="1:7" x14ac:dyDescent="0.25">
      <c r="A35" s="3" t="s">
        <v>36</v>
      </c>
      <c r="B35" s="3"/>
      <c r="C35" s="3"/>
      <c r="D35" s="3">
        <f>D33-C33</f>
        <v>90.36</v>
      </c>
      <c r="E35" s="3"/>
      <c r="F35" s="3">
        <f>F33-E33</f>
        <v>-57.739999999999995</v>
      </c>
      <c r="G35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963F-995D-421B-A40F-2DBD43B1A4F7}">
  <dimension ref="A1:G35"/>
  <sheetViews>
    <sheetView topLeftCell="A10" workbookViewId="0">
      <selection activeCell="K21" sqref="K2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298.43</v>
      </c>
      <c r="C2" s="1">
        <v>378.83</v>
      </c>
      <c r="D2" s="1">
        <v>401.3</v>
      </c>
      <c r="E2" s="1">
        <v>371.11</v>
      </c>
      <c r="F2" s="1">
        <v>440.4</v>
      </c>
      <c r="G2" s="1">
        <v>219.52</v>
      </c>
    </row>
    <row r="3" spans="1:7" x14ac:dyDescent="0.25">
      <c r="A3" s="1" t="s">
        <v>7</v>
      </c>
      <c r="B3" s="1">
        <v>34.17</v>
      </c>
      <c r="C3" s="1">
        <v>37.69</v>
      </c>
      <c r="D3" s="1">
        <v>38.31</v>
      </c>
      <c r="E3" s="1">
        <v>35.81</v>
      </c>
      <c r="F3" s="1">
        <v>38.78</v>
      </c>
      <c r="G3" s="1">
        <v>28.15</v>
      </c>
    </row>
    <row r="4" spans="1:7" x14ac:dyDescent="0.25">
      <c r="A4" s="1" t="s">
        <v>8</v>
      </c>
      <c r="B4" s="1">
        <v>10396.469999999999</v>
      </c>
      <c r="C4" s="1">
        <v>14569.7</v>
      </c>
      <c r="D4" s="1">
        <v>15644.85</v>
      </c>
      <c r="E4" s="1">
        <v>13646.02</v>
      </c>
      <c r="F4" s="1">
        <v>17363.740000000002</v>
      </c>
      <c r="G4" s="1">
        <v>6332.44</v>
      </c>
    </row>
    <row r="5" spans="1:7" x14ac:dyDescent="0.25">
      <c r="A5" s="1" t="s">
        <v>9</v>
      </c>
      <c r="B5" s="1">
        <v>2042.55</v>
      </c>
      <c r="C5" s="1">
        <v>1832.16</v>
      </c>
      <c r="D5" s="1">
        <v>1431.67</v>
      </c>
      <c r="E5" s="1">
        <v>1418.72</v>
      </c>
      <c r="F5" s="1">
        <v>956.2</v>
      </c>
      <c r="G5" s="1">
        <v>1154.74</v>
      </c>
    </row>
    <row r="6" spans="1:7" x14ac:dyDescent="0.25">
      <c r="A6" s="3" t="s">
        <v>10</v>
      </c>
      <c r="B6" s="3">
        <v>204.25</v>
      </c>
      <c r="C6" s="3">
        <v>185.07</v>
      </c>
      <c r="D6" s="3">
        <v>144.61000000000001</v>
      </c>
      <c r="E6" s="3">
        <v>143.31</v>
      </c>
      <c r="F6" s="3">
        <v>96.59</v>
      </c>
      <c r="G6" s="3">
        <v>116.64</v>
      </c>
    </row>
    <row r="7" spans="1:7" x14ac:dyDescent="0.25">
      <c r="A7" s="1" t="s">
        <v>11</v>
      </c>
      <c r="B7" s="1">
        <v>1845.14</v>
      </c>
      <c r="C7" s="1">
        <v>1730.73</v>
      </c>
      <c r="D7" s="1">
        <v>1325.47</v>
      </c>
      <c r="E7" s="1">
        <v>1356.78</v>
      </c>
      <c r="F7" s="1">
        <v>941.53</v>
      </c>
      <c r="G7" s="1">
        <v>1085.6199999999999</v>
      </c>
    </row>
    <row r="8" spans="1:7" x14ac:dyDescent="0.25">
      <c r="A8" s="1" t="s">
        <v>12</v>
      </c>
      <c r="B8" s="1">
        <v>184.51</v>
      </c>
      <c r="C8" s="1">
        <v>174.82</v>
      </c>
      <c r="D8" s="1">
        <v>133.88999999999999</v>
      </c>
      <c r="E8" s="1">
        <v>137.05000000000001</v>
      </c>
      <c r="F8" s="1">
        <v>95.1</v>
      </c>
      <c r="G8" s="1">
        <v>109.66</v>
      </c>
    </row>
    <row r="9" spans="1:7" x14ac:dyDescent="0.25">
      <c r="A9" s="1" t="s">
        <v>13</v>
      </c>
      <c r="B9" s="1">
        <v>1840.65</v>
      </c>
      <c r="C9" s="1">
        <v>1730.73</v>
      </c>
      <c r="D9" s="1">
        <v>1324.98</v>
      </c>
      <c r="E9" s="1">
        <v>1356.78</v>
      </c>
      <c r="F9" s="1">
        <v>941.53</v>
      </c>
      <c r="G9" s="1">
        <v>1049.56</v>
      </c>
    </row>
    <row r="10" spans="1:7" x14ac:dyDescent="0.25">
      <c r="A10" s="1" t="s">
        <v>14</v>
      </c>
      <c r="B10" s="1">
        <v>184.07</v>
      </c>
      <c r="C10" s="1">
        <v>174.82</v>
      </c>
      <c r="D10" s="1">
        <v>133.84</v>
      </c>
      <c r="E10" s="1">
        <v>137.05000000000001</v>
      </c>
      <c r="F10" s="1">
        <v>95.1</v>
      </c>
      <c r="G10" s="1">
        <v>106.02</v>
      </c>
    </row>
    <row r="11" spans="1:7" x14ac:dyDescent="0.25">
      <c r="A11" s="1" t="s">
        <v>15</v>
      </c>
      <c r="B11" s="1">
        <v>1812.24</v>
      </c>
      <c r="C11" s="1">
        <v>1683.78</v>
      </c>
      <c r="D11" s="1">
        <v>1269.19</v>
      </c>
      <c r="E11" s="1">
        <v>1229.22</v>
      </c>
      <c r="F11" s="1">
        <v>890.95</v>
      </c>
      <c r="G11" s="1">
        <v>1071.49</v>
      </c>
    </row>
    <row r="12" spans="1:7" x14ac:dyDescent="0.25">
      <c r="A12" s="1" t="s">
        <v>16</v>
      </c>
      <c r="B12" s="1">
        <v>172.7</v>
      </c>
      <c r="C12" s="1">
        <v>221.54</v>
      </c>
      <c r="D12" s="1">
        <v>226.7</v>
      </c>
      <c r="E12" s="1">
        <v>222.12</v>
      </c>
      <c r="F12" s="1">
        <v>236.21</v>
      </c>
      <c r="G12" s="1">
        <v>118.01</v>
      </c>
    </row>
    <row r="13" spans="1:7" x14ac:dyDescent="0.25">
      <c r="A13" s="1" t="s">
        <v>17</v>
      </c>
      <c r="B13" s="1">
        <v>18.34</v>
      </c>
      <c r="C13" s="1">
        <v>19.96</v>
      </c>
      <c r="D13" s="1">
        <v>17.79</v>
      </c>
      <c r="E13" s="1">
        <v>21.6</v>
      </c>
      <c r="F13" s="1">
        <v>16.86</v>
      </c>
      <c r="G13" s="1">
        <v>9.4499999999999993</v>
      </c>
    </row>
    <row r="14" spans="1:7" x14ac:dyDescent="0.25">
      <c r="A14" s="1" t="s">
        <v>18</v>
      </c>
      <c r="B14" s="1">
        <v>49.64</v>
      </c>
      <c r="C14" s="1">
        <v>44.8</v>
      </c>
      <c r="D14" s="1">
        <v>41.91</v>
      </c>
      <c r="E14" s="1">
        <v>51.84</v>
      </c>
      <c r="F14" s="1">
        <v>40.869999999999997</v>
      </c>
      <c r="G14" s="1">
        <v>41.67</v>
      </c>
    </row>
    <row r="15" spans="1:7" x14ac:dyDescent="0.25">
      <c r="A15" s="1" t="s">
        <v>19</v>
      </c>
      <c r="B15" s="1">
        <v>8</v>
      </c>
      <c r="C15" s="1">
        <v>7</v>
      </c>
      <c r="D15" s="1">
        <v>5</v>
      </c>
      <c r="E15" s="1">
        <v>4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1842.9</v>
      </c>
      <c r="C17" s="1">
        <v>1730.73</v>
      </c>
      <c r="D17" s="1">
        <v>1325.22</v>
      </c>
      <c r="E17" s="1">
        <v>1356.78</v>
      </c>
      <c r="F17" s="1">
        <v>941.53</v>
      </c>
      <c r="G17" s="1">
        <v>1067.5899999999999</v>
      </c>
    </row>
    <row r="18" spans="1:7" x14ac:dyDescent="0.25">
      <c r="A18" s="1" t="s">
        <v>22</v>
      </c>
      <c r="B18" s="1">
        <v>2.25</v>
      </c>
      <c r="C18" s="1">
        <v>0</v>
      </c>
      <c r="D18" s="1">
        <v>0.25</v>
      </c>
      <c r="E18" s="1">
        <v>0</v>
      </c>
      <c r="F18" s="1">
        <v>0</v>
      </c>
      <c r="G18" s="1">
        <v>18.03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90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197.96</v>
      </c>
      <c r="C33" s="3">
        <v>182.56</v>
      </c>
      <c r="D33" s="3">
        <v>142.15</v>
      </c>
      <c r="E33" s="3">
        <v>140.36000000000001</v>
      </c>
      <c r="F33" s="3">
        <v>96.34</v>
      </c>
      <c r="G33" s="3">
        <v>109.99</v>
      </c>
    </row>
    <row r="35" spans="1:7" x14ac:dyDescent="0.25">
      <c r="A35" s="3" t="s">
        <v>36</v>
      </c>
      <c r="B35" s="3"/>
      <c r="C35" s="3"/>
      <c r="D35" s="3">
        <f>D33-C33</f>
        <v>-40.409999999999997</v>
      </c>
      <c r="E35" s="3"/>
      <c r="F35" s="3">
        <f>F33-E33</f>
        <v>-44.02000000000001</v>
      </c>
      <c r="G3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0286-6DCD-4582-B0FC-B5D47A7DE543}">
  <dimension ref="A1:G35"/>
  <sheetViews>
    <sheetView topLeftCell="A10" workbookViewId="0">
      <selection activeCell="I37" sqref="I3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326.27999999999997</v>
      </c>
      <c r="C2" s="1">
        <v>341.03</v>
      </c>
      <c r="D2" s="1">
        <v>345.94</v>
      </c>
      <c r="E2" s="1">
        <v>347.51</v>
      </c>
      <c r="F2" s="1">
        <v>341.06</v>
      </c>
      <c r="G2" s="1">
        <v>354.47</v>
      </c>
    </row>
    <row r="3" spans="1:7" x14ac:dyDescent="0.25">
      <c r="A3" s="1" t="s">
        <v>7</v>
      </c>
      <c r="B3" s="1">
        <v>41.8</v>
      </c>
      <c r="C3" s="1">
        <v>40.08</v>
      </c>
      <c r="D3" s="1">
        <v>40.869999999999997</v>
      </c>
      <c r="E3" s="1">
        <v>41.07</v>
      </c>
      <c r="F3" s="1">
        <v>39.83</v>
      </c>
      <c r="G3" s="1">
        <v>42.99</v>
      </c>
    </row>
    <row r="4" spans="1:7" x14ac:dyDescent="0.25">
      <c r="A4" s="1" t="s">
        <v>8</v>
      </c>
      <c r="B4" s="1">
        <v>13892.12</v>
      </c>
      <c r="C4" s="1">
        <v>13881.39</v>
      </c>
      <c r="D4" s="1">
        <v>14421.18</v>
      </c>
      <c r="E4" s="1">
        <v>14560.05</v>
      </c>
      <c r="F4" s="1">
        <v>13977.59</v>
      </c>
      <c r="G4" s="1">
        <v>15464.99</v>
      </c>
    </row>
    <row r="5" spans="1:7" x14ac:dyDescent="0.25">
      <c r="A5" s="1" t="s">
        <v>9</v>
      </c>
      <c r="B5" s="1">
        <v>662.8</v>
      </c>
      <c r="C5" s="1">
        <v>924.82</v>
      </c>
      <c r="D5" s="1">
        <v>1020.86</v>
      </c>
      <c r="E5" s="1">
        <v>1420.63</v>
      </c>
      <c r="F5" s="1">
        <v>1334.34</v>
      </c>
      <c r="G5" s="1">
        <v>793.41</v>
      </c>
    </row>
    <row r="6" spans="1:7" x14ac:dyDescent="0.25">
      <c r="A6" s="3" t="s">
        <v>10</v>
      </c>
      <c r="B6" s="3">
        <v>66.28</v>
      </c>
      <c r="C6" s="3">
        <v>93.42</v>
      </c>
      <c r="D6" s="3">
        <v>103.12</v>
      </c>
      <c r="E6" s="3">
        <v>143.5</v>
      </c>
      <c r="F6" s="3">
        <v>134.78</v>
      </c>
      <c r="G6" s="3">
        <v>80.14</v>
      </c>
    </row>
    <row r="7" spans="1:7" x14ac:dyDescent="0.25">
      <c r="A7" s="1" t="s">
        <v>11</v>
      </c>
      <c r="B7" s="1">
        <v>582.41</v>
      </c>
      <c r="C7" s="1">
        <v>821.75</v>
      </c>
      <c r="D7" s="1">
        <v>966.86</v>
      </c>
      <c r="E7" s="1">
        <v>1336.64</v>
      </c>
      <c r="F7" s="1">
        <v>1250.47</v>
      </c>
      <c r="G7" s="1">
        <v>677.07</v>
      </c>
    </row>
    <row r="8" spans="1:7" x14ac:dyDescent="0.25">
      <c r="A8" s="1" t="s">
        <v>12</v>
      </c>
      <c r="B8" s="1">
        <v>58.24</v>
      </c>
      <c r="C8" s="1">
        <v>83.01</v>
      </c>
      <c r="D8" s="1">
        <v>97.66</v>
      </c>
      <c r="E8" s="1">
        <v>135.01</v>
      </c>
      <c r="F8" s="1">
        <v>126.31</v>
      </c>
      <c r="G8" s="1">
        <v>68.39</v>
      </c>
    </row>
    <row r="9" spans="1:7" x14ac:dyDescent="0.25">
      <c r="A9" s="1" t="s">
        <v>13</v>
      </c>
      <c r="B9" s="1">
        <v>-153.02000000000001</v>
      </c>
      <c r="C9" s="1">
        <v>491.23</v>
      </c>
      <c r="D9" s="1">
        <v>771.83</v>
      </c>
      <c r="E9" s="1">
        <v>1309.93</v>
      </c>
      <c r="F9" s="1">
        <v>716.95</v>
      </c>
      <c r="G9" s="1">
        <v>515.52</v>
      </c>
    </row>
    <row r="10" spans="1:7" x14ac:dyDescent="0.25">
      <c r="A10" s="1" t="s">
        <v>14</v>
      </c>
      <c r="B10" s="1">
        <v>-15.3</v>
      </c>
      <c r="C10" s="1">
        <v>49.62</v>
      </c>
      <c r="D10" s="1">
        <v>77.959999999999994</v>
      </c>
      <c r="E10" s="1">
        <v>132.32</v>
      </c>
      <c r="F10" s="1">
        <v>72.42</v>
      </c>
      <c r="G10" s="1">
        <v>52.07</v>
      </c>
    </row>
    <row r="11" spans="1:7" x14ac:dyDescent="0.25">
      <c r="A11" s="1" t="s">
        <v>15</v>
      </c>
      <c r="B11" s="1">
        <v>98.71</v>
      </c>
      <c r="C11" s="1">
        <v>208.22</v>
      </c>
      <c r="D11" s="1">
        <v>364.27</v>
      </c>
      <c r="E11" s="1">
        <v>1210.28</v>
      </c>
      <c r="F11" s="1">
        <v>647.62</v>
      </c>
      <c r="G11" s="1">
        <v>411.26</v>
      </c>
    </row>
    <row r="12" spans="1:7" x14ac:dyDescent="0.25">
      <c r="A12" s="1" t="s">
        <v>16</v>
      </c>
      <c r="B12" s="1">
        <v>156.1</v>
      </c>
      <c r="C12" s="1">
        <v>166.01</v>
      </c>
      <c r="D12" s="1">
        <v>190.23</v>
      </c>
      <c r="E12" s="1">
        <v>199</v>
      </c>
      <c r="F12" s="1">
        <v>201.18</v>
      </c>
      <c r="G12" s="1">
        <v>178.63</v>
      </c>
    </row>
    <row r="13" spans="1:7" x14ac:dyDescent="0.25">
      <c r="A13" s="1" t="s">
        <v>17</v>
      </c>
      <c r="B13" s="1">
        <v>37.68</v>
      </c>
      <c r="C13" s="1">
        <v>35.53</v>
      </c>
      <c r="D13" s="1">
        <v>33.770000000000003</v>
      </c>
      <c r="E13" s="1">
        <v>23.18</v>
      </c>
      <c r="F13" s="1">
        <v>21.28</v>
      </c>
      <c r="G13" s="1">
        <v>23.13</v>
      </c>
    </row>
    <row r="14" spans="1:7" x14ac:dyDescent="0.25">
      <c r="A14" s="1" t="s">
        <v>18</v>
      </c>
      <c r="B14" s="1">
        <v>62.18</v>
      </c>
      <c r="C14" s="1">
        <v>76.27</v>
      </c>
      <c r="D14" s="1">
        <v>74.02</v>
      </c>
      <c r="E14" s="1">
        <v>44.61</v>
      </c>
      <c r="F14" s="1">
        <v>64.19</v>
      </c>
      <c r="G14" s="1">
        <v>61.62</v>
      </c>
    </row>
    <row r="15" spans="1:7" x14ac:dyDescent="0.25">
      <c r="A15" s="1" t="s">
        <v>19</v>
      </c>
      <c r="B15" s="1">
        <v>4</v>
      </c>
      <c r="C15" s="1">
        <v>5</v>
      </c>
      <c r="D15" s="1">
        <v>5</v>
      </c>
      <c r="E15" s="1">
        <v>7</v>
      </c>
      <c r="F15" s="1">
        <v>7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214.7</v>
      </c>
      <c r="C17" s="1">
        <v>656.49</v>
      </c>
      <c r="D17" s="1">
        <v>869.35</v>
      </c>
      <c r="E17" s="1">
        <v>1323.29</v>
      </c>
      <c r="F17" s="1">
        <v>983.71</v>
      </c>
      <c r="G17" s="1">
        <v>596.29999999999995</v>
      </c>
    </row>
    <row r="18" spans="1:7" x14ac:dyDescent="0.25">
      <c r="A18" s="1" t="s">
        <v>22</v>
      </c>
      <c r="B18" s="1">
        <v>367.72</v>
      </c>
      <c r="C18" s="1">
        <v>165.26</v>
      </c>
      <c r="D18" s="1">
        <v>97.52</v>
      </c>
      <c r="E18" s="1">
        <v>13.36</v>
      </c>
      <c r="F18" s="1">
        <v>266.76</v>
      </c>
      <c r="G18" s="1">
        <v>80.77</v>
      </c>
    </row>
    <row r="19" spans="1:7" x14ac:dyDescent="0.25">
      <c r="A19" s="1" t="s">
        <v>23</v>
      </c>
      <c r="B19" s="1">
        <v>3</v>
      </c>
      <c r="C19" s="1">
        <v>1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4.3</v>
      </c>
      <c r="C20" s="1">
        <v>2.6</v>
      </c>
      <c r="D20" s="1">
        <v>0</v>
      </c>
      <c r="E20" s="1">
        <v>0</v>
      </c>
      <c r="F20" s="1">
        <v>2</v>
      </c>
      <c r="G20" s="1">
        <v>1.5</v>
      </c>
    </row>
    <row r="21" spans="1:7" x14ac:dyDescent="0.25">
      <c r="A21" s="1" t="s">
        <v>25</v>
      </c>
      <c r="B21" s="1">
        <v>5.8</v>
      </c>
      <c r="C21" s="1">
        <v>7.4</v>
      </c>
      <c r="D21" s="1">
        <v>10</v>
      </c>
      <c r="E21" s="1">
        <v>10</v>
      </c>
      <c r="F21" s="1">
        <v>8</v>
      </c>
      <c r="G21" s="1">
        <v>8.5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2.8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4</v>
      </c>
      <c r="C24" s="1">
        <v>2.2000000000000002</v>
      </c>
      <c r="D24" s="1">
        <v>0</v>
      </c>
      <c r="E24" s="1">
        <v>0</v>
      </c>
      <c r="F24" s="1">
        <v>2.1</v>
      </c>
      <c r="G24" s="1">
        <v>1.8</v>
      </c>
    </row>
    <row r="25" spans="1:7" x14ac:dyDescent="0.25">
      <c r="A25" s="1" t="s">
        <v>29</v>
      </c>
      <c r="B25" s="1">
        <v>2.4</v>
      </c>
      <c r="C25" s="1">
        <v>1.2</v>
      </c>
      <c r="D25" s="1">
        <v>2.5</v>
      </c>
      <c r="E25" s="1">
        <v>0</v>
      </c>
      <c r="F25" s="1">
        <v>0</v>
      </c>
      <c r="G25" s="1">
        <v>2.9</v>
      </c>
    </row>
    <row r="26" spans="1:7" x14ac:dyDescent="0.25">
      <c r="A26" s="1" t="s">
        <v>30</v>
      </c>
      <c r="B26" s="1">
        <v>3.7</v>
      </c>
      <c r="C26" s="1">
        <v>6.6</v>
      </c>
      <c r="D26" s="1">
        <v>7.5</v>
      </c>
      <c r="E26" s="1">
        <v>10</v>
      </c>
      <c r="F26" s="1">
        <v>7.9</v>
      </c>
      <c r="G26" s="1">
        <v>5.3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39.603960396039604</v>
      </c>
      <c r="C29" s="3">
        <f t="shared" ref="C29:G29" si="1">C24/C28*100</f>
        <v>22.000000000000004</v>
      </c>
      <c r="D29" s="3">
        <f t="shared" si="1"/>
        <v>0</v>
      </c>
      <c r="E29" s="3">
        <f t="shared" si="1"/>
        <v>0</v>
      </c>
      <c r="F29" s="3">
        <f t="shared" si="1"/>
        <v>21.000000000000004</v>
      </c>
      <c r="G29" s="3">
        <f t="shared" si="1"/>
        <v>18</v>
      </c>
    </row>
    <row r="30" spans="1:7" x14ac:dyDescent="0.25">
      <c r="A30" s="3" t="s">
        <v>33</v>
      </c>
      <c r="B30" s="3">
        <f>B25/B28*100</f>
        <v>23.762376237623759</v>
      </c>
      <c r="C30" s="3">
        <f t="shared" ref="C30:G30" si="2">C25/C28*100</f>
        <v>12</v>
      </c>
      <c r="D30" s="3">
        <f t="shared" si="2"/>
        <v>25</v>
      </c>
      <c r="E30" s="3">
        <f t="shared" si="2"/>
        <v>0</v>
      </c>
      <c r="F30" s="3">
        <f t="shared" si="2"/>
        <v>0</v>
      </c>
      <c r="G30" s="3">
        <f t="shared" si="2"/>
        <v>28.999999999999996</v>
      </c>
    </row>
    <row r="31" spans="1:7" x14ac:dyDescent="0.25">
      <c r="A31" s="3" t="s">
        <v>34</v>
      </c>
      <c r="B31" s="3">
        <f>B26/B28*100</f>
        <v>36.633663366336634</v>
      </c>
      <c r="C31" s="3">
        <f t="shared" ref="C31:G31" si="3">C26/C28*100</f>
        <v>65.999999999999986</v>
      </c>
      <c r="D31" s="3">
        <f t="shared" si="3"/>
        <v>75</v>
      </c>
      <c r="E31" s="3">
        <f t="shared" si="3"/>
        <v>100</v>
      </c>
      <c r="F31" s="3">
        <f t="shared" si="3"/>
        <v>79</v>
      </c>
      <c r="G31" s="3">
        <f t="shared" si="3"/>
        <v>53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5.22</v>
      </c>
      <c r="C33" s="3">
        <v>51.08</v>
      </c>
      <c r="D33" s="3">
        <v>84.55</v>
      </c>
      <c r="E33" s="3">
        <v>136.88999999999999</v>
      </c>
      <c r="F33" s="3">
        <v>78.37</v>
      </c>
      <c r="G33" s="3">
        <v>41.27</v>
      </c>
    </row>
    <row r="35" spans="1:7" x14ac:dyDescent="0.25">
      <c r="A35" s="3" t="s">
        <v>36</v>
      </c>
      <c r="B35" s="3"/>
      <c r="C35" s="3"/>
      <c r="D35" s="3">
        <f>D33-C33</f>
        <v>33.47</v>
      </c>
      <c r="E35" s="3"/>
      <c r="F35" s="3">
        <f>F33-E33</f>
        <v>-58.519999999999982</v>
      </c>
      <c r="G35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5A03-BECC-4FD3-ABE2-9B28F60EABF6}">
  <dimension ref="A1:G35"/>
  <sheetViews>
    <sheetView topLeftCell="A10" workbookViewId="0">
      <selection activeCell="J36" sqref="J3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374.9</v>
      </c>
      <c r="C2" s="1">
        <v>392.19</v>
      </c>
      <c r="D2" s="1">
        <v>417.17</v>
      </c>
      <c r="E2" s="1">
        <v>416.21</v>
      </c>
      <c r="F2" s="1">
        <v>321.39</v>
      </c>
      <c r="G2" s="1">
        <v>392.46</v>
      </c>
    </row>
    <row r="3" spans="1:7" x14ac:dyDescent="0.25">
      <c r="A3" s="1" t="s">
        <v>7</v>
      </c>
      <c r="B3" s="1">
        <v>38.630000000000003</v>
      </c>
      <c r="C3" s="1">
        <v>43.09</v>
      </c>
      <c r="D3" s="1">
        <v>46.64</v>
      </c>
      <c r="E3" s="1">
        <v>45.21</v>
      </c>
      <c r="F3" s="1">
        <v>35.380000000000003</v>
      </c>
      <c r="G3" s="1">
        <v>40.11</v>
      </c>
    </row>
    <row r="4" spans="1:7" x14ac:dyDescent="0.25">
      <c r="A4" s="1" t="s">
        <v>8</v>
      </c>
      <c r="B4" s="1">
        <v>14781.52</v>
      </c>
      <c r="C4" s="1">
        <v>17216.82</v>
      </c>
      <c r="D4" s="1">
        <v>19884.13</v>
      </c>
      <c r="E4" s="1">
        <v>19180.09</v>
      </c>
      <c r="F4" s="1">
        <v>11556.86</v>
      </c>
      <c r="G4" s="1">
        <v>16315.97</v>
      </c>
    </row>
    <row r="5" spans="1:7" x14ac:dyDescent="0.25">
      <c r="A5" s="1" t="s">
        <v>9</v>
      </c>
      <c r="B5" s="1">
        <v>1379.26</v>
      </c>
      <c r="C5" s="1">
        <v>1457.3</v>
      </c>
      <c r="D5" s="1">
        <v>1266.4000000000001</v>
      </c>
      <c r="E5" s="1">
        <v>2117.7199999999998</v>
      </c>
      <c r="F5" s="1">
        <v>2406.33</v>
      </c>
      <c r="G5" s="1">
        <v>2318.11</v>
      </c>
    </row>
    <row r="6" spans="1:7" x14ac:dyDescent="0.25">
      <c r="A6" s="3" t="s">
        <v>10</v>
      </c>
      <c r="B6" s="3">
        <v>137.93</v>
      </c>
      <c r="C6" s="3">
        <v>147.19999999999999</v>
      </c>
      <c r="D6" s="3">
        <v>127.92</v>
      </c>
      <c r="E6" s="3">
        <v>213.91</v>
      </c>
      <c r="F6" s="3">
        <v>243.06</v>
      </c>
      <c r="G6" s="3">
        <v>234.15</v>
      </c>
    </row>
    <row r="7" spans="1:7" x14ac:dyDescent="0.25">
      <c r="A7" s="1" t="s">
        <v>11</v>
      </c>
      <c r="B7" s="1">
        <v>1236.67</v>
      </c>
      <c r="C7" s="1">
        <v>1378.18</v>
      </c>
      <c r="D7" s="1">
        <v>1118.42</v>
      </c>
      <c r="E7" s="1">
        <v>1990.87</v>
      </c>
      <c r="F7" s="1">
        <v>2217.61</v>
      </c>
      <c r="G7" s="1">
        <v>2197.5300000000002</v>
      </c>
    </row>
    <row r="8" spans="1:7" x14ac:dyDescent="0.25">
      <c r="A8" s="1" t="s">
        <v>12</v>
      </c>
      <c r="B8" s="1">
        <v>123.67</v>
      </c>
      <c r="C8" s="1">
        <v>139.21</v>
      </c>
      <c r="D8" s="1">
        <v>112.97</v>
      </c>
      <c r="E8" s="1">
        <v>201.1</v>
      </c>
      <c r="F8" s="1">
        <v>224</v>
      </c>
      <c r="G8" s="1">
        <v>221.97</v>
      </c>
    </row>
    <row r="9" spans="1:7" x14ac:dyDescent="0.25">
      <c r="A9" s="1" t="s">
        <v>13</v>
      </c>
      <c r="B9" s="1">
        <v>1235.9000000000001</v>
      </c>
      <c r="C9" s="1">
        <v>1378.18</v>
      </c>
      <c r="D9" s="1">
        <v>1024.76</v>
      </c>
      <c r="E9" s="1">
        <v>1990.87</v>
      </c>
      <c r="F9" s="1">
        <v>2211.36</v>
      </c>
      <c r="G9" s="1">
        <v>2188.17</v>
      </c>
    </row>
    <row r="10" spans="1:7" x14ac:dyDescent="0.25">
      <c r="A10" s="1" t="s">
        <v>14</v>
      </c>
      <c r="B10" s="1">
        <v>123.59</v>
      </c>
      <c r="C10" s="1">
        <v>139.21</v>
      </c>
      <c r="D10" s="1">
        <v>103.51</v>
      </c>
      <c r="E10" s="1">
        <v>201.1</v>
      </c>
      <c r="F10" s="1">
        <v>223.37</v>
      </c>
      <c r="G10" s="1">
        <v>221.03</v>
      </c>
    </row>
    <row r="11" spans="1:7" x14ac:dyDescent="0.25">
      <c r="A11" s="1" t="s">
        <v>15</v>
      </c>
      <c r="B11" s="1">
        <v>1293.73</v>
      </c>
      <c r="C11" s="1">
        <v>90.59</v>
      </c>
      <c r="D11" s="1">
        <v>284.66000000000003</v>
      </c>
      <c r="E11" s="1">
        <v>1751.27</v>
      </c>
      <c r="F11" s="1">
        <v>2167.6999999999998</v>
      </c>
      <c r="G11" s="1">
        <v>1931.79</v>
      </c>
    </row>
    <row r="12" spans="1:7" x14ac:dyDescent="0.25">
      <c r="A12" s="1" t="s">
        <v>16</v>
      </c>
      <c r="B12" s="1">
        <v>190.22</v>
      </c>
      <c r="C12" s="1">
        <v>221.44</v>
      </c>
      <c r="D12" s="1">
        <v>226.39</v>
      </c>
      <c r="E12" s="1">
        <v>243.22</v>
      </c>
      <c r="F12" s="1">
        <v>195.1</v>
      </c>
      <c r="G12" s="1">
        <v>250.54</v>
      </c>
    </row>
    <row r="13" spans="1:7" x14ac:dyDescent="0.25">
      <c r="A13" s="1" t="s">
        <v>17</v>
      </c>
      <c r="B13" s="1">
        <v>21.99</v>
      </c>
      <c r="C13" s="1">
        <v>24.73</v>
      </c>
      <c r="D13" s="1">
        <v>39</v>
      </c>
      <c r="E13" s="1">
        <v>29.66</v>
      </c>
      <c r="F13" s="1">
        <v>25.51</v>
      </c>
      <c r="G13" s="1">
        <v>27.34</v>
      </c>
    </row>
    <row r="14" spans="1:7" x14ac:dyDescent="0.25">
      <c r="A14" s="1" t="s">
        <v>18</v>
      </c>
      <c r="B14" s="1">
        <v>39.979999999999997</v>
      </c>
      <c r="C14" s="1">
        <v>76.760000000000005</v>
      </c>
      <c r="D14" s="1">
        <v>81.760000000000005</v>
      </c>
      <c r="E14" s="1">
        <v>62.8</v>
      </c>
      <c r="F14" s="1">
        <v>52.06</v>
      </c>
      <c r="G14" s="1">
        <v>62.96</v>
      </c>
    </row>
    <row r="15" spans="1:7" x14ac:dyDescent="0.25">
      <c r="A15" s="1" t="s">
        <v>19</v>
      </c>
      <c r="B15" s="1">
        <v>6</v>
      </c>
      <c r="C15" s="1">
        <v>5</v>
      </c>
      <c r="D15" s="1">
        <v>6</v>
      </c>
      <c r="E15" s="1">
        <v>6</v>
      </c>
      <c r="F15" s="1">
        <v>9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1236.28</v>
      </c>
      <c r="C17" s="1">
        <v>1378.18</v>
      </c>
      <c r="D17" s="1">
        <v>1071.5899999999999</v>
      </c>
      <c r="E17" s="1">
        <v>1990.87</v>
      </c>
      <c r="F17" s="1">
        <v>2214.4899999999998</v>
      </c>
      <c r="G17" s="1">
        <v>2192.85</v>
      </c>
    </row>
    <row r="18" spans="1:7" x14ac:dyDescent="0.25">
      <c r="A18" s="1" t="s">
        <v>22</v>
      </c>
      <c r="B18" s="1">
        <v>0.38</v>
      </c>
      <c r="C18" s="1">
        <v>0</v>
      </c>
      <c r="D18" s="1">
        <v>46.83</v>
      </c>
      <c r="E18" s="1">
        <v>0</v>
      </c>
      <c r="F18" s="1">
        <v>3.12</v>
      </c>
      <c r="G18" s="1">
        <v>4.68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1.6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8.4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16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84.000000000000014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131.27000000000001</v>
      </c>
      <c r="C33" s="3">
        <v>144.4</v>
      </c>
      <c r="D33" s="3">
        <v>122.96</v>
      </c>
      <c r="E33" s="3">
        <v>207.75</v>
      </c>
      <c r="F33" s="3">
        <v>239.73</v>
      </c>
      <c r="G33" s="3">
        <v>224.96</v>
      </c>
    </row>
    <row r="35" spans="1:7" x14ac:dyDescent="0.25">
      <c r="A35" s="3" t="s">
        <v>36</v>
      </c>
      <c r="B35" s="3"/>
      <c r="C35" s="3"/>
      <c r="D35" s="3">
        <f>D33-C33</f>
        <v>-21.440000000000012</v>
      </c>
      <c r="E35" s="3"/>
      <c r="F35" s="3">
        <f>F33-E33</f>
        <v>31.97999999999999</v>
      </c>
      <c r="G35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558F-B377-478D-8AC9-BD7A306E0D41}">
  <dimension ref="A1:G35"/>
  <sheetViews>
    <sheetView topLeftCell="A13" workbookViewId="0">
      <selection activeCell="J18" sqref="J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355.94</v>
      </c>
      <c r="C2" s="1">
        <v>408.99</v>
      </c>
      <c r="D2" s="1">
        <v>356.66</v>
      </c>
      <c r="E2" s="1">
        <v>432.86</v>
      </c>
      <c r="F2" s="1">
        <v>338.44</v>
      </c>
      <c r="G2" s="1">
        <v>422.06</v>
      </c>
    </row>
    <row r="3" spans="1:7" x14ac:dyDescent="0.25">
      <c r="A3" s="1" t="s">
        <v>7</v>
      </c>
      <c r="B3" s="1">
        <v>33.630000000000003</v>
      </c>
      <c r="C3" s="1">
        <v>36.78</v>
      </c>
      <c r="D3" s="1">
        <v>35.020000000000003</v>
      </c>
      <c r="E3" s="1">
        <v>34.979999999999997</v>
      </c>
      <c r="F3" s="1">
        <v>33.24</v>
      </c>
      <c r="G3" s="1">
        <v>36.549999999999997</v>
      </c>
    </row>
    <row r="4" spans="1:7" x14ac:dyDescent="0.25">
      <c r="A4" s="1" t="s">
        <v>8</v>
      </c>
      <c r="B4" s="1">
        <v>12207.49</v>
      </c>
      <c r="C4" s="1">
        <v>15390.38</v>
      </c>
      <c r="D4" s="1">
        <v>12792.9</v>
      </c>
      <c r="E4" s="1">
        <v>15375.5</v>
      </c>
      <c r="F4" s="1">
        <v>11657.98</v>
      </c>
      <c r="G4" s="1">
        <v>15851.74</v>
      </c>
    </row>
    <row r="5" spans="1:7" x14ac:dyDescent="0.25">
      <c r="A5" s="1" t="s">
        <v>9</v>
      </c>
      <c r="B5" s="1">
        <v>2023.85</v>
      </c>
      <c r="C5" s="1">
        <v>2429.38</v>
      </c>
      <c r="D5" s="1">
        <v>1729.92</v>
      </c>
      <c r="E5" s="1">
        <v>2758.97</v>
      </c>
      <c r="F5" s="1">
        <v>2114.7199999999998</v>
      </c>
      <c r="G5" s="1">
        <v>2994.08</v>
      </c>
    </row>
    <row r="6" spans="1:7" x14ac:dyDescent="0.25">
      <c r="A6" s="3" t="s">
        <v>10</v>
      </c>
      <c r="B6" s="3">
        <v>202.38</v>
      </c>
      <c r="C6" s="3">
        <v>245.39</v>
      </c>
      <c r="D6" s="3">
        <v>174.74</v>
      </c>
      <c r="E6" s="3">
        <v>278.68</v>
      </c>
      <c r="F6" s="3">
        <v>213.61</v>
      </c>
      <c r="G6" s="3">
        <v>305.52</v>
      </c>
    </row>
    <row r="7" spans="1:7" x14ac:dyDescent="0.25">
      <c r="A7" s="1" t="s">
        <v>11</v>
      </c>
      <c r="B7" s="1">
        <v>1859.29</v>
      </c>
      <c r="C7" s="1">
        <v>2241.39</v>
      </c>
      <c r="D7" s="1">
        <v>1532.94</v>
      </c>
      <c r="E7" s="1">
        <v>2515.12</v>
      </c>
      <c r="F7" s="1">
        <v>1932.4</v>
      </c>
      <c r="G7" s="1">
        <v>2726.76</v>
      </c>
    </row>
    <row r="8" spans="1:7" x14ac:dyDescent="0.25">
      <c r="A8" s="1" t="s">
        <v>12</v>
      </c>
      <c r="B8" s="1">
        <v>185.93</v>
      </c>
      <c r="C8" s="1">
        <v>226.4</v>
      </c>
      <c r="D8" s="1">
        <v>154.84</v>
      </c>
      <c r="E8" s="1">
        <v>254.05</v>
      </c>
      <c r="F8" s="1">
        <v>195.19</v>
      </c>
      <c r="G8" s="1">
        <v>278.24</v>
      </c>
    </row>
    <row r="9" spans="1:7" x14ac:dyDescent="0.25">
      <c r="A9" s="1" t="s">
        <v>13</v>
      </c>
      <c r="B9" s="1">
        <v>1763.26</v>
      </c>
      <c r="C9" s="1">
        <v>2228.41</v>
      </c>
      <c r="D9" s="1">
        <v>1478.76</v>
      </c>
      <c r="E9" s="1">
        <v>2515.12</v>
      </c>
      <c r="F9" s="1">
        <v>1525.82</v>
      </c>
      <c r="G9" s="1">
        <v>2726.76</v>
      </c>
    </row>
    <row r="10" spans="1:7" x14ac:dyDescent="0.25">
      <c r="A10" s="1" t="s">
        <v>14</v>
      </c>
      <c r="B10" s="1">
        <v>176.33</v>
      </c>
      <c r="C10" s="1">
        <v>225.09</v>
      </c>
      <c r="D10" s="1">
        <v>149.37</v>
      </c>
      <c r="E10" s="1">
        <v>254.05</v>
      </c>
      <c r="F10" s="1">
        <v>154.12</v>
      </c>
      <c r="G10" s="1">
        <v>278.24</v>
      </c>
    </row>
    <row r="11" spans="1:7" x14ac:dyDescent="0.25">
      <c r="A11" s="1" t="s">
        <v>15</v>
      </c>
      <c r="B11" s="1">
        <v>1581.87</v>
      </c>
      <c r="C11" s="1">
        <v>1749.18</v>
      </c>
      <c r="D11" s="1">
        <v>1023.9</v>
      </c>
      <c r="E11" s="1">
        <v>2451.64</v>
      </c>
      <c r="F11" s="1">
        <v>747.31</v>
      </c>
      <c r="G11" s="1">
        <v>2539.0500000000002</v>
      </c>
    </row>
    <row r="12" spans="1:7" x14ac:dyDescent="0.25">
      <c r="A12" s="1" t="s">
        <v>16</v>
      </c>
      <c r="B12" s="1">
        <v>212.68</v>
      </c>
      <c r="C12" s="1">
        <v>229.5</v>
      </c>
      <c r="D12" s="1">
        <v>196.95</v>
      </c>
      <c r="E12" s="1">
        <v>248</v>
      </c>
      <c r="F12" s="1">
        <v>197.64</v>
      </c>
      <c r="G12" s="1">
        <v>242.48</v>
      </c>
    </row>
    <row r="13" spans="1:7" x14ac:dyDescent="0.25">
      <c r="A13" s="1" t="s">
        <v>17</v>
      </c>
      <c r="B13" s="1">
        <v>31.25</v>
      </c>
      <c r="C13" s="1">
        <v>33.21</v>
      </c>
      <c r="D13" s="1">
        <v>43.58</v>
      </c>
      <c r="E13" s="1">
        <v>30.22</v>
      </c>
      <c r="F13" s="1">
        <v>22.98</v>
      </c>
      <c r="G13" s="1">
        <v>32</v>
      </c>
    </row>
    <row r="14" spans="1:7" x14ac:dyDescent="0.25">
      <c r="A14" s="1" t="s">
        <v>18</v>
      </c>
      <c r="B14" s="1">
        <v>88.68</v>
      </c>
      <c r="C14" s="1">
        <v>80.599999999999994</v>
      </c>
      <c r="D14" s="1">
        <v>79.209999999999994</v>
      </c>
      <c r="E14" s="1">
        <v>79.92</v>
      </c>
      <c r="F14" s="1">
        <v>58.58</v>
      </c>
      <c r="G14" s="1">
        <v>74.150000000000006</v>
      </c>
    </row>
    <row r="15" spans="1:7" x14ac:dyDescent="0.25">
      <c r="A15" s="1" t="s">
        <v>19</v>
      </c>
      <c r="B15" s="1">
        <v>9</v>
      </c>
      <c r="C15" s="1">
        <v>8</v>
      </c>
      <c r="D15" s="1">
        <v>7</v>
      </c>
      <c r="E15" s="1">
        <v>6</v>
      </c>
      <c r="F15" s="1">
        <v>4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1811.27</v>
      </c>
      <c r="C17" s="1">
        <v>2234.9</v>
      </c>
      <c r="D17" s="1">
        <v>1505.85</v>
      </c>
      <c r="E17" s="1">
        <v>2515.12</v>
      </c>
      <c r="F17" s="1">
        <v>1729.11</v>
      </c>
      <c r="G17" s="1">
        <v>2726.76</v>
      </c>
    </row>
    <row r="18" spans="1:7" x14ac:dyDescent="0.25">
      <c r="A18" s="1" t="s">
        <v>22</v>
      </c>
      <c r="B18" s="1">
        <v>48.01</v>
      </c>
      <c r="C18" s="1">
        <v>6.49</v>
      </c>
      <c r="D18" s="1">
        <v>27.09</v>
      </c>
      <c r="E18" s="1">
        <v>0</v>
      </c>
      <c r="F18" s="1">
        <v>203.29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1.1000000000000001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1.2</v>
      </c>
      <c r="G24" s="1">
        <v>0</v>
      </c>
    </row>
    <row r="25" spans="1:7" x14ac:dyDescent="0.25">
      <c r="A25" s="1" t="s">
        <v>29</v>
      </c>
      <c r="B25" s="1">
        <v>1.7</v>
      </c>
      <c r="C25" s="1">
        <v>0</v>
      </c>
      <c r="D25" s="1">
        <v>1.9</v>
      </c>
      <c r="E25" s="1">
        <v>0</v>
      </c>
      <c r="F25" s="1">
        <v>1.7</v>
      </c>
      <c r="G25" s="1">
        <v>0</v>
      </c>
    </row>
    <row r="26" spans="1:7" x14ac:dyDescent="0.25">
      <c r="A26" s="1" t="s">
        <v>30</v>
      </c>
      <c r="B26" s="1">
        <v>8.4</v>
      </c>
      <c r="C26" s="1">
        <v>10</v>
      </c>
      <c r="D26" s="1">
        <v>8.1</v>
      </c>
      <c r="E26" s="1">
        <v>10</v>
      </c>
      <c r="F26" s="1">
        <v>7.1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16.831683168316832</v>
      </c>
      <c r="C30" s="3">
        <f t="shared" ref="C30:G30" si="2">C25/C28*100</f>
        <v>0</v>
      </c>
      <c r="D30" s="3">
        <f t="shared" si="2"/>
        <v>19</v>
      </c>
      <c r="E30" s="3">
        <f t="shared" si="2"/>
        <v>0</v>
      </c>
      <c r="F30" s="3">
        <f t="shared" si="2"/>
        <v>17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83.168316831683171</v>
      </c>
      <c r="C31" s="3">
        <f t="shared" ref="C31:G31" si="3">C26/C28*100</f>
        <v>100</v>
      </c>
      <c r="D31" s="3">
        <f t="shared" si="3"/>
        <v>81</v>
      </c>
      <c r="E31" s="3">
        <f t="shared" si="3"/>
        <v>100</v>
      </c>
      <c r="F31" s="3">
        <f t="shared" si="3"/>
        <v>71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184.6</v>
      </c>
      <c r="C33" s="3">
        <v>239.09</v>
      </c>
      <c r="D33" s="3">
        <v>171.2</v>
      </c>
      <c r="E33" s="3">
        <v>277.81</v>
      </c>
      <c r="F33" s="3">
        <v>156.04</v>
      </c>
      <c r="G33" s="3">
        <v>292.33</v>
      </c>
    </row>
    <row r="35" spans="1:7" x14ac:dyDescent="0.25">
      <c r="A35" s="3" t="s">
        <v>36</v>
      </c>
      <c r="B35" s="3"/>
      <c r="C35" s="3"/>
      <c r="D35" s="3">
        <f>D33-C33</f>
        <v>-67.890000000000015</v>
      </c>
      <c r="E35" s="3"/>
      <c r="F35" s="3">
        <f>F33-E33</f>
        <v>-121.77000000000001</v>
      </c>
      <c r="G35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5F9F-5A67-4928-8ECE-0A7A6E8B4381}">
  <dimension ref="A1:G35"/>
  <sheetViews>
    <sheetView topLeftCell="A13" workbookViewId="0">
      <selection activeCell="J40" sqref="J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401.14</v>
      </c>
      <c r="C2" s="1">
        <v>430.6</v>
      </c>
      <c r="D2" s="1">
        <v>397.89</v>
      </c>
      <c r="E2" s="1">
        <v>410.04</v>
      </c>
      <c r="F2" s="1">
        <v>418.85</v>
      </c>
      <c r="G2" s="1">
        <v>443.82</v>
      </c>
    </row>
    <row r="3" spans="1:7" x14ac:dyDescent="0.25">
      <c r="A3" s="1" t="s">
        <v>7</v>
      </c>
      <c r="B3" s="1">
        <v>45.52</v>
      </c>
      <c r="C3" s="1">
        <v>59.43</v>
      </c>
      <c r="D3" s="1">
        <v>69.930000000000007</v>
      </c>
      <c r="E3" s="1">
        <v>59.89</v>
      </c>
      <c r="F3" s="1">
        <v>68.290000000000006</v>
      </c>
      <c r="G3" s="1">
        <v>57.59</v>
      </c>
    </row>
    <row r="4" spans="1:7" x14ac:dyDescent="0.25">
      <c r="A4" s="1" t="s">
        <v>8</v>
      </c>
      <c r="B4" s="1">
        <v>18657.45</v>
      </c>
      <c r="C4" s="1">
        <v>26232.81</v>
      </c>
      <c r="D4" s="1">
        <v>28309.77</v>
      </c>
      <c r="E4" s="1">
        <v>24748.07</v>
      </c>
      <c r="F4" s="1">
        <v>29089.53</v>
      </c>
      <c r="G4" s="1">
        <v>25988.92</v>
      </c>
    </row>
    <row r="5" spans="1:7" x14ac:dyDescent="0.25">
      <c r="A5" s="1" t="s">
        <v>9</v>
      </c>
      <c r="B5" s="1">
        <v>1369.44</v>
      </c>
      <c r="C5" s="1">
        <v>1566.72</v>
      </c>
      <c r="D5" s="1">
        <v>1392.65</v>
      </c>
      <c r="E5" s="1">
        <v>1520.72</v>
      </c>
      <c r="F5" s="1">
        <v>2224.89</v>
      </c>
      <c r="G5" s="1">
        <v>2332.91</v>
      </c>
    </row>
    <row r="6" spans="1:7" x14ac:dyDescent="0.25">
      <c r="A6" s="3" t="s">
        <v>10</v>
      </c>
      <c r="B6" s="3">
        <v>136.94</v>
      </c>
      <c r="C6" s="3">
        <v>158.25</v>
      </c>
      <c r="D6" s="3">
        <v>140.66999999999999</v>
      </c>
      <c r="E6" s="3">
        <v>153.61000000000001</v>
      </c>
      <c r="F6" s="3">
        <v>224.74</v>
      </c>
      <c r="G6" s="3">
        <v>238.05</v>
      </c>
    </row>
    <row r="7" spans="1:7" x14ac:dyDescent="0.25">
      <c r="A7" s="1" t="s">
        <v>11</v>
      </c>
      <c r="B7" s="1">
        <v>1304.9100000000001</v>
      </c>
      <c r="C7" s="1">
        <v>1453.14</v>
      </c>
      <c r="D7" s="1">
        <v>1295.57</v>
      </c>
      <c r="E7" s="1">
        <v>1366.44</v>
      </c>
      <c r="F7" s="1">
        <v>1918.13</v>
      </c>
      <c r="G7" s="1">
        <v>2126.0700000000002</v>
      </c>
    </row>
    <row r="8" spans="1:7" x14ac:dyDescent="0.25">
      <c r="A8" s="1" t="s">
        <v>12</v>
      </c>
      <c r="B8" s="1">
        <v>130.49</v>
      </c>
      <c r="C8" s="1">
        <v>146.78</v>
      </c>
      <c r="D8" s="1">
        <v>130.87</v>
      </c>
      <c r="E8" s="1">
        <v>138.02000000000001</v>
      </c>
      <c r="F8" s="1">
        <v>193.75</v>
      </c>
      <c r="G8" s="1">
        <v>216.95</v>
      </c>
    </row>
    <row r="9" spans="1:7" x14ac:dyDescent="0.25">
      <c r="A9" s="1" t="s">
        <v>13</v>
      </c>
      <c r="B9" s="1">
        <v>1229.23</v>
      </c>
      <c r="C9" s="1">
        <v>1415.06</v>
      </c>
      <c r="D9" s="1">
        <v>915.49</v>
      </c>
      <c r="E9" s="1">
        <v>1206.72</v>
      </c>
      <c r="F9" s="1">
        <v>1912.2</v>
      </c>
      <c r="G9" s="1">
        <v>2119.96</v>
      </c>
    </row>
    <row r="10" spans="1:7" x14ac:dyDescent="0.25">
      <c r="A10" s="1" t="s">
        <v>14</v>
      </c>
      <c r="B10" s="1">
        <v>122.92</v>
      </c>
      <c r="C10" s="1">
        <v>142.93</v>
      </c>
      <c r="D10" s="1">
        <v>92.47</v>
      </c>
      <c r="E10" s="1">
        <v>121.89</v>
      </c>
      <c r="F10" s="1">
        <v>193.15</v>
      </c>
      <c r="G10" s="1">
        <v>216.32</v>
      </c>
    </row>
    <row r="11" spans="1:7" x14ac:dyDescent="0.25">
      <c r="A11" s="1" t="s">
        <v>15</v>
      </c>
      <c r="B11" s="1">
        <v>1151.3699999999999</v>
      </c>
      <c r="C11" s="1">
        <v>1148.47</v>
      </c>
      <c r="D11" s="1">
        <v>714.45</v>
      </c>
      <c r="E11" s="1">
        <v>1166.6300000000001</v>
      </c>
      <c r="F11" s="1">
        <v>1887</v>
      </c>
      <c r="G11" s="1">
        <v>1676.67</v>
      </c>
    </row>
    <row r="12" spans="1:7" x14ac:dyDescent="0.25">
      <c r="A12" s="1" t="s">
        <v>16</v>
      </c>
      <c r="B12" s="1">
        <v>207.98</v>
      </c>
      <c r="C12" s="1">
        <v>222.1</v>
      </c>
      <c r="D12" s="1">
        <v>187.06</v>
      </c>
      <c r="E12" s="1">
        <v>194.16</v>
      </c>
      <c r="F12" s="1">
        <v>213.52</v>
      </c>
      <c r="G12" s="1">
        <v>235</v>
      </c>
    </row>
    <row r="13" spans="1:7" x14ac:dyDescent="0.25">
      <c r="A13" s="1" t="s">
        <v>17</v>
      </c>
      <c r="B13" s="1">
        <v>23.07</v>
      </c>
      <c r="C13" s="1">
        <v>23.31</v>
      </c>
      <c r="D13" s="1">
        <v>26.2</v>
      </c>
      <c r="E13" s="1">
        <v>30.79</v>
      </c>
      <c r="F13" s="1">
        <v>25.99</v>
      </c>
      <c r="G13" s="1">
        <v>25.64</v>
      </c>
    </row>
    <row r="14" spans="1:7" x14ac:dyDescent="0.25">
      <c r="A14" s="1" t="s">
        <v>18</v>
      </c>
      <c r="B14" s="1">
        <v>48.12</v>
      </c>
      <c r="C14" s="1">
        <v>58.45</v>
      </c>
      <c r="D14" s="1">
        <v>66.790000000000006</v>
      </c>
      <c r="E14" s="1">
        <v>77.38</v>
      </c>
      <c r="F14" s="1">
        <v>67.69</v>
      </c>
      <c r="G14" s="1">
        <v>49.45</v>
      </c>
    </row>
    <row r="15" spans="1:7" x14ac:dyDescent="0.25">
      <c r="A15" s="1" t="s">
        <v>19</v>
      </c>
      <c r="B15" s="1">
        <v>5</v>
      </c>
      <c r="C15" s="1">
        <v>5</v>
      </c>
      <c r="D15" s="1">
        <v>4</v>
      </c>
      <c r="E15" s="1">
        <v>7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1267.07</v>
      </c>
      <c r="C17" s="1">
        <v>1434.1</v>
      </c>
      <c r="D17" s="1">
        <v>1105.53</v>
      </c>
      <c r="E17" s="1">
        <v>1286.58</v>
      </c>
      <c r="F17" s="1">
        <v>1915.17</v>
      </c>
      <c r="G17" s="1">
        <v>2123.0100000000002</v>
      </c>
    </row>
    <row r="18" spans="1:7" x14ac:dyDescent="0.25">
      <c r="A18" s="1" t="s">
        <v>22</v>
      </c>
      <c r="B18" s="1">
        <v>37.840000000000003</v>
      </c>
      <c r="C18" s="1">
        <v>19.04</v>
      </c>
      <c r="D18" s="1">
        <v>190.04</v>
      </c>
      <c r="E18" s="1">
        <v>79.86</v>
      </c>
      <c r="F18" s="1">
        <v>2.96</v>
      </c>
      <c r="G18" s="1">
        <v>3.06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2.2999999999999998</v>
      </c>
      <c r="E20" s="1">
        <v>1.4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7.7</v>
      </c>
      <c r="E21" s="1">
        <v>8.6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2.7</v>
      </c>
      <c r="E24" s="1">
        <v>1.6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1.9</v>
      </c>
      <c r="E25" s="1">
        <v>1.5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5.4</v>
      </c>
      <c r="E26" s="1">
        <v>6.9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27</v>
      </c>
      <c r="E29" s="3">
        <f t="shared" si="1"/>
        <v>16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19</v>
      </c>
      <c r="E30" s="3">
        <f t="shared" si="2"/>
        <v>15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54</v>
      </c>
      <c r="E31" s="3">
        <f t="shared" si="3"/>
        <v>69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125.18</v>
      </c>
      <c r="C33" s="3">
        <v>153.87</v>
      </c>
      <c r="D33" s="3">
        <v>79.180000000000007</v>
      </c>
      <c r="E33" s="3">
        <v>113.71</v>
      </c>
      <c r="F33" s="3">
        <v>217.26</v>
      </c>
      <c r="G33" s="3">
        <v>233.07</v>
      </c>
    </row>
    <row r="35" spans="1:7" x14ac:dyDescent="0.25">
      <c r="A35" s="3" t="s">
        <v>36</v>
      </c>
      <c r="B35" s="3"/>
      <c r="C35" s="3"/>
      <c r="D35" s="3">
        <f>D33-C33</f>
        <v>-74.69</v>
      </c>
      <c r="E35" s="3"/>
      <c r="F35" s="3">
        <f>F33-E33</f>
        <v>103.55</v>
      </c>
      <c r="G35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D32A-28AC-4818-AF1A-2D5F99805A32}">
  <dimension ref="A1:G35"/>
  <sheetViews>
    <sheetView topLeftCell="A10" workbookViewId="0">
      <selection activeCell="J37" sqref="J3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442.39</v>
      </c>
      <c r="C2" s="1">
        <v>497.02</v>
      </c>
      <c r="D2" s="1">
        <v>469.88</v>
      </c>
      <c r="E2" s="1">
        <v>473.78</v>
      </c>
      <c r="F2" s="1">
        <v>510.17</v>
      </c>
      <c r="G2" s="1">
        <v>453.55</v>
      </c>
    </row>
    <row r="3" spans="1:7" x14ac:dyDescent="0.25">
      <c r="A3" s="1" t="s">
        <v>7</v>
      </c>
      <c r="B3" s="1">
        <v>40.36</v>
      </c>
      <c r="C3" s="1">
        <v>45.62</v>
      </c>
      <c r="D3" s="1">
        <v>40.58</v>
      </c>
      <c r="E3" s="1">
        <v>40.92</v>
      </c>
      <c r="F3" s="1">
        <v>41.23</v>
      </c>
      <c r="G3" s="1">
        <v>35.450000000000003</v>
      </c>
    </row>
    <row r="4" spans="1:7" x14ac:dyDescent="0.25">
      <c r="A4" s="1" t="s">
        <v>8</v>
      </c>
      <c r="B4" s="1">
        <v>18135.490000000002</v>
      </c>
      <c r="C4" s="1">
        <v>23054.19</v>
      </c>
      <c r="D4" s="1">
        <v>19422.66</v>
      </c>
      <c r="E4" s="1">
        <v>19768.88</v>
      </c>
      <c r="F4" s="1">
        <v>21341.43</v>
      </c>
      <c r="G4" s="1">
        <v>16359.91</v>
      </c>
    </row>
    <row r="5" spans="1:7" x14ac:dyDescent="0.25">
      <c r="A5" s="1" t="s">
        <v>9</v>
      </c>
      <c r="B5" s="1">
        <v>1591.92</v>
      </c>
      <c r="C5" s="1">
        <v>1193.82</v>
      </c>
      <c r="D5" s="1">
        <v>1655.12</v>
      </c>
      <c r="E5" s="1">
        <v>1308.68</v>
      </c>
      <c r="F5" s="1">
        <v>1308.1500000000001</v>
      </c>
      <c r="G5" s="1">
        <v>1815.58</v>
      </c>
    </row>
    <row r="6" spans="1:7" x14ac:dyDescent="0.25">
      <c r="A6" s="3" t="s">
        <v>10</v>
      </c>
      <c r="B6" s="3">
        <v>159.19</v>
      </c>
      <c r="C6" s="3">
        <v>120.59</v>
      </c>
      <c r="D6" s="3">
        <v>167.18</v>
      </c>
      <c r="E6" s="3">
        <v>132.19</v>
      </c>
      <c r="F6" s="3">
        <v>132.13999999999999</v>
      </c>
      <c r="G6" s="3">
        <v>183.39</v>
      </c>
    </row>
    <row r="7" spans="1:7" x14ac:dyDescent="0.25">
      <c r="A7" s="1" t="s">
        <v>11</v>
      </c>
      <c r="B7" s="1">
        <v>1407.01</v>
      </c>
      <c r="C7" s="1">
        <v>1086.95</v>
      </c>
      <c r="D7" s="1">
        <v>1570.72</v>
      </c>
      <c r="E7" s="1">
        <v>1190.69</v>
      </c>
      <c r="F7" s="1">
        <v>1178.08</v>
      </c>
      <c r="G7" s="1">
        <v>1730.85</v>
      </c>
    </row>
    <row r="8" spans="1:7" x14ac:dyDescent="0.25">
      <c r="A8" s="1" t="s">
        <v>12</v>
      </c>
      <c r="B8" s="1">
        <v>140.69999999999999</v>
      </c>
      <c r="C8" s="1">
        <v>109.79</v>
      </c>
      <c r="D8" s="1">
        <v>158.66</v>
      </c>
      <c r="E8" s="1">
        <v>120.27</v>
      </c>
      <c r="F8" s="1">
        <v>119</v>
      </c>
      <c r="G8" s="1">
        <v>174.83</v>
      </c>
    </row>
    <row r="9" spans="1:7" x14ac:dyDescent="0.25">
      <c r="A9" s="1" t="s">
        <v>13</v>
      </c>
      <c r="B9" s="1">
        <v>1283.0899999999999</v>
      </c>
      <c r="C9" s="1">
        <v>-319.74</v>
      </c>
      <c r="D9" s="1">
        <v>1302.03</v>
      </c>
      <c r="E9" s="1">
        <v>393.37</v>
      </c>
      <c r="F9" s="1">
        <v>922.92</v>
      </c>
      <c r="G9" s="1">
        <v>1725.59</v>
      </c>
    </row>
    <row r="10" spans="1:7" x14ac:dyDescent="0.25">
      <c r="A10" s="1" t="s">
        <v>14</v>
      </c>
      <c r="B10" s="1">
        <v>128.31</v>
      </c>
      <c r="C10" s="1">
        <v>-32.299999999999997</v>
      </c>
      <c r="D10" s="1">
        <v>131.52000000000001</v>
      </c>
      <c r="E10" s="1">
        <v>39.729999999999997</v>
      </c>
      <c r="F10" s="1">
        <v>93.22</v>
      </c>
      <c r="G10" s="1">
        <v>174.3</v>
      </c>
    </row>
    <row r="11" spans="1:7" x14ac:dyDescent="0.25">
      <c r="A11" s="1" t="s">
        <v>15</v>
      </c>
      <c r="B11" s="1">
        <v>1135.3</v>
      </c>
      <c r="C11" s="1">
        <v>289.79000000000002</v>
      </c>
      <c r="D11" s="1">
        <v>1078.01</v>
      </c>
      <c r="E11" s="1">
        <v>181.17</v>
      </c>
      <c r="F11" s="1">
        <v>1000</v>
      </c>
      <c r="G11" s="1">
        <v>1608.91</v>
      </c>
    </row>
    <row r="12" spans="1:7" x14ac:dyDescent="0.25">
      <c r="A12" s="1" t="s">
        <v>16</v>
      </c>
      <c r="B12" s="1">
        <v>215.58</v>
      </c>
      <c r="C12" s="1">
        <v>224.05</v>
      </c>
      <c r="D12" s="1">
        <v>238.78</v>
      </c>
      <c r="E12" s="1">
        <v>221.14</v>
      </c>
      <c r="F12" s="1">
        <v>202.56</v>
      </c>
      <c r="G12" s="1">
        <v>243.62</v>
      </c>
    </row>
    <row r="13" spans="1:7" x14ac:dyDescent="0.25">
      <c r="A13" s="1" t="s">
        <v>17</v>
      </c>
      <c r="B13" s="1">
        <v>28.49</v>
      </c>
      <c r="C13" s="1">
        <v>37.93</v>
      </c>
      <c r="D13" s="1">
        <v>19.36</v>
      </c>
      <c r="E13" s="1">
        <v>38.119999999999997</v>
      </c>
      <c r="F13" s="1">
        <v>33.119999999999997</v>
      </c>
      <c r="G13" s="1">
        <v>24.81</v>
      </c>
    </row>
    <row r="14" spans="1:7" x14ac:dyDescent="0.25">
      <c r="A14" s="1" t="s">
        <v>18</v>
      </c>
      <c r="B14" s="1">
        <v>87.07</v>
      </c>
      <c r="C14" s="1">
        <v>102.08</v>
      </c>
      <c r="D14" s="1">
        <v>54.68</v>
      </c>
      <c r="E14" s="1">
        <v>70.569999999999993</v>
      </c>
      <c r="F14" s="1">
        <v>88.99</v>
      </c>
      <c r="G14" s="1">
        <v>55.1</v>
      </c>
    </row>
    <row r="15" spans="1:7" x14ac:dyDescent="0.25">
      <c r="A15" s="1" t="s">
        <v>19</v>
      </c>
      <c r="B15" s="1">
        <v>4</v>
      </c>
      <c r="C15" s="1">
        <v>4</v>
      </c>
      <c r="D15" s="1">
        <v>7</v>
      </c>
      <c r="E15" s="1">
        <v>5</v>
      </c>
      <c r="F15" s="1">
        <v>6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1345.05</v>
      </c>
      <c r="C17" s="1">
        <v>383.61</v>
      </c>
      <c r="D17" s="1">
        <v>1436.38</v>
      </c>
      <c r="E17" s="1">
        <v>792.03</v>
      </c>
      <c r="F17" s="1">
        <v>1050.5</v>
      </c>
      <c r="G17" s="1">
        <v>1728.22</v>
      </c>
    </row>
    <row r="18" spans="1:7" x14ac:dyDescent="0.25">
      <c r="A18" s="1" t="s">
        <v>22</v>
      </c>
      <c r="B18" s="1">
        <v>61.96</v>
      </c>
      <c r="C18" s="1">
        <v>703.34</v>
      </c>
      <c r="D18" s="1">
        <v>134.34</v>
      </c>
      <c r="E18" s="1">
        <v>398.66</v>
      </c>
      <c r="F18" s="1">
        <v>127.58</v>
      </c>
      <c r="G18" s="1">
        <v>2.63</v>
      </c>
    </row>
    <row r="19" spans="1:7" x14ac:dyDescent="0.25">
      <c r="A19" s="1" t="s">
        <v>23</v>
      </c>
      <c r="B19" s="1">
        <v>0</v>
      </c>
      <c r="C19" s="1">
        <v>2</v>
      </c>
      <c r="D19" s="1">
        <v>1</v>
      </c>
      <c r="E19" s="1">
        <v>2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2.9</v>
      </c>
      <c r="D20" s="1">
        <v>1.5</v>
      </c>
      <c r="E20" s="1">
        <v>2.4</v>
      </c>
      <c r="F20" s="1">
        <v>2.5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7.1</v>
      </c>
      <c r="D21" s="1">
        <v>8.5</v>
      </c>
      <c r="E21" s="1">
        <v>7.6</v>
      </c>
      <c r="F21" s="1">
        <v>7.5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1.2</v>
      </c>
      <c r="C24" s="1">
        <v>1.5</v>
      </c>
      <c r="D24" s="1">
        <v>1.2</v>
      </c>
      <c r="E24" s="1">
        <v>3</v>
      </c>
      <c r="F24" s="1">
        <v>1.2</v>
      </c>
      <c r="G24" s="1">
        <v>0</v>
      </c>
    </row>
    <row r="25" spans="1:7" x14ac:dyDescent="0.25">
      <c r="A25" s="1" t="s">
        <v>29</v>
      </c>
      <c r="B25" s="1">
        <v>0</v>
      </c>
      <c r="C25" s="1">
        <v>5.4</v>
      </c>
      <c r="D25" s="1">
        <v>0</v>
      </c>
      <c r="E25" s="1">
        <v>1.3</v>
      </c>
      <c r="F25" s="1">
        <v>2.6</v>
      </c>
      <c r="G25" s="1">
        <v>0</v>
      </c>
    </row>
    <row r="26" spans="1:7" x14ac:dyDescent="0.25">
      <c r="A26" s="1" t="s">
        <v>30</v>
      </c>
      <c r="B26" s="1">
        <v>8.9</v>
      </c>
      <c r="C26" s="1">
        <v>3.1</v>
      </c>
      <c r="D26" s="1">
        <v>8.8000000000000007</v>
      </c>
      <c r="E26" s="1">
        <v>5.7</v>
      </c>
      <c r="F26" s="1">
        <v>6.2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11.881188118811881</v>
      </c>
      <c r="C29" s="3">
        <f t="shared" ref="C29:G29" si="1">C24/C28*100</f>
        <v>15</v>
      </c>
      <c r="D29" s="3">
        <f t="shared" si="1"/>
        <v>12</v>
      </c>
      <c r="E29" s="3">
        <f t="shared" si="1"/>
        <v>30</v>
      </c>
      <c r="F29" s="3">
        <f t="shared" si="1"/>
        <v>12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54</v>
      </c>
      <c r="D30" s="3">
        <f t="shared" si="2"/>
        <v>0</v>
      </c>
      <c r="E30" s="3">
        <f t="shared" si="2"/>
        <v>13</v>
      </c>
      <c r="F30" s="3">
        <f t="shared" si="2"/>
        <v>26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88.118811881188137</v>
      </c>
      <c r="C31" s="3">
        <f t="shared" ref="C31:G31" si="3">C26/C28*100</f>
        <v>31</v>
      </c>
      <c r="D31" s="3">
        <f t="shared" si="3"/>
        <v>88.000000000000014</v>
      </c>
      <c r="E31" s="3">
        <f t="shared" si="3"/>
        <v>57.000000000000007</v>
      </c>
      <c r="F31" s="3">
        <f t="shared" si="3"/>
        <v>62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125.99</v>
      </c>
      <c r="C33" s="3">
        <v>15.28</v>
      </c>
      <c r="D33" s="3">
        <v>118.93</v>
      </c>
      <c r="E33" s="3">
        <v>14.07</v>
      </c>
      <c r="F33" s="3">
        <v>97.55</v>
      </c>
      <c r="G33" s="3">
        <v>180.41</v>
      </c>
    </row>
    <row r="35" spans="1:7" x14ac:dyDescent="0.25">
      <c r="A35" s="3" t="s">
        <v>36</v>
      </c>
      <c r="B35" s="3"/>
      <c r="C35" s="3"/>
      <c r="D35" s="3">
        <f>D33-C33</f>
        <v>103.65</v>
      </c>
      <c r="E35" s="3"/>
      <c r="F35" s="3">
        <f>F33-E33</f>
        <v>83.47999999999999</v>
      </c>
      <c r="G3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98B2-7B89-46E6-8D1C-87C9B825BEF4}">
  <dimension ref="A1:G35"/>
  <sheetViews>
    <sheetView topLeftCell="A13" workbookViewId="0">
      <selection activeCell="G43" sqref="G4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457.02</v>
      </c>
      <c r="C2" s="1">
        <v>453.5</v>
      </c>
      <c r="D2" s="1">
        <v>481.31</v>
      </c>
      <c r="E2" s="1">
        <v>459.79</v>
      </c>
      <c r="F2" s="1">
        <v>447.15</v>
      </c>
      <c r="G2" s="1">
        <v>472.68</v>
      </c>
    </row>
    <row r="3" spans="1:7" x14ac:dyDescent="0.25">
      <c r="A3" s="1" t="s">
        <v>7</v>
      </c>
      <c r="B3" s="1">
        <v>45.46</v>
      </c>
      <c r="C3" s="1">
        <v>44.33</v>
      </c>
      <c r="D3" s="1">
        <v>46.35</v>
      </c>
      <c r="E3" s="1">
        <v>45.17</v>
      </c>
      <c r="F3" s="1">
        <v>43.3</v>
      </c>
      <c r="G3" s="1">
        <v>47.03</v>
      </c>
    </row>
    <row r="4" spans="1:7" x14ac:dyDescent="0.25">
      <c r="A4" s="1" t="s">
        <v>8</v>
      </c>
      <c r="B4" s="1">
        <v>21136.91</v>
      </c>
      <c r="C4" s="1">
        <v>20493.68</v>
      </c>
      <c r="D4" s="1">
        <v>22701.66</v>
      </c>
      <c r="E4" s="1">
        <v>21182.9</v>
      </c>
      <c r="F4" s="1">
        <v>19722.419999999998</v>
      </c>
      <c r="G4" s="1">
        <v>22632.91</v>
      </c>
    </row>
    <row r="5" spans="1:7" x14ac:dyDescent="0.25">
      <c r="A5" s="1" t="s">
        <v>9</v>
      </c>
      <c r="B5" s="1">
        <v>1446.88</v>
      </c>
      <c r="C5" s="1">
        <v>1665</v>
      </c>
      <c r="D5" s="1">
        <v>1747.73</v>
      </c>
      <c r="E5" s="1">
        <v>2011.14</v>
      </c>
      <c r="F5" s="1">
        <v>1662.13</v>
      </c>
      <c r="G5" s="1">
        <v>2781.93</v>
      </c>
    </row>
    <row r="6" spans="1:7" x14ac:dyDescent="0.25">
      <c r="A6" s="3" t="s">
        <v>10</v>
      </c>
      <c r="B6" s="3">
        <v>144.69</v>
      </c>
      <c r="C6" s="3">
        <v>168.18</v>
      </c>
      <c r="D6" s="3">
        <v>176.54</v>
      </c>
      <c r="E6" s="3">
        <v>203.15</v>
      </c>
      <c r="F6" s="3">
        <v>167.89</v>
      </c>
      <c r="G6" s="3">
        <v>281</v>
      </c>
    </row>
    <row r="7" spans="1:7" x14ac:dyDescent="0.25">
      <c r="A7" s="1" t="s">
        <v>11</v>
      </c>
      <c r="B7" s="1">
        <v>1379.93</v>
      </c>
      <c r="C7" s="1">
        <v>1513.34</v>
      </c>
      <c r="D7" s="1">
        <v>1591.67</v>
      </c>
      <c r="E7" s="1">
        <v>1841.35</v>
      </c>
      <c r="F7" s="1">
        <v>1540.17</v>
      </c>
      <c r="G7" s="1">
        <v>2566.34</v>
      </c>
    </row>
    <row r="8" spans="1:7" x14ac:dyDescent="0.25">
      <c r="A8" s="1" t="s">
        <v>12</v>
      </c>
      <c r="B8" s="1">
        <v>137.99</v>
      </c>
      <c r="C8" s="1">
        <v>152.86000000000001</v>
      </c>
      <c r="D8" s="1">
        <v>160.77000000000001</v>
      </c>
      <c r="E8" s="1">
        <v>186</v>
      </c>
      <c r="F8" s="1">
        <v>155.57</v>
      </c>
      <c r="G8" s="1">
        <v>259.23</v>
      </c>
    </row>
    <row r="9" spans="1:7" x14ac:dyDescent="0.25">
      <c r="A9" s="1" t="s">
        <v>13</v>
      </c>
      <c r="B9" s="1">
        <v>1379.93</v>
      </c>
      <c r="C9" s="1">
        <v>1509.88</v>
      </c>
      <c r="D9" s="1">
        <v>1591.67</v>
      </c>
      <c r="E9" s="1">
        <v>1715.3</v>
      </c>
      <c r="F9" s="1">
        <v>1473.96</v>
      </c>
      <c r="G9" s="1">
        <v>2566.34</v>
      </c>
    </row>
    <row r="10" spans="1:7" x14ac:dyDescent="0.25">
      <c r="A10" s="1" t="s">
        <v>14</v>
      </c>
      <c r="B10" s="1">
        <v>137.99</v>
      </c>
      <c r="C10" s="1">
        <v>152.51</v>
      </c>
      <c r="D10" s="1">
        <v>160.77000000000001</v>
      </c>
      <c r="E10" s="1">
        <v>173.26</v>
      </c>
      <c r="F10" s="1">
        <v>148.88999999999999</v>
      </c>
      <c r="G10" s="1">
        <v>259.23</v>
      </c>
    </row>
    <row r="11" spans="1:7" x14ac:dyDescent="0.25">
      <c r="A11" s="1" t="s">
        <v>15</v>
      </c>
      <c r="B11" s="1">
        <v>1344.17</v>
      </c>
      <c r="C11" s="1">
        <v>1392.99</v>
      </c>
      <c r="D11" s="1">
        <v>1502.09</v>
      </c>
      <c r="E11" s="1">
        <v>1300.6099999999999</v>
      </c>
      <c r="F11" s="1">
        <v>203.28</v>
      </c>
      <c r="G11" s="1">
        <v>2652.54</v>
      </c>
    </row>
    <row r="12" spans="1:7" x14ac:dyDescent="0.25">
      <c r="A12" s="1" t="s">
        <v>16</v>
      </c>
      <c r="B12" s="1">
        <v>246.54</v>
      </c>
      <c r="C12" s="1">
        <v>240.96</v>
      </c>
      <c r="D12" s="1">
        <v>223.74</v>
      </c>
      <c r="E12" s="1">
        <v>239.43</v>
      </c>
      <c r="F12" s="1">
        <v>228.91</v>
      </c>
      <c r="G12" s="1">
        <v>247.61</v>
      </c>
    </row>
    <row r="13" spans="1:7" x14ac:dyDescent="0.25">
      <c r="A13" s="1" t="s">
        <v>17</v>
      </c>
      <c r="B13" s="1">
        <v>17.63</v>
      </c>
      <c r="C13" s="1">
        <v>28.25</v>
      </c>
      <c r="D13" s="1">
        <v>24.83</v>
      </c>
      <c r="E13" s="1">
        <v>31.14</v>
      </c>
      <c r="F13" s="1">
        <v>37.17</v>
      </c>
      <c r="G13" s="1">
        <v>21.02</v>
      </c>
    </row>
    <row r="14" spans="1:7" x14ac:dyDescent="0.25">
      <c r="A14" s="1" t="s">
        <v>18</v>
      </c>
      <c r="B14" s="1">
        <v>42.94</v>
      </c>
      <c r="C14" s="1">
        <v>60.19</v>
      </c>
      <c r="D14" s="1">
        <v>59.36</v>
      </c>
      <c r="E14" s="1">
        <v>83.82</v>
      </c>
      <c r="F14" s="1">
        <v>92.04</v>
      </c>
      <c r="G14" s="1">
        <v>51.46</v>
      </c>
    </row>
    <row r="15" spans="1:7" x14ac:dyDescent="0.25">
      <c r="A15" s="1" t="s">
        <v>19</v>
      </c>
      <c r="B15" s="1">
        <v>4</v>
      </c>
      <c r="C15" s="1">
        <v>6</v>
      </c>
      <c r="D15" s="1">
        <v>5</v>
      </c>
      <c r="E15" s="1">
        <v>6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1379.93</v>
      </c>
      <c r="C17" s="1">
        <v>1511.61</v>
      </c>
      <c r="D17" s="1">
        <v>1591.67</v>
      </c>
      <c r="E17" s="1">
        <v>1778.33</v>
      </c>
      <c r="F17" s="1">
        <v>1507.07</v>
      </c>
      <c r="G17" s="1">
        <v>2566.34</v>
      </c>
    </row>
    <row r="18" spans="1:7" x14ac:dyDescent="0.25">
      <c r="A18" s="1" t="s">
        <v>22</v>
      </c>
      <c r="B18" s="1">
        <v>0</v>
      </c>
      <c r="C18" s="1">
        <v>1.73</v>
      </c>
      <c r="D18" s="1">
        <v>0</v>
      </c>
      <c r="E18" s="1">
        <v>63.03</v>
      </c>
      <c r="F18" s="1">
        <v>33.11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9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90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144.22</v>
      </c>
      <c r="C33" s="3">
        <v>166.12</v>
      </c>
      <c r="D33" s="3">
        <v>172.55</v>
      </c>
      <c r="E33" s="3">
        <v>180.52</v>
      </c>
      <c r="F33" s="3">
        <v>157.99</v>
      </c>
      <c r="G33" s="3">
        <v>279.04000000000002</v>
      </c>
    </row>
    <row r="35" spans="1:7" x14ac:dyDescent="0.25">
      <c r="A35" s="3" t="s">
        <v>36</v>
      </c>
      <c r="B35" s="3"/>
      <c r="C35" s="3"/>
      <c r="D35" s="3">
        <f>D33-C33</f>
        <v>6.4300000000000068</v>
      </c>
      <c r="E35" s="3"/>
      <c r="F35" s="3">
        <f>F33-E33</f>
        <v>-22.53</v>
      </c>
      <c r="G35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9F43-F5F4-4D62-BF6F-1F4DA0BB9695}">
  <dimension ref="A1:G35"/>
  <sheetViews>
    <sheetView topLeftCell="A10" workbookViewId="0">
      <selection activeCell="I37" sqref="I3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416.78</v>
      </c>
      <c r="C2" s="1">
        <v>459.08</v>
      </c>
      <c r="D2" s="1">
        <v>392.66</v>
      </c>
      <c r="E2" s="1">
        <v>487.28</v>
      </c>
      <c r="F2" s="1">
        <v>428.82</v>
      </c>
      <c r="G2" s="1">
        <v>494.16</v>
      </c>
    </row>
    <row r="3" spans="1:7" x14ac:dyDescent="0.25">
      <c r="A3" s="1" t="s">
        <v>7</v>
      </c>
      <c r="B3" s="1">
        <v>43.64</v>
      </c>
      <c r="C3" s="1">
        <v>44.78</v>
      </c>
      <c r="D3" s="1">
        <v>45.53</v>
      </c>
      <c r="E3" s="1">
        <v>45.76</v>
      </c>
      <c r="F3" s="1">
        <v>39.869999999999997</v>
      </c>
      <c r="G3" s="1">
        <v>57.6</v>
      </c>
    </row>
    <row r="4" spans="1:7" x14ac:dyDescent="0.25">
      <c r="A4" s="1" t="s">
        <v>8</v>
      </c>
      <c r="B4" s="1">
        <v>18551</v>
      </c>
      <c r="C4" s="1">
        <v>20927.939999999999</v>
      </c>
      <c r="D4" s="1">
        <v>18047.12</v>
      </c>
      <c r="E4" s="1">
        <v>22707.45</v>
      </c>
      <c r="F4" s="1">
        <v>17496.88</v>
      </c>
      <c r="G4" s="1">
        <v>29170.16</v>
      </c>
    </row>
    <row r="5" spans="1:7" x14ac:dyDescent="0.25">
      <c r="A5" s="1" t="s">
        <v>9</v>
      </c>
      <c r="B5" s="1">
        <v>1509.33</v>
      </c>
      <c r="C5" s="1">
        <v>1607.14</v>
      </c>
      <c r="D5" s="1">
        <v>1369.86</v>
      </c>
      <c r="E5" s="1">
        <v>2024.07</v>
      </c>
      <c r="F5" s="1">
        <v>2782.71</v>
      </c>
      <c r="G5" s="1">
        <v>1983.46</v>
      </c>
    </row>
    <row r="6" spans="1:7" x14ac:dyDescent="0.25">
      <c r="A6" s="3" t="s">
        <v>10</v>
      </c>
      <c r="B6" s="3">
        <v>150.93</v>
      </c>
      <c r="C6" s="3">
        <v>162.34</v>
      </c>
      <c r="D6" s="3">
        <v>138.37</v>
      </c>
      <c r="E6" s="3">
        <v>204.45</v>
      </c>
      <c r="F6" s="3">
        <v>281.08</v>
      </c>
      <c r="G6" s="3">
        <v>200.35</v>
      </c>
    </row>
    <row r="7" spans="1:7" x14ac:dyDescent="0.25">
      <c r="A7" s="1" t="s">
        <v>11</v>
      </c>
      <c r="B7" s="1">
        <v>1380.05</v>
      </c>
      <c r="C7" s="1">
        <v>1530.09</v>
      </c>
      <c r="D7" s="1">
        <v>1156.33</v>
      </c>
      <c r="E7" s="1">
        <v>1896.11</v>
      </c>
      <c r="F7" s="1">
        <v>2616.7199999999998</v>
      </c>
      <c r="G7" s="1">
        <v>1811.31</v>
      </c>
    </row>
    <row r="8" spans="1:7" x14ac:dyDescent="0.25">
      <c r="A8" s="1" t="s">
        <v>12</v>
      </c>
      <c r="B8" s="1">
        <v>138</v>
      </c>
      <c r="C8" s="1">
        <v>154.55000000000001</v>
      </c>
      <c r="D8" s="1">
        <v>116.8</v>
      </c>
      <c r="E8" s="1">
        <v>191.53</v>
      </c>
      <c r="F8" s="1">
        <v>264.31</v>
      </c>
      <c r="G8" s="1">
        <v>182.96</v>
      </c>
    </row>
    <row r="9" spans="1:7" x14ac:dyDescent="0.25">
      <c r="A9" s="1" t="s">
        <v>13</v>
      </c>
      <c r="B9" s="1">
        <v>1232.31</v>
      </c>
      <c r="C9" s="1">
        <v>1372.68</v>
      </c>
      <c r="D9" s="1">
        <v>636.87</v>
      </c>
      <c r="E9" s="1">
        <v>1885.09</v>
      </c>
      <c r="F9" s="1">
        <v>2608.5500000000002</v>
      </c>
      <c r="G9" s="1">
        <v>1676.94</v>
      </c>
    </row>
    <row r="10" spans="1:7" x14ac:dyDescent="0.25">
      <c r="A10" s="1" t="s">
        <v>14</v>
      </c>
      <c r="B10" s="1">
        <v>123.23</v>
      </c>
      <c r="C10" s="1">
        <v>138.65</v>
      </c>
      <c r="D10" s="1">
        <v>64.33</v>
      </c>
      <c r="E10" s="1">
        <v>190.41</v>
      </c>
      <c r="F10" s="1">
        <v>263.49</v>
      </c>
      <c r="G10" s="1">
        <v>169.39</v>
      </c>
    </row>
    <row r="11" spans="1:7" x14ac:dyDescent="0.25">
      <c r="A11" s="1" t="s">
        <v>15</v>
      </c>
      <c r="B11" s="1">
        <v>962.5</v>
      </c>
      <c r="C11" s="1">
        <v>817.67</v>
      </c>
      <c r="D11" s="1">
        <v>91.07</v>
      </c>
      <c r="E11" s="1">
        <v>1062.0899999999999</v>
      </c>
      <c r="F11" s="1">
        <v>2414.11</v>
      </c>
      <c r="G11" s="1">
        <v>1526.57</v>
      </c>
    </row>
    <row r="12" spans="1:7" x14ac:dyDescent="0.25">
      <c r="A12" s="1" t="s">
        <v>16</v>
      </c>
      <c r="B12" s="1">
        <v>215.28</v>
      </c>
      <c r="C12" s="1">
        <v>255.14</v>
      </c>
      <c r="D12" s="1">
        <v>201.2</v>
      </c>
      <c r="E12" s="1">
        <v>264.97000000000003</v>
      </c>
      <c r="F12" s="1">
        <v>246.91</v>
      </c>
      <c r="G12" s="1">
        <v>215.3</v>
      </c>
    </row>
    <row r="13" spans="1:7" x14ac:dyDescent="0.25">
      <c r="A13" s="1" t="s">
        <v>17</v>
      </c>
      <c r="B13" s="1">
        <v>35.15</v>
      </c>
      <c r="C13" s="1">
        <v>27.53</v>
      </c>
      <c r="D13" s="1">
        <v>33.35</v>
      </c>
      <c r="E13" s="1">
        <v>30.85</v>
      </c>
      <c r="F13" s="1">
        <v>25.33</v>
      </c>
      <c r="G13" s="1">
        <v>44.16</v>
      </c>
    </row>
    <row r="14" spans="1:7" x14ac:dyDescent="0.25">
      <c r="A14" s="1" t="s">
        <v>18</v>
      </c>
      <c r="B14" s="1">
        <v>78.38</v>
      </c>
      <c r="C14" s="1">
        <v>61.32</v>
      </c>
      <c r="D14" s="1">
        <v>62.89</v>
      </c>
      <c r="E14" s="1">
        <v>97.48</v>
      </c>
      <c r="F14" s="1">
        <v>55.13</v>
      </c>
      <c r="G14" s="1">
        <v>98.61</v>
      </c>
    </row>
    <row r="15" spans="1:7" x14ac:dyDescent="0.25">
      <c r="A15" s="1" t="s">
        <v>19</v>
      </c>
      <c r="B15" s="1">
        <v>6</v>
      </c>
      <c r="C15" s="1">
        <v>5</v>
      </c>
      <c r="D15" s="1">
        <v>6</v>
      </c>
      <c r="E15" s="1">
        <v>7</v>
      </c>
      <c r="F15" s="1">
        <v>10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1306.18</v>
      </c>
      <c r="C17" s="1">
        <v>1451.39</v>
      </c>
      <c r="D17" s="1">
        <v>896.6</v>
      </c>
      <c r="E17" s="1">
        <v>1890.6</v>
      </c>
      <c r="F17" s="1">
        <v>2612.63</v>
      </c>
      <c r="G17" s="1">
        <v>1744.12</v>
      </c>
    </row>
    <row r="18" spans="1:7" x14ac:dyDescent="0.25">
      <c r="A18" s="1" t="s">
        <v>22</v>
      </c>
      <c r="B18" s="1">
        <v>73.87</v>
      </c>
      <c r="C18" s="1">
        <v>78.7</v>
      </c>
      <c r="D18" s="1">
        <v>259.73</v>
      </c>
      <c r="E18" s="1">
        <v>5.51</v>
      </c>
      <c r="F18" s="1">
        <v>4.08</v>
      </c>
      <c r="G18" s="1">
        <v>67.180000000000007</v>
      </c>
    </row>
    <row r="19" spans="1:7" x14ac:dyDescent="0.25">
      <c r="A19" s="1" t="s">
        <v>23</v>
      </c>
      <c r="B19" s="1">
        <v>0</v>
      </c>
      <c r="C19" s="1">
        <v>1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1.2</v>
      </c>
      <c r="D20" s="1">
        <v>1.4</v>
      </c>
      <c r="E20" s="1">
        <v>0</v>
      </c>
      <c r="F20" s="1">
        <v>0</v>
      </c>
      <c r="G20" s="1">
        <v>1.1000000000000001</v>
      </c>
    </row>
    <row r="21" spans="1:7" x14ac:dyDescent="0.25">
      <c r="A21" s="1" t="s">
        <v>25</v>
      </c>
      <c r="B21" s="1">
        <v>10.1</v>
      </c>
      <c r="C21" s="1">
        <v>8.8000000000000007</v>
      </c>
      <c r="D21" s="1">
        <v>8.6</v>
      </c>
      <c r="E21" s="1">
        <v>10</v>
      </c>
      <c r="F21" s="1">
        <v>10</v>
      </c>
      <c r="G21" s="1">
        <v>8.9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1.3</v>
      </c>
      <c r="D24" s="1">
        <v>1.3</v>
      </c>
      <c r="E24" s="1">
        <v>0</v>
      </c>
      <c r="F24" s="1">
        <v>0</v>
      </c>
      <c r="G24" s="1">
        <v>1.3</v>
      </c>
    </row>
    <row r="25" spans="1:7" x14ac:dyDescent="0.25">
      <c r="A25" s="1" t="s">
        <v>29</v>
      </c>
      <c r="B25" s="1">
        <v>0</v>
      </c>
      <c r="C25" s="1">
        <v>0</v>
      </c>
      <c r="D25" s="1">
        <v>4</v>
      </c>
      <c r="E25" s="1">
        <v>0</v>
      </c>
      <c r="F25" s="1">
        <v>0</v>
      </c>
      <c r="G25" s="1">
        <v>1.6</v>
      </c>
    </row>
    <row r="26" spans="1:7" x14ac:dyDescent="0.25">
      <c r="A26" s="1" t="s">
        <v>30</v>
      </c>
      <c r="B26" s="1">
        <v>10.1</v>
      </c>
      <c r="C26" s="1">
        <v>8.6999999999999993</v>
      </c>
      <c r="D26" s="1">
        <v>4.7</v>
      </c>
      <c r="E26" s="1">
        <v>10</v>
      </c>
      <c r="F26" s="1">
        <v>10</v>
      </c>
      <c r="G26" s="1">
        <v>7.1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13</v>
      </c>
      <c r="D29" s="3">
        <f t="shared" si="1"/>
        <v>13</v>
      </c>
      <c r="E29" s="3">
        <f t="shared" si="1"/>
        <v>0</v>
      </c>
      <c r="F29" s="3">
        <f t="shared" si="1"/>
        <v>0</v>
      </c>
      <c r="G29" s="3">
        <f t="shared" si="1"/>
        <v>13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40</v>
      </c>
      <c r="E30" s="3">
        <f t="shared" si="2"/>
        <v>0</v>
      </c>
      <c r="F30" s="3">
        <f t="shared" si="2"/>
        <v>0</v>
      </c>
      <c r="G30" s="3">
        <f t="shared" si="2"/>
        <v>16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86.999999999999986</v>
      </c>
      <c r="D31" s="3">
        <f t="shared" si="3"/>
        <v>47</v>
      </c>
      <c r="E31" s="3">
        <f t="shared" si="3"/>
        <v>100</v>
      </c>
      <c r="F31" s="3">
        <f t="shared" si="3"/>
        <v>100</v>
      </c>
      <c r="G31" s="3">
        <f t="shared" si="3"/>
        <v>71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131.82</v>
      </c>
      <c r="C33" s="3">
        <v>135.16999999999999</v>
      </c>
      <c r="D33" s="3">
        <v>76.069999999999993</v>
      </c>
      <c r="E33" s="3">
        <v>201.28</v>
      </c>
      <c r="F33" s="3">
        <v>276.14</v>
      </c>
      <c r="G33" s="3">
        <v>168.35</v>
      </c>
    </row>
    <row r="35" spans="1:7" x14ac:dyDescent="0.25">
      <c r="A35" s="3" t="s">
        <v>36</v>
      </c>
      <c r="B35" s="3"/>
      <c r="C35" s="3"/>
      <c r="D35" s="3">
        <f>D33-C33</f>
        <v>-59.099999999999994</v>
      </c>
      <c r="E35" s="3"/>
      <c r="F35" s="3">
        <f>F33-E33</f>
        <v>74.859999999999985</v>
      </c>
      <c r="G35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4397-0E5B-4AB4-B07E-672E1346DA3F}">
  <dimension ref="A1:G35"/>
  <sheetViews>
    <sheetView topLeftCell="A7" workbookViewId="0">
      <selection activeCell="I36" sqref="I3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369.27</v>
      </c>
      <c r="C2" s="1">
        <v>314.89</v>
      </c>
      <c r="D2" s="1">
        <v>328.17</v>
      </c>
      <c r="E2" s="1">
        <v>455.51</v>
      </c>
      <c r="F2" s="1">
        <v>415.4</v>
      </c>
      <c r="G2" s="1">
        <v>478.85</v>
      </c>
    </row>
    <row r="3" spans="1:7" x14ac:dyDescent="0.25">
      <c r="A3" s="1" t="s">
        <v>7</v>
      </c>
      <c r="B3" s="1">
        <v>36.36</v>
      </c>
      <c r="C3" s="1">
        <v>34.86</v>
      </c>
      <c r="D3" s="1">
        <v>36.520000000000003</v>
      </c>
      <c r="E3" s="1">
        <v>43.69</v>
      </c>
      <c r="F3" s="1">
        <v>41.76</v>
      </c>
      <c r="G3" s="1">
        <v>44.8</v>
      </c>
    </row>
    <row r="4" spans="1:7" x14ac:dyDescent="0.25">
      <c r="A4" s="1" t="s">
        <v>8</v>
      </c>
      <c r="B4" s="1">
        <v>13787.83</v>
      </c>
      <c r="C4" s="1">
        <v>11557.55</v>
      </c>
      <c r="D4" s="1">
        <v>12234.45</v>
      </c>
      <c r="E4" s="1">
        <v>20327.099999999999</v>
      </c>
      <c r="F4" s="1">
        <v>17722.03</v>
      </c>
      <c r="G4" s="1">
        <v>21793.73</v>
      </c>
    </row>
    <row r="5" spans="1:7" x14ac:dyDescent="0.25">
      <c r="A5" s="1" t="s">
        <v>9</v>
      </c>
      <c r="B5" s="1">
        <v>1683.97</v>
      </c>
      <c r="C5" s="1">
        <v>1795.04</v>
      </c>
      <c r="D5" s="1">
        <v>1516.85</v>
      </c>
      <c r="E5" s="1">
        <v>1590.52</v>
      </c>
      <c r="F5" s="1">
        <v>1597.38</v>
      </c>
      <c r="G5" s="1">
        <v>1492.57</v>
      </c>
    </row>
    <row r="6" spans="1:7" x14ac:dyDescent="0.25">
      <c r="A6" s="3" t="s">
        <v>10</v>
      </c>
      <c r="B6" s="3">
        <v>168.4</v>
      </c>
      <c r="C6" s="3">
        <v>181.32</v>
      </c>
      <c r="D6" s="3">
        <v>153.22</v>
      </c>
      <c r="E6" s="3">
        <v>160.66</v>
      </c>
      <c r="F6" s="3">
        <v>161.35</v>
      </c>
      <c r="G6" s="3">
        <v>150.77000000000001</v>
      </c>
    </row>
    <row r="7" spans="1:7" x14ac:dyDescent="0.25">
      <c r="A7" s="1" t="s">
        <v>11</v>
      </c>
      <c r="B7" s="1">
        <v>1590.69</v>
      </c>
      <c r="C7" s="1">
        <v>1741.34</v>
      </c>
      <c r="D7" s="1">
        <v>1464.04</v>
      </c>
      <c r="E7" s="1">
        <v>1491.18</v>
      </c>
      <c r="F7" s="1">
        <v>1488.61</v>
      </c>
      <c r="G7" s="1">
        <v>1425.93</v>
      </c>
    </row>
    <row r="8" spans="1:7" x14ac:dyDescent="0.25">
      <c r="A8" s="1" t="s">
        <v>12</v>
      </c>
      <c r="B8" s="1">
        <v>159.07</v>
      </c>
      <c r="C8" s="1">
        <v>175.89</v>
      </c>
      <c r="D8" s="1">
        <v>147.88</v>
      </c>
      <c r="E8" s="1">
        <v>150.62</v>
      </c>
      <c r="F8" s="1">
        <v>150.36000000000001</v>
      </c>
      <c r="G8" s="1">
        <v>144.03</v>
      </c>
    </row>
    <row r="9" spans="1:7" x14ac:dyDescent="0.25">
      <c r="A9" s="1" t="s">
        <v>13</v>
      </c>
      <c r="B9" s="1">
        <v>1358.22</v>
      </c>
      <c r="C9" s="1">
        <v>1741.34</v>
      </c>
      <c r="D9" s="1">
        <v>1454.47</v>
      </c>
      <c r="E9" s="1">
        <v>1491.18</v>
      </c>
      <c r="F9" s="1">
        <v>1306.07</v>
      </c>
      <c r="G9" s="1">
        <v>1371.07</v>
      </c>
    </row>
    <row r="10" spans="1:7" x14ac:dyDescent="0.25">
      <c r="A10" s="1" t="s">
        <v>14</v>
      </c>
      <c r="B10" s="1">
        <v>135.82</v>
      </c>
      <c r="C10" s="1">
        <v>175.89</v>
      </c>
      <c r="D10" s="1">
        <v>146.91999999999999</v>
      </c>
      <c r="E10" s="1">
        <v>150.62</v>
      </c>
      <c r="F10" s="1">
        <v>131.93</v>
      </c>
      <c r="G10" s="1">
        <v>138.49</v>
      </c>
    </row>
    <row r="11" spans="1:7" x14ac:dyDescent="0.25">
      <c r="A11" s="1" t="s">
        <v>15</v>
      </c>
      <c r="B11" s="1">
        <v>1156.72</v>
      </c>
      <c r="C11" s="1">
        <v>1572.69</v>
      </c>
      <c r="D11" s="1">
        <v>1321.61</v>
      </c>
      <c r="E11" s="1">
        <v>1162.6600000000001</v>
      </c>
      <c r="F11" s="1">
        <v>1078.21</v>
      </c>
      <c r="G11" s="1">
        <v>1301.77</v>
      </c>
    </row>
    <row r="12" spans="1:7" x14ac:dyDescent="0.25">
      <c r="A12" s="1" t="s">
        <v>16</v>
      </c>
      <c r="B12" s="1">
        <v>199.78</v>
      </c>
      <c r="C12" s="1">
        <v>169.49</v>
      </c>
      <c r="D12" s="1">
        <v>178.3</v>
      </c>
      <c r="E12" s="1">
        <v>245.58</v>
      </c>
      <c r="F12" s="1">
        <v>223.36</v>
      </c>
      <c r="G12" s="1">
        <v>246.66</v>
      </c>
    </row>
    <row r="13" spans="1:7" x14ac:dyDescent="0.25">
      <c r="A13" s="1" t="s">
        <v>17</v>
      </c>
      <c r="B13" s="1">
        <v>25.34</v>
      </c>
      <c r="C13" s="1">
        <v>19.13</v>
      </c>
      <c r="D13" s="1">
        <v>23</v>
      </c>
      <c r="E13" s="1">
        <v>23.95</v>
      </c>
      <c r="F13" s="1">
        <v>32.83</v>
      </c>
      <c r="G13" s="1">
        <v>18.62</v>
      </c>
    </row>
    <row r="14" spans="1:7" x14ac:dyDescent="0.25">
      <c r="A14" s="1" t="s">
        <v>18</v>
      </c>
      <c r="B14" s="1">
        <v>77.38</v>
      </c>
      <c r="C14" s="1">
        <v>57.79</v>
      </c>
      <c r="D14" s="1">
        <v>65.290000000000006</v>
      </c>
      <c r="E14" s="1">
        <v>62.45</v>
      </c>
      <c r="F14" s="1">
        <v>81.84</v>
      </c>
      <c r="G14" s="1">
        <v>41.16</v>
      </c>
    </row>
    <row r="15" spans="1:7" x14ac:dyDescent="0.25">
      <c r="A15" s="1" t="s">
        <v>19</v>
      </c>
      <c r="B15" s="1">
        <v>5</v>
      </c>
      <c r="C15" s="1">
        <v>7</v>
      </c>
      <c r="D15" s="1">
        <v>5</v>
      </c>
      <c r="E15" s="1">
        <v>5</v>
      </c>
      <c r="F15" s="1">
        <v>5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1474.45</v>
      </c>
      <c r="C17" s="1">
        <v>1741.34</v>
      </c>
      <c r="D17" s="1">
        <v>1459.25</v>
      </c>
      <c r="E17" s="1">
        <v>1491.18</v>
      </c>
      <c r="F17" s="1">
        <v>1397.34</v>
      </c>
      <c r="G17" s="1">
        <v>1398.5</v>
      </c>
    </row>
    <row r="18" spans="1:7" x14ac:dyDescent="0.25">
      <c r="A18" s="1" t="s">
        <v>22</v>
      </c>
      <c r="B18" s="1">
        <v>116.23</v>
      </c>
      <c r="C18" s="1">
        <v>0</v>
      </c>
      <c r="D18" s="1">
        <v>4.78</v>
      </c>
      <c r="E18" s="1">
        <v>0</v>
      </c>
      <c r="F18" s="1">
        <v>91.27</v>
      </c>
      <c r="G18" s="1">
        <v>27.43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1.3</v>
      </c>
      <c r="C25" s="1">
        <v>0</v>
      </c>
      <c r="D25" s="1">
        <v>1.2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8.8000000000000007</v>
      </c>
      <c r="C26" s="1">
        <v>10</v>
      </c>
      <c r="D26" s="1">
        <v>8.8000000000000007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12.871287128712869</v>
      </c>
      <c r="C30" s="3">
        <f t="shared" ref="C30:G30" si="2">C25/C28*100</f>
        <v>0</v>
      </c>
      <c r="D30" s="3">
        <f t="shared" si="2"/>
        <v>12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87.128712871287135</v>
      </c>
      <c r="C31" s="3">
        <f t="shared" ref="C31:G31" si="3">C26/C28*100</f>
        <v>100</v>
      </c>
      <c r="D31" s="3">
        <f t="shared" si="3"/>
        <v>88.000000000000014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141.53</v>
      </c>
      <c r="C33" s="3">
        <v>176.43</v>
      </c>
      <c r="D33" s="3">
        <v>153.19999999999999</v>
      </c>
      <c r="E33" s="3">
        <v>157.53</v>
      </c>
      <c r="F33" s="3">
        <v>139.38</v>
      </c>
      <c r="G33" s="3">
        <v>140.19999999999999</v>
      </c>
    </row>
    <row r="35" spans="1:7" x14ac:dyDescent="0.25">
      <c r="A35" s="3" t="s">
        <v>36</v>
      </c>
      <c r="B35" s="3"/>
      <c r="C35" s="3"/>
      <c r="D35" s="3">
        <f>D33-C33</f>
        <v>-23.230000000000018</v>
      </c>
      <c r="E35" s="3"/>
      <c r="F35" s="3">
        <f>F33-E33</f>
        <v>-18.150000000000006</v>
      </c>
      <c r="G35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635D-D12C-40A3-9FDC-656ECC6E8A12}">
  <dimension ref="A1:G35"/>
  <sheetViews>
    <sheetView topLeftCell="A10" workbookViewId="0">
      <selection activeCell="J39" sqref="J3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262.3</v>
      </c>
      <c r="C2" s="1">
        <v>356.07</v>
      </c>
      <c r="D2" s="1">
        <v>340.5</v>
      </c>
      <c r="E2" s="1">
        <v>363.34</v>
      </c>
      <c r="F2" s="1">
        <v>495.3</v>
      </c>
      <c r="G2" s="1">
        <v>306.43</v>
      </c>
    </row>
    <row r="3" spans="1:7" x14ac:dyDescent="0.25">
      <c r="A3" s="1" t="s">
        <v>7</v>
      </c>
      <c r="B3" s="1">
        <v>38.22</v>
      </c>
      <c r="C3" s="1">
        <v>35.06</v>
      </c>
      <c r="D3" s="1">
        <v>33.090000000000003</v>
      </c>
      <c r="E3" s="1">
        <v>35</v>
      </c>
      <c r="F3" s="1">
        <v>42.4</v>
      </c>
      <c r="G3" s="1">
        <v>30.72</v>
      </c>
    </row>
    <row r="4" spans="1:7" x14ac:dyDescent="0.25">
      <c r="A4" s="1" t="s">
        <v>8</v>
      </c>
      <c r="B4" s="1">
        <v>10185.6</v>
      </c>
      <c r="C4" s="1">
        <v>12740.69</v>
      </c>
      <c r="D4" s="1">
        <v>11647.55</v>
      </c>
      <c r="E4" s="1">
        <v>12991.25</v>
      </c>
      <c r="F4" s="1">
        <v>21380.13</v>
      </c>
      <c r="G4" s="1">
        <v>9724.2900000000009</v>
      </c>
    </row>
    <row r="5" spans="1:7" x14ac:dyDescent="0.25">
      <c r="A5" s="1" t="s">
        <v>9</v>
      </c>
      <c r="B5" s="1">
        <v>2170.0700000000002</v>
      </c>
      <c r="C5" s="1">
        <v>2218.58</v>
      </c>
      <c r="D5" s="1">
        <v>2767.24</v>
      </c>
      <c r="E5" s="1">
        <v>2700.42</v>
      </c>
      <c r="F5" s="1">
        <v>3307.24</v>
      </c>
      <c r="G5" s="1">
        <v>3384.35</v>
      </c>
    </row>
    <row r="6" spans="1:7" x14ac:dyDescent="0.25">
      <c r="A6" s="3" t="s">
        <v>10</v>
      </c>
      <c r="B6" s="3">
        <v>217.01</v>
      </c>
      <c r="C6" s="3">
        <v>224.1</v>
      </c>
      <c r="D6" s="3">
        <v>279.52</v>
      </c>
      <c r="E6" s="3">
        <v>272.77</v>
      </c>
      <c r="F6" s="3">
        <v>334.06</v>
      </c>
      <c r="G6" s="3">
        <v>341.85</v>
      </c>
    </row>
    <row r="7" spans="1:7" x14ac:dyDescent="0.25">
      <c r="A7" s="1" t="s">
        <v>11</v>
      </c>
      <c r="B7" s="1">
        <v>1997.52</v>
      </c>
      <c r="C7" s="1">
        <v>2030.51</v>
      </c>
      <c r="D7" s="1">
        <v>2579.06</v>
      </c>
      <c r="E7" s="1">
        <v>2489.4</v>
      </c>
      <c r="F7" s="1">
        <v>3087.38</v>
      </c>
      <c r="G7" s="1">
        <v>3234.74</v>
      </c>
    </row>
    <row r="8" spans="1:7" x14ac:dyDescent="0.25">
      <c r="A8" s="1" t="s">
        <v>12</v>
      </c>
      <c r="B8" s="1">
        <v>199.75</v>
      </c>
      <c r="C8" s="1">
        <v>205.1</v>
      </c>
      <c r="D8" s="1">
        <v>260.51</v>
      </c>
      <c r="E8" s="1">
        <v>251.45</v>
      </c>
      <c r="F8" s="1">
        <v>311.86</v>
      </c>
      <c r="G8" s="1">
        <v>326.74</v>
      </c>
    </row>
    <row r="9" spans="1:7" x14ac:dyDescent="0.25">
      <c r="A9" s="1" t="s">
        <v>13</v>
      </c>
      <c r="B9" s="1">
        <v>1969.15</v>
      </c>
      <c r="C9" s="1">
        <v>2030.51</v>
      </c>
      <c r="D9" s="1">
        <v>2579.06</v>
      </c>
      <c r="E9" s="1">
        <v>2489.4</v>
      </c>
      <c r="F9" s="1">
        <v>3087.38</v>
      </c>
      <c r="G9" s="1">
        <v>3234.74</v>
      </c>
    </row>
    <row r="10" spans="1:7" x14ac:dyDescent="0.25">
      <c r="A10" s="1" t="s">
        <v>14</v>
      </c>
      <c r="B10" s="1">
        <v>196.92</v>
      </c>
      <c r="C10" s="1">
        <v>205.1</v>
      </c>
      <c r="D10" s="1">
        <v>260.51</v>
      </c>
      <c r="E10" s="1">
        <v>251.45</v>
      </c>
      <c r="F10" s="1">
        <v>311.86</v>
      </c>
      <c r="G10" s="1">
        <v>326.74</v>
      </c>
    </row>
    <row r="11" spans="1:7" x14ac:dyDescent="0.25">
      <c r="A11" s="1" t="s">
        <v>15</v>
      </c>
      <c r="B11" s="1">
        <v>1872.16</v>
      </c>
      <c r="C11" s="1">
        <v>1837.03</v>
      </c>
      <c r="D11" s="1">
        <v>2289.3000000000002</v>
      </c>
      <c r="E11" s="1">
        <v>2180.65</v>
      </c>
      <c r="F11" s="1">
        <v>3102.56</v>
      </c>
      <c r="G11" s="1">
        <v>3001.4</v>
      </c>
    </row>
    <row r="12" spans="1:7" x14ac:dyDescent="0.25">
      <c r="A12" s="1" t="s">
        <v>16</v>
      </c>
      <c r="B12" s="1">
        <v>147.93</v>
      </c>
      <c r="C12" s="1">
        <v>212.45</v>
      </c>
      <c r="D12" s="1">
        <v>190.71</v>
      </c>
      <c r="E12" s="1">
        <v>225.09</v>
      </c>
      <c r="F12" s="1">
        <v>273.93</v>
      </c>
      <c r="G12" s="1">
        <v>186.48</v>
      </c>
    </row>
    <row r="13" spans="1:7" x14ac:dyDescent="0.25">
      <c r="A13" s="1" t="s">
        <v>17</v>
      </c>
      <c r="B13" s="1">
        <v>19.850000000000001</v>
      </c>
      <c r="C13" s="1">
        <v>27.42</v>
      </c>
      <c r="D13" s="1">
        <v>29.55</v>
      </c>
      <c r="E13" s="1">
        <v>24.12</v>
      </c>
      <c r="F13" s="1">
        <v>24.4</v>
      </c>
      <c r="G13" s="1">
        <v>20.25</v>
      </c>
    </row>
    <row r="14" spans="1:7" x14ac:dyDescent="0.25">
      <c r="A14" s="1" t="s">
        <v>18</v>
      </c>
      <c r="B14" s="1">
        <v>41.7</v>
      </c>
      <c r="C14" s="1">
        <v>67.61</v>
      </c>
      <c r="D14" s="1">
        <v>81.93</v>
      </c>
      <c r="E14" s="1">
        <v>54.91</v>
      </c>
      <c r="F14" s="1">
        <v>57.78</v>
      </c>
      <c r="G14" s="1">
        <v>44.08</v>
      </c>
    </row>
    <row r="15" spans="1:7" x14ac:dyDescent="0.25">
      <c r="A15" s="1" t="s">
        <v>19</v>
      </c>
      <c r="B15" s="1">
        <v>7</v>
      </c>
      <c r="C15" s="1">
        <v>9</v>
      </c>
      <c r="D15" s="1">
        <v>6</v>
      </c>
      <c r="E15" s="1">
        <v>9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1983.33</v>
      </c>
      <c r="C17" s="1">
        <v>2030.51</v>
      </c>
      <c r="D17" s="1">
        <v>2579.06</v>
      </c>
      <c r="E17" s="1">
        <v>2489.4</v>
      </c>
      <c r="F17" s="1">
        <v>3087.38</v>
      </c>
      <c r="G17" s="1">
        <v>3234.74</v>
      </c>
    </row>
    <row r="18" spans="1:7" x14ac:dyDescent="0.25">
      <c r="A18" s="1" t="s">
        <v>22</v>
      </c>
      <c r="B18" s="1">
        <v>14.18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210.03</v>
      </c>
      <c r="C33" s="3">
        <v>223.29</v>
      </c>
      <c r="D33" s="3">
        <v>270.68</v>
      </c>
      <c r="E33" s="3">
        <v>274.29000000000002</v>
      </c>
      <c r="F33" s="3">
        <v>330.92</v>
      </c>
      <c r="G33" s="3">
        <v>335.45</v>
      </c>
    </row>
    <row r="35" spans="1:7" x14ac:dyDescent="0.25">
      <c r="A35" s="3" t="s">
        <v>36</v>
      </c>
      <c r="B35" s="3"/>
      <c r="C35" s="3"/>
      <c r="D35" s="3">
        <f>D33-C33</f>
        <v>47.390000000000015</v>
      </c>
      <c r="E35" s="3"/>
      <c r="F35" s="3">
        <f>F33-E33</f>
        <v>56.629999999999995</v>
      </c>
      <c r="G35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E298-6552-47EC-BF08-889ABD667203}">
  <dimension ref="A1:G35"/>
  <sheetViews>
    <sheetView topLeftCell="A10" workbookViewId="0">
      <selection activeCell="J25" sqref="J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469.84</v>
      </c>
      <c r="C2" s="1">
        <v>461.81</v>
      </c>
      <c r="D2" s="1">
        <v>453.02</v>
      </c>
      <c r="E2" s="1">
        <v>467.99</v>
      </c>
      <c r="F2" s="1">
        <v>444.51</v>
      </c>
      <c r="G2" s="1">
        <v>447</v>
      </c>
    </row>
    <row r="3" spans="1:7" x14ac:dyDescent="0.25">
      <c r="A3" s="1" t="s">
        <v>7</v>
      </c>
      <c r="B3" s="1">
        <v>51.26</v>
      </c>
      <c r="C3" s="1">
        <v>56.76</v>
      </c>
      <c r="D3" s="1">
        <v>47.37</v>
      </c>
      <c r="E3" s="1">
        <v>54.01</v>
      </c>
      <c r="F3" s="1">
        <v>43.13</v>
      </c>
      <c r="G3" s="1">
        <v>40.380000000000003</v>
      </c>
    </row>
    <row r="4" spans="1:7" x14ac:dyDescent="0.25">
      <c r="A4" s="1" t="s">
        <v>8</v>
      </c>
      <c r="B4" s="1">
        <v>24512</v>
      </c>
      <c r="C4" s="1">
        <v>26598.22</v>
      </c>
      <c r="D4" s="1">
        <v>21857.58</v>
      </c>
      <c r="E4" s="1">
        <v>25859.040000000001</v>
      </c>
      <c r="F4" s="1">
        <v>19525.8</v>
      </c>
      <c r="G4" s="1">
        <v>18351.43</v>
      </c>
    </row>
    <row r="5" spans="1:7" x14ac:dyDescent="0.25">
      <c r="A5" s="1" t="s">
        <v>9</v>
      </c>
      <c r="B5" s="1">
        <v>2003.72</v>
      </c>
      <c r="C5" s="1">
        <v>1865.35</v>
      </c>
      <c r="D5" s="1">
        <v>2788.59</v>
      </c>
      <c r="E5" s="1">
        <v>2795.52</v>
      </c>
      <c r="F5" s="1">
        <v>2777.53</v>
      </c>
      <c r="G5" s="1">
        <v>2705.74</v>
      </c>
    </row>
    <row r="6" spans="1:7" x14ac:dyDescent="0.25">
      <c r="A6" s="3" t="s">
        <v>10</v>
      </c>
      <c r="B6" s="3">
        <v>200.37</v>
      </c>
      <c r="C6" s="3">
        <v>188.42</v>
      </c>
      <c r="D6" s="3">
        <v>281.68</v>
      </c>
      <c r="E6" s="3">
        <v>282.38</v>
      </c>
      <c r="F6" s="3">
        <v>280.56</v>
      </c>
      <c r="G6" s="3">
        <v>273.31</v>
      </c>
    </row>
    <row r="7" spans="1:7" x14ac:dyDescent="0.25">
      <c r="A7" s="1" t="s">
        <v>11</v>
      </c>
      <c r="B7" s="1">
        <v>1872.1</v>
      </c>
      <c r="C7" s="1">
        <v>1752.99</v>
      </c>
      <c r="D7" s="1">
        <v>2563.9499999999998</v>
      </c>
      <c r="E7" s="1">
        <v>2602.59</v>
      </c>
      <c r="F7" s="1">
        <v>2535.63</v>
      </c>
      <c r="G7" s="1">
        <v>2524.13</v>
      </c>
    </row>
    <row r="8" spans="1:7" x14ac:dyDescent="0.25">
      <c r="A8" s="1" t="s">
        <v>12</v>
      </c>
      <c r="B8" s="1">
        <v>187.21</v>
      </c>
      <c r="C8" s="1">
        <v>177.07</v>
      </c>
      <c r="D8" s="1">
        <v>258.98</v>
      </c>
      <c r="E8" s="1">
        <v>262.89</v>
      </c>
      <c r="F8" s="1">
        <v>256.12</v>
      </c>
      <c r="G8" s="1">
        <v>254.96</v>
      </c>
    </row>
    <row r="9" spans="1:7" x14ac:dyDescent="0.25">
      <c r="A9" s="1" t="s">
        <v>13</v>
      </c>
      <c r="B9" s="1">
        <v>1616.75</v>
      </c>
      <c r="C9" s="1">
        <v>970.49</v>
      </c>
      <c r="D9" s="1">
        <v>2563.9499999999998</v>
      </c>
      <c r="E9" s="1">
        <v>2602.59</v>
      </c>
      <c r="F9" s="1">
        <v>2506.64</v>
      </c>
      <c r="G9" s="1">
        <v>2524.13</v>
      </c>
    </row>
    <row r="10" spans="1:7" x14ac:dyDescent="0.25">
      <c r="A10" s="1" t="s">
        <v>14</v>
      </c>
      <c r="B10" s="1">
        <v>161.68</v>
      </c>
      <c r="C10" s="1">
        <v>98.03</v>
      </c>
      <c r="D10" s="1">
        <v>258.98</v>
      </c>
      <c r="E10" s="1">
        <v>262.89</v>
      </c>
      <c r="F10" s="1">
        <v>253.2</v>
      </c>
      <c r="G10" s="1">
        <v>254.96</v>
      </c>
    </row>
    <row r="11" spans="1:7" x14ac:dyDescent="0.25">
      <c r="A11" s="1" t="s">
        <v>15</v>
      </c>
      <c r="B11" s="1">
        <v>1227.6400000000001</v>
      </c>
      <c r="C11" s="1">
        <v>373.31</v>
      </c>
      <c r="D11" s="1">
        <v>2423.0500000000002</v>
      </c>
      <c r="E11" s="1">
        <v>1927.62</v>
      </c>
      <c r="F11" s="1">
        <v>2360.91</v>
      </c>
      <c r="G11" s="1">
        <v>2372.9499999999998</v>
      </c>
    </row>
    <row r="12" spans="1:7" x14ac:dyDescent="0.25">
      <c r="A12" s="1" t="s">
        <v>16</v>
      </c>
      <c r="B12" s="1">
        <v>236.77</v>
      </c>
      <c r="C12" s="1">
        <v>233.11</v>
      </c>
      <c r="D12" s="1">
        <v>266.33</v>
      </c>
      <c r="E12" s="1">
        <v>262.31</v>
      </c>
      <c r="F12" s="1">
        <v>253.61</v>
      </c>
      <c r="G12" s="1">
        <v>256</v>
      </c>
    </row>
    <row r="13" spans="1:7" x14ac:dyDescent="0.25">
      <c r="A13" s="1" t="s">
        <v>17</v>
      </c>
      <c r="B13" s="1">
        <v>34.46</v>
      </c>
      <c r="C13" s="1">
        <v>27.95</v>
      </c>
      <c r="D13" s="1">
        <v>23.09</v>
      </c>
      <c r="E13" s="1">
        <v>24.36</v>
      </c>
      <c r="F13" s="1">
        <v>22.96</v>
      </c>
      <c r="G13" s="1">
        <v>30.18</v>
      </c>
    </row>
    <row r="14" spans="1:7" x14ac:dyDescent="0.25">
      <c r="A14" s="1" t="s">
        <v>18</v>
      </c>
      <c r="B14" s="1">
        <v>96.2</v>
      </c>
      <c r="C14" s="1">
        <v>89.99</v>
      </c>
      <c r="D14" s="1">
        <v>58.77</v>
      </c>
      <c r="E14" s="1">
        <v>56.53</v>
      </c>
      <c r="F14" s="1">
        <v>73.989999999999995</v>
      </c>
      <c r="G14" s="1">
        <v>68.84</v>
      </c>
    </row>
    <row r="15" spans="1:7" x14ac:dyDescent="0.25">
      <c r="A15" s="1" t="s">
        <v>19</v>
      </c>
      <c r="B15" s="1">
        <v>7</v>
      </c>
      <c r="C15" s="1">
        <v>5</v>
      </c>
      <c r="D15" s="1">
        <v>7</v>
      </c>
      <c r="E15" s="1">
        <v>6</v>
      </c>
      <c r="F15" s="1">
        <v>8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1744.43</v>
      </c>
      <c r="C17" s="1">
        <v>1361.74</v>
      </c>
      <c r="D17" s="1">
        <v>2563.9499999999998</v>
      </c>
      <c r="E17" s="1">
        <v>2602.59</v>
      </c>
      <c r="F17" s="1">
        <v>2521.14</v>
      </c>
      <c r="G17" s="1">
        <v>2524.13</v>
      </c>
    </row>
    <row r="18" spans="1:7" x14ac:dyDescent="0.25">
      <c r="A18" s="1" t="s">
        <v>22</v>
      </c>
      <c r="B18" s="1">
        <v>127.68</v>
      </c>
      <c r="C18" s="1">
        <v>391.25</v>
      </c>
      <c r="D18" s="1">
        <v>0</v>
      </c>
      <c r="E18" s="1">
        <v>0</v>
      </c>
      <c r="F18" s="1">
        <v>14.5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1.5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8.5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2.4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1.4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2.9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7.2</v>
      </c>
      <c r="C26" s="1">
        <v>8.6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13.999999999999998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28.71287128712871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71.287128712871294</v>
      </c>
      <c r="C31" s="3">
        <f t="shared" ref="C31:G31" si="3">C26/C28*100</f>
        <v>86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166.51</v>
      </c>
      <c r="C33" s="3">
        <v>114.86</v>
      </c>
      <c r="D33" s="3">
        <v>278.07</v>
      </c>
      <c r="E33" s="3">
        <v>277.54000000000002</v>
      </c>
      <c r="F33" s="3">
        <v>275.89</v>
      </c>
      <c r="G33" s="3">
        <v>271.25</v>
      </c>
    </row>
    <row r="35" spans="1:7" x14ac:dyDescent="0.25">
      <c r="A35" s="3" t="s">
        <v>36</v>
      </c>
      <c r="B35" s="3"/>
      <c r="C35" s="3"/>
      <c r="D35" s="3">
        <f>D33-C33</f>
        <v>163.20999999999998</v>
      </c>
      <c r="E35" s="3"/>
      <c r="F35" s="3">
        <f>F33-E33</f>
        <v>-1.6500000000000341</v>
      </c>
      <c r="G35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C17E-B748-4D7B-8159-B2E7606DBFA2}">
  <dimension ref="A1:G35"/>
  <sheetViews>
    <sheetView tabSelected="1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420.1</v>
      </c>
      <c r="C2" s="1">
        <v>445.55</v>
      </c>
      <c r="D2" s="1">
        <v>441.13</v>
      </c>
      <c r="E2" s="1">
        <v>480.15</v>
      </c>
      <c r="F2" s="1">
        <v>462.87</v>
      </c>
      <c r="G2" s="1">
        <v>394.28</v>
      </c>
    </row>
    <row r="3" spans="1:7" x14ac:dyDescent="0.25">
      <c r="A3" s="1" t="s">
        <v>7</v>
      </c>
      <c r="B3" s="1">
        <v>36.06</v>
      </c>
      <c r="C3" s="1">
        <v>40.29</v>
      </c>
      <c r="D3" s="1">
        <v>38.19</v>
      </c>
      <c r="E3" s="1">
        <v>42.21</v>
      </c>
      <c r="F3" s="1">
        <v>39.64</v>
      </c>
      <c r="G3" s="1">
        <v>34.1</v>
      </c>
    </row>
    <row r="4" spans="1:7" x14ac:dyDescent="0.25">
      <c r="A4" s="1" t="s">
        <v>8</v>
      </c>
      <c r="B4" s="1">
        <v>15427.5</v>
      </c>
      <c r="C4" s="1">
        <v>18413.599999999999</v>
      </c>
      <c r="D4" s="1">
        <v>17146.75</v>
      </c>
      <c r="E4" s="1">
        <v>20593.47</v>
      </c>
      <c r="F4" s="1">
        <v>18680.34</v>
      </c>
      <c r="G4" s="1">
        <v>13679.46</v>
      </c>
    </row>
    <row r="5" spans="1:7" x14ac:dyDescent="0.25">
      <c r="A5" s="1" t="s">
        <v>9</v>
      </c>
      <c r="B5" s="1">
        <v>1767.84</v>
      </c>
      <c r="C5" s="1">
        <v>2051.14</v>
      </c>
      <c r="D5" s="1">
        <v>2197.2600000000002</v>
      </c>
      <c r="E5" s="1">
        <v>2754.38</v>
      </c>
      <c r="F5" s="1">
        <v>2793.58</v>
      </c>
      <c r="G5" s="1">
        <v>3256.41</v>
      </c>
    </row>
    <row r="6" spans="1:7" x14ac:dyDescent="0.25">
      <c r="A6" s="3" t="s">
        <v>10</v>
      </c>
      <c r="B6" s="3">
        <v>176.78</v>
      </c>
      <c r="C6" s="3">
        <v>207.19</v>
      </c>
      <c r="D6" s="3">
        <v>221.95</v>
      </c>
      <c r="E6" s="3">
        <v>278.22000000000003</v>
      </c>
      <c r="F6" s="3">
        <v>282.18</v>
      </c>
      <c r="G6" s="3">
        <v>328.93</v>
      </c>
    </row>
    <row r="7" spans="1:7" x14ac:dyDescent="0.25">
      <c r="A7" s="1" t="s">
        <v>11</v>
      </c>
      <c r="B7" s="1">
        <v>1485.34</v>
      </c>
      <c r="C7" s="1">
        <v>1917.32</v>
      </c>
      <c r="D7" s="1">
        <v>1965.86</v>
      </c>
      <c r="E7" s="1">
        <v>2556.5100000000002</v>
      </c>
      <c r="F7" s="1">
        <v>2505.19</v>
      </c>
      <c r="G7" s="1">
        <v>3074.03</v>
      </c>
    </row>
    <row r="8" spans="1:7" x14ac:dyDescent="0.25">
      <c r="A8" s="1" t="s">
        <v>12</v>
      </c>
      <c r="B8" s="1">
        <v>148.53</v>
      </c>
      <c r="C8" s="1">
        <v>193.67</v>
      </c>
      <c r="D8" s="1">
        <v>198.57</v>
      </c>
      <c r="E8" s="1">
        <v>258.23</v>
      </c>
      <c r="F8" s="1">
        <v>253.05</v>
      </c>
      <c r="G8" s="1">
        <v>310.51</v>
      </c>
    </row>
    <row r="9" spans="1:7" x14ac:dyDescent="0.25">
      <c r="A9" s="1" t="s">
        <v>13</v>
      </c>
      <c r="B9" s="1">
        <v>1132.8599999999999</v>
      </c>
      <c r="C9" s="1">
        <v>1872.43</v>
      </c>
      <c r="D9" s="1">
        <v>1965.86</v>
      </c>
      <c r="E9" s="1">
        <v>2556.5100000000002</v>
      </c>
      <c r="F9" s="1">
        <v>2505.19</v>
      </c>
      <c r="G9" s="1">
        <v>3074.03</v>
      </c>
    </row>
    <row r="10" spans="1:7" x14ac:dyDescent="0.25">
      <c r="A10" s="1" t="s">
        <v>14</v>
      </c>
      <c r="B10" s="1">
        <v>113.29</v>
      </c>
      <c r="C10" s="1">
        <v>189.13</v>
      </c>
      <c r="D10" s="1">
        <v>198.57</v>
      </c>
      <c r="E10" s="1">
        <v>258.23</v>
      </c>
      <c r="F10" s="1">
        <v>253.05</v>
      </c>
      <c r="G10" s="1">
        <v>310.51</v>
      </c>
    </row>
    <row r="11" spans="1:7" x14ac:dyDescent="0.25">
      <c r="A11" s="1" t="s">
        <v>15</v>
      </c>
      <c r="B11" s="1">
        <v>1188.1400000000001</v>
      </c>
      <c r="C11" s="1">
        <v>1613.59</v>
      </c>
      <c r="D11" s="1">
        <v>1954.78</v>
      </c>
      <c r="E11" s="1">
        <v>2340.9299999999998</v>
      </c>
      <c r="F11" s="1">
        <v>2474.8000000000002</v>
      </c>
      <c r="G11" s="1">
        <v>3000.92</v>
      </c>
    </row>
    <row r="12" spans="1:7" x14ac:dyDescent="0.25">
      <c r="A12" s="1" t="s">
        <v>16</v>
      </c>
      <c r="B12" s="1">
        <v>234.31</v>
      </c>
      <c r="C12" s="1">
        <v>236.32</v>
      </c>
      <c r="D12" s="1">
        <v>231.18</v>
      </c>
      <c r="E12" s="1">
        <v>263.01</v>
      </c>
      <c r="F12" s="1">
        <v>265.02999999999997</v>
      </c>
      <c r="G12" s="1">
        <v>222.76</v>
      </c>
    </row>
    <row r="13" spans="1:7" x14ac:dyDescent="0.25">
      <c r="A13" s="1" t="s">
        <v>17</v>
      </c>
      <c r="B13" s="1">
        <v>22.37</v>
      </c>
      <c r="C13" s="1">
        <v>32.85</v>
      </c>
      <c r="D13" s="1">
        <v>26.08</v>
      </c>
      <c r="E13" s="1">
        <v>25.36</v>
      </c>
      <c r="F13" s="1">
        <v>28.51</v>
      </c>
      <c r="G13" s="1">
        <v>19.89</v>
      </c>
    </row>
    <row r="14" spans="1:7" x14ac:dyDescent="0.25">
      <c r="A14" s="1" t="s">
        <v>18</v>
      </c>
      <c r="B14" s="1">
        <v>44.84</v>
      </c>
      <c r="C14" s="1">
        <v>71.3</v>
      </c>
      <c r="D14" s="1">
        <v>58.75</v>
      </c>
      <c r="E14" s="1">
        <v>64.599999999999994</v>
      </c>
      <c r="F14" s="1">
        <v>62.59</v>
      </c>
      <c r="G14" s="1">
        <v>38.869999999999997</v>
      </c>
    </row>
    <row r="15" spans="1:7" x14ac:dyDescent="0.25">
      <c r="A15" s="1" t="s">
        <v>19</v>
      </c>
      <c r="B15" s="1">
        <v>11</v>
      </c>
      <c r="C15" s="1">
        <v>9</v>
      </c>
      <c r="D15" s="1">
        <v>9</v>
      </c>
      <c r="E15" s="1">
        <v>8</v>
      </c>
      <c r="F15" s="1">
        <v>8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25">
      <c r="A17" s="1" t="s">
        <v>21</v>
      </c>
      <c r="B17" s="1">
        <v>1309.0999999999999</v>
      </c>
      <c r="C17" s="1">
        <v>1894.88</v>
      </c>
      <c r="D17" s="1">
        <v>1965.86</v>
      </c>
      <c r="E17" s="1">
        <v>2556.5100000000002</v>
      </c>
      <c r="F17" s="1">
        <v>2505.19</v>
      </c>
      <c r="G17" s="1">
        <v>3074.03</v>
      </c>
    </row>
    <row r="18" spans="1:7" x14ac:dyDescent="0.25">
      <c r="A18" s="1" t="s">
        <v>22</v>
      </c>
      <c r="B18" s="1">
        <v>176.24</v>
      </c>
      <c r="C18" s="1">
        <v>22.44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1.2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8.9</v>
      </c>
      <c r="C21" s="1">
        <v>10</v>
      </c>
      <c r="D21" s="1">
        <v>10</v>
      </c>
      <c r="E21" s="1">
        <v>10</v>
      </c>
      <c r="F21" s="1">
        <v>10</v>
      </c>
      <c r="G21" s="1">
        <v>10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8.1</v>
      </c>
      <c r="C26" s="1">
        <v>10</v>
      </c>
      <c r="D26" s="1">
        <v>10</v>
      </c>
      <c r="E26" s="1">
        <v>10</v>
      </c>
      <c r="F26" s="1">
        <v>10</v>
      </c>
      <c r="G26" s="1">
        <v>10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19.801980198019802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80.198019801980209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122.01</v>
      </c>
      <c r="C33" s="3">
        <v>200.23</v>
      </c>
      <c r="D33" s="3">
        <v>218.91</v>
      </c>
      <c r="E33" s="3">
        <v>271.77</v>
      </c>
      <c r="F33" s="3">
        <v>278.66000000000003</v>
      </c>
      <c r="G33" s="3">
        <v>328.28</v>
      </c>
    </row>
    <row r="35" spans="1:7" x14ac:dyDescent="0.25">
      <c r="A35" s="3" t="s">
        <v>36</v>
      </c>
      <c r="B35" s="3"/>
      <c r="C35" s="3"/>
      <c r="D35" s="3">
        <f>D33-C33</f>
        <v>18.680000000000007</v>
      </c>
      <c r="E35" s="3"/>
      <c r="F35" s="3">
        <f>F33-E33</f>
        <v>6.8900000000000432</v>
      </c>
      <c r="G35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A2A4-BD72-4687-B099-136A0CDD1289}">
  <dimension ref="A1:G35"/>
  <sheetViews>
    <sheetView topLeftCell="A13" workbookViewId="0">
      <selection activeCell="A37" sqref="A3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220913A001.4</vt:lpstr>
      <vt:lpstr>220913A001.5</vt:lpstr>
      <vt:lpstr>220926A001.1</vt:lpstr>
      <vt:lpstr>220926A001.4</vt:lpstr>
      <vt:lpstr>220926A002.1</vt:lpstr>
      <vt:lpstr>220926A002.2</vt:lpstr>
      <vt:lpstr>220926A002.3</vt:lpstr>
      <vt:lpstr>220927A001.1</vt:lpstr>
      <vt:lpstr>220927A001.4</vt:lpstr>
      <vt:lpstr>230406A001.1</vt:lpstr>
      <vt:lpstr>230406A001.2</vt:lpstr>
      <vt:lpstr>230406A001.4</vt:lpstr>
      <vt:lpstr>230406A002.2</vt:lpstr>
      <vt:lpstr>230406A002.3</vt:lpstr>
      <vt:lpstr>230406A002.4</vt:lpstr>
      <vt:lpstr>230406A003.2</vt:lpstr>
      <vt:lpstr>230406A003.3</vt:lpstr>
      <vt:lpstr>230406A003.4</vt:lpstr>
      <vt:lpstr>230406A003.5</vt:lpstr>
      <vt:lpstr>230615A001.3</vt:lpstr>
      <vt:lpstr>230615A001.4</vt:lpstr>
      <vt:lpstr>230615A002.1</vt:lpstr>
      <vt:lpstr>230615A002.4</vt:lpstr>
      <vt:lpstr>230615A002.5</vt:lpstr>
      <vt:lpstr>230615A003.1</vt:lpstr>
      <vt:lpstr>230615A003.2</vt:lpstr>
      <vt:lpstr>230615A003.3</vt:lpstr>
      <vt:lpstr>230615A004.2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2023-04-02T19:38:03Z</dcterms:created>
  <dcterms:modified xsi:type="dcterms:W3CDTF">2023-07-25T22:29:06Z</dcterms:modified>
</cp:coreProperties>
</file>