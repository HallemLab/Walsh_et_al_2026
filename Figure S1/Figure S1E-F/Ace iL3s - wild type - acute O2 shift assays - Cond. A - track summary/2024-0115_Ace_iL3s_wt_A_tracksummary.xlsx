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115\WormLab Data\"/>
    </mc:Choice>
  </mc:AlternateContent>
  <xr:revisionPtr revIDLastSave="0" documentId="13_ncr:1_{26D5739E-0A0F-44B0-B121-33DDE4076BA1}" xr6:coauthVersionLast="36" xr6:coauthVersionMax="36" xr10:uidLastSave="{00000000-0000-0000-0000-000000000000}"/>
  <bookViews>
    <workbookView xWindow="0" yWindow="0" windowWidth="24225" windowHeight="10995" activeTab="5" xr2:uid="{AC36E3A3-89E7-4BAD-B076-2E2A1AC233EB}"/>
  </bookViews>
  <sheets>
    <sheet name="240115A001.1" sheetId="2" r:id="rId1"/>
    <sheet name="240115A001.2" sheetId="3" r:id="rId2"/>
    <sheet name="240115A001.3" sheetId="4" r:id="rId3"/>
    <sheet name="240115A002.1" sheetId="5" r:id="rId4"/>
    <sheet name="240115A002.2" sheetId="6" r:id="rId5"/>
    <sheet name="240115A002.3" sheetId="7" r:id="rId6"/>
    <sheet name="template" sheetId="1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7" l="1"/>
  <c r="E37" i="7"/>
  <c r="C37" i="7"/>
  <c r="F35" i="7"/>
  <c r="D35" i="7"/>
  <c r="D31" i="7"/>
  <c r="C31" i="7"/>
  <c r="B31" i="7"/>
  <c r="G30" i="7"/>
  <c r="F30" i="7"/>
  <c r="E30" i="7"/>
  <c r="D30" i="7"/>
  <c r="C30" i="7"/>
  <c r="B30" i="7"/>
  <c r="G29" i="7"/>
  <c r="F29" i="7"/>
  <c r="E29" i="7"/>
  <c r="D29" i="7"/>
  <c r="C29" i="7"/>
  <c r="G28" i="7"/>
  <c r="G31" i="7" s="1"/>
  <c r="F28" i="7"/>
  <c r="F31" i="7" s="1"/>
  <c r="E28" i="7"/>
  <c r="E31" i="7" s="1"/>
  <c r="D28" i="7"/>
  <c r="C28" i="7"/>
  <c r="B28" i="7"/>
  <c r="B29" i="7" s="1"/>
  <c r="G37" i="6"/>
  <c r="E37" i="6"/>
  <c r="C37" i="6"/>
  <c r="F35" i="6"/>
  <c r="D35" i="6"/>
  <c r="G28" i="6"/>
  <c r="G29" i="6" s="1"/>
  <c r="F28" i="6"/>
  <c r="F30" i="6" s="1"/>
  <c r="E28" i="6"/>
  <c r="E31" i="6" s="1"/>
  <c r="D28" i="6"/>
  <c r="D31" i="6" s="1"/>
  <c r="C28" i="6"/>
  <c r="C29" i="6" s="1"/>
  <c r="B28" i="6"/>
  <c r="B29" i="6" s="1"/>
  <c r="G37" i="5"/>
  <c r="E37" i="5"/>
  <c r="C37" i="5"/>
  <c r="F35" i="5"/>
  <c r="D35" i="5"/>
  <c r="F31" i="5"/>
  <c r="E31" i="5"/>
  <c r="C31" i="5"/>
  <c r="B31" i="5"/>
  <c r="F30" i="5"/>
  <c r="E30" i="5"/>
  <c r="D30" i="5"/>
  <c r="C30" i="5"/>
  <c r="B30" i="5"/>
  <c r="F29" i="5"/>
  <c r="E29" i="5"/>
  <c r="D29" i="5"/>
  <c r="G28" i="5"/>
  <c r="G31" i="5" s="1"/>
  <c r="F28" i="5"/>
  <c r="E28" i="5"/>
  <c r="D28" i="5"/>
  <c r="D31" i="5" s="1"/>
  <c r="C28" i="5"/>
  <c r="C29" i="5" s="1"/>
  <c r="B28" i="5"/>
  <c r="B29" i="5" s="1"/>
  <c r="G37" i="4"/>
  <c r="E37" i="4"/>
  <c r="C37" i="4"/>
  <c r="F35" i="4"/>
  <c r="D35" i="4"/>
  <c r="B31" i="4"/>
  <c r="G28" i="4"/>
  <c r="G29" i="4" s="1"/>
  <c r="F28" i="4"/>
  <c r="F29" i="4" s="1"/>
  <c r="E28" i="4"/>
  <c r="E29" i="4" s="1"/>
  <c r="D28" i="4"/>
  <c r="D29" i="4" s="1"/>
  <c r="C28" i="4"/>
  <c r="C30" i="4" s="1"/>
  <c r="B28" i="4"/>
  <c r="B30" i="4" s="1"/>
  <c r="G37" i="3"/>
  <c r="E37" i="3"/>
  <c r="C37" i="3"/>
  <c r="F35" i="3"/>
  <c r="D35" i="3"/>
  <c r="C31" i="3"/>
  <c r="B31" i="3"/>
  <c r="G30" i="3"/>
  <c r="D30" i="3"/>
  <c r="C30" i="3"/>
  <c r="B30" i="3"/>
  <c r="G28" i="3"/>
  <c r="G31" i="3" s="1"/>
  <c r="F28" i="3"/>
  <c r="F31" i="3" s="1"/>
  <c r="E28" i="3"/>
  <c r="E29" i="3" s="1"/>
  <c r="D28" i="3"/>
  <c r="D29" i="3" s="1"/>
  <c r="C28" i="3"/>
  <c r="C29" i="3" s="1"/>
  <c r="B28" i="3"/>
  <c r="B29" i="3" s="1"/>
  <c r="G37" i="2"/>
  <c r="E37" i="2"/>
  <c r="C37" i="2"/>
  <c r="F35" i="2"/>
  <c r="D35" i="2"/>
  <c r="G28" i="2"/>
  <c r="G31" i="2" s="1"/>
  <c r="F28" i="2"/>
  <c r="F31" i="2" s="1"/>
  <c r="E28" i="2"/>
  <c r="E30" i="2" s="1"/>
  <c r="D28" i="2"/>
  <c r="D31" i="2" s="1"/>
  <c r="C28" i="2"/>
  <c r="C31" i="2" s="1"/>
  <c r="B28" i="2"/>
  <c r="B30" i="2" s="1"/>
  <c r="C30" i="6" l="1"/>
  <c r="G30" i="6"/>
  <c r="B31" i="6"/>
  <c r="B30" i="6"/>
  <c r="C31" i="6"/>
  <c r="F31" i="6"/>
  <c r="G31" i="6"/>
  <c r="D29" i="6"/>
  <c r="F29" i="6"/>
  <c r="E29" i="6"/>
  <c r="D30" i="6"/>
  <c r="E30" i="6"/>
  <c r="G30" i="5"/>
  <c r="G29" i="5"/>
  <c r="D31" i="4"/>
  <c r="C31" i="4"/>
  <c r="E31" i="4"/>
  <c r="D30" i="4"/>
  <c r="E30" i="4"/>
  <c r="F30" i="4"/>
  <c r="G30" i="4"/>
  <c r="F31" i="4"/>
  <c r="G31" i="4"/>
  <c r="B29" i="4"/>
  <c r="C29" i="4"/>
  <c r="F29" i="3"/>
  <c r="F30" i="3"/>
  <c r="E30" i="3"/>
  <c r="E31" i="3"/>
  <c r="G29" i="3"/>
  <c r="D31" i="3"/>
  <c r="E29" i="2"/>
  <c r="G30" i="2"/>
  <c r="C29" i="2"/>
  <c r="D29" i="2"/>
  <c r="F29" i="2"/>
  <c r="E31" i="2"/>
  <c r="G29" i="2"/>
  <c r="C30" i="2"/>
  <c r="B31" i="2"/>
  <c r="B29" i="2"/>
  <c r="D30" i="2"/>
  <c r="F30" i="2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G28" i="1"/>
  <c r="F28" i="1"/>
  <c r="E28" i="1"/>
  <c r="E29" i="1" s="1"/>
  <c r="D28" i="1"/>
  <c r="D29" i="1" s="1"/>
  <c r="C28" i="1"/>
  <c r="C29" i="1" s="1"/>
  <c r="B28" i="1"/>
  <c r="B29" i="1" s="1"/>
</calcChain>
</file>

<file path=xl/sharedStrings.xml><?xml version="1.0" encoding="utf-8"?>
<sst xmlns="http://schemas.openxmlformats.org/spreadsheetml/2006/main" count="266" uniqueCount="37">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</sst>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9AAE-5D8A-4C97-8FB4-00C59F190A79}">
  <dimension ref="A1:G37"/>
  <sheetViews>
    <sheetView topLeftCell="A10" workbookViewId="0">
      <selection activeCell="A40" sqref="A4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537.11</v>
      </c>
      <c r="C2" s="1">
        <v>546.79</v>
      </c>
      <c r="D2" s="1">
        <v>532.92999999999995</v>
      </c>
      <c r="E2" s="1">
        <v>520.21</v>
      </c>
      <c r="F2" s="1">
        <v>543.78</v>
      </c>
      <c r="G2" s="1">
        <v>549.05999999999995</v>
      </c>
    </row>
    <row r="3" spans="1:7" x14ac:dyDescent="0.25">
      <c r="A3" s="1" t="s">
        <v>7</v>
      </c>
      <c r="B3" s="1">
        <v>42.35</v>
      </c>
      <c r="C3" s="1">
        <v>42.73</v>
      </c>
      <c r="D3" s="1">
        <v>41.05</v>
      </c>
      <c r="E3" s="1">
        <v>42.27</v>
      </c>
      <c r="F3" s="1">
        <v>44.24</v>
      </c>
      <c r="G3" s="1">
        <v>46.11</v>
      </c>
    </row>
    <row r="4" spans="1:7" x14ac:dyDescent="0.25">
      <c r="A4" s="1" t="s">
        <v>8</v>
      </c>
      <c r="B4" s="1">
        <v>23125.33</v>
      </c>
      <c r="C4" s="1">
        <v>23755.42</v>
      </c>
      <c r="D4" s="1">
        <v>22251.07</v>
      </c>
      <c r="E4" s="1">
        <v>22388.1</v>
      </c>
      <c r="F4" s="1">
        <v>24484.080000000002</v>
      </c>
      <c r="G4" s="1">
        <v>25750.57</v>
      </c>
    </row>
    <row r="5" spans="1:7" x14ac:dyDescent="0.25">
      <c r="A5" s="1" t="s">
        <v>9</v>
      </c>
      <c r="B5" s="1">
        <v>832.1</v>
      </c>
      <c r="C5" s="1">
        <v>884.1</v>
      </c>
      <c r="D5" s="1">
        <v>1158.17</v>
      </c>
      <c r="E5" s="1">
        <v>829.05</v>
      </c>
      <c r="F5" s="1">
        <v>648.28</v>
      </c>
      <c r="G5" s="1">
        <v>652.89</v>
      </c>
    </row>
    <row r="6" spans="1:7" x14ac:dyDescent="0.25">
      <c r="A6" s="3" t="s">
        <v>10</v>
      </c>
      <c r="B6" s="3">
        <v>83.21</v>
      </c>
      <c r="C6" s="3">
        <v>89.3</v>
      </c>
      <c r="D6" s="3">
        <v>116.99</v>
      </c>
      <c r="E6" s="3">
        <v>83.74</v>
      </c>
      <c r="F6" s="3">
        <v>65.48</v>
      </c>
      <c r="G6" s="3">
        <v>66.62</v>
      </c>
    </row>
    <row r="7" spans="1:7" x14ac:dyDescent="0.25">
      <c r="A7" s="1" t="s">
        <v>11</v>
      </c>
      <c r="B7" s="1">
        <v>820.81</v>
      </c>
      <c r="C7" s="1">
        <v>879.12</v>
      </c>
      <c r="D7" s="1">
        <v>1137.1500000000001</v>
      </c>
      <c r="E7" s="1">
        <v>816.01</v>
      </c>
      <c r="F7" s="1">
        <v>644.24</v>
      </c>
      <c r="G7" s="1">
        <v>647.17999999999995</v>
      </c>
    </row>
    <row r="8" spans="1:7" x14ac:dyDescent="0.25">
      <c r="A8" s="1" t="s">
        <v>12</v>
      </c>
      <c r="B8" s="1">
        <v>82.08</v>
      </c>
      <c r="C8" s="1">
        <v>88.8</v>
      </c>
      <c r="D8" s="1">
        <v>114.86</v>
      </c>
      <c r="E8" s="1">
        <v>82.43</v>
      </c>
      <c r="F8" s="1">
        <v>65.069999999999993</v>
      </c>
      <c r="G8" s="1">
        <v>66.040000000000006</v>
      </c>
    </row>
    <row r="9" spans="1:7" x14ac:dyDescent="0.25">
      <c r="A9" s="1" t="s">
        <v>13</v>
      </c>
      <c r="B9" s="1">
        <v>802.31</v>
      </c>
      <c r="C9" s="1">
        <v>879.12</v>
      </c>
      <c r="D9" s="1">
        <v>1137.1500000000001</v>
      </c>
      <c r="E9" s="1">
        <v>816.01</v>
      </c>
      <c r="F9" s="1">
        <v>644.24</v>
      </c>
      <c r="G9" s="1">
        <v>641.72</v>
      </c>
    </row>
    <row r="10" spans="1:7" x14ac:dyDescent="0.25">
      <c r="A10" s="1" t="s">
        <v>14</v>
      </c>
      <c r="B10" s="1">
        <v>80.23</v>
      </c>
      <c r="C10" s="1">
        <v>88.8</v>
      </c>
      <c r="D10" s="1">
        <v>114.86</v>
      </c>
      <c r="E10" s="1">
        <v>82.43</v>
      </c>
      <c r="F10" s="1">
        <v>65.069999999999993</v>
      </c>
      <c r="G10" s="1">
        <v>65.48</v>
      </c>
    </row>
    <row r="11" spans="1:7" x14ac:dyDescent="0.25">
      <c r="A11" s="1" t="s">
        <v>15</v>
      </c>
      <c r="B11" s="1">
        <v>642.04999999999995</v>
      </c>
      <c r="C11" s="1">
        <v>802.58</v>
      </c>
      <c r="D11" s="1">
        <v>1002.75</v>
      </c>
      <c r="E11" s="1">
        <v>653.11</v>
      </c>
      <c r="F11" s="1">
        <v>583.37</v>
      </c>
      <c r="G11" s="1">
        <v>589.73</v>
      </c>
    </row>
    <row r="12" spans="1:7" x14ac:dyDescent="0.25">
      <c r="A12" s="1" t="s">
        <v>16</v>
      </c>
      <c r="B12" s="1">
        <v>274.82</v>
      </c>
      <c r="C12" s="1">
        <v>272.27</v>
      </c>
      <c r="D12" s="1">
        <v>279.16000000000003</v>
      </c>
      <c r="E12" s="1">
        <v>284</v>
      </c>
      <c r="F12" s="1">
        <v>265.89</v>
      </c>
      <c r="G12" s="1">
        <v>290.02999999999997</v>
      </c>
    </row>
    <row r="13" spans="1:7" x14ac:dyDescent="0.25">
      <c r="A13" s="1" t="s">
        <v>17</v>
      </c>
      <c r="B13" s="1">
        <v>33</v>
      </c>
      <c r="C13" s="1">
        <v>19.579999999999998</v>
      </c>
      <c r="D13" s="1">
        <v>28.35</v>
      </c>
      <c r="E13" s="1">
        <v>33.96</v>
      </c>
      <c r="F13" s="1">
        <v>25.93</v>
      </c>
      <c r="G13" s="1">
        <v>21.71</v>
      </c>
    </row>
    <row r="14" spans="1:7" x14ac:dyDescent="0.25">
      <c r="A14" s="1" t="s">
        <v>18</v>
      </c>
      <c r="B14" s="1">
        <v>71.37</v>
      </c>
      <c r="C14" s="1">
        <v>43.89</v>
      </c>
      <c r="D14" s="1">
        <v>61.04</v>
      </c>
      <c r="E14" s="1">
        <v>80.290000000000006</v>
      </c>
      <c r="F14" s="1">
        <v>51.87</v>
      </c>
      <c r="G14" s="1">
        <v>50.59</v>
      </c>
    </row>
    <row r="15" spans="1:7" x14ac:dyDescent="0.25">
      <c r="A15" s="1" t="s">
        <v>19</v>
      </c>
      <c r="B15" s="1">
        <v>3</v>
      </c>
      <c r="C15" s="1">
        <v>0</v>
      </c>
      <c r="D15" s="1">
        <v>5</v>
      </c>
      <c r="E15" s="1">
        <v>4</v>
      </c>
      <c r="F15" s="1">
        <v>2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811.56</v>
      </c>
      <c r="C17" s="1">
        <v>879.12</v>
      </c>
      <c r="D17" s="1">
        <v>1137.1500000000001</v>
      </c>
      <c r="E17" s="1">
        <v>816.01</v>
      </c>
      <c r="F17" s="1">
        <v>644.24</v>
      </c>
      <c r="G17" s="1">
        <v>644.45000000000005</v>
      </c>
    </row>
    <row r="18" spans="1:7" x14ac:dyDescent="0.25">
      <c r="A18" s="1" t="s">
        <v>22</v>
      </c>
      <c r="B18" s="1">
        <v>9.25</v>
      </c>
      <c r="C18" s="1">
        <v>0</v>
      </c>
      <c r="D18" s="1">
        <v>0</v>
      </c>
      <c r="E18" s="1">
        <v>0</v>
      </c>
      <c r="F18" s="1">
        <v>0</v>
      </c>
      <c r="G18" s="1">
        <v>2.73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79.91</v>
      </c>
      <c r="C33" s="3">
        <v>89.88</v>
      </c>
      <c r="D33" s="3">
        <v>114.84</v>
      </c>
      <c r="E33" s="3">
        <v>84.49</v>
      </c>
      <c r="F33" s="3">
        <v>64.45</v>
      </c>
      <c r="G33" s="3">
        <v>66.760000000000005</v>
      </c>
    </row>
    <row r="35" spans="1:7" x14ac:dyDescent="0.25">
      <c r="A35" s="3" t="s">
        <v>36</v>
      </c>
      <c r="B35" s="3"/>
      <c r="C35" s="3"/>
      <c r="D35" s="3">
        <f>D33-C33</f>
        <v>24.960000000000008</v>
      </c>
      <c r="E35" s="3"/>
      <c r="F35" s="3">
        <f>F33-E33</f>
        <v>-20.039999999999992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-30.350000000000009</v>
      </c>
      <c r="F37" s="3"/>
      <c r="G37" s="3">
        <f>G33-F33</f>
        <v>2.3100000000000023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07CC-AD21-4539-8F15-84488D6D8C22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564.28</v>
      </c>
      <c r="C2" s="1">
        <v>564.19000000000005</v>
      </c>
      <c r="D2" s="1">
        <v>554.21</v>
      </c>
      <c r="E2" s="1">
        <v>532.27</v>
      </c>
      <c r="F2" s="1">
        <v>524.59</v>
      </c>
      <c r="G2" s="1">
        <v>566.78</v>
      </c>
    </row>
    <row r="3" spans="1:7" x14ac:dyDescent="0.25">
      <c r="A3" s="1" t="s">
        <v>7</v>
      </c>
      <c r="B3" s="1">
        <v>45.18</v>
      </c>
      <c r="C3" s="1">
        <v>44.21</v>
      </c>
      <c r="D3" s="1">
        <v>43.62</v>
      </c>
      <c r="E3" s="1">
        <v>43.09</v>
      </c>
      <c r="F3" s="1">
        <v>43.23</v>
      </c>
      <c r="G3" s="1">
        <v>45.93</v>
      </c>
    </row>
    <row r="4" spans="1:7" x14ac:dyDescent="0.25">
      <c r="A4" s="1" t="s">
        <v>8</v>
      </c>
      <c r="B4" s="1">
        <v>25923.29</v>
      </c>
      <c r="C4" s="1">
        <v>25360.87</v>
      </c>
      <c r="D4" s="1">
        <v>24575.47</v>
      </c>
      <c r="E4" s="1">
        <v>23262.9</v>
      </c>
      <c r="F4" s="1">
        <v>23029.91</v>
      </c>
      <c r="G4" s="1">
        <v>26490.79</v>
      </c>
    </row>
    <row r="5" spans="1:7" x14ac:dyDescent="0.25">
      <c r="A5" s="1" t="s">
        <v>9</v>
      </c>
      <c r="B5" s="1">
        <v>482</v>
      </c>
      <c r="C5" s="1">
        <v>474.62</v>
      </c>
      <c r="D5" s="1">
        <v>535.27</v>
      </c>
      <c r="E5" s="1">
        <v>793.7</v>
      </c>
      <c r="F5" s="1">
        <v>714.82</v>
      </c>
      <c r="G5" s="1">
        <v>441.35</v>
      </c>
    </row>
    <row r="6" spans="1:7" x14ac:dyDescent="0.25">
      <c r="A6" s="3" t="s">
        <v>10</v>
      </c>
      <c r="B6" s="3">
        <v>48.2</v>
      </c>
      <c r="C6" s="3">
        <v>47.94</v>
      </c>
      <c r="D6" s="3">
        <v>54.07</v>
      </c>
      <c r="E6" s="3">
        <v>80.17</v>
      </c>
      <c r="F6" s="3">
        <v>72.2</v>
      </c>
      <c r="G6" s="3">
        <v>45.04</v>
      </c>
    </row>
    <row r="7" spans="1:7" x14ac:dyDescent="0.25">
      <c r="A7" s="1" t="s">
        <v>11</v>
      </c>
      <c r="B7" s="1">
        <v>476.48</v>
      </c>
      <c r="C7" s="1">
        <v>468.16</v>
      </c>
      <c r="D7" s="1">
        <v>524.16</v>
      </c>
      <c r="E7" s="1">
        <v>780.36</v>
      </c>
      <c r="F7" s="1">
        <v>700.93</v>
      </c>
      <c r="G7" s="1">
        <v>435.18</v>
      </c>
    </row>
    <row r="8" spans="1:7" x14ac:dyDescent="0.25">
      <c r="A8" s="1" t="s">
        <v>12</v>
      </c>
      <c r="B8" s="1">
        <v>47.65</v>
      </c>
      <c r="C8" s="1">
        <v>47.29</v>
      </c>
      <c r="D8" s="1">
        <v>52.95</v>
      </c>
      <c r="E8" s="1">
        <v>78.819999999999993</v>
      </c>
      <c r="F8" s="1">
        <v>70.8</v>
      </c>
      <c r="G8" s="1">
        <v>44.41</v>
      </c>
    </row>
    <row r="9" spans="1:7" x14ac:dyDescent="0.25">
      <c r="A9" s="1" t="s">
        <v>13</v>
      </c>
      <c r="B9" s="1">
        <v>473.19</v>
      </c>
      <c r="C9" s="1">
        <v>462.63</v>
      </c>
      <c r="D9" s="1">
        <v>517.9</v>
      </c>
      <c r="E9" s="1">
        <v>780.36</v>
      </c>
      <c r="F9" s="1">
        <v>700.26</v>
      </c>
      <c r="G9" s="1">
        <v>426.58</v>
      </c>
    </row>
    <row r="10" spans="1:7" x14ac:dyDescent="0.25">
      <c r="A10" s="1" t="s">
        <v>14</v>
      </c>
      <c r="B10" s="1">
        <v>47.32</v>
      </c>
      <c r="C10" s="1">
        <v>46.73</v>
      </c>
      <c r="D10" s="1">
        <v>52.31</v>
      </c>
      <c r="E10" s="1">
        <v>78.819999999999993</v>
      </c>
      <c r="F10" s="1">
        <v>70.73</v>
      </c>
      <c r="G10" s="1">
        <v>43.53</v>
      </c>
    </row>
    <row r="11" spans="1:7" x14ac:dyDescent="0.25">
      <c r="A11" s="1" t="s">
        <v>15</v>
      </c>
      <c r="B11" s="1">
        <v>383.11</v>
      </c>
      <c r="C11" s="1">
        <v>367.46</v>
      </c>
      <c r="D11" s="1">
        <v>261.02</v>
      </c>
      <c r="E11" s="1">
        <v>601.91999999999996</v>
      </c>
      <c r="F11" s="1">
        <v>518.65</v>
      </c>
      <c r="G11" s="1">
        <v>309.08</v>
      </c>
    </row>
    <row r="12" spans="1:7" x14ac:dyDescent="0.25">
      <c r="A12" s="1" t="s">
        <v>16</v>
      </c>
      <c r="B12" s="1">
        <v>288.32</v>
      </c>
      <c r="C12" s="1">
        <v>271.73</v>
      </c>
      <c r="D12" s="1">
        <v>270.88</v>
      </c>
      <c r="E12" s="1">
        <v>295.01</v>
      </c>
      <c r="F12" s="1">
        <v>283.08</v>
      </c>
      <c r="G12" s="1">
        <v>302.69</v>
      </c>
    </row>
    <row r="13" spans="1:7" x14ac:dyDescent="0.25">
      <c r="A13" s="1" t="s">
        <v>17</v>
      </c>
      <c r="B13" s="1">
        <v>40.82</v>
      </c>
      <c r="C13" s="1">
        <v>39.71</v>
      </c>
      <c r="D13" s="1">
        <v>55.88</v>
      </c>
      <c r="E13" s="1">
        <v>34.659999999999997</v>
      </c>
      <c r="F13" s="1">
        <v>43.93</v>
      </c>
      <c r="G13" s="1">
        <v>59.14</v>
      </c>
    </row>
    <row r="14" spans="1:7" x14ac:dyDescent="0.25">
      <c r="A14" s="1" t="s">
        <v>18</v>
      </c>
      <c r="B14" s="1">
        <v>69</v>
      </c>
      <c r="C14" s="1">
        <v>76.34</v>
      </c>
      <c r="D14" s="1">
        <v>103.96</v>
      </c>
      <c r="E14" s="1">
        <v>79.23</v>
      </c>
      <c r="F14" s="1">
        <v>79.63</v>
      </c>
      <c r="G14" s="1">
        <v>98.42</v>
      </c>
    </row>
    <row r="15" spans="1:7" x14ac:dyDescent="0.25">
      <c r="A15" s="1" t="s">
        <v>19</v>
      </c>
      <c r="B15" s="1">
        <v>3</v>
      </c>
      <c r="C15" s="1">
        <v>3</v>
      </c>
      <c r="D15" s="1">
        <v>2</v>
      </c>
      <c r="E15" s="1">
        <v>4</v>
      </c>
      <c r="F15" s="1">
        <v>4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474.83</v>
      </c>
      <c r="C17" s="1">
        <v>465.39</v>
      </c>
      <c r="D17" s="1">
        <v>521.03</v>
      </c>
      <c r="E17" s="1">
        <v>780.36</v>
      </c>
      <c r="F17" s="1">
        <v>700.59</v>
      </c>
      <c r="G17" s="1">
        <v>430.88</v>
      </c>
    </row>
    <row r="18" spans="1:7" x14ac:dyDescent="0.25">
      <c r="A18" s="1" t="s">
        <v>22</v>
      </c>
      <c r="B18" s="1">
        <v>1.64</v>
      </c>
      <c r="C18" s="1">
        <v>2.77</v>
      </c>
      <c r="D18" s="1">
        <v>3.13</v>
      </c>
      <c r="E18" s="1">
        <v>0</v>
      </c>
      <c r="F18" s="1">
        <v>0.34</v>
      </c>
      <c r="G18" s="1">
        <v>4.3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1.1000000000000001</v>
      </c>
      <c r="C25" s="1">
        <v>1.9</v>
      </c>
      <c r="D25" s="1">
        <v>1.5</v>
      </c>
      <c r="E25" s="1">
        <v>0</v>
      </c>
      <c r="F25" s="1">
        <v>0</v>
      </c>
      <c r="G25" s="1">
        <v>2.5</v>
      </c>
    </row>
    <row r="26" spans="1:7" x14ac:dyDescent="0.25">
      <c r="A26" s="1" t="s">
        <v>30</v>
      </c>
      <c r="B26" s="1">
        <v>9</v>
      </c>
      <c r="C26" s="1">
        <v>8.1</v>
      </c>
      <c r="D26" s="1">
        <v>8.5</v>
      </c>
      <c r="E26" s="1">
        <v>10</v>
      </c>
      <c r="F26" s="1">
        <v>10</v>
      </c>
      <c r="G26" s="1">
        <v>7.4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10.891089108910892</v>
      </c>
      <c r="C30" s="3">
        <f t="shared" ref="C30:G30" si="2">C25/C28*100</f>
        <v>19</v>
      </c>
      <c r="D30" s="3">
        <f t="shared" si="2"/>
        <v>15</v>
      </c>
      <c r="E30" s="3">
        <f t="shared" si="2"/>
        <v>0</v>
      </c>
      <c r="F30" s="3">
        <f t="shared" si="2"/>
        <v>0</v>
      </c>
      <c r="G30" s="3">
        <f t="shared" si="2"/>
        <v>25.252525252525253</v>
      </c>
    </row>
    <row r="31" spans="1:7" x14ac:dyDescent="0.25">
      <c r="A31" s="3" t="s">
        <v>34</v>
      </c>
      <c r="B31" s="3">
        <f>B26/B28*100</f>
        <v>89.10891089108911</v>
      </c>
      <c r="C31" s="3">
        <f t="shared" ref="C31:G31" si="3">C26/C28*100</f>
        <v>81</v>
      </c>
      <c r="D31" s="3">
        <f t="shared" si="3"/>
        <v>85</v>
      </c>
      <c r="E31" s="3">
        <f t="shared" si="3"/>
        <v>100</v>
      </c>
      <c r="F31" s="3">
        <f t="shared" si="3"/>
        <v>100</v>
      </c>
      <c r="G31" s="3">
        <f t="shared" si="3"/>
        <v>74.747474747474755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46.9</v>
      </c>
      <c r="C33" s="3">
        <v>47.6</v>
      </c>
      <c r="D33" s="3">
        <v>51.92</v>
      </c>
      <c r="E33" s="3">
        <v>80.349999999999994</v>
      </c>
      <c r="F33" s="3">
        <v>72.81</v>
      </c>
      <c r="G33" s="3">
        <v>43.84</v>
      </c>
    </row>
    <row r="35" spans="1:7" x14ac:dyDescent="0.25">
      <c r="A35" s="3" t="s">
        <v>36</v>
      </c>
      <c r="B35" s="3"/>
      <c r="C35" s="3"/>
      <c r="D35" s="3">
        <f>D33-C33</f>
        <v>4.32</v>
      </c>
      <c r="E35" s="3"/>
      <c r="F35" s="3">
        <f>F33-E33</f>
        <v>-7.539999999999992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28.429999999999993</v>
      </c>
      <c r="F37" s="3"/>
      <c r="G37" s="3">
        <f>G33-F33</f>
        <v>-28.97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B99F-0604-49F7-A083-53D16E296AC9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571.49</v>
      </c>
      <c r="C2" s="1">
        <v>583.41999999999996</v>
      </c>
      <c r="D2" s="1">
        <v>592.54</v>
      </c>
      <c r="E2" s="1">
        <v>597.09</v>
      </c>
      <c r="F2" s="1">
        <v>590.37</v>
      </c>
      <c r="G2" s="1">
        <v>595.23</v>
      </c>
    </row>
    <row r="3" spans="1:7" x14ac:dyDescent="0.25">
      <c r="A3" s="1" t="s">
        <v>7</v>
      </c>
      <c r="B3" s="1">
        <v>46.52</v>
      </c>
      <c r="C3" s="1">
        <v>49.88</v>
      </c>
      <c r="D3" s="1">
        <v>52.35</v>
      </c>
      <c r="E3" s="1">
        <v>56.31</v>
      </c>
      <c r="F3" s="1">
        <v>57.4</v>
      </c>
      <c r="G3" s="1">
        <v>52.53</v>
      </c>
    </row>
    <row r="4" spans="1:7" x14ac:dyDescent="0.25">
      <c r="A4" s="1" t="s">
        <v>8</v>
      </c>
      <c r="B4" s="1">
        <v>27033.16</v>
      </c>
      <c r="C4" s="1">
        <v>29602.49</v>
      </c>
      <c r="D4" s="1">
        <v>31490.02</v>
      </c>
      <c r="E4" s="1">
        <v>34173.24</v>
      </c>
      <c r="F4" s="1">
        <v>34459.65</v>
      </c>
      <c r="G4" s="1">
        <v>31787.23</v>
      </c>
    </row>
    <row r="5" spans="1:7" x14ac:dyDescent="0.25">
      <c r="A5" s="1" t="s">
        <v>9</v>
      </c>
      <c r="B5" s="1">
        <v>1163.06</v>
      </c>
      <c r="C5" s="1">
        <v>978.03</v>
      </c>
      <c r="D5" s="1">
        <v>927.05</v>
      </c>
      <c r="E5" s="1">
        <v>1337.81</v>
      </c>
      <c r="F5" s="1">
        <v>1032.27</v>
      </c>
      <c r="G5" s="1">
        <v>1183.24</v>
      </c>
    </row>
    <row r="6" spans="1:7" x14ac:dyDescent="0.25">
      <c r="A6" s="3" t="s">
        <v>10</v>
      </c>
      <c r="B6" s="3">
        <v>116.31</v>
      </c>
      <c r="C6" s="3">
        <v>98.79</v>
      </c>
      <c r="D6" s="3">
        <v>93.64</v>
      </c>
      <c r="E6" s="3">
        <v>135.13</v>
      </c>
      <c r="F6" s="3">
        <v>104.27</v>
      </c>
      <c r="G6" s="3">
        <v>120.74</v>
      </c>
    </row>
    <row r="7" spans="1:7" x14ac:dyDescent="0.25">
      <c r="A7" s="1" t="s">
        <v>11</v>
      </c>
      <c r="B7" s="1">
        <v>1145.01</v>
      </c>
      <c r="C7" s="1">
        <v>965.56</v>
      </c>
      <c r="D7" s="1">
        <v>914.31</v>
      </c>
      <c r="E7" s="1">
        <v>1314</v>
      </c>
      <c r="F7" s="1">
        <v>1008.88</v>
      </c>
      <c r="G7" s="1">
        <v>1163.31</v>
      </c>
    </row>
    <row r="8" spans="1:7" x14ac:dyDescent="0.25">
      <c r="A8" s="1" t="s">
        <v>12</v>
      </c>
      <c r="B8" s="1">
        <v>114.5</v>
      </c>
      <c r="C8" s="1">
        <v>97.53</v>
      </c>
      <c r="D8" s="1">
        <v>92.35</v>
      </c>
      <c r="E8" s="1">
        <v>132.72999999999999</v>
      </c>
      <c r="F8" s="1">
        <v>101.91</v>
      </c>
      <c r="G8" s="1">
        <v>118.7</v>
      </c>
    </row>
    <row r="9" spans="1:7" x14ac:dyDescent="0.25">
      <c r="A9" s="1" t="s">
        <v>13</v>
      </c>
      <c r="B9" s="1">
        <v>1145.01</v>
      </c>
      <c r="C9" s="1">
        <v>959.24</v>
      </c>
      <c r="D9" s="1">
        <v>914.31</v>
      </c>
      <c r="E9" s="1">
        <v>1314</v>
      </c>
      <c r="F9" s="1">
        <v>1007.65</v>
      </c>
      <c r="G9" s="1">
        <v>1163.31</v>
      </c>
    </row>
    <row r="10" spans="1:7" x14ac:dyDescent="0.25">
      <c r="A10" s="1" t="s">
        <v>14</v>
      </c>
      <c r="B10" s="1">
        <v>114.5</v>
      </c>
      <c r="C10" s="1">
        <v>96.89</v>
      </c>
      <c r="D10" s="1">
        <v>92.35</v>
      </c>
      <c r="E10" s="1">
        <v>132.72999999999999</v>
      </c>
      <c r="F10" s="1">
        <v>101.78</v>
      </c>
      <c r="G10" s="1">
        <v>118.7</v>
      </c>
    </row>
    <row r="11" spans="1:7" x14ac:dyDescent="0.25">
      <c r="A11" s="1" t="s">
        <v>15</v>
      </c>
      <c r="B11" s="1">
        <v>818.52</v>
      </c>
      <c r="C11" s="1">
        <v>685.73</v>
      </c>
      <c r="D11" s="1">
        <v>682.36</v>
      </c>
      <c r="E11" s="1">
        <v>979.6</v>
      </c>
      <c r="F11" s="1">
        <v>707.1</v>
      </c>
      <c r="G11" s="1">
        <v>842.46</v>
      </c>
    </row>
    <row r="12" spans="1:7" x14ac:dyDescent="0.25">
      <c r="A12" s="1" t="s">
        <v>16</v>
      </c>
      <c r="B12" s="1">
        <v>275.08</v>
      </c>
      <c r="C12" s="1">
        <v>266.85000000000002</v>
      </c>
      <c r="D12" s="1">
        <v>276.22000000000003</v>
      </c>
      <c r="E12" s="1">
        <v>305.07</v>
      </c>
      <c r="F12" s="1">
        <v>279.54000000000002</v>
      </c>
      <c r="G12" s="1">
        <v>304.27</v>
      </c>
    </row>
    <row r="13" spans="1:7" x14ac:dyDescent="0.25">
      <c r="A13" s="1" t="s">
        <v>17</v>
      </c>
      <c r="B13" s="1">
        <v>49.68</v>
      </c>
      <c r="C13" s="1">
        <v>44.14</v>
      </c>
      <c r="D13" s="1">
        <v>39.32</v>
      </c>
      <c r="E13" s="1">
        <v>41.86</v>
      </c>
      <c r="F13" s="1">
        <v>49.66</v>
      </c>
      <c r="G13" s="1">
        <v>47.03</v>
      </c>
    </row>
    <row r="14" spans="1:7" x14ac:dyDescent="0.25">
      <c r="A14" s="1" t="s">
        <v>18</v>
      </c>
      <c r="B14" s="1">
        <v>91.16</v>
      </c>
      <c r="C14" s="1">
        <v>82.79</v>
      </c>
      <c r="D14" s="1">
        <v>85.02</v>
      </c>
      <c r="E14" s="1">
        <v>90.07</v>
      </c>
      <c r="F14" s="1">
        <v>86.78</v>
      </c>
      <c r="G14" s="1">
        <v>96.76</v>
      </c>
    </row>
    <row r="15" spans="1:7" x14ac:dyDescent="0.25">
      <c r="A15" s="1" t="s">
        <v>19</v>
      </c>
      <c r="B15" s="1">
        <v>6</v>
      </c>
      <c r="C15" s="1">
        <v>6</v>
      </c>
      <c r="D15" s="1">
        <v>4</v>
      </c>
      <c r="E15" s="1">
        <v>4</v>
      </c>
      <c r="F15" s="1">
        <v>3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1145.01</v>
      </c>
      <c r="C17" s="1">
        <v>962.4</v>
      </c>
      <c r="D17" s="1">
        <v>914.31</v>
      </c>
      <c r="E17" s="1">
        <v>1314</v>
      </c>
      <c r="F17" s="1">
        <v>1008.26</v>
      </c>
      <c r="G17" s="1">
        <v>1163.31</v>
      </c>
    </row>
    <row r="18" spans="1:7" x14ac:dyDescent="0.25">
      <c r="A18" s="1" t="s">
        <v>22</v>
      </c>
      <c r="B18" s="1">
        <v>0</v>
      </c>
      <c r="C18" s="1">
        <v>3.16</v>
      </c>
      <c r="D18" s="1">
        <v>0</v>
      </c>
      <c r="E18" s="1">
        <v>0</v>
      </c>
      <c r="F18" s="1">
        <v>0.61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113.8</v>
      </c>
      <c r="C33" s="3">
        <v>98.99</v>
      </c>
      <c r="D33" s="3">
        <v>93.17</v>
      </c>
      <c r="E33" s="3">
        <v>132.24</v>
      </c>
      <c r="F33" s="3">
        <v>104.34</v>
      </c>
      <c r="G33" s="3">
        <v>121.25</v>
      </c>
    </row>
    <row r="35" spans="1:7" x14ac:dyDescent="0.25">
      <c r="A35" s="3" t="s">
        <v>36</v>
      </c>
      <c r="B35" s="3"/>
      <c r="C35" s="3"/>
      <c r="D35" s="3">
        <f>D33-C33</f>
        <v>-5.8199999999999932</v>
      </c>
      <c r="E35" s="3"/>
      <c r="F35" s="3">
        <f>F33-E33</f>
        <v>-27.900000000000006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39.070000000000007</v>
      </c>
      <c r="F37" s="3"/>
      <c r="G37" s="3">
        <f>G33-F33</f>
        <v>16.909999999999997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D891-4E70-4361-91B0-2ADD50850351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585.52</v>
      </c>
      <c r="C2" s="1">
        <v>543.97</v>
      </c>
      <c r="D2" s="1">
        <v>576.42999999999995</v>
      </c>
      <c r="E2" s="1">
        <v>561.54999999999995</v>
      </c>
      <c r="F2" s="1">
        <v>568.51</v>
      </c>
      <c r="G2" s="1">
        <v>557.48</v>
      </c>
    </row>
    <row r="3" spans="1:7" x14ac:dyDescent="0.25">
      <c r="A3" s="1" t="s">
        <v>7</v>
      </c>
      <c r="B3" s="1">
        <v>45.49</v>
      </c>
      <c r="C3" s="1">
        <v>40.46</v>
      </c>
      <c r="D3" s="1">
        <v>42.29</v>
      </c>
      <c r="E3" s="1">
        <v>37.75</v>
      </c>
      <c r="F3" s="1">
        <v>42.8</v>
      </c>
      <c r="G3" s="1">
        <v>39.450000000000003</v>
      </c>
    </row>
    <row r="4" spans="1:7" x14ac:dyDescent="0.25">
      <c r="A4" s="1" t="s">
        <v>8</v>
      </c>
      <c r="B4" s="1">
        <v>27081.15</v>
      </c>
      <c r="C4" s="1">
        <v>22359.91</v>
      </c>
      <c r="D4" s="1">
        <v>24774.880000000001</v>
      </c>
      <c r="E4" s="1">
        <v>21562.79</v>
      </c>
      <c r="F4" s="1">
        <v>24753.46</v>
      </c>
      <c r="G4" s="1">
        <v>22317.17</v>
      </c>
    </row>
    <row r="5" spans="1:7" x14ac:dyDescent="0.25">
      <c r="A5" s="1" t="s">
        <v>9</v>
      </c>
      <c r="B5" s="1">
        <v>767.03</v>
      </c>
      <c r="C5" s="1">
        <v>1143.76</v>
      </c>
      <c r="D5" s="1">
        <v>932.98</v>
      </c>
      <c r="E5" s="1">
        <v>872.48</v>
      </c>
      <c r="F5" s="1">
        <v>596.63</v>
      </c>
      <c r="G5" s="1">
        <v>1227.8</v>
      </c>
    </row>
    <row r="6" spans="1:7" x14ac:dyDescent="0.25">
      <c r="A6" s="3" t="s">
        <v>10</v>
      </c>
      <c r="B6" s="3">
        <v>76.7</v>
      </c>
      <c r="C6" s="3">
        <v>115.53</v>
      </c>
      <c r="D6" s="3">
        <v>94.24</v>
      </c>
      <c r="E6" s="3">
        <v>88.13</v>
      </c>
      <c r="F6" s="3">
        <v>60.27</v>
      </c>
      <c r="G6" s="3">
        <v>125.29</v>
      </c>
    </row>
    <row r="7" spans="1:7" x14ac:dyDescent="0.25">
      <c r="A7" s="1" t="s">
        <v>11</v>
      </c>
      <c r="B7" s="1">
        <v>729.66</v>
      </c>
      <c r="C7" s="1">
        <v>1095.3399999999999</v>
      </c>
      <c r="D7" s="1">
        <v>891.73</v>
      </c>
      <c r="E7" s="1">
        <v>827.96</v>
      </c>
      <c r="F7" s="1">
        <v>561.25</v>
      </c>
      <c r="G7" s="1">
        <v>1163.69</v>
      </c>
    </row>
    <row r="8" spans="1:7" x14ac:dyDescent="0.25">
      <c r="A8" s="1" t="s">
        <v>12</v>
      </c>
      <c r="B8" s="1">
        <v>72.97</v>
      </c>
      <c r="C8" s="1">
        <v>110.64</v>
      </c>
      <c r="D8" s="1">
        <v>90.07</v>
      </c>
      <c r="E8" s="1">
        <v>83.63</v>
      </c>
      <c r="F8" s="1">
        <v>56.69</v>
      </c>
      <c r="G8" s="1">
        <v>118.74</v>
      </c>
    </row>
    <row r="9" spans="1:7" x14ac:dyDescent="0.25">
      <c r="A9" s="1" t="s">
        <v>13</v>
      </c>
      <c r="B9" s="1">
        <v>729.66</v>
      </c>
      <c r="C9" s="1">
        <v>1095.08</v>
      </c>
      <c r="D9" s="1">
        <v>891.73</v>
      </c>
      <c r="E9" s="1">
        <v>821.76</v>
      </c>
      <c r="F9" s="1">
        <v>554.63</v>
      </c>
      <c r="G9" s="1">
        <v>1151.8</v>
      </c>
    </row>
    <row r="10" spans="1:7" x14ac:dyDescent="0.25">
      <c r="A10" s="1" t="s">
        <v>14</v>
      </c>
      <c r="B10" s="1">
        <v>72.97</v>
      </c>
      <c r="C10" s="1">
        <v>110.61</v>
      </c>
      <c r="D10" s="1">
        <v>90.07</v>
      </c>
      <c r="E10" s="1">
        <v>83.01</v>
      </c>
      <c r="F10" s="1">
        <v>56.02</v>
      </c>
      <c r="G10" s="1">
        <v>117.53</v>
      </c>
    </row>
    <row r="11" spans="1:7" x14ac:dyDescent="0.25">
      <c r="A11" s="1" t="s">
        <v>15</v>
      </c>
      <c r="B11" s="1">
        <v>607.08000000000004</v>
      </c>
      <c r="C11" s="1">
        <v>785.68</v>
      </c>
      <c r="D11" s="1">
        <v>499.25</v>
      </c>
      <c r="E11" s="1">
        <v>686.85</v>
      </c>
      <c r="F11" s="1">
        <v>415.22</v>
      </c>
      <c r="G11" s="1">
        <v>797.46</v>
      </c>
    </row>
    <row r="12" spans="1:7" x14ac:dyDescent="0.25">
      <c r="A12" s="1" t="s">
        <v>16</v>
      </c>
      <c r="B12" s="1">
        <v>368.85</v>
      </c>
      <c r="C12" s="1">
        <v>333.74</v>
      </c>
      <c r="D12" s="1">
        <v>331.54</v>
      </c>
      <c r="E12" s="1">
        <v>334.31</v>
      </c>
      <c r="F12" s="1">
        <v>343.57</v>
      </c>
      <c r="G12" s="1">
        <v>372.22</v>
      </c>
    </row>
    <row r="13" spans="1:7" x14ac:dyDescent="0.25">
      <c r="A13" s="1" t="s">
        <v>17</v>
      </c>
      <c r="B13" s="1">
        <v>44.14</v>
      </c>
      <c r="C13" s="1">
        <v>47.1</v>
      </c>
      <c r="D13" s="1">
        <v>58.29</v>
      </c>
      <c r="E13" s="1">
        <v>34.92</v>
      </c>
      <c r="F13" s="1">
        <v>42.56</v>
      </c>
      <c r="G13" s="1">
        <v>40.56</v>
      </c>
    </row>
    <row r="14" spans="1:7" x14ac:dyDescent="0.25">
      <c r="A14" s="1" t="s">
        <v>18</v>
      </c>
      <c r="B14" s="1">
        <v>68.61</v>
      </c>
      <c r="C14" s="1">
        <v>91.88</v>
      </c>
      <c r="D14" s="1">
        <v>108.73</v>
      </c>
      <c r="E14" s="1">
        <v>92.12</v>
      </c>
      <c r="F14" s="1">
        <v>83.43</v>
      </c>
      <c r="G14" s="1">
        <v>96.77</v>
      </c>
    </row>
    <row r="15" spans="1:7" x14ac:dyDescent="0.25">
      <c r="A15" s="1" t="s">
        <v>19</v>
      </c>
      <c r="B15" s="1">
        <v>5</v>
      </c>
      <c r="C15" s="1">
        <v>6</v>
      </c>
      <c r="D15" s="1">
        <v>5</v>
      </c>
      <c r="E15" s="1">
        <v>4</v>
      </c>
      <c r="F15" s="1">
        <v>4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729.66</v>
      </c>
      <c r="C17" s="1">
        <v>1095.21</v>
      </c>
      <c r="D17" s="1">
        <v>891.73</v>
      </c>
      <c r="E17" s="1">
        <v>824.86</v>
      </c>
      <c r="F17" s="1">
        <v>557.94000000000005</v>
      </c>
      <c r="G17" s="1">
        <v>1157.75</v>
      </c>
    </row>
    <row r="18" spans="1:7" x14ac:dyDescent="0.25">
      <c r="A18" s="1" t="s">
        <v>22</v>
      </c>
      <c r="B18" s="1">
        <v>0</v>
      </c>
      <c r="C18" s="1">
        <v>0.13</v>
      </c>
      <c r="D18" s="1">
        <v>0</v>
      </c>
      <c r="E18" s="1">
        <v>3.1</v>
      </c>
      <c r="F18" s="1">
        <v>3.31</v>
      </c>
      <c r="G18" s="1">
        <v>5.94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1.2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8.8000000000000007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12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88.000000000000014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76.2</v>
      </c>
      <c r="C33" s="3">
        <v>117.01</v>
      </c>
      <c r="D33" s="3">
        <v>94.74</v>
      </c>
      <c r="E33" s="3">
        <v>86.1</v>
      </c>
      <c r="F33" s="3">
        <v>59.04</v>
      </c>
      <c r="G33" s="3">
        <v>122.99</v>
      </c>
    </row>
    <row r="35" spans="1:7" x14ac:dyDescent="0.25">
      <c r="A35" s="3" t="s">
        <v>36</v>
      </c>
      <c r="B35" s="3"/>
      <c r="C35" s="3"/>
      <c r="D35" s="3">
        <f>D33-C33</f>
        <v>-22.27000000000001</v>
      </c>
      <c r="E35" s="3"/>
      <c r="F35" s="3">
        <f>F33-E33</f>
        <v>-27.059999999999995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-8.64</v>
      </c>
      <c r="F37" s="3"/>
      <c r="G37" s="3">
        <f>G33-F33</f>
        <v>63.949999999999996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E0A1-5822-4226-8D4B-3F7A5C87251B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538.79999999999995</v>
      </c>
      <c r="C2" s="1">
        <v>533.5</v>
      </c>
      <c r="D2" s="1">
        <v>572.69000000000005</v>
      </c>
      <c r="E2" s="1">
        <v>566.04999999999995</v>
      </c>
      <c r="F2" s="1">
        <v>565.98</v>
      </c>
      <c r="G2" s="1">
        <v>567.29</v>
      </c>
    </row>
    <row r="3" spans="1:7" x14ac:dyDescent="0.25">
      <c r="A3" s="1" t="s">
        <v>7</v>
      </c>
      <c r="B3" s="1">
        <v>41.95</v>
      </c>
      <c r="C3" s="1">
        <v>46.42</v>
      </c>
      <c r="D3" s="1">
        <v>47.91</v>
      </c>
      <c r="E3" s="1">
        <v>48.84</v>
      </c>
      <c r="F3" s="1">
        <v>48.9</v>
      </c>
      <c r="G3" s="1">
        <v>49.18</v>
      </c>
    </row>
    <row r="4" spans="1:7" x14ac:dyDescent="0.25">
      <c r="A4" s="1" t="s">
        <v>8</v>
      </c>
      <c r="B4" s="1">
        <v>22979.85</v>
      </c>
      <c r="C4" s="1">
        <v>25187.83</v>
      </c>
      <c r="D4" s="1">
        <v>27912.42</v>
      </c>
      <c r="E4" s="1">
        <v>28120.21</v>
      </c>
      <c r="F4" s="1">
        <v>28151.41</v>
      </c>
      <c r="G4" s="1">
        <v>28379.69</v>
      </c>
    </row>
    <row r="5" spans="1:7" x14ac:dyDescent="0.25">
      <c r="A5" s="1" t="s">
        <v>9</v>
      </c>
      <c r="B5" s="1">
        <v>745.19</v>
      </c>
      <c r="C5" s="1">
        <v>389.63</v>
      </c>
      <c r="D5" s="1">
        <v>138.12</v>
      </c>
      <c r="E5" s="1">
        <v>127.2</v>
      </c>
      <c r="F5" s="1">
        <v>130.28</v>
      </c>
      <c r="G5" s="1">
        <v>128.9</v>
      </c>
    </row>
    <row r="6" spans="1:7" x14ac:dyDescent="0.25">
      <c r="A6" s="3" t="s">
        <v>10</v>
      </c>
      <c r="B6" s="3">
        <v>74.52</v>
      </c>
      <c r="C6" s="3">
        <v>39.36</v>
      </c>
      <c r="D6" s="3">
        <v>13.95</v>
      </c>
      <c r="E6" s="3">
        <v>12.85</v>
      </c>
      <c r="F6" s="3">
        <v>13.16</v>
      </c>
      <c r="G6" s="3">
        <v>13.15</v>
      </c>
    </row>
    <row r="7" spans="1:7" x14ac:dyDescent="0.25">
      <c r="A7" s="1" t="s">
        <v>11</v>
      </c>
      <c r="B7" s="1">
        <v>696.77</v>
      </c>
      <c r="C7" s="1">
        <v>371.23</v>
      </c>
      <c r="D7" s="1">
        <v>127.45</v>
      </c>
      <c r="E7" s="1">
        <v>123.24</v>
      </c>
      <c r="F7" s="1">
        <v>123.35</v>
      </c>
      <c r="G7" s="1">
        <v>122.62</v>
      </c>
    </row>
    <row r="8" spans="1:7" x14ac:dyDescent="0.25">
      <c r="A8" s="1" t="s">
        <v>12</v>
      </c>
      <c r="B8" s="1">
        <v>69.680000000000007</v>
      </c>
      <c r="C8" s="1">
        <v>37.5</v>
      </c>
      <c r="D8" s="1">
        <v>12.87</v>
      </c>
      <c r="E8" s="1">
        <v>12.45</v>
      </c>
      <c r="F8" s="1">
        <v>12.46</v>
      </c>
      <c r="G8" s="1">
        <v>12.51</v>
      </c>
    </row>
    <row r="9" spans="1:7" x14ac:dyDescent="0.25">
      <c r="A9" s="1" t="s">
        <v>13</v>
      </c>
      <c r="B9" s="1">
        <v>651.14</v>
      </c>
      <c r="C9" s="1">
        <v>356.08</v>
      </c>
      <c r="D9" s="1">
        <v>-9.84</v>
      </c>
      <c r="E9" s="1">
        <v>9.61</v>
      </c>
      <c r="F9" s="1">
        <v>9.89</v>
      </c>
      <c r="G9" s="1">
        <v>10.89</v>
      </c>
    </row>
    <row r="10" spans="1:7" x14ac:dyDescent="0.25">
      <c r="A10" s="1" t="s">
        <v>14</v>
      </c>
      <c r="B10" s="1">
        <v>65.11</v>
      </c>
      <c r="C10" s="1">
        <v>35.97</v>
      </c>
      <c r="D10" s="1">
        <v>-0.99</v>
      </c>
      <c r="E10" s="1">
        <v>0.97</v>
      </c>
      <c r="F10" s="1">
        <v>1</v>
      </c>
      <c r="G10" s="1">
        <v>1.1100000000000001</v>
      </c>
    </row>
    <row r="11" spans="1:7" x14ac:dyDescent="0.25">
      <c r="A11" s="1" t="s">
        <v>15</v>
      </c>
      <c r="B11" s="1">
        <v>497.03</v>
      </c>
      <c r="C11" s="1">
        <v>290.58</v>
      </c>
      <c r="D11" s="1">
        <v>15.37</v>
      </c>
      <c r="E11" s="1">
        <v>6.49</v>
      </c>
      <c r="F11" s="1">
        <v>0.19</v>
      </c>
      <c r="G11" s="1">
        <v>2</v>
      </c>
    </row>
    <row r="12" spans="1:7" x14ac:dyDescent="0.25">
      <c r="A12" s="1" t="s">
        <v>16</v>
      </c>
      <c r="B12" s="1">
        <v>268.69</v>
      </c>
      <c r="C12" s="1">
        <v>283.11</v>
      </c>
      <c r="D12" s="1">
        <v>281.14</v>
      </c>
      <c r="E12" s="1">
        <v>265.51</v>
      </c>
      <c r="F12" s="1">
        <v>252.39</v>
      </c>
      <c r="G12" s="1">
        <v>267.62</v>
      </c>
    </row>
    <row r="13" spans="1:7" x14ac:dyDescent="0.25">
      <c r="A13" s="1" t="s">
        <v>17</v>
      </c>
      <c r="B13" s="1">
        <v>38.549999999999997</v>
      </c>
      <c r="C13" s="1">
        <v>42.55</v>
      </c>
      <c r="D13" s="1">
        <v>26.9</v>
      </c>
      <c r="E13" s="1">
        <v>23.59</v>
      </c>
      <c r="F13" s="1">
        <v>23.28</v>
      </c>
      <c r="G13" s="1">
        <v>23.31</v>
      </c>
    </row>
    <row r="14" spans="1:7" x14ac:dyDescent="0.25">
      <c r="A14" s="1" t="s">
        <v>18</v>
      </c>
      <c r="B14" s="1">
        <v>85.55</v>
      </c>
      <c r="C14" s="1">
        <v>72.319999999999993</v>
      </c>
      <c r="D14" s="1">
        <v>38.86</v>
      </c>
      <c r="E14" s="1">
        <v>25.85</v>
      </c>
      <c r="F14" s="1">
        <v>27.05</v>
      </c>
      <c r="G14" s="1">
        <v>26.19</v>
      </c>
    </row>
    <row r="15" spans="1:7" x14ac:dyDescent="0.25">
      <c r="A15" s="1" t="s">
        <v>19</v>
      </c>
      <c r="B15" s="1">
        <v>3</v>
      </c>
      <c r="C15" s="1">
        <v>3</v>
      </c>
      <c r="D15" s="1">
        <v>1</v>
      </c>
      <c r="E15" s="1">
        <v>0</v>
      </c>
      <c r="F15" s="1">
        <v>0</v>
      </c>
      <c r="G15" s="1">
        <v>0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673.95</v>
      </c>
      <c r="C17" s="1">
        <v>363.65</v>
      </c>
      <c r="D17" s="1">
        <v>58.8</v>
      </c>
      <c r="E17" s="1">
        <v>66.430000000000007</v>
      </c>
      <c r="F17" s="1">
        <v>66.62</v>
      </c>
      <c r="G17" s="1">
        <v>66.75</v>
      </c>
    </row>
    <row r="18" spans="1:7" x14ac:dyDescent="0.25">
      <c r="A18" s="1" t="s">
        <v>22</v>
      </c>
      <c r="B18" s="1">
        <v>22.82</v>
      </c>
      <c r="C18" s="1">
        <v>7.57</v>
      </c>
      <c r="D18" s="1">
        <v>68.64</v>
      </c>
      <c r="E18" s="1">
        <v>56.81</v>
      </c>
      <c r="F18" s="1">
        <v>56.73</v>
      </c>
      <c r="G18" s="1">
        <v>55.86</v>
      </c>
    </row>
    <row r="19" spans="1:7" x14ac:dyDescent="0.25">
      <c r="A19" s="1" t="s">
        <v>23</v>
      </c>
      <c r="B19" s="1">
        <v>0</v>
      </c>
      <c r="C19" s="1">
        <v>0</v>
      </c>
      <c r="D19" s="1">
        <v>3</v>
      </c>
      <c r="E19" s="1">
        <v>2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3.6</v>
      </c>
      <c r="E20" s="1">
        <v>2.2000000000000002</v>
      </c>
      <c r="F20" s="1">
        <v>2.9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6.4</v>
      </c>
      <c r="E21" s="1">
        <v>7.8</v>
      </c>
      <c r="F21" s="1">
        <v>7.1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5.0999999999999996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25">
      <c r="A26" s="1" t="s">
        <v>30</v>
      </c>
      <c r="B26" s="1">
        <v>10.1</v>
      </c>
      <c r="C26" s="1">
        <v>4.9000000000000004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51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49.000000000000007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66.03</v>
      </c>
      <c r="C33" s="3">
        <v>37.17</v>
      </c>
      <c r="D33" s="3">
        <v>0.75</v>
      </c>
      <c r="E33" s="3">
        <v>0.16</v>
      </c>
      <c r="F33" s="3">
        <v>-7.0000000000000007E-2</v>
      </c>
      <c r="G33" s="3">
        <v>-0.01</v>
      </c>
    </row>
    <row r="35" spans="1:7" x14ac:dyDescent="0.25">
      <c r="A35" s="3" t="s">
        <v>36</v>
      </c>
      <c r="B35" s="3"/>
      <c r="C35" s="3"/>
      <c r="D35" s="3">
        <f>D33-C33</f>
        <v>-36.42</v>
      </c>
      <c r="E35" s="3"/>
      <c r="F35" s="3">
        <f>F33-E33</f>
        <v>-0.23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-0.59</v>
      </c>
      <c r="F37" s="3"/>
      <c r="G37" s="3">
        <f>G33-F33</f>
        <v>6.0000000000000005E-2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C64F-7C8B-4535-98AF-2AE015015B37}">
  <dimension ref="A1:G37"/>
  <sheetViews>
    <sheetView tabSelected="1" topLeftCell="A4" workbookViewId="0">
      <selection activeCell="Q23" sqref="Q2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571.02</v>
      </c>
      <c r="C2" s="1">
        <v>583.38</v>
      </c>
      <c r="D2" s="1">
        <v>605.36</v>
      </c>
      <c r="E2" s="1">
        <v>611.80999999999995</v>
      </c>
      <c r="F2" s="1">
        <v>611.52</v>
      </c>
      <c r="G2" s="1">
        <v>595.42999999999995</v>
      </c>
    </row>
    <row r="3" spans="1:7" x14ac:dyDescent="0.25">
      <c r="A3" s="1" t="s">
        <v>7</v>
      </c>
      <c r="B3" s="1">
        <v>48.11</v>
      </c>
      <c r="C3" s="1">
        <v>52.07</v>
      </c>
      <c r="D3" s="1">
        <v>50.49</v>
      </c>
      <c r="E3" s="1">
        <v>52.94</v>
      </c>
      <c r="F3" s="1">
        <v>51.13</v>
      </c>
      <c r="G3" s="1">
        <v>52.17</v>
      </c>
    </row>
    <row r="4" spans="1:7" x14ac:dyDescent="0.25">
      <c r="A4" s="1" t="s">
        <v>8</v>
      </c>
      <c r="B4" s="1">
        <v>27925.24</v>
      </c>
      <c r="C4" s="1">
        <v>30903.33</v>
      </c>
      <c r="D4" s="1">
        <v>31091.5</v>
      </c>
      <c r="E4" s="1">
        <v>32936.879999999997</v>
      </c>
      <c r="F4" s="1">
        <v>31805.32</v>
      </c>
      <c r="G4" s="1">
        <v>31579.85</v>
      </c>
    </row>
    <row r="5" spans="1:7" x14ac:dyDescent="0.25">
      <c r="A5" s="1" t="s">
        <v>9</v>
      </c>
      <c r="B5" s="1">
        <v>601.55999999999995</v>
      </c>
      <c r="C5" s="1">
        <v>455.5</v>
      </c>
      <c r="D5" s="1">
        <v>422.32</v>
      </c>
      <c r="E5" s="1">
        <v>469.9</v>
      </c>
      <c r="F5" s="1">
        <v>528.87</v>
      </c>
      <c r="G5" s="1">
        <v>250.24</v>
      </c>
    </row>
    <row r="6" spans="1:7" x14ac:dyDescent="0.25">
      <c r="A6" s="3" t="s">
        <v>10</v>
      </c>
      <c r="B6" s="3">
        <v>60.16</v>
      </c>
      <c r="C6" s="3">
        <v>46.01</v>
      </c>
      <c r="D6" s="3">
        <v>42.66</v>
      </c>
      <c r="E6" s="3">
        <v>47.46</v>
      </c>
      <c r="F6" s="3">
        <v>53.42</v>
      </c>
      <c r="G6" s="3">
        <v>25.54</v>
      </c>
    </row>
    <row r="7" spans="1:7" x14ac:dyDescent="0.25">
      <c r="A7" s="1" t="s">
        <v>11</v>
      </c>
      <c r="B7" s="1">
        <v>579.53</v>
      </c>
      <c r="C7" s="1">
        <v>443.15</v>
      </c>
      <c r="D7" s="1">
        <v>409.01</v>
      </c>
      <c r="E7" s="1">
        <v>460.4</v>
      </c>
      <c r="F7" s="1">
        <v>519.26</v>
      </c>
      <c r="G7" s="1">
        <v>220.08</v>
      </c>
    </row>
    <row r="8" spans="1:7" x14ac:dyDescent="0.25">
      <c r="A8" s="1" t="s">
        <v>12</v>
      </c>
      <c r="B8" s="1">
        <v>57.95</v>
      </c>
      <c r="C8" s="1">
        <v>44.76</v>
      </c>
      <c r="D8" s="1">
        <v>41.31</v>
      </c>
      <c r="E8" s="1">
        <v>46.5</v>
      </c>
      <c r="F8" s="1">
        <v>52.45</v>
      </c>
      <c r="G8" s="1">
        <v>22.46</v>
      </c>
    </row>
    <row r="9" spans="1:7" x14ac:dyDescent="0.25">
      <c r="A9" s="1" t="s">
        <v>13</v>
      </c>
      <c r="B9" s="1">
        <v>579.44000000000005</v>
      </c>
      <c r="C9" s="1">
        <v>436.47</v>
      </c>
      <c r="D9" s="1">
        <v>409.01</v>
      </c>
      <c r="E9" s="1">
        <v>460.4</v>
      </c>
      <c r="F9" s="1">
        <v>479.06</v>
      </c>
      <c r="G9" s="1">
        <v>208.09</v>
      </c>
    </row>
    <row r="10" spans="1:7" x14ac:dyDescent="0.25">
      <c r="A10" s="1" t="s">
        <v>14</v>
      </c>
      <c r="B10" s="1">
        <v>57.94</v>
      </c>
      <c r="C10" s="1">
        <v>44.09</v>
      </c>
      <c r="D10" s="1">
        <v>41.31</v>
      </c>
      <c r="E10" s="1">
        <v>46.5</v>
      </c>
      <c r="F10" s="1">
        <v>48.39</v>
      </c>
      <c r="G10" s="1">
        <v>21.23</v>
      </c>
    </row>
    <row r="11" spans="1:7" x14ac:dyDescent="0.25">
      <c r="A11" s="1" t="s">
        <v>15</v>
      </c>
      <c r="B11" s="1">
        <v>479.3</v>
      </c>
      <c r="C11" s="1">
        <v>383.34</v>
      </c>
      <c r="D11" s="1">
        <v>292.2</v>
      </c>
      <c r="E11" s="1">
        <v>393.29</v>
      </c>
      <c r="F11" s="1">
        <v>382.99</v>
      </c>
      <c r="G11" s="1">
        <v>107.45</v>
      </c>
    </row>
    <row r="12" spans="1:7" x14ac:dyDescent="0.25">
      <c r="A12" s="1" t="s">
        <v>16</v>
      </c>
      <c r="B12" s="1">
        <v>318.94</v>
      </c>
      <c r="C12" s="1">
        <v>325.22000000000003</v>
      </c>
      <c r="D12" s="1">
        <v>314.95999999999998</v>
      </c>
      <c r="E12" s="1">
        <v>346.97</v>
      </c>
      <c r="F12" s="1">
        <v>336.73</v>
      </c>
      <c r="G12" s="1">
        <v>263.7</v>
      </c>
    </row>
    <row r="13" spans="1:7" x14ac:dyDescent="0.25">
      <c r="A13" s="1" t="s">
        <v>17</v>
      </c>
      <c r="B13" s="1">
        <v>35.159999999999997</v>
      </c>
      <c r="C13" s="1">
        <v>30.45</v>
      </c>
      <c r="D13" s="1">
        <v>53.82</v>
      </c>
      <c r="E13" s="1">
        <v>35.520000000000003</v>
      </c>
      <c r="F13" s="1">
        <v>46.36</v>
      </c>
      <c r="G13" s="1">
        <v>42.03</v>
      </c>
    </row>
    <row r="14" spans="1:7" x14ac:dyDescent="0.25">
      <c r="A14" s="1" t="s">
        <v>18</v>
      </c>
      <c r="B14" s="1">
        <v>72.430000000000007</v>
      </c>
      <c r="C14" s="1">
        <v>60.65</v>
      </c>
      <c r="D14" s="1">
        <v>86.24</v>
      </c>
      <c r="E14" s="1">
        <v>65.53</v>
      </c>
      <c r="F14" s="1">
        <v>87.68</v>
      </c>
      <c r="G14" s="1">
        <v>87.66</v>
      </c>
    </row>
    <row r="15" spans="1:7" x14ac:dyDescent="0.25">
      <c r="A15" s="1" t="s">
        <v>19</v>
      </c>
      <c r="B15" s="1">
        <v>3</v>
      </c>
      <c r="C15" s="1">
        <v>1</v>
      </c>
      <c r="D15" s="1">
        <v>2</v>
      </c>
      <c r="E15" s="1">
        <v>3</v>
      </c>
      <c r="F15" s="1">
        <v>2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579.49</v>
      </c>
      <c r="C17" s="1">
        <v>439.81</v>
      </c>
      <c r="D17" s="1">
        <v>409.01</v>
      </c>
      <c r="E17" s="1">
        <v>460.4</v>
      </c>
      <c r="F17" s="1">
        <v>499.16</v>
      </c>
      <c r="G17" s="1">
        <v>214.08</v>
      </c>
    </row>
    <row r="18" spans="1:7" x14ac:dyDescent="0.25">
      <c r="A18" s="1" t="s">
        <v>22</v>
      </c>
      <c r="B18" s="1">
        <v>0.04</v>
      </c>
      <c r="C18" s="1">
        <v>3.34</v>
      </c>
      <c r="D18" s="1">
        <v>0</v>
      </c>
      <c r="E18" s="1">
        <v>0</v>
      </c>
      <c r="F18" s="1">
        <v>20.100000000000001</v>
      </c>
      <c r="G18" s="1">
        <v>5.99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1.6</v>
      </c>
      <c r="E25" s="1">
        <v>0</v>
      </c>
      <c r="F25" s="1">
        <v>0</v>
      </c>
      <c r="G25" s="1">
        <v>8.9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8.4</v>
      </c>
      <c r="E26" s="1">
        <v>10</v>
      </c>
      <c r="F26" s="1">
        <v>10</v>
      </c>
      <c r="G26" s="1">
        <v>1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16</v>
      </c>
      <c r="E30" s="3">
        <f t="shared" si="2"/>
        <v>0</v>
      </c>
      <c r="F30" s="3">
        <f t="shared" si="2"/>
        <v>0</v>
      </c>
      <c r="G30" s="3">
        <f t="shared" si="2"/>
        <v>89.898989898989896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84.000000000000014</v>
      </c>
      <c r="E31" s="3">
        <f t="shared" si="3"/>
        <v>100</v>
      </c>
      <c r="F31" s="3">
        <f t="shared" si="3"/>
        <v>100</v>
      </c>
      <c r="G31" s="3">
        <f t="shared" si="3"/>
        <v>10.1010101010101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58.97</v>
      </c>
      <c r="C33" s="3">
        <v>44.15</v>
      </c>
      <c r="D33" s="3">
        <v>44.02</v>
      </c>
      <c r="E33" s="3">
        <v>46.84</v>
      </c>
      <c r="F33" s="3">
        <v>47.47</v>
      </c>
      <c r="G33" s="3">
        <v>22.67</v>
      </c>
    </row>
    <row r="35" spans="1:7" x14ac:dyDescent="0.25">
      <c r="A35" s="3" t="s">
        <v>36</v>
      </c>
      <c r="B35" s="3"/>
      <c r="C35" s="3"/>
      <c r="D35" s="3">
        <f>D33-C33</f>
        <v>-0.12999999999999545</v>
      </c>
      <c r="E35" s="3"/>
      <c r="F35" s="3">
        <f>F33-E33</f>
        <v>0.62999999999999545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2.8200000000000003</v>
      </c>
      <c r="F37" s="3"/>
      <c r="G37" s="3">
        <f>G33-F33</f>
        <v>-24.799999999999997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FF53-0880-4ABD-9C91-2C78E881532E}">
  <dimension ref="A1:G37"/>
  <sheetViews>
    <sheetView workbookViewId="0">
      <selection activeCell="K19" sqref="K1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240115A001.1</vt:lpstr>
      <vt:lpstr>240115A001.2</vt:lpstr>
      <vt:lpstr>240115A001.3</vt:lpstr>
      <vt:lpstr>240115A002.1</vt:lpstr>
      <vt:lpstr>240115A002.2</vt:lpstr>
      <vt:lpstr>240115A002.3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2024-01-24T21:53:50Z</dcterms:created>
  <dcterms:modified xsi:type="dcterms:W3CDTF">2024-01-25T01:41:53Z</dcterms:modified>
</cp:coreProperties>
</file>