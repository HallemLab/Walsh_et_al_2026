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A5117F60-F1E4-40B3-A54B-358010AB0AC5}" xr6:coauthVersionLast="36" xr6:coauthVersionMax="36" xr10:uidLastSave="{00000000-0000-0000-0000-000000000000}"/>
  <bookViews>
    <workbookView xWindow="0" yWindow="0" windowWidth="24225" windowHeight="10995" activeTab="5" xr2:uid="{A3901623-3A01-46C9-9094-C174FBF6D7F1}"/>
  </bookViews>
  <sheets>
    <sheet name="240116A001.1" sheetId="2" r:id="rId1"/>
    <sheet name="240116A001.2" sheetId="3" r:id="rId2"/>
    <sheet name="240116A002.1" sheetId="4" r:id="rId3"/>
    <sheet name="240116A002.3" sheetId="5" r:id="rId4"/>
    <sheet name="240116A002.4" sheetId="6" r:id="rId5"/>
    <sheet name="240116A002.5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28" i="7"/>
  <c r="G30" i="7" s="1"/>
  <c r="F28" i="7"/>
  <c r="F30" i="7" s="1"/>
  <c r="E28" i="7"/>
  <c r="E30" i="7" s="1"/>
  <c r="D28" i="7"/>
  <c r="D31" i="7" s="1"/>
  <c r="C28" i="7"/>
  <c r="C31" i="7" s="1"/>
  <c r="B28" i="7"/>
  <c r="B30" i="7" s="1"/>
  <c r="G37" i="6"/>
  <c r="E37" i="6"/>
  <c r="C37" i="6"/>
  <c r="F35" i="6"/>
  <c r="D35" i="6"/>
  <c r="B29" i="6"/>
  <c r="G28" i="6"/>
  <c r="G30" i="6" s="1"/>
  <c r="F28" i="6"/>
  <c r="F30" i="6" s="1"/>
  <c r="E28" i="6"/>
  <c r="E30" i="6" s="1"/>
  <c r="D28" i="6"/>
  <c r="D31" i="6" s="1"/>
  <c r="C28" i="6"/>
  <c r="C31" i="6" s="1"/>
  <c r="B28" i="6"/>
  <c r="B31" i="6" s="1"/>
  <c r="G37" i="5"/>
  <c r="E37" i="5"/>
  <c r="C37" i="5"/>
  <c r="F35" i="5"/>
  <c r="D35" i="5"/>
  <c r="G28" i="5"/>
  <c r="G29" i="5" s="1"/>
  <c r="F28" i="5"/>
  <c r="F29" i="5" s="1"/>
  <c r="E28" i="5"/>
  <c r="E29" i="5" s="1"/>
  <c r="D28" i="5"/>
  <c r="D29" i="5" s="1"/>
  <c r="C28" i="5"/>
  <c r="C30" i="5" s="1"/>
  <c r="B28" i="5"/>
  <c r="B30" i="5" s="1"/>
  <c r="G37" i="4"/>
  <c r="E37" i="4"/>
  <c r="C37" i="4"/>
  <c r="F35" i="4"/>
  <c r="D35" i="4"/>
  <c r="F31" i="4"/>
  <c r="E31" i="4"/>
  <c r="D31" i="4"/>
  <c r="C31" i="4"/>
  <c r="B31" i="4"/>
  <c r="F30" i="4"/>
  <c r="E30" i="4"/>
  <c r="D30" i="4"/>
  <c r="C30" i="4"/>
  <c r="B30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29" i="3" s="1"/>
  <c r="F28" i="3"/>
  <c r="F29" i="3" s="1"/>
  <c r="E28" i="3"/>
  <c r="E29" i="3" s="1"/>
  <c r="D28" i="3"/>
  <c r="D30" i="3" s="1"/>
  <c r="C28" i="3"/>
  <c r="C30" i="3" s="1"/>
  <c r="B28" i="3"/>
  <c r="B30" i="3" s="1"/>
  <c r="G37" i="2"/>
  <c r="E37" i="2"/>
  <c r="C37" i="2"/>
  <c r="F35" i="2"/>
  <c r="D35" i="2"/>
  <c r="G31" i="2"/>
  <c r="E31" i="2"/>
  <c r="C31" i="2"/>
  <c r="G28" i="2"/>
  <c r="G29" i="2" s="1"/>
  <c r="F28" i="2"/>
  <c r="F31" i="2" s="1"/>
  <c r="E28" i="2"/>
  <c r="E30" i="2" s="1"/>
  <c r="D28" i="2"/>
  <c r="D31" i="2" s="1"/>
  <c r="C28" i="2"/>
  <c r="C30" i="2" s="1"/>
  <c r="B28" i="2"/>
  <c r="B29" i="2" s="1"/>
  <c r="B31" i="7" l="1"/>
  <c r="E31" i="7"/>
  <c r="F31" i="7"/>
  <c r="B29" i="7"/>
  <c r="G31" i="7"/>
  <c r="C29" i="7"/>
  <c r="D29" i="7"/>
  <c r="E29" i="7"/>
  <c r="F29" i="7"/>
  <c r="G29" i="7"/>
  <c r="C30" i="7"/>
  <c r="D30" i="7"/>
  <c r="B30" i="6"/>
  <c r="E31" i="6"/>
  <c r="F31" i="6"/>
  <c r="G31" i="6"/>
  <c r="D29" i="6"/>
  <c r="E29" i="6"/>
  <c r="F29" i="6"/>
  <c r="G29" i="6"/>
  <c r="C30" i="6"/>
  <c r="D30" i="6"/>
  <c r="C29" i="6"/>
  <c r="E30" i="5"/>
  <c r="G30" i="5"/>
  <c r="C31" i="5"/>
  <c r="F31" i="5"/>
  <c r="F30" i="5"/>
  <c r="B31" i="5"/>
  <c r="E31" i="5"/>
  <c r="G31" i="5"/>
  <c r="D30" i="5"/>
  <c r="D31" i="5"/>
  <c r="B29" i="5"/>
  <c r="C29" i="5"/>
  <c r="G30" i="4"/>
  <c r="G29" i="4"/>
  <c r="E30" i="3"/>
  <c r="F30" i="3"/>
  <c r="G30" i="3"/>
  <c r="B31" i="3"/>
  <c r="C31" i="3"/>
  <c r="D31" i="3"/>
  <c r="E31" i="3"/>
  <c r="F31" i="3"/>
  <c r="G31" i="3"/>
  <c r="B29" i="3"/>
  <c r="C29" i="3"/>
  <c r="D29" i="3"/>
  <c r="F29" i="2"/>
  <c r="B30" i="2"/>
  <c r="D30" i="2"/>
  <c r="G30" i="2"/>
  <c r="B31" i="2"/>
  <c r="C29" i="2"/>
  <c r="D29" i="2"/>
  <c r="E29" i="2"/>
  <c r="F30" i="2"/>
  <c r="G37" i="1"/>
  <c r="E37" i="1"/>
  <c r="C37" i="1"/>
  <c r="F35" i="1"/>
  <c r="D35" i="1"/>
  <c r="G31" i="1"/>
  <c r="F31" i="1"/>
  <c r="E31" i="1"/>
  <c r="D31" i="1"/>
  <c r="C31" i="1"/>
  <c r="G30" i="1"/>
  <c r="G28" i="1"/>
  <c r="G29" i="1" s="1"/>
  <c r="F28" i="1"/>
  <c r="F30" i="1" s="1"/>
  <c r="E28" i="1"/>
  <c r="E30" i="1" s="1"/>
  <c r="D28" i="1"/>
  <c r="D30" i="1" s="1"/>
  <c r="C28" i="1"/>
  <c r="C30" i="1" s="1"/>
  <c r="B28" i="1"/>
  <c r="B31" i="1" s="1"/>
  <c r="C29" i="1" l="1"/>
  <c r="E29" i="1"/>
  <c r="B29" i="1"/>
  <c r="D29" i="1"/>
  <c r="F29" i="1"/>
  <c r="B30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<sst xmlns="http://schemas.openxmlformats.org/spreadsheetml/2006/main" count="266" uniqueCount="37">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</sst>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474B-F1F2-4051-840A-7C0D8ECD472A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518.79</v>
      </c>
      <c r="C2" s="1">
        <v>556.09</v>
      </c>
      <c r="D2" s="1">
        <v>520.78</v>
      </c>
      <c r="E2" s="1">
        <v>527.13</v>
      </c>
      <c r="F2" s="1">
        <v>529.24</v>
      </c>
      <c r="G2" s="1">
        <v>530.49</v>
      </c>
    </row>
    <row r="3" spans="1:7" x14ac:dyDescent="0.25">
      <c r="A3" s="1" t="s">
        <v>7</v>
      </c>
      <c r="B3" s="1">
        <v>42.34</v>
      </c>
      <c r="C3" s="1">
        <v>40.54</v>
      </c>
      <c r="D3" s="1">
        <v>40.99</v>
      </c>
      <c r="E3" s="1">
        <v>42.59</v>
      </c>
      <c r="F3" s="1">
        <v>41.45</v>
      </c>
      <c r="G3" s="1">
        <v>40.75</v>
      </c>
    </row>
    <row r="4" spans="1:7" x14ac:dyDescent="0.25">
      <c r="A4" s="1" t="s">
        <v>8</v>
      </c>
      <c r="B4" s="1">
        <v>22335.78</v>
      </c>
      <c r="C4" s="1">
        <v>22885.46</v>
      </c>
      <c r="D4" s="1">
        <v>21698.89</v>
      </c>
      <c r="E4" s="1">
        <v>22831.32</v>
      </c>
      <c r="F4" s="1">
        <v>22299.67</v>
      </c>
      <c r="G4" s="1">
        <v>21980.89</v>
      </c>
    </row>
    <row r="5" spans="1:7" x14ac:dyDescent="0.25">
      <c r="A5" s="1" t="s">
        <v>9</v>
      </c>
      <c r="B5" s="1">
        <v>718.2</v>
      </c>
      <c r="C5" s="1">
        <v>903.75</v>
      </c>
      <c r="D5" s="1">
        <v>1009.86</v>
      </c>
      <c r="E5" s="1">
        <v>543.08000000000004</v>
      </c>
      <c r="F5" s="1">
        <v>661.24</v>
      </c>
      <c r="G5" s="1">
        <v>421.97</v>
      </c>
    </row>
    <row r="6" spans="1:7" x14ac:dyDescent="0.25">
      <c r="A6" s="3" t="s">
        <v>10</v>
      </c>
      <c r="B6" s="3">
        <v>71.819999999999993</v>
      </c>
      <c r="C6" s="3">
        <v>91.29</v>
      </c>
      <c r="D6" s="3">
        <v>102.01</v>
      </c>
      <c r="E6" s="3">
        <v>54.86</v>
      </c>
      <c r="F6" s="3">
        <v>66.790000000000006</v>
      </c>
      <c r="G6" s="3">
        <v>43.06</v>
      </c>
    </row>
    <row r="7" spans="1:7" x14ac:dyDescent="0.25">
      <c r="A7" s="1" t="s">
        <v>11</v>
      </c>
      <c r="B7" s="1">
        <v>703.8</v>
      </c>
      <c r="C7" s="1">
        <v>827.48</v>
      </c>
      <c r="D7" s="1">
        <v>998.72</v>
      </c>
      <c r="E7" s="1">
        <v>535.91</v>
      </c>
      <c r="F7" s="1">
        <v>652.32000000000005</v>
      </c>
      <c r="G7" s="1">
        <v>417.45</v>
      </c>
    </row>
    <row r="8" spans="1:7" x14ac:dyDescent="0.25">
      <c r="A8" s="1" t="s">
        <v>12</v>
      </c>
      <c r="B8" s="1">
        <v>70.38</v>
      </c>
      <c r="C8" s="1">
        <v>83.58</v>
      </c>
      <c r="D8" s="1">
        <v>100.88</v>
      </c>
      <c r="E8" s="1">
        <v>54.13</v>
      </c>
      <c r="F8" s="1">
        <v>65.89</v>
      </c>
      <c r="G8" s="1">
        <v>42.6</v>
      </c>
    </row>
    <row r="9" spans="1:7" x14ac:dyDescent="0.25">
      <c r="A9" s="1" t="s">
        <v>13</v>
      </c>
      <c r="B9" s="1">
        <v>696.58</v>
      </c>
      <c r="C9" s="1">
        <v>771.26</v>
      </c>
      <c r="D9" s="1">
        <v>998.72</v>
      </c>
      <c r="E9" s="1">
        <v>528.95000000000005</v>
      </c>
      <c r="F9" s="1">
        <v>616.08000000000004</v>
      </c>
      <c r="G9" s="1">
        <v>371.34</v>
      </c>
    </row>
    <row r="10" spans="1:7" x14ac:dyDescent="0.25">
      <c r="A10" s="1" t="s">
        <v>14</v>
      </c>
      <c r="B10" s="1">
        <v>69.66</v>
      </c>
      <c r="C10" s="1">
        <v>77.900000000000006</v>
      </c>
      <c r="D10" s="1">
        <v>100.88</v>
      </c>
      <c r="E10" s="1">
        <v>53.43</v>
      </c>
      <c r="F10" s="1">
        <v>62.23</v>
      </c>
      <c r="G10" s="1">
        <v>37.89</v>
      </c>
    </row>
    <row r="11" spans="1:7" x14ac:dyDescent="0.25">
      <c r="A11" s="1" t="s">
        <v>15</v>
      </c>
      <c r="B11" s="1">
        <v>524.01</v>
      </c>
      <c r="C11" s="1">
        <v>655.54</v>
      </c>
      <c r="D11" s="1">
        <v>861.02</v>
      </c>
      <c r="E11" s="1">
        <v>441.44</v>
      </c>
      <c r="F11" s="1">
        <v>484.45</v>
      </c>
      <c r="G11" s="1">
        <v>316.55</v>
      </c>
    </row>
    <row r="12" spans="1:7" x14ac:dyDescent="0.25">
      <c r="A12" s="1" t="s">
        <v>16</v>
      </c>
      <c r="B12" s="1">
        <v>266.81</v>
      </c>
      <c r="C12" s="1">
        <v>238.74</v>
      </c>
      <c r="D12" s="1">
        <v>277.14</v>
      </c>
      <c r="E12" s="1">
        <v>257.62</v>
      </c>
      <c r="F12" s="1">
        <v>258.39999999999998</v>
      </c>
      <c r="G12" s="1">
        <v>275.81</v>
      </c>
    </row>
    <row r="13" spans="1:7" x14ac:dyDescent="0.25">
      <c r="A13" s="1" t="s">
        <v>17</v>
      </c>
      <c r="B13" s="1">
        <v>33.4</v>
      </c>
      <c r="C13" s="1">
        <v>43.35</v>
      </c>
      <c r="D13" s="1">
        <v>30.67</v>
      </c>
      <c r="E13" s="1">
        <v>30.35</v>
      </c>
      <c r="F13" s="1">
        <v>35.18</v>
      </c>
      <c r="G13" s="1">
        <v>28.9</v>
      </c>
    </row>
    <row r="14" spans="1:7" x14ac:dyDescent="0.25">
      <c r="A14" s="1" t="s">
        <v>18</v>
      </c>
      <c r="B14" s="1">
        <v>75.83</v>
      </c>
      <c r="C14" s="1">
        <v>107.98</v>
      </c>
      <c r="D14" s="1">
        <v>68.59</v>
      </c>
      <c r="E14" s="1">
        <v>53.98</v>
      </c>
      <c r="F14" s="1">
        <v>72.23</v>
      </c>
      <c r="G14" s="1">
        <v>53.58</v>
      </c>
    </row>
    <row r="15" spans="1:7" x14ac:dyDescent="0.25">
      <c r="A15" s="1" t="s">
        <v>19</v>
      </c>
      <c r="B15" s="1">
        <v>3</v>
      </c>
      <c r="C15" s="1">
        <v>5</v>
      </c>
      <c r="D15" s="1">
        <v>5</v>
      </c>
      <c r="E15" s="1">
        <v>2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700.19</v>
      </c>
      <c r="C17" s="1">
        <v>799.37</v>
      </c>
      <c r="D17" s="1">
        <v>998.72</v>
      </c>
      <c r="E17" s="1">
        <v>532.42999999999995</v>
      </c>
      <c r="F17" s="1">
        <v>634.20000000000005</v>
      </c>
      <c r="G17" s="1">
        <v>394.39</v>
      </c>
    </row>
    <row r="18" spans="1:7" x14ac:dyDescent="0.25">
      <c r="A18" s="1" t="s">
        <v>22</v>
      </c>
      <c r="B18" s="1">
        <v>3.61</v>
      </c>
      <c r="C18" s="1">
        <v>28.11</v>
      </c>
      <c r="D18" s="1">
        <v>0</v>
      </c>
      <c r="E18" s="1">
        <v>3.48</v>
      </c>
      <c r="F18" s="1">
        <v>18.12</v>
      </c>
      <c r="G18" s="1">
        <v>23.06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1.5</v>
      </c>
      <c r="C25" s="1">
        <v>0</v>
      </c>
      <c r="D25" s="1">
        <v>0</v>
      </c>
      <c r="E25" s="1">
        <v>1.1000000000000001</v>
      </c>
      <c r="F25" s="1">
        <v>0</v>
      </c>
      <c r="G25" s="1">
        <v>2.5</v>
      </c>
    </row>
    <row r="26" spans="1:7" x14ac:dyDescent="0.25">
      <c r="A26" s="1" t="s">
        <v>30</v>
      </c>
      <c r="B26" s="1">
        <v>8.6</v>
      </c>
      <c r="C26" s="1">
        <v>10</v>
      </c>
      <c r="D26" s="1">
        <v>10</v>
      </c>
      <c r="E26" s="1">
        <v>8.9</v>
      </c>
      <c r="F26" s="1">
        <v>10</v>
      </c>
      <c r="G26" s="1">
        <v>7.4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14.85148514851485</v>
      </c>
      <c r="C30" s="3">
        <f t="shared" ref="C30:G30" si="2">C25/C28*100</f>
        <v>0</v>
      </c>
      <c r="D30" s="3">
        <f t="shared" si="2"/>
        <v>0</v>
      </c>
      <c r="E30" s="3">
        <f t="shared" si="2"/>
        <v>11.000000000000002</v>
      </c>
      <c r="F30" s="3">
        <f t="shared" si="2"/>
        <v>0</v>
      </c>
      <c r="G30" s="3">
        <f t="shared" si="2"/>
        <v>25.252525252525253</v>
      </c>
    </row>
    <row r="31" spans="1:7" x14ac:dyDescent="0.25">
      <c r="A31" s="3" t="s">
        <v>34</v>
      </c>
      <c r="B31" s="3">
        <f>B26/B28*100</f>
        <v>85.148514851485146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100</v>
      </c>
      <c r="G31" s="3">
        <f t="shared" si="3"/>
        <v>74.747474747474755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69.72</v>
      </c>
      <c r="C33" s="3">
        <v>84.58</v>
      </c>
      <c r="D33" s="3">
        <v>100.75</v>
      </c>
      <c r="E33" s="3">
        <v>53.27</v>
      </c>
      <c r="F33" s="3">
        <v>61.86</v>
      </c>
      <c r="G33" s="3">
        <v>37.32</v>
      </c>
    </row>
    <row r="35" spans="1:7" x14ac:dyDescent="0.25">
      <c r="A35" s="3" t="s">
        <v>36</v>
      </c>
      <c r="B35" s="3"/>
      <c r="C35" s="3"/>
      <c r="D35" s="3">
        <f>D33-C33</f>
        <v>16.170000000000002</v>
      </c>
      <c r="E35" s="3"/>
      <c r="F35" s="3">
        <f>F33-E33</f>
        <v>8.5899999999999963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-47.48</v>
      </c>
      <c r="F37" s="3"/>
      <c r="G37" s="3">
        <f>G33-F33</f>
        <v>-24.54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8396-650D-4458-B254-6EE3A88573EE}">
  <dimension ref="A1:G37"/>
  <sheetViews>
    <sheetView topLeftCell="A10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527.42999999999995</v>
      </c>
      <c r="C2" s="1">
        <v>476.4</v>
      </c>
      <c r="D2" s="1">
        <v>519.46</v>
      </c>
      <c r="E2" s="1">
        <v>503.39</v>
      </c>
      <c r="F2" s="1">
        <v>490.68</v>
      </c>
      <c r="G2" s="1">
        <v>486.59</v>
      </c>
    </row>
    <row r="3" spans="1:7" x14ac:dyDescent="0.25">
      <c r="A3" s="1" t="s">
        <v>7</v>
      </c>
      <c r="B3" s="1">
        <v>38.72</v>
      </c>
      <c r="C3" s="1">
        <v>37.479999999999997</v>
      </c>
      <c r="D3" s="1">
        <v>41.33</v>
      </c>
      <c r="E3" s="1">
        <v>37.590000000000003</v>
      </c>
      <c r="F3" s="1">
        <v>37.909999999999997</v>
      </c>
      <c r="G3" s="1">
        <v>36.69</v>
      </c>
    </row>
    <row r="4" spans="1:7" x14ac:dyDescent="0.25">
      <c r="A4" s="1" t="s">
        <v>8</v>
      </c>
      <c r="B4" s="1">
        <v>20773.78</v>
      </c>
      <c r="C4" s="1">
        <v>18221.099999999999</v>
      </c>
      <c r="D4" s="1">
        <v>21841.26</v>
      </c>
      <c r="E4" s="1">
        <v>19242.73</v>
      </c>
      <c r="F4" s="1">
        <v>18899.669999999998</v>
      </c>
      <c r="G4" s="1">
        <v>18148.330000000002</v>
      </c>
    </row>
    <row r="5" spans="1:7" x14ac:dyDescent="0.25">
      <c r="A5" s="1" t="s">
        <v>9</v>
      </c>
      <c r="B5" s="1">
        <v>1396.14</v>
      </c>
      <c r="C5" s="1">
        <v>1666.6</v>
      </c>
      <c r="D5" s="1">
        <v>1514.3</v>
      </c>
      <c r="E5" s="1">
        <v>1711.69</v>
      </c>
      <c r="F5" s="1">
        <v>1447.48</v>
      </c>
      <c r="G5" s="1">
        <v>1774.08</v>
      </c>
    </row>
    <row r="6" spans="1:7" x14ac:dyDescent="0.25">
      <c r="A6" s="3" t="s">
        <v>10</v>
      </c>
      <c r="B6" s="3">
        <v>139.61000000000001</v>
      </c>
      <c r="C6" s="3">
        <v>168.34</v>
      </c>
      <c r="D6" s="3">
        <v>152.96</v>
      </c>
      <c r="E6" s="3">
        <v>172.9</v>
      </c>
      <c r="F6" s="3">
        <v>146.21</v>
      </c>
      <c r="G6" s="3">
        <v>181.03</v>
      </c>
    </row>
    <row r="7" spans="1:7" x14ac:dyDescent="0.25">
      <c r="A7" s="1" t="s">
        <v>11</v>
      </c>
      <c r="B7" s="1">
        <v>1357.4</v>
      </c>
      <c r="C7" s="1">
        <v>1555.33</v>
      </c>
      <c r="D7" s="1">
        <v>1417.37</v>
      </c>
      <c r="E7" s="1">
        <v>1640.09</v>
      </c>
      <c r="F7" s="1">
        <v>1287.8499999999999</v>
      </c>
      <c r="G7" s="1">
        <v>1652.04</v>
      </c>
    </row>
    <row r="8" spans="1:7" x14ac:dyDescent="0.25">
      <c r="A8" s="1" t="s">
        <v>12</v>
      </c>
      <c r="B8" s="1">
        <v>135.74</v>
      </c>
      <c r="C8" s="1">
        <v>157.1</v>
      </c>
      <c r="D8" s="1">
        <v>143.16999999999999</v>
      </c>
      <c r="E8" s="1">
        <v>165.67</v>
      </c>
      <c r="F8" s="1">
        <v>130.09</v>
      </c>
      <c r="G8" s="1">
        <v>168.58</v>
      </c>
    </row>
    <row r="9" spans="1:7" x14ac:dyDescent="0.25">
      <c r="A9" s="1" t="s">
        <v>13</v>
      </c>
      <c r="B9" s="1">
        <v>1357.4</v>
      </c>
      <c r="C9" s="1">
        <v>1544.27</v>
      </c>
      <c r="D9" s="1">
        <v>1417.37</v>
      </c>
      <c r="E9" s="1">
        <v>1640.09</v>
      </c>
      <c r="F9" s="1">
        <v>1287.8499999999999</v>
      </c>
      <c r="G9" s="1">
        <v>1644.95</v>
      </c>
    </row>
    <row r="10" spans="1:7" x14ac:dyDescent="0.25">
      <c r="A10" s="1" t="s">
        <v>14</v>
      </c>
      <c r="B10" s="1">
        <v>135.74</v>
      </c>
      <c r="C10" s="1">
        <v>155.99</v>
      </c>
      <c r="D10" s="1">
        <v>143.16999999999999</v>
      </c>
      <c r="E10" s="1">
        <v>165.67</v>
      </c>
      <c r="F10" s="1">
        <v>130.09</v>
      </c>
      <c r="G10" s="1">
        <v>167.85</v>
      </c>
    </row>
    <row r="11" spans="1:7" x14ac:dyDescent="0.25">
      <c r="A11" s="1" t="s">
        <v>15</v>
      </c>
      <c r="B11" s="1">
        <v>908.82</v>
      </c>
      <c r="C11" s="1">
        <v>1298.3399999999999</v>
      </c>
      <c r="D11" s="1">
        <v>1099.08</v>
      </c>
      <c r="E11" s="1">
        <v>1165.53</v>
      </c>
      <c r="F11" s="1">
        <v>1030.8</v>
      </c>
      <c r="G11" s="1">
        <v>1330.22</v>
      </c>
    </row>
    <row r="12" spans="1:7" x14ac:dyDescent="0.25">
      <c r="A12" s="1" t="s">
        <v>16</v>
      </c>
      <c r="B12" s="1">
        <v>256.62</v>
      </c>
      <c r="C12" s="1">
        <v>266.23</v>
      </c>
      <c r="D12" s="1">
        <v>283.07</v>
      </c>
      <c r="E12" s="1">
        <v>277.85000000000002</v>
      </c>
      <c r="F12" s="1">
        <v>254.82</v>
      </c>
      <c r="G12" s="1">
        <v>282.20999999999998</v>
      </c>
    </row>
    <row r="13" spans="1:7" x14ac:dyDescent="0.25">
      <c r="A13" s="1" t="s">
        <v>17</v>
      </c>
      <c r="B13" s="1">
        <v>42.69</v>
      </c>
      <c r="C13" s="1">
        <v>37.340000000000003</v>
      </c>
      <c r="D13" s="1">
        <v>41.54</v>
      </c>
      <c r="E13" s="1">
        <v>46.72</v>
      </c>
      <c r="F13" s="1">
        <v>35.94</v>
      </c>
      <c r="G13" s="1">
        <v>34.659999999999997</v>
      </c>
    </row>
    <row r="14" spans="1:7" x14ac:dyDescent="0.25">
      <c r="A14" s="1" t="s">
        <v>18</v>
      </c>
      <c r="B14" s="1">
        <v>83.99</v>
      </c>
      <c r="C14" s="1">
        <v>79.69</v>
      </c>
      <c r="D14" s="1">
        <v>84.41</v>
      </c>
      <c r="E14" s="1">
        <v>79.260000000000005</v>
      </c>
      <c r="F14" s="1">
        <v>83.77</v>
      </c>
      <c r="G14" s="1">
        <v>98.33</v>
      </c>
    </row>
    <row r="15" spans="1:7" x14ac:dyDescent="0.25">
      <c r="A15" s="1" t="s">
        <v>19</v>
      </c>
      <c r="B15" s="1">
        <v>5</v>
      </c>
      <c r="C15" s="1">
        <v>6</v>
      </c>
      <c r="D15" s="1">
        <v>8</v>
      </c>
      <c r="E15" s="1">
        <v>8</v>
      </c>
      <c r="F15" s="1">
        <v>7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1357.4</v>
      </c>
      <c r="C17" s="1">
        <v>1549.8</v>
      </c>
      <c r="D17" s="1">
        <v>1417.37</v>
      </c>
      <c r="E17" s="1">
        <v>1640.09</v>
      </c>
      <c r="F17" s="1">
        <v>1287.8499999999999</v>
      </c>
      <c r="G17" s="1">
        <v>1648.49</v>
      </c>
    </row>
    <row r="18" spans="1:7" x14ac:dyDescent="0.25">
      <c r="A18" s="1" t="s">
        <v>22</v>
      </c>
      <c r="B18" s="1">
        <v>0</v>
      </c>
      <c r="C18" s="1">
        <v>5.53</v>
      </c>
      <c r="D18" s="1">
        <v>0</v>
      </c>
      <c r="E18" s="1">
        <v>0</v>
      </c>
      <c r="F18" s="1">
        <v>0</v>
      </c>
      <c r="G18" s="1">
        <v>3.55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136.94999999999999</v>
      </c>
      <c r="C33" s="3">
        <v>166.63</v>
      </c>
      <c r="D33" s="3">
        <v>151.31</v>
      </c>
      <c r="E33" s="3">
        <v>172.68</v>
      </c>
      <c r="F33" s="3">
        <v>143.18</v>
      </c>
      <c r="G33" s="3">
        <v>171.94</v>
      </c>
    </row>
    <row r="35" spans="1:7" x14ac:dyDescent="0.25">
      <c r="A35" s="3" t="s">
        <v>36</v>
      </c>
      <c r="B35" s="3"/>
      <c r="C35" s="3"/>
      <c r="D35" s="3">
        <f>D33-C33</f>
        <v>-15.319999999999993</v>
      </c>
      <c r="E35" s="3"/>
      <c r="F35" s="3">
        <f>F33-E33</f>
        <v>-29.5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21.370000000000005</v>
      </c>
      <c r="F37" s="3"/>
      <c r="G37" s="3">
        <f>G33-F33</f>
        <v>28.759999999999991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9933-3AA0-4210-885C-5D1E15C7B587}">
  <dimension ref="A1:K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468.71</v>
      </c>
      <c r="C2" s="1">
        <v>503.76</v>
      </c>
      <c r="D2" s="1">
        <v>512.5</v>
      </c>
      <c r="E2" s="1">
        <v>479.69</v>
      </c>
      <c r="F2" s="1">
        <v>520.61</v>
      </c>
      <c r="G2" s="1">
        <v>532.16</v>
      </c>
    </row>
    <row r="3" spans="1:7" x14ac:dyDescent="0.25">
      <c r="A3" s="1" t="s">
        <v>7</v>
      </c>
      <c r="B3" s="1">
        <v>39.82</v>
      </c>
      <c r="C3" s="1">
        <v>44.01</v>
      </c>
      <c r="D3" s="1">
        <v>42.51</v>
      </c>
      <c r="E3" s="1">
        <v>40.53</v>
      </c>
      <c r="F3" s="1">
        <v>43.74</v>
      </c>
      <c r="G3" s="1">
        <v>51.58</v>
      </c>
    </row>
    <row r="4" spans="1:7" x14ac:dyDescent="0.25">
      <c r="A4" s="1" t="s">
        <v>8</v>
      </c>
      <c r="B4" s="1">
        <v>18876.53</v>
      </c>
      <c r="C4" s="1">
        <v>22536.28</v>
      </c>
      <c r="D4" s="1">
        <v>22121.7</v>
      </c>
      <c r="E4" s="1">
        <v>19736.75</v>
      </c>
      <c r="F4" s="1">
        <v>23107.200000000001</v>
      </c>
      <c r="G4" s="1">
        <v>27887.119999999999</v>
      </c>
    </row>
    <row r="5" spans="1:7" x14ac:dyDescent="0.25">
      <c r="A5" s="1" t="s">
        <v>9</v>
      </c>
      <c r="B5" s="1">
        <v>825.42</v>
      </c>
      <c r="C5" s="1">
        <v>873.72</v>
      </c>
      <c r="D5" s="1">
        <v>903.05</v>
      </c>
      <c r="E5" s="1">
        <v>757.95</v>
      </c>
      <c r="F5" s="1">
        <v>562.02</v>
      </c>
      <c r="G5" s="1">
        <v>698.62</v>
      </c>
    </row>
    <row r="6" spans="1:7" x14ac:dyDescent="0.25">
      <c r="A6" s="3" t="s">
        <v>10</v>
      </c>
      <c r="B6" s="3">
        <v>82.54</v>
      </c>
      <c r="C6" s="3">
        <v>88.25</v>
      </c>
      <c r="D6" s="3">
        <v>91.22</v>
      </c>
      <c r="E6" s="3">
        <v>76.56</v>
      </c>
      <c r="F6" s="3">
        <v>56.77</v>
      </c>
      <c r="G6" s="3">
        <v>71.290000000000006</v>
      </c>
    </row>
    <row r="7" spans="1:7" x14ac:dyDescent="0.25">
      <c r="A7" s="1" t="s">
        <v>11</v>
      </c>
      <c r="B7" s="1">
        <v>807.89</v>
      </c>
      <c r="C7" s="1">
        <v>856.46</v>
      </c>
      <c r="D7" s="1">
        <v>891.31</v>
      </c>
      <c r="E7" s="1">
        <v>741.89</v>
      </c>
      <c r="F7" s="1">
        <v>554.65</v>
      </c>
      <c r="G7" s="1">
        <v>691.22</v>
      </c>
    </row>
    <row r="8" spans="1:7" x14ac:dyDescent="0.25">
      <c r="A8" s="1" t="s">
        <v>12</v>
      </c>
      <c r="B8" s="1">
        <v>80.790000000000006</v>
      </c>
      <c r="C8" s="1">
        <v>86.51</v>
      </c>
      <c r="D8" s="1">
        <v>90.03</v>
      </c>
      <c r="E8" s="1">
        <v>74.94</v>
      </c>
      <c r="F8" s="1">
        <v>56.03</v>
      </c>
      <c r="G8" s="1">
        <v>70.53</v>
      </c>
    </row>
    <row r="9" spans="1:7" x14ac:dyDescent="0.25">
      <c r="A9" s="1" t="s">
        <v>13</v>
      </c>
      <c r="B9" s="1">
        <v>802.63</v>
      </c>
      <c r="C9" s="1">
        <v>856.46</v>
      </c>
      <c r="D9" s="1">
        <v>881.34</v>
      </c>
      <c r="E9" s="1">
        <v>737.88</v>
      </c>
      <c r="F9" s="1">
        <v>546.70000000000005</v>
      </c>
      <c r="G9" s="1">
        <v>691.22</v>
      </c>
    </row>
    <row r="10" spans="1:7" x14ac:dyDescent="0.25">
      <c r="A10" s="1" t="s">
        <v>14</v>
      </c>
      <c r="B10" s="1">
        <v>80.260000000000005</v>
      </c>
      <c r="C10" s="1">
        <v>86.51</v>
      </c>
      <c r="D10" s="1">
        <v>89.02</v>
      </c>
      <c r="E10" s="1">
        <v>74.53</v>
      </c>
      <c r="F10" s="1">
        <v>55.22</v>
      </c>
      <c r="G10" s="1">
        <v>70.53</v>
      </c>
    </row>
    <row r="11" spans="1:7" x14ac:dyDescent="0.25">
      <c r="A11" s="1" t="s">
        <v>15</v>
      </c>
      <c r="B11" s="1">
        <v>656.61</v>
      </c>
      <c r="C11" s="1">
        <v>724.52</v>
      </c>
      <c r="D11" s="1">
        <v>774.89</v>
      </c>
      <c r="E11" s="1">
        <v>636.32000000000005</v>
      </c>
      <c r="F11" s="1">
        <v>507.91</v>
      </c>
      <c r="G11" s="1">
        <v>592.96</v>
      </c>
    </row>
    <row r="12" spans="1:7" x14ac:dyDescent="0.25">
      <c r="A12" s="1" t="s">
        <v>16</v>
      </c>
      <c r="B12" s="1">
        <v>257.35000000000002</v>
      </c>
      <c r="C12" s="1">
        <v>285.94</v>
      </c>
      <c r="D12" s="1">
        <v>290.63</v>
      </c>
      <c r="E12" s="1">
        <v>269.55</v>
      </c>
      <c r="F12" s="1">
        <v>288.14</v>
      </c>
      <c r="G12" s="1">
        <v>271.27</v>
      </c>
    </row>
    <row r="13" spans="1:7" x14ac:dyDescent="0.25">
      <c r="A13" s="1" t="s">
        <v>17</v>
      </c>
      <c r="B13" s="1">
        <v>43.74</v>
      </c>
      <c r="C13" s="1">
        <v>37.840000000000003</v>
      </c>
      <c r="D13" s="1">
        <v>24.62</v>
      </c>
      <c r="E13" s="1">
        <v>25.32</v>
      </c>
      <c r="F13" s="1">
        <v>24.46</v>
      </c>
      <c r="G13" s="1">
        <v>30.47</v>
      </c>
    </row>
    <row r="14" spans="1:7" x14ac:dyDescent="0.25">
      <c r="A14" s="1" t="s">
        <v>18</v>
      </c>
      <c r="B14" s="1">
        <v>82.4</v>
      </c>
      <c r="C14" s="1">
        <v>69.790000000000006</v>
      </c>
      <c r="D14" s="1">
        <v>58.81</v>
      </c>
      <c r="E14" s="1">
        <v>61.93</v>
      </c>
      <c r="F14" s="1">
        <v>43.52</v>
      </c>
      <c r="G14" s="1">
        <v>55.99</v>
      </c>
    </row>
    <row r="15" spans="1:7" x14ac:dyDescent="0.25">
      <c r="A15" s="1" t="s">
        <v>19</v>
      </c>
      <c r="B15" s="1">
        <v>3</v>
      </c>
      <c r="C15" s="1">
        <v>4</v>
      </c>
      <c r="D15" s="1">
        <v>5</v>
      </c>
      <c r="E15" s="1">
        <v>2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11" x14ac:dyDescent="0.25">
      <c r="A17" s="1" t="s">
        <v>21</v>
      </c>
      <c r="B17" s="1">
        <v>805.26</v>
      </c>
      <c r="C17" s="1">
        <v>856.46</v>
      </c>
      <c r="D17" s="1">
        <v>886.33</v>
      </c>
      <c r="E17" s="1">
        <v>739.89</v>
      </c>
      <c r="F17" s="1">
        <v>550.67999999999995</v>
      </c>
      <c r="G17" s="1">
        <v>691.22</v>
      </c>
    </row>
    <row r="18" spans="1:11" x14ac:dyDescent="0.25">
      <c r="A18" s="1" t="s">
        <v>22</v>
      </c>
      <c r="B18" s="1">
        <v>2.63</v>
      </c>
      <c r="C18" s="1">
        <v>0</v>
      </c>
      <c r="D18" s="1">
        <v>4.9800000000000004</v>
      </c>
      <c r="E18" s="1">
        <v>2</v>
      </c>
      <c r="F18" s="1">
        <v>3.98</v>
      </c>
      <c r="G18" s="1">
        <v>0</v>
      </c>
      <c r="K18">
        <v>79.67</v>
      </c>
    </row>
    <row r="19" spans="1:11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K19">
        <v>90.77</v>
      </c>
    </row>
    <row r="20" spans="1:11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K20">
        <v>89.36</v>
      </c>
    </row>
    <row r="21" spans="1:11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  <c r="K21">
        <v>75.37</v>
      </c>
    </row>
    <row r="22" spans="1:11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K22">
        <v>55.74</v>
      </c>
    </row>
    <row r="23" spans="1:11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K23">
        <v>70.53</v>
      </c>
    </row>
    <row r="24" spans="1:11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11" x14ac:dyDescent="0.25">
      <c r="A25" s="1" t="s">
        <v>29</v>
      </c>
      <c r="B25" s="1">
        <v>0</v>
      </c>
      <c r="C25" s="1">
        <v>1.3</v>
      </c>
      <c r="D25" s="1">
        <v>0</v>
      </c>
      <c r="E25" s="1">
        <v>0</v>
      </c>
      <c r="F25" s="1">
        <v>0</v>
      </c>
      <c r="G25" s="1">
        <v>0</v>
      </c>
    </row>
    <row r="26" spans="1:11" x14ac:dyDescent="0.25">
      <c r="A26" s="1" t="s">
        <v>30</v>
      </c>
      <c r="B26" s="1">
        <v>10.1</v>
      </c>
      <c r="C26" s="1">
        <v>8.6999999999999993</v>
      </c>
      <c r="D26" s="1">
        <v>10</v>
      </c>
      <c r="E26" s="1">
        <v>10</v>
      </c>
      <c r="F26" s="1">
        <v>10</v>
      </c>
      <c r="G26" s="1">
        <v>9.9</v>
      </c>
    </row>
    <row r="27" spans="1:11" x14ac:dyDescent="0.25">
      <c r="A27" s="1"/>
      <c r="B27" s="1"/>
      <c r="C27" s="1"/>
      <c r="D27" s="1"/>
      <c r="E27" s="1"/>
      <c r="F27" s="1"/>
      <c r="G27" s="1"/>
    </row>
    <row r="28" spans="1:11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11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11" x14ac:dyDescent="0.25">
      <c r="A30" s="3" t="s">
        <v>33</v>
      </c>
      <c r="B30" s="3">
        <f>B25/B28*100</f>
        <v>0</v>
      </c>
      <c r="C30" s="3">
        <f t="shared" ref="C30:G30" si="2">C25/C28*100</f>
        <v>13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11" x14ac:dyDescent="0.25">
      <c r="A31" s="3" t="s">
        <v>34</v>
      </c>
      <c r="B31" s="3">
        <f>B26/B28*100</f>
        <v>100</v>
      </c>
      <c r="C31" s="3">
        <f t="shared" ref="C31:G31" si="3">C26/C28*100</f>
        <v>86.999999999999986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11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79.67</v>
      </c>
      <c r="C33" s="3">
        <v>90.77</v>
      </c>
      <c r="D33" s="3">
        <v>89.36</v>
      </c>
      <c r="E33" s="3">
        <v>75.37</v>
      </c>
      <c r="F33" s="3">
        <v>55.74</v>
      </c>
      <c r="G33" s="3">
        <v>70.53</v>
      </c>
    </row>
    <row r="35" spans="1:7" x14ac:dyDescent="0.25">
      <c r="A35" s="3" t="s">
        <v>36</v>
      </c>
      <c r="B35" s="3"/>
      <c r="C35" s="3"/>
      <c r="D35" s="3">
        <f>D33-C33</f>
        <v>-1.4099999999999966</v>
      </c>
      <c r="E35" s="3"/>
      <c r="F35" s="3">
        <f>F33-E33</f>
        <v>-19.630000000000003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-13.989999999999995</v>
      </c>
      <c r="F37" s="3"/>
      <c r="G37" s="3">
        <f>G33-F33</f>
        <v>14.79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BC64-D616-4DB4-85C4-558397B9EFFD}">
  <dimension ref="A1:G37"/>
  <sheetViews>
    <sheetView topLeftCell="A4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549.87</v>
      </c>
      <c r="C2" s="1">
        <v>572.52</v>
      </c>
      <c r="D2" s="1">
        <v>556.30999999999995</v>
      </c>
      <c r="E2" s="1">
        <v>575.04999999999995</v>
      </c>
      <c r="F2" s="1">
        <v>574.6</v>
      </c>
      <c r="G2" s="1">
        <v>559.04999999999995</v>
      </c>
    </row>
    <row r="3" spans="1:7" x14ac:dyDescent="0.25">
      <c r="A3" s="1" t="s">
        <v>7</v>
      </c>
      <c r="B3" s="1">
        <v>56.19</v>
      </c>
      <c r="C3" s="1">
        <v>61.63</v>
      </c>
      <c r="D3" s="1">
        <v>60.82</v>
      </c>
      <c r="E3" s="1">
        <v>65.959999999999994</v>
      </c>
      <c r="F3" s="1">
        <v>64.849999999999994</v>
      </c>
      <c r="G3" s="1">
        <v>58.33</v>
      </c>
    </row>
    <row r="4" spans="1:7" x14ac:dyDescent="0.25">
      <c r="A4" s="1" t="s">
        <v>8</v>
      </c>
      <c r="B4" s="1">
        <v>31406.560000000001</v>
      </c>
      <c r="C4" s="1">
        <v>35870.81</v>
      </c>
      <c r="D4" s="1">
        <v>34306.620000000003</v>
      </c>
      <c r="E4" s="1">
        <v>38567.050000000003</v>
      </c>
      <c r="F4" s="1">
        <v>37888.75</v>
      </c>
      <c r="G4" s="1">
        <v>33176.699999999997</v>
      </c>
    </row>
    <row r="5" spans="1:7" x14ac:dyDescent="0.25">
      <c r="A5" s="1" t="s">
        <v>9</v>
      </c>
      <c r="B5" s="1">
        <v>903.77</v>
      </c>
      <c r="C5" s="1">
        <v>1117.29</v>
      </c>
      <c r="D5" s="1">
        <v>1274.1500000000001</v>
      </c>
      <c r="E5" s="1">
        <v>1324.22</v>
      </c>
      <c r="F5" s="1">
        <v>1130.58</v>
      </c>
      <c r="G5" s="1">
        <v>1129.07</v>
      </c>
    </row>
    <row r="6" spans="1:7" x14ac:dyDescent="0.25">
      <c r="A6" s="3" t="s">
        <v>10</v>
      </c>
      <c r="B6" s="3">
        <v>90.38</v>
      </c>
      <c r="C6" s="3">
        <v>112.86</v>
      </c>
      <c r="D6" s="3">
        <v>128.69999999999999</v>
      </c>
      <c r="E6" s="3">
        <v>133.76</v>
      </c>
      <c r="F6" s="3">
        <v>114.2</v>
      </c>
      <c r="G6" s="3">
        <v>115.21</v>
      </c>
    </row>
    <row r="7" spans="1:7" x14ac:dyDescent="0.25">
      <c r="A7" s="1" t="s">
        <v>11</v>
      </c>
      <c r="B7" s="1">
        <v>877.85</v>
      </c>
      <c r="C7" s="1">
        <v>1067.68</v>
      </c>
      <c r="D7" s="1">
        <v>1230.26</v>
      </c>
      <c r="E7" s="1">
        <v>1279.5</v>
      </c>
      <c r="F7" s="1">
        <v>1094.67</v>
      </c>
      <c r="G7" s="1">
        <v>1094.3900000000001</v>
      </c>
    </row>
    <row r="8" spans="1:7" x14ac:dyDescent="0.25">
      <c r="A8" s="1" t="s">
        <v>12</v>
      </c>
      <c r="B8" s="1">
        <v>87.78</v>
      </c>
      <c r="C8" s="1">
        <v>107.85</v>
      </c>
      <c r="D8" s="1">
        <v>124.27</v>
      </c>
      <c r="E8" s="1">
        <v>129.24</v>
      </c>
      <c r="F8" s="1">
        <v>110.57</v>
      </c>
      <c r="G8" s="1">
        <v>111.67</v>
      </c>
    </row>
    <row r="9" spans="1:7" x14ac:dyDescent="0.25">
      <c r="A9" s="1" t="s">
        <v>13</v>
      </c>
      <c r="B9" s="1">
        <v>836.6</v>
      </c>
      <c r="C9" s="1">
        <v>1067.68</v>
      </c>
      <c r="D9" s="1">
        <v>1230.26</v>
      </c>
      <c r="E9" s="1">
        <v>1279.5</v>
      </c>
      <c r="F9" s="1">
        <v>1094.67</v>
      </c>
      <c r="G9" s="1">
        <v>1094.3900000000001</v>
      </c>
    </row>
    <row r="10" spans="1:7" x14ac:dyDescent="0.25">
      <c r="A10" s="1" t="s">
        <v>14</v>
      </c>
      <c r="B10" s="1">
        <v>83.66</v>
      </c>
      <c r="C10" s="1">
        <v>107.85</v>
      </c>
      <c r="D10" s="1">
        <v>124.27</v>
      </c>
      <c r="E10" s="1">
        <v>129.24</v>
      </c>
      <c r="F10" s="1">
        <v>110.57</v>
      </c>
      <c r="G10" s="1">
        <v>111.67</v>
      </c>
    </row>
    <row r="11" spans="1:7" x14ac:dyDescent="0.25">
      <c r="A11" s="1" t="s">
        <v>15</v>
      </c>
      <c r="B11" s="1">
        <v>641.95000000000005</v>
      </c>
      <c r="C11" s="1">
        <v>862.71</v>
      </c>
      <c r="D11" s="1">
        <v>947.69</v>
      </c>
      <c r="E11" s="1">
        <v>938.54</v>
      </c>
      <c r="F11" s="1">
        <v>889.52</v>
      </c>
      <c r="G11" s="1">
        <v>919.51</v>
      </c>
    </row>
    <row r="12" spans="1:7" x14ac:dyDescent="0.25">
      <c r="A12" s="1" t="s">
        <v>16</v>
      </c>
      <c r="B12" s="1">
        <v>266.12</v>
      </c>
      <c r="C12" s="1">
        <v>294.42</v>
      </c>
      <c r="D12" s="1">
        <v>280.25</v>
      </c>
      <c r="E12" s="1">
        <v>281.79000000000002</v>
      </c>
      <c r="F12" s="1">
        <v>302.47000000000003</v>
      </c>
      <c r="G12" s="1">
        <v>292.86</v>
      </c>
    </row>
    <row r="13" spans="1:7" x14ac:dyDescent="0.25">
      <c r="A13" s="1" t="s">
        <v>17</v>
      </c>
      <c r="B13" s="1">
        <v>31.69</v>
      </c>
      <c r="C13" s="1">
        <v>39.4</v>
      </c>
      <c r="D13" s="1">
        <v>41.33</v>
      </c>
      <c r="E13" s="1">
        <v>42</v>
      </c>
      <c r="F13" s="1">
        <v>39.619999999999997</v>
      </c>
      <c r="G13" s="1">
        <v>38.61</v>
      </c>
    </row>
    <row r="14" spans="1:7" x14ac:dyDescent="0.25">
      <c r="A14" s="1" t="s">
        <v>18</v>
      </c>
      <c r="B14" s="1">
        <v>84.07</v>
      </c>
      <c r="C14" s="1">
        <v>83.43</v>
      </c>
      <c r="D14" s="1">
        <v>81.87</v>
      </c>
      <c r="E14" s="1">
        <v>94.94</v>
      </c>
      <c r="F14" s="1">
        <v>80.5</v>
      </c>
      <c r="G14" s="1">
        <v>93.94</v>
      </c>
    </row>
    <row r="15" spans="1:7" x14ac:dyDescent="0.25">
      <c r="A15" s="1" t="s">
        <v>19</v>
      </c>
      <c r="B15" s="1">
        <v>2</v>
      </c>
      <c r="C15" s="1">
        <v>4</v>
      </c>
      <c r="D15" s="1">
        <v>4</v>
      </c>
      <c r="E15" s="1">
        <v>6</v>
      </c>
      <c r="F15" s="1">
        <v>4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857.23</v>
      </c>
      <c r="C17" s="1">
        <v>1067.68</v>
      </c>
      <c r="D17" s="1">
        <v>1230.26</v>
      </c>
      <c r="E17" s="1">
        <v>1279.5</v>
      </c>
      <c r="F17" s="1">
        <v>1094.67</v>
      </c>
      <c r="G17" s="1">
        <v>1094.3900000000001</v>
      </c>
    </row>
    <row r="18" spans="1:7" x14ac:dyDescent="0.25">
      <c r="A18" s="1" t="s">
        <v>22</v>
      </c>
      <c r="B18" s="1">
        <v>20.62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78.59</v>
      </c>
      <c r="C33" s="3">
        <v>111.23</v>
      </c>
      <c r="D33" s="3">
        <v>127.69</v>
      </c>
      <c r="E33" s="3">
        <v>132.94999999999999</v>
      </c>
      <c r="F33" s="3">
        <v>113.77</v>
      </c>
      <c r="G33" s="3">
        <v>114.69</v>
      </c>
    </row>
    <row r="35" spans="1:7" x14ac:dyDescent="0.25">
      <c r="A35" s="3" t="s">
        <v>36</v>
      </c>
      <c r="B35" s="3"/>
      <c r="C35" s="3"/>
      <c r="D35" s="3">
        <f>D33-C33</f>
        <v>16.459999999999994</v>
      </c>
      <c r="E35" s="3"/>
      <c r="F35" s="3">
        <f>F33-E33</f>
        <v>-19.179999999999993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5.2599999999999909</v>
      </c>
      <c r="F37" s="3"/>
      <c r="G37" s="3">
        <f>G33-F33</f>
        <v>0.92000000000000171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4F68-E492-428F-8EE0-98C8710AC988}">
  <dimension ref="A1:G37"/>
  <sheetViews>
    <sheetView topLeftCell="A10" workbookViewId="0">
      <selection activeCell="D43" sqref="D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527.29</v>
      </c>
      <c r="C2" s="1">
        <v>515.30999999999995</v>
      </c>
      <c r="D2" s="1">
        <v>526.36</v>
      </c>
      <c r="E2" s="1">
        <v>511.95</v>
      </c>
      <c r="F2" s="1">
        <v>526.38</v>
      </c>
      <c r="G2" s="1">
        <v>437.53</v>
      </c>
    </row>
    <row r="3" spans="1:7" x14ac:dyDescent="0.25">
      <c r="A3" s="1" t="s">
        <v>7</v>
      </c>
      <c r="B3" s="1">
        <v>41.12</v>
      </c>
      <c r="C3" s="1">
        <v>42.31</v>
      </c>
      <c r="D3" s="1">
        <v>44.05</v>
      </c>
      <c r="E3" s="1">
        <v>38.909999999999997</v>
      </c>
      <c r="F3" s="1">
        <v>42</v>
      </c>
      <c r="G3" s="1">
        <v>44.1</v>
      </c>
    </row>
    <row r="4" spans="1:7" x14ac:dyDescent="0.25">
      <c r="A4" s="1" t="s">
        <v>8</v>
      </c>
      <c r="B4" s="1">
        <v>22021.51</v>
      </c>
      <c r="C4" s="1">
        <v>22116.61</v>
      </c>
      <c r="D4" s="1">
        <v>23557.39</v>
      </c>
      <c r="E4" s="1">
        <v>20239.73</v>
      </c>
      <c r="F4" s="1">
        <v>22435.14</v>
      </c>
      <c r="G4" s="1">
        <v>19630.57</v>
      </c>
    </row>
    <row r="5" spans="1:7" x14ac:dyDescent="0.25">
      <c r="A5" s="1" t="s">
        <v>9</v>
      </c>
      <c r="B5" s="1">
        <v>485.89</v>
      </c>
      <c r="C5" s="1">
        <v>414.22</v>
      </c>
      <c r="D5" s="1">
        <v>416.91</v>
      </c>
      <c r="E5" s="1">
        <v>511.7</v>
      </c>
      <c r="F5" s="1">
        <v>394.6</v>
      </c>
      <c r="G5" s="1">
        <v>497.72</v>
      </c>
    </row>
    <row r="6" spans="1:7" x14ac:dyDescent="0.25">
      <c r="A6" s="3" t="s">
        <v>10</v>
      </c>
      <c r="B6" s="3">
        <v>48.59</v>
      </c>
      <c r="C6" s="3">
        <v>41.84</v>
      </c>
      <c r="D6" s="3">
        <v>42.11</v>
      </c>
      <c r="E6" s="3">
        <v>51.69</v>
      </c>
      <c r="F6" s="3">
        <v>39.86</v>
      </c>
      <c r="G6" s="3">
        <v>50.79</v>
      </c>
    </row>
    <row r="7" spans="1:7" x14ac:dyDescent="0.25">
      <c r="A7" s="1" t="s">
        <v>11</v>
      </c>
      <c r="B7" s="1">
        <v>464.05</v>
      </c>
      <c r="C7" s="1">
        <v>401.5</v>
      </c>
      <c r="D7" s="1">
        <v>402.18</v>
      </c>
      <c r="E7" s="1">
        <v>481.58</v>
      </c>
      <c r="F7" s="1">
        <v>374.12</v>
      </c>
      <c r="G7" s="1">
        <v>413.88</v>
      </c>
    </row>
    <row r="8" spans="1:7" x14ac:dyDescent="0.25">
      <c r="A8" s="1" t="s">
        <v>12</v>
      </c>
      <c r="B8" s="1">
        <v>46.41</v>
      </c>
      <c r="C8" s="1">
        <v>40.56</v>
      </c>
      <c r="D8" s="1">
        <v>40.619999999999997</v>
      </c>
      <c r="E8" s="1">
        <v>48.64</v>
      </c>
      <c r="F8" s="1">
        <v>37.79</v>
      </c>
      <c r="G8" s="1">
        <v>42.23</v>
      </c>
    </row>
    <row r="9" spans="1:7" x14ac:dyDescent="0.25">
      <c r="A9" s="1" t="s">
        <v>13</v>
      </c>
      <c r="B9" s="1">
        <v>450.53</v>
      </c>
      <c r="C9" s="1">
        <v>390.38</v>
      </c>
      <c r="D9" s="1">
        <v>373.04</v>
      </c>
      <c r="E9" s="1">
        <v>397.41</v>
      </c>
      <c r="F9" s="1">
        <v>365.3</v>
      </c>
      <c r="G9" s="1">
        <v>257.51</v>
      </c>
    </row>
    <row r="10" spans="1:7" x14ac:dyDescent="0.25">
      <c r="A10" s="1" t="s">
        <v>14</v>
      </c>
      <c r="B10" s="1">
        <v>45.05</v>
      </c>
      <c r="C10" s="1">
        <v>39.43</v>
      </c>
      <c r="D10" s="1">
        <v>37.68</v>
      </c>
      <c r="E10" s="1">
        <v>40.14</v>
      </c>
      <c r="F10" s="1">
        <v>36.9</v>
      </c>
      <c r="G10" s="1">
        <v>26.28</v>
      </c>
    </row>
    <row r="11" spans="1:7" x14ac:dyDescent="0.25">
      <c r="A11" s="1" t="s">
        <v>15</v>
      </c>
      <c r="B11" s="1">
        <v>305.43</v>
      </c>
      <c r="C11" s="1">
        <v>299.25</v>
      </c>
      <c r="D11" s="1">
        <v>299.70999999999998</v>
      </c>
      <c r="E11" s="1">
        <v>212.05</v>
      </c>
      <c r="F11" s="1">
        <v>261.41000000000003</v>
      </c>
      <c r="G11" s="1">
        <v>205.5</v>
      </c>
    </row>
    <row r="12" spans="1:7" x14ac:dyDescent="0.25">
      <c r="A12" s="1" t="s">
        <v>16</v>
      </c>
      <c r="B12" s="1">
        <v>259.52999999999997</v>
      </c>
      <c r="C12" s="1">
        <v>239.6</v>
      </c>
      <c r="D12" s="1">
        <v>257.62</v>
      </c>
      <c r="E12" s="1">
        <v>218.41</v>
      </c>
      <c r="F12" s="1">
        <v>218.1</v>
      </c>
      <c r="G12" s="1">
        <v>179.12</v>
      </c>
    </row>
    <row r="13" spans="1:7" x14ac:dyDescent="0.25">
      <c r="A13" s="1" t="s">
        <v>17</v>
      </c>
      <c r="B13" s="1">
        <v>55.61</v>
      </c>
      <c r="C13" s="1">
        <v>31.44</v>
      </c>
      <c r="D13" s="1">
        <v>30.94</v>
      </c>
      <c r="E13" s="1">
        <v>43.16</v>
      </c>
      <c r="F13" s="1">
        <v>45.49</v>
      </c>
      <c r="G13" s="1">
        <v>38.71</v>
      </c>
    </row>
    <row r="14" spans="1:7" x14ac:dyDescent="0.25">
      <c r="A14" s="1" t="s">
        <v>18</v>
      </c>
      <c r="B14" s="1">
        <v>101.89</v>
      </c>
      <c r="C14" s="1">
        <v>67.66</v>
      </c>
      <c r="D14" s="1">
        <v>60.97</v>
      </c>
      <c r="E14" s="1">
        <v>106.11</v>
      </c>
      <c r="F14" s="1">
        <v>97.03</v>
      </c>
      <c r="G14" s="1">
        <v>75.89</v>
      </c>
    </row>
    <row r="15" spans="1:7" x14ac:dyDescent="0.25">
      <c r="A15" s="1" t="s">
        <v>19</v>
      </c>
      <c r="B15" s="1">
        <v>3</v>
      </c>
      <c r="C15" s="1">
        <v>1</v>
      </c>
      <c r="D15" s="1">
        <v>3</v>
      </c>
      <c r="E15" s="1">
        <v>3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457.29</v>
      </c>
      <c r="C17" s="1">
        <v>395.94</v>
      </c>
      <c r="D17" s="1">
        <v>387.61</v>
      </c>
      <c r="E17" s="1">
        <v>439.5</v>
      </c>
      <c r="F17" s="1">
        <v>369.71</v>
      </c>
      <c r="G17" s="1">
        <v>335.69</v>
      </c>
    </row>
    <row r="18" spans="1:7" x14ac:dyDescent="0.25">
      <c r="A18" s="1" t="s">
        <v>22</v>
      </c>
      <c r="B18" s="1">
        <v>6.76</v>
      </c>
      <c r="C18" s="1">
        <v>5.56</v>
      </c>
      <c r="D18" s="1">
        <v>14.57</v>
      </c>
      <c r="E18" s="1">
        <v>42.08</v>
      </c>
      <c r="F18" s="1">
        <v>4.41</v>
      </c>
      <c r="G18" s="1">
        <v>78.180000000000007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7.9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1.1000000000000001</v>
      </c>
      <c r="C25" s="1">
        <v>3.6</v>
      </c>
      <c r="D25" s="1">
        <v>1.6</v>
      </c>
      <c r="E25" s="1">
        <v>2</v>
      </c>
      <c r="F25" s="1">
        <v>1.2</v>
      </c>
      <c r="G25" s="1">
        <v>7.7</v>
      </c>
    </row>
    <row r="26" spans="1:7" x14ac:dyDescent="0.25">
      <c r="A26" s="1" t="s">
        <v>30</v>
      </c>
      <c r="B26" s="1">
        <v>9</v>
      </c>
      <c r="C26" s="1">
        <v>6.4</v>
      </c>
      <c r="D26" s="1">
        <v>8.4</v>
      </c>
      <c r="E26" s="1">
        <v>8</v>
      </c>
      <c r="F26" s="1">
        <v>8.8000000000000007</v>
      </c>
      <c r="G26" s="1">
        <v>2.2000000000000002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36</v>
      </c>
      <c r="D30" s="3">
        <f t="shared" si="2"/>
        <v>16</v>
      </c>
      <c r="E30" s="3">
        <f t="shared" si="2"/>
        <v>20</v>
      </c>
      <c r="F30" s="3">
        <f t="shared" si="2"/>
        <v>12</v>
      </c>
      <c r="G30" s="3">
        <f t="shared" si="2"/>
        <v>77.777777777777786</v>
      </c>
    </row>
    <row r="31" spans="1:7" x14ac:dyDescent="0.25">
      <c r="A31" s="3" t="s">
        <v>34</v>
      </c>
      <c r="B31" s="3">
        <f>B26/B28*100</f>
        <v>89.10891089108911</v>
      </c>
      <c r="C31" s="3">
        <f t="shared" ref="C31:G31" si="3">C26/C28*100</f>
        <v>64</v>
      </c>
      <c r="D31" s="3">
        <f t="shared" si="3"/>
        <v>84.000000000000014</v>
      </c>
      <c r="E31" s="3">
        <f t="shared" si="3"/>
        <v>80</v>
      </c>
      <c r="F31" s="3">
        <f t="shared" si="3"/>
        <v>88.000000000000014</v>
      </c>
      <c r="G31" s="3">
        <f t="shared" si="3"/>
        <v>22.222222222222225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46.13</v>
      </c>
      <c r="C33" s="3">
        <v>42.13</v>
      </c>
      <c r="D33" s="3">
        <v>37.409999999999997</v>
      </c>
      <c r="E33" s="3">
        <v>42.76</v>
      </c>
      <c r="F33" s="3">
        <v>39.22</v>
      </c>
      <c r="G33" s="3">
        <v>20.350000000000001</v>
      </c>
    </row>
    <row r="35" spans="1:7" x14ac:dyDescent="0.25">
      <c r="A35" s="3" t="s">
        <v>36</v>
      </c>
      <c r="B35" s="3"/>
      <c r="C35" s="3"/>
      <c r="D35" s="3">
        <f>D33-C33</f>
        <v>-4.720000000000006</v>
      </c>
      <c r="E35" s="3"/>
      <c r="F35" s="3">
        <f>F33-E33</f>
        <v>-3.5399999999999991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5.3500000000000014</v>
      </c>
      <c r="F37" s="3"/>
      <c r="G37" s="3">
        <f>G33-F33</f>
        <v>-18.869999999999997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5C3B-820D-4071-B4CC-E83357348F9F}">
  <dimension ref="A1:G37"/>
  <sheetViews>
    <sheetView tabSelected="1" topLeftCell="A7" workbookViewId="0">
      <selection activeCell="K24" sqref="K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568.28</v>
      </c>
      <c r="C2" s="1">
        <v>569.71</v>
      </c>
      <c r="D2" s="1">
        <v>568.53</v>
      </c>
      <c r="E2" s="1">
        <v>562.91999999999996</v>
      </c>
      <c r="F2" s="1">
        <v>585.95000000000005</v>
      </c>
      <c r="G2" s="1">
        <v>543.76</v>
      </c>
    </row>
    <row r="3" spans="1:7" x14ac:dyDescent="0.25">
      <c r="A3" s="1" t="s">
        <v>7</v>
      </c>
      <c r="B3" s="1">
        <v>51.58</v>
      </c>
      <c r="C3" s="1">
        <v>48.45</v>
      </c>
      <c r="D3" s="1">
        <v>48.14</v>
      </c>
      <c r="E3" s="1">
        <v>51.83</v>
      </c>
      <c r="F3" s="1">
        <v>48.22</v>
      </c>
      <c r="G3" s="1">
        <v>49.57</v>
      </c>
    </row>
    <row r="4" spans="1:7" x14ac:dyDescent="0.25">
      <c r="A4" s="1" t="s">
        <v>8</v>
      </c>
      <c r="B4" s="1">
        <v>29794.15</v>
      </c>
      <c r="C4" s="1">
        <v>28078.01</v>
      </c>
      <c r="D4" s="1">
        <v>27809.200000000001</v>
      </c>
      <c r="E4" s="1">
        <v>29648.03</v>
      </c>
      <c r="F4" s="1">
        <v>28706.23</v>
      </c>
      <c r="G4" s="1">
        <v>27384.73</v>
      </c>
    </row>
    <row r="5" spans="1:7" x14ac:dyDescent="0.25">
      <c r="A5" s="1" t="s">
        <v>9</v>
      </c>
      <c r="B5" s="1">
        <v>1682.62</v>
      </c>
      <c r="C5" s="1">
        <v>1280.0999999999999</v>
      </c>
      <c r="D5" s="1">
        <v>1687.23</v>
      </c>
      <c r="E5" s="1">
        <v>1708.76</v>
      </c>
      <c r="F5" s="1">
        <v>1527.07</v>
      </c>
      <c r="G5" s="1">
        <v>948.2</v>
      </c>
    </row>
    <row r="6" spans="1:7" x14ac:dyDescent="0.25">
      <c r="A6" s="3" t="s">
        <v>10</v>
      </c>
      <c r="B6" s="3">
        <v>168.26</v>
      </c>
      <c r="C6" s="3">
        <v>129.30000000000001</v>
      </c>
      <c r="D6" s="3">
        <v>170.43</v>
      </c>
      <c r="E6" s="3">
        <v>172.6</v>
      </c>
      <c r="F6" s="3">
        <v>154.25</v>
      </c>
      <c r="G6" s="3">
        <v>96.76</v>
      </c>
    </row>
    <row r="7" spans="1:7" x14ac:dyDescent="0.25">
      <c r="A7" s="1" t="s">
        <v>11</v>
      </c>
      <c r="B7" s="1">
        <v>1584.13</v>
      </c>
      <c r="C7" s="1">
        <v>1244.6600000000001</v>
      </c>
      <c r="D7" s="1">
        <v>1624.22</v>
      </c>
      <c r="E7" s="1">
        <v>1605.41</v>
      </c>
      <c r="F7" s="1">
        <v>1425.01</v>
      </c>
      <c r="G7" s="1">
        <v>912.02</v>
      </c>
    </row>
    <row r="8" spans="1:7" x14ac:dyDescent="0.25">
      <c r="A8" s="1" t="s">
        <v>12</v>
      </c>
      <c r="B8" s="1">
        <v>158.41</v>
      </c>
      <c r="C8" s="1">
        <v>125.72</v>
      </c>
      <c r="D8" s="1">
        <v>164.06</v>
      </c>
      <c r="E8" s="1">
        <v>162.16</v>
      </c>
      <c r="F8" s="1">
        <v>143.94</v>
      </c>
      <c r="G8" s="1">
        <v>93.06</v>
      </c>
    </row>
    <row r="9" spans="1:7" x14ac:dyDescent="0.25">
      <c r="A9" s="1" t="s">
        <v>13</v>
      </c>
      <c r="B9" s="1">
        <v>1584.13</v>
      </c>
      <c r="C9" s="1">
        <v>1244.6600000000001</v>
      </c>
      <c r="D9" s="1">
        <v>1624.22</v>
      </c>
      <c r="E9" s="1">
        <v>1605.41</v>
      </c>
      <c r="F9" s="1">
        <v>1425.01</v>
      </c>
      <c r="G9" s="1">
        <v>910.81</v>
      </c>
    </row>
    <row r="10" spans="1:7" x14ac:dyDescent="0.25">
      <c r="A10" s="1" t="s">
        <v>14</v>
      </c>
      <c r="B10" s="1">
        <v>158.41</v>
      </c>
      <c r="C10" s="1">
        <v>125.72</v>
      </c>
      <c r="D10" s="1">
        <v>164.06</v>
      </c>
      <c r="E10" s="1">
        <v>162.16</v>
      </c>
      <c r="F10" s="1">
        <v>143.94</v>
      </c>
      <c r="G10" s="1">
        <v>92.94</v>
      </c>
    </row>
    <row r="11" spans="1:7" x14ac:dyDescent="0.25">
      <c r="A11" s="1" t="s">
        <v>15</v>
      </c>
      <c r="B11" s="1">
        <v>1179.5999999999999</v>
      </c>
      <c r="C11" s="1">
        <v>902.11</v>
      </c>
      <c r="D11" s="1">
        <v>954.62</v>
      </c>
      <c r="E11" s="1">
        <v>984.76</v>
      </c>
      <c r="F11" s="1">
        <v>950.94</v>
      </c>
      <c r="G11" s="1">
        <v>638.44000000000005</v>
      </c>
    </row>
    <row r="12" spans="1:7" x14ac:dyDescent="0.25">
      <c r="A12" s="1" t="s">
        <v>16</v>
      </c>
      <c r="B12" s="1">
        <v>284.04000000000002</v>
      </c>
      <c r="C12" s="1">
        <v>288.13</v>
      </c>
      <c r="D12" s="1">
        <v>282.43</v>
      </c>
      <c r="E12" s="1">
        <v>279.16000000000003</v>
      </c>
      <c r="F12" s="1">
        <v>281.95999999999998</v>
      </c>
      <c r="G12" s="1">
        <v>268.52999999999997</v>
      </c>
    </row>
    <row r="13" spans="1:7" x14ac:dyDescent="0.25">
      <c r="A13" s="1" t="s">
        <v>17</v>
      </c>
      <c r="B13" s="1">
        <v>47.57</v>
      </c>
      <c r="C13" s="1">
        <v>48.92</v>
      </c>
      <c r="D13" s="1">
        <v>49.67</v>
      </c>
      <c r="E13" s="1">
        <v>53.75</v>
      </c>
      <c r="F13" s="1">
        <v>53.27</v>
      </c>
      <c r="G13" s="1">
        <v>56.08</v>
      </c>
    </row>
    <row r="14" spans="1:7" x14ac:dyDescent="0.25">
      <c r="A14" s="1" t="s">
        <v>18</v>
      </c>
      <c r="B14" s="1">
        <v>100.79</v>
      </c>
      <c r="C14" s="1">
        <v>105.17</v>
      </c>
      <c r="D14" s="1">
        <v>90.15</v>
      </c>
      <c r="E14" s="1">
        <v>100.32</v>
      </c>
      <c r="F14" s="1">
        <v>109.32</v>
      </c>
      <c r="G14" s="1">
        <v>96.84</v>
      </c>
    </row>
    <row r="15" spans="1:7" x14ac:dyDescent="0.25">
      <c r="A15" s="1" t="s">
        <v>19</v>
      </c>
      <c r="B15" s="1">
        <v>7</v>
      </c>
      <c r="C15" s="1">
        <v>3</v>
      </c>
      <c r="D15" s="1">
        <v>6</v>
      </c>
      <c r="E15" s="1">
        <v>8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1584.13</v>
      </c>
      <c r="C17" s="1">
        <v>1244.6600000000001</v>
      </c>
      <c r="D17" s="1">
        <v>1624.22</v>
      </c>
      <c r="E17" s="1">
        <v>1605.41</v>
      </c>
      <c r="F17" s="1">
        <v>1425.01</v>
      </c>
      <c r="G17" s="1">
        <v>911.41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0.6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166.39</v>
      </c>
      <c r="C33" s="3">
        <v>128.97</v>
      </c>
      <c r="D33" s="3">
        <v>166.08</v>
      </c>
      <c r="E33" s="3">
        <v>168.18</v>
      </c>
      <c r="F33" s="3">
        <v>152.97</v>
      </c>
      <c r="G33" s="3">
        <v>97.49</v>
      </c>
    </row>
    <row r="35" spans="1:7" x14ac:dyDescent="0.25">
      <c r="A35" s="3" t="s">
        <v>36</v>
      </c>
      <c r="B35" s="3"/>
      <c r="C35" s="3"/>
      <c r="D35" s="3">
        <f>D33-C33</f>
        <v>37.110000000000014</v>
      </c>
      <c r="E35" s="3"/>
      <c r="F35" s="3">
        <f>F33-E33</f>
        <v>-15.210000000000008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2.0999999999999943</v>
      </c>
      <c r="F37" s="3"/>
      <c r="G37" s="3">
        <f>G33-F33</f>
        <v>-55.480000000000004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086C-C572-4542-BF73-7BB954C545DA}">
  <dimension ref="A1:G37"/>
  <sheetViews>
    <sheetView workbookViewId="0">
      <selection activeCell="K18" sqref="K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240116A001.1</vt:lpstr>
      <vt:lpstr>240116A001.2</vt:lpstr>
      <vt:lpstr>240116A002.1</vt:lpstr>
      <vt:lpstr>240116A002.3</vt:lpstr>
      <vt:lpstr>240116A002.4</vt:lpstr>
      <vt:lpstr>240116A002.5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2024-01-25T20:52:15Z</dcterms:created>
  <dcterms:modified xsi:type="dcterms:W3CDTF">2024-01-26T00:27:19Z</dcterms:modified>
</cp:coreProperties>
</file>