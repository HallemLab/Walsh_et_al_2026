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3B8A1343-0F83-444C-A26A-8441B02F3D90}" xr6:coauthVersionLast="36" xr6:coauthVersionMax="36" xr10:uidLastSave="{00000000-0000-0000-0000-000000000000}"/>
  <bookViews>
    <workbookView xWindow="0" yWindow="0" windowWidth="24225" windowHeight="10995" activeTab="6" xr2:uid="{93B5C254-E031-4F77-A1F6-6EFDF1C54292}"/>
  </bookViews>
  <sheets>
    <sheet name="240129A001.3" sheetId="2" r:id="rId1"/>
    <sheet name="240129A001.4" sheetId="3" r:id="rId2"/>
    <sheet name="240129A003.1" sheetId="4" r:id="rId3"/>
    <sheet name="240129A003.2" sheetId="5" r:id="rId4"/>
    <sheet name="240129A003.3" sheetId="6" r:id="rId5"/>
    <sheet name="240129A003.4" sheetId="7" r:id="rId6"/>
    <sheet name="240129A003.5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E31" i="8"/>
  <c r="E30" i="8"/>
  <c r="D30" i="8"/>
  <c r="C30" i="8"/>
  <c r="B30" i="8"/>
  <c r="E29" i="8"/>
  <c r="D29" i="8"/>
  <c r="G28" i="8"/>
  <c r="G29" i="8" s="1"/>
  <c r="F28" i="8"/>
  <c r="F31" i="8" s="1"/>
  <c r="E28" i="8"/>
  <c r="D28" i="8"/>
  <c r="D31" i="8" s="1"/>
  <c r="C28" i="8"/>
  <c r="C29" i="8" s="1"/>
  <c r="B28" i="8"/>
  <c r="B29" i="8" s="1"/>
  <c r="G37" i="7"/>
  <c r="E37" i="7"/>
  <c r="C37" i="7"/>
  <c r="F35" i="7"/>
  <c r="D35" i="7"/>
  <c r="D30" i="7"/>
  <c r="C30" i="7"/>
  <c r="B30" i="7"/>
  <c r="G28" i="7"/>
  <c r="G29" i="7" s="1"/>
  <c r="F28" i="7"/>
  <c r="F31" i="7" s="1"/>
  <c r="E28" i="7"/>
  <c r="E29" i="7" s="1"/>
  <c r="D28" i="7"/>
  <c r="D29" i="7" s="1"/>
  <c r="C28" i="7"/>
  <c r="C29" i="7" s="1"/>
  <c r="B28" i="7"/>
  <c r="B29" i="7" s="1"/>
  <c r="G37" i="6"/>
  <c r="E37" i="6"/>
  <c r="C37" i="6"/>
  <c r="F35" i="6"/>
  <c r="D35" i="6"/>
  <c r="G28" i="6"/>
  <c r="G31" i="6" s="1"/>
  <c r="F28" i="6"/>
  <c r="F31" i="6" s="1"/>
  <c r="E28" i="6"/>
  <c r="E31" i="6" s="1"/>
  <c r="D28" i="6"/>
  <c r="D31" i="6" s="1"/>
  <c r="C28" i="6"/>
  <c r="C31" i="6" s="1"/>
  <c r="B28" i="6"/>
  <c r="B30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31" i="5" s="1"/>
  <c r="B28" i="5"/>
  <c r="B29" i="5" s="1"/>
  <c r="G37" i="4"/>
  <c r="E37" i="4"/>
  <c r="C37" i="4"/>
  <c r="F35" i="4"/>
  <c r="D35" i="4"/>
  <c r="G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F31" i="4" s="1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F30" i="3"/>
  <c r="E30" i="3"/>
  <c r="D30" i="3"/>
  <c r="C30" i="3"/>
  <c r="B30" i="3"/>
  <c r="F29" i="3"/>
  <c r="G28" i="3"/>
  <c r="G30" i="3" s="1"/>
  <c r="F28" i="3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29" i="2" s="1"/>
  <c r="F28" i="2"/>
  <c r="F31" i="2" s="1"/>
  <c r="E28" i="2"/>
  <c r="E31" i="2" s="1"/>
  <c r="D28" i="2"/>
  <c r="D30" i="2" s="1"/>
  <c r="C28" i="2"/>
  <c r="C29" i="2" s="1"/>
  <c r="B28" i="2"/>
  <c r="B30" i="2" s="1"/>
  <c r="G30" i="8" l="1"/>
  <c r="G31" i="8"/>
  <c r="F30" i="8"/>
  <c r="F29" i="8"/>
  <c r="B31" i="8"/>
  <c r="C31" i="8"/>
  <c r="E30" i="7"/>
  <c r="F30" i="7"/>
  <c r="F29" i="7"/>
  <c r="E31" i="7"/>
  <c r="G31" i="7"/>
  <c r="G30" i="7"/>
  <c r="B31" i="7"/>
  <c r="C31" i="7"/>
  <c r="D31" i="7"/>
  <c r="E30" i="6"/>
  <c r="C29" i="6"/>
  <c r="E29" i="6"/>
  <c r="B29" i="6"/>
  <c r="D29" i="6"/>
  <c r="D30" i="6"/>
  <c r="G29" i="6"/>
  <c r="G30" i="6"/>
  <c r="B31" i="6"/>
  <c r="F29" i="6"/>
  <c r="C30" i="6"/>
  <c r="F30" i="6"/>
  <c r="B31" i="5"/>
  <c r="E31" i="5"/>
  <c r="B30" i="5"/>
  <c r="G31" i="5"/>
  <c r="F31" i="5"/>
  <c r="E29" i="5"/>
  <c r="F29" i="5"/>
  <c r="C29" i="5"/>
  <c r="G29" i="5"/>
  <c r="C30" i="5"/>
  <c r="D30" i="5"/>
  <c r="D31" i="5"/>
  <c r="G31" i="3"/>
  <c r="G29" i="3"/>
  <c r="B31" i="2"/>
  <c r="C31" i="2"/>
  <c r="C30" i="2"/>
  <c r="G30" i="2"/>
  <c r="D31" i="2"/>
  <c r="F29" i="2"/>
  <c r="F30" i="2"/>
  <c r="G31" i="2"/>
  <c r="B29" i="2"/>
  <c r="D29" i="2"/>
  <c r="E29" i="2"/>
  <c r="E30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<sst xmlns="http://schemas.openxmlformats.org/spreadsheetml/2006/main" count="304" uniqueCount="37">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</sst>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0EE3-E8FE-49C5-8FF6-0B53BE1244FD}">
  <dimension ref="A1:G37"/>
  <sheetViews>
    <sheetView topLeftCell="A10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496.48</v>
      </c>
      <c r="C2" s="1">
        <v>494.63</v>
      </c>
      <c r="D2" s="1">
        <v>502.99</v>
      </c>
      <c r="E2" s="1">
        <v>527.63</v>
      </c>
      <c r="F2" s="1">
        <v>559.39</v>
      </c>
      <c r="G2" s="1">
        <v>516.46</v>
      </c>
    </row>
    <row r="3" spans="1:7" x14ac:dyDescent="0.25">
      <c r="A3" s="1" t="s">
        <v>7</v>
      </c>
      <c r="B3" s="1">
        <v>41.71</v>
      </c>
      <c r="C3" s="1">
        <v>39.28</v>
      </c>
      <c r="D3" s="1">
        <v>39.81</v>
      </c>
      <c r="E3" s="1">
        <v>44.68</v>
      </c>
      <c r="F3" s="1">
        <v>45.93</v>
      </c>
      <c r="G3" s="1">
        <v>38.21</v>
      </c>
    </row>
    <row r="4" spans="1:7" x14ac:dyDescent="0.25">
      <c r="A4" s="1" t="s">
        <v>8</v>
      </c>
      <c r="B4" s="1">
        <v>21037.14</v>
      </c>
      <c r="C4" s="1">
        <v>19746.43</v>
      </c>
      <c r="D4" s="1">
        <v>20277.59</v>
      </c>
      <c r="E4" s="1">
        <v>23954.04</v>
      </c>
      <c r="F4" s="1">
        <v>26120.04</v>
      </c>
      <c r="G4" s="1">
        <v>20027.03</v>
      </c>
    </row>
    <row r="5" spans="1:7" x14ac:dyDescent="0.25">
      <c r="A5" s="1" t="s">
        <v>9</v>
      </c>
      <c r="B5" s="1">
        <v>903.58</v>
      </c>
      <c r="C5" s="1">
        <v>977.67</v>
      </c>
      <c r="D5" s="1">
        <v>930.42</v>
      </c>
      <c r="E5" s="1">
        <v>551.19000000000005</v>
      </c>
      <c r="F5" s="1">
        <v>852.5</v>
      </c>
      <c r="G5" s="1">
        <v>613.85</v>
      </c>
    </row>
    <row r="6" spans="1:7" x14ac:dyDescent="0.25">
      <c r="A6" s="3" t="s">
        <v>10</v>
      </c>
      <c r="B6" s="3">
        <v>90.36</v>
      </c>
      <c r="C6" s="3">
        <v>98.75</v>
      </c>
      <c r="D6" s="3">
        <v>93.98</v>
      </c>
      <c r="E6" s="3">
        <v>55.68</v>
      </c>
      <c r="F6" s="3">
        <v>86.11</v>
      </c>
      <c r="G6" s="3">
        <v>62.64</v>
      </c>
    </row>
    <row r="7" spans="1:7" x14ac:dyDescent="0.25">
      <c r="A7" s="1" t="s">
        <v>11</v>
      </c>
      <c r="B7" s="1">
        <v>841.53</v>
      </c>
      <c r="C7" s="1">
        <v>928.14</v>
      </c>
      <c r="D7" s="1">
        <v>860.02</v>
      </c>
      <c r="E7" s="1">
        <v>536.25</v>
      </c>
      <c r="F7" s="1">
        <v>841.83</v>
      </c>
      <c r="G7" s="1">
        <v>600.66</v>
      </c>
    </row>
    <row r="8" spans="1:7" x14ac:dyDescent="0.25">
      <c r="A8" s="1" t="s">
        <v>12</v>
      </c>
      <c r="B8" s="1">
        <v>84.15</v>
      </c>
      <c r="C8" s="1">
        <v>93.75</v>
      </c>
      <c r="D8" s="1">
        <v>86.87</v>
      </c>
      <c r="E8" s="1">
        <v>54.17</v>
      </c>
      <c r="F8" s="1">
        <v>85.03</v>
      </c>
      <c r="G8" s="1">
        <v>61.29</v>
      </c>
    </row>
    <row r="9" spans="1:7" x14ac:dyDescent="0.25">
      <c r="A9" s="1" t="s">
        <v>13</v>
      </c>
      <c r="B9" s="1">
        <v>829.77</v>
      </c>
      <c r="C9" s="1">
        <v>923</v>
      </c>
      <c r="D9" s="1">
        <v>848.48</v>
      </c>
      <c r="E9" s="1">
        <v>528.16999999999996</v>
      </c>
      <c r="F9" s="1">
        <v>841.83</v>
      </c>
      <c r="G9" s="1">
        <v>597.47</v>
      </c>
    </row>
    <row r="10" spans="1:7" x14ac:dyDescent="0.25">
      <c r="A10" s="1" t="s">
        <v>14</v>
      </c>
      <c r="B10" s="1">
        <v>82.98</v>
      </c>
      <c r="C10" s="1">
        <v>93.23</v>
      </c>
      <c r="D10" s="1">
        <v>85.7</v>
      </c>
      <c r="E10" s="1">
        <v>53.35</v>
      </c>
      <c r="F10" s="1">
        <v>85.03</v>
      </c>
      <c r="G10" s="1">
        <v>60.97</v>
      </c>
    </row>
    <row r="11" spans="1:7" x14ac:dyDescent="0.25">
      <c r="A11" s="1" t="s">
        <v>15</v>
      </c>
      <c r="B11" s="1">
        <v>686.19</v>
      </c>
      <c r="C11" s="1">
        <v>772.26</v>
      </c>
      <c r="D11" s="1">
        <v>617.45000000000005</v>
      </c>
      <c r="E11" s="1">
        <v>495.19</v>
      </c>
      <c r="F11" s="1">
        <v>683.63</v>
      </c>
      <c r="G11" s="1">
        <v>488.45</v>
      </c>
    </row>
    <row r="12" spans="1:7" x14ac:dyDescent="0.25">
      <c r="A12" s="1" t="s">
        <v>16</v>
      </c>
      <c r="B12" s="1">
        <v>272.39</v>
      </c>
      <c r="C12" s="1">
        <v>265.14999999999998</v>
      </c>
      <c r="D12" s="1">
        <v>265.45999999999998</v>
      </c>
      <c r="E12" s="1">
        <v>265.33999999999997</v>
      </c>
      <c r="F12" s="1">
        <v>280.66000000000003</v>
      </c>
      <c r="G12" s="1">
        <v>271.97000000000003</v>
      </c>
    </row>
    <row r="13" spans="1:7" x14ac:dyDescent="0.25">
      <c r="A13" s="1" t="s">
        <v>17</v>
      </c>
      <c r="B13" s="1">
        <v>41.06</v>
      </c>
      <c r="C13" s="1">
        <v>33.24</v>
      </c>
      <c r="D13" s="1">
        <v>39.909999999999997</v>
      </c>
      <c r="E13" s="1">
        <v>40.840000000000003</v>
      </c>
      <c r="F13" s="1">
        <v>29.93</v>
      </c>
      <c r="G13" s="1">
        <v>42.82</v>
      </c>
    </row>
    <row r="14" spans="1:7" x14ac:dyDescent="0.25">
      <c r="A14" s="1" t="s">
        <v>18</v>
      </c>
      <c r="B14" s="1">
        <v>89.23</v>
      </c>
      <c r="C14" s="1">
        <v>85.98</v>
      </c>
      <c r="D14" s="1">
        <v>107.94</v>
      </c>
      <c r="E14" s="1">
        <v>60.22</v>
      </c>
      <c r="F14" s="1">
        <v>72.61</v>
      </c>
      <c r="G14" s="1">
        <v>84.81</v>
      </c>
    </row>
    <row r="15" spans="1:7" x14ac:dyDescent="0.25">
      <c r="A15" s="1" t="s">
        <v>19</v>
      </c>
      <c r="B15" s="1">
        <v>4</v>
      </c>
      <c r="C15" s="1">
        <v>6</v>
      </c>
      <c r="D15" s="1">
        <v>2</v>
      </c>
      <c r="E15" s="1">
        <v>1</v>
      </c>
      <c r="F15" s="1">
        <v>6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835.65</v>
      </c>
      <c r="C17" s="1">
        <v>925.57</v>
      </c>
      <c r="D17" s="1">
        <v>854.25</v>
      </c>
      <c r="E17" s="1">
        <v>532.21</v>
      </c>
      <c r="F17" s="1">
        <v>841.83</v>
      </c>
      <c r="G17" s="1">
        <v>599.05999999999995</v>
      </c>
    </row>
    <row r="18" spans="1:7" x14ac:dyDescent="0.25">
      <c r="A18" s="1" t="s">
        <v>22</v>
      </c>
      <c r="B18" s="1">
        <v>5.88</v>
      </c>
      <c r="C18" s="1">
        <v>2.57</v>
      </c>
      <c r="D18" s="1">
        <v>5.77</v>
      </c>
      <c r="E18" s="1">
        <v>4.04</v>
      </c>
      <c r="F18" s="1">
        <v>0</v>
      </c>
      <c r="G18" s="1">
        <v>1.59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1.2</v>
      </c>
      <c r="C25" s="1">
        <v>0</v>
      </c>
      <c r="D25" s="1">
        <v>0</v>
      </c>
      <c r="E25" s="1">
        <v>2.2999999999999998</v>
      </c>
      <c r="F25" s="1">
        <v>0</v>
      </c>
      <c r="G25" s="1">
        <v>0</v>
      </c>
    </row>
    <row r="26" spans="1:7" x14ac:dyDescent="0.25">
      <c r="A26" s="1" t="s">
        <v>30</v>
      </c>
      <c r="B26" s="1">
        <v>8.9</v>
      </c>
      <c r="C26" s="1">
        <v>10</v>
      </c>
      <c r="D26" s="1">
        <v>10</v>
      </c>
      <c r="E26" s="1">
        <v>7.7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11.881188118811881</v>
      </c>
      <c r="C30" s="3">
        <f t="shared" ref="C30:G30" si="2">C25/C28*100</f>
        <v>0</v>
      </c>
      <c r="D30" s="3">
        <f t="shared" si="2"/>
        <v>0</v>
      </c>
      <c r="E30" s="3">
        <f t="shared" si="2"/>
        <v>23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77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86.02</v>
      </c>
      <c r="C33" s="3">
        <v>96.93</v>
      </c>
      <c r="D33" s="3">
        <v>89.2</v>
      </c>
      <c r="E33" s="3">
        <v>53.73</v>
      </c>
      <c r="F33" s="3">
        <v>87.31</v>
      </c>
      <c r="G33" s="3">
        <v>62.82</v>
      </c>
    </row>
    <row r="35" spans="1:7" x14ac:dyDescent="0.25">
      <c r="A35" s="3" t="s">
        <v>36</v>
      </c>
      <c r="B35" s="3"/>
      <c r="C35" s="3"/>
      <c r="D35" s="3">
        <f>D33-C33</f>
        <v>-7.730000000000004</v>
      </c>
      <c r="E35" s="3"/>
      <c r="F35" s="3">
        <f>F33-E33</f>
        <v>33.580000000000005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-35.470000000000006</v>
      </c>
      <c r="F37" s="3"/>
      <c r="G37" s="3">
        <f>G33-F33</f>
        <v>-24.490000000000002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2C14-DF64-42D0-8FBB-94D15905BAFD}">
  <dimension ref="A1:G37"/>
  <sheetViews>
    <sheetView topLeftCell="A10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535.34</v>
      </c>
      <c r="C2" s="1">
        <v>537.24</v>
      </c>
      <c r="D2" s="1">
        <v>547.89</v>
      </c>
      <c r="E2" s="1">
        <v>549.26</v>
      </c>
      <c r="F2" s="1">
        <v>546.35</v>
      </c>
      <c r="G2" s="1">
        <v>540.67999999999995</v>
      </c>
    </row>
    <row r="3" spans="1:7" x14ac:dyDescent="0.25">
      <c r="A3" s="1" t="s">
        <v>7</v>
      </c>
      <c r="B3" s="1">
        <v>48.39</v>
      </c>
      <c r="C3" s="1">
        <v>51.52</v>
      </c>
      <c r="D3" s="1">
        <v>53.64</v>
      </c>
      <c r="E3" s="1">
        <v>55.9</v>
      </c>
      <c r="F3" s="1">
        <v>52</v>
      </c>
      <c r="G3" s="1">
        <v>49.52</v>
      </c>
    </row>
    <row r="4" spans="1:7" x14ac:dyDescent="0.25">
      <c r="A4" s="1" t="s">
        <v>8</v>
      </c>
      <c r="B4" s="1">
        <v>26325.78</v>
      </c>
      <c r="C4" s="1">
        <v>28139.47</v>
      </c>
      <c r="D4" s="1">
        <v>29890.49</v>
      </c>
      <c r="E4" s="1">
        <v>31245.31</v>
      </c>
      <c r="F4" s="1">
        <v>28881.45</v>
      </c>
      <c r="G4" s="1">
        <v>27236.82</v>
      </c>
    </row>
    <row r="5" spans="1:7" x14ac:dyDescent="0.25">
      <c r="A5" s="1" t="s">
        <v>9</v>
      </c>
      <c r="B5" s="1">
        <v>1155.3599999999999</v>
      </c>
      <c r="C5" s="1">
        <v>1336.93</v>
      </c>
      <c r="D5" s="1">
        <v>1774.05</v>
      </c>
      <c r="E5" s="1">
        <v>1875.96</v>
      </c>
      <c r="F5" s="1">
        <v>1850.8</v>
      </c>
      <c r="G5" s="1">
        <v>1987.55</v>
      </c>
    </row>
    <row r="6" spans="1:7" x14ac:dyDescent="0.25">
      <c r="A6" s="3" t="s">
        <v>10</v>
      </c>
      <c r="B6" s="3">
        <v>115.54</v>
      </c>
      <c r="C6" s="3">
        <v>135.04</v>
      </c>
      <c r="D6" s="3">
        <v>179.2</v>
      </c>
      <c r="E6" s="3">
        <v>189.49</v>
      </c>
      <c r="F6" s="3">
        <v>186.95</v>
      </c>
      <c r="G6" s="3">
        <v>202.81</v>
      </c>
    </row>
    <row r="7" spans="1:7" x14ac:dyDescent="0.25">
      <c r="A7" s="1" t="s">
        <v>11</v>
      </c>
      <c r="B7" s="1">
        <v>1110.93</v>
      </c>
      <c r="C7" s="1">
        <v>1289.72</v>
      </c>
      <c r="D7" s="1">
        <v>1718.39</v>
      </c>
      <c r="E7" s="1">
        <v>1808.05</v>
      </c>
      <c r="F7" s="1">
        <v>1813.94</v>
      </c>
      <c r="G7" s="1">
        <v>1878.79</v>
      </c>
    </row>
    <row r="8" spans="1:7" x14ac:dyDescent="0.25">
      <c r="A8" s="1" t="s">
        <v>12</v>
      </c>
      <c r="B8" s="1">
        <v>111.09</v>
      </c>
      <c r="C8" s="1">
        <v>130.27000000000001</v>
      </c>
      <c r="D8" s="1">
        <v>173.57</v>
      </c>
      <c r="E8" s="1">
        <v>182.63</v>
      </c>
      <c r="F8" s="1">
        <v>183.23</v>
      </c>
      <c r="G8" s="1">
        <v>191.71</v>
      </c>
    </row>
    <row r="9" spans="1:7" x14ac:dyDescent="0.25">
      <c r="A9" s="1" t="s">
        <v>13</v>
      </c>
      <c r="B9" s="1">
        <v>1110.93</v>
      </c>
      <c r="C9" s="1">
        <v>1289.72</v>
      </c>
      <c r="D9" s="1">
        <v>1718.39</v>
      </c>
      <c r="E9" s="1">
        <v>1808.05</v>
      </c>
      <c r="F9" s="1">
        <v>1813.94</v>
      </c>
      <c r="G9" s="1">
        <v>1878.79</v>
      </c>
    </row>
    <row r="10" spans="1:7" x14ac:dyDescent="0.25">
      <c r="A10" s="1" t="s">
        <v>14</v>
      </c>
      <c r="B10" s="1">
        <v>111.09</v>
      </c>
      <c r="C10" s="1">
        <v>130.27000000000001</v>
      </c>
      <c r="D10" s="1">
        <v>173.57</v>
      </c>
      <c r="E10" s="1">
        <v>182.63</v>
      </c>
      <c r="F10" s="1">
        <v>183.23</v>
      </c>
      <c r="G10" s="1">
        <v>191.71</v>
      </c>
    </row>
    <row r="11" spans="1:7" x14ac:dyDescent="0.25">
      <c r="A11" s="1" t="s">
        <v>15</v>
      </c>
      <c r="B11" s="1">
        <v>832.21</v>
      </c>
      <c r="C11" s="1">
        <v>883.82</v>
      </c>
      <c r="D11" s="1">
        <v>1286.74</v>
      </c>
      <c r="E11" s="1">
        <v>1382.41</v>
      </c>
      <c r="F11" s="1">
        <v>1226.5899999999999</v>
      </c>
      <c r="G11" s="1">
        <v>1483.06</v>
      </c>
    </row>
    <row r="12" spans="1:7" x14ac:dyDescent="0.25">
      <c r="A12" s="1" t="s">
        <v>16</v>
      </c>
      <c r="B12" s="1">
        <v>274.85000000000002</v>
      </c>
      <c r="C12" s="1">
        <v>272.47000000000003</v>
      </c>
      <c r="D12" s="1">
        <v>285.45</v>
      </c>
      <c r="E12" s="1">
        <v>285.14999999999998</v>
      </c>
      <c r="F12" s="1">
        <v>275.25</v>
      </c>
      <c r="G12" s="1">
        <v>297.23</v>
      </c>
    </row>
    <row r="13" spans="1:7" x14ac:dyDescent="0.25">
      <c r="A13" s="1" t="s">
        <v>17</v>
      </c>
      <c r="B13" s="1">
        <v>39.44</v>
      </c>
      <c r="C13" s="1">
        <v>46.65</v>
      </c>
      <c r="D13" s="1">
        <v>49.39</v>
      </c>
      <c r="E13" s="1">
        <v>51.14</v>
      </c>
      <c r="F13" s="1">
        <v>58.37</v>
      </c>
      <c r="G13" s="1">
        <v>44.29</v>
      </c>
    </row>
    <row r="14" spans="1:7" x14ac:dyDescent="0.25">
      <c r="A14" s="1" t="s">
        <v>18</v>
      </c>
      <c r="B14" s="1">
        <v>91.04</v>
      </c>
      <c r="C14" s="1">
        <v>92.76</v>
      </c>
      <c r="D14" s="1">
        <v>90.1</v>
      </c>
      <c r="E14" s="1">
        <v>90.35</v>
      </c>
      <c r="F14" s="1">
        <v>98.04</v>
      </c>
      <c r="G14" s="1">
        <v>95.27</v>
      </c>
    </row>
    <row r="15" spans="1:7" x14ac:dyDescent="0.25">
      <c r="A15" s="1" t="s">
        <v>19</v>
      </c>
      <c r="B15" s="1">
        <v>7</v>
      </c>
      <c r="C15" s="1">
        <v>6</v>
      </c>
      <c r="D15" s="1">
        <v>9</v>
      </c>
      <c r="E15" s="1">
        <v>10</v>
      </c>
      <c r="F15" s="1">
        <v>9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1110.93</v>
      </c>
      <c r="C17" s="1">
        <v>1289.72</v>
      </c>
      <c r="D17" s="1">
        <v>1718.39</v>
      </c>
      <c r="E17" s="1">
        <v>1808.05</v>
      </c>
      <c r="F17" s="1">
        <v>1813.94</v>
      </c>
      <c r="G17" s="1">
        <v>1878.79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114.68</v>
      </c>
      <c r="C33" s="3">
        <v>134.77000000000001</v>
      </c>
      <c r="D33" s="3">
        <v>173.71</v>
      </c>
      <c r="E33" s="3">
        <v>190.35</v>
      </c>
      <c r="F33" s="3">
        <v>185.21</v>
      </c>
      <c r="G33" s="3">
        <v>201.09</v>
      </c>
    </row>
    <row r="35" spans="1:7" x14ac:dyDescent="0.25">
      <c r="A35" s="3" t="s">
        <v>36</v>
      </c>
      <c r="B35" s="3"/>
      <c r="C35" s="3"/>
      <c r="D35" s="3">
        <f>D33-C33</f>
        <v>38.94</v>
      </c>
      <c r="E35" s="3"/>
      <c r="F35" s="3">
        <f>F33-E33</f>
        <v>-5.1399999999999864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16.639999999999986</v>
      </c>
      <c r="F37" s="3"/>
      <c r="G37" s="3">
        <f>G33-F33</f>
        <v>15.879999999999995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F152-48EF-4E86-959A-4DC4658417CB}">
  <dimension ref="A1:G37"/>
  <sheetViews>
    <sheetView topLeftCell="A7" workbookViewId="0">
      <selection activeCell="N30" sqref="N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520.28</v>
      </c>
      <c r="C2" s="1">
        <v>528.70000000000005</v>
      </c>
      <c r="D2" s="1">
        <v>539.29</v>
      </c>
      <c r="E2" s="1">
        <v>529.6</v>
      </c>
      <c r="F2" s="1">
        <v>537.42999999999995</v>
      </c>
      <c r="G2" s="1">
        <v>526.52</v>
      </c>
    </row>
    <row r="3" spans="1:7" x14ac:dyDescent="0.25">
      <c r="A3" s="1" t="s">
        <v>7</v>
      </c>
      <c r="B3" s="1">
        <v>41.06</v>
      </c>
      <c r="C3" s="1">
        <v>41.5</v>
      </c>
      <c r="D3" s="1">
        <v>41.32</v>
      </c>
      <c r="E3" s="1">
        <v>41.4</v>
      </c>
      <c r="F3" s="1">
        <v>41.24</v>
      </c>
      <c r="G3" s="1">
        <v>40.840000000000003</v>
      </c>
    </row>
    <row r="4" spans="1:7" x14ac:dyDescent="0.25">
      <c r="A4" s="1" t="s">
        <v>8</v>
      </c>
      <c r="B4" s="1">
        <v>21727.279999999999</v>
      </c>
      <c r="C4" s="1">
        <v>22315.88</v>
      </c>
      <c r="D4" s="1">
        <v>22656.38</v>
      </c>
      <c r="E4" s="1">
        <v>22303.83</v>
      </c>
      <c r="F4" s="1">
        <v>22542.73</v>
      </c>
      <c r="G4" s="1">
        <v>21862.51</v>
      </c>
    </row>
    <row r="5" spans="1:7" x14ac:dyDescent="0.25">
      <c r="A5" s="1" t="s">
        <v>9</v>
      </c>
      <c r="B5" s="1">
        <v>1929.47</v>
      </c>
      <c r="C5" s="1">
        <v>2044.29</v>
      </c>
      <c r="D5" s="1">
        <v>1874.37</v>
      </c>
      <c r="E5" s="1">
        <v>2016.78</v>
      </c>
      <c r="F5" s="1">
        <v>1829.85</v>
      </c>
      <c r="G5" s="1">
        <v>1765.51</v>
      </c>
    </row>
    <row r="6" spans="1:7" x14ac:dyDescent="0.25">
      <c r="A6" s="3" t="s">
        <v>10</v>
      </c>
      <c r="B6" s="3">
        <v>192.95</v>
      </c>
      <c r="C6" s="3">
        <v>206.49</v>
      </c>
      <c r="D6" s="3">
        <v>189.33</v>
      </c>
      <c r="E6" s="3">
        <v>203.72</v>
      </c>
      <c r="F6" s="3">
        <v>184.83</v>
      </c>
      <c r="G6" s="3">
        <v>180.15</v>
      </c>
    </row>
    <row r="7" spans="1:7" x14ac:dyDescent="0.25">
      <c r="A7" s="1" t="s">
        <v>11</v>
      </c>
      <c r="B7" s="1">
        <v>1815.86</v>
      </c>
      <c r="C7" s="1">
        <v>1972.67</v>
      </c>
      <c r="D7" s="1">
        <v>1815.13</v>
      </c>
      <c r="E7" s="1">
        <v>1906.82</v>
      </c>
      <c r="F7" s="1">
        <v>1758.02</v>
      </c>
      <c r="G7" s="1">
        <v>1719.17</v>
      </c>
    </row>
    <row r="8" spans="1:7" x14ac:dyDescent="0.25">
      <c r="A8" s="1" t="s">
        <v>12</v>
      </c>
      <c r="B8" s="1">
        <v>181.59</v>
      </c>
      <c r="C8" s="1">
        <v>199.26</v>
      </c>
      <c r="D8" s="1">
        <v>183.35</v>
      </c>
      <c r="E8" s="1">
        <v>192.61</v>
      </c>
      <c r="F8" s="1">
        <v>177.58</v>
      </c>
      <c r="G8" s="1">
        <v>175.43</v>
      </c>
    </row>
    <row r="9" spans="1:7" x14ac:dyDescent="0.25">
      <c r="A9" s="1" t="s">
        <v>13</v>
      </c>
      <c r="B9" s="1">
        <v>1815.86</v>
      </c>
      <c r="C9" s="1">
        <v>1972.67</v>
      </c>
      <c r="D9" s="1">
        <v>1815.13</v>
      </c>
      <c r="E9" s="1">
        <v>1906.82</v>
      </c>
      <c r="F9" s="1">
        <v>1758.02</v>
      </c>
      <c r="G9" s="1">
        <v>1719.17</v>
      </c>
    </row>
    <row r="10" spans="1:7" x14ac:dyDescent="0.25">
      <c r="A10" s="1" t="s">
        <v>14</v>
      </c>
      <c r="B10" s="1">
        <v>181.59</v>
      </c>
      <c r="C10" s="1">
        <v>199.26</v>
      </c>
      <c r="D10" s="1">
        <v>183.35</v>
      </c>
      <c r="E10" s="1">
        <v>192.61</v>
      </c>
      <c r="F10" s="1">
        <v>177.58</v>
      </c>
      <c r="G10" s="1">
        <v>175.43</v>
      </c>
    </row>
    <row r="11" spans="1:7" x14ac:dyDescent="0.25">
      <c r="A11" s="1" t="s">
        <v>15</v>
      </c>
      <c r="B11" s="1">
        <v>1235.82</v>
      </c>
      <c r="C11" s="1">
        <v>1389.63</v>
      </c>
      <c r="D11" s="1">
        <v>1267.17</v>
      </c>
      <c r="E11" s="1">
        <v>1441.95</v>
      </c>
      <c r="F11" s="1">
        <v>1268.73</v>
      </c>
      <c r="G11" s="1">
        <v>1116.6600000000001</v>
      </c>
    </row>
    <row r="12" spans="1:7" x14ac:dyDescent="0.25">
      <c r="A12" s="1" t="s">
        <v>16</v>
      </c>
      <c r="B12" s="1">
        <v>300.51</v>
      </c>
      <c r="C12" s="1">
        <v>302.95</v>
      </c>
      <c r="D12" s="1">
        <v>280.87</v>
      </c>
      <c r="E12" s="1">
        <v>294.66000000000003</v>
      </c>
      <c r="F12" s="1">
        <v>304.76</v>
      </c>
      <c r="G12" s="1">
        <v>290.12</v>
      </c>
    </row>
    <row r="13" spans="1:7" x14ac:dyDescent="0.25">
      <c r="A13" s="1" t="s">
        <v>17</v>
      </c>
      <c r="B13" s="1">
        <v>51.08</v>
      </c>
      <c r="C13" s="1">
        <v>50.72</v>
      </c>
      <c r="D13" s="1">
        <v>52</v>
      </c>
      <c r="E13" s="1">
        <v>45.42</v>
      </c>
      <c r="F13" s="1">
        <v>45.77</v>
      </c>
      <c r="G13" s="1">
        <v>56.38</v>
      </c>
    </row>
    <row r="14" spans="1:7" x14ac:dyDescent="0.25">
      <c r="A14" s="1" t="s">
        <v>18</v>
      </c>
      <c r="B14" s="1">
        <v>94.14</v>
      </c>
      <c r="C14" s="1">
        <v>99.31</v>
      </c>
      <c r="D14" s="1">
        <v>102.64</v>
      </c>
      <c r="E14" s="1">
        <v>90.89</v>
      </c>
      <c r="F14" s="1">
        <v>92.49</v>
      </c>
      <c r="G14" s="1">
        <v>100.12</v>
      </c>
    </row>
    <row r="15" spans="1:7" x14ac:dyDescent="0.25">
      <c r="A15" s="1" t="s">
        <v>19</v>
      </c>
      <c r="B15" s="1">
        <v>9</v>
      </c>
      <c r="C15" s="1">
        <v>9</v>
      </c>
      <c r="D15" s="1">
        <v>8</v>
      </c>
      <c r="E15" s="1">
        <v>10</v>
      </c>
      <c r="F15" s="1">
        <v>9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1815.86</v>
      </c>
      <c r="C17" s="1">
        <v>1972.67</v>
      </c>
      <c r="D17" s="1">
        <v>1815.13</v>
      </c>
      <c r="E17" s="1">
        <v>1906.82</v>
      </c>
      <c r="F17" s="1">
        <v>1758.02</v>
      </c>
      <c r="G17" s="1">
        <v>1719.17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188.39</v>
      </c>
      <c r="C33" s="3">
        <v>203.84</v>
      </c>
      <c r="D33" s="3">
        <v>186.49</v>
      </c>
      <c r="E33" s="3">
        <v>199.42</v>
      </c>
      <c r="F33" s="3">
        <v>181.1</v>
      </c>
      <c r="G33" s="3">
        <v>178.06</v>
      </c>
    </row>
    <row r="35" spans="1:7" x14ac:dyDescent="0.25">
      <c r="A35" s="3" t="s">
        <v>36</v>
      </c>
      <c r="B35" s="3"/>
      <c r="C35" s="3"/>
      <c r="D35" s="3">
        <f>D33-C33</f>
        <v>-17.349999999999994</v>
      </c>
      <c r="E35" s="3"/>
      <c r="F35" s="3">
        <f>F33-E33</f>
        <v>-18.319999999999993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12.929999999999978</v>
      </c>
      <c r="F37" s="3"/>
      <c r="G37" s="3">
        <f>G33-F33</f>
        <v>-3.039999999999992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1075-4AB8-469B-9200-C44D849A48CF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511.62</v>
      </c>
      <c r="C2" s="1">
        <v>537.97</v>
      </c>
      <c r="D2" s="1">
        <v>541.70000000000005</v>
      </c>
      <c r="E2" s="1">
        <v>543.27</v>
      </c>
      <c r="F2" s="1">
        <v>512.49</v>
      </c>
      <c r="G2" s="1">
        <v>555.22</v>
      </c>
    </row>
    <row r="3" spans="1:7" x14ac:dyDescent="0.25">
      <c r="A3" s="1" t="s">
        <v>7</v>
      </c>
      <c r="B3" s="1">
        <v>42.45</v>
      </c>
      <c r="C3" s="1">
        <v>44.93</v>
      </c>
      <c r="D3" s="1">
        <v>47.44</v>
      </c>
      <c r="E3" s="1">
        <v>46.33</v>
      </c>
      <c r="F3" s="1">
        <v>48.17</v>
      </c>
      <c r="G3" s="1">
        <v>44.17</v>
      </c>
    </row>
    <row r="4" spans="1:7" x14ac:dyDescent="0.25">
      <c r="A4" s="1" t="s">
        <v>8</v>
      </c>
      <c r="B4" s="1">
        <v>22081.03</v>
      </c>
      <c r="C4" s="1">
        <v>24573.4</v>
      </c>
      <c r="D4" s="1">
        <v>26124.57</v>
      </c>
      <c r="E4" s="1">
        <v>25598.05</v>
      </c>
      <c r="F4" s="1">
        <v>25071.91</v>
      </c>
      <c r="G4" s="1">
        <v>24914.47</v>
      </c>
    </row>
    <row r="5" spans="1:7" x14ac:dyDescent="0.25">
      <c r="A5" s="1" t="s">
        <v>9</v>
      </c>
      <c r="B5" s="1">
        <v>427.65</v>
      </c>
      <c r="C5" s="1">
        <v>440.62</v>
      </c>
      <c r="D5" s="1">
        <v>365.39</v>
      </c>
      <c r="E5" s="1">
        <v>390.05</v>
      </c>
      <c r="F5" s="1">
        <v>330.66</v>
      </c>
      <c r="G5" s="1">
        <v>375.17</v>
      </c>
    </row>
    <row r="6" spans="1:7" x14ac:dyDescent="0.25">
      <c r="A6" s="3" t="s">
        <v>10</v>
      </c>
      <c r="B6" s="3">
        <v>42.77</v>
      </c>
      <c r="C6" s="3">
        <v>44.51</v>
      </c>
      <c r="D6" s="3">
        <v>36.909999999999997</v>
      </c>
      <c r="E6" s="3">
        <v>39.4</v>
      </c>
      <c r="F6" s="3">
        <v>33.4</v>
      </c>
      <c r="G6" s="3">
        <v>38.28</v>
      </c>
    </row>
    <row r="7" spans="1:7" x14ac:dyDescent="0.25">
      <c r="A7" s="1" t="s">
        <v>11</v>
      </c>
      <c r="B7" s="1">
        <v>420.24</v>
      </c>
      <c r="C7" s="1">
        <v>436.88</v>
      </c>
      <c r="D7" s="1">
        <v>361.8</v>
      </c>
      <c r="E7" s="1">
        <v>385.55</v>
      </c>
      <c r="F7" s="1">
        <v>327.49</v>
      </c>
      <c r="G7" s="1">
        <v>347.29</v>
      </c>
    </row>
    <row r="8" spans="1:7" x14ac:dyDescent="0.25">
      <c r="A8" s="1" t="s">
        <v>12</v>
      </c>
      <c r="B8" s="1">
        <v>42.02</v>
      </c>
      <c r="C8" s="1">
        <v>44.13</v>
      </c>
      <c r="D8" s="1">
        <v>36.549999999999997</v>
      </c>
      <c r="E8" s="1">
        <v>38.94</v>
      </c>
      <c r="F8" s="1">
        <v>33.08</v>
      </c>
      <c r="G8" s="1">
        <v>35.44</v>
      </c>
    </row>
    <row r="9" spans="1:7" x14ac:dyDescent="0.25">
      <c r="A9" s="1" t="s">
        <v>13</v>
      </c>
      <c r="B9" s="1">
        <v>420.24</v>
      </c>
      <c r="C9" s="1">
        <v>436.88</v>
      </c>
      <c r="D9" s="1">
        <v>361.8</v>
      </c>
      <c r="E9" s="1">
        <v>385.55</v>
      </c>
      <c r="F9" s="1">
        <v>310.77</v>
      </c>
      <c r="G9" s="1">
        <v>345.06</v>
      </c>
    </row>
    <row r="10" spans="1:7" x14ac:dyDescent="0.25">
      <c r="A10" s="1" t="s">
        <v>14</v>
      </c>
      <c r="B10" s="1">
        <v>42.02</v>
      </c>
      <c r="C10" s="1">
        <v>44.13</v>
      </c>
      <c r="D10" s="1">
        <v>36.549999999999997</v>
      </c>
      <c r="E10" s="1">
        <v>38.94</v>
      </c>
      <c r="F10" s="1">
        <v>31.39</v>
      </c>
      <c r="G10" s="1">
        <v>35.21</v>
      </c>
    </row>
    <row r="11" spans="1:7" x14ac:dyDescent="0.25">
      <c r="A11" s="1" t="s">
        <v>15</v>
      </c>
      <c r="B11" s="1">
        <v>357.37</v>
      </c>
      <c r="C11" s="1">
        <v>373.6</v>
      </c>
      <c r="D11" s="1">
        <v>314.93</v>
      </c>
      <c r="E11" s="1">
        <v>307.35000000000002</v>
      </c>
      <c r="F11" s="1">
        <v>285.01</v>
      </c>
      <c r="G11" s="1">
        <v>250.54</v>
      </c>
    </row>
    <row r="12" spans="1:7" x14ac:dyDescent="0.25">
      <c r="A12" s="1" t="s">
        <v>16</v>
      </c>
      <c r="B12" s="1">
        <v>251.22</v>
      </c>
      <c r="C12" s="1">
        <v>289.32</v>
      </c>
      <c r="D12" s="1">
        <v>273.95</v>
      </c>
      <c r="E12" s="1">
        <v>271.94</v>
      </c>
      <c r="F12" s="1">
        <v>322.81</v>
      </c>
      <c r="G12" s="1">
        <v>277.89</v>
      </c>
    </row>
    <row r="13" spans="1:7" x14ac:dyDescent="0.25">
      <c r="A13" s="1" t="s">
        <v>17</v>
      </c>
      <c r="B13" s="1">
        <v>42.06</v>
      </c>
      <c r="C13" s="1">
        <v>34.950000000000003</v>
      </c>
      <c r="D13" s="1">
        <v>26.24</v>
      </c>
      <c r="E13" s="1">
        <v>35.9</v>
      </c>
      <c r="F13" s="1">
        <v>42.03</v>
      </c>
      <c r="G13" s="1">
        <v>44.4</v>
      </c>
    </row>
    <row r="14" spans="1:7" x14ac:dyDescent="0.25">
      <c r="A14" s="1" t="s">
        <v>18</v>
      </c>
      <c r="B14" s="1">
        <v>80.62</v>
      </c>
      <c r="C14" s="1">
        <v>60.84</v>
      </c>
      <c r="D14" s="1">
        <v>47.18</v>
      </c>
      <c r="E14" s="1">
        <v>62.14</v>
      </c>
      <c r="F14" s="1">
        <v>83.66</v>
      </c>
      <c r="G14" s="1">
        <v>91.82</v>
      </c>
    </row>
    <row r="15" spans="1:7" x14ac:dyDescent="0.25">
      <c r="A15" s="1" t="s">
        <v>19</v>
      </c>
      <c r="B15" s="1">
        <v>3</v>
      </c>
      <c r="C15" s="1">
        <v>3</v>
      </c>
      <c r="D15" s="1">
        <v>2</v>
      </c>
      <c r="E15" s="1">
        <v>2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420.24</v>
      </c>
      <c r="C17" s="1">
        <v>436.88</v>
      </c>
      <c r="D17" s="1">
        <v>361.8</v>
      </c>
      <c r="E17" s="1">
        <v>385.55</v>
      </c>
      <c r="F17" s="1">
        <v>319.13</v>
      </c>
      <c r="G17" s="1">
        <v>346.17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8.36</v>
      </c>
      <c r="G18" s="1">
        <v>1.1100000000000001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4.3</v>
      </c>
      <c r="C25" s="1">
        <v>1</v>
      </c>
      <c r="D25" s="1">
        <v>0</v>
      </c>
      <c r="E25" s="1">
        <v>0</v>
      </c>
      <c r="F25" s="1">
        <v>7.5</v>
      </c>
      <c r="G25" s="1">
        <v>4.0999999999999996</v>
      </c>
    </row>
    <row r="26" spans="1:7" x14ac:dyDescent="0.25">
      <c r="A26" s="1" t="s">
        <v>30</v>
      </c>
      <c r="B26" s="1">
        <v>5.8</v>
      </c>
      <c r="C26" s="1">
        <v>9</v>
      </c>
      <c r="D26" s="1">
        <v>10</v>
      </c>
      <c r="E26" s="1">
        <v>10</v>
      </c>
      <c r="F26" s="1">
        <v>2.5</v>
      </c>
      <c r="G26" s="1">
        <v>5.8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42.574257425742573</v>
      </c>
      <c r="C30" s="3">
        <f t="shared" ref="C30:G30" si="2">C25/C28*100</f>
        <v>10</v>
      </c>
      <c r="D30" s="3">
        <f t="shared" si="2"/>
        <v>0</v>
      </c>
      <c r="E30" s="3">
        <f t="shared" si="2"/>
        <v>0</v>
      </c>
      <c r="F30" s="3">
        <f t="shared" si="2"/>
        <v>75</v>
      </c>
      <c r="G30" s="3">
        <f t="shared" si="2"/>
        <v>41.414141414141412</v>
      </c>
    </row>
    <row r="31" spans="1:7" x14ac:dyDescent="0.25">
      <c r="A31" s="3" t="s">
        <v>34</v>
      </c>
      <c r="B31" s="3">
        <f>B26/B28*100</f>
        <v>57.42574257425742</v>
      </c>
      <c r="C31" s="3">
        <f t="shared" ref="C31:G31" si="3">C26/C28*100</f>
        <v>90</v>
      </c>
      <c r="D31" s="3">
        <f t="shared" si="3"/>
        <v>100</v>
      </c>
      <c r="E31" s="3">
        <f t="shared" si="3"/>
        <v>100</v>
      </c>
      <c r="F31" s="3">
        <f t="shared" si="3"/>
        <v>25</v>
      </c>
      <c r="G31" s="3">
        <f t="shared" si="3"/>
        <v>58.585858585858595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41.79</v>
      </c>
      <c r="C33" s="3">
        <v>44.96</v>
      </c>
      <c r="D33" s="3">
        <v>36.909999999999997</v>
      </c>
      <c r="E33" s="3">
        <v>39.840000000000003</v>
      </c>
      <c r="F33" s="3">
        <v>31.41</v>
      </c>
      <c r="G33" s="3">
        <v>37.08</v>
      </c>
    </row>
    <row r="35" spans="1:7" x14ac:dyDescent="0.25">
      <c r="A35" s="3" t="s">
        <v>36</v>
      </c>
      <c r="B35" s="3"/>
      <c r="C35" s="3"/>
      <c r="D35" s="3">
        <f>D33-C33</f>
        <v>-8.0500000000000043</v>
      </c>
      <c r="E35" s="3"/>
      <c r="F35" s="3">
        <f>F33-E33</f>
        <v>-8.4300000000000033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2.9300000000000068</v>
      </c>
      <c r="F37" s="3"/>
      <c r="G37" s="3">
        <f>G33-F33</f>
        <v>5.6699999999999982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778D-3EA8-4D50-82DD-2AE8EB6D7ACD}">
  <dimension ref="A1:G37"/>
  <sheetViews>
    <sheetView topLeftCell="A13" workbookViewId="0">
      <selection activeCell="D46" sqref="D4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510.99</v>
      </c>
      <c r="C2" s="1">
        <v>518.78</v>
      </c>
      <c r="D2" s="1">
        <v>518.29999999999995</v>
      </c>
      <c r="E2" s="1">
        <v>532.51</v>
      </c>
      <c r="F2" s="1">
        <v>528.54999999999995</v>
      </c>
      <c r="G2" s="1">
        <v>528.87</v>
      </c>
    </row>
    <row r="3" spans="1:7" x14ac:dyDescent="0.25">
      <c r="A3" s="1" t="s">
        <v>7</v>
      </c>
      <c r="B3" s="1">
        <v>43.21</v>
      </c>
      <c r="C3" s="1">
        <v>44.52</v>
      </c>
      <c r="D3" s="1">
        <v>43.77</v>
      </c>
      <c r="E3" s="1">
        <v>46.94</v>
      </c>
      <c r="F3" s="1">
        <v>47.45</v>
      </c>
      <c r="G3" s="1">
        <v>48.46</v>
      </c>
    </row>
    <row r="4" spans="1:7" x14ac:dyDescent="0.25">
      <c r="A4" s="1" t="s">
        <v>8</v>
      </c>
      <c r="B4" s="1">
        <v>22463.03</v>
      </c>
      <c r="C4" s="1">
        <v>23486.74</v>
      </c>
      <c r="D4" s="1">
        <v>23062.560000000001</v>
      </c>
      <c r="E4" s="1">
        <v>25432.89</v>
      </c>
      <c r="F4" s="1">
        <v>25524.1</v>
      </c>
      <c r="G4" s="1">
        <v>26071.67</v>
      </c>
    </row>
    <row r="5" spans="1:7" x14ac:dyDescent="0.25">
      <c r="A5" s="1" t="s">
        <v>9</v>
      </c>
      <c r="B5" s="1">
        <v>1395.04</v>
      </c>
      <c r="C5" s="1">
        <v>1290.6600000000001</v>
      </c>
      <c r="D5" s="1">
        <v>1405.64</v>
      </c>
      <c r="E5" s="1">
        <v>1709.07</v>
      </c>
      <c r="F5" s="1">
        <v>1364.21</v>
      </c>
      <c r="G5" s="1">
        <v>1466.98</v>
      </c>
    </row>
    <row r="6" spans="1:7" x14ac:dyDescent="0.25">
      <c r="A6" s="3" t="s">
        <v>10</v>
      </c>
      <c r="B6" s="3">
        <v>139.5</v>
      </c>
      <c r="C6" s="3">
        <v>130.37</v>
      </c>
      <c r="D6" s="3">
        <v>141.97999999999999</v>
      </c>
      <c r="E6" s="3">
        <v>172.63</v>
      </c>
      <c r="F6" s="3">
        <v>137.80000000000001</v>
      </c>
      <c r="G6" s="3">
        <v>149.69</v>
      </c>
    </row>
    <row r="7" spans="1:7" x14ac:dyDescent="0.25">
      <c r="A7" s="1" t="s">
        <v>11</v>
      </c>
      <c r="B7" s="1">
        <v>1333.03</v>
      </c>
      <c r="C7" s="1">
        <v>1239.33</v>
      </c>
      <c r="D7" s="1">
        <v>1367.44</v>
      </c>
      <c r="E7" s="1">
        <v>1650.71</v>
      </c>
      <c r="F7" s="1">
        <v>1315.91</v>
      </c>
      <c r="G7" s="1">
        <v>1398.88</v>
      </c>
    </row>
    <row r="8" spans="1:7" x14ac:dyDescent="0.25">
      <c r="A8" s="1" t="s">
        <v>12</v>
      </c>
      <c r="B8" s="1">
        <v>133.30000000000001</v>
      </c>
      <c r="C8" s="1">
        <v>125.18</v>
      </c>
      <c r="D8" s="1">
        <v>138.13</v>
      </c>
      <c r="E8" s="1">
        <v>166.74</v>
      </c>
      <c r="F8" s="1">
        <v>132.91999999999999</v>
      </c>
      <c r="G8" s="1">
        <v>142.74</v>
      </c>
    </row>
    <row r="9" spans="1:7" x14ac:dyDescent="0.25">
      <c r="A9" s="1" t="s">
        <v>13</v>
      </c>
      <c r="B9" s="1">
        <v>1333.03</v>
      </c>
      <c r="C9" s="1">
        <v>1239.24</v>
      </c>
      <c r="D9" s="1">
        <v>1367.44</v>
      </c>
      <c r="E9" s="1">
        <v>1650.71</v>
      </c>
      <c r="F9" s="1">
        <v>1315.91</v>
      </c>
      <c r="G9" s="1">
        <v>1398.88</v>
      </c>
    </row>
    <row r="10" spans="1:7" x14ac:dyDescent="0.25">
      <c r="A10" s="1" t="s">
        <v>14</v>
      </c>
      <c r="B10" s="1">
        <v>133.30000000000001</v>
      </c>
      <c r="C10" s="1">
        <v>125.18</v>
      </c>
      <c r="D10" s="1">
        <v>138.13</v>
      </c>
      <c r="E10" s="1">
        <v>166.74</v>
      </c>
      <c r="F10" s="1">
        <v>132.91999999999999</v>
      </c>
      <c r="G10" s="1">
        <v>142.74</v>
      </c>
    </row>
    <row r="11" spans="1:7" x14ac:dyDescent="0.25">
      <c r="A11" s="1" t="s">
        <v>15</v>
      </c>
      <c r="B11" s="1">
        <v>1145.8</v>
      </c>
      <c r="C11" s="1">
        <v>984.99</v>
      </c>
      <c r="D11" s="1">
        <v>1088.3399999999999</v>
      </c>
      <c r="E11" s="1">
        <v>1334.32</v>
      </c>
      <c r="F11" s="1">
        <v>1119.6500000000001</v>
      </c>
      <c r="G11" s="1">
        <v>1203.27</v>
      </c>
    </row>
    <row r="12" spans="1:7" x14ac:dyDescent="0.25">
      <c r="A12" s="1" t="s">
        <v>16</v>
      </c>
      <c r="B12" s="1">
        <v>297.02999999999997</v>
      </c>
      <c r="C12" s="1">
        <v>307.05</v>
      </c>
      <c r="D12" s="1">
        <v>296.41000000000003</v>
      </c>
      <c r="E12" s="1">
        <v>302.14999999999998</v>
      </c>
      <c r="F12" s="1">
        <v>311.02</v>
      </c>
      <c r="G12" s="1">
        <v>304.81</v>
      </c>
    </row>
    <row r="13" spans="1:7" x14ac:dyDescent="0.25">
      <c r="A13" s="1" t="s">
        <v>17</v>
      </c>
      <c r="B13" s="1">
        <v>32.43</v>
      </c>
      <c r="C13" s="1">
        <v>37.33</v>
      </c>
      <c r="D13" s="1">
        <v>36.729999999999997</v>
      </c>
      <c r="E13" s="1">
        <v>44.16</v>
      </c>
      <c r="F13" s="1">
        <v>39.04</v>
      </c>
      <c r="G13" s="1">
        <v>42.64</v>
      </c>
    </row>
    <row r="14" spans="1:7" x14ac:dyDescent="0.25">
      <c r="A14" s="1" t="s">
        <v>18</v>
      </c>
      <c r="B14" s="1">
        <v>77.260000000000005</v>
      </c>
      <c r="C14" s="1">
        <v>70.16</v>
      </c>
      <c r="D14" s="1">
        <v>75.41</v>
      </c>
      <c r="E14" s="1">
        <v>82.18</v>
      </c>
      <c r="F14" s="1">
        <v>77.28</v>
      </c>
      <c r="G14" s="1">
        <v>80.790000000000006</v>
      </c>
    </row>
    <row r="15" spans="1:7" x14ac:dyDescent="0.25">
      <c r="A15" s="1" t="s">
        <v>19</v>
      </c>
      <c r="B15" s="1">
        <v>8</v>
      </c>
      <c r="C15" s="1">
        <v>6</v>
      </c>
      <c r="D15" s="1">
        <v>6</v>
      </c>
      <c r="E15" s="1">
        <v>9</v>
      </c>
      <c r="F15" s="1">
        <v>9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1333.03</v>
      </c>
      <c r="C17" s="1">
        <v>1239.28</v>
      </c>
      <c r="D17" s="1">
        <v>1367.44</v>
      </c>
      <c r="E17" s="1">
        <v>1650.71</v>
      </c>
      <c r="F17" s="1">
        <v>1315.91</v>
      </c>
      <c r="G17" s="1">
        <v>1398.88</v>
      </c>
    </row>
    <row r="18" spans="1:7" x14ac:dyDescent="0.25">
      <c r="A18" s="1" t="s">
        <v>22</v>
      </c>
      <c r="B18" s="1">
        <v>0</v>
      </c>
      <c r="C18" s="1">
        <v>0.05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137.38</v>
      </c>
      <c r="C33" s="3">
        <v>128.58000000000001</v>
      </c>
      <c r="D33" s="3">
        <v>142.69</v>
      </c>
      <c r="E33" s="3">
        <v>171.39</v>
      </c>
      <c r="F33" s="3">
        <v>135.56</v>
      </c>
      <c r="G33" s="3">
        <v>150.53</v>
      </c>
    </row>
    <row r="35" spans="1:7" x14ac:dyDescent="0.25">
      <c r="A35" s="3" t="s">
        <v>36</v>
      </c>
      <c r="B35" s="3"/>
      <c r="C35" s="3"/>
      <c r="D35" s="3">
        <f>D33-C33</f>
        <v>14.109999999999985</v>
      </c>
      <c r="E35" s="3"/>
      <c r="F35" s="3">
        <f>F33-E33</f>
        <v>-35.829999999999984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28.699999999999989</v>
      </c>
      <c r="F37" s="3"/>
      <c r="G37" s="3">
        <f>G33-F33</f>
        <v>14.969999999999999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CE7E-DCB2-4C7E-8ADB-3B9C404BDCE6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580.65</v>
      </c>
      <c r="C2" s="1">
        <v>563.91999999999996</v>
      </c>
      <c r="D2" s="1">
        <v>561.79</v>
      </c>
      <c r="E2" s="1">
        <v>565.79999999999995</v>
      </c>
      <c r="F2" s="1">
        <v>568.34</v>
      </c>
      <c r="G2" s="1">
        <v>574.52</v>
      </c>
    </row>
    <row r="3" spans="1:7" x14ac:dyDescent="0.25">
      <c r="A3" s="1" t="s">
        <v>7</v>
      </c>
      <c r="B3" s="1">
        <v>46</v>
      </c>
      <c r="C3" s="1">
        <v>47.98</v>
      </c>
      <c r="D3" s="1">
        <v>50.08</v>
      </c>
      <c r="E3" s="1">
        <v>53.07</v>
      </c>
      <c r="F3" s="1">
        <v>54.57</v>
      </c>
      <c r="G3" s="1">
        <v>55.27</v>
      </c>
    </row>
    <row r="4" spans="1:7" x14ac:dyDescent="0.25">
      <c r="A4" s="1" t="s">
        <v>8</v>
      </c>
      <c r="B4" s="1">
        <v>27168.09</v>
      </c>
      <c r="C4" s="1">
        <v>27500.16</v>
      </c>
      <c r="D4" s="1">
        <v>28594.98</v>
      </c>
      <c r="E4" s="1">
        <v>30524.35</v>
      </c>
      <c r="F4" s="1">
        <v>31537.75</v>
      </c>
      <c r="G4" s="1">
        <v>32270.33</v>
      </c>
    </row>
    <row r="5" spans="1:7" x14ac:dyDescent="0.25">
      <c r="A5" s="1" t="s">
        <v>9</v>
      </c>
      <c r="B5" s="1">
        <v>952.86</v>
      </c>
      <c r="C5" s="1">
        <v>813.99</v>
      </c>
      <c r="D5" s="1">
        <v>751.67</v>
      </c>
      <c r="E5" s="1">
        <v>820.74</v>
      </c>
      <c r="F5" s="1">
        <v>466.13</v>
      </c>
      <c r="G5" s="1">
        <v>502.16</v>
      </c>
    </row>
    <row r="6" spans="1:7" x14ac:dyDescent="0.25">
      <c r="A6" s="3" t="s">
        <v>10</v>
      </c>
      <c r="B6" s="3">
        <v>95.29</v>
      </c>
      <c r="C6" s="3">
        <v>82.22</v>
      </c>
      <c r="D6" s="3">
        <v>75.930000000000007</v>
      </c>
      <c r="E6" s="3">
        <v>82.9</v>
      </c>
      <c r="F6" s="3">
        <v>47.08</v>
      </c>
      <c r="G6" s="3">
        <v>51.24</v>
      </c>
    </row>
    <row r="7" spans="1:7" x14ac:dyDescent="0.25">
      <c r="A7" s="1" t="s">
        <v>11</v>
      </c>
      <c r="B7" s="1">
        <v>922.75</v>
      </c>
      <c r="C7" s="1">
        <v>774.09</v>
      </c>
      <c r="D7" s="1">
        <v>722.98</v>
      </c>
      <c r="E7" s="1">
        <v>790.78</v>
      </c>
      <c r="F7" s="1">
        <v>440.84</v>
      </c>
      <c r="G7" s="1">
        <v>487.31</v>
      </c>
    </row>
    <row r="8" spans="1:7" x14ac:dyDescent="0.25">
      <c r="A8" s="1" t="s">
        <v>12</v>
      </c>
      <c r="B8" s="1">
        <v>92.27</v>
      </c>
      <c r="C8" s="1">
        <v>78.19</v>
      </c>
      <c r="D8" s="1">
        <v>73.03</v>
      </c>
      <c r="E8" s="1">
        <v>79.88</v>
      </c>
      <c r="F8" s="1">
        <v>44.53</v>
      </c>
      <c r="G8" s="1">
        <v>49.73</v>
      </c>
    </row>
    <row r="9" spans="1:7" x14ac:dyDescent="0.25">
      <c r="A9" s="1" t="s">
        <v>13</v>
      </c>
      <c r="B9" s="1">
        <v>922.75</v>
      </c>
      <c r="C9" s="1">
        <v>774.09</v>
      </c>
      <c r="D9" s="1">
        <v>722.98</v>
      </c>
      <c r="E9" s="1">
        <v>790.78</v>
      </c>
      <c r="F9" s="1">
        <v>435.18</v>
      </c>
      <c r="G9" s="1">
        <v>481.96</v>
      </c>
    </row>
    <row r="10" spans="1:7" x14ac:dyDescent="0.25">
      <c r="A10" s="1" t="s">
        <v>14</v>
      </c>
      <c r="B10" s="1">
        <v>92.27</v>
      </c>
      <c r="C10" s="1">
        <v>78.19</v>
      </c>
      <c r="D10" s="1">
        <v>73.03</v>
      </c>
      <c r="E10" s="1">
        <v>79.88</v>
      </c>
      <c r="F10" s="1">
        <v>43.96</v>
      </c>
      <c r="G10" s="1">
        <v>49.18</v>
      </c>
    </row>
    <row r="11" spans="1:7" x14ac:dyDescent="0.25">
      <c r="A11" s="1" t="s">
        <v>15</v>
      </c>
      <c r="B11" s="1">
        <v>675.4</v>
      </c>
      <c r="C11" s="1">
        <v>582.17999999999995</v>
      </c>
      <c r="D11" s="1">
        <v>484.45</v>
      </c>
      <c r="E11" s="1">
        <v>541.13</v>
      </c>
      <c r="F11" s="1">
        <v>358.01</v>
      </c>
      <c r="G11" s="1">
        <v>333.15</v>
      </c>
    </row>
    <row r="12" spans="1:7" x14ac:dyDescent="0.25">
      <c r="A12" s="1" t="s">
        <v>16</v>
      </c>
      <c r="B12" s="1">
        <v>266.68</v>
      </c>
      <c r="C12" s="1">
        <v>265.72000000000003</v>
      </c>
      <c r="D12" s="1">
        <v>257.35000000000002</v>
      </c>
      <c r="E12" s="1">
        <v>253.09</v>
      </c>
      <c r="F12" s="1">
        <v>279.92</v>
      </c>
      <c r="G12" s="1">
        <v>269.54000000000002</v>
      </c>
    </row>
    <row r="13" spans="1:7" x14ac:dyDescent="0.25">
      <c r="A13" s="1" t="s">
        <v>17</v>
      </c>
      <c r="B13" s="1">
        <v>41.07</v>
      </c>
      <c r="C13" s="1">
        <v>38.75</v>
      </c>
      <c r="D13" s="1">
        <v>43.44</v>
      </c>
      <c r="E13" s="1">
        <v>45.48</v>
      </c>
      <c r="F13" s="1">
        <v>32.090000000000003</v>
      </c>
      <c r="G13" s="1">
        <v>42.93</v>
      </c>
    </row>
    <row r="14" spans="1:7" x14ac:dyDescent="0.25">
      <c r="A14" s="1" t="s">
        <v>18</v>
      </c>
      <c r="B14" s="1">
        <v>92.6</v>
      </c>
      <c r="C14" s="1">
        <v>73.48</v>
      </c>
      <c r="D14" s="1">
        <v>99.61</v>
      </c>
      <c r="E14" s="1">
        <v>94.08</v>
      </c>
      <c r="F14" s="1">
        <v>79.06</v>
      </c>
      <c r="G14" s="1">
        <v>86.24</v>
      </c>
    </row>
    <row r="15" spans="1:7" x14ac:dyDescent="0.25">
      <c r="A15" s="1" t="s">
        <v>19</v>
      </c>
      <c r="B15" s="1">
        <v>6</v>
      </c>
      <c r="C15" s="1">
        <v>3</v>
      </c>
      <c r="D15" s="1">
        <v>4</v>
      </c>
      <c r="E15" s="1">
        <v>3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922.75</v>
      </c>
      <c r="C17" s="1">
        <v>774.09</v>
      </c>
      <c r="D17" s="1">
        <v>722.98</v>
      </c>
      <c r="E17" s="1">
        <v>790.78</v>
      </c>
      <c r="F17" s="1">
        <v>438.01</v>
      </c>
      <c r="G17" s="1">
        <v>484.63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2.83</v>
      </c>
      <c r="G18" s="1">
        <v>2.68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4.2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42.000000000000007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57.999999999999993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93.77</v>
      </c>
      <c r="C33" s="3">
        <v>81.599999999999994</v>
      </c>
      <c r="D33" s="3">
        <v>75.66</v>
      </c>
      <c r="E33" s="3">
        <v>82.23</v>
      </c>
      <c r="F33" s="3">
        <v>45.5</v>
      </c>
      <c r="G33" s="3">
        <v>50.6</v>
      </c>
    </row>
    <row r="35" spans="1:7" x14ac:dyDescent="0.25">
      <c r="A35" s="3" t="s">
        <v>36</v>
      </c>
      <c r="B35" s="3"/>
      <c r="C35" s="3"/>
      <c r="D35" s="3">
        <f>D33-C33</f>
        <v>-5.9399999999999977</v>
      </c>
      <c r="E35" s="3"/>
      <c r="F35" s="3">
        <f>F33-E33</f>
        <v>-36.730000000000004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6.5700000000000074</v>
      </c>
      <c r="F37" s="3"/>
      <c r="G37" s="3">
        <f>G33-F33</f>
        <v>5.1000000000000014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86BB-5502-4D85-A2A8-C35DAA8EDEBE}">
  <dimension ref="A1:G37"/>
  <sheetViews>
    <sheetView tabSelected="1" topLeftCell="A7" workbookViewId="0">
      <selection activeCell="N20" sqref="N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525.29</v>
      </c>
      <c r="C2" s="1">
        <v>552.39</v>
      </c>
      <c r="D2" s="1">
        <v>530.01</v>
      </c>
      <c r="E2" s="1">
        <v>504.15</v>
      </c>
      <c r="F2" s="1">
        <v>530.79</v>
      </c>
      <c r="G2" s="1">
        <v>536.11</v>
      </c>
    </row>
    <row r="3" spans="1:7" x14ac:dyDescent="0.25">
      <c r="A3" s="1" t="s">
        <v>7</v>
      </c>
      <c r="B3" s="1">
        <v>48.27</v>
      </c>
      <c r="C3" s="1">
        <v>49.43</v>
      </c>
      <c r="D3" s="1">
        <v>47.79</v>
      </c>
      <c r="E3" s="1">
        <v>49.74</v>
      </c>
      <c r="F3" s="1">
        <v>54.13</v>
      </c>
      <c r="G3" s="1">
        <v>46.35</v>
      </c>
    </row>
    <row r="4" spans="1:7" x14ac:dyDescent="0.25">
      <c r="A4" s="1" t="s">
        <v>8</v>
      </c>
      <c r="B4" s="1">
        <v>25757.57</v>
      </c>
      <c r="C4" s="1">
        <v>27770.3</v>
      </c>
      <c r="D4" s="1">
        <v>25760.86</v>
      </c>
      <c r="E4" s="1">
        <v>25459.89</v>
      </c>
      <c r="F4" s="1">
        <v>29223.37</v>
      </c>
      <c r="G4" s="1">
        <v>25272.94</v>
      </c>
    </row>
    <row r="5" spans="1:7" x14ac:dyDescent="0.25">
      <c r="A5" s="1" t="s">
        <v>9</v>
      </c>
      <c r="B5" s="1">
        <v>883.14</v>
      </c>
      <c r="C5" s="1">
        <v>741.45</v>
      </c>
      <c r="D5" s="1">
        <v>793.54</v>
      </c>
      <c r="E5" s="1">
        <v>693.62</v>
      </c>
      <c r="F5" s="1">
        <v>627.11</v>
      </c>
      <c r="G5" s="1">
        <v>909.22</v>
      </c>
    </row>
    <row r="6" spans="1:7" x14ac:dyDescent="0.25">
      <c r="A6" s="3" t="s">
        <v>10</v>
      </c>
      <c r="B6" s="3">
        <v>88.31</v>
      </c>
      <c r="C6" s="3">
        <v>74.89</v>
      </c>
      <c r="D6" s="3">
        <v>80.16</v>
      </c>
      <c r="E6" s="3">
        <v>70.06</v>
      </c>
      <c r="F6" s="3">
        <v>63.34</v>
      </c>
      <c r="G6" s="3">
        <v>92.78</v>
      </c>
    </row>
    <row r="7" spans="1:7" x14ac:dyDescent="0.25">
      <c r="A7" s="1" t="s">
        <v>11</v>
      </c>
      <c r="B7" s="1">
        <v>865.87</v>
      </c>
      <c r="C7" s="1">
        <v>730.92</v>
      </c>
      <c r="D7" s="1">
        <v>782.93</v>
      </c>
      <c r="E7" s="1">
        <v>687.54</v>
      </c>
      <c r="F7" s="1">
        <v>621.21</v>
      </c>
      <c r="G7" s="1">
        <v>904.91</v>
      </c>
    </row>
    <row r="8" spans="1:7" x14ac:dyDescent="0.25">
      <c r="A8" s="1" t="s">
        <v>12</v>
      </c>
      <c r="B8" s="1">
        <v>86.59</v>
      </c>
      <c r="C8" s="1">
        <v>73.83</v>
      </c>
      <c r="D8" s="1">
        <v>79.08</v>
      </c>
      <c r="E8" s="1">
        <v>69.45</v>
      </c>
      <c r="F8" s="1">
        <v>62.75</v>
      </c>
      <c r="G8" s="1">
        <v>92.34</v>
      </c>
    </row>
    <row r="9" spans="1:7" x14ac:dyDescent="0.25">
      <c r="A9" s="1" t="s">
        <v>13</v>
      </c>
      <c r="B9" s="1">
        <v>865.87</v>
      </c>
      <c r="C9" s="1">
        <v>730.92</v>
      </c>
      <c r="D9" s="1">
        <v>782.93</v>
      </c>
      <c r="E9" s="1">
        <v>687.54</v>
      </c>
      <c r="F9" s="1">
        <v>620.62</v>
      </c>
      <c r="G9" s="1">
        <v>904.07</v>
      </c>
    </row>
    <row r="10" spans="1:7" x14ac:dyDescent="0.25">
      <c r="A10" s="1" t="s">
        <v>14</v>
      </c>
      <c r="B10" s="1">
        <v>86.59</v>
      </c>
      <c r="C10" s="1">
        <v>73.83</v>
      </c>
      <c r="D10" s="1">
        <v>79.08</v>
      </c>
      <c r="E10" s="1">
        <v>69.45</v>
      </c>
      <c r="F10" s="1">
        <v>62.69</v>
      </c>
      <c r="G10" s="1">
        <v>92.25</v>
      </c>
    </row>
    <row r="11" spans="1:7" x14ac:dyDescent="0.25">
      <c r="A11" s="1" t="s">
        <v>15</v>
      </c>
      <c r="B11" s="1">
        <v>603.44000000000005</v>
      </c>
      <c r="C11" s="1">
        <v>577.29</v>
      </c>
      <c r="D11" s="1">
        <v>595.69000000000005</v>
      </c>
      <c r="E11" s="1">
        <v>510.06</v>
      </c>
      <c r="F11" s="1">
        <v>447.79</v>
      </c>
      <c r="G11" s="1">
        <v>769.86</v>
      </c>
    </row>
    <row r="12" spans="1:7" x14ac:dyDescent="0.25">
      <c r="A12" s="1" t="s">
        <v>16</v>
      </c>
      <c r="B12" s="1">
        <v>268.95999999999998</v>
      </c>
      <c r="C12" s="1">
        <v>306.48</v>
      </c>
      <c r="D12" s="1">
        <v>297.73</v>
      </c>
      <c r="E12" s="1">
        <v>283.97000000000003</v>
      </c>
      <c r="F12" s="1">
        <v>272.72000000000003</v>
      </c>
      <c r="G12" s="1">
        <v>282.75</v>
      </c>
    </row>
    <row r="13" spans="1:7" x14ac:dyDescent="0.25">
      <c r="A13" s="1" t="s">
        <v>17</v>
      </c>
      <c r="B13" s="1">
        <v>44.44</v>
      </c>
      <c r="C13" s="1">
        <v>35.18</v>
      </c>
      <c r="D13" s="1">
        <v>38.119999999999997</v>
      </c>
      <c r="E13" s="1">
        <v>39.74</v>
      </c>
      <c r="F13" s="1">
        <v>42.23</v>
      </c>
      <c r="G13" s="1">
        <v>27.22</v>
      </c>
    </row>
    <row r="14" spans="1:7" x14ac:dyDescent="0.25">
      <c r="A14" s="1" t="s">
        <v>18</v>
      </c>
      <c r="B14" s="1">
        <v>87.22</v>
      </c>
      <c r="C14" s="1">
        <v>65.28</v>
      </c>
      <c r="D14" s="1">
        <v>70.23</v>
      </c>
      <c r="E14" s="1">
        <v>92.03</v>
      </c>
      <c r="F14" s="1">
        <v>89.06</v>
      </c>
      <c r="G14" s="1">
        <v>61.19</v>
      </c>
    </row>
    <row r="15" spans="1:7" x14ac:dyDescent="0.25">
      <c r="A15" s="1" t="s">
        <v>19</v>
      </c>
      <c r="B15" s="1">
        <v>5</v>
      </c>
      <c r="C15" s="1">
        <v>3</v>
      </c>
      <c r="D15" s="1">
        <v>5</v>
      </c>
      <c r="E15" s="1">
        <v>3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865.87</v>
      </c>
      <c r="C17" s="1">
        <v>730.92</v>
      </c>
      <c r="D17" s="1">
        <v>782.93</v>
      </c>
      <c r="E17" s="1">
        <v>687.54</v>
      </c>
      <c r="F17" s="1">
        <v>620.91999999999996</v>
      </c>
      <c r="G17" s="1">
        <v>904.49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0.28999999999999998</v>
      </c>
      <c r="G18" s="1">
        <v>0.42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84.82</v>
      </c>
      <c r="C33" s="3">
        <v>74.09</v>
      </c>
      <c r="D33" s="3">
        <v>80.09</v>
      </c>
      <c r="E33" s="3">
        <v>69.510000000000005</v>
      </c>
      <c r="F33" s="3">
        <v>63.03</v>
      </c>
      <c r="G33" s="3">
        <v>93.16</v>
      </c>
    </row>
    <row r="35" spans="1:7" x14ac:dyDescent="0.25">
      <c r="A35" s="3" t="s">
        <v>36</v>
      </c>
      <c r="B35" s="3"/>
      <c r="C35" s="3"/>
      <c r="D35" s="3">
        <f>D33-C33</f>
        <v>6</v>
      </c>
      <c r="E35" s="3"/>
      <c r="F35" s="3">
        <f>F33-E33</f>
        <v>-6.480000000000004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-10.579999999999998</v>
      </c>
      <c r="F37" s="3"/>
      <c r="G37" s="3">
        <f>G33-F33</f>
        <v>30.129999999999995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0838-9780-4463-BB56-08E01CDAD7D7}">
  <dimension ref="A1:G37"/>
  <sheetViews>
    <sheetView workbookViewId="0">
      <selection activeCell="J26" sqref="J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240129A001.3</vt:lpstr>
      <vt:lpstr>240129A001.4</vt:lpstr>
      <vt:lpstr>240129A003.1</vt:lpstr>
      <vt:lpstr>240129A003.2</vt:lpstr>
      <vt:lpstr>240129A003.3</vt:lpstr>
      <vt:lpstr>240129A003.4</vt:lpstr>
      <vt:lpstr>240129A003.5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2024-01-30T23:04:03Z</dcterms:created>
  <dcterms:modified xsi:type="dcterms:W3CDTF">2024-01-31T00:37:09Z</dcterms:modified>
</cp:coreProperties>
</file>