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993D2389-87BA-496A-9D2E-BBA0CB117FD3}" xr6:coauthVersionLast="36" xr6:coauthVersionMax="36" xr10:uidLastSave="{00000000-0000-0000-0000-000000000000}"/>
  <bookViews>
    <workbookView xWindow="0" yWindow="0" windowWidth="24225" windowHeight="10995" firstSheet="6" activeTab="12" xr2:uid="{A9CFDF33-81BF-4E7F-BD22-CFDCC7A1C0C9}"/>
  </bookViews>
  <sheets>
    <sheet name="240203A001.1" sheetId="3" r:id="rId1"/>
    <sheet name="240203A001.2" sheetId="4" r:id="rId2"/>
    <sheet name="240203A001.5" sheetId="5" r:id="rId3"/>
    <sheet name="240203A002.1" sheetId="6" r:id="rId4"/>
    <sheet name="240203A002.2" sheetId="7" r:id="rId5"/>
    <sheet name="240203A002.5" sheetId="8" r:id="rId6"/>
    <sheet name="240203A003.3" sheetId="9" r:id="rId7"/>
    <sheet name="240203A003.4" sheetId="10" r:id="rId8"/>
    <sheet name="240203A004.2" sheetId="11" r:id="rId9"/>
    <sheet name="240203A004.3" sheetId="13" r:id="rId10"/>
    <sheet name="240203A004.4" sheetId="15" r:id="rId11"/>
    <sheet name="240203A004.5" sheetId="16" r:id="rId12"/>
    <sheet name="240203A005.5" sheetId="17" r:id="rId13"/>
    <sheet name="template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7" l="1"/>
  <c r="E37" i="17"/>
  <c r="C37" i="17"/>
  <c r="F35" i="17"/>
  <c r="D35" i="17"/>
  <c r="D31" i="17"/>
  <c r="D30" i="17"/>
  <c r="C30" i="17"/>
  <c r="B30" i="17"/>
  <c r="G28" i="17"/>
  <c r="G31" i="17" s="1"/>
  <c r="F28" i="17"/>
  <c r="F31" i="17" s="1"/>
  <c r="E28" i="17"/>
  <c r="E31" i="17" s="1"/>
  <c r="D28" i="17"/>
  <c r="D29" i="17" s="1"/>
  <c r="C28" i="17"/>
  <c r="C29" i="17" s="1"/>
  <c r="B28" i="17"/>
  <c r="B29" i="17" s="1"/>
  <c r="G37" i="16"/>
  <c r="E37" i="16"/>
  <c r="C37" i="16"/>
  <c r="F35" i="16"/>
  <c r="D35" i="16"/>
  <c r="E31" i="16"/>
  <c r="E30" i="16"/>
  <c r="D30" i="16"/>
  <c r="C30" i="16"/>
  <c r="B30" i="16"/>
  <c r="E29" i="16"/>
  <c r="D29" i="16"/>
  <c r="C29" i="16"/>
  <c r="G28" i="16"/>
  <c r="G31" i="16" s="1"/>
  <c r="F28" i="16"/>
  <c r="F31" i="16" s="1"/>
  <c r="E28" i="16"/>
  <c r="D28" i="16"/>
  <c r="D31" i="16" s="1"/>
  <c r="C28" i="16"/>
  <c r="C31" i="16" s="1"/>
  <c r="B28" i="16"/>
  <c r="B29" i="16" s="1"/>
  <c r="G37" i="15"/>
  <c r="E37" i="15"/>
  <c r="C37" i="15"/>
  <c r="F35" i="15"/>
  <c r="D35" i="15"/>
  <c r="D31" i="15"/>
  <c r="D30" i="15"/>
  <c r="C30" i="15"/>
  <c r="B30" i="15"/>
  <c r="D29" i="15"/>
  <c r="G28" i="15"/>
  <c r="G31" i="15" s="1"/>
  <c r="F28" i="15"/>
  <c r="F31" i="15" s="1"/>
  <c r="E28" i="15"/>
  <c r="E31" i="15" s="1"/>
  <c r="D28" i="15"/>
  <c r="C28" i="15"/>
  <c r="C29" i="15" s="1"/>
  <c r="B28" i="15"/>
  <c r="B29" i="15" s="1"/>
  <c r="G37" i="13"/>
  <c r="E37" i="13"/>
  <c r="C37" i="13"/>
  <c r="F35" i="13"/>
  <c r="D35" i="13"/>
  <c r="F31" i="13"/>
  <c r="B31" i="13"/>
  <c r="F30" i="13"/>
  <c r="E30" i="13"/>
  <c r="D30" i="13"/>
  <c r="C30" i="13"/>
  <c r="B30" i="13"/>
  <c r="F29" i="13"/>
  <c r="E29" i="13"/>
  <c r="D29" i="13"/>
  <c r="C29" i="13"/>
  <c r="G28" i="13"/>
  <c r="G31" i="13" s="1"/>
  <c r="F28" i="13"/>
  <c r="E28" i="13"/>
  <c r="E31" i="13" s="1"/>
  <c r="D28" i="13"/>
  <c r="D31" i="13" s="1"/>
  <c r="C28" i="13"/>
  <c r="C31" i="13" s="1"/>
  <c r="B28" i="13"/>
  <c r="B29" i="13" s="1"/>
  <c r="G37" i="11"/>
  <c r="E37" i="11"/>
  <c r="C37" i="11"/>
  <c r="F35" i="11"/>
  <c r="D35" i="11"/>
  <c r="G31" i="11"/>
  <c r="F31" i="11"/>
  <c r="E31" i="11"/>
  <c r="G30" i="11"/>
  <c r="F30" i="11"/>
  <c r="E30" i="11"/>
  <c r="D30" i="11"/>
  <c r="B30" i="11"/>
  <c r="G29" i="11"/>
  <c r="F29" i="11"/>
  <c r="E29" i="11"/>
  <c r="D29" i="11"/>
  <c r="G28" i="11"/>
  <c r="F28" i="11"/>
  <c r="E28" i="11"/>
  <c r="D28" i="11"/>
  <c r="D31" i="11" s="1"/>
  <c r="C28" i="11"/>
  <c r="C29" i="11" s="1"/>
  <c r="B28" i="11"/>
  <c r="B29" i="11" s="1"/>
  <c r="E30" i="17" l="1"/>
  <c r="E29" i="17"/>
  <c r="G29" i="17"/>
  <c r="F30" i="17"/>
  <c r="G30" i="17"/>
  <c r="F29" i="17"/>
  <c r="B31" i="17"/>
  <c r="C31" i="17"/>
  <c r="G29" i="16"/>
  <c r="F30" i="16"/>
  <c r="F29" i="16"/>
  <c r="G30" i="16"/>
  <c r="B31" i="16"/>
  <c r="F30" i="15"/>
  <c r="F29" i="15"/>
  <c r="G30" i="15"/>
  <c r="E29" i="15"/>
  <c r="E30" i="15"/>
  <c r="G29" i="15"/>
  <c r="B31" i="15"/>
  <c r="C31" i="15"/>
  <c r="G29" i="13"/>
  <c r="G30" i="13"/>
  <c r="C30" i="11"/>
  <c r="B31" i="11"/>
  <c r="C31" i="11"/>
  <c r="B31" i="10"/>
  <c r="G37" i="10"/>
  <c r="E37" i="10"/>
  <c r="C37" i="10"/>
  <c r="F35" i="10"/>
  <c r="D35" i="10"/>
  <c r="G28" i="10"/>
  <c r="G30" i="10" s="1"/>
  <c r="F28" i="10"/>
  <c r="F30" i="10" s="1"/>
  <c r="E28" i="10"/>
  <c r="E30" i="10" s="1"/>
  <c r="D28" i="10"/>
  <c r="D31" i="10" s="1"/>
  <c r="C28" i="10"/>
  <c r="C31" i="10" s="1"/>
  <c r="B28" i="10"/>
  <c r="B30" i="10" s="1"/>
  <c r="B29" i="9"/>
  <c r="G37" i="9"/>
  <c r="E37" i="9"/>
  <c r="C37" i="9"/>
  <c r="F35" i="9"/>
  <c r="D35" i="9"/>
  <c r="G28" i="9"/>
  <c r="G31" i="9" s="1"/>
  <c r="F28" i="9"/>
  <c r="F31" i="9" s="1"/>
  <c r="E28" i="9"/>
  <c r="E31" i="9" s="1"/>
  <c r="D28" i="9"/>
  <c r="D31" i="9" s="1"/>
  <c r="C28" i="9"/>
  <c r="C31" i="9" s="1"/>
  <c r="B28" i="9"/>
  <c r="B31" i="9" s="1"/>
  <c r="B31" i="8"/>
  <c r="G37" i="8"/>
  <c r="E37" i="8"/>
  <c r="C37" i="8"/>
  <c r="F35" i="8"/>
  <c r="D35" i="8"/>
  <c r="B30" i="8"/>
  <c r="G28" i="8"/>
  <c r="G31" i="8" s="1"/>
  <c r="F28" i="8"/>
  <c r="F31" i="8" s="1"/>
  <c r="E28" i="8"/>
  <c r="E31" i="8" s="1"/>
  <c r="D28" i="8"/>
  <c r="D31" i="8" s="1"/>
  <c r="C28" i="8"/>
  <c r="C31" i="8" s="1"/>
  <c r="B28" i="8"/>
  <c r="B29" i="8" s="1"/>
  <c r="G37" i="7"/>
  <c r="E37" i="7"/>
  <c r="C37" i="7"/>
  <c r="F35" i="7"/>
  <c r="D35" i="7"/>
  <c r="G28" i="7"/>
  <c r="G30" i="7" s="1"/>
  <c r="F28" i="7"/>
  <c r="F30" i="7" s="1"/>
  <c r="E28" i="7"/>
  <c r="E29" i="7" s="1"/>
  <c r="D28" i="7"/>
  <c r="D31" i="7" s="1"/>
  <c r="C28" i="7"/>
  <c r="C31" i="7" s="1"/>
  <c r="B28" i="7"/>
  <c r="B30" i="7" s="1"/>
  <c r="G37" i="6"/>
  <c r="E37" i="6"/>
  <c r="C37" i="6"/>
  <c r="F35" i="6"/>
  <c r="D35" i="6"/>
  <c r="F31" i="6"/>
  <c r="E31" i="6"/>
  <c r="D31" i="6"/>
  <c r="B31" i="6"/>
  <c r="F30" i="6"/>
  <c r="E30" i="6"/>
  <c r="C30" i="6"/>
  <c r="B30" i="6"/>
  <c r="F29" i="6"/>
  <c r="E29" i="6"/>
  <c r="C29" i="6"/>
  <c r="G28" i="6"/>
  <c r="G31" i="6" s="1"/>
  <c r="F28" i="6"/>
  <c r="E28" i="6"/>
  <c r="D28" i="6"/>
  <c r="D29" i="6" s="1"/>
  <c r="C28" i="6"/>
  <c r="C31" i="6" s="1"/>
  <c r="B28" i="6"/>
  <c r="B29" i="6" s="1"/>
  <c r="G37" i="5"/>
  <c r="E37" i="5"/>
  <c r="C37" i="5"/>
  <c r="F35" i="5"/>
  <c r="D35" i="5"/>
  <c r="F31" i="5"/>
  <c r="C31" i="5"/>
  <c r="F30" i="5"/>
  <c r="E30" i="5"/>
  <c r="D30" i="5"/>
  <c r="C30" i="5"/>
  <c r="B30" i="5"/>
  <c r="F29" i="5"/>
  <c r="E29" i="5"/>
  <c r="D29" i="5"/>
  <c r="G28" i="5"/>
  <c r="G31" i="5" s="1"/>
  <c r="F28" i="5"/>
  <c r="E28" i="5"/>
  <c r="E31" i="5" s="1"/>
  <c r="D28" i="5"/>
  <c r="D31" i="5" s="1"/>
  <c r="C28" i="5"/>
  <c r="C29" i="5" s="1"/>
  <c r="B28" i="5"/>
  <c r="B29" i="5" s="1"/>
  <c r="G37" i="4"/>
  <c r="E37" i="4"/>
  <c r="C37" i="4"/>
  <c r="F35" i="4"/>
  <c r="D35" i="4"/>
  <c r="F31" i="4"/>
  <c r="E31" i="4"/>
  <c r="C31" i="4"/>
  <c r="B31" i="4"/>
  <c r="F30" i="4"/>
  <c r="E30" i="4"/>
  <c r="D30" i="4"/>
  <c r="C30" i="4"/>
  <c r="B30" i="4"/>
  <c r="G29" i="4"/>
  <c r="F29" i="4"/>
  <c r="E29" i="4"/>
  <c r="D29" i="4"/>
  <c r="G28" i="4"/>
  <c r="G31" i="4" s="1"/>
  <c r="F28" i="4"/>
  <c r="E28" i="4"/>
  <c r="D28" i="4"/>
  <c r="D31" i="4" s="1"/>
  <c r="C28" i="4"/>
  <c r="C29" i="4" s="1"/>
  <c r="B28" i="4"/>
  <c r="B29" i="4" s="1"/>
  <c r="G37" i="3"/>
  <c r="E37" i="3"/>
  <c r="C37" i="3"/>
  <c r="F35" i="3"/>
  <c r="D35" i="3"/>
  <c r="B31" i="3"/>
  <c r="B30" i="3"/>
  <c r="G28" i="3"/>
  <c r="G31" i="3" s="1"/>
  <c r="F28" i="3"/>
  <c r="F31" i="3" s="1"/>
  <c r="E28" i="3"/>
  <c r="E31" i="3" s="1"/>
  <c r="D28" i="3"/>
  <c r="D29" i="3" s="1"/>
  <c r="C28" i="3"/>
  <c r="C29" i="3" s="1"/>
  <c r="B28" i="3"/>
  <c r="B29" i="3" s="1"/>
  <c r="G37" i="1"/>
  <c r="E37" i="1"/>
  <c r="C37" i="1"/>
  <c r="F35" i="1"/>
  <c r="D35" i="1"/>
  <c r="F31" i="1"/>
  <c r="C30" i="1"/>
  <c r="E29" i="1"/>
  <c r="D29" i="1"/>
  <c r="G28" i="1"/>
  <c r="G31" i="1" s="1"/>
  <c r="F28" i="1"/>
  <c r="F30" i="1" s="1"/>
  <c r="E28" i="1"/>
  <c r="E31" i="1" s="1"/>
  <c r="D28" i="1"/>
  <c r="D31" i="1" s="1"/>
  <c r="C28" i="1"/>
  <c r="C29" i="1" s="1"/>
  <c r="B28" i="1"/>
  <c r="B31" i="1" s="1"/>
  <c r="B29" i="10" l="1"/>
  <c r="F31" i="10"/>
  <c r="E31" i="10"/>
  <c r="G31" i="10"/>
  <c r="C29" i="10"/>
  <c r="D29" i="10"/>
  <c r="E29" i="10"/>
  <c r="F29" i="10"/>
  <c r="G29" i="10"/>
  <c r="C30" i="10"/>
  <c r="D30" i="10"/>
  <c r="D29" i="9"/>
  <c r="E29" i="9"/>
  <c r="D30" i="9"/>
  <c r="C29" i="9"/>
  <c r="B30" i="9"/>
  <c r="E30" i="9"/>
  <c r="F29" i="9"/>
  <c r="G29" i="9"/>
  <c r="C30" i="9"/>
  <c r="F30" i="9"/>
  <c r="G30" i="9"/>
  <c r="G29" i="8"/>
  <c r="F29" i="8"/>
  <c r="C29" i="8"/>
  <c r="E30" i="8"/>
  <c r="D29" i="8"/>
  <c r="D30" i="8"/>
  <c r="F30" i="8"/>
  <c r="E29" i="8"/>
  <c r="C30" i="8"/>
  <c r="G30" i="8"/>
  <c r="B31" i="7"/>
  <c r="G31" i="7"/>
  <c r="B29" i="7"/>
  <c r="E31" i="7"/>
  <c r="C30" i="7"/>
  <c r="F31" i="7"/>
  <c r="F29" i="7"/>
  <c r="G29" i="7"/>
  <c r="D30" i="7"/>
  <c r="E30" i="7"/>
  <c r="C29" i="7"/>
  <c r="D29" i="7"/>
  <c r="G29" i="6"/>
  <c r="D30" i="6"/>
  <c r="G30" i="6"/>
  <c r="G29" i="5"/>
  <c r="B31" i="5"/>
  <c r="G30" i="5"/>
  <c r="G30" i="4"/>
  <c r="E29" i="3"/>
  <c r="F29" i="3"/>
  <c r="C30" i="3"/>
  <c r="E30" i="3"/>
  <c r="F30" i="3"/>
  <c r="G30" i="3"/>
  <c r="G29" i="3"/>
  <c r="D30" i="3"/>
  <c r="D31" i="3"/>
  <c r="C31" i="3"/>
  <c r="F29" i="1"/>
  <c r="G29" i="1"/>
  <c r="B30" i="1"/>
  <c r="D30" i="1"/>
  <c r="B29" i="1"/>
  <c r="E30" i="1"/>
  <c r="G30" i="1"/>
  <c r="C31" i="1"/>
</calcChain>
</file>

<file path=xl/sharedStrings.xml><?xml version="1.0" encoding="utf-8"?>
<sst xmlns="http://schemas.openxmlformats.org/spreadsheetml/2006/main" count="532" uniqueCount="37">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</sst>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C4C6-4846-4589-98C1-D73427ACED16}">
  <sheetPr codeName="Sheet1"/>
  <dimension ref="A1:G37"/>
  <sheetViews>
    <sheetView topLeftCell="A7" workbookViewId="0">
      <selection activeCell="M9" sqref="M9:M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523.73</v>
      </c>
      <c r="C2" s="1">
        <v>510.3</v>
      </c>
      <c r="D2" s="1">
        <v>509.64</v>
      </c>
      <c r="E2" s="1">
        <v>508.09</v>
      </c>
      <c r="F2" s="1">
        <v>508.55</v>
      </c>
      <c r="G2" s="1">
        <v>507.23</v>
      </c>
    </row>
    <row r="3" spans="1:7" x14ac:dyDescent="0.25">
      <c r="A3" s="1" t="s">
        <v>7</v>
      </c>
      <c r="B3" s="1">
        <v>43.95</v>
      </c>
      <c r="C3" s="1">
        <v>43.49</v>
      </c>
      <c r="D3" s="1">
        <v>43.41</v>
      </c>
      <c r="E3" s="1">
        <v>43.37</v>
      </c>
      <c r="F3" s="1">
        <v>43.3</v>
      </c>
      <c r="G3" s="1">
        <v>43.24</v>
      </c>
    </row>
    <row r="4" spans="1:7" x14ac:dyDescent="0.25">
      <c r="A4" s="1" t="s">
        <v>8</v>
      </c>
      <c r="B4" s="1">
        <v>23430.69</v>
      </c>
      <c r="C4" s="1">
        <v>22575.88</v>
      </c>
      <c r="D4" s="1">
        <v>22504.26</v>
      </c>
      <c r="E4" s="1">
        <v>22415.25</v>
      </c>
      <c r="F4" s="1">
        <v>22400.93</v>
      </c>
      <c r="G4" s="1">
        <v>22310.13</v>
      </c>
    </row>
    <row r="5" spans="1:7" x14ac:dyDescent="0.25">
      <c r="A5" s="1" t="s">
        <v>9</v>
      </c>
      <c r="B5" s="1">
        <v>275.29000000000002</v>
      </c>
      <c r="C5" s="1">
        <v>68.739999999999995</v>
      </c>
      <c r="D5" s="1">
        <v>64.209999999999994</v>
      </c>
      <c r="E5" s="1">
        <v>73.540000000000006</v>
      </c>
      <c r="F5" s="1">
        <v>78.959999999999994</v>
      </c>
      <c r="G5" s="1">
        <v>77.599999999999994</v>
      </c>
    </row>
    <row r="6" spans="1:7" x14ac:dyDescent="0.25">
      <c r="A6" s="3" t="s">
        <v>10</v>
      </c>
      <c r="B6" s="3">
        <v>27.53</v>
      </c>
      <c r="C6" s="3">
        <v>6.94</v>
      </c>
      <c r="D6" s="3">
        <v>6.49</v>
      </c>
      <c r="E6" s="3">
        <v>7.43</v>
      </c>
      <c r="F6" s="3">
        <v>7.98</v>
      </c>
      <c r="G6" s="3">
        <v>7.92</v>
      </c>
    </row>
    <row r="7" spans="1:7" x14ac:dyDescent="0.25">
      <c r="A7" s="1" t="s">
        <v>11</v>
      </c>
      <c r="B7" s="1">
        <v>268.75</v>
      </c>
      <c r="C7" s="1">
        <v>61.83</v>
      </c>
      <c r="D7" s="1">
        <v>57.49</v>
      </c>
      <c r="E7" s="1">
        <v>65.98</v>
      </c>
      <c r="F7" s="1">
        <v>70.25</v>
      </c>
      <c r="G7" s="1">
        <v>69.44</v>
      </c>
    </row>
    <row r="8" spans="1:7" x14ac:dyDescent="0.25">
      <c r="A8" s="1" t="s">
        <v>12</v>
      </c>
      <c r="B8" s="1">
        <v>26.87</v>
      </c>
      <c r="C8" s="1">
        <v>6.25</v>
      </c>
      <c r="D8" s="1">
        <v>5.81</v>
      </c>
      <c r="E8" s="1">
        <v>6.66</v>
      </c>
      <c r="F8" s="1">
        <v>7.1</v>
      </c>
      <c r="G8" s="1">
        <v>7.09</v>
      </c>
    </row>
    <row r="9" spans="1:7" x14ac:dyDescent="0.25">
      <c r="A9" s="1" t="s">
        <v>13</v>
      </c>
      <c r="B9" s="1">
        <v>-116.86</v>
      </c>
      <c r="C9" s="1">
        <v>-8.92</v>
      </c>
      <c r="D9" s="1">
        <v>-8.2799999999999994</v>
      </c>
      <c r="E9" s="1">
        <v>-8.09</v>
      </c>
      <c r="F9" s="1">
        <v>6.93</v>
      </c>
      <c r="G9" s="1">
        <v>-7.95</v>
      </c>
    </row>
    <row r="10" spans="1:7" x14ac:dyDescent="0.25">
      <c r="A10" s="1" t="s">
        <v>14</v>
      </c>
      <c r="B10" s="1">
        <v>-11.69</v>
      </c>
      <c r="C10" s="1">
        <v>-0.9</v>
      </c>
      <c r="D10" s="1">
        <v>-0.84</v>
      </c>
      <c r="E10" s="1">
        <v>-0.82</v>
      </c>
      <c r="F10" s="1">
        <v>0.7</v>
      </c>
      <c r="G10" s="1">
        <v>-0.81</v>
      </c>
    </row>
    <row r="11" spans="1:7" x14ac:dyDescent="0.25">
      <c r="A11" s="1" t="s">
        <v>15</v>
      </c>
      <c r="B11" s="1">
        <v>39</v>
      </c>
      <c r="C11" s="1">
        <v>2.66</v>
      </c>
      <c r="D11" s="1">
        <v>1.26</v>
      </c>
      <c r="E11" s="1">
        <v>4.87</v>
      </c>
      <c r="F11" s="1">
        <v>1.31</v>
      </c>
      <c r="G11" s="1">
        <v>1.87</v>
      </c>
    </row>
    <row r="12" spans="1:7" x14ac:dyDescent="0.25">
      <c r="A12" s="1" t="s">
        <v>16</v>
      </c>
      <c r="B12" s="1">
        <v>263.79000000000002</v>
      </c>
      <c r="C12" s="1">
        <v>251.51</v>
      </c>
      <c r="D12" s="1">
        <v>247.21</v>
      </c>
      <c r="E12" s="1">
        <v>238.16</v>
      </c>
      <c r="F12" s="1">
        <v>238.51</v>
      </c>
      <c r="G12" s="1">
        <v>238.53</v>
      </c>
    </row>
    <row r="13" spans="1:7" x14ac:dyDescent="0.25">
      <c r="A13" s="1" t="s">
        <v>17</v>
      </c>
      <c r="B13" s="1">
        <v>30.88</v>
      </c>
      <c r="C13" s="1">
        <v>36.659999999999997</v>
      </c>
      <c r="D13" s="1">
        <v>36.56</v>
      </c>
      <c r="E13" s="1">
        <v>36.630000000000003</v>
      </c>
      <c r="F13" s="1">
        <v>36.65</v>
      </c>
      <c r="G13" s="1">
        <v>36.54</v>
      </c>
    </row>
    <row r="14" spans="1:7" x14ac:dyDescent="0.25">
      <c r="A14" s="1" t="s">
        <v>18</v>
      </c>
      <c r="B14" s="1">
        <v>41.24</v>
      </c>
      <c r="C14" s="1">
        <v>38.67</v>
      </c>
      <c r="D14" s="1">
        <v>38.42</v>
      </c>
      <c r="E14" s="1">
        <v>38.39</v>
      </c>
      <c r="F14" s="1">
        <v>38.29</v>
      </c>
      <c r="G14" s="1">
        <v>38.67</v>
      </c>
    </row>
    <row r="15" spans="1:7" x14ac:dyDescent="0.25">
      <c r="A15" s="1" t="s">
        <v>19</v>
      </c>
      <c r="B15" s="1">
        <v>2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75.95</v>
      </c>
      <c r="C17" s="1">
        <v>26.45</v>
      </c>
      <c r="D17" s="1">
        <v>24.6</v>
      </c>
      <c r="E17" s="1">
        <v>28.95</v>
      </c>
      <c r="F17" s="1">
        <v>38.590000000000003</v>
      </c>
      <c r="G17" s="1">
        <v>30.75</v>
      </c>
    </row>
    <row r="18" spans="1:7" x14ac:dyDescent="0.25">
      <c r="A18" s="1" t="s">
        <v>22</v>
      </c>
      <c r="B18" s="1">
        <v>192.8</v>
      </c>
      <c r="C18" s="1">
        <v>35.380000000000003</v>
      </c>
      <c r="D18" s="1">
        <v>32.89</v>
      </c>
      <c r="E18" s="1">
        <v>37.03</v>
      </c>
      <c r="F18" s="1">
        <v>31.66</v>
      </c>
      <c r="G18" s="1">
        <v>38.69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2</v>
      </c>
      <c r="F19" s="1">
        <v>3</v>
      </c>
      <c r="G19" s="1">
        <v>1</v>
      </c>
    </row>
    <row r="20" spans="1:7" x14ac:dyDescent="0.25">
      <c r="A20" s="1" t="s">
        <v>24</v>
      </c>
      <c r="B20" s="1">
        <v>3.5</v>
      </c>
      <c r="C20" s="1">
        <v>2.1</v>
      </c>
      <c r="D20" s="1">
        <v>1.1000000000000001</v>
      </c>
      <c r="E20" s="1">
        <v>2.1</v>
      </c>
      <c r="F20" s="1">
        <v>4</v>
      </c>
      <c r="G20" s="1">
        <v>1.2</v>
      </c>
    </row>
    <row r="21" spans="1:7" x14ac:dyDescent="0.25">
      <c r="A21" s="1" t="s">
        <v>25</v>
      </c>
      <c r="B21" s="1">
        <v>6.6</v>
      </c>
      <c r="C21" s="1">
        <v>7.9</v>
      </c>
      <c r="D21" s="1">
        <v>8.9</v>
      </c>
      <c r="E21" s="1">
        <v>7.9</v>
      </c>
      <c r="F21" s="1">
        <v>6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6.7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1.3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20.792079207920793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66.336633663366328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12.871287128712869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-1.57</v>
      </c>
      <c r="C33" s="3">
        <v>-7.0000000000000007E-2</v>
      </c>
      <c r="D33" s="3">
        <v>-0.03</v>
      </c>
      <c r="E33" s="3">
        <v>-0.26</v>
      </c>
      <c r="F33" s="3">
        <v>-0.04</v>
      </c>
      <c r="G33" s="3">
        <v>-0.36</v>
      </c>
    </row>
    <row r="35" spans="1:7" x14ac:dyDescent="0.25">
      <c r="A35" s="3" t="s">
        <v>36</v>
      </c>
      <c r="B35" s="3"/>
      <c r="C35" s="3"/>
      <c r="D35" s="3">
        <f>D33-C33</f>
        <v>4.0000000000000008E-2</v>
      </c>
      <c r="E35" s="3"/>
      <c r="F35" s="3">
        <f>F33-E33</f>
        <v>0.22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-0.23</v>
      </c>
      <c r="F37" s="3"/>
      <c r="G37" s="3">
        <f>G33-F33</f>
        <v>-0.32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EF6D-7159-4473-966F-A97A0A414478}">
  <sheetPr codeName="Sheet2"/>
  <dimension ref="A1:G37"/>
  <sheetViews>
    <sheetView topLeftCell="A10" workbookViewId="0">
      <selection activeCell="A43" sqref="A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512.66999999999996</v>
      </c>
      <c r="C2" s="1">
        <v>502.03</v>
      </c>
      <c r="D2" s="1">
        <v>520.12</v>
      </c>
      <c r="E2" s="1">
        <v>534.77</v>
      </c>
      <c r="F2" s="1">
        <v>536.23</v>
      </c>
      <c r="G2" s="1">
        <v>520.61</v>
      </c>
    </row>
    <row r="3" spans="1:7" x14ac:dyDescent="0.25">
      <c r="A3" s="1" t="s">
        <v>7</v>
      </c>
      <c r="B3" s="1">
        <v>44.3</v>
      </c>
      <c r="C3" s="1">
        <v>42.08</v>
      </c>
      <c r="D3" s="1">
        <v>43.85</v>
      </c>
      <c r="E3" s="1">
        <v>45.97</v>
      </c>
      <c r="F3" s="1">
        <v>47.1</v>
      </c>
      <c r="G3" s="1">
        <v>48.56</v>
      </c>
    </row>
    <row r="4" spans="1:7" x14ac:dyDescent="0.25">
      <c r="A4" s="1" t="s">
        <v>8</v>
      </c>
      <c r="B4" s="1">
        <v>23089.43</v>
      </c>
      <c r="C4" s="1">
        <v>21444.84</v>
      </c>
      <c r="D4" s="1">
        <v>23181.96</v>
      </c>
      <c r="E4" s="1">
        <v>25011.62</v>
      </c>
      <c r="F4" s="1">
        <v>25684.59</v>
      </c>
      <c r="G4" s="1">
        <v>25714.1</v>
      </c>
    </row>
    <row r="5" spans="1:7" x14ac:dyDescent="0.25">
      <c r="A5" s="1" t="s">
        <v>9</v>
      </c>
      <c r="B5" s="1">
        <v>669.3</v>
      </c>
      <c r="C5" s="1">
        <v>722.87</v>
      </c>
      <c r="D5" s="1">
        <v>825.93</v>
      </c>
      <c r="E5" s="1">
        <v>1184.74</v>
      </c>
      <c r="F5" s="1">
        <v>1088.1500000000001</v>
      </c>
      <c r="G5" s="1">
        <v>723.72</v>
      </c>
    </row>
    <row r="6" spans="1:7" x14ac:dyDescent="0.25">
      <c r="A6" s="3" t="s">
        <v>10</v>
      </c>
      <c r="B6" s="3">
        <v>66.930000000000007</v>
      </c>
      <c r="C6" s="3">
        <v>73.02</v>
      </c>
      <c r="D6" s="3">
        <v>83.43</v>
      </c>
      <c r="E6" s="3">
        <v>119.67</v>
      </c>
      <c r="F6" s="3">
        <v>109.91</v>
      </c>
      <c r="G6" s="3">
        <v>73.849999999999994</v>
      </c>
    </row>
    <row r="7" spans="1:7" x14ac:dyDescent="0.25">
      <c r="A7" s="1" t="s">
        <v>11</v>
      </c>
      <c r="B7" s="1">
        <v>632.41999999999996</v>
      </c>
      <c r="C7" s="1">
        <v>685.85</v>
      </c>
      <c r="D7" s="1">
        <v>779.4</v>
      </c>
      <c r="E7" s="1">
        <v>1147.04</v>
      </c>
      <c r="F7" s="1">
        <v>1058.92</v>
      </c>
      <c r="G7" s="1">
        <v>688.56</v>
      </c>
    </row>
    <row r="8" spans="1:7" x14ac:dyDescent="0.25">
      <c r="A8" s="1" t="s">
        <v>12</v>
      </c>
      <c r="B8" s="1">
        <v>63.24</v>
      </c>
      <c r="C8" s="1">
        <v>69.28</v>
      </c>
      <c r="D8" s="1">
        <v>78.73</v>
      </c>
      <c r="E8" s="1">
        <v>115.86</v>
      </c>
      <c r="F8" s="1">
        <v>106.96</v>
      </c>
      <c r="G8" s="1">
        <v>70.260000000000005</v>
      </c>
    </row>
    <row r="9" spans="1:7" x14ac:dyDescent="0.25">
      <c r="A9" s="1" t="s">
        <v>13</v>
      </c>
      <c r="B9" s="1">
        <v>632.41999999999996</v>
      </c>
      <c r="C9" s="1">
        <v>685.23</v>
      </c>
      <c r="D9" s="1">
        <v>778.86</v>
      </c>
      <c r="E9" s="1">
        <v>1147.04</v>
      </c>
      <c r="F9" s="1">
        <v>1058.92</v>
      </c>
      <c r="G9" s="1">
        <v>685.18</v>
      </c>
    </row>
    <row r="10" spans="1:7" x14ac:dyDescent="0.25">
      <c r="A10" s="1" t="s">
        <v>14</v>
      </c>
      <c r="B10" s="1">
        <v>63.24</v>
      </c>
      <c r="C10" s="1">
        <v>69.209999999999994</v>
      </c>
      <c r="D10" s="1">
        <v>78.67</v>
      </c>
      <c r="E10" s="1">
        <v>115.86</v>
      </c>
      <c r="F10" s="1">
        <v>106.96</v>
      </c>
      <c r="G10" s="1">
        <v>69.92</v>
      </c>
    </row>
    <row r="11" spans="1:7" x14ac:dyDescent="0.25">
      <c r="A11" s="1" t="s">
        <v>15</v>
      </c>
      <c r="B11" s="1">
        <v>362.4</v>
      </c>
      <c r="C11" s="1">
        <v>526.54</v>
      </c>
      <c r="D11" s="1">
        <v>536.47</v>
      </c>
      <c r="E11" s="1">
        <v>867.54</v>
      </c>
      <c r="F11" s="1">
        <v>897.66</v>
      </c>
      <c r="G11" s="1">
        <v>486.88</v>
      </c>
    </row>
    <row r="12" spans="1:7" x14ac:dyDescent="0.25">
      <c r="A12" s="1" t="s">
        <v>16</v>
      </c>
      <c r="B12" s="1">
        <v>247.29</v>
      </c>
      <c r="C12" s="1">
        <v>278.52999999999997</v>
      </c>
      <c r="D12" s="1">
        <v>273.7</v>
      </c>
      <c r="E12" s="1">
        <v>274.11</v>
      </c>
      <c r="F12" s="1">
        <v>281.41000000000003</v>
      </c>
      <c r="G12" s="1">
        <v>245.48</v>
      </c>
    </row>
    <row r="13" spans="1:7" x14ac:dyDescent="0.25">
      <c r="A13" s="1" t="s">
        <v>17</v>
      </c>
      <c r="B13" s="1">
        <v>51.37</v>
      </c>
      <c r="C13" s="1">
        <v>36.36</v>
      </c>
      <c r="D13" s="1">
        <v>50.11</v>
      </c>
      <c r="E13" s="1">
        <v>41.5</v>
      </c>
      <c r="F13" s="1">
        <v>34.72</v>
      </c>
      <c r="G13" s="1">
        <v>43.93</v>
      </c>
    </row>
    <row r="14" spans="1:7" x14ac:dyDescent="0.25">
      <c r="A14" s="1" t="s">
        <v>18</v>
      </c>
      <c r="B14" s="1">
        <v>91.96</v>
      </c>
      <c r="C14" s="1">
        <v>82.05</v>
      </c>
      <c r="D14" s="1">
        <v>86.7</v>
      </c>
      <c r="E14" s="1">
        <v>94.71</v>
      </c>
      <c r="F14" s="1">
        <v>72.37</v>
      </c>
      <c r="G14" s="1">
        <v>96.81</v>
      </c>
    </row>
    <row r="15" spans="1:7" x14ac:dyDescent="0.25">
      <c r="A15" s="1" t="s">
        <v>19</v>
      </c>
      <c r="B15" s="1">
        <v>4</v>
      </c>
      <c r="C15" s="1">
        <v>3</v>
      </c>
      <c r="D15" s="1">
        <v>5</v>
      </c>
      <c r="E15" s="1">
        <v>6</v>
      </c>
      <c r="F15" s="1">
        <v>5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632.41999999999996</v>
      </c>
      <c r="C17" s="1">
        <v>685.54</v>
      </c>
      <c r="D17" s="1">
        <v>779.13</v>
      </c>
      <c r="E17" s="1">
        <v>1147.04</v>
      </c>
      <c r="F17" s="1">
        <v>1058.92</v>
      </c>
      <c r="G17" s="1">
        <v>686.87</v>
      </c>
    </row>
    <row r="18" spans="1:7" x14ac:dyDescent="0.25">
      <c r="A18" s="1" t="s">
        <v>22</v>
      </c>
      <c r="B18" s="1">
        <v>0</v>
      </c>
      <c r="C18" s="1">
        <v>0.31</v>
      </c>
      <c r="D18" s="1">
        <v>0.27</v>
      </c>
      <c r="E18" s="1">
        <v>0</v>
      </c>
      <c r="F18" s="1">
        <v>0</v>
      </c>
      <c r="G18" s="1">
        <v>1.69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65.599999999999994</v>
      </c>
      <c r="C33" s="3">
        <v>71.64</v>
      </c>
      <c r="D33" s="3">
        <v>81.739999999999995</v>
      </c>
      <c r="E33" s="3">
        <v>119.05</v>
      </c>
      <c r="F33" s="3">
        <v>109.45</v>
      </c>
      <c r="G33" s="3">
        <v>73.66</v>
      </c>
    </row>
    <row r="35" spans="1:7" x14ac:dyDescent="0.25">
      <c r="A35" s="3" t="s">
        <v>36</v>
      </c>
      <c r="B35" s="3"/>
      <c r="C35" s="3"/>
      <c r="D35" s="3">
        <f>D33-C33</f>
        <v>10.099999999999994</v>
      </c>
      <c r="E35" s="3"/>
      <c r="F35" s="3">
        <f>F33-E33</f>
        <v>-9.5999999999999943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37.31</v>
      </c>
      <c r="F37" s="3"/>
      <c r="G37" s="3">
        <f>G33-F33</f>
        <v>-35.790000000000006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B142-372F-4FBF-B0CE-8462D8EBD341}">
  <sheetPr codeName="Sheet4"/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452.3</v>
      </c>
      <c r="C2" s="1">
        <v>439.03</v>
      </c>
      <c r="D2" s="1">
        <v>486.61</v>
      </c>
      <c r="E2" s="1">
        <v>472.92</v>
      </c>
      <c r="F2" s="1">
        <v>487.1</v>
      </c>
      <c r="G2" s="1">
        <v>441.59</v>
      </c>
    </row>
    <row r="3" spans="1:7" x14ac:dyDescent="0.25">
      <c r="A3" s="1" t="s">
        <v>7</v>
      </c>
      <c r="B3" s="1">
        <v>38.799999999999997</v>
      </c>
      <c r="C3" s="1">
        <v>41.58</v>
      </c>
      <c r="D3" s="1">
        <v>39.71</v>
      </c>
      <c r="E3" s="1">
        <v>39.380000000000003</v>
      </c>
      <c r="F3" s="1">
        <v>40.58</v>
      </c>
      <c r="G3" s="1">
        <v>41.02</v>
      </c>
    </row>
    <row r="4" spans="1:7" x14ac:dyDescent="0.25">
      <c r="A4" s="1" t="s">
        <v>8</v>
      </c>
      <c r="B4" s="1">
        <v>17847.55</v>
      </c>
      <c r="C4" s="1">
        <v>18569.150000000001</v>
      </c>
      <c r="D4" s="1">
        <v>19659.5</v>
      </c>
      <c r="E4" s="1">
        <v>18859.900000000001</v>
      </c>
      <c r="F4" s="1">
        <v>20082.04</v>
      </c>
      <c r="G4" s="1">
        <v>18391.48</v>
      </c>
    </row>
    <row r="5" spans="1:7" x14ac:dyDescent="0.25">
      <c r="A5" s="1" t="s">
        <v>9</v>
      </c>
      <c r="B5" s="1">
        <v>670.13</v>
      </c>
      <c r="C5" s="1">
        <v>834.1</v>
      </c>
      <c r="D5" s="1">
        <v>859.55</v>
      </c>
      <c r="E5" s="1">
        <v>829.2</v>
      </c>
      <c r="F5" s="1">
        <v>588.76</v>
      </c>
      <c r="G5" s="1">
        <v>563.53</v>
      </c>
    </row>
    <row r="6" spans="1:7" x14ac:dyDescent="0.25">
      <c r="A6" s="3" t="s">
        <v>10</v>
      </c>
      <c r="B6" s="3">
        <v>67.010000000000005</v>
      </c>
      <c r="C6" s="3">
        <v>84.25</v>
      </c>
      <c r="D6" s="3">
        <v>86.82</v>
      </c>
      <c r="E6" s="3">
        <v>83.76</v>
      </c>
      <c r="F6" s="3">
        <v>59.47</v>
      </c>
      <c r="G6" s="3">
        <v>57.5</v>
      </c>
    </row>
    <row r="7" spans="1:7" x14ac:dyDescent="0.25">
      <c r="A7" s="1" t="s">
        <v>11</v>
      </c>
      <c r="B7" s="1">
        <v>611.66999999999996</v>
      </c>
      <c r="C7" s="1">
        <v>735.23</v>
      </c>
      <c r="D7" s="1">
        <v>838.14</v>
      </c>
      <c r="E7" s="1">
        <v>789.36</v>
      </c>
      <c r="F7" s="1">
        <v>574.80999999999995</v>
      </c>
      <c r="G7" s="1">
        <v>482.5</v>
      </c>
    </row>
    <row r="8" spans="1:7" x14ac:dyDescent="0.25">
      <c r="A8" s="1" t="s">
        <v>12</v>
      </c>
      <c r="B8" s="1">
        <v>61.17</v>
      </c>
      <c r="C8" s="1">
        <v>74.27</v>
      </c>
      <c r="D8" s="1">
        <v>84.66</v>
      </c>
      <c r="E8" s="1">
        <v>79.73</v>
      </c>
      <c r="F8" s="1">
        <v>58.06</v>
      </c>
      <c r="G8" s="1">
        <v>49.23</v>
      </c>
    </row>
    <row r="9" spans="1:7" x14ac:dyDescent="0.25">
      <c r="A9" s="1" t="s">
        <v>13</v>
      </c>
      <c r="B9" s="1">
        <v>585.22</v>
      </c>
      <c r="C9" s="1">
        <v>665.3</v>
      </c>
      <c r="D9" s="1">
        <v>833.6</v>
      </c>
      <c r="E9" s="1">
        <v>742.28</v>
      </c>
      <c r="F9" s="1">
        <v>546.99</v>
      </c>
      <c r="G9" s="1">
        <v>396.08</v>
      </c>
    </row>
    <row r="10" spans="1:7" x14ac:dyDescent="0.25">
      <c r="A10" s="1" t="s">
        <v>14</v>
      </c>
      <c r="B10" s="1">
        <v>58.52</v>
      </c>
      <c r="C10" s="1">
        <v>67.2</v>
      </c>
      <c r="D10" s="1">
        <v>84.2</v>
      </c>
      <c r="E10" s="1">
        <v>74.98</v>
      </c>
      <c r="F10" s="1">
        <v>55.25</v>
      </c>
      <c r="G10" s="1">
        <v>40.42</v>
      </c>
    </row>
    <row r="11" spans="1:7" x14ac:dyDescent="0.25">
      <c r="A11" s="1" t="s">
        <v>15</v>
      </c>
      <c r="B11" s="1">
        <v>288.43</v>
      </c>
      <c r="C11" s="1">
        <v>306.33999999999997</v>
      </c>
      <c r="D11" s="1">
        <v>633.58000000000004</v>
      </c>
      <c r="E11" s="1">
        <v>420.83</v>
      </c>
      <c r="F11" s="1">
        <v>477.78</v>
      </c>
      <c r="G11" s="1">
        <v>276.54000000000002</v>
      </c>
    </row>
    <row r="12" spans="1:7" x14ac:dyDescent="0.25">
      <c r="A12" s="1" t="s">
        <v>16</v>
      </c>
      <c r="B12" s="1">
        <v>208.27</v>
      </c>
      <c r="C12" s="1">
        <v>203.56</v>
      </c>
      <c r="D12" s="1">
        <v>239.76</v>
      </c>
      <c r="E12" s="1">
        <v>227.64</v>
      </c>
      <c r="F12" s="1">
        <v>259.12</v>
      </c>
      <c r="G12" s="1">
        <v>195.12</v>
      </c>
    </row>
    <row r="13" spans="1:7" x14ac:dyDescent="0.25">
      <c r="A13" s="1" t="s">
        <v>17</v>
      </c>
      <c r="B13" s="1">
        <v>40.119999999999997</v>
      </c>
      <c r="C13" s="1">
        <v>54.54</v>
      </c>
      <c r="D13" s="1">
        <v>42.87</v>
      </c>
      <c r="E13" s="1">
        <v>48.24</v>
      </c>
      <c r="F13" s="1">
        <v>28.98</v>
      </c>
      <c r="G13" s="1">
        <v>48.65</v>
      </c>
    </row>
    <row r="14" spans="1:7" x14ac:dyDescent="0.25">
      <c r="A14" s="1" t="s">
        <v>18</v>
      </c>
      <c r="B14" s="1">
        <v>85.34</v>
      </c>
      <c r="C14" s="1">
        <v>96.59</v>
      </c>
      <c r="D14" s="1">
        <v>91.8</v>
      </c>
      <c r="E14" s="1">
        <v>105.73</v>
      </c>
      <c r="F14" s="1">
        <v>58.34</v>
      </c>
      <c r="G14" s="1">
        <v>88.93</v>
      </c>
    </row>
    <row r="15" spans="1:7" x14ac:dyDescent="0.25">
      <c r="A15" s="1" t="s">
        <v>19</v>
      </c>
      <c r="B15" s="1">
        <v>5</v>
      </c>
      <c r="C15" s="1">
        <v>5</v>
      </c>
      <c r="D15" s="1">
        <v>4</v>
      </c>
      <c r="E15" s="1">
        <v>4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598.45000000000005</v>
      </c>
      <c r="C17" s="1">
        <v>700.27</v>
      </c>
      <c r="D17" s="1">
        <v>835.87</v>
      </c>
      <c r="E17" s="1">
        <v>765.82</v>
      </c>
      <c r="F17" s="1">
        <v>560.9</v>
      </c>
      <c r="G17" s="1">
        <v>439.29</v>
      </c>
    </row>
    <row r="18" spans="1:7" x14ac:dyDescent="0.25">
      <c r="A18" s="1" t="s">
        <v>22</v>
      </c>
      <c r="B18" s="1">
        <v>13.22</v>
      </c>
      <c r="C18" s="1">
        <v>34.97</v>
      </c>
      <c r="D18" s="1">
        <v>2.27</v>
      </c>
      <c r="E18" s="1">
        <v>23.54</v>
      </c>
      <c r="F18" s="1">
        <v>13.91</v>
      </c>
      <c r="G18" s="1">
        <v>43.21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2.4</v>
      </c>
      <c r="C25" s="1">
        <v>2.2000000000000002</v>
      </c>
      <c r="D25" s="1">
        <v>0</v>
      </c>
      <c r="E25" s="1">
        <v>1.4</v>
      </c>
      <c r="F25" s="1">
        <v>1.7</v>
      </c>
      <c r="G25" s="1">
        <v>1.3</v>
      </c>
    </row>
    <row r="26" spans="1:7" x14ac:dyDescent="0.25">
      <c r="A26" s="1" t="s">
        <v>30</v>
      </c>
      <c r="B26" s="1">
        <v>7.7</v>
      </c>
      <c r="C26" s="1">
        <v>7.8</v>
      </c>
      <c r="D26" s="1">
        <v>10</v>
      </c>
      <c r="E26" s="1">
        <v>8.6</v>
      </c>
      <c r="F26" s="1">
        <v>8.3000000000000007</v>
      </c>
      <c r="G26" s="1">
        <v>8.6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23.762376237623762</v>
      </c>
      <c r="C30" s="3">
        <f t="shared" ref="C30:G30" si="2">C25/C28*100</f>
        <v>22.000000000000004</v>
      </c>
      <c r="D30" s="3">
        <f t="shared" si="2"/>
        <v>0</v>
      </c>
      <c r="E30" s="3">
        <f t="shared" si="2"/>
        <v>13.999999999999998</v>
      </c>
      <c r="F30" s="3">
        <f t="shared" si="2"/>
        <v>17</v>
      </c>
      <c r="G30" s="3">
        <f t="shared" si="2"/>
        <v>13.131313131313133</v>
      </c>
    </row>
    <row r="31" spans="1:7" x14ac:dyDescent="0.25">
      <c r="A31" s="3" t="s">
        <v>34</v>
      </c>
      <c r="B31" s="3">
        <f>B26/B28*100</f>
        <v>76.237623762376245</v>
      </c>
      <c r="C31" s="3">
        <f t="shared" ref="C31:G31" si="3">C26/C28*100</f>
        <v>78</v>
      </c>
      <c r="D31" s="3">
        <f t="shared" si="3"/>
        <v>100</v>
      </c>
      <c r="E31" s="3">
        <f t="shared" si="3"/>
        <v>86</v>
      </c>
      <c r="F31" s="3">
        <f t="shared" si="3"/>
        <v>83</v>
      </c>
      <c r="G31" s="3">
        <f t="shared" si="3"/>
        <v>86.868686868686865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59.95</v>
      </c>
      <c r="C33" s="3">
        <v>78.42</v>
      </c>
      <c r="D33" s="3">
        <v>85.67</v>
      </c>
      <c r="E33" s="3">
        <v>79.06</v>
      </c>
      <c r="F33" s="3">
        <v>58.66</v>
      </c>
      <c r="G33" s="3">
        <v>41.18</v>
      </c>
    </row>
    <row r="35" spans="1:7" x14ac:dyDescent="0.25">
      <c r="A35" s="3" t="s">
        <v>36</v>
      </c>
      <c r="B35" s="3"/>
      <c r="C35" s="3"/>
      <c r="D35" s="3">
        <f>D33-C33</f>
        <v>7.25</v>
      </c>
      <c r="E35" s="3"/>
      <c r="F35" s="3">
        <f>F33-E33</f>
        <v>-20.400000000000006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-6.6099999999999994</v>
      </c>
      <c r="F37" s="3"/>
      <c r="G37" s="3">
        <f>G33-F33</f>
        <v>-17.479999999999997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5505-8D0F-4872-84F5-C24405E86CC4}">
  <sheetPr codeName="Sheet5"/>
  <dimension ref="A1:M37"/>
  <sheetViews>
    <sheetView topLeftCell="A10" workbookViewId="0">
      <selection activeCell="D41" sqref="D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13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13" x14ac:dyDescent="0.25">
      <c r="A2" s="1" t="s">
        <v>6</v>
      </c>
      <c r="B2" s="1">
        <v>523.29999999999995</v>
      </c>
      <c r="C2" s="1">
        <v>499.86</v>
      </c>
      <c r="D2" s="1">
        <v>494.2</v>
      </c>
      <c r="E2" s="1">
        <v>540.55999999999995</v>
      </c>
      <c r="F2" s="1">
        <v>512.66999999999996</v>
      </c>
      <c r="G2" s="1">
        <v>457.91</v>
      </c>
    </row>
    <row r="3" spans="1:13" x14ac:dyDescent="0.25">
      <c r="A3" s="1" t="s">
        <v>7</v>
      </c>
      <c r="B3" s="1">
        <v>42.49</v>
      </c>
      <c r="C3" s="1">
        <v>42.46</v>
      </c>
      <c r="D3" s="1">
        <v>41.18</v>
      </c>
      <c r="E3" s="1">
        <v>43.4</v>
      </c>
      <c r="F3" s="1">
        <v>43.55</v>
      </c>
      <c r="G3" s="1">
        <v>41.45</v>
      </c>
    </row>
    <row r="4" spans="1:13" x14ac:dyDescent="0.25">
      <c r="A4" s="1" t="s">
        <v>8</v>
      </c>
      <c r="B4" s="1">
        <v>22605.52</v>
      </c>
      <c r="C4" s="1">
        <v>21560.97</v>
      </c>
      <c r="D4" s="1">
        <v>20704.189999999999</v>
      </c>
      <c r="E4" s="1">
        <v>23830.52</v>
      </c>
      <c r="F4" s="1">
        <v>22635.98</v>
      </c>
      <c r="G4" s="1">
        <v>19286.25</v>
      </c>
    </row>
    <row r="5" spans="1:13" x14ac:dyDescent="0.25">
      <c r="A5" s="1" t="s">
        <v>9</v>
      </c>
      <c r="B5" s="1">
        <v>1252.93</v>
      </c>
      <c r="C5" s="1">
        <v>1062.06</v>
      </c>
      <c r="D5" s="1">
        <v>1114.1500000000001</v>
      </c>
      <c r="E5" s="1">
        <v>794.49</v>
      </c>
      <c r="F5" s="1">
        <v>581.77</v>
      </c>
      <c r="G5" s="1">
        <v>878.7</v>
      </c>
    </row>
    <row r="6" spans="1:13" x14ac:dyDescent="0.25">
      <c r="A6" s="3" t="s">
        <v>10</v>
      </c>
      <c r="B6" s="3">
        <v>125.29</v>
      </c>
      <c r="C6" s="3">
        <v>107.28</v>
      </c>
      <c r="D6" s="3">
        <v>112.54</v>
      </c>
      <c r="E6" s="3">
        <v>80.25</v>
      </c>
      <c r="F6" s="3">
        <v>58.76</v>
      </c>
      <c r="G6" s="3">
        <v>89.66</v>
      </c>
    </row>
    <row r="7" spans="1:13" x14ac:dyDescent="0.25">
      <c r="A7" s="1" t="s">
        <v>11</v>
      </c>
      <c r="B7" s="1">
        <v>1183.8599999999999</v>
      </c>
      <c r="C7" s="1">
        <v>994.93</v>
      </c>
      <c r="D7" s="1">
        <v>1052.24</v>
      </c>
      <c r="E7" s="1">
        <v>772.22</v>
      </c>
      <c r="F7" s="1">
        <v>559.64</v>
      </c>
      <c r="G7" s="1">
        <v>749.39</v>
      </c>
    </row>
    <row r="8" spans="1:13" x14ac:dyDescent="0.25">
      <c r="A8" s="1" t="s">
        <v>12</v>
      </c>
      <c r="B8" s="1">
        <v>118.39</v>
      </c>
      <c r="C8" s="1">
        <v>100.5</v>
      </c>
      <c r="D8" s="1">
        <v>106.29</v>
      </c>
      <c r="E8" s="1">
        <v>78</v>
      </c>
      <c r="F8" s="1">
        <v>56.53</v>
      </c>
      <c r="G8" s="1">
        <v>76.47</v>
      </c>
    </row>
    <row r="9" spans="1:13" x14ac:dyDescent="0.25">
      <c r="A9" s="1" t="s">
        <v>13</v>
      </c>
      <c r="B9" s="1">
        <v>1183.8599999999999</v>
      </c>
      <c r="C9" s="1">
        <v>994.93</v>
      </c>
      <c r="D9" s="1">
        <v>1052.24</v>
      </c>
      <c r="E9" s="1">
        <v>772.22</v>
      </c>
      <c r="F9" s="1">
        <v>559.51</v>
      </c>
      <c r="G9" s="1">
        <v>747.17</v>
      </c>
    </row>
    <row r="10" spans="1:13" x14ac:dyDescent="0.25">
      <c r="A10" s="1" t="s">
        <v>14</v>
      </c>
      <c r="B10" s="1">
        <v>118.39</v>
      </c>
      <c r="C10" s="1">
        <v>100.5</v>
      </c>
      <c r="D10" s="1">
        <v>106.29</v>
      </c>
      <c r="E10" s="1">
        <v>78</v>
      </c>
      <c r="F10" s="1">
        <v>56.52</v>
      </c>
      <c r="G10" s="1">
        <v>76.239999999999995</v>
      </c>
      <c r="M10">
        <v>121.5</v>
      </c>
    </row>
    <row r="11" spans="1:13" x14ac:dyDescent="0.25">
      <c r="A11" s="1" t="s">
        <v>15</v>
      </c>
      <c r="B11" s="1">
        <v>754.87</v>
      </c>
      <c r="C11" s="1">
        <v>761.08</v>
      </c>
      <c r="D11" s="1">
        <v>653.76</v>
      </c>
      <c r="E11" s="1">
        <v>489.24</v>
      </c>
      <c r="F11" s="1">
        <v>404.07</v>
      </c>
      <c r="G11" s="1">
        <v>635.4</v>
      </c>
      <c r="M11">
        <v>104.31</v>
      </c>
    </row>
    <row r="12" spans="1:13" x14ac:dyDescent="0.25">
      <c r="A12" s="1" t="s">
        <v>16</v>
      </c>
      <c r="B12" s="1">
        <v>235.84</v>
      </c>
      <c r="C12" s="1">
        <v>237.83</v>
      </c>
      <c r="D12" s="1">
        <v>264.73</v>
      </c>
      <c r="E12" s="1">
        <v>250.13</v>
      </c>
      <c r="F12" s="1">
        <v>235.95</v>
      </c>
      <c r="G12" s="1">
        <v>236.97</v>
      </c>
      <c r="M12">
        <v>112.02</v>
      </c>
    </row>
    <row r="13" spans="1:13" x14ac:dyDescent="0.25">
      <c r="A13" s="1" t="s">
        <v>17</v>
      </c>
      <c r="B13" s="1">
        <v>44.01</v>
      </c>
      <c r="C13" s="1">
        <v>41.63</v>
      </c>
      <c r="D13" s="1">
        <v>44.3</v>
      </c>
      <c r="E13" s="1">
        <v>47.23</v>
      </c>
      <c r="F13" s="1">
        <v>46.18</v>
      </c>
      <c r="G13" s="1">
        <v>32.89</v>
      </c>
      <c r="M13">
        <v>78.489999999999995</v>
      </c>
    </row>
    <row r="14" spans="1:13" x14ac:dyDescent="0.25">
      <c r="A14" s="1" t="s">
        <v>18</v>
      </c>
      <c r="B14" s="1">
        <v>92.99</v>
      </c>
      <c r="C14" s="1">
        <v>85.81</v>
      </c>
      <c r="D14" s="1">
        <v>98.75</v>
      </c>
      <c r="E14" s="1">
        <v>81.63</v>
      </c>
      <c r="F14" s="1">
        <v>78.430000000000007</v>
      </c>
      <c r="G14" s="1">
        <v>64.290000000000006</v>
      </c>
      <c r="M14">
        <v>59.32</v>
      </c>
    </row>
    <row r="15" spans="1:13" x14ac:dyDescent="0.25">
      <c r="A15" s="1" t="s">
        <v>19</v>
      </c>
      <c r="B15" s="1">
        <v>4</v>
      </c>
      <c r="C15" s="1">
        <v>6</v>
      </c>
      <c r="D15" s="1">
        <v>6</v>
      </c>
      <c r="E15" s="1">
        <v>3</v>
      </c>
      <c r="F15" s="1">
        <v>4</v>
      </c>
      <c r="G15" s="1">
        <v>6</v>
      </c>
      <c r="M15">
        <v>87.43</v>
      </c>
    </row>
    <row r="16" spans="1:13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1183.8599999999999</v>
      </c>
      <c r="C17" s="1">
        <v>994.93</v>
      </c>
      <c r="D17" s="1">
        <v>1052.24</v>
      </c>
      <c r="E17" s="1">
        <v>772.22</v>
      </c>
      <c r="F17" s="1">
        <v>559.57000000000005</v>
      </c>
      <c r="G17" s="1">
        <v>748.28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0.06</v>
      </c>
      <c r="G18" s="1">
        <v>1.1100000000000001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28.999999999999996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121.5</v>
      </c>
      <c r="C33" s="3">
        <v>104.31</v>
      </c>
      <c r="D33" s="3">
        <v>112.02</v>
      </c>
      <c r="E33" s="3">
        <v>78.489999999999995</v>
      </c>
      <c r="F33" s="3">
        <v>59.32</v>
      </c>
      <c r="G33" s="3">
        <v>87.43</v>
      </c>
    </row>
    <row r="35" spans="1:7" x14ac:dyDescent="0.25">
      <c r="A35" s="3" t="s">
        <v>36</v>
      </c>
      <c r="B35" s="3"/>
      <c r="C35" s="3"/>
      <c r="D35" s="3">
        <f>D33-C33</f>
        <v>7.7099999999999937</v>
      </c>
      <c r="E35" s="3"/>
      <c r="F35" s="3">
        <f>F33-E33</f>
        <v>-19.169999999999995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-33.53</v>
      </c>
      <c r="F37" s="3"/>
      <c r="G37" s="3">
        <f>G33-F33</f>
        <v>28.110000000000007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A74F-A7EF-48BD-9DF0-A15CB794301F}">
  <sheetPr codeName="Sheet6"/>
  <dimension ref="A1:G37"/>
  <sheetViews>
    <sheetView topLeftCell="A7" workbookViewId="0">
      <selection activeCell="M9" sqref="M9:M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552.11</v>
      </c>
      <c r="C2" s="1">
        <v>533.04999999999995</v>
      </c>
      <c r="D2" s="1">
        <v>436.93</v>
      </c>
      <c r="E2" s="1">
        <v>512.39</v>
      </c>
      <c r="F2" s="1">
        <v>479.61</v>
      </c>
      <c r="G2" s="1">
        <v>514.61</v>
      </c>
    </row>
    <row r="3" spans="1:7" x14ac:dyDescent="0.25">
      <c r="A3" s="1" t="s">
        <v>7</v>
      </c>
      <c r="B3" s="1">
        <v>44.02</v>
      </c>
      <c r="C3" s="1">
        <v>46.55</v>
      </c>
      <c r="D3" s="1">
        <v>44.08</v>
      </c>
      <c r="E3" s="1">
        <v>53.22</v>
      </c>
      <c r="F3" s="1">
        <v>56.43</v>
      </c>
      <c r="G3" s="1">
        <v>39.840000000000003</v>
      </c>
    </row>
    <row r="4" spans="1:7" x14ac:dyDescent="0.25">
      <c r="A4" s="1" t="s">
        <v>8</v>
      </c>
      <c r="B4" s="1">
        <v>24663.1</v>
      </c>
      <c r="C4" s="1">
        <v>25208.83</v>
      </c>
      <c r="D4" s="1">
        <v>19609.43</v>
      </c>
      <c r="E4" s="1">
        <v>27685.53</v>
      </c>
      <c r="F4" s="1">
        <v>27533.26</v>
      </c>
      <c r="G4" s="1">
        <v>20799.599999999999</v>
      </c>
    </row>
    <row r="5" spans="1:7" x14ac:dyDescent="0.25">
      <c r="A5" s="1" t="s">
        <v>9</v>
      </c>
      <c r="B5" s="1">
        <v>307.39</v>
      </c>
      <c r="C5" s="1">
        <v>427.79</v>
      </c>
      <c r="D5" s="1">
        <v>652.41</v>
      </c>
      <c r="E5" s="1">
        <v>427.76</v>
      </c>
      <c r="F5" s="1">
        <v>546.99</v>
      </c>
      <c r="G5" s="1">
        <v>376.04</v>
      </c>
    </row>
    <row r="6" spans="1:7" x14ac:dyDescent="0.25">
      <c r="A6" s="3" t="s">
        <v>10</v>
      </c>
      <c r="B6" s="3">
        <v>30.74</v>
      </c>
      <c r="C6" s="3">
        <v>43.21</v>
      </c>
      <c r="D6" s="3">
        <v>65.900000000000006</v>
      </c>
      <c r="E6" s="3">
        <v>43.21</v>
      </c>
      <c r="F6" s="3">
        <v>55.25</v>
      </c>
      <c r="G6" s="3">
        <v>38.369999999999997</v>
      </c>
    </row>
    <row r="7" spans="1:7" x14ac:dyDescent="0.25">
      <c r="A7" s="1" t="s">
        <v>11</v>
      </c>
      <c r="B7" s="1">
        <v>294.47000000000003</v>
      </c>
      <c r="C7" s="1">
        <v>404.34</v>
      </c>
      <c r="D7" s="1">
        <v>548.03</v>
      </c>
      <c r="E7" s="1">
        <v>392.77</v>
      </c>
      <c r="F7" s="1">
        <v>514.23</v>
      </c>
      <c r="G7" s="1">
        <v>363.92</v>
      </c>
    </row>
    <row r="8" spans="1:7" x14ac:dyDescent="0.25">
      <c r="A8" s="1" t="s">
        <v>12</v>
      </c>
      <c r="B8" s="1">
        <v>29.45</v>
      </c>
      <c r="C8" s="1">
        <v>40.840000000000003</v>
      </c>
      <c r="D8" s="1">
        <v>55.36</v>
      </c>
      <c r="E8" s="1">
        <v>39.67</v>
      </c>
      <c r="F8" s="1">
        <v>51.94</v>
      </c>
      <c r="G8" s="1">
        <v>37.130000000000003</v>
      </c>
    </row>
    <row r="9" spans="1:7" x14ac:dyDescent="0.25">
      <c r="A9" s="1" t="s">
        <v>13</v>
      </c>
      <c r="B9" s="1">
        <v>265.42</v>
      </c>
      <c r="C9" s="1">
        <v>353.4</v>
      </c>
      <c r="D9" s="1">
        <v>327.81</v>
      </c>
      <c r="E9" s="1">
        <v>270.95</v>
      </c>
      <c r="F9" s="1">
        <v>296.58</v>
      </c>
      <c r="G9" s="1">
        <v>206.39</v>
      </c>
    </row>
    <row r="10" spans="1:7" x14ac:dyDescent="0.25">
      <c r="A10" s="1" t="s">
        <v>14</v>
      </c>
      <c r="B10" s="1">
        <v>26.54</v>
      </c>
      <c r="C10" s="1">
        <v>35.700000000000003</v>
      </c>
      <c r="D10" s="1">
        <v>33.11</v>
      </c>
      <c r="E10" s="1">
        <v>27.37</v>
      </c>
      <c r="F10" s="1">
        <v>29.96</v>
      </c>
      <c r="G10" s="1">
        <v>21.06</v>
      </c>
    </row>
    <row r="11" spans="1:7" x14ac:dyDescent="0.25">
      <c r="A11" s="1" t="s">
        <v>15</v>
      </c>
      <c r="B11" s="1">
        <v>201.49</v>
      </c>
      <c r="C11" s="1">
        <v>264.75</v>
      </c>
      <c r="D11" s="1">
        <v>92.4</v>
      </c>
      <c r="E11" s="1">
        <v>164.29</v>
      </c>
      <c r="F11" s="1">
        <v>98.93</v>
      </c>
      <c r="G11" s="1">
        <v>93.12</v>
      </c>
    </row>
    <row r="12" spans="1:7" x14ac:dyDescent="0.25">
      <c r="A12" s="1" t="s">
        <v>16</v>
      </c>
      <c r="B12" s="1">
        <v>242.98</v>
      </c>
      <c r="C12" s="1">
        <v>225.37</v>
      </c>
      <c r="D12" s="1">
        <v>181.2</v>
      </c>
      <c r="E12" s="1">
        <v>209.21</v>
      </c>
      <c r="F12" s="1">
        <v>138.97999999999999</v>
      </c>
      <c r="G12" s="1">
        <v>206.18</v>
      </c>
    </row>
    <row r="13" spans="1:7" x14ac:dyDescent="0.25">
      <c r="A13" s="1" t="s">
        <v>17</v>
      </c>
      <c r="B13" s="1">
        <v>36.869999999999997</v>
      </c>
      <c r="C13" s="1">
        <v>45.34</v>
      </c>
      <c r="D13" s="1">
        <v>59.95</v>
      </c>
      <c r="E13" s="1">
        <v>33.79</v>
      </c>
      <c r="F13" s="1">
        <v>63.28</v>
      </c>
      <c r="G13" s="1">
        <v>34.97</v>
      </c>
    </row>
    <row r="14" spans="1:7" x14ac:dyDescent="0.25">
      <c r="A14" s="1" t="s">
        <v>18</v>
      </c>
      <c r="B14" s="1">
        <v>81.48</v>
      </c>
      <c r="C14" s="1">
        <v>70.33</v>
      </c>
      <c r="D14" s="1">
        <v>89.98</v>
      </c>
      <c r="E14" s="1">
        <v>89.42</v>
      </c>
      <c r="F14" s="1">
        <v>98.58</v>
      </c>
      <c r="G14" s="1">
        <v>56.29</v>
      </c>
    </row>
    <row r="15" spans="1:7" x14ac:dyDescent="0.25">
      <c r="A15" s="1" t="s">
        <v>19</v>
      </c>
      <c r="B15" s="1">
        <v>3</v>
      </c>
      <c r="C15" s="1">
        <v>3</v>
      </c>
      <c r="D15" s="1">
        <v>2</v>
      </c>
      <c r="E15" s="1">
        <v>6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279.94</v>
      </c>
      <c r="C17" s="1">
        <v>378.87</v>
      </c>
      <c r="D17" s="1">
        <v>437.92</v>
      </c>
      <c r="E17" s="1">
        <v>331.86</v>
      </c>
      <c r="F17" s="1">
        <v>405.4</v>
      </c>
      <c r="G17" s="1">
        <v>285.14999999999998</v>
      </c>
    </row>
    <row r="18" spans="1:7" x14ac:dyDescent="0.25">
      <c r="A18" s="1" t="s">
        <v>22</v>
      </c>
      <c r="B18" s="1">
        <v>14.53</v>
      </c>
      <c r="C18" s="1">
        <v>25.47</v>
      </c>
      <c r="D18" s="1">
        <v>110.11</v>
      </c>
      <c r="E18" s="1">
        <v>60.91</v>
      </c>
      <c r="F18" s="1">
        <v>108.82</v>
      </c>
      <c r="G18" s="1">
        <v>78.77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1.5</v>
      </c>
      <c r="E20" s="1">
        <v>0</v>
      </c>
      <c r="F20" s="1">
        <v>0</v>
      </c>
      <c r="G20" s="1">
        <v>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8.5</v>
      </c>
      <c r="E21" s="1">
        <v>10</v>
      </c>
      <c r="F21" s="1">
        <v>10</v>
      </c>
      <c r="G21" s="1">
        <v>6.9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1.5</v>
      </c>
    </row>
    <row r="25" spans="1:7" x14ac:dyDescent="0.25">
      <c r="A25" s="1" t="s">
        <v>29</v>
      </c>
      <c r="B25" s="1">
        <v>5.2</v>
      </c>
      <c r="C25" s="1">
        <v>4.2</v>
      </c>
      <c r="D25" s="1">
        <v>4.5999999999999996</v>
      </c>
      <c r="E25" s="1">
        <v>5.7</v>
      </c>
      <c r="F25" s="1">
        <v>3.2</v>
      </c>
      <c r="G25" s="1">
        <v>3.8</v>
      </c>
    </row>
    <row r="26" spans="1:7" x14ac:dyDescent="0.25">
      <c r="A26" s="1" t="s">
        <v>30</v>
      </c>
      <c r="B26" s="1">
        <v>4.9000000000000004</v>
      </c>
      <c r="C26" s="1">
        <v>5.8</v>
      </c>
      <c r="D26" s="1">
        <v>5.4</v>
      </c>
      <c r="E26" s="1">
        <v>4.3</v>
      </c>
      <c r="F26" s="1">
        <v>6.8</v>
      </c>
      <c r="G26" s="1">
        <v>4.5999999999999996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15.151515151515154</v>
      </c>
    </row>
    <row r="30" spans="1:7" x14ac:dyDescent="0.25">
      <c r="A30" s="3" t="s">
        <v>33</v>
      </c>
      <c r="B30" s="3">
        <f>B25/B28*100</f>
        <v>51.485148514851474</v>
      </c>
      <c r="C30" s="3">
        <f t="shared" ref="C30:G30" si="2">C25/C28*100</f>
        <v>42.000000000000007</v>
      </c>
      <c r="D30" s="3">
        <f t="shared" si="2"/>
        <v>46</v>
      </c>
      <c r="E30" s="3">
        <f t="shared" si="2"/>
        <v>57.000000000000007</v>
      </c>
      <c r="F30" s="3">
        <f t="shared" si="2"/>
        <v>32</v>
      </c>
      <c r="G30" s="3">
        <f t="shared" si="2"/>
        <v>38.383838383838388</v>
      </c>
    </row>
    <row r="31" spans="1:7" x14ac:dyDescent="0.25">
      <c r="A31" s="3" t="s">
        <v>34</v>
      </c>
      <c r="B31" s="3">
        <f>B26/B28*100</f>
        <v>48.514851485148512</v>
      </c>
      <c r="C31" s="3">
        <f t="shared" ref="C31:G31" si="3">C26/C28*100</f>
        <v>57.999999999999993</v>
      </c>
      <c r="D31" s="3">
        <f t="shared" si="3"/>
        <v>54</v>
      </c>
      <c r="E31" s="3">
        <f t="shared" si="3"/>
        <v>43</v>
      </c>
      <c r="F31" s="3">
        <f t="shared" si="3"/>
        <v>68</v>
      </c>
      <c r="G31" s="3">
        <f t="shared" si="3"/>
        <v>46.464646464646471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26.49</v>
      </c>
      <c r="C33" s="3">
        <v>37.24</v>
      </c>
      <c r="D33" s="3">
        <v>28.8</v>
      </c>
      <c r="E33" s="3">
        <v>28.63</v>
      </c>
      <c r="F33" s="3">
        <v>29.99</v>
      </c>
      <c r="G33" s="3">
        <v>9.5399999999999991</v>
      </c>
    </row>
    <row r="35" spans="1:7" x14ac:dyDescent="0.25">
      <c r="A35" s="3" t="s">
        <v>36</v>
      </c>
      <c r="B35" s="3"/>
      <c r="C35" s="3"/>
      <c r="D35" s="3">
        <f>D33-C33</f>
        <v>-8.4400000000000013</v>
      </c>
      <c r="E35" s="3"/>
      <c r="F35" s="3">
        <f>F33-E33</f>
        <v>1.3599999999999994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-0.17000000000000171</v>
      </c>
      <c r="F37" s="3"/>
      <c r="G37" s="3">
        <f>G33-F33</f>
        <v>-20.45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80B9-716D-4B85-B900-8D3E0A15679B}">
  <sheetPr codeName="Sheet7"/>
  <dimension ref="A1:G37"/>
  <sheetViews>
    <sheetView topLeftCell="A10" workbookViewId="0">
      <selection activeCell="E41" sqref="E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558.66999999999996</v>
      </c>
      <c r="C2" s="1">
        <v>532.84</v>
      </c>
      <c r="D2" s="1">
        <v>540.36</v>
      </c>
      <c r="E2" s="1">
        <v>560.6</v>
      </c>
      <c r="F2" s="1">
        <v>564.51</v>
      </c>
      <c r="G2" s="1">
        <v>544.86</v>
      </c>
    </row>
    <row r="3" spans="1:7" x14ac:dyDescent="0.25">
      <c r="A3" s="1" t="s">
        <v>7</v>
      </c>
      <c r="B3" s="1">
        <v>44.62</v>
      </c>
      <c r="C3" s="1">
        <v>48.16</v>
      </c>
      <c r="D3" s="1">
        <v>50.19</v>
      </c>
      <c r="E3" s="1">
        <v>51.15</v>
      </c>
      <c r="F3" s="1">
        <v>52.02</v>
      </c>
      <c r="G3" s="1">
        <v>52.01</v>
      </c>
    </row>
    <row r="4" spans="1:7" x14ac:dyDescent="0.25">
      <c r="A4" s="1" t="s">
        <v>8</v>
      </c>
      <c r="B4" s="1">
        <v>25358.95</v>
      </c>
      <c r="C4" s="1">
        <v>26092.71</v>
      </c>
      <c r="D4" s="1">
        <v>27532.77</v>
      </c>
      <c r="E4" s="1">
        <v>29147.07</v>
      </c>
      <c r="F4" s="1">
        <v>29852.14</v>
      </c>
      <c r="G4" s="1">
        <v>28785.119999999999</v>
      </c>
    </row>
    <row r="5" spans="1:7" x14ac:dyDescent="0.25">
      <c r="A5" s="1" t="s">
        <v>9</v>
      </c>
      <c r="B5" s="1">
        <v>1444.57</v>
      </c>
      <c r="C5" s="1">
        <v>1086.75</v>
      </c>
      <c r="D5" s="1">
        <v>900.81</v>
      </c>
      <c r="E5" s="1">
        <v>1305.8800000000001</v>
      </c>
      <c r="F5" s="1">
        <v>913.43</v>
      </c>
      <c r="G5" s="1">
        <v>1051.93</v>
      </c>
    </row>
    <row r="6" spans="1:7" x14ac:dyDescent="0.25">
      <c r="A6" s="3" t="s">
        <v>10</v>
      </c>
      <c r="B6" s="3">
        <v>144.46</v>
      </c>
      <c r="C6" s="3">
        <v>109.77</v>
      </c>
      <c r="D6" s="3">
        <v>90.99</v>
      </c>
      <c r="E6" s="3">
        <v>131.91</v>
      </c>
      <c r="F6" s="3">
        <v>92.27</v>
      </c>
      <c r="G6" s="3">
        <v>107.34</v>
      </c>
    </row>
    <row r="7" spans="1:7" x14ac:dyDescent="0.25">
      <c r="A7" s="1" t="s">
        <v>11</v>
      </c>
      <c r="B7" s="1">
        <v>1396.33</v>
      </c>
      <c r="C7" s="1">
        <v>1043.83</v>
      </c>
      <c r="D7" s="1">
        <v>890.16</v>
      </c>
      <c r="E7" s="1">
        <v>1284.0999999999999</v>
      </c>
      <c r="F7" s="1">
        <v>862.46</v>
      </c>
      <c r="G7" s="1">
        <v>1036.46</v>
      </c>
    </row>
    <row r="8" spans="1:7" x14ac:dyDescent="0.25">
      <c r="A8" s="1" t="s">
        <v>12</v>
      </c>
      <c r="B8" s="1">
        <v>139.63</v>
      </c>
      <c r="C8" s="1">
        <v>105.44</v>
      </c>
      <c r="D8" s="1">
        <v>89.92</v>
      </c>
      <c r="E8" s="1">
        <v>129.71</v>
      </c>
      <c r="F8" s="1">
        <v>87.12</v>
      </c>
      <c r="G8" s="1">
        <v>105.76</v>
      </c>
    </row>
    <row r="9" spans="1:7" x14ac:dyDescent="0.25">
      <c r="A9" s="1" t="s">
        <v>13</v>
      </c>
      <c r="B9" s="1">
        <v>1396.33</v>
      </c>
      <c r="C9" s="1">
        <v>1043.83</v>
      </c>
      <c r="D9" s="1">
        <v>890.16</v>
      </c>
      <c r="E9" s="1">
        <v>1284.0999999999999</v>
      </c>
      <c r="F9" s="1">
        <v>-573.26</v>
      </c>
      <c r="G9" s="1">
        <v>1036.46</v>
      </c>
    </row>
    <row r="10" spans="1:7" x14ac:dyDescent="0.25">
      <c r="A10" s="1" t="s">
        <v>14</v>
      </c>
      <c r="B10" s="1">
        <v>139.63</v>
      </c>
      <c r="C10" s="1">
        <v>105.44</v>
      </c>
      <c r="D10" s="1">
        <v>89.92</v>
      </c>
      <c r="E10" s="1">
        <v>129.71</v>
      </c>
      <c r="F10" s="1">
        <v>-57.91</v>
      </c>
      <c r="G10" s="1">
        <v>105.76</v>
      </c>
    </row>
    <row r="11" spans="1:7" x14ac:dyDescent="0.25">
      <c r="A11" s="1" t="s">
        <v>15</v>
      </c>
      <c r="B11" s="1">
        <v>1075.3800000000001</v>
      </c>
      <c r="C11" s="1">
        <v>739.05</v>
      </c>
      <c r="D11" s="1">
        <v>468.44</v>
      </c>
      <c r="E11" s="1">
        <v>959.03</v>
      </c>
      <c r="F11" s="1">
        <v>278.06</v>
      </c>
      <c r="G11" s="1">
        <v>759.76</v>
      </c>
    </row>
    <row r="12" spans="1:7" x14ac:dyDescent="0.25">
      <c r="A12" s="1" t="s">
        <v>16</v>
      </c>
      <c r="B12" s="1">
        <v>287.58999999999997</v>
      </c>
      <c r="C12" s="1">
        <v>259.26</v>
      </c>
      <c r="D12" s="1">
        <v>256.02</v>
      </c>
      <c r="E12" s="1">
        <v>292.25</v>
      </c>
      <c r="F12" s="1">
        <v>295.41000000000003</v>
      </c>
      <c r="G12" s="1">
        <v>284.95999999999998</v>
      </c>
    </row>
    <row r="13" spans="1:7" x14ac:dyDescent="0.25">
      <c r="A13" s="1" t="s">
        <v>17</v>
      </c>
      <c r="B13" s="1">
        <v>50.87</v>
      </c>
      <c r="C13" s="1">
        <v>44.11</v>
      </c>
      <c r="D13" s="1">
        <v>52.12</v>
      </c>
      <c r="E13" s="1">
        <v>47.97</v>
      </c>
      <c r="F13" s="1">
        <v>49.71</v>
      </c>
      <c r="G13" s="1">
        <v>39.86</v>
      </c>
    </row>
    <row r="14" spans="1:7" x14ac:dyDescent="0.25">
      <c r="A14" s="1" t="s">
        <v>18</v>
      </c>
      <c r="B14" s="1">
        <v>96.68</v>
      </c>
      <c r="C14" s="1">
        <v>91.1</v>
      </c>
      <c r="D14" s="1">
        <v>98.13</v>
      </c>
      <c r="E14" s="1">
        <v>84.67</v>
      </c>
      <c r="F14" s="1">
        <v>103.51</v>
      </c>
      <c r="G14" s="1">
        <v>85.52</v>
      </c>
    </row>
    <row r="15" spans="1:7" x14ac:dyDescent="0.25">
      <c r="A15" s="1" t="s">
        <v>19</v>
      </c>
      <c r="B15" s="1">
        <v>8</v>
      </c>
      <c r="C15" s="1">
        <v>5</v>
      </c>
      <c r="D15" s="1">
        <v>2</v>
      </c>
      <c r="E15" s="1">
        <v>7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1396.33</v>
      </c>
      <c r="C17" s="1">
        <v>1043.83</v>
      </c>
      <c r="D17" s="1">
        <v>890.16</v>
      </c>
      <c r="E17" s="1">
        <v>1284.0999999999999</v>
      </c>
      <c r="F17" s="1">
        <v>144.6</v>
      </c>
      <c r="G17" s="1">
        <v>1036.46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717.86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28.999999999999996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21.000000000000004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140.04</v>
      </c>
      <c r="C33" s="3">
        <v>107.27</v>
      </c>
      <c r="D33" s="3">
        <v>92.81</v>
      </c>
      <c r="E33" s="3">
        <v>131.04</v>
      </c>
      <c r="F33" s="3">
        <v>-37.29</v>
      </c>
      <c r="G33" s="3">
        <v>107.22</v>
      </c>
    </row>
    <row r="35" spans="1:7" x14ac:dyDescent="0.25">
      <c r="A35" s="3" t="s">
        <v>36</v>
      </c>
      <c r="B35" s="3"/>
      <c r="C35" s="3"/>
      <c r="D35" s="3">
        <f>D33-C33</f>
        <v>-14.459999999999994</v>
      </c>
      <c r="E35" s="3"/>
      <c r="F35" s="3">
        <f>F33-E33</f>
        <v>-168.32999999999998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38.22999999999999</v>
      </c>
      <c r="F37" s="3"/>
      <c r="G37" s="3">
        <f>G33-F33</f>
        <v>144.51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FC8A-AED5-4CDC-AC2E-5C1931127F2B}">
  <sheetPr codeName="Sheet8"/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543.69000000000005</v>
      </c>
      <c r="C2" s="1">
        <v>569.12</v>
      </c>
      <c r="D2" s="1">
        <v>568.99</v>
      </c>
      <c r="E2" s="1">
        <v>572.9</v>
      </c>
      <c r="F2" s="1">
        <v>551.88</v>
      </c>
      <c r="G2" s="1">
        <v>573.45000000000005</v>
      </c>
    </row>
    <row r="3" spans="1:7" x14ac:dyDescent="0.25">
      <c r="A3" s="1" t="s">
        <v>7</v>
      </c>
      <c r="B3" s="1">
        <v>46.08</v>
      </c>
      <c r="C3" s="1">
        <v>55.58</v>
      </c>
      <c r="D3" s="1">
        <v>55.46</v>
      </c>
      <c r="E3" s="1">
        <v>57.33</v>
      </c>
      <c r="F3" s="1">
        <v>60.25</v>
      </c>
      <c r="G3" s="1">
        <v>56.2</v>
      </c>
    </row>
    <row r="4" spans="1:7" x14ac:dyDescent="0.25">
      <c r="A4" s="1" t="s">
        <v>8</v>
      </c>
      <c r="B4" s="1">
        <v>25473.32</v>
      </c>
      <c r="C4" s="1">
        <v>32141.15</v>
      </c>
      <c r="D4" s="1">
        <v>32070.45</v>
      </c>
      <c r="E4" s="1">
        <v>33404.449999999997</v>
      </c>
      <c r="F4" s="1">
        <v>33806.19</v>
      </c>
      <c r="G4" s="1">
        <v>32769.879999999997</v>
      </c>
    </row>
    <row r="5" spans="1:7" x14ac:dyDescent="0.25">
      <c r="A5" s="1" t="s">
        <v>9</v>
      </c>
      <c r="B5" s="1">
        <v>543.94000000000005</v>
      </c>
      <c r="C5" s="1">
        <v>981.26</v>
      </c>
      <c r="D5" s="1">
        <v>997.99</v>
      </c>
      <c r="E5" s="1">
        <v>744.62</v>
      </c>
      <c r="F5" s="1">
        <v>610.89</v>
      </c>
      <c r="G5" s="1">
        <v>675.57</v>
      </c>
    </row>
    <row r="6" spans="1:7" x14ac:dyDescent="0.25">
      <c r="A6" s="3" t="s">
        <v>10</v>
      </c>
      <c r="B6" s="3">
        <v>54.39</v>
      </c>
      <c r="C6" s="3">
        <v>99.12</v>
      </c>
      <c r="D6" s="3">
        <v>100.81</v>
      </c>
      <c r="E6" s="3">
        <v>75.209999999999994</v>
      </c>
      <c r="F6" s="3">
        <v>61.71</v>
      </c>
      <c r="G6" s="3">
        <v>68.94</v>
      </c>
    </row>
    <row r="7" spans="1:7" x14ac:dyDescent="0.25">
      <c r="A7" s="1" t="s">
        <v>11</v>
      </c>
      <c r="B7" s="1">
        <v>530.78</v>
      </c>
      <c r="C7" s="1">
        <v>958.13</v>
      </c>
      <c r="D7" s="1">
        <v>981.47</v>
      </c>
      <c r="E7" s="1">
        <v>725.34</v>
      </c>
      <c r="F7" s="1">
        <v>569.17999999999995</v>
      </c>
      <c r="G7" s="1">
        <v>655.5</v>
      </c>
    </row>
    <row r="8" spans="1:7" x14ac:dyDescent="0.25">
      <c r="A8" s="1" t="s">
        <v>12</v>
      </c>
      <c r="B8" s="1">
        <v>53.08</v>
      </c>
      <c r="C8" s="1">
        <v>96.78</v>
      </c>
      <c r="D8" s="1">
        <v>99.14</v>
      </c>
      <c r="E8" s="1">
        <v>73.27</v>
      </c>
      <c r="F8" s="1">
        <v>57.49</v>
      </c>
      <c r="G8" s="1">
        <v>66.89</v>
      </c>
    </row>
    <row r="9" spans="1:7" x14ac:dyDescent="0.25">
      <c r="A9" s="1" t="s">
        <v>13</v>
      </c>
      <c r="B9" s="1">
        <v>501.29</v>
      </c>
      <c r="C9" s="1">
        <v>958.13</v>
      </c>
      <c r="D9" s="1">
        <v>981.47</v>
      </c>
      <c r="E9" s="1">
        <v>725.34</v>
      </c>
      <c r="F9" s="1">
        <v>557.87</v>
      </c>
      <c r="G9" s="1">
        <v>626.16999999999996</v>
      </c>
    </row>
    <row r="10" spans="1:7" x14ac:dyDescent="0.25">
      <c r="A10" s="1" t="s">
        <v>14</v>
      </c>
      <c r="B10" s="1">
        <v>50.13</v>
      </c>
      <c r="C10" s="1">
        <v>96.78</v>
      </c>
      <c r="D10" s="1">
        <v>99.14</v>
      </c>
      <c r="E10" s="1">
        <v>73.27</v>
      </c>
      <c r="F10" s="1">
        <v>56.35</v>
      </c>
      <c r="G10" s="1">
        <v>63.89</v>
      </c>
    </row>
    <row r="11" spans="1:7" x14ac:dyDescent="0.25">
      <c r="A11" s="1" t="s">
        <v>15</v>
      </c>
      <c r="B11" s="1">
        <v>290.10000000000002</v>
      </c>
      <c r="C11" s="1">
        <v>682.24</v>
      </c>
      <c r="D11" s="1">
        <v>778.65</v>
      </c>
      <c r="E11" s="1">
        <v>514.29</v>
      </c>
      <c r="F11" s="1">
        <v>340.35</v>
      </c>
      <c r="G11" s="1">
        <v>494.37</v>
      </c>
    </row>
    <row r="12" spans="1:7" x14ac:dyDescent="0.25">
      <c r="A12" s="1" t="s">
        <v>16</v>
      </c>
      <c r="B12" s="1">
        <v>226.72</v>
      </c>
      <c r="C12" s="1">
        <v>255.82</v>
      </c>
      <c r="D12" s="1">
        <v>260.25</v>
      </c>
      <c r="E12" s="1">
        <v>249.27</v>
      </c>
      <c r="F12" s="1">
        <v>227.28</v>
      </c>
      <c r="G12" s="1">
        <v>265.95</v>
      </c>
    </row>
    <row r="13" spans="1:7" x14ac:dyDescent="0.25">
      <c r="A13" s="1" t="s">
        <v>17</v>
      </c>
      <c r="B13" s="1">
        <v>49.13</v>
      </c>
      <c r="C13" s="1">
        <v>43.53</v>
      </c>
      <c r="D13" s="1">
        <v>42.6</v>
      </c>
      <c r="E13" s="1">
        <v>43.24</v>
      </c>
      <c r="F13" s="1">
        <v>47.96</v>
      </c>
      <c r="G13" s="1">
        <v>37.69</v>
      </c>
    </row>
    <row r="14" spans="1:7" x14ac:dyDescent="0.25">
      <c r="A14" s="1" t="s">
        <v>18</v>
      </c>
      <c r="B14" s="1">
        <v>104.34</v>
      </c>
      <c r="C14" s="1">
        <v>79.16</v>
      </c>
      <c r="D14" s="1">
        <v>107.08</v>
      </c>
      <c r="E14" s="1">
        <v>87.48</v>
      </c>
      <c r="F14" s="1">
        <v>82.82</v>
      </c>
      <c r="G14" s="1">
        <v>96.65</v>
      </c>
    </row>
    <row r="15" spans="1:7" x14ac:dyDescent="0.25">
      <c r="A15" s="1" t="s">
        <v>19</v>
      </c>
      <c r="B15" s="1">
        <v>4</v>
      </c>
      <c r="C15" s="1">
        <v>5</v>
      </c>
      <c r="D15" s="1">
        <v>6</v>
      </c>
      <c r="E15" s="1">
        <v>4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516.03</v>
      </c>
      <c r="C17" s="1">
        <v>958.13</v>
      </c>
      <c r="D17" s="1">
        <v>981.47</v>
      </c>
      <c r="E17" s="1">
        <v>725.34</v>
      </c>
      <c r="F17" s="1">
        <v>563.53</v>
      </c>
      <c r="G17" s="1">
        <v>640.84</v>
      </c>
    </row>
    <row r="18" spans="1:7" x14ac:dyDescent="0.25">
      <c r="A18" s="1" t="s">
        <v>22</v>
      </c>
      <c r="B18" s="1">
        <v>14.74</v>
      </c>
      <c r="C18" s="1">
        <v>0</v>
      </c>
      <c r="D18" s="1">
        <v>0</v>
      </c>
      <c r="E18" s="1">
        <v>0</v>
      </c>
      <c r="F18" s="1">
        <v>5.65</v>
      </c>
      <c r="G18" s="1">
        <v>14.67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1.1000000000000001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9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89.10891089108911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51.3</v>
      </c>
      <c r="C33" s="3">
        <v>97.46</v>
      </c>
      <c r="D33" s="3">
        <v>100.37</v>
      </c>
      <c r="E33" s="3">
        <v>74.209999999999994</v>
      </c>
      <c r="F33" s="3">
        <v>60.03</v>
      </c>
      <c r="G33" s="3">
        <v>65.25</v>
      </c>
    </row>
    <row r="35" spans="1:7" x14ac:dyDescent="0.25">
      <c r="A35" s="3" t="s">
        <v>36</v>
      </c>
      <c r="B35" s="3"/>
      <c r="C35" s="3"/>
      <c r="D35" s="3">
        <f>D33-C33</f>
        <v>2.9100000000000108</v>
      </c>
      <c r="E35" s="3"/>
      <c r="F35" s="3">
        <f>F33-E33</f>
        <v>-14.179999999999993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-26.160000000000011</v>
      </c>
      <c r="F37" s="3"/>
      <c r="G37" s="3">
        <f>G33-F33</f>
        <v>5.2199999999999989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46DA-3362-4385-99FB-76B8DA269A27}">
  <sheetPr codeName="Sheet9"/>
  <dimension ref="A1:G37"/>
  <sheetViews>
    <sheetView topLeftCell="A7" workbookViewId="0">
      <selection activeCell="K22" sqref="K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574.69000000000005</v>
      </c>
      <c r="C2" s="1">
        <v>564.37</v>
      </c>
      <c r="D2" s="1">
        <v>571.96</v>
      </c>
      <c r="E2" s="1">
        <v>557.19000000000005</v>
      </c>
      <c r="F2" s="1">
        <v>554.12</v>
      </c>
      <c r="G2" s="1">
        <v>575.12</v>
      </c>
    </row>
    <row r="3" spans="1:7" x14ac:dyDescent="0.25">
      <c r="A3" s="1" t="s">
        <v>7</v>
      </c>
      <c r="B3" s="1">
        <v>40.39</v>
      </c>
      <c r="C3" s="1">
        <v>41.09</v>
      </c>
      <c r="D3" s="1">
        <v>41.68</v>
      </c>
      <c r="E3" s="1">
        <v>39.08</v>
      </c>
      <c r="F3" s="1">
        <v>38.82</v>
      </c>
      <c r="G3" s="1">
        <v>40.69</v>
      </c>
    </row>
    <row r="4" spans="1:7" x14ac:dyDescent="0.25">
      <c r="A4" s="1" t="s">
        <v>8</v>
      </c>
      <c r="B4" s="1">
        <v>23611.02</v>
      </c>
      <c r="C4" s="1">
        <v>23583.66</v>
      </c>
      <c r="D4" s="1">
        <v>24209.77</v>
      </c>
      <c r="E4" s="1">
        <v>22128.47</v>
      </c>
      <c r="F4" s="1">
        <v>21897.040000000001</v>
      </c>
      <c r="G4" s="1">
        <v>23782.19</v>
      </c>
    </row>
    <row r="5" spans="1:7" x14ac:dyDescent="0.25">
      <c r="A5" s="1" t="s">
        <v>9</v>
      </c>
      <c r="B5" s="1">
        <v>1509.2</v>
      </c>
      <c r="C5" s="1">
        <v>1373.24</v>
      </c>
      <c r="D5" s="1">
        <v>1159.7</v>
      </c>
      <c r="E5" s="1">
        <v>1391.22</v>
      </c>
      <c r="F5" s="1">
        <v>1453.13</v>
      </c>
      <c r="G5" s="1">
        <v>1405.08</v>
      </c>
    </row>
    <row r="6" spans="1:7" x14ac:dyDescent="0.25">
      <c r="A6" s="3" t="s">
        <v>10</v>
      </c>
      <c r="B6" s="3">
        <v>150.91999999999999</v>
      </c>
      <c r="C6" s="3">
        <v>138.71</v>
      </c>
      <c r="D6" s="3">
        <v>117.14</v>
      </c>
      <c r="E6" s="3">
        <v>140.53</v>
      </c>
      <c r="F6" s="3">
        <v>146.78</v>
      </c>
      <c r="G6" s="3">
        <v>143.38</v>
      </c>
    </row>
    <row r="7" spans="1:7" x14ac:dyDescent="0.25">
      <c r="A7" s="1" t="s">
        <v>11</v>
      </c>
      <c r="B7" s="1">
        <v>1454.68</v>
      </c>
      <c r="C7" s="1">
        <v>1299.9000000000001</v>
      </c>
      <c r="D7" s="1">
        <v>1132.6500000000001</v>
      </c>
      <c r="E7" s="1">
        <v>1326.25</v>
      </c>
      <c r="F7" s="1">
        <v>1390.35</v>
      </c>
      <c r="G7" s="1">
        <v>1379.95</v>
      </c>
    </row>
    <row r="8" spans="1:7" x14ac:dyDescent="0.25">
      <c r="A8" s="1" t="s">
        <v>12</v>
      </c>
      <c r="B8" s="1">
        <v>145.47</v>
      </c>
      <c r="C8" s="1">
        <v>131.30000000000001</v>
      </c>
      <c r="D8" s="1">
        <v>114.41</v>
      </c>
      <c r="E8" s="1">
        <v>133.96</v>
      </c>
      <c r="F8" s="1">
        <v>140.44</v>
      </c>
      <c r="G8" s="1">
        <v>140.81</v>
      </c>
    </row>
    <row r="9" spans="1:7" x14ac:dyDescent="0.25">
      <c r="A9" s="1" t="s">
        <v>13</v>
      </c>
      <c r="B9" s="1">
        <v>1454.68</v>
      </c>
      <c r="C9" s="1">
        <v>1299.9000000000001</v>
      </c>
      <c r="D9" s="1">
        <v>1132.6500000000001</v>
      </c>
      <c r="E9" s="1">
        <v>1326.25</v>
      </c>
      <c r="F9" s="1">
        <v>1390.35</v>
      </c>
      <c r="G9" s="1">
        <v>1379.95</v>
      </c>
    </row>
    <row r="10" spans="1:7" x14ac:dyDescent="0.25">
      <c r="A10" s="1" t="s">
        <v>14</v>
      </c>
      <c r="B10" s="1">
        <v>145.47</v>
      </c>
      <c r="C10" s="1">
        <v>131.30000000000001</v>
      </c>
      <c r="D10" s="1">
        <v>114.41</v>
      </c>
      <c r="E10" s="1">
        <v>133.96</v>
      </c>
      <c r="F10" s="1">
        <v>140.44</v>
      </c>
      <c r="G10" s="1">
        <v>140.81</v>
      </c>
    </row>
    <row r="11" spans="1:7" x14ac:dyDescent="0.25">
      <c r="A11" s="1" t="s">
        <v>15</v>
      </c>
      <c r="B11" s="1">
        <v>1173</v>
      </c>
      <c r="C11" s="1">
        <v>953.51</v>
      </c>
      <c r="D11" s="1">
        <v>858.13</v>
      </c>
      <c r="E11" s="1">
        <v>943.47</v>
      </c>
      <c r="F11" s="1">
        <v>1185.82</v>
      </c>
      <c r="G11" s="1">
        <v>1003.43</v>
      </c>
    </row>
    <row r="12" spans="1:7" x14ac:dyDescent="0.25">
      <c r="A12" s="1" t="s">
        <v>16</v>
      </c>
      <c r="B12" s="1">
        <v>313.23</v>
      </c>
      <c r="C12" s="1">
        <v>290.95999999999998</v>
      </c>
      <c r="D12" s="1">
        <v>291.27</v>
      </c>
      <c r="E12" s="1">
        <v>296.25</v>
      </c>
      <c r="F12" s="1">
        <v>320.60000000000002</v>
      </c>
      <c r="G12" s="1">
        <v>293.79000000000002</v>
      </c>
    </row>
    <row r="13" spans="1:7" x14ac:dyDescent="0.25">
      <c r="A13" s="1" t="s">
        <v>17</v>
      </c>
      <c r="B13" s="1">
        <v>44.63</v>
      </c>
      <c r="C13" s="1">
        <v>52.82</v>
      </c>
      <c r="D13" s="1">
        <v>46.87</v>
      </c>
      <c r="E13" s="1">
        <v>53.48</v>
      </c>
      <c r="F13" s="1">
        <v>37.51</v>
      </c>
      <c r="G13" s="1">
        <v>54.74</v>
      </c>
    </row>
    <row r="14" spans="1:7" x14ac:dyDescent="0.25">
      <c r="A14" s="1" t="s">
        <v>18</v>
      </c>
      <c r="B14" s="1">
        <v>81.98</v>
      </c>
      <c r="C14" s="1">
        <v>88.05</v>
      </c>
      <c r="D14" s="1">
        <v>78.25</v>
      </c>
      <c r="E14" s="1">
        <v>108.53</v>
      </c>
      <c r="F14" s="1">
        <v>72.45</v>
      </c>
      <c r="G14" s="1">
        <v>87.71</v>
      </c>
    </row>
    <row r="15" spans="1:7" x14ac:dyDescent="0.25">
      <c r="A15" s="1" t="s">
        <v>19</v>
      </c>
      <c r="B15" s="1">
        <v>8</v>
      </c>
      <c r="C15" s="1">
        <v>7</v>
      </c>
      <c r="D15" s="1">
        <v>7</v>
      </c>
      <c r="E15" s="1">
        <v>7</v>
      </c>
      <c r="F15" s="1">
        <v>9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1454.68</v>
      </c>
      <c r="C17" s="1">
        <v>1299.9000000000001</v>
      </c>
      <c r="D17" s="1">
        <v>1132.6500000000001</v>
      </c>
      <c r="E17" s="1">
        <v>1326.25</v>
      </c>
      <c r="F17" s="1">
        <v>1390.35</v>
      </c>
      <c r="G17" s="1">
        <v>1379.95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148.61000000000001</v>
      </c>
      <c r="C33" s="3">
        <v>135.31</v>
      </c>
      <c r="D33" s="3">
        <v>118.58</v>
      </c>
      <c r="E33" s="3">
        <v>140.79</v>
      </c>
      <c r="F33" s="3">
        <v>142.78</v>
      </c>
      <c r="G33" s="3">
        <v>142.12</v>
      </c>
    </row>
    <row r="35" spans="1:7" x14ac:dyDescent="0.25">
      <c r="A35" s="3" t="s">
        <v>36</v>
      </c>
      <c r="B35" s="3"/>
      <c r="C35" s="3"/>
      <c r="D35" s="3">
        <f>D33-C33</f>
        <v>-16.730000000000004</v>
      </c>
      <c r="E35" s="3"/>
      <c r="F35" s="3">
        <f>F33-E33</f>
        <v>1.9900000000000091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22.209999999999994</v>
      </c>
      <c r="F37" s="3"/>
      <c r="G37" s="3">
        <f>G33-F33</f>
        <v>-0.65999999999999659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A67F-A580-4512-9F8F-7C12310E954B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533.05999999999995</v>
      </c>
      <c r="C2" s="1">
        <v>546.97</v>
      </c>
      <c r="D2" s="1">
        <v>544.51</v>
      </c>
      <c r="E2" s="1">
        <v>547.37</v>
      </c>
      <c r="F2" s="1">
        <v>547.96</v>
      </c>
      <c r="G2" s="1">
        <v>543.9</v>
      </c>
    </row>
    <row r="3" spans="1:7" x14ac:dyDescent="0.25">
      <c r="A3" s="1" t="s">
        <v>7</v>
      </c>
      <c r="B3" s="1">
        <v>42.53</v>
      </c>
      <c r="C3" s="1">
        <v>47.24</v>
      </c>
      <c r="D3" s="1">
        <v>46.16</v>
      </c>
      <c r="E3" s="1">
        <v>46.68</v>
      </c>
      <c r="F3" s="1">
        <v>45.37</v>
      </c>
      <c r="G3" s="1">
        <v>45.15</v>
      </c>
    </row>
    <row r="4" spans="1:7" x14ac:dyDescent="0.25">
      <c r="A4" s="1" t="s">
        <v>8</v>
      </c>
      <c r="B4" s="1">
        <v>23050.54</v>
      </c>
      <c r="C4" s="1">
        <v>26284.18</v>
      </c>
      <c r="D4" s="1">
        <v>25521.4</v>
      </c>
      <c r="E4" s="1">
        <v>25970.69</v>
      </c>
      <c r="F4" s="1">
        <v>25250.15</v>
      </c>
      <c r="G4" s="1">
        <v>24958.240000000002</v>
      </c>
    </row>
    <row r="5" spans="1:7" x14ac:dyDescent="0.25">
      <c r="A5" s="1" t="s">
        <v>9</v>
      </c>
      <c r="B5" s="1">
        <v>2471.65</v>
      </c>
      <c r="C5" s="1">
        <v>2518.54</v>
      </c>
      <c r="D5" s="1">
        <v>1964.99</v>
      </c>
      <c r="E5" s="1">
        <v>2369</v>
      </c>
      <c r="F5" s="1">
        <v>2287.34</v>
      </c>
      <c r="G5" s="1">
        <v>2666.74</v>
      </c>
    </row>
    <row r="6" spans="1:7" x14ac:dyDescent="0.25">
      <c r="A6" s="3" t="s">
        <v>10</v>
      </c>
      <c r="B6" s="3">
        <v>247.16</v>
      </c>
      <c r="C6" s="3">
        <v>254.4</v>
      </c>
      <c r="D6" s="3">
        <v>198.48</v>
      </c>
      <c r="E6" s="3">
        <v>239.29</v>
      </c>
      <c r="F6" s="3">
        <v>231.04</v>
      </c>
      <c r="G6" s="3">
        <v>272.12</v>
      </c>
    </row>
    <row r="7" spans="1:7" x14ac:dyDescent="0.25">
      <c r="A7" s="1" t="s">
        <v>11</v>
      </c>
      <c r="B7" s="1">
        <v>2303.14</v>
      </c>
      <c r="C7" s="1">
        <v>2395.4699999999998</v>
      </c>
      <c r="D7" s="1">
        <v>1839.24</v>
      </c>
      <c r="E7" s="1">
        <v>2278.5700000000002</v>
      </c>
      <c r="F7" s="1">
        <v>2132.9699999999998</v>
      </c>
      <c r="G7" s="1">
        <v>2545.63</v>
      </c>
    </row>
    <row r="8" spans="1:7" x14ac:dyDescent="0.25">
      <c r="A8" s="1" t="s">
        <v>12</v>
      </c>
      <c r="B8" s="1">
        <v>230.31</v>
      </c>
      <c r="C8" s="1">
        <v>241.97</v>
      </c>
      <c r="D8" s="1">
        <v>185.78</v>
      </c>
      <c r="E8" s="1">
        <v>230.16</v>
      </c>
      <c r="F8" s="1">
        <v>215.45</v>
      </c>
      <c r="G8" s="1">
        <v>259.76</v>
      </c>
    </row>
    <row r="9" spans="1:7" x14ac:dyDescent="0.25">
      <c r="A9" s="1" t="s">
        <v>13</v>
      </c>
      <c r="B9" s="1">
        <v>2303.14</v>
      </c>
      <c r="C9" s="1">
        <v>2395.4699999999998</v>
      </c>
      <c r="D9" s="1">
        <v>1824.08</v>
      </c>
      <c r="E9" s="1">
        <v>2278.5700000000002</v>
      </c>
      <c r="F9" s="1">
        <v>2123.44</v>
      </c>
      <c r="G9" s="1">
        <v>2545.63</v>
      </c>
    </row>
    <row r="10" spans="1:7" x14ac:dyDescent="0.25">
      <c r="A10" s="1" t="s">
        <v>14</v>
      </c>
      <c r="B10" s="1">
        <v>230.31</v>
      </c>
      <c r="C10" s="1">
        <v>241.97</v>
      </c>
      <c r="D10" s="1">
        <v>184.25</v>
      </c>
      <c r="E10" s="1">
        <v>230.16</v>
      </c>
      <c r="F10" s="1">
        <v>214.49</v>
      </c>
      <c r="G10" s="1">
        <v>259.76</v>
      </c>
    </row>
    <row r="11" spans="1:7" x14ac:dyDescent="0.25">
      <c r="A11" s="1" t="s">
        <v>15</v>
      </c>
      <c r="B11" s="1">
        <v>1522.89</v>
      </c>
      <c r="C11" s="1">
        <v>1983.31</v>
      </c>
      <c r="D11" s="1">
        <v>1309.44</v>
      </c>
      <c r="E11" s="1">
        <v>1591.57</v>
      </c>
      <c r="F11" s="1">
        <v>1259.69</v>
      </c>
      <c r="G11" s="1">
        <v>1919.51</v>
      </c>
    </row>
    <row r="12" spans="1:7" x14ac:dyDescent="0.25">
      <c r="A12" s="1" t="s">
        <v>16</v>
      </c>
      <c r="B12" s="1">
        <v>317.98</v>
      </c>
      <c r="C12" s="1">
        <v>297.67</v>
      </c>
      <c r="D12" s="1">
        <v>273.22000000000003</v>
      </c>
      <c r="E12" s="1">
        <v>306.55</v>
      </c>
      <c r="F12" s="1">
        <v>289.25</v>
      </c>
      <c r="G12" s="1">
        <v>297.74</v>
      </c>
    </row>
    <row r="13" spans="1:7" x14ac:dyDescent="0.25">
      <c r="A13" s="1" t="s">
        <v>17</v>
      </c>
      <c r="B13" s="1">
        <v>51.58</v>
      </c>
      <c r="C13" s="1">
        <v>43.54</v>
      </c>
      <c r="D13" s="1">
        <v>48.77</v>
      </c>
      <c r="E13" s="1">
        <v>47.97</v>
      </c>
      <c r="F13" s="1">
        <v>51.73</v>
      </c>
      <c r="G13" s="1">
        <v>51.52</v>
      </c>
    </row>
    <row r="14" spans="1:7" x14ac:dyDescent="0.25">
      <c r="A14" s="1" t="s">
        <v>18</v>
      </c>
      <c r="B14" s="1">
        <v>101.17</v>
      </c>
      <c r="C14" s="1">
        <v>82.4</v>
      </c>
      <c r="D14" s="1">
        <v>93.79</v>
      </c>
      <c r="E14" s="1">
        <v>100.4</v>
      </c>
      <c r="F14" s="1">
        <v>114.18</v>
      </c>
      <c r="G14" s="1">
        <v>100.59</v>
      </c>
    </row>
    <row r="15" spans="1:7" x14ac:dyDescent="0.25">
      <c r="A15" s="1" t="s">
        <v>19</v>
      </c>
      <c r="B15" s="1">
        <v>12</v>
      </c>
      <c r="C15" s="1">
        <v>11</v>
      </c>
      <c r="D15" s="1">
        <v>7</v>
      </c>
      <c r="E15" s="1">
        <v>10</v>
      </c>
      <c r="F15" s="1">
        <v>9</v>
      </c>
      <c r="G15" s="1">
        <v>11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2303.14</v>
      </c>
      <c r="C17" s="1">
        <v>2395.4699999999998</v>
      </c>
      <c r="D17" s="1">
        <v>1831.66</v>
      </c>
      <c r="E17" s="1">
        <v>2278.5700000000002</v>
      </c>
      <c r="F17" s="1">
        <v>2128.21</v>
      </c>
      <c r="G17" s="1">
        <v>2545.63</v>
      </c>
    </row>
    <row r="18" spans="1:7" x14ac:dyDescent="0.25">
      <c r="A18" s="1" t="s">
        <v>22</v>
      </c>
      <c r="B18" s="1">
        <v>0</v>
      </c>
      <c r="C18" s="1">
        <v>0</v>
      </c>
      <c r="D18" s="1">
        <v>7.58</v>
      </c>
      <c r="E18" s="1">
        <v>0</v>
      </c>
      <c r="F18" s="1">
        <v>4.76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239.44</v>
      </c>
      <c r="C33" s="3">
        <v>249.56</v>
      </c>
      <c r="D33" s="3">
        <v>194.19</v>
      </c>
      <c r="E33" s="3">
        <v>236.81</v>
      </c>
      <c r="F33" s="3">
        <v>222.15</v>
      </c>
      <c r="G33" s="3">
        <v>270.3</v>
      </c>
    </row>
    <row r="35" spans="1:7" x14ac:dyDescent="0.25">
      <c r="A35" s="3" t="s">
        <v>36</v>
      </c>
      <c r="B35" s="3"/>
      <c r="C35" s="3"/>
      <c r="D35" s="3">
        <f>D33-C33</f>
        <v>-55.370000000000005</v>
      </c>
      <c r="E35" s="3"/>
      <c r="F35" s="3">
        <f>F33-E33</f>
        <v>-14.659999999999997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42.620000000000005</v>
      </c>
      <c r="F37" s="3"/>
      <c r="G37" s="3">
        <f>G33-F33</f>
        <v>48.150000000000006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8D07-8B76-4631-B1C1-73CBD8157F90}">
  <dimension ref="A1:G37"/>
  <sheetViews>
    <sheetView topLeftCell="A7" workbookViewId="0">
      <selection activeCell="H35" sqref="H3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541.19000000000005</v>
      </c>
      <c r="C2" s="1">
        <v>555.38</v>
      </c>
      <c r="D2" s="1">
        <v>557.54999999999995</v>
      </c>
      <c r="E2" s="1">
        <v>547.59</v>
      </c>
      <c r="F2" s="1">
        <v>548.82000000000005</v>
      </c>
      <c r="G2" s="1">
        <v>549.04</v>
      </c>
    </row>
    <row r="3" spans="1:7" x14ac:dyDescent="0.25">
      <c r="A3" s="1" t="s">
        <v>7</v>
      </c>
      <c r="B3" s="1">
        <v>54.62</v>
      </c>
      <c r="C3" s="1">
        <v>52.22</v>
      </c>
      <c r="D3" s="1">
        <v>52.04</v>
      </c>
      <c r="E3" s="1">
        <v>46.85</v>
      </c>
      <c r="F3" s="1">
        <v>45.32</v>
      </c>
      <c r="G3" s="1">
        <v>44.11</v>
      </c>
    </row>
    <row r="4" spans="1:7" x14ac:dyDescent="0.25">
      <c r="A4" s="1" t="s">
        <v>8</v>
      </c>
      <c r="B4" s="1">
        <v>30032.92</v>
      </c>
      <c r="C4" s="1">
        <v>29493.13</v>
      </c>
      <c r="D4" s="1">
        <v>29497.24</v>
      </c>
      <c r="E4" s="1">
        <v>26064.51</v>
      </c>
      <c r="F4" s="1">
        <v>25302.45</v>
      </c>
      <c r="G4" s="1">
        <v>24629</v>
      </c>
    </row>
    <row r="5" spans="1:7" x14ac:dyDescent="0.25">
      <c r="A5" s="1" t="s">
        <v>9</v>
      </c>
      <c r="B5" s="1">
        <v>1220.06</v>
      </c>
      <c r="C5" s="1">
        <v>1459.68</v>
      </c>
      <c r="D5" s="1">
        <v>1757.26</v>
      </c>
      <c r="E5" s="1">
        <v>1396.39</v>
      </c>
      <c r="F5" s="1">
        <v>1436.47</v>
      </c>
      <c r="G5" s="1">
        <v>1576.76</v>
      </c>
    </row>
    <row r="6" spans="1:7" x14ac:dyDescent="0.25">
      <c r="A6" s="3" t="s">
        <v>10</v>
      </c>
      <c r="B6" s="3">
        <v>122.01</v>
      </c>
      <c r="C6" s="3">
        <v>147.44</v>
      </c>
      <c r="D6" s="3">
        <v>177.5</v>
      </c>
      <c r="E6" s="3">
        <v>141.05000000000001</v>
      </c>
      <c r="F6" s="3">
        <v>145.1</v>
      </c>
      <c r="G6" s="3">
        <v>160.88999999999999</v>
      </c>
    </row>
    <row r="7" spans="1:7" x14ac:dyDescent="0.25">
      <c r="A7" s="1" t="s">
        <v>11</v>
      </c>
      <c r="B7" s="1">
        <v>1204.5</v>
      </c>
      <c r="C7" s="1">
        <v>1442</v>
      </c>
      <c r="D7" s="1">
        <v>1723.2</v>
      </c>
      <c r="E7" s="1">
        <v>1355.28</v>
      </c>
      <c r="F7" s="1">
        <v>1406.97</v>
      </c>
      <c r="G7" s="1">
        <v>1538.66</v>
      </c>
    </row>
    <row r="8" spans="1:7" x14ac:dyDescent="0.25">
      <c r="A8" s="1" t="s">
        <v>12</v>
      </c>
      <c r="B8" s="1">
        <v>120.45</v>
      </c>
      <c r="C8" s="1">
        <v>145.66</v>
      </c>
      <c r="D8" s="1">
        <v>174.06</v>
      </c>
      <c r="E8" s="1">
        <v>136.9</v>
      </c>
      <c r="F8" s="1">
        <v>142.12</v>
      </c>
      <c r="G8" s="1">
        <v>157.01</v>
      </c>
    </row>
    <row r="9" spans="1:7" x14ac:dyDescent="0.25">
      <c r="A9" s="1" t="s">
        <v>13</v>
      </c>
      <c r="B9" s="1">
        <v>1204.5</v>
      </c>
      <c r="C9" s="1">
        <v>1442</v>
      </c>
      <c r="D9" s="1">
        <v>1723.2</v>
      </c>
      <c r="E9" s="1">
        <v>1355.28</v>
      </c>
      <c r="F9" s="1">
        <v>1406.97</v>
      </c>
      <c r="G9" s="1">
        <v>1538.66</v>
      </c>
    </row>
    <row r="10" spans="1:7" x14ac:dyDescent="0.25">
      <c r="A10" s="1" t="s">
        <v>14</v>
      </c>
      <c r="B10" s="1">
        <v>120.45</v>
      </c>
      <c r="C10" s="1">
        <v>145.66</v>
      </c>
      <c r="D10" s="1">
        <v>174.06</v>
      </c>
      <c r="E10" s="1">
        <v>136.9</v>
      </c>
      <c r="F10" s="1">
        <v>142.12</v>
      </c>
      <c r="G10" s="1">
        <v>157.01</v>
      </c>
    </row>
    <row r="11" spans="1:7" x14ac:dyDescent="0.25">
      <c r="A11" s="1" t="s">
        <v>15</v>
      </c>
      <c r="B11" s="1">
        <v>774.13</v>
      </c>
      <c r="C11" s="1">
        <v>943.8</v>
      </c>
      <c r="D11" s="1">
        <v>1035.71</v>
      </c>
      <c r="E11" s="1">
        <v>886.96</v>
      </c>
      <c r="F11" s="1">
        <v>873.14</v>
      </c>
      <c r="G11" s="1">
        <v>1089.8499999999999</v>
      </c>
    </row>
    <row r="12" spans="1:7" x14ac:dyDescent="0.25">
      <c r="A12" s="1" t="s">
        <v>16</v>
      </c>
      <c r="B12" s="1">
        <v>257</v>
      </c>
      <c r="C12" s="1">
        <v>278.02</v>
      </c>
      <c r="D12" s="1">
        <v>281.98</v>
      </c>
      <c r="E12" s="1">
        <v>274.60000000000002</v>
      </c>
      <c r="F12" s="1">
        <v>281.66000000000003</v>
      </c>
      <c r="G12" s="1">
        <v>298.23</v>
      </c>
    </row>
    <row r="13" spans="1:7" x14ac:dyDescent="0.25">
      <c r="A13" s="1" t="s">
        <v>17</v>
      </c>
      <c r="B13" s="1">
        <v>47.23</v>
      </c>
      <c r="C13" s="1">
        <v>55.59</v>
      </c>
      <c r="D13" s="1">
        <v>56.44</v>
      </c>
      <c r="E13" s="1">
        <v>49.97</v>
      </c>
      <c r="F13" s="1">
        <v>60.97</v>
      </c>
      <c r="G13" s="1">
        <v>52.25</v>
      </c>
    </row>
    <row r="14" spans="1:7" x14ac:dyDescent="0.25">
      <c r="A14" s="1" t="s">
        <v>18</v>
      </c>
      <c r="B14" s="1">
        <v>97.92</v>
      </c>
      <c r="C14" s="1">
        <v>105.06</v>
      </c>
      <c r="D14" s="1">
        <v>111.8</v>
      </c>
      <c r="E14" s="1">
        <v>103.54</v>
      </c>
      <c r="F14" s="1">
        <v>102</v>
      </c>
      <c r="G14" s="1">
        <v>98.35</v>
      </c>
    </row>
    <row r="15" spans="1:7" x14ac:dyDescent="0.25">
      <c r="A15" s="1" t="s">
        <v>19</v>
      </c>
      <c r="B15" s="1">
        <v>6</v>
      </c>
      <c r="C15" s="1">
        <v>7</v>
      </c>
      <c r="D15" s="1">
        <v>8</v>
      </c>
      <c r="E15" s="1">
        <v>6</v>
      </c>
      <c r="F15" s="1">
        <v>7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1204.5</v>
      </c>
      <c r="C17" s="1">
        <v>1442</v>
      </c>
      <c r="D17" s="1">
        <v>1723.2</v>
      </c>
      <c r="E17" s="1">
        <v>1355.28</v>
      </c>
      <c r="F17" s="1">
        <v>1406.97</v>
      </c>
      <c r="G17" s="1">
        <v>1538.66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118.46</v>
      </c>
      <c r="C33" s="3">
        <v>147.22999999999999</v>
      </c>
      <c r="D33" s="3">
        <v>173.82</v>
      </c>
      <c r="E33" s="3">
        <v>138.13</v>
      </c>
      <c r="F33" s="3">
        <v>143.97999999999999</v>
      </c>
      <c r="G33" s="3">
        <v>160.66999999999999</v>
      </c>
    </row>
    <row r="35" spans="1:7" x14ac:dyDescent="0.25">
      <c r="A35" s="3" t="s">
        <v>36</v>
      </c>
      <c r="B35" s="3"/>
      <c r="C35" s="3"/>
      <c r="D35" s="3">
        <f>D33-C33</f>
        <v>26.590000000000003</v>
      </c>
      <c r="E35" s="3"/>
      <c r="F35" s="3">
        <f>F33-E33</f>
        <v>5.8499999999999943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-35.69</v>
      </c>
      <c r="F37" s="3"/>
      <c r="G37" s="3">
        <f>G33-F33</f>
        <v>16.689999999999998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9A25-4555-492C-8AAB-AE81B52F08C4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543.57000000000005</v>
      </c>
      <c r="C2" s="1">
        <v>514.4</v>
      </c>
      <c r="D2" s="1">
        <v>554.96</v>
      </c>
      <c r="E2" s="1">
        <v>562.63</v>
      </c>
      <c r="F2" s="1">
        <v>580.54</v>
      </c>
      <c r="G2" s="1">
        <v>558.67999999999995</v>
      </c>
    </row>
    <row r="3" spans="1:7" x14ac:dyDescent="0.25">
      <c r="A3" s="1" t="s">
        <v>7</v>
      </c>
      <c r="B3" s="1">
        <v>41.5</v>
      </c>
      <c r="C3" s="1">
        <v>40.01</v>
      </c>
      <c r="D3" s="1">
        <v>42.77</v>
      </c>
      <c r="E3" s="1">
        <v>43.72</v>
      </c>
      <c r="F3" s="1">
        <v>42.26</v>
      </c>
      <c r="G3" s="1">
        <v>43.71</v>
      </c>
    </row>
    <row r="4" spans="1:7" x14ac:dyDescent="0.25">
      <c r="A4" s="1" t="s">
        <v>8</v>
      </c>
      <c r="B4" s="1">
        <v>22937.24</v>
      </c>
      <c r="C4" s="1">
        <v>20916.32</v>
      </c>
      <c r="D4" s="1">
        <v>24141.279999999999</v>
      </c>
      <c r="E4" s="1">
        <v>25019.39</v>
      </c>
      <c r="F4" s="1">
        <v>24949.119999999999</v>
      </c>
      <c r="G4" s="1">
        <v>24846.47</v>
      </c>
    </row>
    <row r="5" spans="1:7" x14ac:dyDescent="0.25">
      <c r="A5" s="1" t="s">
        <v>9</v>
      </c>
      <c r="B5" s="1">
        <v>381.86</v>
      </c>
      <c r="C5" s="1">
        <v>776.8</v>
      </c>
      <c r="D5" s="1">
        <v>911.65</v>
      </c>
      <c r="E5" s="1">
        <v>657.65</v>
      </c>
      <c r="F5" s="1">
        <v>298.36</v>
      </c>
      <c r="G5" s="1">
        <v>552.75</v>
      </c>
    </row>
    <row r="6" spans="1:7" x14ac:dyDescent="0.25">
      <c r="A6" s="3" t="s">
        <v>10</v>
      </c>
      <c r="B6" s="3">
        <v>38.19</v>
      </c>
      <c r="C6" s="3">
        <v>78.47</v>
      </c>
      <c r="D6" s="3">
        <v>92.09</v>
      </c>
      <c r="E6" s="3">
        <v>66.430000000000007</v>
      </c>
      <c r="F6" s="3">
        <v>30.14</v>
      </c>
      <c r="G6" s="3">
        <v>56.4</v>
      </c>
    </row>
    <row r="7" spans="1:7" x14ac:dyDescent="0.25">
      <c r="A7" s="1" t="s">
        <v>11</v>
      </c>
      <c r="B7" s="1">
        <v>367.19</v>
      </c>
      <c r="C7" s="1">
        <v>762.79</v>
      </c>
      <c r="D7" s="1">
        <v>901.99</v>
      </c>
      <c r="E7" s="1">
        <v>649.41</v>
      </c>
      <c r="F7" s="1">
        <v>293.35000000000002</v>
      </c>
      <c r="G7" s="1">
        <v>541.1</v>
      </c>
    </row>
    <row r="8" spans="1:7" x14ac:dyDescent="0.25">
      <c r="A8" s="1" t="s">
        <v>12</v>
      </c>
      <c r="B8" s="1">
        <v>36.72</v>
      </c>
      <c r="C8" s="1">
        <v>77.05</v>
      </c>
      <c r="D8" s="1">
        <v>91.11</v>
      </c>
      <c r="E8" s="1">
        <v>65.599999999999994</v>
      </c>
      <c r="F8" s="1">
        <v>29.63</v>
      </c>
      <c r="G8" s="1">
        <v>55.21</v>
      </c>
    </row>
    <row r="9" spans="1:7" x14ac:dyDescent="0.25">
      <c r="A9" s="1" t="s">
        <v>13</v>
      </c>
      <c r="B9" s="1">
        <v>303.58</v>
      </c>
      <c r="C9" s="1">
        <v>761.9</v>
      </c>
      <c r="D9" s="1">
        <v>901.99</v>
      </c>
      <c r="E9" s="1">
        <v>646.77</v>
      </c>
      <c r="F9" s="1">
        <v>288.69</v>
      </c>
      <c r="G9" s="1">
        <v>523.37</v>
      </c>
    </row>
    <row r="10" spans="1:7" x14ac:dyDescent="0.25">
      <c r="A10" s="1" t="s">
        <v>14</v>
      </c>
      <c r="B10" s="1">
        <v>30.36</v>
      </c>
      <c r="C10" s="1">
        <v>76.959999999999994</v>
      </c>
      <c r="D10" s="1">
        <v>91.11</v>
      </c>
      <c r="E10" s="1">
        <v>65.33</v>
      </c>
      <c r="F10" s="1">
        <v>29.16</v>
      </c>
      <c r="G10" s="1">
        <v>53.4</v>
      </c>
    </row>
    <row r="11" spans="1:7" x14ac:dyDescent="0.25">
      <c r="A11" s="1" t="s">
        <v>15</v>
      </c>
      <c r="B11" s="1">
        <v>202.63</v>
      </c>
      <c r="C11" s="1">
        <v>631.86</v>
      </c>
      <c r="D11" s="1">
        <v>742.93</v>
      </c>
      <c r="E11" s="1">
        <v>518.12</v>
      </c>
      <c r="F11" s="1">
        <v>240.99</v>
      </c>
      <c r="G11" s="1">
        <v>385.53</v>
      </c>
    </row>
    <row r="12" spans="1:7" x14ac:dyDescent="0.25">
      <c r="A12" s="1" t="s">
        <v>16</v>
      </c>
      <c r="B12" s="1">
        <v>280.39999999999998</v>
      </c>
      <c r="C12" s="1">
        <v>256.67</v>
      </c>
      <c r="D12" s="1">
        <v>267.48</v>
      </c>
      <c r="E12" s="1">
        <v>268.14</v>
      </c>
      <c r="F12" s="1">
        <v>288.61</v>
      </c>
      <c r="G12" s="1">
        <v>246.61</v>
      </c>
    </row>
    <row r="13" spans="1:7" x14ac:dyDescent="0.25">
      <c r="A13" s="1" t="s">
        <v>17</v>
      </c>
      <c r="B13" s="1">
        <v>41.69</v>
      </c>
      <c r="C13" s="1">
        <v>30.71</v>
      </c>
      <c r="D13" s="1">
        <v>37.89</v>
      </c>
      <c r="E13" s="1">
        <v>44.45</v>
      </c>
      <c r="F13" s="1">
        <v>39.74</v>
      </c>
      <c r="G13" s="1">
        <v>47.47</v>
      </c>
    </row>
    <row r="14" spans="1:7" x14ac:dyDescent="0.25">
      <c r="A14" s="1" t="s">
        <v>18</v>
      </c>
      <c r="B14" s="1">
        <v>91.97</v>
      </c>
      <c r="C14" s="1">
        <v>72.09</v>
      </c>
      <c r="D14" s="1">
        <v>71.64</v>
      </c>
      <c r="E14" s="1">
        <v>83.18</v>
      </c>
      <c r="F14" s="1">
        <v>68.650000000000006</v>
      </c>
      <c r="G14" s="1">
        <v>92.91</v>
      </c>
    </row>
    <row r="15" spans="1:7" x14ac:dyDescent="0.25">
      <c r="A15" s="1" t="s">
        <v>19</v>
      </c>
      <c r="B15" s="1">
        <v>2</v>
      </c>
      <c r="C15" s="1">
        <v>3</v>
      </c>
      <c r="D15" s="1">
        <v>3</v>
      </c>
      <c r="E15" s="1">
        <v>4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335.39</v>
      </c>
      <c r="C17" s="1">
        <v>762.34</v>
      </c>
      <c r="D17" s="1">
        <v>901.99</v>
      </c>
      <c r="E17" s="1">
        <v>648.09</v>
      </c>
      <c r="F17" s="1">
        <v>291.02</v>
      </c>
      <c r="G17" s="1">
        <v>532.23</v>
      </c>
    </row>
    <row r="18" spans="1:7" x14ac:dyDescent="0.25">
      <c r="A18" s="1" t="s">
        <v>22</v>
      </c>
      <c r="B18" s="1">
        <v>31.81</v>
      </c>
      <c r="C18" s="1">
        <v>0.45</v>
      </c>
      <c r="D18" s="1">
        <v>0</v>
      </c>
      <c r="E18" s="1">
        <v>1.32</v>
      </c>
      <c r="F18" s="1">
        <v>2.33</v>
      </c>
      <c r="G18" s="1">
        <v>8.8699999999999992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5.0999999999999996</v>
      </c>
      <c r="C25" s="1">
        <v>0</v>
      </c>
      <c r="D25" s="1">
        <v>0</v>
      </c>
      <c r="E25" s="1">
        <v>0</v>
      </c>
      <c r="F25" s="1">
        <v>5</v>
      </c>
      <c r="G25" s="1">
        <v>0</v>
      </c>
    </row>
    <row r="26" spans="1:7" x14ac:dyDescent="0.25">
      <c r="A26" s="1" t="s">
        <v>30</v>
      </c>
      <c r="B26" s="1">
        <v>5</v>
      </c>
      <c r="C26" s="1">
        <v>10</v>
      </c>
      <c r="D26" s="1">
        <v>10</v>
      </c>
      <c r="E26" s="1">
        <v>10</v>
      </c>
      <c r="F26" s="1">
        <v>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50.495049504950494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50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49.504950495049506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30.44</v>
      </c>
      <c r="C33" s="3">
        <v>77.45</v>
      </c>
      <c r="D33" s="3">
        <v>90.01</v>
      </c>
      <c r="E33" s="3">
        <v>67.66</v>
      </c>
      <c r="F33" s="3">
        <v>28.43</v>
      </c>
      <c r="G33" s="3">
        <v>55.15</v>
      </c>
    </row>
    <row r="35" spans="1:7" x14ac:dyDescent="0.25">
      <c r="A35" s="3" t="s">
        <v>36</v>
      </c>
      <c r="B35" s="3"/>
      <c r="C35" s="3"/>
      <c r="D35" s="3">
        <f>D33-C33</f>
        <v>12.560000000000002</v>
      </c>
      <c r="E35" s="3"/>
      <c r="F35" s="3">
        <f>F33-E33</f>
        <v>-39.229999999999997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-22.350000000000009</v>
      </c>
      <c r="F37" s="3"/>
      <c r="G37" s="3">
        <f>G33-F33</f>
        <v>26.72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05B8-6C0B-4678-9965-D73F46C6D515}">
  <dimension ref="A1:G37"/>
  <sheetViews>
    <sheetView topLeftCell="A10" workbookViewId="0">
      <selection activeCell="M8" sqref="M8:N1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543.67999999999995</v>
      </c>
      <c r="C2" s="1">
        <v>565.38</v>
      </c>
      <c r="D2" s="1">
        <v>527.97</v>
      </c>
      <c r="E2" s="1">
        <v>567.82000000000005</v>
      </c>
      <c r="F2" s="1">
        <v>550.04</v>
      </c>
      <c r="G2" s="1">
        <v>515.64</v>
      </c>
    </row>
    <row r="3" spans="1:7" x14ac:dyDescent="0.25">
      <c r="A3" s="1" t="s">
        <v>7</v>
      </c>
      <c r="B3" s="1">
        <v>43.76</v>
      </c>
      <c r="C3" s="1">
        <v>43.54</v>
      </c>
      <c r="D3" s="1">
        <v>40.049999999999997</v>
      </c>
      <c r="E3" s="1">
        <v>45.5</v>
      </c>
      <c r="F3" s="1">
        <v>42.87</v>
      </c>
      <c r="G3" s="1">
        <v>42.27</v>
      </c>
    </row>
    <row r="4" spans="1:7" x14ac:dyDescent="0.25">
      <c r="A4" s="1" t="s">
        <v>8</v>
      </c>
      <c r="B4" s="1">
        <v>24145.11</v>
      </c>
      <c r="C4" s="1">
        <v>25025.08</v>
      </c>
      <c r="D4" s="1">
        <v>21469.75</v>
      </c>
      <c r="E4" s="1">
        <v>26262.93</v>
      </c>
      <c r="F4" s="1">
        <v>23980.560000000001</v>
      </c>
      <c r="G4" s="1">
        <v>22155.35</v>
      </c>
    </row>
    <row r="5" spans="1:7" x14ac:dyDescent="0.25">
      <c r="A5" s="1" t="s">
        <v>9</v>
      </c>
      <c r="B5" s="1">
        <v>1024.8699999999999</v>
      </c>
      <c r="C5" s="1">
        <v>1056.21</v>
      </c>
      <c r="D5" s="1">
        <v>1179.21</v>
      </c>
      <c r="E5" s="1">
        <v>683.17</v>
      </c>
      <c r="F5" s="1">
        <v>816.17</v>
      </c>
      <c r="G5" s="1">
        <v>973.06</v>
      </c>
    </row>
    <row r="6" spans="1:7" x14ac:dyDescent="0.25">
      <c r="A6" s="3" t="s">
        <v>10</v>
      </c>
      <c r="B6" s="3">
        <v>102.49</v>
      </c>
      <c r="C6" s="3">
        <v>106.69</v>
      </c>
      <c r="D6" s="3">
        <v>119.11</v>
      </c>
      <c r="E6" s="3">
        <v>69.010000000000005</v>
      </c>
      <c r="F6" s="3">
        <v>82.44</v>
      </c>
      <c r="G6" s="3">
        <v>99.29</v>
      </c>
    </row>
    <row r="7" spans="1:7" x14ac:dyDescent="0.25">
      <c r="A7" s="1" t="s">
        <v>11</v>
      </c>
      <c r="B7" s="1">
        <v>999.99</v>
      </c>
      <c r="C7" s="1">
        <v>1026.03</v>
      </c>
      <c r="D7" s="1">
        <v>1120.48</v>
      </c>
      <c r="E7" s="1">
        <v>657.98</v>
      </c>
      <c r="F7" s="1">
        <v>772.54</v>
      </c>
      <c r="G7" s="1">
        <v>927.47</v>
      </c>
    </row>
    <row r="8" spans="1:7" x14ac:dyDescent="0.25">
      <c r="A8" s="1" t="s">
        <v>12</v>
      </c>
      <c r="B8" s="1">
        <v>100</v>
      </c>
      <c r="C8" s="1">
        <v>103.64</v>
      </c>
      <c r="D8" s="1">
        <v>113.18</v>
      </c>
      <c r="E8" s="1">
        <v>66.459999999999994</v>
      </c>
      <c r="F8" s="1">
        <v>78.03</v>
      </c>
      <c r="G8" s="1">
        <v>94.64</v>
      </c>
    </row>
    <row r="9" spans="1:7" x14ac:dyDescent="0.25">
      <c r="A9" s="1" t="s">
        <v>13</v>
      </c>
      <c r="B9" s="1">
        <v>985.68</v>
      </c>
      <c r="C9" s="1">
        <v>1026.03</v>
      </c>
      <c r="D9" s="1">
        <v>1116.7</v>
      </c>
      <c r="E9" s="1">
        <v>657.98</v>
      </c>
      <c r="F9" s="1">
        <v>770.74</v>
      </c>
      <c r="G9" s="1">
        <v>927.47</v>
      </c>
    </row>
    <row r="10" spans="1:7" x14ac:dyDescent="0.25">
      <c r="A10" s="1" t="s">
        <v>14</v>
      </c>
      <c r="B10" s="1">
        <v>98.57</v>
      </c>
      <c r="C10" s="1">
        <v>103.64</v>
      </c>
      <c r="D10" s="1">
        <v>112.8</v>
      </c>
      <c r="E10" s="1">
        <v>66.459999999999994</v>
      </c>
      <c r="F10" s="1">
        <v>77.849999999999994</v>
      </c>
      <c r="G10" s="1">
        <v>94.64</v>
      </c>
    </row>
    <row r="11" spans="1:7" x14ac:dyDescent="0.25">
      <c r="A11" s="1" t="s">
        <v>15</v>
      </c>
      <c r="B11" s="1">
        <v>738.34</v>
      </c>
      <c r="C11" s="1">
        <v>754.63</v>
      </c>
      <c r="D11" s="1">
        <v>828.49</v>
      </c>
      <c r="E11" s="1">
        <v>532.01</v>
      </c>
      <c r="F11" s="1">
        <v>535.86</v>
      </c>
      <c r="G11" s="1">
        <v>693.47</v>
      </c>
    </row>
    <row r="12" spans="1:7" x14ac:dyDescent="0.25">
      <c r="A12" s="1" t="s">
        <v>16</v>
      </c>
      <c r="B12" s="1">
        <v>290.39999999999998</v>
      </c>
      <c r="C12" s="1">
        <v>278.16000000000003</v>
      </c>
      <c r="D12" s="1">
        <v>289</v>
      </c>
      <c r="E12" s="1">
        <v>267.16000000000003</v>
      </c>
      <c r="F12" s="1">
        <v>279.94</v>
      </c>
      <c r="G12" s="1">
        <v>268.18</v>
      </c>
    </row>
    <row r="13" spans="1:7" x14ac:dyDescent="0.25">
      <c r="A13" s="1" t="s">
        <v>17</v>
      </c>
      <c r="B13" s="1">
        <v>46.25</v>
      </c>
      <c r="C13" s="1">
        <v>49.17</v>
      </c>
      <c r="D13" s="1">
        <v>45.34</v>
      </c>
      <c r="E13" s="1">
        <v>35.51</v>
      </c>
      <c r="F13" s="1">
        <v>44.95</v>
      </c>
      <c r="G13" s="1">
        <v>38.19</v>
      </c>
    </row>
    <row r="14" spans="1:7" x14ac:dyDescent="0.25">
      <c r="A14" s="1" t="s">
        <v>18</v>
      </c>
      <c r="B14" s="1">
        <v>83.6</v>
      </c>
      <c r="C14" s="1">
        <v>96.99</v>
      </c>
      <c r="D14" s="1">
        <v>77.569999999999993</v>
      </c>
      <c r="E14" s="1">
        <v>72.55</v>
      </c>
      <c r="F14" s="1">
        <v>86</v>
      </c>
      <c r="G14" s="1">
        <v>84.46</v>
      </c>
    </row>
    <row r="15" spans="1:7" x14ac:dyDescent="0.25">
      <c r="A15" s="1" t="s">
        <v>19</v>
      </c>
      <c r="B15" s="1">
        <v>5</v>
      </c>
      <c r="C15" s="1">
        <v>4</v>
      </c>
      <c r="D15" s="1">
        <v>6</v>
      </c>
      <c r="E15" s="1">
        <v>3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992.83</v>
      </c>
      <c r="C17" s="1">
        <v>1026.03</v>
      </c>
      <c r="D17" s="1">
        <v>1118.5899999999999</v>
      </c>
      <c r="E17" s="1">
        <v>657.98</v>
      </c>
      <c r="F17" s="1">
        <v>771.64</v>
      </c>
      <c r="G17" s="1">
        <v>927.47</v>
      </c>
    </row>
    <row r="18" spans="1:7" x14ac:dyDescent="0.25">
      <c r="A18" s="1" t="s">
        <v>22</v>
      </c>
      <c r="B18" s="1">
        <v>7.16</v>
      </c>
      <c r="C18" s="1">
        <v>0</v>
      </c>
      <c r="D18" s="1">
        <v>1.89</v>
      </c>
      <c r="E18" s="1">
        <v>0</v>
      </c>
      <c r="F18" s="1">
        <v>0.9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97.78</v>
      </c>
      <c r="C33" s="3">
        <v>106.81</v>
      </c>
      <c r="D33" s="3">
        <v>116.73</v>
      </c>
      <c r="E33" s="3">
        <v>68.91</v>
      </c>
      <c r="F33" s="3">
        <v>79.66</v>
      </c>
      <c r="G33" s="3">
        <v>98.19</v>
      </c>
    </row>
    <row r="35" spans="1:7" x14ac:dyDescent="0.25">
      <c r="A35" s="3" t="s">
        <v>36</v>
      </c>
      <c r="B35" s="3"/>
      <c r="C35" s="3"/>
      <c r="D35" s="3">
        <f>D33-C33</f>
        <v>9.9200000000000017</v>
      </c>
      <c r="E35" s="3"/>
      <c r="F35" s="3">
        <f>F33-E33</f>
        <v>10.75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-47.820000000000007</v>
      </c>
      <c r="F37" s="3"/>
      <c r="G37" s="3">
        <f>G33-F33</f>
        <v>18.53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0765-8A13-4D73-A6A1-742D8EBFD11F}">
  <dimension ref="A1:G37"/>
  <sheetViews>
    <sheetView tabSelected="1" topLeftCell="A7" workbookViewId="0">
      <selection activeCell="K27" sqref="K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544.52</v>
      </c>
      <c r="C2" s="1">
        <v>541.48</v>
      </c>
      <c r="D2" s="1">
        <v>534.98</v>
      </c>
      <c r="E2" s="1">
        <v>552.46</v>
      </c>
      <c r="F2" s="1">
        <v>521.76</v>
      </c>
      <c r="G2" s="1">
        <v>552.42999999999995</v>
      </c>
    </row>
    <row r="3" spans="1:7" x14ac:dyDescent="0.25">
      <c r="A3" s="1" t="s">
        <v>7</v>
      </c>
      <c r="B3" s="1">
        <v>42.71</v>
      </c>
      <c r="C3" s="1">
        <v>44.73</v>
      </c>
      <c r="D3" s="1">
        <v>42.61</v>
      </c>
      <c r="E3" s="1">
        <v>42.82</v>
      </c>
      <c r="F3" s="1">
        <v>40.07</v>
      </c>
      <c r="G3" s="1">
        <v>46.24</v>
      </c>
    </row>
    <row r="4" spans="1:7" x14ac:dyDescent="0.25">
      <c r="A4" s="1" t="s">
        <v>8</v>
      </c>
      <c r="B4" s="1">
        <v>23658.02</v>
      </c>
      <c r="C4" s="1">
        <v>24625.599999999999</v>
      </c>
      <c r="D4" s="1">
        <v>23180.69</v>
      </c>
      <c r="E4" s="1">
        <v>24030.6</v>
      </c>
      <c r="F4" s="1">
        <v>21194.959999999999</v>
      </c>
      <c r="G4" s="1">
        <v>25932.35</v>
      </c>
    </row>
    <row r="5" spans="1:7" x14ac:dyDescent="0.25">
      <c r="A5" s="1" t="s">
        <v>9</v>
      </c>
      <c r="B5" s="1">
        <v>1582.31</v>
      </c>
      <c r="C5" s="1">
        <v>1547.37</v>
      </c>
      <c r="D5" s="1">
        <v>1343.34</v>
      </c>
      <c r="E5" s="1">
        <v>1545.52</v>
      </c>
      <c r="F5" s="1">
        <v>909.62</v>
      </c>
      <c r="G5" s="1">
        <v>862.57</v>
      </c>
    </row>
    <row r="6" spans="1:7" x14ac:dyDescent="0.25">
      <c r="A6" s="3" t="s">
        <v>10</v>
      </c>
      <c r="B6" s="3">
        <v>158.22999999999999</v>
      </c>
      <c r="C6" s="3">
        <v>156.30000000000001</v>
      </c>
      <c r="D6" s="3">
        <v>135.69</v>
      </c>
      <c r="E6" s="3">
        <v>156.11000000000001</v>
      </c>
      <c r="F6" s="3">
        <v>91.88</v>
      </c>
      <c r="G6" s="3">
        <v>88.02</v>
      </c>
    </row>
    <row r="7" spans="1:7" x14ac:dyDescent="0.25">
      <c r="A7" s="1" t="s">
        <v>11</v>
      </c>
      <c r="B7" s="1">
        <v>1521.08</v>
      </c>
      <c r="C7" s="1">
        <v>1488.27</v>
      </c>
      <c r="D7" s="1">
        <v>1297.33</v>
      </c>
      <c r="E7" s="1">
        <v>1504.62</v>
      </c>
      <c r="F7" s="1">
        <v>893.39</v>
      </c>
      <c r="G7" s="1">
        <v>837.87</v>
      </c>
    </row>
    <row r="8" spans="1:7" x14ac:dyDescent="0.25">
      <c r="A8" s="1" t="s">
        <v>12</v>
      </c>
      <c r="B8" s="1">
        <v>152.11000000000001</v>
      </c>
      <c r="C8" s="1">
        <v>150.33000000000001</v>
      </c>
      <c r="D8" s="1">
        <v>131.04</v>
      </c>
      <c r="E8" s="1">
        <v>151.97999999999999</v>
      </c>
      <c r="F8" s="1">
        <v>90.24</v>
      </c>
      <c r="G8" s="1">
        <v>85.5</v>
      </c>
    </row>
    <row r="9" spans="1:7" x14ac:dyDescent="0.25">
      <c r="A9" s="1" t="s">
        <v>13</v>
      </c>
      <c r="B9" s="1">
        <v>1521.08</v>
      </c>
      <c r="C9" s="1">
        <v>1488.27</v>
      </c>
      <c r="D9" s="1">
        <v>1297.33</v>
      </c>
      <c r="E9" s="1">
        <v>1504.62</v>
      </c>
      <c r="F9" s="1">
        <v>893.15</v>
      </c>
      <c r="G9" s="1">
        <v>831.93</v>
      </c>
    </row>
    <row r="10" spans="1:7" x14ac:dyDescent="0.25">
      <c r="A10" s="1" t="s">
        <v>14</v>
      </c>
      <c r="B10" s="1">
        <v>152.11000000000001</v>
      </c>
      <c r="C10" s="1">
        <v>150.33000000000001</v>
      </c>
      <c r="D10" s="1">
        <v>131.04</v>
      </c>
      <c r="E10" s="1">
        <v>151.97999999999999</v>
      </c>
      <c r="F10" s="1">
        <v>90.22</v>
      </c>
      <c r="G10" s="1">
        <v>84.89</v>
      </c>
    </row>
    <row r="11" spans="1:7" x14ac:dyDescent="0.25">
      <c r="A11" s="1" t="s">
        <v>15</v>
      </c>
      <c r="B11" s="1">
        <v>837.21</v>
      </c>
      <c r="C11" s="1">
        <v>786.41</v>
      </c>
      <c r="D11" s="1">
        <v>728.79</v>
      </c>
      <c r="E11" s="1">
        <v>969.81</v>
      </c>
      <c r="F11" s="1">
        <v>689.68</v>
      </c>
      <c r="G11" s="1">
        <v>544.21</v>
      </c>
    </row>
    <row r="12" spans="1:7" x14ac:dyDescent="0.25">
      <c r="A12" s="1" t="s">
        <v>16</v>
      </c>
      <c r="B12" s="1">
        <v>284.7</v>
      </c>
      <c r="C12" s="1">
        <v>264.54000000000002</v>
      </c>
      <c r="D12" s="1">
        <v>275.94</v>
      </c>
      <c r="E12" s="1">
        <v>284.41000000000003</v>
      </c>
      <c r="F12" s="1">
        <v>279.52</v>
      </c>
      <c r="G12" s="1">
        <v>256.51</v>
      </c>
    </row>
    <row r="13" spans="1:7" x14ac:dyDescent="0.25">
      <c r="A13" s="1" t="s">
        <v>17</v>
      </c>
      <c r="B13" s="1">
        <v>54.62</v>
      </c>
      <c r="C13" s="1">
        <v>55.95</v>
      </c>
      <c r="D13" s="1">
        <v>44.14</v>
      </c>
      <c r="E13" s="1">
        <v>52.71</v>
      </c>
      <c r="F13" s="1">
        <v>34.83</v>
      </c>
      <c r="G13" s="1">
        <v>51.13</v>
      </c>
    </row>
    <row r="14" spans="1:7" x14ac:dyDescent="0.25">
      <c r="A14" s="1" t="s">
        <v>18</v>
      </c>
      <c r="B14" s="1">
        <v>109</v>
      </c>
      <c r="C14" s="1">
        <v>99.64</v>
      </c>
      <c r="D14" s="1">
        <v>84.16</v>
      </c>
      <c r="E14" s="1">
        <v>100.38</v>
      </c>
      <c r="F14" s="1">
        <v>80.180000000000007</v>
      </c>
      <c r="G14" s="1">
        <v>105.49</v>
      </c>
    </row>
    <row r="15" spans="1:7" x14ac:dyDescent="0.25">
      <c r="A15" s="1" t="s">
        <v>19</v>
      </c>
      <c r="B15" s="1">
        <v>7</v>
      </c>
      <c r="C15" s="1">
        <v>8</v>
      </c>
      <c r="D15" s="1">
        <v>7</v>
      </c>
      <c r="E15" s="1">
        <v>7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1521.08</v>
      </c>
      <c r="C17" s="1">
        <v>1488.27</v>
      </c>
      <c r="D17" s="1">
        <v>1297.33</v>
      </c>
      <c r="E17" s="1">
        <v>1504.62</v>
      </c>
      <c r="F17" s="1">
        <v>893.27</v>
      </c>
      <c r="G17" s="1">
        <v>834.9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0.12</v>
      </c>
      <c r="G18" s="1">
        <v>2.97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153.19</v>
      </c>
      <c r="C33" s="3">
        <v>154.54</v>
      </c>
      <c r="D33" s="3">
        <v>131.44</v>
      </c>
      <c r="E33" s="3">
        <v>155.19</v>
      </c>
      <c r="F33" s="3">
        <v>92.19</v>
      </c>
      <c r="G33" s="3">
        <v>87.32</v>
      </c>
    </row>
    <row r="35" spans="1:7" x14ac:dyDescent="0.25">
      <c r="A35" s="3" t="s">
        <v>36</v>
      </c>
      <c r="B35" s="3"/>
      <c r="C35" s="3"/>
      <c r="D35" s="3">
        <f>D33-C33</f>
        <v>-23.099999999999994</v>
      </c>
      <c r="E35" s="3"/>
      <c r="F35" s="3">
        <f>F33-E33</f>
        <v>-63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23.75</v>
      </c>
      <c r="F37" s="3"/>
      <c r="G37" s="3">
        <f>G33-F33</f>
        <v>-4.8700000000000045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0FED-6E8C-4ECA-9D95-03FEB4F89B5B}">
  <sheetPr codeName="Sheet3"/>
  <dimension ref="A1:G37"/>
  <sheetViews>
    <sheetView workbookViewId="0">
      <selection activeCell="M10" sqref="M1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240203A001.1</vt:lpstr>
      <vt:lpstr>240203A001.2</vt:lpstr>
      <vt:lpstr>240203A001.5</vt:lpstr>
      <vt:lpstr>240203A002.1</vt:lpstr>
      <vt:lpstr>240203A002.2</vt:lpstr>
      <vt:lpstr>240203A002.5</vt:lpstr>
      <vt:lpstr>240203A003.3</vt:lpstr>
      <vt:lpstr>240203A003.4</vt:lpstr>
      <vt:lpstr>240203A004.2</vt:lpstr>
      <vt:lpstr>240203A004.3</vt:lpstr>
      <vt:lpstr>240203A004.4</vt:lpstr>
      <vt:lpstr>240203A004.5</vt:lpstr>
      <vt:lpstr>240203A005.5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2024-02-08T00:24:39Z</dcterms:created>
  <dcterms:modified xsi:type="dcterms:W3CDTF">2024-02-08T20:09:02Z</dcterms:modified>
</cp:coreProperties>
</file>