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0904\WormLab Data\"/>
    </mc:Choice>
  </mc:AlternateContent>
  <xr:revisionPtr revIDLastSave="0" documentId="13_ncr:1_{7578E76B-C01E-46C7-AA4E-289AB9C4E6B9}" xr6:coauthVersionLast="36" xr6:coauthVersionMax="36" xr10:uidLastSave="{00000000-0000-0000-0000-000000000000}"/>
  <bookViews>
    <workbookView xWindow="0" yWindow="0" windowWidth="25755" windowHeight="11640" activeTab="3" xr2:uid="{8F0E012E-67D5-4537-962C-E0433E68D28C}"/>
  </bookViews>
  <sheets>
    <sheet name="230904A001.1" sheetId="2" r:id="rId1"/>
    <sheet name="230904A001.2" sheetId="3" r:id="rId2"/>
    <sheet name="230904A001.4" sheetId="5" r:id="rId3"/>
    <sheet name="230904A001.5" sheetId="6" r:id="rId4"/>
    <sheet name="template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6" l="1"/>
  <c r="E37" i="6"/>
  <c r="C37" i="6"/>
  <c r="F35" i="6"/>
  <c r="D35" i="6"/>
  <c r="D31" i="6"/>
  <c r="C31" i="6"/>
  <c r="B31" i="6"/>
  <c r="D30" i="6"/>
  <c r="C30" i="6"/>
  <c r="B30" i="6"/>
  <c r="D29" i="6"/>
  <c r="C29" i="6"/>
  <c r="B29" i="6"/>
  <c r="G28" i="6"/>
  <c r="G31" i="6" s="1"/>
  <c r="F28" i="6"/>
  <c r="F31" i="6" s="1"/>
  <c r="E28" i="6"/>
  <c r="E30" i="6" s="1"/>
  <c r="D28" i="6"/>
  <c r="C28" i="6"/>
  <c r="B28" i="6"/>
  <c r="G37" i="5"/>
  <c r="E37" i="5"/>
  <c r="C37" i="5"/>
  <c r="F35" i="5"/>
  <c r="D35" i="5"/>
  <c r="E31" i="5"/>
  <c r="D31" i="5"/>
  <c r="C31" i="5"/>
  <c r="B31" i="5"/>
  <c r="E30" i="5"/>
  <c r="D30" i="5"/>
  <c r="C30" i="5"/>
  <c r="B30" i="5"/>
  <c r="E29" i="5"/>
  <c r="G28" i="5"/>
  <c r="G31" i="5" s="1"/>
  <c r="F28" i="5"/>
  <c r="F31" i="5" s="1"/>
  <c r="E28" i="5"/>
  <c r="D28" i="5"/>
  <c r="D29" i="5" s="1"/>
  <c r="C28" i="5"/>
  <c r="C29" i="5" s="1"/>
  <c r="B28" i="5"/>
  <c r="B29" i="5" s="1"/>
  <c r="G37" i="3"/>
  <c r="E37" i="3"/>
  <c r="C37" i="3"/>
  <c r="F35" i="3"/>
  <c r="D35" i="3"/>
  <c r="G28" i="3"/>
  <c r="G29" i="3" s="1"/>
  <c r="F28" i="3"/>
  <c r="F31" i="3" s="1"/>
  <c r="E28" i="3"/>
  <c r="E29" i="3" s="1"/>
  <c r="D28" i="3"/>
  <c r="D29" i="3" s="1"/>
  <c r="C28" i="3"/>
  <c r="C29" i="3" s="1"/>
  <c r="B28" i="3"/>
  <c r="B29" i="3" s="1"/>
  <c r="E31" i="6" l="1"/>
  <c r="E29" i="6"/>
  <c r="F29" i="6"/>
  <c r="G29" i="6"/>
  <c r="F30" i="6"/>
  <c r="G30" i="6"/>
  <c r="F30" i="5"/>
  <c r="F29" i="5"/>
  <c r="G29" i="5"/>
  <c r="G30" i="5"/>
  <c r="F29" i="3"/>
  <c r="D30" i="3"/>
  <c r="D31" i="3"/>
  <c r="B30" i="3"/>
  <c r="E30" i="3"/>
  <c r="E31" i="3"/>
  <c r="F30" i="3"/>
  <c r="G31" i="3"/>
  <c r="C30" i="3"/>
  <c r="G30" i="3"/>
  <c r="B31" i="3"/>
  <c r="C31" i="3"/>
  <c r="G37" i="2"/>
  <c r="E37" i="2"/>
  <c r="C37" i="2"/>
  <c r="F35" i="2"/>
  <c r="D35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G28" i="2"/>
  <c r="G31" i="2" s="1"/>
  <c r="F28" i="2"/>
  <c r="E28" i="2"/>
  <c r="D28" i="2"/>
  <c r="C28" i="2"/>
  <c r="B28" i="2"/>
  <c r="G37" i="1"/>
  <c r="E37" i="1"/>
  <c r="C37" i="1"/>
  <c r="F35" i="1"/>
  <c r="D35" i="1"/>
  <c r="G28" i="1"/>
  <c r="G31" i="1" s="1"/>
  <c r="F28" i="1"/>
  <c r="F31" i="1" s="1"/>
  <c r="E28" i="1"/>
  <c r="E31" i="1" s="1"/>
  <c r="D28" i="1"/>
  <c r="D31" i="1" s="1"/>
  <c r="C28" i="1"/>
  <c r="C29" i="1" s="1"/>
  <c r="B28" i="1"/>
  <c r="B29" i="1" s="1"/>
  <c r="G29" i="2" l="1"/>
  <c r="G30" i="2"/>
  <c r="E29" i="1"/>
  <c r="F29" i="1"/>
  <c r="G29" i="1"/>
  <c r="D29" i="1"/>
  <c r="B30" i="1"/>
  <c r="C30" i="1"/>
  <c r="D30" i="1"/>
  <c r="E30" i="1"/>
  <c r="F30" i="1"/>
  <c r="G30" i="1"/>
  <c r="B31" i="1"/>
  <c r="C31" i="1"/>
</calcChain>
</file>

<file path=xl/sharedStrings.xml><?xml version="1.0" encoding="utf-8"?>
<sst xmlns="http://schemas.openxmlformats.org/spreadsheetml/2006/main" count="190" uniqueCount="37">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</sst>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D9A5-9410-4944-A3CC-0CCEC1AF8723}">
  <dimension ref="A1:G37"/>
  <sheetViews>
    <sheetView topLeftCell="A7" workbookViewId="0">
      <selection activeCell="L26" sqref="L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478.54</v>
      </c>
      <c r="C2" s="1">
        <v>488.1</v>
      </c>
      <c r="D2" s="1">
        <v>439.55</v>
      </c>
      <c r="E2" s="1">
        <v>494.01</v>
      </c>
      <c r="F2" s="1">
        <v>405.02</v>
      </c>
      <c r="G2" s="1">
        <v>529.51</v>
      </c>
    </row>
    <row r="3" spans="1:7" x14ac:dyDescent="0.25">
      <c r="A3" s="1" t="s">
        <v>7</v>
      </c>
      <c r="B3" s="1">
        <v>37.74</v>
      </c>
      <c r="C3" s="1">
        <v>37.01</v>
      </c>
      <c r="D3" s="1">
        <v>37.25</v>
      </c>
      <c r="E3" s="1">
        <v>38.18</v>
      </c>
      <c r="F3" s="1">
        <v>35.69</v>
      </c>
      <c r="G3" s="1">
        <v>41.94</v>
      </c>
    </row>
    <row r="4" spans="1:7" x14ac:dyDescent="0.25">
      <c r="A4" s="1" t="s">
        <v>8</v>
      </c>
      <c r="B4" s="1">
        <v>18409.7</v>
      </c>
      <c r="C4" s="1">
        <v>18372.599999999999</v>
      </c>
      <c r="D4" s="1">
        <v>16703.78</v>
      </c>
      <c r="E4" s="1">
        <v>19249.439999999999</v>
      </c>
      <c r="F4" s="1">
        <v>14735.11</v>
      </c>
      <c r="G4" s="1">
        <v>22588.53</v>
      </c>
    </row>
    <row r="5" spans="1:7" x14ac:dyDescent="0.25">
      <c r="A5" s="1" t="s">
        <v>9</v>
      </c>
      <c r="B5" s="1">
        <v>2450.85</v>
      </c>
      <c r="C5" s="1">
        <v>2291.3000000000002</v>
      </c>
      <c r="D5" s="1">
        <v>2357.5300000000002</v>
      </c>
      <c r="E5" s="1">
        <v>2422.1</v>
      </c>
      <c r="F5" s="1">
        <v>2421.52</v>
      </c>
      <c r="G5" s="1">
        <v>2377.29</v>
      </c>
    </row>
    <row r="6" spans="1:7" x14ac:dyDescent="0.25">
      <c r="A6" s="3" t="s">
        <v>10</v>
      </c>
      <c r="B6" s="3">
        <v>245.09</v>
      </c>
      <c r="C6" s="3">
        <v>231.44</v>
      </c>
      <c r="D6" s="3">
        <v>238.13</v>
      </c>
      <c r="E6" s="3">
        <v>244.66</v>
      </c>
      <c r="F6" s="3">
        <v>244.6</v>
      </c>
      <c r="G6" s="3">
        <v>242.58</v>
      </c>
    </row>
    <row r="7" spans="1:7" x14ac:dyDescent="0.25">
      <c r="A7" s="1" t="s">
        <v>11</v>
      </c>
      <c r="B7" s="1">
        <v>2222.7399999999998</v>
      </c>
      <c r="C7" s="1">
        <v>2075.35</v>
      </c>
      <c r="D7" s="1">
        <v>2127.98</v>
      </c>
      <c r="E7" s="1">
        <v>2187.0300000000002</v>
      </c>
      <c r="F7" s="1">
        <v>2092.06</v>
      </c>
      <c r="G7" s="1">
        <v>2285.17</v>
      </c>
    </row>
    <row r="8" spans="1:7" x14ac:dyDescent="0.25">
      <c r="A8" s="1" t="s">
        <v>12</v>
      </c>
      <c r="B8" s="1">
        <v>222.27</v>
      </c>
      <c r="C8" s="1">
        <v>209.63</v>
      </c>
      <c r="D8" s="1">
        <v>214.95</v>
      </c>
      <c r="E8" s="1">
        <v>220.91</v>
      </c>
      <c r="F8" s="1">
        <v>211.32</v>
      </c>
      <c r="G8" s="1">
        <v>233.18</v>
      </c>
    </row>
    <row r="9" spans="1:7" x14ac:dyDescent="0.25">
      <c r="A9" s="1" t="s">
        <v>13</v>
      </c>
      <c r="B9" s="1">
        <v>2222.7399999999998</v>
      </c>
      <c r="C9" s="1">
        <v>2075.35</v>
      </c>
      <c r="D9" s="1">
        <v>2127.98</v>
      </c>
      <c r="E9" s="1">
        <v>2187.0300000000002</v>
      </c>
      <c r="F9" s="1">
        <v>2092.06</v>
      </c>
      <c r="G9" s="1">
        <v>2285.17</v>
      </c>
    </row>
    <row r="10" spans="1:7" x14ac:dyDescent="0.25">
      <c r="A10" s="1" t="s">
        <v>14</v>
      </c>
      <c r="B10" s="1">
        <v>222.27</v>
      </c>
      <c r="C10" s="1">
        <v>209.63</v>
      </c>
      <c r="D10" s="1">
        <v>214.95</v>
      </c>
      <c r="E10" s="1">
        <v>220.91</v>
      </c>
      <c r="F10" s="1">
        <v>211.32</v>
      </c>
      <c r="G10" s="1">
        <v>233.18</v>
      </c>
    </row>
    <row r="11" spans="1:7" x14ac:dyDescent="0.25">
      <c r="A11" s="1" t="s">
        <v>15</v>
      </c>
      <c r="B11" s="1">
        <v>1812.85</v>
      </c>
      <c r="C11" s="1">
        <v>1805.52</v>
      </c>
      <c r="D11" s="1">
        <v>1993.96</v>
      </c>
      <c r="E11" s="1">
        <v>1947.43</v>
      </c>
      <c r="F11" s="1">
        <v>2084.71</v>
      </c>
      <c r="G11" s="1">
        <v>2049.35</v>
      </c>
    </row>
    <row r="12" spans="1:7" x14ac:dyDescent="0.25">
      <c r="A12" s="1" t="s">
        <v>16</v>
      </c>
      <c r="B12" s="1">
        <v>284.5</v>
      </c>
      <c r="C12" s="1">
        <v>268.95999999999998</v>
      </c>
      <c r="D12" s="1">
        <v>241.39</v>
      </c>
      <c r="E12" s="1">
        <v>255.21</v>
      </c>
      <c r="F12" s="1">
        <v>245.06</v>
      </c>
      <c r="G12" s="1">
        <v>272.36</v>
      </c>
    </row>
    <row r="13" spans="1:7" x14ac:dyDescent="0.25">
      <c r="A13" s="1" t="s">
        <v>17</v>
      </c>
      <c r="B13" s="1">
        <v>35.28</v>
      </c>
      <c r="C13" s="1">
        <v>38.21</v>
      </c>
      <c r="D13" s="1">
        <v>32.450000000000003</v>
      </c>
      <c r="E13" s="1">
        <v>34.72</v>
      </c>
      <c r="F13" s="1">
        <v>31.9</v>
      </c>
      <c r="G13" s="1">
        <v>35.06</v>
      </c>
    </row>
    <row r="14" spans="1:7" x14ac:dyDescent="0.25">
      <c r="A14" s="1" t="s">
        <v>18</v>
      </c>
      <c r="B14" s="1">
        <v>77.64</v>
      </c>
      <c r="C14" s="1">
        <v>87.18</v>
      </c>
      <c r="D14" s="1">
        <v>69.010000000000005</v>
      </c>
      <c r="E14" s="1">
        <v>62.9</v>
      </c>
      <c r="F14" s="1">
        <v>64.489999999999995</v>
      </c>
      <c r="G14" s="1">
        <v>66.319999999999993</v>
      </c>
    </row>
    <row r="15" spans="1:7" x14ac:dyDescent="0.25">
      <c r="A15" s="1" t="s">
        <v>19</v>
      </c>
      <c r="B15" s="1">
        <v>8</v>
      </c>
      <c r="C15" s="1">
        <v>9</v>
      </c>
      <c r="D15" s="1">
        <v>10</v>
      </c>
      <c r="E15" s="1">
        <v>9</v>
      </c>
      <c r="F15" s="1">
        <v>10</v>
      </c>
      <c r="G15" s="1">
        <v>10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2222.7399999999998</v>
      </c>
      <c r="C17" s="1">
        <v>2075.35</v>
      </c>
      <c r="D17" s="1">
        <v>2127.98</v>
      </c>
      <c r="E17" s="1">
        <v>2187.0300000000002</v>
      </c>
      <c r="F17" s="1">
        <v>2092.06</v>
      </c>
      <c r="G17" s="1">
        <v>2285.17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242.25</v>
      </c>
      <c r="C33" s="3">
        <v>227.04</v>
      </c>
      <c r="D33" s="3">
        <v>234.23</v>
      </c>
      <c r="E33" s="3">
        <v>240.2</v>
      </c>
      <c r="F33" s="3">
        <v>240.85</v>
      </c>
      <c r="G33" s="3">
        <v>238.12</v>
      </c>
    </row>
    <row r="35" spans="1:7" x14ac:dyDescent="0.25">
      <c r="A35" s="3" t="s">
        <v>36</v>
      </c>
      <c r="B35" s="3"/>
      <c r="C35" s="3"/>
      <c r="D35" s="3">
        <f>D33-C33</f>
        <v>7.1899999999999977</v>
      </c>
      <c r="E35" s="3"/>
      <c r="F35" s="3">
        <f>F33-E33</f>
        <v>0.65000000000000568</v>
      </c>
      <c r="G35" s="3"/>
    </row>
    <row r="37" spans="1:7" x14ac:dyDescent="0.25">
      <c r="A37" s="3" t="s">
        <v>36</v>
      </c>
      <c r="B37" s="3"/>
      <c r="C37" s="3">
        <f>C33-B33</f>
        <v>-15.210000000000008</v>
      </c>
      <c r="D37" s="3"/>
      <c r="E37" s="3">
        <f>E33-D33</f>
        <v>5.9699999999999989</v>
      </c>
      <c r="F37" s="3"/>
      <c r="G37" s="3">
        <f>G33-F33</f>
        <v>-2.7299999999999898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8B69-6020-4801-90B4-F503217EFF23}">
  <dimension ref="A1:G37"/>
  <sheetViews>
    <sheetView topLeftCell="A7" workbookViewId="0">
      <selection activeCell="K26" sqref="K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369.61</v>
      </c>
      <c r="C2" s="1">
        <v>470.33</v>
      </c>
      <c r="D2" s="1">
        <v>454.74</v>
      </c>
      <c r="E2" s="1">
        <v>423.39</v>
      </c>
      <c r="F2" s="1">
        <v>418.93</v>
      </c>
      <c r="G2" s="1">
        <v>420.85</v>
      </c>
    </row>
    <row r="3" spans="1:7" x14ac:dyDescent="0.25">
      <c r="A3" s="1" t="s">
        <v>7</v>
      </c>
      <c r="B3" s="1">
        <v>36.43</v>
      </c>
      <c r="C3" s="1">
        <v>43.38</v>
      </c>
      <c r="D3" s="1">
        <v>41.62</v>
      </c>
      <c r="E3" s="1">
        <v>42.74</v>
      </c>
      <c r="F3" s="1">
        <v>39.17</v>
      </c>
      <c r="G3" s="1">
        <v>43.03</v>
      </c>
    </row>
    <row r="4" spans="1:7" x14ac:dyDescent="0.25">
      <c r="A4" s="1" t="s">
        <v>8</v>
      </c>
      <c r="B4" s="1">
        <v>13711.75</v>
      </c>
      <c r="C4" s="1">
        <v>20781.87</v>
      </c>
      <c r="D4" s="1">
        <v>19247.580000000002</v>
      </c>
      <c r="E4" s="1">
        <v>18441.310000000001</v>
      </c>
      <c r="F4" s="1">
        <v>16635.28</v>
      </c>
      <c r="G4" s="1">
        <v>18377.849999999999</v>
      </c>
    </row>
    <row r="5" spans="1:7" x14ac:dyDescent="0.25">
      <c r="A5" s="1" t="s">
        <v>9</v>
      </c>
      <c r="B5" s="1">
        <v>712.66</v>
      </c>
      <c r="C5" s="1">
        <v>1102.96</v>
      </c>
      <c r="D5" s="1">
        <v>657.55</v>
      </c>
      <c r="E5" s="1">
        <v>552.51</v>
      </c>
      <c r="F5" s="1">
        <v>586.28</v>
      </c>
      <c r="G5" s="1">
        <v>676.25</v>
      </c>
    </row>
    <row r="6" spans="1:7" x14ac:dyDescent="0.25">
      <c r="A6" s="3" t="s">
        <v>10</v>
      </c>
      <c r="B6" s="3">
        <v>71.27</v>
      </c>
      <c r="C6" s="3">
        <v>111.41</v>
      </c>
      <c r="D6" s="3">
        <v>66.42</v>
      </c>
      <c r="E6" s="3">
        <v>55.81</v>
      </c>
      <c r="F6" s="3">
        <v>59.22</v>
      </c>
      <c r="G6" s="3">
        <v>69</v>
      </c>
    </row>
    <row r="7" spans="1:7" x14ac:dyDescent="0.25">
      <c r="A7" s="1" t="s">
        <v>11</v>
      </c>
      <c r="B7" s="1">
        <v>673.05</v>
      </c>
      <c r="C7" s="1">
        <v>1036.06</v>
      </c>
      <c r="D7" s="1">
        <v>548.41999999999996</v>
      </c>
      <c r="E7" s="1">
        <v>465.35</v>
      </c>
      <c r="F7" s="1">
        <v>566.54999999999995</v>
      </c>
      <c r="G7" s="1">
        <v>634.20000000000005</v>
      </c>
    </row>
    <row r="8" spans="1:7" x14ac:dyDescent="0.25">
      <c r="A8" s="1" t="s">
        <v>12</v>
      </c>
      <c r="B8" s="1">
        <v>67.3</v>
      </c>
      <c r="C8" s="1">
        <v>104.65</v>
      </c>
      <c r="D8" s="1">
        <v>55.4</v>
      </c>
      <c r="E8" s="1">
        <v>47.01</v>
      </c>
      <c r="F8" s="1">
        <v>57.23</v>
      </c>
      <c r="G8" s="1">
        <v>64.709999999999994</v>
      </c>
    </row>
    <row r="9" spans="1:7" x14ac:dyDescent="0.25">
      <c r="A9" s="1" t="s">
        <v>13</v>
      </c>
      <c r="B9" s="1">
        <v>630.69000000000005</v>
      </c>
      <c r="C9" s="1">
        <v>529.91</v>
      </c>
      <c r="D9" s="1">
        <v>-160.15</v>
      </c>
      <c r="E9" s="1">
        <v>233.77</v>
      </c>
      <c r="F9" s="1">
        <v>443.16</v>
      </c>
      <c r="G9" s="1">
        <v>235.73</v>
      </c>
    </row>
    <row r="10" spans="1:7" x14ac:dyDescent="0.25">
      <c r="A10" s="1" t="s">
        <v>14</v>
      </c>
      <c r="B10" s="1">
        <v>63.07</v>
      </c>
      <c r="C10" s="1">
        <v>53.53</v>
      </c>
      <c r="D10" s="1">
        <v>-16.18</v>
      </c>
      <c r="E10" s="1">
        <v>23.61</v>
      </c>
      <c r="F10" s="1">
        <v>44.76</v>
      </c>
      <c r="G10" s="1">
        <v>24.05</v>
      </c>
    </row>
    <row r="11" spans="1:7" x14ac:dyDescent="0.25">
      <c r="A11" s="1" t="s">
        <v>15</v>
      </c>
      <c r="B11" s="1">
        <v>580.78</v>
      </c>
      <c r="C11" s="1">
        <v>129.44999999999999</v>
      </c>
      <c r="D11" s="1">
        <v>94.57</v>
      </c>
      <c r="E11" s="1">
        <v>120.53</v>
      </c>
      <c r="F11" s="1">
        <v>408.55</v>
      </c>
      <c r="G11" s="1">
        <v>52.68</v>
      </c>
    </row>
    <row r="12" spans="1:7" x14ac:dyDescent="0.25">
      <c r="A12" s="1" t="s">
        <v>16</v>
      </c>
      <c r="B12" s="1">
        <v>190.03</v>
      </c>
      <c r="C12" s="1">
        <v>230.28</v>
      </c>
      <c r="D12" s="1">
        <v>105.86</v>
      </c>
      <c r="E12" s="1">
        <v>132.07</v>
      </c>
      <c r="F12" s="1">
        <v>189.62</v>
      </c>
      <c r="G12" s="1">
        <v>203.8</v>
      </c>
    </row>
    <row r="13" spans="1:7" x14ac:dyDescent="0.25">
      <c r="A13" s="1" t="s">
        <v>17</v>
      </c>
      <c r="B13" s="1">
        <v>18.8</v>
      </c>
      <c r="C13" s="1">
        <v>26.29</v>
      </c>
      <c r="D13" s="1">
        <v>58.6</v>
      </c>
      <c r="E13" s="1">
        <v>42.14</v>
      </c>
      <c r="F13" s="1">
        <v>17.46</v>
      </c>
      <c r="G13" s="1">
        <v>24.8</v>
      </c>
    </row>
    <row r="14" spans="1:7" x14ac:dyDescent="0.25">
      <c r="A14" s="1" t="s">
        <v>18</v>
      </c>
      <c r="B14" s="1">
        <v>53.39</v>
      </c>
      <c r="C14" s="1">
        <v>77.94</v>
      </c>
      <c r="D14" s="1">
        <v>92.5</v>
      </c>
      <c r="E14" s="1">
        <v>83.1</v>
      </c>
      <c r="F14" s="1">
        <v>49.37</v>
      </c>
      <c r="G14" s="1">
        <v>40.99</v>
      </c>
    </row>
    <row r="15" spans="1:7" x14ac:dyDescent="0.25">
      <c r="A15" s="1" t="s">
        <v>19</v>
      </c>
      <c r="B15" s="1">
        <v>3</v>
      </c>
      <c r="C15" s="1">
        <v>3</v>
      </c>
      <c r="D15" s="1">
        <v>5</v>
      </c>
      <c r="E15" s="1">
        <v>6</v>
      </c>
      <c r="F15" s="1">
        <v>2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651.87</v>
      </c>
      <c r="C17" s="1">
        <v>782.98</v>
      </c>
      <c r="D17" s="1">
        <v>194.14</v>
      </c>
      <c r="E17" s="1">
        <v>349.56</v>
      </c>
      <c r="F17" s="1">
        <v>504.86</v>
      </c>
      <c r="G17" s="1">
        <v>434.96</v>
      </c>
    </row>
    <row r="18" spans="1:7" x14ac:dyDescent="0.25">
      <c r="A18" s="1" t="s">
        <v>22</v>
      </c>
      <c r="B18" s="1">
        <v>21.18</v>
      </c>
      <c r="C18" s="1">
        <v>253.07</v>
      </c>
      <c r="D18" s="1">
        <v>354.28</v>
      </c>
      <c r="E18" s="1">
        <v>115.79</v>
      </c>
      <c r="F18" s="1">
        <v>61.69</v>
      </c>
      <c r="G18" s="1">
        <v>199.24</v>
      </c>
    </row>
    <row r="19" spans="1:7" x14ac:dyDescent="0.25">
      <c r="A19" s="1" t="s">
        <v>23</v>
      </c>
      <c r="B19" s="1">
        <v>0</v>
      </c>
      <c r="C19" s="1">
        <v>1</v>
      </c>
      <c r="D19" s="1">
        <v>2</v>
      </c>
      <c r="E19" s="1">
        <v>1</v>
      </c>
      <c r="F19" s="1">
        <v>1</v>
      </c>
      <c r="G19" s="1">
        <v>2</v>
      </c>
    </row>
    <row r="20" spans="1:7" x14ac:dyDescent="0.25">
      <c r="A20" s="1" t="s">
        <v>24</v>
      </c>
      <c r="B20" s="1">
        <v>0</v>
      </c>
      <c r="C20" s="1">
        <v>3.1</v>
      </c>
      <c r="D20" s="1">
        <v>3.1</v>
      </c>
      <c r="E20" s="1">
        <v>1.1000000000000001</v>
      </c>
      <c r="F20" s="1">
        <v>1.1000000000000001</v>
      </c>
      <c r="G20" s="1">
        <v>4.4000000000000004</v>
      </c>
    </row>
    <row r="21" spans="1:7" x14ac:dyDescent="0.25">
      <c r="A21" s="1" t="s">
        <v>25</v>
      </c>
      <c r="B21" s="1">
        <v>10.1</v>
      </c>
      <c r="C21" s="1">
        <v>6.9</v>
      </c>
      <c r="D21" s="1">
        <v>6.9</v>
      </c>
      <c r="E21" s="1">
        <v>8.9</v>
      </c>
      <c r="F21" s="1">
        <v>8.9</v>
      </c>
      <c r="G21" s="1">
        <v>5.5</v>
      </c>
    </row>
    <row r="22" spans="1:7" x14ac:dyDescent="0.25">
      <c r="A22" s="1" t="s">
        <v>26</v>
      </c>
      <c r="B22" s="1">
        <v>0</v>
      </c>
      <c r="C22" s="1">
        <v>0</v>
      </c>
      <c r="D22" s="1">
        <v>3</v>
      </c>
      <c r="E22" s="1">
        <v>1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6.1</v>
      </c>
      <c r="E23" s="1">
        <v>3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2.6</v>
      </c>
      <c r="D24" s="1">
        <v>2.6</v>
      </c>
      <c r="E24" s="1">
        <v>1</v>
      </c>
      <c r="F24" s="1">
        <v>0</v>
      </c>
      <c r="G24" s="1">
        <v>2.2999999999999998</v>
      </c>
    </row>
    <row r="25" spans="1:7" x14ac:dyDescent="0.25">
      <c r="A25" s="1" t="s">
        <v>29</v>
      </c>
      <c r="B25" s="1">
        <v>0</v>
      </c>
      <c r="C25" s="1">
        <v>0</v>
      </c>
      <c r="D25" s="1">
        <v>7.4</v>
      </c>
      <c r="E25" s="1">
        <v>4.8</v>
      </c>
      <c r="F25" s="1">
        <v>4</v>
      </c>
      <c r="G25" s="1">
        <v>4.9000000000000004</v>
      </c>
    </row>
    <row r="26" spans="1:7" x14ac:dyDescent="0.25">
      <c r="A26" s="1" t="s">
        <v>30</v>
      </c>
      <c r="B26" s="1">
        <v>10.1</v>
      </c>
      <c r="C26" s="1">
        <v>7.4</v>
      </c>
      <c r="D26" s="1">
        <v>0</v>
      </c>
      <c r="E26" s="1">
        <v>4.2</v>
      </c>
      <c r="F26" s="1">
        <v>6</v>
      </c>
      <c r="G26" s="1">
        <v>2.7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26</v>
      </c>
      <c r="D29" s="3">
        <f t="shared" si="1"/>
        <v>26</v>
      </c>
      <c r="E29" s="3">
        <f t="shared" si="1"/>
        <v>10</v>
      </c>
      <c r="F29" s="3">
        <f t="shared" si="1"/>
        <v>0</v>
      </c>
      <c r="G29" s="3">
        <f t="shared" si="1"/>
        <v>23.232323232323228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74</v>
      </c>
      <c r="E30" s="3">
        <f t="shared" si="2"/>
        <v>48</v>
      </c>
      <c r="F30" s="3">
        <f t="shared" si="2"/>
        <v>40</v>
      </c>
      <c r="G30" s="3">
        <f t="shared" si="2"/>
        <v>49.494949494949495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74</v>
      </c>
      <c r="D31" s="3">
        <f t="shared" si="3"/>
        <v>0</v>
      </c>
      <c r="E31" s="3">
        <f t="shared" si="3"/>
        <v>42.000000000000007</v>
      </c>
      <c r="F31" s="3">
        <f t="shared" si="3"/>
        <v>60</v>
      </c>
      <c r="G31" s="3">
        <f t="shared" si="3"/>
        <v>27.272727272727277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63.63</v>
      </c>
      <c r="C33" s="3">
        <v>6.75</v>
      </c>
      <c r="D33" s="3">
        <v>-2.2599999999999998</v>
      </c>
      <c r="E33" s="3">
        <v>15.29</v>
      </c>
      <c r="F33" s="3">
        <v>44.88</v>
      </c>
      <c r="G33" s="3">
        <v>0.99</v>
      </c>
    </row>
    <row r="35" spans="1:7" x14ac:dyDescent="0.25">
      <c r="A35" s="3" t="s">
        <v>36</v>
      </c>
      <c r="B35" s="3"/>
      <c r="C35" s="3"/>
      <c r="D35" s="3">
        <f>D33-C33</f>
        <v>-9.01</v>
      </c>
      <c r="E35" s="3"/>
      <c r="F35" s="3">
        <f>F33-E33</f>
        <v>29.590000000000003</v>
      </c>
      <c r="G35" s="3"/>
    </row>
    <row r="37" spans="1:7" x14ac:dyDescent="0.25">
      <c r="A37" s="3" t="s">
        <v>36</v>
      </c>
      <c r="B37" s="3"/>
      <c r="C37" s="3">
        <f>C33-B33</f>
        <v>-56.88</v>
      </c>
      <c r="D37" s="3"/>
      <c r="E37" s="3">
        <f>E33-D33</f>
        <v>17.549999999999997</v>
      </c>
      <c r="F37" s="3"/>
      <c r="G37" s="3">
        <f>G33-F33</f>
        <v>-43.89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C673-75C5-46B2-A30E-3ED3F5D244D7}">
  <dimension ref="A1:G37"/>
  <sheetViews>
    <sheetView topLeftCell="A10" workbookViewId="0">
      <selection activeCell="M23" sqref="M2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357.63</v>
      </c>
      <c r="C2" s="1">
        <v>353.34</v>
      </c>
      <c r="D2" s="1">
        <v>360.79</v>
      </c>
      <c r="E2" s="1">
        <v>368.24</v>
      </c>
      <c r="F2" s="1">
        <v>326.97000000000003</v>
      </c>
      <c r="G2" s="1">
        <v>387.09</v>
      </c>
    </row>
    <row r="3" spans="1:7" x14ac:dyDescent="0.25">
      <c r="A3" s="1" t="s">
        <v>7</v>
      </c>
      <c r="B3" s="1">
        <v>37.92</v>
      </c>
      <c r="C3" s="1">
        <v>34.68</v>
      </c>
      <c r="D3" s="1">
        <v>37.69</v>
      </c>
      <c r="E3" s="1">
        <v>36.450000000000003</v>
      </c>
      <c r="F3" s="1">
        <v>35.409999999999997</v>
      </c>
      <c r="G3" s="1">
        <v>38.35</v>
      </c>
    </row>
    <row r="4" spans="1:7" x14ac:dyDescent="0.25">
      <c r="A4" s="1" t="s">
        <v>8</v>
      </c>
      <c r="B4" s="1">
        <v>13715.84</v>
      </c>
      <c r="C4" s="1">
        <v>12440.94</v>
      </c>
      <c r="D4" s="1">
        <v>13776.47</v>
      </c>
      <c r="E4" s="1">
        <v>13655.54</v>
      </c>
      <c r="F4" s="1">
        <v>11770.6</v>
      </c>
      <c r="G4" s="1">
        <v>14988.93</v>
      </c>
    </row>
    <row r="5" spans="1:7" x14ac:dyDescent="0.25">
      <c r="A5" s="1" t="s">
        <v>9</v>
      </c>
      <c r="B5" s="1">
        <v>851.91</v>
      </c>
      <c r="C5" s="1">
        <v>1417.22</v>
      </c>
      <c r="D5" s="1">
        <v>998.77</v>
      </c>
      <c r="E5" s="1">
        <v>1159.26</v>
      </c>
      <c r="F5" s="1">
        <v>893.25</v>
      </c>
      <c r="G5" s="1">
        <v>806.28</v>
      </c>
    </row>
    <row r="6" spans="1:7" x14ac:dyDescent="0.25">
      <c r="A6" s="3" t="s">
        <v>10</v>
      </c>
      <c r="B6" s="3">
        <v>85.19</v>
      </c>
      <c r="C6" s="3">
        <v>143.15</v>
      </c>
      <c r="D6" s="3">
        <v>100.89</v>
      </c>
      <c r="E6" s="3">
        <v>117.1</v>
      </c>
      <c r="F6" s="3">
        <v>90.23</v>
      </c>
      <c r="G6" s="3">
        <v>82.27</v>
      </c>
    </row>
    <row r="7" spans="1:7" x14ac:dyDescent="0.25">
      <c r="A7" s="1" t="s">
        <v>11</v>
      </c>
      <c r="B7" s="1">
        <v>701.23</v>
      </c>
      <c r="C7" s="1">
        <v>1215.5999999999999</v>
      </c>
      <c r="D7" s="1">
        <v>828.65</v>
      </c>
      <c r="E7" s="1">
        <v>873.83</v>
      </c>
      <c r="F7" s="1">
        <v>788.63</v>
      </c>
      <c r="G7" s="1">
        <v>712.05</v>
      </c>
    </row>
    <row r="8" spans="1:7" x14ac:dyDescent="0.25">
      <c r="A8" s="1" t="s">
        <v>12</v>
      </c>
      <c r="B8" s="1">
        <v>70.12</v>
      </c>
      <c r="C8" s="1">
        <v>122.79</v>
      </c>
      <c r="D8" s="1">
        <v>83.7</v>
      </c>
      <c r="E8" s="1">
        <v>88.27</v>
      </c>
      <c r="F8" s="1">
        <v>79.66</v>
      </c>
      <c r="G8" s="1">
        <v>72.66</v>
      </c>
    </row>
    <row r="9" spans="1:7" x14ac:dyDescent="0.25">
      <c r="A9" s="1" t="s">
        <v>13</v>
      </c>
      <c r="B9" s="1">
        <v>-220.01</v>
      </c>
      <c r="C9" s="1">
        <v>765.59</v>
      </c>
      <c r="D9" s="1">
        <v>822.04</v>
      </c>
      <c r="E9" s="1">
        <v>481.86</v>
      </c>
      <c r="F9" s="1">
        <v>305.36</v>
      </c>
      <c r="G9" s="1">
        <v>307.75</v>
      </c>
    </row>
    <row r="10" spans="1:7" x14ac:dyDescent="0.25">
      <c r="A10" s="1" t="s">
        <v>14</v>
      </c>
      <c r="B10" s="1">
        <v>-22</v>
      </c>
      <c r="C10" s="1">
        <v>77.33</v>
      </c>
      <c r="D10" s="1">
        <v>83.03</v>
      </c>
      <c r="E10" s="1">
        <v>48.67</v>
      </c>
      <c r="F10" s="1">
        <v>30.84</v>
      </c>
      <c r="G10" s="1">
        <v>31.4</v>
      </c>
    </row>
    <row r="11" spans="1:7" x14ac:dyDescent="0.25">
      <c r="A11" s="1" t="s">
        <v>15</v>
      </c>
      <c r="B11" s="1">
        <v>85.17</v>
      </c>
      <c r="C11" s="1">
        <v>559.58000000000004</v>
      </c>
      <c r="D11" s="1">
        <v>588.62</v>
      </c>
      <c r="E11" s="1">
        <v>308.27999999999997</v>
      </c>
      <c r="F11" s="1">
        <v>245.12</v>
      </c>
      <c r="G11" s="1">
        <v>86.46</v>
      </c>
    </row>
    <row r="12" spans="1:7" x14ac:dyDescent="0.25">
      <c r="A12" s="1" t="s">
        <v>16</v>
      </c>
      <c r="B12" s="1">
        <v>161.94999999999999</v>
      </c>
      <c r="C12" s="1">
        <v>172.94</v>
      </c>
      <c r="D12" s="1">
        <v>173.51</v>
      </c>
      <c r="E12" s="1">
        <v>170.32</v>
      </c>
      <c r="F12" s="1">
        <v>149.06</v>
      </c>
      <c r="G12" s="1">
        <v>183.18</v>
      </c>
    </row>
    <row r="13" spans="1:7" x14ac:dyDescent="0.25">
      <c r="A13" s="1" t="s">
        <v>17</v>
      </c>
      <c r="B13" s="1">
        <v>43.09</v>
      </c>
      <c r="C13" s="1">
        <v>30.98</v>
      </c>
      <c r="D13" s="1">
        <v>35.770000000000003</v>
      </c>
      <c r="E13" s="1">
        <v>33.340000000000003</v>
      </c>
      <c r="F13" s="1">
        <v>26.58</v>
      </c>
      <c r="G13" s="1">
        <v>32.270000000000003</v>
      </c>
    </row>
    <row r="14" spans="1:7" x14ac:dyDescent="0.25">
      <c r="A14" s="1" t="s">
        <v>18</v>
      </c>
      <c r="B14" s="1">
        <v>67.16</v>
      </c>
      <c r="C14" s="1">
        <v>69.69</v>
      </c>
      <c r="D14" s="1">
        <v>67.89</v>
      </c>
      <c r="E14" s="1">
        <v>87.91</v>
      </c>
      <c r="F14" s="1">
        <v>64.72</v>
      </c>
      <c r="G14" s="1">
        <v>80.989999999999995</v>
      </c>
    </row>
    <row r="15" spans="1:7" x14ac:dyDescent="0.25">
      <c r="A15" s="1" t="s">
        <v>19</v>
      </c>
      <c r="B15" s="1">
        <v>6</v>
      </c>
      <c r="C15" s="1">
        <v>8</v>
      </c>
      <c r="D15" s="1">
        <v>6</v>
      </c>
      <c r="E15" s="1">
        <v>6</v>
      </c>
      <c r="F15" s="1">
        <v>6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240.61</v>
      </c>
      <c r="C17" s="1">
        <v>990.59</v>
      </c>
      <c r="D17" s="1">
        <v>825.35</v>
      </c>
      <c r="E17" s="1">
        <v>677.84</v>
      </c>
      <c r="F17" s="1">
        <v>546.99</v>
      </c>
      <c r="G17" s="1">
        <v>509.9</v>
      </c>
    </row>
    <row r="18" spans="1:7" x14ac:dyDescent="0.25">
      <c r="A18" s="1" t="s">
        <v>22</v>
      </c>
      <c r="B18" s="1">
        <v>460.62</v>
      </c>
      <c r="C18" s="1">
        <v>225</v>
      </c>
      <c r="D18" s="1">
        <v>3.3</v>
      </c>
      <c r="E18" s="1">
        <v>195.99</v>
      </c>
      <c r="F18" s="1">
        <v>241.64</v>
      </c>
      <c r="G18" s="1">
        <v>202.15</v>
      </c>
    </row>
    <row r="19" spans="1:7" x14ac:dyDescent="0.25">
      <c r="A19" s="1" t="s">
        <v>23</v>
      </c>
      <c r="B19" s="1">
        <v>3</v>
      </c>
      <c r="C19" s="1">
        <v>1</v>
      </c>
      <c r="D19" s="1">
        <v>0</v>
      </c>
      <c r="E19" s="1">
        <v>1</v>
      </c>
      <c r="F19" s="1">
        <v>1</v>
      </c>
      <c r="G19" s="1">
        <v>1</v>
      </c>
    </row>
    <row r="20" spans="1:7" x14ac:dyDescent="0.25">
      <c r="A20" s="1" t="s">
        <v>24</v>
      </c>
      <c r="B20" s="1">
        <v>3.9</v>
      </c>
      <c r="C20" s="1">
        <v>3.9</v>
      </c>
      <c r="D20" s="1">
        <v>0</v>
      </c>
      <c r="E20" s="1">
        <v>3.3</v>
      </c>
      <c r="F20" s="1">
        <v>1.5</v>
      </c>
      <c r="G20" s="1">
        <v>2.7</v>
      </c>
    </row>
    <row r="21" spans="1:7" x14ac:dyDescent="0.25">
      <c r="A21" s="1" t="s">
        <v>25</v>
      </c>
      <c r="B21" s="1">
        <v>6.2</v>
      </c>
      <c r="C21" s="1">
        <v>6.1</v>
      </c>
      <c r="D21" s="1">
        <v>10</v>
      </c>
      <c r="E21" s="1">
        <v>6.7</v>
      </c>
      <c r="F21" s="1">
        <v>8.5</v>
      </c>
      <c r="G21" s="1">
        <v>7.2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2.7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3.4</v>
      </c>
      <c r="C24" s="1">
        <v>3.8</v>
      </c>
      <c r="D24" s="1">
        <v>0</v>
      </c>
      <c r="E24" s="1">
        <v>2</v>
      </c>
      <c r="F24" s="1">
        <v>2.9</v>
      </c>
      <c r="G24" s="1">
        <v>3.6</v>
      </c>
    </row>
    <row r="25" spans="1:7" x14ac:dyDescent="0.25">
      <c r="A25" s="1" t="s">
        <v>29</v>
      </c>
      <c r="B25" s="1">
        <v>3.6</v>
      </c>
      <c r="C25" s="1">
        <v>0</v>
      </c>
      <c r="D25" s="1">
        <v>2.4</v>
      </c>
      <c r="E25" s="1">
        <v>0</v>
      </c>
      <c r="F25" s="1">
        <v>2.8</v>
      </c>
      <c r="G25" s="1">
        <v>0</v>
      </c>
    </row>
    <row r="26" spans="1:7" x14ac:dyDescent="0.25">
      <c r="A26" s="1" t="s">
        <v>30</v>
      </c>
      <c r="B26" s="1">
        <v>3.1</v>
      </c>
      <c r="C26" s="1">
        <v>6.2</v>
      </c>
      <c r="D26" s="1">
        <v>7.6</v>
      </c>
      <c r="E26" s="1">
        <v>8</v>
      </c>
      <c r="F26" s="1">
        <v>4.3</v>
      </c>
      <c r="G26" s="1">
        <v>6.3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33.663366336633665</v>
      </c>
      <c r="C29" s="3">
        <f t="shared" ref="C29:G29" si="1">C24/C28*100</f>
        <v>38</v>
      </c>
      <c r="D29" s="3">
        <f t="shared" si="1"/>
        <v>0</v>
      </c>
      <c r="E29" s="3">
        <f t="shared" si="1"/>
        <v>20</v>
      </c>
      <c r="F29" s="3">
        <f t="shared" si="1"/>
        <v>28.999999999999996</v>
      </c>
      <c r="G29" s="3">
        <f t="shared" si="1"/>
        <v>36.363636363636367</v>
      </c>
    </row>
    <row r="30" spans="1:7" x14ac:dyDescent="0.25">
      <c r="A30" s="3" t="s">
        <v>33</v>
      </c>
      <c r="B30" s="3">
        <f>B25/B28*100</f>
        <v>35.643564356435647</v>
      </c>
      <c r="C30" s="3">
        <f t="shared" ref="C30:G30" si="2">C25/C28*100</f>
        <v>0</v>
      </c>
      <c r="D30" s="3">
        <f t="shared" si="2"/>
        <v>24</v>
      </c>
      <c r="E30" s="3">
        <f t="shared" si="2"/>
        <v>0</v>
      </c>
      <c r="F30" s="3">
        <f t="shared" si="2"/>
        <v>27.999999999999996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30.693069306930692</v>
      </c>
      <c r="C31" s="3">
        <f t="shared" ref="C31:G31" si="3">C26/C28*100</f>
        <v>62</v>
      </c>
      <c r="D31" s="3">
        <f t="shared" si="3"/>
        <v>76</v>
      </c>
      <c r="E31" s="3">
        <f t="shared" si="3"/>
        <v>80</v>
      </c>
      <c r="F31" s="3">
        <f t="shared" si="3"/>
        <v>43</v>
      </c>
      <c r="G31" s="3">
        <f t="shared" si="3"/>
        <v>63.636363636363633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-10.73</v>
      </c>
      <c r="C33" s="3">
        <v>49.37</v>
      </c>
      <c r="D33" s="3">
        <v>97.49</v>
      </c>
      <c r="E33" s="3">
        <v>33.909999999999997</v>
      </c>
      <c r="F33" s="3">
        <v>29.33</v>
      </c>
      <c r="G33" s="3">
        <v>31.87</v>
      </c>
    </row>
    <row r="35" spans="1:7" x14ac:dyDescent="0.25">
      <c r="A35" s="3" t="s">
        <v>36</v>
      </c>
      <c r="B35" s="3"/>
      <c r="C35" s="3"/>
      <c r="D35" s="3">
        <f>D33-C33</f>
        <v>48.12</v>
      </c>
      <c r="E35" s="3"/>
      <c r="F35" s="3">
        <f>F33-E33</f>
        <v>-4.5799999999999983</v>
      </c>
      <c r="G35" s="3"/>
    </row>
    <row r="37" spans="1:7" x14ac:dyDescent="0.25">
      <c r="A37" s="3" t="s">
        <v>36</v>
      </c>
      <c r="B37" s="3"/>
      <c r="C37" s="3">
        <f>C33-B33</f>
        <v>60.099999999999994</v>
      </c>
      <c r="D37" s="3"/>
      <c r="E37" s="3">
        <f>E33-D33</f>
        <v>-63.58</v>
      </c>
      <c r="F37" s="3"/>
      <c r="G37" s="3">
        <f>G33-F33</f>
        <v>2.5400000000000027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B922-1DE9-47C9-9823-02B079377E64}">
  <dimension ref="A1:G37"/>
  <sheetViews>
    <sheetView tabSelected="1" topLeftCell="A7" workbookViewId="0">
      <selection activeCell="L23" sqref="L2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476.4</v>
      </c>
      <c r="C2" s="1">
        <v>355.82</v>
      </c>
      <c r="D2" s="1">
        <v>383.95</v>
      </c>
      <c r="E2" s="1">
        <v>386.24</v>
      </c>
      <c r="F2" s="1">
        <v>472.85</v>
      </c>
      <c r="G2" s="1">
        <v>465.98</v>
      </c>
    </row>
    <row r="3" spans="1:7" x14ac:dyDescent="0.25">
      <c r="A3" s="1" t="s">
        <v>7</v>
      </c>
      <c r="B3" s="1">
        <v>41.93</v>
      </c>
      <c r="C3" s="1">
        <v>36.06</v>
      </c>
      <c r="D3" s="1">
        <v>37.119999999999997</v>
      </c>
      <c r="E3" s="1">
        <v>37.619999999999997</v>
      </c>
      <c r="F3" s="1">
        <v>42.75</v>
      </c>
      <c r="G3" s="1">
        <v>42.38</v>
      </c>
    </row>
    <row r="4" spans="1:7" x14ac:dyDescent="0.25">
      <c r="A4" s="1" t="s">
        <v>8</v>
      </c>
      <c r="B4" s="1">
        <v>20327.060000000001</v>
      </c>
      <c r="C4" s="1">
        <v>13052.66</v>
      </c>
      <c r="D4" s="1">
        <v>14511.3</v>
      </c>
      <c r="E4" s="1">
        <v>14920.86</v>
      </c>
      <c r="F4" s="1">
        <v>20544.490000000002</v>
      </c>
      <c r="G4" s="1">
        <v>20097.96</v>
      </c>
    </row>
    <row r="5" spans="1:7" x14ac:dyDescent="0.25">
      <c r="A5" s="1" t="s">
        <v>9</v>
      </c>
      <c r="B5" s="1">
        <v>2010.77</v>
      </c>
      <c r="C5" s="1">
        <v>603.97</v>
      </c>
      <c r="D5" s="1">
        <v>808.16</v>
      </c>
      <c r="E5" s="1">
        <v>1037.58</v>
      </c>
      <c r="F5" s="1">
        <v>1970.77</v>
      </c>
      <c r="G5" s="1">
        <v>891.53</v>
      </c>
    </row>
    <row r="6" spans="1:7" x14ac:dyDescent="0.25">
      <c r="A6" s="3" t="s">
        <v>10</v>
      </c>
      <c r="B6" s="3">
        <v>201.08</v>
      </c>
      <c r="C6" s="3">
        <v>61.01</v>
      </c>
      <c r="D6" s="3">
        <v>81.63</v>
      </c>
      <c r="E6" s="3">
        <v>104.81</v>
      </c>
      <c r="F6" s="3">
        <v>199.07</v>
      </c>
      <c r="G6" s="3">
        <v>90.97</v>
      </c>
    </row>
    <row r="7" spans="1:7" x14ac:dyDescent="0.25">
      <c r="A7" s="1" t="s">
        <v>11</v>
      </c>
      <c r="B7" s="1">
        <v>1824.94</v>
      </c>
      <c r="C7" s="1">
        <v>399.25</v>
      </c>
      <c r="D7" s="1">
        <v>695.84</v>
      </c>
      <c r="E7" s="1">
        <v>962.5</v>
      </c>
      <c r="F7" s="1">
        <v>1802.7</v>
      </c>
      <c r="G7" s="1">
        <v>775.95</v>
      </c>
    </row>
    <row r="8" spans="1:7" x14ac:dyDescent="0.25">
      <c r="A8" s="1" t="s">
        <v>12</v>
      </c>
      <c r="B8" s="1">
        <v>182.49</v>
      </c>
      <c r="C8" s="1">
        <v>40.33</v>
      </c>
      <c r="D8" s="1">
        <v>70.290000000000006</v>
      </c>
      <c r="E8" s="1">
        <v>97.22</v>
      </c>
      <c r="F8" s="1">
        <v>182.09</v>
      </c>
      <c r="G8" s="1">
        <v>79.180000000000007</v>
      </c>
    </row>
    <row r="9" spans="1:7" x14ac:dyDescent="0.25">
      <c r="A9" s="1" t="s">
        <v>13</v>
      </c>
      <c r="B9" s="1">
        <v>1824.94</v>
      </c>
      <c r="C9" s="1">
        <v>220.48</v>
      </c>
      <c r="D9" s="1">
        <v>233.54</v>
      </c>
      <c r="E9" s="1">
        <v>898.05</v>
      </c>
      <c r="F9" s="1">
        <v>1802.7</v>
      </c>
      <c r="G9" s="1">
        <v>284.08</v>
      </c>
    </row>
    <row r="10" spans="1:7" x14ac:dyDescent="0.25">
      <c r="A10" s="1" t="s">
        <v>14</v>
      </c>
      <c r="B10" s="1">
        <v>182.49</v>
      </c>
      <c r="C10" s="1">
        <v>22.27</v>
      </c>
      <c r="D10" s="1">
        <v>23.59</v>
      </c>
      <c r="E10" s="1">
        <v>90.71</v>
      </c>
      <c r="F10" s="1">
        <v>182.09</v>
      </c>
      <c r="G10" s="1">
        <v>28.99</v>
      </c>
    </row>
    <row r="11" spans="1:7" x14ac:dyDescent="0.25">
      <c r="A11" s="1" t="s">
        <v>15</v>
      </c>
      <c r="B11" s="1">
        <v>1400.47</v>
      </c>
      <c r="C11" s="1">
        <v>17.77</v>
      </c>
      <c r="D11" s="1">
        <v>50.43</v>
      </c>
      <c r="E11" s="1">
        <v>533.16999999999996</v>
      </c>
      <c r="F11" s="1">
        <v>1752.48</v>
      </c>
      <c r="G11" s="1">
        <v>64.19</v>
      </c>
    </row>
    <row r="12" spans="1:7" x14ac:dyDescent="0.25">
      <c r="A12" s="1" t="s">
        <v>16</v>
      </c>
      <c r="B12" s="1">
        <v>228.99</v>
      </c>
      <c r="C12" s="1">
        <v>113.5</v>
      </c>
      <c r="D12" s="1">
        <v>156.86000000000001</v>
      </c>
      <c r="E12" s="1">
        <v>171.77</v>
      </c>
      <c r="F12" s="1">
        <v>242.33</v>
      </c>
      <c r="G12" s="1">
        <v>164.78</v>
      </c>
    </row>
    <row r="13" spans="1:7" x14ac:dyDescent="0.25">
      <c r="A13" s="1" t="s">
        <v>17</v>
      </c>
      <c r="B13" s="1">
        <v>37.869999999999997</v>
      </c>
      <c r="C13" s="1">
        <v>46.56</v>
      </c>
      <c r="D13" s="1">
        <v>43.57</v>
      </c>
      <c r="E13" s="1">
        <v>37.74</v>
      </c>
      <c r="F13" s="1">
        <v>25.24</v>
      </c>
      <c r="G13" s="1">
        <v>53</v>
      </c>
    </row>
    <row r="14" spans="1:7" x14ac:dyDescent="0.25">
      <c r="A14" s="1" t="s">
        <v>18</v>
      </c>
      <c r="B14" s="1">
        <v>82</v>
      </c>
      <c r="C14" s="1">
        <v>74.8</v>
      </c>
      <c r="D14" s="1">
        <v>74.8</v>
      </c>
      <c r="E14" s="1">
        <v>67.23</v>
      </c>
      <c r="F14" s="1">
        <v>53.96</v>
      </c>
      <c r="G14" s="1">
        <v>97.24</v>
      </c>
    </row>
    <row r="15" spans="1:7" x14ac:dyDescent="0.25">
      <c r="A15" s="1" t="s">
        <v>19</v>
      </c>
      <c r="B15" s="1">
        <v>9</v>
      </c>
      <c r="C15" s="1">
        <v>4</v>
      </c>
      <c r="D15" s="1">
        <v>4</v>
      </c>
      <c r="E15" s="1">
        <v>3</v>
      </c>
      <c r="F15" s="1">
        <v>9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1824.94</v>
      </c>
      <c r="C17" s="1">
        <v>309.87</v>
      </c>
      <c r="D17" s="1">
        <v>464.69</v>
      </c>
      <c r="E17" s="1">
        <v>930.28</v>
      </c>
      <c r="F17" s="1">
        <v>1802.7</v>
      </c>
      <c r="G17" s="1">
        <v>530.01</v>
      </c>
    </row>
    <row r="18" spans="1:7" x14ac:dyDescent="0.25">
      <c r="A18" s="1" t="s">
        <v>22</v>
      </c>
      <c r="B18" s="1">
        <v>0</v>
      </c>
      <c r="C18" s="1">
        <v>89.39</v>
      </c>
      <c r="D18" s="1">
        <v>231.15</v>
      </c>
      <c r="E18" s="1">
        <v>32.22</v>
      </c>
      <c r="F18" s="1">
        <v>0</v>
      </c>
      <c r="G18" s="1">
        <v>245.94</v>
      </c>
    </row>
    <row r="19" spans="1:7" x14ac:dyDescent="0.25">
      <c r="A19" s="1" t="s">
        <v>23</v>
      </c>
      <c r="B19" s="1">
        <v>0</v>
      </c>
      <c r="C19" s="1">
        <v>2</v>
      </c>
      <c r="D19" s="1">
        <v>1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2.9</v>
      </c>
      <c r="D20" s="1">
        <v>1.8</v>
      </c>
      <c r="E20" s="1">
        <v>0</v>
      </c>
      <c r="F20" s="1">
        <v>0</v>
      </c>
      <c r="G20" s="1">
        <v>2.7</v>
      </c>
    </row>
    <row r="21" spans="1:7" x14ac:dyDescent="0.25">
      <c r="A21" s="1" t="s">
        <v>25</v>
      </c>
      <c r="B21" s="1">
        <v>10.1</v>
      </c>
      <c r="C21" s="1">
        <v>7.1</v>
      </c>
      <c r="D21" s="1">
        <v>8.1999999999999993</v>
      </c>
      <c r="E21" s="1">
        <v>10</v>
      </c>
      <c r="F21" s="1">
        <v>10</v>
      </c>
      <c r="G21" s="1">
        <v>7.2</v>
      </c>
    </row>
    <row r="22" spans="1:7" x14ac:dyDescent="0.25">
      <c r="A22" s="1" t="s">
        <v>26</v>
      </c>
      <c r="B22" s="1">
        <v>0</v>
      </c>
      <c r="C22" s="1">
        <v>1</v>
      </c>
      <c r="D22" s="1">
        <v>2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2.2000000000000002</v>
      </c>
      <c r="D23" s="1">
        <v>2.7</v>
      </c>
      <c r="E23" s="1">
        <v>0</v>
      </c>
      <c r="F23" s="1">
        <v>0</v>
      </c>
      <c r="G23" s="1">
        <v>2.4</v>
      </c>
    </row>
    <row r="24" spans="1:7" x14ac:dyDescent="0.25">
      <c r="A24" s="1" t="s">
        <v>28</v>
      </c>
      <c r="B24" s="1">
        <v>0</v>
      </c>
      <c r="C24" s="1">
        <v>1.4</v>
      </c>
      <c r="D24" s="1">
        <v>1.6</v>
      </c>
      <c r="E24" s="1">
        <v>0</v>
      </c>
      <c r="F24" s="1">
        <v>0</v>
      </c>
      <c r="G24" s="1">
        <v>1.1000000000000001</v>
      </c>
    </row>
    <row r="25" spans="1:7" x14ac:dyDescent="0.25">
      <c r="A25" s="1" t="s">
        <v>29</v>
      </c>
      <c r="B25" s="1">
        <v>0</v>
      </c>
      <c r="C25" s="1">
        <v>5</v>
      </c>
      <c r="D25" s="1">
        <v>4.2</v>
      </c>
      <c r="E25" s="1">
        <v>2.7</v>
      </c>
      <c r="F25" s="1">
        <v>0</v>
      </c>
      <c r="G25" s="1">
        <v>7.4</v>
      </c>
    </row>
    <row r="26" spans="1:7" x14ac:dyDescent="0.25">
      <c r="A26" s="1" t="s">
        <v>30</v>
      </c>
      <c r="B26" s="1">
        <v>10.1</v>
      </c>
      <c r="C26" s="1">
        <v>3.6</v>
      </c>
      <c r="D26" s="1">
        <v>4.2</v>
      </c>
      <c r="E26" s="1">
        <v>7.3</v>
      </c>
      <c r="F26" s="1">
        <v>10</v>
      </c>
      <c r="G26" s="1">
        <v>1.4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13.999999999999998</v>
      </c>
      <c r="D29" s="3">
        <f t="shared" si="1"/>
        <v>16</v>
      </c>
      <c r="E29" s="3">
        <f t="shared" si="1"/>
        <v>0</v>
      </c>
      <c r="F29" s="3">
        <f t="shared" si="1"/>
        <v>0</v>
      </c>
      <c r="G29" s="3">
        <f t="shared" si="1"/>
        <v>11.111111111111112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50</v>
      </c>
      <c r="D30" s="3">
        <f t="shared" si="2"/>
        <v>42.000000000000007</v>
      </c>
      <c r="E30" s="3">
        <f t="shared" si="2"/>
        <v>27</v>
      </c>
      <c r="F30" s="3">
        <f t="shared" si="2"/>
        <v>0</v>
      </c>
      <c r="G30" s="3">
        <f t="shared" si="2"/>
        <v>74.747474747474755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36</v>
      </c>
      <c r="D31" s="3">
        <f t="shared" si="3"/>
        <v>42.000000000000007</v>
      </c>
      <c r="E31" s="3">
        <f t="shared" si="3"/>
        <v>73</v>
      </c>
      <c r="F31" s="3">
        <f t="shared" si="3"/>
        <v>100</v>
      </c>
      <c r="G31" s="3">
        <f t="shared" si="3"/>
        <v>14.14141414141414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194.16</v>
      </c>
      <c r="C33" s="3">
        <v>11.91</v>
      </c>
      <c r="D33" s="3">
        <v>21.17</v>
      </c>
      <c r="E33" s="3">
        <v>92.04</v>
      </c>
      <c r="F33" s="3">
        <v>200.29</v>
      </c>
      <c r="G33" s="3">
        <v>15.58</v>
      </c>
    </row>
    <row r="35" spans="1:7" x14ac:dyDescent="0.25">
      <c r="A35" s="3" t="s">
        <v>36</v>
      </c>
      <c r="B35" s="3"/>
      <c r="C35" s="3"/>
      <c r="D35" s="3">
        <f>D33-C33</f>
        <v>9.2600000000000016</v>
      </c>
      <c r="E35" s="3"/>
      <c r="F35" s="3">
        <f>F33-E33</f>
        <v>108.24999999999999</v>
      </c>
      <c r="G35" s="3"/>
    </row>
    <row r="37" spans="1:7" x14ac:dyDescent="0.25">
      <c r="A37" s="3" t="s">
        <v>36</v>
      </c>
      <c r="B37" s="3"/>
      <c r="C37" s="3">
        <f>C33-B33</f>
        <v>-182.25</v>
      </c>
      <c r="D37" s="3"/>
      <c r="E37" s="3">
        <f>E33-D33</f>
        <v>70.87</v>
      </c>
      <c r="F37" s="3"/>
      <c r="G37" s="3">
        <f>G33-F33</f>
        <v>-184.70999999999998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0802-A48F-49AF-8525-89D9A15F0330}">
  <dimension ref="A1:G37"/>
  <sheetViews>
    <sheetView workbookViewId="0">
      <selection activeCell="L26" sqref="L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230904A001.1</vt:lpstr>
      <vt:lpstr>230904A001.2</vt:lpstr>
      <vt:lpstr>230904A001.4</vt:lpstr>
      <vt:lpstr>230904A001.5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2023-09-11T18:32:56Z</dcterms:created>
  <dcterms:modified xsi:type="dcterms:W3CDTF">2023-09-13T23:58:45Z</dcterms:modified>
</cp:coreProperties>
</file>