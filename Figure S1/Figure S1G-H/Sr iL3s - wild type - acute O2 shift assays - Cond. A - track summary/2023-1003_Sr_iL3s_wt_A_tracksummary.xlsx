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03\WormLab Data\"/>
    </mc:Choice>
  </mc:AlternateContent>
  <xr:revisionPtr revIDLastSave="0" documentId="13_ncr:1_{D728F71D-1839-4A26-B5A2-AA7C2DD9E0C1}" xr6:coauthVersionLast="36" xr6:coauthVersionMax="36" xr10:uidLastSave="{00000000-0000-0000-0000-000000000000}"/>
  <bookViews>
    <workbookView xWindow="0" yWindow="0" windowWidth="18915" windowHeight="10395" firstSheet="2" activeTab="5" xr2:uid="{8D27BDB9-CDA3-435B-8A9F-2E770822E55E}"/>
  </bookViews>
  <sheets>
    <sheet name="231003A001.1" sheetId="2" r:id="rId1"/>
    <sheet name="231003A002.1" sheetId="3" r:id="rId2"/>
    <sheet name="231003A002.2" sheetId="4" r:id="rId3"/>
    <sheet name="231003A002.3" sheetId="5" r:id="rId4"/>
    <sheet name="231003A002.4" sheetId="6" r:id="rId5"/>
    <sheet name="template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E31" i="6"/>
  <c r="B31" i="6"/>
  <c r="G30" i="6"/>
  <c r="G28" i="6"/>
  <c r="G31" i="6" s="1"/>
  <c r="F28" i="6"/>
  <c r="F31" i="6" s="1"/>
  <c r="E28" i="6"/>
  <c r="E29" i="6" s="1"/>
  <c r="D28" i="6"/>
  <c r="D31" i="6" s="1"/>
  <c r="C28" i="6"/>
  <c r="C29" i="6" s="1"/>
  <c r="B28" i="6"/>
  <c r="B29" i="6" s="1"/>
  <c r="G37" i="5"/>
  <c r="E37" i="5"/>
  <c r="C37" i="5"/>
  <c r="F35" i="5"/>
  <c r="D35" i="5"/>
  <c r="C31" i="5"/>
  <c r="B31" i="5"/>
  <c r="G28" i="5"/>
  <c r="G31" i="5" s="1"/>
  <c r="F28" i="5"/>
  <c r="F31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G28" i="4"/>
  <c r="G30" i="4" s="1"/>
  <c r="F28" i="4"/>
  <c r="F29" i="4" s="1"/>
  <c r="E28" i="4"/>
  <c r="E29" i="4" s="1"/>
  <c r="D28" i="4"/>
  <c r="D29" i="4" s="1"/>
  <c r="C28" i="4"/>
  <c r="C31" i="4" s="1"/>
  <c r="B28" i="4"/>
  <c r="B29" i="4" s="1"/>
  <c r="G37" i="3"/>
  <c r="E37" i="3"/>
  <c r="C37" i="3"/>
  <c r="F35" i="3"/>
  <c r="D35" i="3"/>
  <c r="E31" i="3"/>
  <c r="D31" i="3"/>
  <c r="E30" i="3"/>
  <c r="D30" i="3"/>
  <c r="C30" i="3"/>
  <c r="B30" i="3"/>
  <c r="E29" i="3"/>
  <c r="D29" i="3"/>
  <c r="C29" i="3"/>
  <c r="G28" i="3"/>
  <c r="G31" i="3" s="1"/>
  <c r="F28" i="3"/>
  <c r="F31" i="3" s="1"/>
  <c r="E28" i="3"/>
  <c r="D28" i="3"/>
  <c r="C28" i="3"/>
  <c r="C31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F31" i="1"/>
  <c r="C31" i="1"/>
  <c r="B31" i="1"/>
  <c r="E30" i="1"/>
  <c r="B30" i="1"/>
  <c r="G29" i="1"/>
  <c r="E29" i="1"/>
  <c r="G28" i="1"/>
  <c r="G31" i="1" s="1"/>
  <c r="F28" i="1"/>
  <c r="F30" i="1" s="1"/>
  <c r="E28" i="1"/>
  <c r="E31" i="1" s="1"/>
  <c r="D28" i="1"/>
  <c r="D31" i="1" s="1"/>
  <c r="C28" i="1"/>
  <c r="C29" i="1" s="1"/>
  <c r="B28" i="1"/>
  <c r="B29" i="1" s="1"/>
  <c r="B30" i="6" l="1"/>
  <c r="F29" i="6"/>
  <c r="D30" i="6"/>
  <c r="D29" i="6"/>
  <c r="E30" i="6"/>
  <c r="G29" i="6"/>
  <c r="C30" i="6"/>
  <c r="F30" i="6"/>
  <c r="C31" i="6"/>
  <c r="F30" i="5"/>
  <c r="G30" i="5"/>
  <c r="F29" i="5"/>
  <c r="D31" i="5"/>
  <c r="E29" i="5"/>
  <c r="G29" i="5"/>
  <c r="E30" i="5"/>
  <c r="B30" i="5"/>
  <c r="C30" i="5"/>
  <c r="D30" i="5"/>
  <c r="F31" i="4"/>
  <c r="G31" i="4"/>
  <c r="D30" i="4"/>
  <c r="D31" i="4"/>
  <c r="E31" i="4"/>
  <c r="B30" i="4"/>
  <c r="E30" i="4"/>
  <c r="F30" i="4"/>
  <c r="C29" i="4"/>
  <c r="G29" i="4"/>
  <c r="C30" i="4"/>
  <c r="B31" i="4"/>
  <c r="G29" i="3"/>
  <c r="F29" i="3"/>
  <c r="G30" i="3"/>
  <c r="F30" i="3"/>
  <c r="B31" i="3"/>
  <c r="F29" i="1"/>
  <c r="C30" i="1"/>
  <c r="D30" i="1"/>
  <c r="D29" i="1"/>
  <c r="G30" i="1"/>
</calcChain>
</file>

<file path=xl/sharedStrings.xml><?xml version="1.0" encoding="utf-8"?>
<sst xmlns="http://schemas.openxmlformats.org/spreadsheetml/2006/main" count="228" uniqueCount="37">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</sst>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CC67-5657-44AD-AC23-C3338006CD27}">
  <dimension ref="A1:G37"/>
  <sheetViews>
    <sheetView topLeftCell="A13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431.72</v>
      </c>
      <c r="C2" s="1">
        <v>425.74</v>
      </c>
      <c r="D2" s="1">
        <v>404.84</v>
      </c>
      <c r="E2" s="1">
        <v>427.6</v>
      </c>
      <c r="F2" s="1">
        <v>417.5</v>
      </c>
      <c r="G2" s="1">
        <v>454.41</v>
      </c>
    </row>
    <row r="3" spans="1:7" x14ac:dyDescent="0.25">
      <c r="A3" s="1" t="s">
        <v>7</v>
      </c>
      <c r="B3" s="1">
        <v>38.24</v>
      </c>
      <c r="C3" s="1">
        <v>41.32</v>
      </c>
      <c r="D3" s="1">
        <v>43.5</v>
      </c>
      <c r="E3" s="1">
        <v>41.72</v>
      </c>
      <c r="F3" s="1">
        <v>46.18</v>
      </c>
      <c r="G3" s="1">
        <v>42.71</v>
      </c>
    </row>
    <row r="4" spans="1:7" x14ac:dyDescent="0.25">
      <c r="A4" s="1" t="s">
        <v>8</v>
      </c>
      <c r="B4" s="1">
        <v>16812.38</v>
      </c>
      <c r="C4" s="1">
        <v>17808.05</v>
      </c>
      <c r="D4" s="1">
        <v>17850.259999999998</v>
      </c>
      <c r="E4" s="1">
        <v>18087.96</v>
      </c>
      <c r="F4" s="1">
        <v>19583.72</v>
      </c>
      <c r="G4" s="1">
        <v>19641.75</v>
      </c>
    </row>
    <row r="5" spans="1:7" x14ac:dyDescent="0.25">
      <c r="A5" s="1" t="s">
        <v>9</v>
      </c>
      <c r="B5" s="1">
        <v>1325.71</v>
      </c>
      <c r="C5" s="1">
        <v>666.55</v>
      </c>
      <c r="D5" s="1">
        <v>1169.04</v>
      </c>
      <c r="E5" s="1">
        <v>860.84</v>
      </c>
      <c r="F5" s="1">
        <v>794.68</v>
      </c>
      <c r="G5" s="1">
        <v>892.97</v>
      </c>
    </row>
    <row r="6" spans="1:7" x14ac:dyDescent="0.25">
      <c r="A6" s="3" t="s">
        <v>10</v>
      </c>
      <c r="B6" s="3">
        <v>132.57</v>
      </c>
      <c r="C6" s="3">
        <v>67.33</v>
      </c>
      <c r="D6" s="3">
        <v>118.08</v>
      </c>
      <c r="E6" s="3">
        <v>86.95</v>
      </c>
      <c r="F6" s="3">
        <v>80.27</v>
      </c>
      <c r="G6" s="3">
        <v>91.12</v>
      </c>
    </row>
    <row r="7" spans="1:7" x14ac:dyDescent="0.25">
      <c r="A7" s="1" t="s">
        <v>11</v>
      </c>
      <c r="B7" s="1">
        <v>1228.6099999999999</v>
      </c>
      <c r="C7" s="1">
        <v>616.89</v>
      </c>
      <c r="D7" s="1">
        <v>995.37</v>
      </c>
      <c r="E7" s="1">
        <v>769.11</v>
      </c>
      <c r="F7" s="1">
        <v>684.02</v>
      </c>
      <c r="G7" s="1">
        <v>817.5</v>
      </c>
    </row>
    <row r="8" spans="1:7" x14ac:dyDescent="0.25">
      <c r="A8" s="1" t="s">
        <v>12</v>
      </c>
      <c r="B8" s="1">
        <v>122.86</v>
      </c>
      <c r="C8" s="1">
        <v>62.31</v>
      </c>
      <c r="D8" s="1">
        <v>100.54</v>
      </c>
      <c r="E8" s="1">
        <v>77.69</v>
      </c>
      <c r="F8" s="1">
        <v>69.09</v>
      </c>
      <c r="G8" s="1">
        <v>83.42</v>
      </c>
    </row>
    <row r="9" spans="1:7" x14ac:dyDescent="0.25">
      <c r="A9" s="1" t="s">
        <v>13</v>
      </c>
      <c r="B9" s="1">
        <v>1221.3900000000001</v>
      </c>
      <c r="C9" s="1">
        <v>415.86</v>
      </c>
      <c r="D9" s="1">
        <v>-560.9</v>
      </c>
      <c r="E9" s="1">
        <v>449.94</v>
      </c>
      <c r="F9" s="1">
        <v>-486.46</v>
      </c>
      <c r="G9" s="1">
        <v>788.97</v>
      </c>
    </row>
    <row r="10" spans="1:7" x14ac:dyDescent="0.25">
      <c r="A10" s="1" t="s">
        <v>14</v>
      </c>
      <c r="B10" s="1">
        <v>122.14</v>
      </c>
      <c r="C10" s="1">
        <v>42.01</v>
      </c>
      <c r="D10" s="1">
        <v>-56.66</v>
      </c>
      <c r="E10" s="1">
        <v>45.45</v>
      </c>
      <c r="F10" s="1">
        <v>-49.14</v>
      </c>
      <c r="G10" s="1">
        <v>80.510000000000005</v>
      </c>
    </row>
    <row r="11" spans="1:7" x14ac:dyDescent="0.25">
      <c r="A11" s="1" t="s">
        <v>15</v>
      </c>
      <c r="B11" s="1">
        <v>1116.6300000000001</v>
      </c>
      <c r="C11" s="1">
        <v>324.61</v>
      </c>
      <c r="D11" s="1">
        <v>436.04</v>
      </c>
      <c r="E11" s="1">
        <v>198.8</v>
      </c>
      <c r="F11" s="1">
        <v>166.06</v>
      </c>
      <c r="G11" s="1">
        <v>629.22</v>
      </c>
    </row>
    <row r="12" spans="1:7" x14ac:dyDescent="0.25">
      <c r="A12" s="1" t="s">
        <v>16</v>
      </c>
      <c r="B12" s="1">
        <v>208.34</v>
      </c>
      <c r="C12" s="1">
        <v>180.08</v>
      </c>
      <c r="D12" s="1">
        <v>162.36000000000001</v>
      </c>
      <c r="E12" s="1">
        <v>187.89</v>
      </c>
      <c r="F12" s="1">
        <v>124.13</v>
      </c>
      <c r="G12" s="1">
        <v>206.92</v>
      </c>
    </row>
    <row r="13" spans="1:7" x14ac:dyDescent="0.25">
      <c r="A13" s="1" t="s">
        <v>17</v>
      </c>
      <c r="B13" s="1">
        <v>25.35</v>
      </c>
      <c r="C13" s="1">
        <v>37.14</v>
      </c>
      <c r="D13" s="1">
        <v>37.29</v>
      </c>
      <c r="E13" s="1">
        <v>29.16</v>
      </c>
      <c r="F13" s="1">
        <v>47.83</v>
      </c>
      <c r="G13" s="1">
        <v>26.6</v>
      </c>
    </row>
    <row r="14" spans="1:7" x14ac:dyDescent="0.25">
      <c r="A14" s="1" t="s">
        <v>18</v>
      </c>
      <c r="B14" s="1">
        <v>56.63</v>
      </c>
      <c r="C14" s="1">
        <v>82.15</v>
      </c>
      <c r="D14" s="1">
        <v>80.98</v>
      </c>
      <c r="E14" s="1">
        <v>81.069999999999993</v>
      </c>
      <c r="F14" s="1">
        <v>88.49</v>
      </c>
      <c r="G14" s="1">
        <v>69.28</v>
      </c>
    </row>
    <row r="15" spans="1:7" x14ac:dyDescent="0.25">
      <c r="A15" s="1" t="s">
        <v>19</v>
      </c>
      <c r="B15" s="1">
        <v>4</v>
      </c>
      <c r="C15" s="1">
        <v>2</v>
      </c>
      <c r="D15" s="1">
        <v>5</v>
      </c>
      <c r="E15" s="1">
        <v>4</v>
      </c>
      <c r="F15" s="1">
        <v>7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1225</v>
      </c>
      <c r="C17" s="1">
        <v>516.37</v>
      </c>
      <c r="D17" s="1">
        <v>217.23</v>
      </c>
      <c r="E17" s="1">
        <v>609.53</v>
      </c>
      <c r="F17" s="1">
        <v>98.78</v>
      </c>
      <c r="G17" s="1">
        <v>803.24</v>
      </c>
    </row>
    <row r="18" spans="1:7" x14ac:dyDescent="0.25">
      <c r="A18" s="1" t="s">
        <v>22</v>
      </c>
      <c r="B18" s="1">
        <v>3.61</v>
      </c>
      <c r="C18" s="1">
        <v>100.52</v>
      </c>
      <c r="D18" s="1">
        <v>778.14</v>
      </c>
      <c r="E18" s="1">
        <v>159.58000000000001</v>
      </c>
      <c r="F18" s="1">
        <v>585.24</v>
      </c>
      <c r="G18" s="1">
        <v>14.27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2</v>
      </c>
      <c r="F19" s="1">
        <v>4</v>
      </c>
      <c r="G19" s="1">
        <v>0</v>
      </c>
    </row>
    <row r="20" spans="1:7" x14ac:dyDescent="0.25">
      <c r="A20" s="1" t="s">
        <v>24</v>
      </c>
      <c r="B20" s="1">
        <v>0</v>
      </c>
      <c r="C20" s="1">
        <v>2.7</v>
      </c>
      <c r="D20" s="1">
        <v>5.4</v>
      </c>
      <c r="E20" s="1">
        <v>3.8</v>
      </c>
      <c r="F20" s="1">
        <v>6.2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7.3</v>
      </c>
      <c r="D21" s="1">
        <v>4.5999999999999996</v>
      </c>
      <c r="E21" s="1">
        <v>6.2</v>
      </c>
      <c r="F21" s="1">
        <v>3.8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3.4</v>
      </c>
      <c r="G23" s="1">
        <v>0</v>
      </c>
    </row>
    <row r="24" spans="1:7" x14ac:dyDescent="0.25">
      <c r="A24" s="1" t="s">
        <v>28</v>
      </c>
      <c r="B24" s="1">
        <v>0</v>
      </c>
      <c r="C24" s="1">
        <v>2.1</v>
      </c>
      <c r="D24" s="1">
        <v>2.9</v>
      </c>
      <c r="E24" s="1">
        <v>3</v>
      </c>
      <c r="F24" s="1">
        <v>2.2999999999999998</v>
      </c>
      <c r="G24" s="1">
        <v>0</v>
      </c>
    </row>
    <row r="25" spans="1:7" x14ac:dyDescent="0.25">
      <c r="A25" s="1" t="s">
        <v>29</v>
      </c>
      <c r="B25" s="1">
        <v>0</v>
      </c>
      <c r="C25" s="1">
        <v>3.5</v>
      </c>
      <c r="D25" s="1">
        <v>3.2</v>
      </c>
      <c r="E25" s="1">
        <v>0</v>
      </c>
      <c r="F25" s="1">
        <v>7.7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4.4000000000000004</v>
      </c>
      <c r="D26" s="1">
        <v>3.9</v>
      </c>
      <c r="E26" s="1">
        <v>7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21.000000000000004</v>
      </c>
      <c r="D29" s="3">
        <f t="shared" si="1"/>
        <v>28.999999999999996</v>
      </c>
      <c r="E29" s="3">
        <f t="shared" si="1"/>
        <v>30</v>
      </c>
      <c r="F29" s="3">
        <f t="shared" si="1"/>
        <v>23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35</v>
      </c>
      <c r="D30" s="3">
        <f t="shared" si="2"/>
        <v>32</v>
      </c>
      <c r="E30" s="3">
        <f t="shared" si="2"/>
        <v>0</v>
      </c>
      <c r="F30" s="3">
        <f t="shared" si="2"/>
        <v>77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44.000000000000007</v>
      </c>
      <c r="D31" s="3">
        <f t="shared" si="3"/>
        <v>39</v>
      </c>
      <c r="E31" s="3">
        <f t="shared" si="3"/>
        <v>70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130.12</v>
      </c>
      <c r="C33" s="3">
        <v>25.81</v>
      </c>
      <c r="D33" s="3">
        <v>-8.1300000000000008</v>
      </c>
      <c r="E33" s="3">
        <v>31.61</v>
      </c>
      <c r="F33" s="3">
        <v>-48.92</v>
      </c>
      <c r="G33" s="3">
        <v>86.78</v>
      </c>
    </row>
    <row r="35" spans="1:7" x14ac:dyDescent="0.25">
      <c r="A35" s="3" t="s">
        <v>36</v>
      </c>
      <c r="B35" s="3"/>
      <c r="C35" s="3"/>
      <c r="D35" s="3">
        <f>D33-C33</f>
        <v>-33.94</v>
      </c>
      <c r="E35" s="3"/>
      <c r="F35" s="3">
        <f>F33-E33</f>
        <v>-80.53</v>
      </c>
      <c r="G35" s="3"/>
    </row>
    <row r="37" spans="1:7" x14ac:dyDescent="0.25">
      <c r="A37" s="3" t="s">
        <v>36</v>
      </c>
      <c r="B37" s="3"/>
      <c r="C37" s="3">
        <f>C33-B33</f>
        <v>-104.31</v>
      </c>
      <c r="D37" s="3"/>
      <c r="E37" s="3">
        <f>E33-D33</f>
        <v>39.74</v>
      </c>
      <c r="F37" s="3"/>
      <c r="G37" s="3">
        <f>G33-F33</f>
        <v>135.69999999999999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DE01-DE95-41CC-AD10-CA9E4D4770E1}">
  <dimension ref="A1:G37"/>
  <sheetViews>
    <sheetView topLeftCell="A1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433.77</v>
      </c>
      <c r="C2" s="1">
        <v>478.44</v>
      </c>
      <c r="D2" s="1">
        <v>476.07</v>
      </c>
      <c r="E2" s="1">
        <v>488.96</v>
      </c>
      <c r="F2" s="1">
        <v>501.67</v>
      </c>
      <c r="G2" s="1">
        <v>472.72</v>
      </c>
    </row>
    <row r="3" spans="1:7" x14ac:dyDescent="0.25">
      <c r="A3" s="1" t="s">
        <v>7</v>
      </c>
      <c r="B3" s="1">
        <v>39.520000000000003</v>
      </c>
      <c r="C3" s="1">
        <v>48.15</v>
      </c>
      <c r="D3" s="1">
        <v>48.38</v>
      </c>
      <c r="E3" s="1">
        <v>57.81</v>
      </c>
      <c r="F3" s="1">
        <v>60.1</v>
      </c>
      <c r="G3" s="1">
        <v>53.24</v>
      </c>
    </row>
    <row r="4" spans="1:7" x14ac:dyDescent="0.25">
      <c r="A4" s="1" t="s">
        <v>8</v>
      </c>
      <c r="B4" s="1">
        <v>17468.54</v>
      </c>
      <c r="C4" s="1">
        <v>23425</v>
      </c>
      <c r="D4" s="1">
        <v>23422.43</v>
      </c>
      <c r="E4" s="1">
        <v>28712.76</v>
      </c>
      <c r="F4" s="1">
        <v>30677.040000000001</v>
      </c>
      <c r="G4" s="1">
        <v>25596.14</v>
      </c>
    </row>
    <row r="5" spans="1:7" x14ac:dyDescent="0.25">
      <c r="A5" s="1" t="s">
        <v>9</v>
      </c>
      <c r="B5" s="1">
        <v>1774.88</v>
      </c>
      <c r="C5" s="1">
        <v>1900.79</v>
      </c>
      <c r="D5" s="1">
        <v>1813.17</v>
      </c>
      <c r="E5" s="1">
        <v>1791.29</v>
      </c>
      <c r="F5" s="1">
        <v>1631.61</v>
      </c>
      <c r="G5" s="1">
        <v>1545.24</v>
      </c>
    </row>
    <row r="6" spans="1:7" x14ac:dyDescent="0.25">
      <c r="A6" s="3" t="s">
        <v>10</v>
      </c>
      <c r="B6" s="3">
        <v>177.49</v>
      </c>
      <c r="C6" s="3">
        <v>192</v>
      </c>
      <c r="D6" s="3">
        <v>183.15</v>
      </c>
      <c r="E6" s="3">
        <v>180.94</v>
      </c>
      <c r="F6" s="3">
        <v>164.81</v>
      </c>
      <c r="G6" s="3">
        <v>157.68</v>
      </c>
    </row>
    <row r="7" spans="1:7" x14ac:dyDescent="0.25">
      <c r="A7" s="1" t="s">
        <v>11</v>
      </c>
      <c r="B7" s="1">
        <v>1605.47</v>
      </c>
      <c r="C7" s="1">
        <v>1814.92</v>
      </c>
      <c r="D7" s="1">
        <v>1754.18</v>
      </c>
      <c r="E7" s="1">
        <v>1654.23</v>
      </c>
      <c r="F7" s="1">
        <v>1537.31</v>
      </c>
      <c r="G7" s="1">
        <v>1425.05</v>
      </c>
    </row>
    <row r="8" spans="1:7" x14ac:dyDescent="0.25">
      <c r="A8" s="1" t="s">
        <v>12</v>
      </c>
      <c r="B8" s="1">
        <v>160.55000000000001</v>
      </c>
      <c r="C8" s="1">
        <v>183.33</v>
      </c>
      <c r="D8" s="1">
        <v>177.19</v>
      </c>
      <c r="E8" s="1">
        <v>167.09</v>
      </c>
      <c r="F8" s="1">
        <v>155.28</v>
      </c>
      <c r="G8" s="1">
        <v>145.41</v>
      </c>
    </row>
    <row r="9" spans="1:7" x14ac:dyDescent="0.25">
      <c r="A9" s="1" t="s">
        <v>13</v>
      </c>
      <c r="B9" s="1">
        <v>1605.47</v>
      </c>
      <c r="C9" s="1">
        <v>1804.91</v>
      </c>
      <c r="D9" s="1">
        <v>1754.18</v>
      </c>
      <c r="E9" s="1">
        <v>1654.23</v>
      </c>
      <c r="F9" s="1">
        <v>1537.31</v>
      </c>
      <c r="G9" s="1">
        <v>1425.05</v>
      </c>
    </row>
    <row r="10" spans="1:7" x14ac:dyDescent="0.25">
      <c r="A10" s="1" t="s">
        <v>14</v>
      </c>
      <c r="B10" s="1">
        <v>160.55000000000001</v>
      </c>
      <c r="C10" s="1">
        <v>182.31</v>
      </c>
      <c r="D10" s="1">
        <v>177.19</v>
      </c>
      <c r="E10" s="1">
        <v>167.09</v>
      </c>
      <c r="F10" s="1">
        <v>155.28</v>
      </c>
      <c r="G10" s="1">
        <v>145.41</v>
      </c>
    </row>
    <row r="11" spans="1:7" x14ac:dyDescent="0.25">
      <c r="A11" s="1" t="s">
        <v>15</v>
      </c>
      <c r="B11" s="1">
        <v>1573.3</v>
      </c>
      <c r="C11" s="1">
        <v>1610.81</v>
      </c>
      <c r="D11" s="1">
        <v>1529.74</v>
      </c>
      <c r="E11" s="1">
        <v>1588.05</v>
      </c>
      <c r="F11" s="1">
        <v>1344.42</v>
      </c>
      <c r="G11" s="1">
        <v>1314.99</v>
      </c>
    </row>
    <row r="12" spans="1:7" x14ac:dyDescent="0.25">
      <c r="A12" s="1" t="s">
        <v>16</v>
      </c>
      <c r="B12" s="1">
        <v>228.28</v>
      </c>
      <c r="C12" s="1">
        <v>240.96</v>
      </c>
      <c r="D12" s="1">
        <v>241.98</v>
      </c>
      <c r="E12" s="1">
        <v>237.06</v>
      </c>
      <c r="F12" s="1">
        <v>251.82</v>
      </c>
      <c r="G12" s="1">
        <v>237.41</v>
      </c>
    </row>
    <row r="13" spans="1:7" x14ac:dyDescent="0.25">
      <c r="A13" s="1" t="s">
        <v>17</v>
      </c>
      <c r="B13" s="1">
        <v>23.98</v>
      </c>
      <c r="C13" s="1">
        <v>28.34</v>
      </c>
      <c r="D13" s="1">
        <v>28.93</v>
      </c>
      <c r="E13" s="1">
        <v>23.15</v>
      </c>
      <c r="F13" s="1">
        <v>26.19</v>
      </c>
      <c r="G13" s="1">
        <v>25.54</v>
      </c>
    </row>
    <row r="14" spans="1:7" x14ac:dyDescent="0.25">
      <c r="A14" s="1" t="s">
        <v>18</v>
      </c>
      <c r="B14" s="1">
        <v>49.4</v>
      </c>
      <c r="C14" s="1">
        <v>61.94</v>
      </c>
      <c r="D14" s="1">
        <v>50.91</v>
      </c>
      <c r="E14" s="1">
        <v>57.79</v>
      </c>
      <c r="F14" s="1">
        <v>58.66</v>
      </c>
      <c r="G14" s="1">
        <v>62.4</v>
      </c>
    </row>
    <row r="15" spans="1:7" x14ac:dyDescent="0.25">
      <c r="A15" s="1" t="s">
        <v>19</v>
      </c>
      <c r="B15" s="1">
        <v>7</v>
      </c>
      <c r="C15" s="1">
        <v>2</v>
      </c>
      <c r="D15" s="1">
        <v>5</v>
      </c>
      <c r="E15" s="1">
        <v>5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1605.47</v>
      </c>
      <c r="C17" s="1">
        <v>1809.92</v>
      </c>
      <c r="D17" s="1">
        <v>1754.18</v>
      </c>
      <c r="E17" s="1">
        <v>1654.23</v>
      </c>
      <c r="F17" s="1">
        <v>1537.31</v>
      </c>
      <c r="G17" s="1">
        <v>1425.05</v>
      </c>
    </row>
    <row r="18" spans="1:7" x14ac:dyDescent="0.25">
      <c r="A18" s="1" t="s">
        <v>22</v>
      </c>
      <c r="B18" s="1">
        <v>0</v>
      </c>
      <c r="C18" s="1">
        <v>5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172.44</v>
      </c>
      <c r="C33" s="3">
        <v>191.19</v>
      </c>
      <c r="D33" s="3">
        <v>179.57</v>
      </c>
      <c r="E33" s="3">
        <v>174.6</v>
      </c>
      <c r="F33" s="3">
        <v>163.1</v>
      </c>
      <c r="G33" s="3">
        <v>156.88999999999999</v>
      </c>
    </row>
    <row r="35" spans="1:7" x14ac:dyDescent="0.25">
      <c r="A35" s="3" t="s">
        <v>36</v>
      </c>
      <c r="B35" s="3"/>
      <c r="C35" s="3"/>
      <c r="D35" s="3">
        <f>D33-C33</f>
        <v>-11.620000000000005</v>
      </c>
      <c r="E35" s="3"/>
      <c r="F35" s="3">
        <f>F33-E33</f>
        <v>-11.5</v>
      </c>
      <c r="G35" s="3"/>
    </row>
    <row r="37" spans="1:7" x14ac:dyDescent="0.25">
      <c r="A37" s="3" t="s">
        <v>36</v>
      </c>
      <c r="B37" s="3"/>
      <c r="C37" s="3">
        <f>C33-B33</f>
        <v>18.75</v>
      </c>
      <c r="D37" s="3"/>
      <c r="E37" s="3">
        <f>E33-D33</f>
        <v>-4.9699999999999989</v>
      </c>
      <c r="F37" s="3"/>
      <c r="G37" s="3">
        <f>G33-F33</f>
        <v>-6.210000000000008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1A19-D760-4F74-94D3-F3575E65839E}">
  <dimension ref="A1:G37"/>
  <sheetViews>
    <sheetView topLeftCell="A10" workbookViewId="0">
      <selection activeCell="J11" sqref="J11:J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320.55</v>
      </c>
      <c r="C2" s="1">
        <v>398.66</v>
      </c>
      <c r="D2" s="1">
        <v>292.19</v>
      </c>
      <c r="E2" s="1">
        <v>375.45</v>
      </c>
      <c r="F2" s="1">
        <v>354.7</v>
      </c>
      <c r="G2" s="1">
        <v>294.10000000000002</v>
      </c>
    </row>
    <row r="3" spans="1:7" x14ac:dyDescent="0.25">
      <c r="A3" s="1" t="s">
        <v>7</v>
      </c>
      <c r="B3" s="1">
        <v>37.89</v>
      </c>
      <c r="C3" s="1">
        <v>43.28</v>
      </c>
      <c r="D3" s="1">
        <v>46.92</v>
      </c>
      <c r="E3" s="1">
        <v>41.48</v>
      </c>
      <c r="F3" s="1">
        <v>40.96</v>
      </c>
      <c r="G3" s="1">
        <v>41.42</v>
      </c>
    </row>
    <row r="4" spans="1:7" x14ac:dyDescent="0.25">
      <c r="A4" s="1" t="s">
        <v>8</v>
      </c>
      <c r="B4" s="1">
        <v>12479.7</v>
      </c>
      <c r="C4" s="1">
        <v>17520.310000000001</v>
      </c>
      <c r="D4" s="1">
        <v>14072.67</v>
      </c>
      <c r="E4" s="1">
        <v>15832.4</v>
      </c>
      <c r="F4" s="1">
        <v>14740.28</v>
      </c>
      <c r="G4" s="1">
        <v>12536</v>
      </c>
    </row>
    <row r="5" spans="1:7" x14ac:dyDescent="0.25">
      <c r="A5" s="1" t="s">
        <v>9</v>
      </c>
      <c r="B5" s="1">
        <v>1066.46</v>
      </c>
      <c r="C5" s="1">
        <v>1174.8800000000001</v>
      </c>
      <c r="D5" s="1">
        <v>808.85</v>
      </c>
      <c r="E5" s="1">
        <v>1116.5999999999999</v>
      </c>
      <c r="F5" s="1">
        <v>1001.12</v>
      </c>
      <c r="G5" s="1">
        <v>668.91</v>
      </c>
    </row>
    <row r="6" spans="1:7" x14ac:dyDescent="0.25">
      <c r="A6" s="3" t="s">
        <v>10</v>
      </c>
      <c r="B6" s="3">
        <v>106.65</v>
      </c>
      <c r="C6" s="3">
        <v>118.67</v>
      </c>
      <c r="D6" s="3">
        <v>81.7</v>
      </c>
      <c r="E6" s="3">
        <v>112.79</v>
      </c>
      <c r="F6" s="3">
        <v>101.12</v>
      </c>
      <c r="G6" s="3">
        <v>68.260000000000005</v>
      </c>
    </row>
    <row r="7" spans="1:7" x14ac:dyDescent="0.25">
      <c r="A7" s="1" t="s">
        <v>11</v>
      </c>
      <c r="B7" s="1">
        <v>943.97</v>
      </c>
      <c r="C7" s="1">
        <v>1035.01</v>
      </c>
      <c r="D7" s="1">
        <v>590.21</v>
      </c>
      <c r="E7" s="1">
        <v>1026.44</v>
      </c>
      <c r="F7" s="1">
        <v>896.9</v>
      </c>
      <c r="G7" s="1">
        <v>513.5</v>
      </c>
    </row>
    <row r="8" spans="1:7" x14ac:dyDescent="0.25">
      <c r="A8" s="1" t="s">
        <v>12</v>
      </c>
      <c r="B8" s="1">
        <v>94.4</v>
      </c>
      <c r="C8" s="1">
        <v>104.55</v>
      </c>
      <c r="D8" s="1">
        <v>59.62</v>
      </c>
      <c r="E8" s="1">
        <v>103.68</v>
      </c>
      <c r="F8" s="1">
        <v>90.6</v>
      </c>
      <c r="G8" s="1">
        <v>52.4</v>
      </c>
    </row>
    <row r="9" spans="1:7" x14ac:dyDescent="0.25">
      <c r="A9" s="1" t="s">
        <v>13</v>
      </c>
      <c r="B9" s="1">
        <v>838.53</v>
      </c>
      <c r="C9" s="1">
        <v>682.17</v>
      </c>
      <c r="D9" s="1">
        <v>-371.13</v>
      </c>
      <c r="E9" s="1">
        <v>1026.44</v>
      </c>
      <c r="F9" s="1">
        <v>859.32</v>
      </c>
      <c r="G9" s="1">
        <v>331.3</v>
      </c>
    </row>
    <row r="10" spans="1:7" x14ac:dyDescent="0.25">
      <c r="A10" s="1" t="s">
        <v>14</v>
      </c>
      <c r="B10" s="1">
        <v>83.85</v>
      </c>
      <c r="C10" s="1">
        <v>68.91</v>
      </c>
      <c r="D10" s="1">
        <v>-37.49</v>
      </c>
      <c r="E10" s="1">
        <v>103.68</v>
      </c>
      <c r="F10" s="1">
        <v>86.8</v>
      </c>
      <c r="G10" s="1">
        <v>33.81</v>
      </c>
    </row>
    <row r="11" spans="1:7" x14ac:dyDescent="0.25">
      <c r="A11" s="1" t="s">
        <v>15</v>
      </c>
      <c r="B11" s="1">
        <v>838.65</v>
      </c>
      <c r="C11" s="1">
        <v>451.6</v>
      </c>
      <c r="D11" s="1">
        <v>155.74</v>
      </c>
      <c r="E11" s="1">
        <v>947.1</v>
      </c>
      <c r="F11" s="1">
        <v>843.62</v>
      </c>
      <c r="G11" s="1">
        <v>329.22</v>
      </c>
    </row>
    <row r="12" spans="1:7" x14ac:dyDescent="0.25">
      <c r="A12" s="1" t="s">
        <v>16</v>
      </c>
      <c r="B12" s="1">
        <v>159.38999999999999</v>
      </c>
      <c r="C12" s="1">
        <v>192.53</v>
      </c>
      <c r="D12" s="1">
        <v>120.77</v>
      </c>
      <c r="E12" s="1">
        <v>190</v>
      </c>
      <c r="F12" s="1">
        <v>174.59</v>
      </c>
      <c r="G12" s="1">
        <v>110.72</v>
      </c>
    </row>
    <row r="13" spans="1:7" x14ac:dyDescent="0.25">
      <c r="A13" s="1" t="s">
        <v>17</v>
      </c>
      <c r="B13" s="1">
        <v>12.6</v>
      </c>
      <c r="C13" s="1">
        <v>32.520000000000003</v>
      </c>
      <c r="D13" s="1">
        <v>33.54</v>
      </c>
      <c r="E13" s="1">
        <v>20.85</v>
      </c>
      <c r="F13" s="1">
        <v>17.420000000000002</v>
      </c>
      <c r="G13" s="1">
        <v>29.14</v>
      </c>
    </row>
    <row r="14" spans="1:7" x14ac:dyDescent="0.25">
      <c r="A14" s="1" t="s">
        <v>18</v>
      </c>
      <c r="B14" s="1">
        <v>33.61</v>
      </c>
      <c r="C14" s="1">
        <v>81.709999999999994</v>
      </c>
      <c r="D14" s="1">
        <v>67.97</v>
      </c>
      <c r="E14" s="1">
        <v>53.65</v>
      </c>
      <c r="F14" s="1">
        <v>42.58</v>
      </c>
      <c r="G14" s="1">
        <v>62.2</v>
      </c>
    </row>
    <row r="15" spans="1:7" x14ac:dyDescent="0.25">
      <c r="A15" s="1" t="s">
        <v>19</v>
      </c>
      <c r="B15" s="1">
        <v>5</v>
      </c>
      <c r="C15" s="1">
        <v>7</v>
      </c>
      <c r="D15" s="1">
        <v>7</v>
      </c>
      <c r="E15" s="1">
        <v>9</v>
      </c>
      <c r="F15" s="1">
        <v>5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891.25</v>
      </c>
      <c r="C17" s="1">
        <v>858.59</v>
      </c>
      <c r="D17" s="1">
        <v>109.54</v>
      </c>
      <c r="E17" s="1">
        <v>1026.44</v>
      </c>
      <c r="F17" s="1">
        <v>878.11</v>
      </c>
      <c r="G17" s="1">
        <v>422.4</v>
      </c>
    </row>
    <row r="18" spans="1:7" x14ac:dyDescent="0.25">
      <c r="A18" s="1" t="s">
        <v>22</v>
      </c>
      <c r="B18" s="1">
        <v>52.72</v>
      </c>
      <c r="C18" s="1">
        <v>176.42</v>
      </c>
      <c r="D18" s="1">
        <v>480.67</v>
      </c>
      <c r="E18" s="1">
        <v>0</v>
      </c>
      <c r="F18" s="1">
        <v>18.79</v>
      </c>
      <c r="G18" s="1">
        <v>91.1</v>
      </c>
    </row>
    <row r="19" spans="1:7" x14ac:dyDescent="0.25">
      <c r="A19" s="1" t="s">
        <v>23</v>
      </c>
      <c r="B19" s="1">
        <v>1</v>
      </c>
      <c r="C19" s="1">
        <v>1</v>
      </c>
      <c r="D19" s="1">
        <v>3</v>
      </c>
      <c r="E19" s="1">
        <v>0</v>
      </c>
      <c r="F19" s="1">
        <v>1</v>
      </c>
      <c r="G19" s="1">
        <v>2</v>
      </c>
    </row>
    <row r="20" spans="1:7" x14ac:dyDescent="0.25">
      <c r="A20" s="1" t="s">
        <v>24</v>
      </c>
      <c r="B20" s="1">
        <v>0.7</v>
      </c>
      <c r="C20" s="1">
        <v>3</v>
      </c>
      <c r="D20" s="1">
        <v>7.9</v>
      </c>
      <c r="E20" s="1">
        <v>0</v>
      </c>
      <c r="F20" s="1">
        <v>0.5</v>
      </c>
      <c r="G20" s="1">
        <v>2.5</v>
      </c>
    </row>
    <row r="21" spans="1:7" x14ac:dyDescent="0.25">
      <c r="A21" s="1" t="s">
        <v>25</v>
      </c>
      <c r="B21" s="1">
        <v>9.4</v>
      </c>
      <c r="C21" s="1">
        <v>7</v>
      </c>
      <c r="D21" s="1">
        <v>2.1</v>
      </c>
      <c r="E21" s="1">
        <v>10</v>
      </c>
      <c r="F21" s="1">
        <v>9.5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2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4.3</v>
      </c>
      <c r="E23" s="1">
        <v>0</v>
      </c>
      <c r="F23" s="1">
        <v>0</v>
      </c>
      <c r="G23" s="1">
        <v>1.1000000000000001</v>
      </c>
    </row>
    <row r="24" spans="1:7" x14ac:dyDescent="0.25">
      <c r="A24" s="1" t="s">
        <v>28</v>
      </c>
      <c r="B24" s="1">
        <v>0</v>
      </c>
      <c r="C24" s="1">
        <v>2.9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</v>
      </c>
      <c r="C25" s="1">
        <v>0</v>
      </c>
      <c r="D25" s="1">
        <v>10</v>
      </c>
      <c r="E25" s="1">
        <v>0</v>
      </c>
      <c r="F25" s="1">
        <v>0</v>
      </c>
      <c r="G25" s="1">
        <v>7.2</v>
      </c>
    </row>
    <row r="26" spans="1:7" x14ac:dyDescent="0.25">
      <c r="A26" s="1" t="s">
        <v>30</v>
      </c>
      <c r="B26" s="1">
        <v>9.1</v>
      </c>
      <c r="C26" s="1">
        <v>7.1</v>
      </c>
      <c r="D26" s="1">
        <v>0</v>
      </c>
      <c r="E26" s="1">
        <v>10</v>
      </c>
      <c r="F26" s="1">
        <v>10</v>
      </c>
      <c r="G26" s="1">
        <v>2.7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28.999999999999996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9.9009900990099009</v>
      </c>
      <c r="C30" s="3">
        <f t="shared" ref="C30:G30" si="2">C25/C28*100</f>
        <v>0</v>
      </c>
      <c r="D30" s="3">
        <f t="shared" si="2"/>
        <v>100</v>
      </c>
      <c r="E30" s="3">
        <f t="shared" si="2"/>
        <v>0</v>
      </c>
      <c r="F30" s="3">
        <f t="shared" si="2"/>
        <v>0</v>
      </c>
      <c r="G30" s="3">
        <f t="shared" si="2"/>
        <v>72.727272727272734</v>
      </c>
    </row>
    <row r="31" spans="1:7" x14ac:dyDescent="0.25">
      <c r="A31" s="3" t="s">
        <v>34</v>
      </c>
      <c r="B31" s="3">
        <f>B26/B28*100</f>
        <v>90.099009900990097</v>
      </c>
      <c r="C31" s="3">
        <f t="shared" ref="C31:G31" si="3">C26/C28*100</f>
        <v>71</v>
      </c>
      <c r="D31" s="3">
        <f t="shared" si="3"/>
        <v>0</v>
      </c>
      <c r="E31" s="3">
        <f t="shared" si="3"/>
        <v>100</v>
      </c>
      <c r="F31" s="3">
        <f t="shared" si="3"/>
        <v>100</v>
      </c>
      <c r="G31" s="3">
        <f t="shared" si="3"/>
        <v>27.272727272727277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92.78</v>
      </c>
      <c r="C33" s="3">
        <v>43.28</v>
      </c>
      <c r="D33" s="3">
        <v>-26.33</v>
      </c>
      <c r="E33" s="3">
        <v>112.72</v>
      </c>
      <c r="F33" s="3">
        <v>93.65</v>
      </c>
      <c r="G33" s="3">
        <v>40.39</v>
      </c>
    </row>
    <row r="35" spans="1:7" x14ac:dyDescent="0.25">
      <c r="A35" s="3" t="s">
        <v>36</v>
      </c>
      <c r="B35" s="3"/>
      <c r="C35" s="3"/>
      <c r="D35" s="3">
        <f>D33-C33</f>
        <v>-69.61</v>
      </c>
      <c r="E35" s="3"/>
      <c r="F35" s="3">
        <f>F33-E33</f>
        <v>-19.069999999999993</v>
      </c>
      <c r="G35" s="3"/>
    </row>
    <row r="37" spans="1:7" x14ac:dyDescent="0.25">
      <c r="A37" s="3" t="s">
        <v>36</v>
      </c>
      <c r="B37" s="3"/>
      <c r="C37" s="3">
        <f>C33-B33</f>
        <v>-49.5</v>
      </c>
      <c r="D37" s="3"/>
      <c r="E37" s="3">
        <f>E33-D33</f>
        <v>139.05000000000001</v>
      </c>
      <c r="F37" s="3"/>
      <c r="G37" s="3">
        <f>G33-F33</f>
        <v>-53.260000000000005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718F-752F-416F-BBA9-F470FA074642}">
  <dimension ref="A1:G37"/>
  <sheetViews>
    <sheetView topLeftCell="A7" workbookViewId="0">
      <selection activeCell="I27" sqref="I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456.26</v>
      </c>
      <c r="C2" s="1">
        <v>529.44000000000005</v>
      </c>
      <c r="D2" s="1">
        <v>495.45</v>
      </c>
      <c r="E2" s="1">
        <v>494.47</v>
      </c>
      <c r="F2" s="1">
        <v>476.76</v>
      </c>
      <c r="G2" s="1">
        <v>469.49</v>
      </c>
    </row>
    <row r="3" spans="1:7" x14ac:dyDescent="0.25">
      <c r="A3" s="1" t="s">
        <v>7</v>
      </c>
      <c r="B3" s="1">
        <v>43.12</v>
      </c>
      <c r="C3" s="1">
        <v>49.32</v>
      </c>
      <c r="D3" s="1">
        <v>45.79</v>
      </c>
      <c r="E3" s="1">
        <v>44.99</v>
      </c>
      <c r="F3" s="1">
        <v>44.95</v>
      </c>
      <c r="G3" s="1">
        <v>41.87</v>
      </c>
    </row>
    <row r="4" spans="1:7" x14ac:dyDescent="0.25">
      <c r="A4" s="1" t="s">
        <v>8</v>
      </c>
      <c r="B4" s="1">
        <v>20119.95</v>
      </c>
      <c r="C4" s="1">
        <v>26554.79</v>
      </c>
      <c r="D4" s="1">
        <v>23087.24</v>
      </c>
      <c r="E4" s="1">
        <v>22652.31</v>
      </c>
      <c r="F4" s="1">
        <v>21857.43</v>
      </c>
      <c r="G4" s="1">
        <v>20048.13</v>
      </c>
    </row>
    <row r="5" spans="1:7" x14ac:dyDescent="0.25">
      <c r="A5" s="1" t="s">
        <v>9</v>
      </c>
      <c r="B5" s="1">
        <v>2206.16</v>
      </c>
      <c r="C5" s="1">
        <v>1982.73</v>
      </c>
      <c r="D5" s="1">
        <v>1732.4</v>
      </c>
      <c r="E5" s="1">
        <v>2050.02</v>
      </c>
      <c r="F5" s="1">
        <v>2244.0700000000002</v>
      </c>
      <c r="G5" s="1">
        <v>1878.5</v>
      </c>
    </row>
    <row r="6" spans="1:7" x14ac:dyDescent="0.25">
      <c r="A6" s="3" t="s">
        <v>10</v>
      </c>
      <c r="B6" s="3">
        <v>220.62</v>
      </c>
      <c r="C6" s="3">
        <v>200.28</v>
      </c>
      <c r="D6" s="3">
        <v>174.99</v>
      </c>
      <c r="E6" s="3">
        <v>207.07</v>
      </c>
      <c r="F6" s="3">
        <v>226.67</v>
      </c>
      <c r="G6" s="3">
        <v>191.68</v>
      </c>
    </row>
    <row r="7" spans="1:7" x14ac:dyDescent="0.25">
      <c r="A7" s="1" t="s">
        <v>11</v>
      </c>
      <c r="B7" s="1">
        <v>1982.91</v>
      </c>
      <c r="C7" s="1">
        <v>1897.87</v>
      </c>
      <c r="D7" s="1">
        <v>1624.96</v>
      </c>
      <c r="E7" s="1">
        <v>1910.67</v>
      </c>
      <c r="F7" s="1">
        <v>2073.35</v>
      </c>
      <c r="G7" s="1">
        <v>1710.36</v>
      </c>
    </row>
    <row r="8" spans="1:7" x14ac:dyDescent="0.25">
      <c r="A8" s="1" t="s">
        <v>12</v>
      </c>
      <c r="B8" s="1">
        <v>198.29</v>
      </c>
      <c r="C8" s="1">
        <v>191.7</v>
      </c>
      <c r="D8" s="1">
        <v>164.14</v>
      </c>
      <c r="E8" s="1">
        <v>193</v>
      </c>
      <c r="F8" s="1">
        <v>209.43</v>
      </c>
      <c r="G8" s="1">
        <v>174.53</v>
      </c>
    </row>
    <row r="9" spans="1:7" x14ac:dyDescent="0.25">
      <c r="A9" s="1" t="s">
        <v>13</v>
      </c>
      <c r="B9" s="1">
        <v>1982.91</v>
      </c>
      <c r="C9" s="1">
        <v>1897.87</v>
      </c>
      <c r="D9" s="1">
        <v>1624.96</v>
      </c>
      <c r="E9" s="1">
        <v>1907.41</v>
      </c>
      <c r="F9" s="1">
        <v>2050.7800000000002</v>
      </c>
      <c r="G9" s="1">
        <v>1710.36</v>
      </c>
    </row>
    <row r="10" spans="1:7" x14ac:dyDescent="0.25">
      <c r="A10" s="1" t="s">
        <v>14</v>
      </c>
      <c r="B10" s="1">
        <v>198.29</v>
      </c>
      <c r="C10" s="1">
        <v>191.7</v>
      </c>
      <c r="D10" s="1">
        <v>164.14</v>
      </c>
      <c r="E10" s="1">
        <v>192.67</v>
      </c>
      <c r="F10" s="1">
        <v>207.15</v>
      </c>
      <c r="G10" s="1">
        <v>174.53</v>
      </c>
    </row>
    <row r="11" spans="1:7" x14ac:dyDescent="0.25">
      <c r="A11" s="1" t="s">
        <v>15</v>
      </c>
      <c r="B11" s="1">
        <v>1867.03</v>
      </c>
      <c r="C11" s="1">
        <v>1719.38</v>
      </c>
      <c r="D11" s="1">
        <v>1385.03</v>
      </c>
      <c r="E11" s="1">
        <v>1651.51</v>
      </c>
      <c r="F11" s="1">
        <v>1451.68</v>
      </c>
      <c r="G11" s="1">
        <v>1542.73</v>
      </c>
    </row>
    <row r="12" spans="1:7" x14ac:dyDescent="0.25">
      <c r="A12" s="1" t="s">
        <v>16</v>
      </c>
      <c r="B12" s="1">
        <v>254.37</v>
      </c>
      <c r="C12" s="1">
        <v>267.3</v>
      </c>
      <c r="D12" s="1">
        <v>250.12</v>
      </c>
      <c r="E12" s="1">
        <v>245</v>
      </c>
      <c r="F12" s="1">
        <v>257.93</v>
      </c>
      <c r="G12" s="1">
        <v>259.39</v>
      </c>
    </row>
    <row r="13" spans="1:7" x14ac:dyDescent="0.25">
      <c r="A13" s="1" t="s">
        <v>17</v>
      </c>
      <c r="B13" s="1">
        <v>32.19</v>
      </c>
      <c r="C13" s="1">
        <v>30.31</v>
      </c>
      <c r="D13" s="1">
        <v>29.3</v>
      </c>
      <c r="E13" s="1">
        <v>38.979999999999997</v>
      </c>
      <c r="F13" s="1">
        <v>36.979999999999997</v>
      </c>
      <c r="G13" s="1">
        <v>29.7</v>
      </c>
    </row>
    <row r="14" spans="1:7" x14ac:dyDescent="0.25">
      <c r="A14" s="1" t="s">
        <v>18</v>
      </c>
      <c r="B14" s="1">
        <v>55.87</v>
      </c>
      <c r="C14" s="1">
        <v>69.040000000000006</v>
      </c>
      <c r="D14" s="1">
        <v>72.3</v>
      </c>
      <c r="E14" s="1">
        <v>67.11</v>
      </c>
      <c r="F14" s="1">
        <v>72.290000000000006</v>
      </c>
      <c r="G14" s="1">
        <v>56.59</v>
      </c>
    </row>
    <row r="15" spans="1:7" x14ac:dyDescent="0.25">
      <c r="A15" s="1" t="s">
        <v>19</v>
      </c>
      <c r="B15" s="1">
        <v>10</v>
      </c>
      <c r="C15" s="1">
        <v>5</v>
      </c>
      <c r="D15" s="1">
        <v>4</v>
      </c>
      <c r="E15" s="1">
        <v>10</v>
      </c>
      <c r="F15" s="1">
        <v>9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1982.91</v>
      </c>
      <c r="C17" s="1">
        <v>1897.87</v>
      </c>
      <c r="D17" s="1">
        <v>1624.96</v>
      </c>
      <c r="E17" s="1">
        <v>1909.04</v>
      </c>
      <c r="F17" s="1">
        <v>2062.0700000000002</v>
      </c>
      <c r="G17" s="1">
        <v>1710.36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1.63</v>
      </c>
      <c r="F18" s="1">
        <v>11.29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215.04</v>
      </c>
      <c r="C33" s="3">
        <v>194.45</v>
      </c>
      <c r="D33" s="3">
        <v>174.88</v>
      </c>
      <c r="E33" s="3">
        <v>202.67</v>
      </c>
      <c r="F33" s="3">
        <v>222.5</v>
      </c>
      <c r="G33" s="3">
        <v>191.01</v>
      </c>
    </row>
    <row r="35" spans="1:7" x14ac:dyDescent="0.25">
      <c r="A35" s="3" t="s">
        <v>36</v>
      </c>
      <c r="B35" s="3"/>
      <c r="C35" s="3"/>
      <c r="D35" s="3">
        <f>D33-C33</f>
        <v>-19.569999999999993</v>
      </c>
      <c r="E35" s="3"/>
      <c r="F35" s="3">
        <f>F33-E33</f>
        <v>19.830000000000013</v>
      </c>
      <c r="G35" s="3"/>
    </row>
    <row r="37" spans="1:7" x14ac:dyDescent="0.25">
      <c r="A37" s="3" t="s">
        <v>36</v>
      </c>
      <c r="B37" s="3"/>
      <c r="C37" s="3">
        <f>C33-B33</f>
        <v>-20.590000000000003</v>
      </c>
      <c r="D37" s="3"/>
      <c r="E37" s="3">
        <f>E33-D33</f>
        <v>27.789999999999992</v>
      </c>
      <c r="F37" s="3"/>
      <c r="G37" s="3">
        <f>G33-F33</f>
        <v>-31.490000000000009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68B3-351A-49DE-9E26-B987717B88EE}">
  <dimension ref="A1:J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10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0" x14ac:dyDescent="0.25">
      <c r="A2" s="1" t="s">
        <v>6</v>
      </c>
      <c r="B2" s="1">
        <v>403.45</v>
      </c>
      <c r="C2" s="1">
        <v>449.17</v>
      </c>
      <c r="D2" s="1">
        <v>445.64</v>
      </c>
      <c r="E2" s="1">
        <v>456.18</v>
      </c>
      <c r="F2" s="1">
        <v>439.52</v>
      </c>
      <c r="G2" s="1">
        <v>433.64</v>
      </c>
    </row>
    <row r="3" spans="1:10" x14ac:dyDescent="0.25">
      <c r="A3" s="1" t="s">
        <v>7</v>
      </c>
      <c r="B3" s="1">
        <v>40.590000000000003</v>
      </c>
      <c r="C3" s="1">
        <v>43.29</v>
      </c>
      <c r="D3" s="1">
        <v>42.77</v>
      </c>
      <c r="E3" s="1">
        <v>47.19</v>
      </c>
      <c r="F3" s="1">
        <v>47.9</v>
      </c>
      <c r="G3" s="1">
        <v>45.45</v>
      </c>
    </row>
    <row r="4" spans="1:10" x14ac:dyDescent="0.25">
      <c r="A4" s="1" t="s">
        <v>8</v>
      </c>
      <c r="B4" s="1">
        <v>16630.05</v>
      </c>
      <c r="C4" s="1">
        <v>19792.53</v>
      </c>
      <c r="D4" s="1">
        <v>19363.21</v>
      </c>
      <c r="E4" s="1">
        <v>21895.599999999999</v>
      </c>
      <c r="F4" s="1">
        <v>21404.18</v>
      </c>
      <c r="G4" s="1">
        <v>20029.8</v>
      </c>
    </row>
    <row r="5" spans="1:10" x14ac:dyDescent="0.25">
      <c r="A5" s="1" t="s">
        <v>9</v>
      </c>
      <c r="B5" s="1">
        <v>548.78</v>
      </c>
      <c r="C5" s="1">
        <v>877.16</v>
      </c>
      <c r="D5" s="1">
        <v>913.6</v>
      </c>
      <c r="E5" s="1">
        <v>1096.48</v>
      </c>
      <c r="F5" s="1">
        <v>836.68</v>
      </c>
      <c r="G5" s="1">
        <v>869.1</v>
      </c>
    </row>
    <row r="6" spans="1:10" x14ac:dyDescent="0.25">
      <c r="A6" s="3" t="s">
        <v>10</v>
      </c>
      <c r="B6" s="3">
        <v>54.88</v>
      </c>
      <c r="C6" s="3">
        <v>88.6</v>
      </c>
      <c r="D6" s="3">
        <v>92.28</v>
      </c>
      <c r="E6" s="3">
        <v>110.76</v>
      </c>
      <c r="F6" s="3">
        <v>84.51</v>
      </c>
      <c r="G6" s="3">
        <v>88.68</v>
      </c>
    </row>
    <row r="7" spans="1:10" x14ac:dyDescent="0.25">
      <c r="A7" s="1" t="s">
        <v>11</v>
      </c>
      <c r="B7" s="1">
        <v>445.85</v>
      </c>
      <c r="C7" s="1">
        <v>780.52</v>
      </c>
      <c r="D7" s="1">
        <v>766.28</v>
      </c>
      <c r="E7" s="1">
        <v>972.84</v>
      </c>
      <c r="F7" s="1">
        <v>691.24</v>
      </c>
      <c r="G7" s="1">
        <v>777.69</v>
      </c>
    </row>
    <row r="8" spans="1:10" x14ac:dyDescent="0.25">
      <c r="A8" s="1" t="s">
        <v>12</v>
      </c>
      <c r="B8" s="1">
        <v>44.58</v>
      </c>
      <c r="C8" s="1">
        <v>78.84</v>
      </c>
      <c r="D8" s="1">
        <v>77.400000000000006</v>
      </c>
      <c r="E8" s="1">
        <v>98.27</v>
      </c>
      <c r="F8" s="1">
        <v>69.819999999999993</v>
      </c>
      <c r="G8" s="1">
        <v>79.36</v>
      </c>
      <c r="J8">
        <v>-6.28</v>
      </c>
    </row>
    <row r="9" spans="1:10" x14ac:dyDescent="0.25">
      <c r="A9" s="1" t="s">
        <v>13</v>
      </c>
      <c r="B9" s="1">
        <v>-153.12</v>
      </c>
      <c r="C9" s="1">
        <v>692.47</v>
      </c>
      <c r="D9" s="1">
        <v>645.63</v>
      </c>
      <c r="E9" s="1">
        <v>958.61</v>
      </c>
      <c r="F9" s="1">
        <v>-289.25</v>
      </c>
      <c r="G9" s="1">
        <v>613.54999999999995</v>
      </c>
      <c r="J9">
        <v>77.34</v>
      </c>
    </row>
    <row r="10" spans="1:10" x14ac:dyDescent="0.25">
      <c r="A10" s="1" t="s">
        <v>14</v>
      </c>
      <c r="B10" s="1">
        <v>-15.31</v>
      </c>
      <c r="C10" s="1">
        <v>69.95</v>
      </c>
      <c r="D10" s="1">
        <v>65.22</v>
      </c>
      <c r="E10" s="1">
        <v>96.83</v>
      </c>
      <c r="F10" s="1">
        <v>-29.22</v>
      </c>
      <c r="G10" s="1">
        <v>62.61</v>
      </c>
      <c r="J10">
        <v>71.400000000000006</v>
      </c>
    </row>
    <row r="11" spans="1:10" x14ac:dyDescent="0.25">
      <c r="A11" s="1" t="s">
        <v>15</v>
      </c>
      <c r="B11" s="1">
        <v>77.42</v>
      </c>
      <c r="C11" s="1">
        <v>562.49</v>
      </c>
      <c r="D11" s="1">
        <v>504.48</v>
      </c>
      <c r="E11" s="1">
        <v>744.88</v>
      </c>
      <c r="F11" s="1">
        <v>116.04</v>
      </c>
      <c r="G11" s="1">
        <v>542.5</v>
      </c>
      <c r="J11">
        <v>108.32</v>
      </c>
    </row>
    <row r="12" spans="1:10" x14ac:dyDescent="0.25">
      <c r="A12" s="1" t="s">
        <v>16</v>
      </c>
      <c r="B12" s="1">
        <v>154.57</v>
      </c>
      <c r="C12" s="1">
        <v>211.69</v>
      </c>
      <c r="D12" s="1">
        <v>193.19</v>
      </c>
      <c r="E12" s="1">
        <v>198.66</v>
      </c>
      <c r="F12" s="1">
        <v>153</v>
      </c>
      <c r="G12" s="1">
        <v>190.14</v>
      </c>
      <c r="J12">
        <v>6.14</v>
      </c>
    </row>
    <row r="13" spans="1:10" x14ac:dyDescent="0.25">
      <c r="A13" s="1" t="s">
        <v>17</v>
      </c>
      <c r="B13" s="1">
        <v>27.03</v>
      </c>
      <c r="C13" s="1">
        <v>26.06</v>
      </c>
      <c r="D13" s="1">
        <v>36.630000000000003</v>
      </c>
      <c r="E13" s="1">
        <v>35.9</v>
      </c>
      <c r="F13" s="1">
        <v>37.28</v>
      </c>
      <c r="G13" s="1">
        <v>42.31</v>
      </c>
      <c r="J13">
        <v>62.71</v>
      </c>
    </row>
    <row r="14" spans="1:10" x14ac:dyDescent="0.25">
      <c r="A14" s="1" t="s">
        <v>18</v>
      </c>
      <c r="B14" s="1">
        <v>67.17</v>
      </c>
      <c r="C14" s="1">
        <v>86.58</v>
      </c>
      <c r="D14" s="1">
        <v>78.569999999999993</v>
      </c>
      <c r="E14" s="1">
        <v>68.2</v>
      </c>
      <c r="F14" s="1">
        <v>76.040000000000006</v>
      </c>
      <c r="G14" s="1">
        <v>84.31</v>
      </c>
    </row>
    <row r="15" spans="1:10" x14ac:dyDescent="0.25">
      <c r="A15" s="1" t="s">
        <v>19</v>
      </c>
      <c r="B15" s="1">
        <v>5</v>
      </c>
      <c r="C15" s="1">
        <v>3</v>
      </c>
      <c r="D15" s="1">
        <v>7</v>
      </c>
      <c r="E15" s="1">
        <v>8</v>
      </c>
      <c r="F15" s="1">
        <v>6</v>
      </c>
      <c r="G15" s="1">
        <v>5</v>
      </c>
    </row>
    <row r="16" spans="1:10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146.37</v>
      </c>
      <c r="C17" s="1">
        <v>736.5</v>
      </c>
      <c r="D17" s="1">
        <v>705.96</v>
      </c>
      <c r="E17" s="1">
        <v>965.73</v>
      </c>
      <c r="F17" s="1">
        <v>200.99</v>
      </c>
      <c r="G17" s="1">
        <v>695.62</v>
      </c>
    </row>
    <row r="18" spans="1:7" x14ac:dyDescent="0.25">
      <c r="A18" s="1" t="s">
        <v>22</v>
      </c>
      <c r="B18" s="1">
        <v>299.48</v>
      </c>
      <c r="C18" s="1">
        <v>44.03</v>
      </c>
      <c r="D18" s="1">
        <v>60.33</v>
      </c>
      <c r="E18" s="1">
        <v>7.12</v>
      </c>
      <c r="F18" s="1">
        <v>490.25</v>
      </c>
      <c r="G18" s="1">
        <v>82.07</v>
      </c>
    </row>
    <row r="19" spans="1:7" x14ac:dyDescent="0.25">
      <c r="A19" s="1" t="s">
        <v>23</v>
      </c>
      <c r="B19" s="1">
        <v>4</v>
      </c>
      <c r="C19" s="1">
        <v>1</v>
      </c>
      <c r="D19" s="1">
        <v>1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5.0999999999999996</v>
      </c>
      <c r="C20" s="1">
        <v>0.7</v>
      </c>
      <c r="D20" s="1">
        <v>0.8</v>
      </c>
      <c r="E20" s="1">
        <v>0</v>
      </c>
      <c r="F20" s="1">
        <v>3.2</v>
      </c>
      <c r="G20" s="1">
        <v>0.9</v>
      </c>
    </row>
    <row r="21" spans="1:7" x14ac:dyDescent="0.25">
      <c r="A21" s="1" t="s">
        <v>25</v>
      </c>
      <c r="B21" s="1">
        <v>5</v>
      </c>
      <c r="C21" s="1">
        <v>9.3000000000000007</v>
      </c>
      <c r="D21" s="1">
        <v>9.1999999999999993</v>
      </c>
      <c r="E21" s="1">
        <v>10</v>
      </c>
      <c r="F21" s="1">
        <v>6.8</v>
      </c>
      <c r="G21" s="1">
        <v>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1.9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1.3</v>
      </c>
      <c r="C24" s="1">
        <v>0</v>
      </c>
      <c r="D24" s="1">
        <v>0</v>
      </c>
      <c r="E24" s="1">
        <v>0</v>
      </c>
      <c r="F24" s="1">
        <v>2.4</v>
      </c>
      <c r="G24" s="1">
        <v>0</v>
      </c>
    </row>
    <row r="25" spans="1:7" x14ac:dyDescent="0.25">
      <c r="A25" s="1" t="s">
        <v>29</v>
      </c>
      <c r="B25" s="1">
        <v>8.8000000000000007</v>
      </c>
      <c r="C25" s="1">
        <v>1.1000000000000001</v>
      </c>
      <c r="D25" s="1">
        <v>1</v>
      </c>
      <c r="E25" s="1">
        <v>0</v>
      </c>
      <c r="F25" s="1">
        <v>1.5</v>
      </c>
      <c r="G25" s="1">
        <v>2.1</v>
      </c>
    </row>
    <row r="26" spans="1:7" x14ac:dyDescent="0.25">
      <c r="A26" s="1" t="s">
        <v>30</v>
      </c>
      <c r="B26" s="1">
        <v>0</v>
      </c>
      <c r="C26" s="1">
        <v>8.9</v>
      </c>
      <c r="D26" s="1">
        <v>9</v>
      </c>
      <c r="E26" s="1">
        <v>10</v>
      </c>
      <c r="F26" s="1">
        <v>6.1</v>
      </c>
      <c r="G26" s="1">
        <v>7.8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12.871287128712869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87.128712871287135</v>
      </c>
      <c r="C30" s="3">
        <f t="shared" ref="C30:G30" si="2">C25/C28*100</f>
        <v>11.000000000000002</v>
      </c>
      <c r="D30" s="3">
        <f t="shared" si="2"/>
        <v>10</v>
      </c>
      <c r="E30" s="3">
        <f t="shared" si="2"/>
        <v>0</v>
      </c>
      <c r="F30" s="3">
        <f t="shared" si="2"/>
        <v>15</v>
      </c>
      <c r="G30" s="3">
        <f t="shared" si="2"/>
        <v>21.212121212121211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89</v>
      </c>
      <c r="D31" s="3">
        <f t="shared" si="3"/>
        <v>90</v>
      </c>
      <c r="E31" s="3">
        <f t="shared" si="3"/>
        <v>100</v>
      </c>
      <c r="F31" s="3">
        <f t="shared" si="3"/>
        <v>61</v>
      </c>
      <c r="G31" s="3">
        <f t="shared" si="3"/>
        <v>78.787878787878782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-6.28</v>
      </c>
      <c r="C33" s="3">
        <v>77.34</v>
      </c>
      <c r="D33" s="3">
        <v>71.400000000000006</v>
      </c>
      <c r="E33" s="3">
        <v>108.32</v>
      </c>
      <c r="F33" s="3">
        <v>6.14</v>
      </c>
      <c r="G33" s="3">
        <v>62.71</v>
      </c>
    </row>
    <row r="35" spans="1:7" x14ac:dyDescent="0.25">
      <c r="A35" s="3" t="s">
        <v>36</v>
      </c>
      <c r="B35" s="3"/>
      <c r="C35" s="3"/>
      <c r="D35" s="3">
        <f>D33-C33</f>
        <v>-5.9399999999999977</v>
      </c>
      <c r="E35" s="3"/>
      <c r="F35" s="3">
        <f>F33-E33</f>
        <v>-102.17999999999999</v>
      </c>
      <c r="G35" s="3"/>
    </row>
    <row r="37" spans="1:7" x14ac:dyDescent="0.25">
      <c r="A37" s="3" t="s">
        <v>36</v>
      </c>
      <c r="B37" s="3"/>
      <c r="C37" s="3">
        <f>C33-B33</f>
        <v>83.62</v>
      </c>
      <c r="D37" s="3"/>
      <c r="E37" s="3">
        <f>E33-D33</f>
        <v>36.919999999999987</v>
      </c>
      <c r="F37" s="3"/>
      <c r="G37" s="3">
        <f>G33-F33</f>
        <v>56.57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CB66-DEDD-4858-A9AC-4B6EBEE3D8BF}">
  <dimension ref="A1:G37"/>
  <sheetViews>
    <sheetView tabSelected="1" workbookViewId="0">
      <selection activeCell="A25" sqref="A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231003A001.1</vt:lpstr>
      <vt:lpstr>231003A002.1</vt:lpstr>
      <vt:lpstr>231003A002.2</vt:lpstr>
      <vt:lpstr>231003A002.3</vt:lpstr>
      <vt:lpstr>231003A002.4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2023-10-17T18:29:34Z</dcterms:created>
  <dcterms:modified xsi:type="dcterms:W3CDTF">2023-10-17T22:43:27Z</dcterms:modified>
</cp:coreProperties>
</file>