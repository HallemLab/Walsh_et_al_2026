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Acute Shift Assays\S. ratti\iL3s\wild-type\2023-1031\WormLab Data\"/>
    </mc:Choice>
  </mc:AlternateContent>
  <xr:revisionPtr revIDLastSave="0" documentId="13_ncr:1_{8B836FB4-8397-475C-8818-A0D7AB7F43E6}" xr6:coauthVersionLast="36" xr6:coauthVersionMax="36" xr10:uidLastSave="{00000000-0000-0000-0000-000000000000}"/>
  <bookViews>
    <workbookView xWindow="0" yWindow="0" windowWidth="20175" windowHeight="9510" activeTab="5" xr2:uid="{3301AF66-6F47-4EE8-B598-EDBA889BC0ED}"/>
  </bookViews>
  <sheets>
    <sheet name="231031A003.2" sheetId="2" r:id="rId1"/>
    <sheet name="231031A003.5" sheetId="3" r:id="rId2"/>
    <sheet name="231031A004.1" sheetId="4" r:id="rId3"/>
    <sheet name="231031A004.2" sheetId="5" r:id="rId4"/>
    <sheet name="231031A004.3" sheetId="6" r:id="rId5"/>
    <sheet name="231031A004.5" sheetId="7" r:id="rId6"/>
    <sheet name="template" sheetId="1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" i="7" l="1"/>
  <c r="E37" i="7"/>
  <c r="C37" i="7"/>
  <c r="F35" i="7"/>
  <c r="D35" i="7"/>
  <c r="G28" i="7"/>
  <c r="G31" i="7" s="1"/>
  <c r="F28" i="7"/>
  <c r="F31" i="7" s="1"/>
  <c r="E28" i="7"/>
  <c r="E30" i="7" s="1"/>
  <c r="D28" i="7"/>
  <c r="D29" i="7" s="1"/>
  <c r="C28" i="7"/>
  <c r="C30" i="7" s="1"/>
  <c r="B28" i="7"/>
  <c r="B30" i="7" s="1"/>
  <c r="G37" i="6"/>
  <c r="E37" i="6"/>
  <c r="C37" i="6"/>
  <c r="F35" i="6"/>
  <c r="D35" i="6"/>
  <c r="E31" i="6"/>
  <c r="D31" i="6"/>
  <c r="C31" i="6"/>
  <c r="B31" i="6"/>
  <c r="G30" i="6"/>
  <c r="F30" i="6"/>
  <c r="E30" i="6"/>
  <c r="D30" i="6"/>
  <c r="C30" i="6"/>
  <c r="B30" i="6"/>
  <c r="G29" i="6"/>
  <c r="F29" i="6"/>
  <c r="E29" i="6"/>
  <c r="D29" i="6"/>
  <c r="C29" i="6"/>
  <c r="G28" i="6"/>
  <c r="G31" i="6" s="1"/>
  <c r="F28" i="6"/>
  <c r="F31" i="6" s="1"/>
  <c r="E28" i="6"/>
  <c r="D28" i="6"/>
  <c r="C28" i="6"/>
  <c r="B28" i="6"/>
  <c r="B29" i="6" s="1"/>
  <c r="G37" i="5"/>
  <c r="E37" i="5"/>
  <c r="C37" i="5"/>
  <c r="F35" i="5"/>
  <c r="D35" i="5"/>
  <c r="B31" i="5"/>
  <c r="B30" i="5"/>
  <c r="B29" i="5"/>
  <c r="G28" i="5"/>
  <c r="G31" i="5" s="1"/>
  <c r="F28" i="5"/>
  <c r="F31" i="5" s="1"/>
  <c r="E28" i="5"/>
  <c r="E30" i="5" s="1"/>
  <c r="D28" i="5"/>
  <c r="D31" i="5" s="1"/>
  <c r="C28" i="5"/>
  <c r="C31" i="5" s="1"/>
  <c r="B28" i="5"/>
  <c r="G37" i="4"/>
  <c r="E37" i="4"/>
  <c r="C37" i="4"/>
  <c r="F35" i="4"/>
  <c r="D35" i="4"/>
  <c r="F31" i="4"/>
  <c r="C31" i="4"/>
  <c r="B31" i="4"/>
  <c r="F30" i="4"/>
  <c r="E30" i="4"/>
  <c r="D30" i="4"/>
  <c r="C30" i="4"/>
  <c r="B30" i="4"/>
  <c r="F29" i="4"/>
  <c r="E29" i="4"/>
  <c r="D29" i="4"/>
  <c r="G28" i="4"/>
  <c r="G29" i="4" s="1"/>
  <c r="F28" i="4"/>
  <c r="E28" i="4"/>
  <c r="E31" i="4" s="1"/>
  <c r="D28" i="4"/>
  <c r="D31" i="4" s="1"/>
  <c r="C28" i="4"/>
  <c r="C29" i="4" s="1"/>
  <c r="B28" i="4"/>
  <c r="B29" i="4" s="1"/>
  <c r="G37" i="3"/>
  <c r="E37" i="3"/>
  <c r="C37" i="3"/>
  <c r="F35" i="3"/>
  <c r="D35" i="3"/>
  <c r="C31" i="3"/>
  <c r="B31" i="3"/>
  <c r="C30" i="3"/>
  <c r="B30" i="3"/>
  <c r="F29" i="3"/>
  <c r="E29" i="3"/>
  <c r="G28" i="3"/>
  <c r="G31" i="3" s="1"/>
  <c r="F28" i="3"/>
  <c r="F30" i="3" s="1"/>
  <c r="E28" i="3"/>
  <c r="E30" i="3" s="1"/>
  <c r="D28" i="3"/>
  <c r="D29" i="3" s="1"/>
  <c r="C28" i="3"/>
  <c r="C29" i="3" s="1"/>
  <c r="B28" i="3"/>
  <c r="B29" i="3" s="1"/>
  <c r="G37" i="2"/>
  <c r="E37" i="2"/>
  <c r="C37" i="2"/>
  <c r="F35" i="2"/>
  <c r="D35" i="2"/>
  <c r="G31" i="2"/>
  <c r="F31" i="2"/>
  <c r="E31" i="2"/>
  <c r="D31" i="2"/>
  <c r="C31" i="2"/>
  <c r="G30" i="2"/>
  <c r="F30" i="2"/>
  <c r="E30" i="2"/>
  <c r="D30" i="2"/>
  <c r="C30" i="2"/>
  <c r="G29" i="2"/>
  <c r="F29" i="2"/>
  <c r="E29" i="2"/>
  <c r="G28" i="2"/>
  <c r="F28" i="2"/>
  <c r="E28" i="2"/>
  <c r="D28" i="2"/>
  <c r="D29" i="2" s="1"/>
  <c r="C28" i="2"/>
  <c r="C29" i="2" s="1"/>
  <c r="B28" i="2"/>
  <c r="B29" i="2" s="1"/>
  <c r="G37" i="1"/>
  <c r="E37" i="1"/>
  <c r="C37" i="1"/>
  <c r="F35" i="1"/>
  <c r="D35" i="1"/>
  <c r="G31" i="1"/>
  <c r="F31" i="1"/>
  <c r="E31" i="1"/>
  <c r="D31" i="1"/>
  <c r="C31" i="1"/>
  <c r="B31" i="1"/>
  <c r="G30" i="1"/>
  <c r="F30" i="1"/>
  <c r="E30" i="1"/>
  <c r="D30" i="1"/>
  <c r="C30" i="1"/>
  <c r="B30" i="1"/>
  <c r="G29" i="1"/>
  <c r="F29" i="1"/>
  <c r="E29" i="1"/>
  <c r="G28" i="1"/>
  <c r="F28" i="1"/>
  <c r="E28" i="1"/>
  <c r="D28" i="1"/>
  <c r="D29" i="1" s="1"/>
  <c r="C28" i="1"/>
  <c r="C29" i="1" s="1"/>
  <c r="B28" i="1"/>
  <c r="B29" i="1" s="1"/>
  <c r="C29" i="7" l="1"/>
  <c r="B29" i="7"/>
  <c r="B31" i="7"/>
  <c r="C31" i="7"/>
  <c r="D30" i="7"/>
  <c r="E29" i="7"/>
  <c r="D31" i="7"/>
  <c r="E31" i="7"/>
  <c r="F29" i="7"/>
  <c r="G29" i="7"/>
  <c r="F30" i="7"/>
  <c r="G30" i="7"/>
  <c r="D30" i="5"/>
  <c r="C29" i="5"/>
  <c r="E29" i="5"/>
  <c r="E31" i="5"/>
  <c r="D29" i="5"/>
  <c r="C30" i="5"/>
  <c r="F29" i="5"/>
  <c r="G29" i="5"/>
  <c r="G30" i="5"/>
  <c r="F30" i="5"/>
  <c r="G30" i="4"/>
  <c r="G31" i="4"/>
  <c r="D31" i="3"/>
  <c r="E31" i="3"/>
  <c r="F31" i="3"/>
  <c r="D30" i="3"/>
  <c r="G30" i="3"/>
  <c r="G29" i="3"/>
  <c r="B30" i="2"/>
  <c r="B31" i="2"/>
</calcChain>
</file>

<file path=xl/sharedStrings.xml><?xml version="1.0" encoding="utf-8"?>
<sst xmlns="http://schemas.openxmlformats.org/spreadsheetml/2006/main" count="266" uniqueCount="37">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</sst>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37ED1-FAAF-4D71-803F-483503A6DCE5}">
  <sheetPr codeName="Sheet1"/>
  <dimension ref="A1:G37"/>
  <sheetViews>
    <sheetView topLeftCell="A10" workbookViewId="0">
      <selection activeCell="K28" sqref="K28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283.45999999999998</v>
      </c>
      <c r="C2" s="1">
        <v>383.16</v>
      </c>
      <c r="D2" s="1">
        <v>391.34</v>
      </c>
      <c r="E2" s="1">
        <v>438.54</v>
      </c>
      <c r="F2" s="1">
        <v>420.86</v>
      </c>
      <c r="G2" s="1">
        <v>401.31</v>
      </c>
    </row>
    <row r="3" spans="1:7" x14ac:dyDescent="0.25">
      <c r="A3" s="1" t="s">
        <v>7</v>
      </c>
      <c r="B3" s="1">
        <v>41.68</v>
      </c>
      <c r="C3" s="1">
        <v>39.01</v>
      </c>
      <c r="D3" s="1">
        <v>39.07</v>
      </c>
      <c r="E3" s="1">
        <v>40.5</v>
      </c>
      <c r="F3" s="1">
        <v>43.85</v>
      </c>
      <c r="G3" s="1">
        <v>41.19</v>
      </c>
    </row>
    <row r="4" spans="1:7" x14ac:dyDescent="0.25">
      <c r="A4" s="1" t="s">
        <v>8</v>
      </c>
      <c r="B4" s="1">
        <v>11875.64</v>
      </c>
      <c r="C4" s="1">
        <v>15176.3</v>
      </c>
      <c r="D4" s="1">
        <v>15582.94</v>
      </c>
      <c r="E4" s="1">
        <v>18066.09</v>
      </c>
      <c r="F4" s="1">
        <v>18743.48</v>
      </c>
      <c r="G4" s="1">
        <v>16819.740000000002</v>
      </c>
    </row>
    <row r="5" spans="1:7" x14ac:dyDescent="0.25">
      <c r="A5" s="1" t="s">
        <v>9</v>
      </c>
      <c r="B5" s="1">
        <v>825.81</v>
      </c>
      <c r="C5" s="1">
        <v>886.98</v>
      </c>
      <c r="D5" s="1">
        <v>734.66</v>
      </c>
      <c r="E5" s="1">
        <v>813.04</v>
      </c>
      <c r="F5" s="1">
        <v>700.75</v>
      </c>
      <c r="G5" s="1">
        <v>777.65</v>
      </c>
    </row>
    <row r="6" spans="1:7" x14ac:dyDescent="0.25">
      <c r="A6" s="3" t="s">
        <v>10</v>
      </c>
      <c r="B6" s="3">
        <v>82.58</v>
      </c>
      <c r="C6" s="3">
        <v>89.59</v>
      </c>
      <c r="D6" s="3">
        <v>74.209999999999994</v>
      </c>
      <c r="E6" s="3">
        <v>82.12</v>
      </c>
      <c r="F6" s="3">
        <v>70.78</v>
      </c>
      <c r="G6" s="3">
        <v>79.349999999999994</v>
      </c>
    </row>
    <row r="7" spans="1:7" x14ac:dyDescent="0.25">
      <c r="A7" s="1" t="s">
        <v>11</v>
      </c>
      <c r="B7" s="1">
        <v>717.71</v>
      </c>
      <c r="C7" s="1">
        <v>806.2</v>
      </c>
      <c r="D7" s="1">
        <v>651.63</v>
      </c>
      <c r="E7" s="1">
        <v>785.68</v>
      </c>
      <c r="F7" s="1">
        <v>665.65</v>
      </c>
      <c r="G7" s="1">
        <v>698.11</v>
      </c>
    </row>
    <row r="8" spans="1:7" x14ac:dyDescent="0.25">
      <c r="A8" s="1" t="s">
        <v>12</v>
      </c>
      <c r="B8" s="1">
        <v>71.77</v>
      </c>
      <c r="C8" s="1">
        <v>81.430000000000007</v>
      </c>
      <c r="D8" s="1">
        <v>65.819999999999993</v>
      </c>
      <c r="E8" s="1">
        <v>79.36</v>
      </c>
      <c r="F8" s="1">
        <v>67.239999999999995</v>
      </c>
      <c r="G8" s="1">
        <v>71.239999999999995</v>
      </c>
    </row>
    <row r="9" spans="1:7" x14ac:dyDescent="0.25">
      <c r="A9" s="1" t="s">
        <v>13</v>
      </c>
      <c r="B9" s="1">
        <v>601.41999999999996</v>
      </c>
      <c r="C9" s="1">
        <v>742.74</v>
      </c>
      <c r="D9" s="1">
        <v>596.29999999999995</v>
      </c>
      <c r="E9" s="1">
        <v>781.66</v>
      </c>
      <c r="F9" s="1">
        <v>618.34</v>
      </c>
      <c r="G9" s="1">
        <v>637.91999999999996</v>
      </c>
    </row>
    <row r="10" spans="1:7" x14ac:dyDescent="0.25">
      <c r="A10" s="1" t="s">
        <v>14</v>
      </c>
      <c r="B10" s="1">
        <v>60.14</v>
      </c>
      <c r="C10" s="1">
        <v>75.02</v>
      </c>
      <c r="D10" s="1">
        <v>60.23</v>
      </c>
      <c r="E10" s="1">
        <v>78.959999999999994</v>
      </c>
      <c r="F10" s="1">
        <v>62.46</v>
      </c>
      <c r="G10" s="1">
        <v>65.09</v>
      </c>
    </row>
    <row r="11" spans="1:7" x14ac:dyDescent="0.25">
      <c r="A11" s="1" t="s">
        <v>15</v>
      </c>
      <c r="B11" s="1">
        <v>435.95</v>
      </c>
      <c r="C11" s="1">
        <v>554.65</v>
      </c>
      <c r="D11" s="1">
        <v>474.07</v>
      </c>
      <c r="E11" s="1">
        <v>612.65</v>
      </c>
      <c r="F11" s="1">
        <v>264.67</v>
      </c>
      <c r="G11" s="1">
        <v>498.43</v>
      </c>
    </row>
    <row r="12" spans="1:7" x14ac:dyDescent="0.25">
      <c r="A12" s="1" t="s">
        <v>16</v>
      </c>
      <c r="B12" s="1">
        <v>147.88</v>
      </c>
      <c r="C12" s="1">
        <v>185.48</v>
      </c>
      <c r="D12" s="1">
        <v>191.29</v>
      </c>
      <c r="E12" s="1">
        <v>184.92</v>
      </c>
      <c r="F12" s="1">
        <v>200.67</v>
      </c>
      <c r="G12" s="1">
        <v>202.71</v>
      </c>
    </row>
    <row r="13" spans="1:7" x14ac:dyDescent="0.25">
      <c r="A13" s="1" t="s">
        <v>17</v>
      </c>
      <c r="B13" s="1">
        <v>21.72</v>
      </c>
      <c r="C13" s="1">
        <v>26.52</v>
      </c>
      <c r="D13" s="1">
        <v>32.93</v>
      </c>
      <c r="E13" s="1">
        <v>31.8</v>
      </c>
      <c r="F13" s="1">
        <v>30.92</v>
      </c>
      <c r="G13" s="1">
        <v>31.46</v>
      </c>
    </row>
    <row r="14" spans="1:7" x14ac:dyDescent="0.25">
      <c r="A14" s="1" t="s">
        <v>18</v>
      </c>
      <c r="B14" s="1">
        <v>51.03</v>
      </c>
      <c r="C14" s="1">
        <v>72.31</v>
      </c>
      <c r="D14" s="1">
        <v>61.12</v>
      </c>
      <c r="E14" s="1">
        <v>60.09</v>
      </c>
      <c r="F14" s="1">
        <v>83.56</v>
      </c>
      <c r="G14" s="1">
        <v>69.11</v>
      </c>
    </row>
    <row r="15" spans="1:7" x14ac:dyDescent="0.25">
      <c r="A15" s="1" t="s">
        <v>19</v>
      </c>
      <c r="B15" s="1">
        <v>4</v>
      </c>
      <c r="C15" s="1">
        <v>5</v>
      </c>
      <c r="D15" s="1">
        <v>5</v>
      </c>
      <c r="E15" s="1">
        <v>5</v>
      </c>
      <c r="F15" s="1">
        <v>2</v>
      </c>
      <c r="G15" s="1">
        <v>4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659.57</v>
      </c>
      <c r="C17" s="1">
        <v>774.47</v>
      </c>
      <c r="D17" s="1">
        <v>623.96</v>
      </c>
      <c r="E17" s="1">
        <v>783.67</v>
      </c>
      <c r="F17" s="1">
        <v>641.99</v>
      </c>
      <c r="G17" s="1">
        <v>668.01</v>
      </c>
    </row>
    <row r="18" spans="1:7" x14ac:dyDescent="0.25">
      <c r="A18" s="1" t="s">
        <v>22</v>
      </c>
      <c r="B18" s="1">
        <v>58.14</v>
      </c>
      <c r="C18" s="1">
        <v>31.73</v>
      </c>
      <c r="D18" s="1">
        <v>27.66</v>
      </c>
      <c r="E18" s="1">
        <v>2.0099999999999998</v>
      </c>
      <c r="F18" s="1">
        <v>23.66</v>
      </c>
      <c r="G18" s="1">
        <v>30.09</v>
      </c>
    </row>
    <row r="19" spans="1:7" x14ac:dyDescent="0.25">
      <c r="A19" s="1" t="s">
        <v>23</v>
      </c>
      <c r="B19" s="1">
        <v>1</v>
      </c>
      <c r="C19" s="1">
        <v>0</v>
      </c>
      <c r="D19" s="1">
        <v>0</v>
      </c>
      <c r="E19" s="1">
        <v>0</v>
      </c>
      <c r="F19" s="1">
        <v>1</v>
      </c>
      <c r="G19" s="1">
        <v>1</v>
      </c>
    </row>
    <row r="20" spans="1:7" x14ac:dyDescent="0.25">
      <c r="A20" s="1" t="s">
        <v>24</v>
      </c>
      <c r="B20" s="1">
        <v>0.6</v>
      </c>
      <c r="C20" s="1">
        <v>0</v>
      </c>
      <c r="D20" s="1">
        <v>0</v>
      </c>
      <c r="E20" s="1">
        <v>0</v>
      </c>
      <c r="F20" s="1">
        <v>0.5</v>
      </c>
      <c r="G20" s="1">
        <v>0.7</v>
      </c>
    </row>
    <row r="21" spans="1:7" x14ac:dyDescent="0.25">
      <c r="A21" s="1" t="s">
        <v>25</v>
      </c>
      <c r="B21" s="1">
        <v>9.5</v>
      </c>
      <c r="C21" s="1">
        <v>10</v>
      </c>
      <c r="D21" s="1">
        <v>10</v>
      </c>
      <c r="E21" s="1">
        <v>10</v>
      </c>
      <c r="F21" s="1">
        <v>9.5</v>
      </c>
      <c r="G21" s="1">
        <v>9.1999999999999993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2.8</v>
      </c>
      <c r="C25" s="1">
        <v>0</v>
      </c>
      <c r="D25" s="1">
        <v>0</v>
      </c>
      <c r="E25" s="1">
        <v>0</v>
      </c>
      <c r="F25" s="1">
        <v>1.7</v>
      </c>
      <c r="G25" s="1">
        <v>1.4</v>
      </c>
    </row>
    <row r="26" spans="1:7" x14ac:dyDescent="0.25">
      <c r="A26" s="1" t="s">
        <v>30</v>
      </c>
      <c r="B26" s="1">
        <v>7.3</v>
      </c>
      <c r="C26" s="1">
        <v>10</v>
      </c>
      <c r="D26" s="1">
        <v>10</v>
      </c>
      <c r="E26" s="1">
        <v>10</v>
      </c>
      <c r="F26" s="1">
        <v>8.3000000000000007</v>
      </c>
      <c r="G26" s="1">
        <v>8.5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27.722772277227719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17</v>
      </c>
      <c r="G30" s="3">
        <f t="shared" si="2"/>
        <v>14.14141414141414</v>
      </c>
    </row>
    <row r="31" spans="1:7" x14ac:dyDescent="0.25">
      <c r="A31" s="3" t="s">
        <v>34</v>
      </c>
      <c r="B31" s="3">
        <f>B26/B28*100</f>
        <v>72.277227722772281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83</v>
      </c>
      <c r="G31" s="3">
        <f t="shared" si="3"/>
        <v>85.858585858585855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57.85</v>
      </c>
      <c r="C33" s="3">
        <v>79.319999999999993</v>
      </c>
      <c r="D33" s="3">
        <v>65.72</v>
      </c>
      <c r="E33" s="3">
        <v>80.56</v>
      </c>
      <c r="F33" s="3">
        <v>65.209999999999994</v>
      </c>
      <c r="G33" s="3">
        <v>71.510000000000005</v>
      </c>
    </row>
    <row r="35" spans="1:7" x14ac:dyDescent="0.25">
      <c r="A35" s="3" t="s">
        <v>36</v>
      </c>
      <c r="B35" s="3"/>
      <c r="C35" s="3"/>
      <c r="D35" s="3">
        <f>D33-C33</f>
        <v>-13.599999999999994</v>
      </c>
      <c r="E35" s="3"/>
      <c r="F35" s="3">
        <f>F33-E33</f>
        <v>-15.350000000000009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14.840000000000003</v>
      </c>
      <c r="F37" s="3"/>
      <c r="G37" s="3">
        <f>G33-F33</f>
        <v>6.3000000000000114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56D3E-884D-4EF4-9FD2-458F8101A14B}">
  <sheetPr codeName="Sheet2"/>
  <dimension ref="A1:G37"/>
  <sheetViews>
    <sheetView topLeftCell="A13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405.9</v>
      </c>
      <c r="C2" s="1">
        <v>410.56</v>
      </c>
      <c r="D2" s="1">
        <v>415.28</v>
      </c>
      <c r="E2" s="1">
        <v>420.43</v>
      </c>
      <c r="F2" s="1">
        <v>430.51</v>
      </c>
      <c r="G2" s="1">
        <v>412.18</v>
      </c>
    </row>
    <row r="3" spans="1:7" x14ac:dyDescent="0.25">
      <c r="A3" s="1" t="s">
        <v>7</v>
      </c>
      <c r="B3" s="1">
        <v>42.34</v>
      </c>
      <c r="C3" s="1">
        <v>48.54</v>
      </c>
      <c r="D3" s="1">
        <v>51.22</v>
      </c>
      <c r="E3" s="1">
        <v>50.25</v>
      </c>
      <c r="F3" s="1">
        <v>53.78</v>
      </c>
      <c r="G3" s="1">
        <v>54.41</v>
      </c>
    </row>
    <row r="4" spans="1:7" x14ac:dyDescent="0.25">
      <c r="A4" s="1" t="s">
        <v>8</v>
      </c>
      <c r="B4" s="1">
        <v>17500.240000000002</v>
      </c>
      <c r="C4" s="1">
        <v>20283.88</v>
      </c>
      <c r="D4" s="1">
        <v>21630.01</v>
      </c>
      <c r="E4" s="1">
        <v>21505.58</v>
      </c>
      <c r="F4" s="1">
        <v>23560.03</v>
      </c>
      <c r="G4" s="1">
        <v>22812.01</v>
      </c>
    </row>
    <row r="5" spans="1:7" x14ac:dyDescent="0.25">
      <c r="A5" s="1" t="s">
        <v>9</v>
      </c>
      <c r="B5" s="1">
        <v>1749.72</v>
      </c>
      <c r="C5" s="1">
        <v>1723.66</v>
      </c>
      <c r="D5" s="1">
        <v>1627.85</v>
      </c>
      <c r="E5" s="1">
        <v>1529.81</v>
      </c>
      <c r="F5" s="1">
        <v>1489.97</v>
      </c>
      <c r="G5" s="1">
        <v>500.79</v>
      </c>
    </row>
    <row r="6" spans="1:7" x14ac:dyDescent="0.25">
      <c r="A6" s="3" t="s">
        <v>10</v>
      </c>
      <c r="B6" s="3">
        <v>174.97</v>
      </c>
      <c r="C6" s="3">
        <v>174.11</v>
      </c>
      <c r="D6" s="3">
        <v>164.43</v>
      </c>
      <c r="E6" s="3">
        <v>154.53</v>
      </c>
      <c r="F6" s="3">
        <v>150.5</v>
      </c>
      <c r="G6" s="3">
        <v>51.1</v>
      </c>
    </row>
    <row r="7" spans="1:7" x14ac:dyDescent="0.25">
      <c r="A7" s="1" t="s">
        <v>11</v>
      </c>
      <c r="B7" s="1">
        <v>1624.84</v>
      </c>
      <c r="C7" s="1">
        <v>1628.43</v>
      </c>
      <c r="D7" s="1">
        <v>1556.17</v>
      </c>
      <c r="E7" s="1">
        <v>1411.41</v>
      </c>
      <c r="F7" s="1">
        <v>1420.32</v>
      </c>
      <c r="G7" s="1">
        <v>466.62</v>
      </c>
    </row>
    <row r="8" spans="1:7" x14ac:dyDescent="0.25">
      <c r="A8" s="1" t="s">
        <v>12</v>
      </c>
      <c r="B8" s="1">
        <v>162.47999999999999</v>
      </c>
      <c r="C8" s="1">
        <v>164.49</v>
      </c>
      <c r="D8" s="1">
        <v>157.19</v>
      </c>
      <c r="E8" s="1">
        <v>142.57</v>
      </c>
      <c r="F8" s="1">
        <v>143.47</v>
      </c>
      <c r="G8" s="1">
        <v>47.61</v>
      </c>
    </row>
    <row r="9" spans="1:7" x14ac:dyDescent="0.25">
      <c r="A9" s="1" t="s">
        <v>13</v>
      </c>
      <c r="B9" s="1">
        <v>1582.99</v>
      </c>
      <c r="C9" s="1">
        <v>1628.43</v>
      </c>
      <c r="D9" s="1">
        <v>1556.17</v>
      </c>
      <c r="E9" s="1">
        <v>1411.41</v>
      </c>
      <c r="F9" s="1">
        <v>1420.32</v>
      </c>
      <c r="G9" s="1">
        <v>292.52</v>
      </c>
    </row>
    <row r="10" spans="1:7" x14ac:dyDescent="0.25">
      <c r="A10" s="1" t="s">
        <v>14</v>
      </c>
      <c r="B10" s="1">
        <v>158.30000000000001</v>
      </c>
      <c r="C10" s="1">
        <v>164.49</v>
      </c>
      <c r="D10" s="1">
        <v>157.19</v>
      </c>
      <c r="E10" s="1">
        <v>142.57</v>
      </c>
      <c r="F10" s="1">
        <v>143.47</v>
      </c>
      <c r="G10" s="1">
        <v>29.85</v>
      </c>
    </row>
    <row r="11" spans="1:7" x14ac:dyDescent="0.25">
      <c r="A11" s="1" t="s">
        <v>15</v>
      </c>
      <c r="B11" s="1">
        <v>1152.68</v>
      </c>
      <c r="C11" s="1">
        <v>1272.8</v>
      </c>
      <c r="D11" s="1">
        <v>1203.0899999999999</v>
      </c>
      <c r="E11" s="1">
        <v>1029.7</v>
      </c>
      <c r="F11" s="1">
        <v>1106.5899999999999</v>
      </c>
      <c r="G11" s="1">
        <v>167.22</v>
      </c>
    </row>
    <row r="12" spans="1:7" x14ac:dyDescent="0.25">
      <c r="A12" s="1" t="s">
        <v>16</v>
      </c>
      <c r="B12" s="1">
        <v>210.67</v>
      </c>
      <c r="C12" s="1">
        <v>208.75</v>
      </c>
      <c r="D12" s="1">
        <v>216.71</v>
      </c>
      <c r="E12" s="1">
        <v>213.03</v>
      </c>
      <c r="F12" s="1">
        <v>195.5</v>
      </c>
      <c r="G12" s="1">
        <v>132.55000000000001</v>
      </c>
    </row>
    <row r="13" spans="1:7" x14ac:dyDescent="0.25">
      <c r="A13" s="1" t="s">
        <v>17</v>
      </c>
      <c r="B13" s="1">
        <v>38.200000000000003</v>
      </c>
      <c r="C13" s="1">
        <v>28.42</v>
      </c>
      <c r="D13" s="1">
        <v>34.31</v>
      </c>
      <c r="E13" s="1">
        <v>38.03</v>
      </c>
      <c r="F13" s="1">
        <v>36.909999999999997</v>
      </c>
      <c r="G13" s="1">
        <v>52.99</v>
      </c>
    </row>
    <row r="14" spans="1:7" x14ac:dyDescent="0.25">
      <c r="A14" s="1" t="s">
        <v>18</v>
      </c>
      <c r="B14" s="1">
        <v>77.16</v>
      </c>
      <c r="C14" s="1">
        <v>62.59</v>
      </c>
      <c r="D14" s="1">
        <v>73.69</v>
      </c>
      <c r="E14" s="1">
        <v>70.760000000000005</v>
      </c>
      <c r="F14" s="1">
        <v>73.77</v>
      </c>
      <c r="G14" s="1">
        <v>88.93</v>
      </c>
    </row>
    <row r="15" spans="1:7" x14ac:dyDescent="0.25">
      <c r="A15" s="1" t="s">
        <v>19</v>
      </c>
      <c r="B15" s="1">
        <v>8</v>
      </c>
      <c r="C15" s="1">
        <v>9</v>
      </c>
      <c r="D15" s="1">
        <v>9</v>
      </c>
      <c r="E15" s="1">
        <v>8</v>
      </c>
      <c r="F15" s="1">
        <v>8</v>
      </c>
      <c r="G15" s="1">
        <v>3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1603.92</v>
      </c>
      <c r="C17" s="1">
        <v>1628.43</v>
      </c>
      <c r="D17" s="1">
        <v>1556.17</v>
      </c>
      <c r="E17" s="1">
        <v>1411.41</v>
      </c>
      <c r="F17" s="1">
        <v>1420.32</v>
      </c>
      <c r="G17" s="1">
        <v>379.57</v>
      </c>
    </row>
    <row r="18" spans="1:7" x14ac:dyDescent="0.25">
      <c r="A18" s="1" t="s">
        <v>22</v>
      </c>
      <c r="B18" s="1">
        <v>20.92</v>
      </c>
      <c r="C18" s="1">
        <v>0</v>
      </c>
      <c r="D18" s="1">
        <v>0</v>
      </c>
      <c r="E18" s="1">
        <v>0</v>
      </c>
      <c r="F18" s="1">
        <v>0</v>
      </c>
      <c r="G18" s="1">
        <v>87.05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1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1.2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8.6999999999999993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4.9000000000000004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10</v>
      </c>
      <c r="G26" s="1">
        <v>5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49.494949494949495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50.505050505050505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163.49</v>
      </c>
      <c r="C33" s="3">
        <v>170.11</v>
      </c>
      <c r="D33" s="3">
        <v>162.28</v>
      </c>
      <c r="E33" s="3">
        <v>151.1</v>
      </c>
      <c r="F33" s="3">
        <v>146.31</v>
      </c>
      <c r="G33" s="3">
        <v>35.28</v>
      </c>
    </row>
    <row r="35" spans="1:7" x14ac:dyDescent="0.25">
      <c r="A35" s="3" t="s">
        <v>36</v>
      </c>
      <c r="B35" s="3"/>
      <c r="C35" s="3"/>
      <c r="D35" s="3">
        <f>D33-C33</f>
        <v>-7.8300000000000125</v>
      </c>
      <c r="E35" s="3"/>
      <c r="F35" s="3">
        <f>F33-E33</f>
        <v>-4.789999999999992</v>
      </c>
      <c r="G35" s="3"/>
    </row>
    <row r="37" spans="1:7" x14ac:dyDescent="0.25">
      <c r="A37" s="3" t="s">
        <v>36</v>
      </c>
      <c r="B37" s="3"/>
      <c r="C37" s="3">
        <f>C33-B33</f>
        <v>6.6200000000000045</v>
      </c>
      <c r="D37" s="3"/>
      <c r="E37" s="3">
        <f>E33-D33</f>
        <v>-11.180000000000007</v>
      </c>
      <c r="F37" s="3"/>
      <c r="G37" s="3">
        <f>G33-F33</f>
        <v>-111.03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D331A-C08E-435D-8ED0-976DC81644DC}">
  <sheetPr codeName="Sheet3"/>
  <dimension ref="A1:G37"/>
  <sheetViews>
    <sheetView topLeftCell="A10" workbookViewId="0">
      <selection activeCell="J20" sqref="I20:J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508.72</v>
      </c>
      <c r="C2" s="1">
        <v>483.95</v>
      </c>
      <c r="D2" s="1">
        <v>543.59</v>
      </c>
      <c r="E2" s="1">
        <v>508.92</v>
      </c>
      <c r="F2" s="1">
        <v>459.64</v>
      </c>
      <c r="G2" s="1">
        <v>528.04</v>
      </c>
    </row>
    <row r="3" spans="1:7" x14ac:dyDescent="0.25">
      <c r="A3" s="1" t="s">
        <v>7</v>
      </c>
      <c r="B3" s="1">
        <v>62.85</v>
      </c>
      <c r="C3" s="1">
        <v>52.19</v>
      </c>
      <c r="D3" s="1">
        <v>58.02</v>
      </c>
      <c r="E3" s="1">
        <v>53.75</v>
      </c>
      <c r="F3" s="1">
        <v>56.42</v>
      </c>
      <c r="G3" s="1">
        <v>66.739999999999995</v>
      </c>
    </row>
    <row r="4" spans="1:7" x14ac:dyDescent="0.25">
      <c r="A4" s="1" t="s">
        <v>8</v>
      </c>
      <c r="B4" s="1">
        <v>32546.75</v>
      </c>
      <c r="C4" s="1">
        <v>25653.93</v>
      </c>
      <c r="D4" s="1">
        <v>32061.19</v>
      </c>
      <c r="E4" s="1">
        <v>27796.799999999999</v>
      </c>
      <c r="F4" s="1">
        <v>26450.7</v>
      </c>
      <c r="G4" s="1">
        <v>35842.69</v>
      </c>
    </row>
    <row r="5" spans="1:7" x14ac:dyDescent="0.25">
      <c r="A5" s="1" t="s">
        <v>9</v>
      </c>
      <c r="B5" s="1">
        <v>1455.76</v>
      </c>
      <c r="C5" s="1">
        <v>1200.8399999999999</v>
      </c>
      <c r="D5" s="1">
        <v>1284.03</v>
      </c>
      <c r="E5" s="1">
        <v>1418.24</v>
      </c>
      <c r="F5" s="1">
        <v>1096.29</v>
      </c>
      <c r="G5" s="1">
        <v>1286.27</v>
      </c>
    </row>
    <row r="6" spans="1:7" x14ac:dyDescent="0.25">
      <c r="A6" s="3" t="s">
        <v>10</v>
      </c>
      <c r="B6" s="3">
        <v>145.58000000000001</v>
      </c>
      <c r="C6" s="3">
        <v>121.3</v>
      </c>
      <c r="D6" s="3">
        <v>129.69999999999999</v>
      </c>
      <c r="E6" s="3">
        <v>143.26</v>
      </c>
      <c r="F6" s="3">
        <v>110.74</v>
      </c>
      <c r="G6" s="3">
        <v>131.25</v>
      </c>
    </row>
    <row r="7" spans="1:7" x14ac:dyDescent="0.25">
      <c r="A7" s="1" t="s">
        <v>11</v>
      </c>
      <c r="B7" s="1">
        <v>1248.03</v>
      </c>
      <c r="C7" s="1">
        <v>1128.75</v>
      </c>
      <c r="D7" s="1">
        <v>1140.57</v>
      </c>
      <c r="E7" s="1">
        <v>1340.41</v>
      </c>
      <c r="F7" s="1">
        <v>908.34</v>
      </c>
      <c r="G7" s="1">
        <v>1222.3499999999999</v>
      </c>
    </row>
    <row r="8" spans="1:7" x14ac:dyDescent="0.25">
      <c r="A8" s="1" t="s">
        <v>12</v>
      </c>
      <c r="B8" s="1">
        <v>124.8</v>
      </c>
      <c r="C8" s="1">
        <v>114.02</v>
      </c>
      <c r="D8" s="1">
        <v>115.21</v>
      </c>
      <c r="E8" s="1">
        <v>135.4</v>
      </c>
      <c r="F8" s="1">
        <v>91.75</v>
      </c>
      <c r="G8" s="1">
        <v>124.73</v>
      </c>
    </row>
    <row r="9" spans="1:7" x14ac:dyDescent="0.25">
      <c r="A9" s="1" t="s">
        <v>13</v>
      </c>
      <c r="B9" s="1">
        <v>1213.1099999999999</v>
      </c>
      <c r="C9" s="1">
        <v>1115.67</v>
      </c>
      <c r="D9" s="1">
        <v>1123.94</v>
      </c>
      <c r="E9" s="1">
        <v>1014.57</v>
      </c>
      <c r="F9" s="1">
        <v>620.15</v>
      </c>
      <c r="G9" s="1">
        <v>1177.19</v>
      </c>
    </row>
    <row r="10" spans="1:7" x14ac:dyDescent="0.25">
      <c r="A10" s="1" t="s">
        <v>14</v>
      </c>
      <c r="B10" s="1">
        <v>121.31</v>
      </c>
      <c r="C10" s="1">
        <v>112.69</v>
      </c>
      <c r="D10" s="1">
        <v>113.53</v>
      </c>
      <c r="E10" s="1">
        <v>102.48</v>
      </c>
      <c r="F10" s="1">
        <v>62.64</v>
      </c>
      <c r="G10" s="1">
        <v>120.12</v>
      </c>
    </row>
    <row r="11" spans="1:7" x14ac:dyDescent="0.25">
      <c r="A11" s="1" t="s">
        <v>15</v>
      </c>
      <c r="B11" s="1">
        <v>1077.8</v>
      </c>
      <c r="C11" s="1">
        <v>874.99</v>
      </c>
      <c r="D11" s="1">
        <v>901.19</v>
      </c>
      <c r="E11" s="1">
        <v>625.71</v>
      </c>
      <c r="F11" s="1">
        <v>472.84</v>
      </c>
      <c r="G11" s="1">
        <v>954.34</v>
      </c>
    </row>
    <row r="12" spans="1:7" x14ac:dyDescent="0.25">
      <c r="A12" s="1" t="s">
        <v>16</v>
      </c>
      <c r="B12" s="1">
        <v>233.99</v>
      </c>
      <c r="C12" s="1">
        <v>220.93</v>
      </c>
      <c r="D12" s="1">
        <v>213.88</v>
      </c>
      <c r="E12" s="1">
        <v>226.62</v>
      </c>
      <c r="F12" s="1">
        <v>206.96</v>
      </c>
      <c r="G12" s="1">
        <v>235.47</v>
      </c>
    </row>
    <row r="13" spans="1:7" x14ac:dyDescent="0.25">
      <c r="A13" s="1" t="s">
        <v>17</v>
      </c>
      <c r="B13" s="1">
        <v>32.49</v>
      </c>
      <c r="C13" s="1">
        <v>36.44</v>
      </c>
      <c r="D13" s="1">
        <v>42.87</v>
      </c>
      <c r="E13" s="1">
        <v>34.11</v>
      </c>
      <c r="F13" s="1">
        <v>47.19</v>
      </c>
      <c r="G13" s="1">
        <v>28.45</v>
      </c>
    </row>
    <row r="14" spans="1:7" x14ac:dyDescent="0.25">
      <c r="A14" s="1" t="s">
        <v>18</v>
      </c>
      <c r="B14" s="1">
        <v>71.08</v>
      </c>
      <c r="C14" s="1">
        <v>79.11</v>
      </c>
      <c r="D14" s="1">
        <v>87.29</v>
      </c>
      <c r="E14" s="1">
        <v>100.44</v>
      </c>
      <c r="F14" s="1">
        <v>100.12</v>
      </c>
      <c r="G14" s="1">
        <v>64.099999999999994</v>
      </c>
    </row>
    <row r="15" spans="1:7" x14ac:dyDescent="0.25">
      <c r="A15" s="1" t="s">
        <v>19</v>
      </c>
      <c r="B15" s="1">
        <v>5</v>
      </c>
      <c r="C15" s="1">
        <v>7</v>
      </c>
      <c r="D15" s="1">
        <v>8</v>
      </c>
      <c r="E15" s="1">
        <v>5</v>
      </c>
      <c r="F15" s="1">
        <v>4</v>
      </c>
      <c r="G15" s="1">
        <v>6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1230.57</v>
      </c>
      <c r="C17" s="1">
        <v>1122.21</v>
      </c>
      <c r="D17" s="1">
        <v>1132.25</v>
      </c>
      <c r="E17" s="1">
        <v>1177.49</v>
      </c>
      <c r="F17" s="1">
        <v>764.24</v>
      </c>
      <c r="G17" s="1">
        <v>1199.77</v>
      </c>
    </row>
    <row r="18" spans="1:7" x14ac:dyDescent="0.25">
      <c r="A18" s="1" t="s">
        <v>22</v>
      </c>
      <c r="B18" s="1">
        <v>17.46</v>
      </c>
      <c r="C18" s="1">
        <v>6.54</v>
      </c>
      <c r="D18" s="1">
        <v>8.31</v>
      </c>
      <c r="E18" s="1">
        <v>162.91999999999999</v>
      </c>
      <c r="F18" s="1">
        <v>144.1</v>
      </c>
      <c r="G18" s="1">
        <v>22.58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1</v>
      </c>
      <c r="F19" s="1">
        <v>3</v>
      </c>
      <c r="G19" s="1">
        <v>1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2.6</v>
      </c>
      <c r="F20" s="1">
        <v>3.3</v>
      </c>
      <c r="G20" s="1">
        <v>0.9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7.4</v>
      </c>
      <c r="F21" s="1">
        <v>6.7</v>
      </c>
      <c r="G21" s="1">
        <v>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2.2999999999999998</v>
      </c>
      <c r="F24" s="1">
        <v>1.2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1.5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7.7</v>
      </c>
      <c r="F26" s="1">
        <v>7.3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23</v>
      </c>
      <c r="F29" s="3">
        <f t="shared" si="1"/>
        <v>12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15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77</v>
      </c>
      <c r="F31" s="3">
        <f t="shared" si="3"/>
        <v>73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131.1</v>
      </c>
      <c r="C33" s="3">
        <v>119.54</v>
      </c>
      <c r="D33" s="3">
        <v>125.02</v>
      </c>
      <c r="E33" s="3">
        <v>79.22</v>
      </c>
      <c r="F33" s="3">
        <v>42.93</v>
      </c>
      <c r="G33" s="3">
        <v>121.4</v>
      </c>
    </row>
    <row r="35" spans="1:7" x14ac:dyDescent="0.25">
      <c r="A35" s="3" t="s">
        <v>36</v>
      </c>
      <c r="B35" s="3"/>
      <c r="C35" s="3"/>
      <c r="D35" s="3">
        <f>D33-C33</f>
        <v>5.4799999999999898</v>
      </c>
      <c r="E35" s="3"/>
      <c r="F35" s="3">
        <f>F33-E33</f>
        <v>-36.29</v>
      </c>
      <c r="G35" s="3"/>
    </row>
    <row r="37" spans="1:7" x14ac:dyDescent="0.25">
      <c r="A37" s="3" t="s">
        <v>36</v>
      </c>
      <c r="B37" s="3"/>
      <c r="C37" s="3">
        <f>C33-B33</f>
        <v>-11.559999999999988</v>
      </c>
      <c r="D37" s="3"/>
      <c r="E37" s="3">
        <f>E33-D33</f>
        <v>-45.8</v>
      </c>
      <c r="F37" s="3"/>
      <c r="G37" s="3">
        <f>G33-F33</f>
        <v>78.47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6F0CD-B55C-422C-8A30-7AB8464C3ACC}">
  <sheetPr codeName="Sheet5"/>
  <dimension ref="A1:G37"/>
  <sheetViews>
    <sheetView topLeftCell="A16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391.8</v>
      </c>
      <c r="C2" s="1">
        <v>390.92</v>
      </c>
      <c r="D2" s="1">
        <v>411.34</v>
      </c>
      <c r="E2" s="1">
        <v>361.77</v>
      </c>
      <c r="F2" s="1">
        <v>364.11</v>
      </c>
      <c r="G2" s="1">
        <v>415.45</v>
      </c>
    </row>
    <row r="3" spans="1:7" x14ac:dyDescent="0.25">
      <c r="A3" s="1" t="s">
        <v>7</v>
      </c>
      <c r="B3" s="1">
        <v>37.729999999999997</v>
      </c>
      <c r="C3" s="1">
        <v>38.24</v>
      </c>
      <c r="D3" s="1">
        <v>38.729999999999997</v>
      </c>
      <c r="E3" s="1">
        <v>39.659999999999997</v>
      </c>
      <c r="F3" s="1">
        <v>34.24</v>
      </c>
      <c r="G3" s="1">
        <v>37.25</v>
      </c>
    </row>
    <row r="4" spans="1:7" x14ac:dyDescent="0.25">
      <c r="A4" s="1" t="s">
        <v>8</v>
      </c>
      <c r="B4" s="1">
        <v>15016.41</v>
      </c>
      <c r="C4" s="1">
        <v>15167.41</v>
      </c>
      <c r="D4" s="1">
        <v>16188.47</v>
      </c>
      <c r="E4" s="1">
        <v>14584.42</v>
      </c>
      <c r="F4" s="1">
        <v>12639.86</v>
      </c>
      <c r="G4" s="1">
        <v>15736.78</v>
      </c>
    </row>
    <row r="5" spans="1:7" x14ac:dyDescent="0.25">
      <c r="A5" s="1" t="s">
        <v>9</v>
      </c>
      <c r="B5" s="1">
        <v>1104.6099999999999</v>
      </c>
      <c r="C5" s="1">
        <v>922.25</v>
      </c>
      <c r="D5" s="1">
        <v>1002.06</v>
      </c>
      <c r="E5" s="1">
        <v>859.56</v>
      </c>
      <c r="F5" s="1">
        <v>758.68</v>
      </c>
      <c r="G5" s="1">
        <v>1102.83</v>
      </c>
    </row>
    <row r="6" spans="1:7" x14ac:dyDescent="0.25">
      <c r="A6" s="3" t="s">
        <v>10</v>
      </c>
      <c r="B6" s="3">
        <v>110.46</v>
      </c>
      <c r="C6" s="3">
        <v>93.16</v>
      </c>
      <c r="D6" s="3">
        <v>101.22</v>
      </c>
      <c r="E6" s="3">
        <v>86.82</v>
      </c>
      <c r="F6" s="3">
        <v>76.63</v>
      </c>
      <c r="G6" s="3">
        <v>112.53</v>
      </c>
    </row>
    <row r="7" spans="1:7" x14ac:dyDescent="0.25">
      <c r="A7" s="1" t="s">
        <v>11</v>
      </c>
      <c r="B7" s="1">
        <v>940.79</v>
      </c>
      <c r="C7" s="1">
        <v>836.09</v>
      </c>
      <c r="D7" s="1">
        <v>920.3</v>
      </c>
      <c r="E7" s="1">
        <v>709.67</v>
      </c>
      <c r="F7" s="1">
        <v>676.8</v>
      </c>
      <c r="G7" s="1">
        <v>1030.8699999999999</v>
      </c>
    </row>
    <row r="8" spans="1:7" x14ac:dyDescent="0.25">
      <c r="A8" s="1" t="s">
        <v>12</v>
      </c>
      <c r="B8" s="1">
        <v>94.08</v>
      </c>
      <c r="C8" s="1">
        <v>84.45</v>
      </c>
      <c r="D8" s="1">
        <v>92.96</v>
      </c>
      <c r="E8" s="1">
        <v>71.680000000000007</v>
      </c>
      <c r="F8" s="1">
        <v>68.36</v>
      </c>
      <c r="G8" s="1">
        <v>105.19</v>
      </c>
    </row>
    <row r="9" spans="1:7" x14ac:dyDescent="0.25">
      <c r="A9" s="1" t="s">
        <v>13</v>
      </c>
      <c r="B9" s="1">
        <v>929.04</v>
      </c>
      <c r="C9" s="1">
        <v>274.81</v>
      </c>
      <c r="D9" s="1">
        <v>910.58</v>
      </c>
      <c r="E9" s="1">
        <v>-467.75</v>
      </c>
      <c r="F9" s="1">
        <v>470.16</v>
      </c>
      <c r="G9" s="1">
        <v>1030.8699999999999</v>
      </c>
    </row>
    <row r="10" spans="1:7" x14ac:dyDescent="0.25">
      <c r="A10" s="1" t="s">
        <v>14</v>
      </c>
      <c r="B10" s="1">
        <v>92.9</v>
      </c>
      <c r="C10" s="1">
        <v>27.76</v>
      </c>
      <c r="D10" s="1">
        <v>91.98</v>
      </c>
      <c r="E10" s="1">
        <v>-47.25</v>
      </c>
      <c r="F10" s="1">
        <v>47.49</v>
      </c>
      <c r="G10" s="1">
        <v>105.19</v>
      </c>
    </row>
    <row r="11" spans="1:7" x14ac:dyDescent="0.25">
      <c r="A11" s="1" t="s">
        <v>15</v>
      </c>
      <c r="B11" s="1">
        <v>739.49</v>
      </c>
      <c r="C11" s="1">
        <v>41.6</v>
      </c>
      <c r="D11" s="1">
        <v>762.72</v>
      </c>
      <c r="E11" s="1">
        <v>168.47</v>
      </c>
      <c r="F11" s="1">
        <v>463.48</v>
      </c>
      <c r="G11" s="1">
        <v>856.35</v>
      </c>
    </row>
    <row r="12" spans="1:7" x14ac:dyDescent="0.25">
      <c r="A12" s="1" t="s">
        <v>16</v>
      </c>
      <c r="B12" s="1">
        <v>175.8</v>
      </c>
      <c r="C12" s="1">
        <v>172.35</v>
      </c>
      <c r="D12" s="1">
        <v>194.29</v>
      </c>
      <c r="E12" s="1">
        <v>119.99</v>
      </c>
      <c r="F12" s="1">
        <v>180.82</v>
      </c>
      <c r="G12" s="1">
        <v>196.01</v>
      </c>
    </row>
    <row r="13" spans="1:7" x14ac:dyDescent="0.25">
      <c r="A13" s="1" t="s">
        <v>17</v>
      </c>
      <c r="B13" s="1">
        <v>34.799999999999997</v>
      </c>
      <c r="C13" s="1">
        <v>34.74</v>
      </c>
      <c r="D13" s="1">
        <v>34.17</v>
      </c>
      <c r="E13" s="1">
        <v>43.72</v>
      </c>
      <c r="F13" s="1">
        <v>22.16</v>
      </c>
      <c r="G13" s="1">
        <v>28.25</v>
      </c>
    </row>
    <row r="14" spans="1:7" x14ac:dyDescent="0.25">
      <c r="A14" s="1" t="s">
        <v>18</v>
      </c>
      <c r="B14" s="1">
        <v>75.28</v>
      </c>
      <c r="C14" s="1">
        <v>70.47</v>
      </c>
      <c r="D14" s="1">
        <v>68.38</v>
      </c>
      <c r="E14" s="1">
        <v>69.45</v>
      </c>
      <c r="F14" s="1">
        <v>49.62</v>
      </c>
      <c r="G14" s="1">
        <v>54.62</v>
      </c>
    </row>
    <row r="15" spans="1:7" x14ac:dyDescent="0.25">
      <c r="A15" s="1" t="s">
        <v>19</v>
      </c>
      <c r="B15" s="1">
        <v>5</v>
      </c>
      <c r="C15" s="1">
        <v>5</v>
      </c>
      <c r="D15" s="1">
        <v>8</v>
      </c>
      <c r="E15" s="1">
        <v>7</v>
      </c>
      <c r="F15" s="1">
        <v>5</v>
      </c>
      <c r="G15" s="1">
        <v>6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934.91</v>
      </c>
      <c r="C17" s="1">
        <v>555.45000000000005</v>
      </c>
      <c r="D17" s="1">
        <v>915.44</v>
      </c>
      <c r="E17" s="1">
        <v>120.96</v>
      </c>
      <c r="F17" s="1">
        <v>573.48</v>
      </c>
      <c r="G17" s="1">
        <v>1030.8699999999999</v>
      </c>
    </row>
    <row r="18" spans="1:7" x14ac:dyDescent="0.25">
      <c r="A18" s="1" t="s">
        <v>22</v>
      </c>
      <c r="B18" s="1">
        <v>5.87</v>
      </c>
      <c r="C18" s="1">
        <v>280.64</v>
      </c>
      <c r="D18" s="1">
        <v>4.8600000000000003</v>
      </c>
      <c r="E18" s="1">
        <v>588.71</v>
      </c>
      <c r="F18" s="1">
        <v>103.32</v>
      </c>
      <c r="G18" s="1">
        <v>0</v>
      </c>
    </row>
    <row r="19" spans="1:7" x14ac:dyDescent="0.25">
      <c r="A19" s="1" t="s">
        <v>23</v>
      </c>
      <c r="B19" s="1">
        <v>0</v>
      </c>
      <c r="C19" s="1">
        <v>1</v>
      </c>
      <c r="D19" s="1">
        <v>0</v>
      </c>
      <c r="E19" s="1">
        <v>1</v>
      </c>
      <c r="F19" s="1">
        <v>1</v>
      </c>
      <c r="G19" s="1">
        <v>0</v>
      </c>
    </row>
    <row r="20" spans="1:7" x14ac:dyDescent="0.25">
      <c r="A20" s="1" t="s">
        <v>24</v>
      </c>
      <c r="B20" s="1">
        <v>0</v>
      </c>
      <c r="C20" s="1">
        <v>2.5</v>
      </c>
      <c r="D20" s="1">
        <v>0</v>
      </c>
      <c r="E20" s="1">
        <v>5.7</v>
      </c>
      <c r="F20" s="1">
        <v>0.8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7.5</v>
      </c>
      <c r="D21" s="1">
        <v>10</v>
      </c>
      <c r="E21" s="1">
        <v>4.3</v>
      </c>
      <c r="F21" s="1">
        <v>9.1999999999999993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1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1.7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1.8</v>
      </c>
      <c r="D24" s="1">
        <v>0</v>
      </c>
      <c r="E24" s="1">
        <v>6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2.2999999999999998</v>
      </c>
      <c r="F25" s="1">
        <v>5.3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8.1999999999999993</v>
      </c>
      <c r="D26" s="1">
        <v>10</v>
      </c>
      <c r="E26" s="1">
        <v>1.7</v>
      </c>
      <c r="F26" s="1">
        <v>4.7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18</v>
      </c>
      <c r="D29" s="3">
        <f t="shared" si="1"/>
        <v>0</v>
      </c>
      <c r="E29" s="3">
        <f t="shared" si="1"/>
        <v>60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23</v>
      </c>
      <c r="F30" s="3">
        <f t="shared" si="2"/>
        <v>53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82</v>
      </c>
      <c r="D31" s="3">
        <f t="shared" si="3"/>
        <v>100</v>
      </c>
      <c r="E31" s="3">
        <f t="shared" si="3"/>
        <v>17</v>
      </c>
      <c r="F31" s="3">
        <f t="shared" si="3"/>
        <v>47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104.88</v>
      </c>
      <c r="C33" s="3">
        <v>39.049999999999997</v>
      </c>
      <c r="D33" s="3">
        <v>99.03</v>
      </c>
      <c r="E33" s="3">
        <v>-40.1</v>
      </c>
      <c r="F33" s="3">
        <v>49.26</v>
      </c>
      <c r="G33" s="3">
        <v>108.61</v>
      </c>
    </row>
    <row r="35" spans="1:7" x14ac:dyDescent="0.25">
      <c r="A35" s="3" t="s">
        <v>36</v>
      </c>
      <c r="B35" s="3"/>
      <c r="C35" s="3"/>
      <c r="D35" s="3">
        <f>D33-C33</f>
        <v>59.980000000000004</v>
      </c>
      <c r="E35" s="3"/>
      <c r="F35" s="3">
        <f>F33-E33</f>
        <v>89.36</v>
      </c>
      <c r="G35" s="3"/>
    </row>
    <row r="37" spans="1:7" x14ac:dyDescent="0.25">
      <c r="A37" s="3" t="s">
        <v>36</v>
      </c>
      <c r="B37" s="3"/>
      <c r="C37" s="3">
        <f>C33-B33</f>
        <v>-65.83</v>
      </c>
      <c r="D37" s="3"/>
      <c r="E37" s="3">
        <f>E33-D33</f>
        <v>-139.13</v>
      </c>
      <c r="F37" s="3"/>
      <c r="G37" s="3">
        <f>G33-F33</f>
        <v>59.35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900BE-CB12-44DD-8A7E-3BC318DED798}">
  <sheetPr codeName="Sheet6"/>
  <dimension ref="A1:G37"/>
  <sheetViews>
    <sheetView topLeftCell="A16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410.67</v>
      </c>
      <c r="C2" s="1">
        <v>348.03</v>
      </c>
      <c r="D2" s="1">
        <v>381.18</v>
      </c>
      <c r="E2" s="1">
        <v>381.3</v>
      </c>
      <c r="F2" s="1">
        <v>397.44</v>
      </c>
      <c r="G2" s="1">
        <v>375.44</v>
      </c>
    </row>
    <row r="3" spans="1:7" x14ac:dyDescent="0.25">
      <c r="A3" s="1" t="s">
        <v>7</v>
      </c>
      <c r="B3" s="1">
        <v>41.55</v>
      </c>
      <c r="C3" s="1">
        <v>43.22</v>
      </c>
      <c r="D3" s="1">
        <v>45.06</v>
      </c>
      <c r="E3" s="1">
        <v>47.07</v>
      </c>
      <c r="F3" s="1">
        <v>43.35</v>
      </c>
      <c r="G3" s="1">
        <v>43.11</v>
      </c>
    </row>
    <row r="4" spans="1:7" x14ac:dyDescent="0.25">
      <c r="A4" s="1" t="s">
        <v>8</v>
      </c>
      <c r="B4" s="1">
        <v>17414.7</v>
      </c>
      <c r="C4" s="1">
        <v>15297.17</v>
      </c>
      <c r="D4" s="1">
        <v>17459.009999999998</v>
      </c>
      <c r="E4" s="1">
        <v>18345.32</v>
      </c>
      <c r="F4" s="1">
        <v>17540.55</v>
      </c>
      <c r="G4" s="1">
        <v>16405.37</v>
      </c>
    </row>
    <row r="5" spans="1:7" x14ac:dyDescent="0.25">
      <c r="A5" s="1" t="s">
        <v>9</v>
      </c>
      <c r="B5" s="1">
        <v>1269.45</v>
      </c>
      <c r="C5" s="1">
        <v>1111.5</v>
      </c>
      <c r="D5" s="1">
        <v>1017.06</v>
      </c>
      <c r="E5" s="1">
        <v>549.64</v>
      </c>
      <c r="F5" s="1">
        <v>954.45</v>
      </c>
      <c r="G5" s="1">
        <v>935.62</v>
      </c>
    </row>
    <row r="6" spans="1:7" x14ac:dyDescent="0.25">
      <c r="A6" s="3" t="s">
        <v>10</v>
      </c>
      <c r="B6" s="3">
        <v>126.94</v>
      </c>
      <c r="C6" s="3">
        <v>112.27</v>
      </c>
      <c r="D6" s="3">
        <v>102.73</v>
      </c>
      <c r="E6" s="3">
        <v>55.52</v>
      </c>
      <c r="F6" s="3">
        <v>96.41</v>
      </c>
      <c r="G6" s="3">
        <v>95.47</v>
      </c>
    </row>
    <row r="7" spans="1:7" x14ac:dyDescent="0.25">
      <c r="A7" s="1" t="s">
        <v>11</v>
      </c>
      <c r="B7" s="1">
        <v>1091.3</v>
      </c>
      <c r="C7" s="1">
        <v>799.7</v>
      </c>
      <c r="D7" s="1">
        <v>895.26</v>
      </c>
      <c r="E7" s="1">
        <v>460.93</v>
      </c>
      <c r="F7" s="1">
        <v>856.19</v>
      </c>
      <c r="G7" s="1">
        <v>819.94</v>
      </c>
    </row>
    <row r="8" spans="1:7" x14ac:dyDescent="0.25">
      <c r="A8" s="1" t="s">
        <v>12</v>
      </c>
      <c r="B8" s="1">
        <v>109.13</v>
      </c>
      <c r="C8" s="1">
        <v>80.78</v>
      </c>
      <c r="D8" s="1">
        <v>90.43</v>
      </c>
      <c r="E8" s="1">
        <v>46.56</v>
      </c>
      <c r="F8" s="1">
        <v>86.48</v>
      </c>
      <c r="G8" s="1">
        <v>83.67</v>
      </c>
    </row>
    <row r="9" spans="1:7" x14ac:dyDescent="0.25">
      <c r="A9" s="1" t="s">
        <v>13</v>
      </c>
      <c r="B9" s="1">
        <v>1076.8</v>
      </c>
      <c r="C9" s="1">
        <v>269.73</v>
      </c>
      <c r="D9" s="1">
        <v>850.59</v>
      </c>
      <c r="E9" s="1">
        <v>176.05</v>
      </c>
      <c r="F9" s="1">
        <v>840.18</v>
      </c>
      <c r="G9" s="1">
        <v>-819.94</v>
      </c>
    </row>
    <row r="10" spans="1:7" x14ac:dyDescent="0.25">
      <c r="A10" s="1" t="s">
        <v>14</v>
      </c>
      <c r="B10" s="1">
        <v>107.68</v>
      </c>
      <c r="C10" s="1">
        <v>27.25</v>
      </c>
      <c r="D10" s="1">
        <v>85.92</v>
      </c>
      <c r="E10" s="1">
        <v>17.78</v>
      </c>
      <c r="F10" s="1">
        <v>84.87</v>
      </c>
      <c r="G10" s="1">
        <v>-83.67</v>
      </c>
    </row>
    <row r="11" spans="1:7" x14ac:dyDescent="0.25">
      <c r="A11" s="1" t="s">
        <v>15</v>
      </c>
      <c r="B11" s="1">
        <v>983.17</v>
      </c>
      <c r="C11" s="1">
        <v>103.88</v>
      </c>
      <c r="D11" s="1">
        <v>557.63</v>
      </c>
      <c r="E11" s="1">
        <v>137.91</v>
      </c>
      <c r="F11" s="1">
        <v>638.02</v>
      </c>
      <c r="G11" s="1">
        <v>316.42</v>
      </c>
    </row>
    <row r="12" spans="1:7" x14ac:dyDescent="0.25">
      <c r="A12" s="1" t="s">
        <v>16</v>
      </c>
      <c r="B12" s="1">
        <v>194.27</v>
      </c>
      <c r="C12" s="1">
        <v>156.03</v>
      </c>
      <c r="D12" s="1">
        <v>144.47999999999999</v>
      </c>
      <c r="E12" s="1">
        <v>127.71</v>
      </c>
      <c r="F12" s="1">
        <v>189.9</v>
      </c>
      <c r="G12" s="1">
        <v>147.22999999999999</v>
      </c>
    </row>
    <row r="13" spans="1:7" x14ac:dyDescent="0.25">
      <c r="A13" s="1" t="s">
        <v>17</v>
      </c>
      <c r="B13" s="1">
        <v>27.83</v>
      </c>
      <c r="C13" s="1">
        <v>34.450000000000003</v>
      </c>
      <c r="D13" s="1">
        <v>34.57</v>
      </c>
      <c r="E13" s="1">
        <v>34.89</v>
      </c>
      <c r="F13" s="1">
        <v>30.14</v>
      </c>
      <c r="G13" s="1">
        <v>46.57</v>
      </c>
    </row>
    <row r="14" spans="1:7" x14ac:dyDescent="0.25">
      <c r="A14" s="1" t="s">
        <v>18</v>
      </c>
      <c r="B14" s="1">
        <v>60.08</v>
      </c>
      <c r="C14" s="1">
        <v>71.75</v>
      </c>
      <c r="D14" s="1">
        <v>67.52</v>
      </c>
      <c r="E14" s="1">
        <v>69.08</v>
      </c>
      <c r="F14" s="1">
        <v>64.81</v>
      </c>
      <c r="G14" s="1">
        <v>77.430000000000007</v>
      </c>
    </row>
    <row r="15" spans="1:7" x14ac:dyDescent="0.25">
      <c r="A15" s="1" t="s">
        <v>19</v>
      </c>
      <c r="B15" s="1">
        <v>7</v>
      </c>
      <c r="C15" s="1">
        <v>7</v>
      </c>
      <c r="D15" s="1">
        <v>6</v>
      </c>
      <c r="E15" s="1">
        <v>4</v>
      </c>
      <c r="F15" s="1">
        <v>6</v>
      </c>
      <c r="G15" s="1">
        <v>5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1084.05</v>
      </c>
      <c r="C17" s="1">
        <v>534.71</v>
      </c>
      <c r="D17" s="1">
        <v>872.93</v>
      </c>
      <c r="E17" s="1">
        <v>318.49</v>
      </c>
      <c r="F17" s="1">
        <v>848.19</v>
      </c>
      <c r="G17" s="1">
        <v>0</v>
      </c>
    </row>
    <row r="18" spans="1:7" x14ac:dyDescent="0.25">
      <c r="A18" s="1" t="s">
        <v>22</v>
      </c>
      <c r="B18" s="1">
        <v>7.25</v>
      </c>
      <c r="C18" s="1">
        <v>264.98</v>
      </c>
      <c r="D18" s="1">
        <v>22.33</v>
      </c>
      <c r="E18" s="1">
        <v>142.44</v>
      </c>
      <c r="F18" s="1">
        <v>8</v>
      </c>
      <c r="G18" s="1">
        <v>819.94</v>
      </c>
    </row>
    <row r="19" spans="1:7" x14ac:dyDescent="0.25">
      <c r="A19" s="1" t="s">
        <v>23</v>
      </c>
      <c r="B19" s="1">
        <v>0</v>
      </c>
      <c r="C19" s="1">
        <v>2</v>
      </c>
      <c r="D19" s="1">
        <v>0</v>
      </c>
      <c r="E19" s="1">
        <v>3</v>
      </c>
      <c r="F19" s="1">
        <v>0</v>
      </c>
      <c r="G19" s="1">
        <v>1</v>
      </c>
    </row>
    <row r="20" spans="1:7" x14ac:dyDescent="0.25">
      <c r="A20" s="1" t="s">
        <v>24</v>
      </c>
      <c r="B20" s="1">
        <v>0</v>
      </c>
      <c r="C20" s="1">
        <v>4.2</v>
      </c>
      <c r="D20" s="1">
        <v>0</v>
      </c>
      <c r="E20" s="1">
        <v>3.4</v>
      </c>
      <c r="F20" s="1">
        <v>0</v>
      </c>
      <c r="G20" s="1">
        <v>9.4</v>
      </c>
    </row>
    <row r="21" spans="1:7" x14ac:dyDescent="0.25">
      <c r="A21" s="1" t="s">
        <v>25</v>
      </c>
      <c r="B21" s="1">
        <v>10.1</v>
      </c>
      <c r="C21" s="1">
        <v>5.8</v>
      </c>
      <c r="D21" s="1">
        <v>10</v>
      </c>
      <c r="E21" s="1">
        <v>6.6</v>
      </c>
      <c r="F21" s="1">
        <v>10</v>
      </c>
      <c r="G21" s="1">
        <v>0.5</v>
      </c>
    </row>
    <row r="22" spans="1:7" x14ac:dyDescent="0.25">
      <c r="A22" s="1" t="s">
        <v>26</v>
      </c>
      <c r="B22" s="1">
        <v>0</v>
      </c>
      <c r="C22" s="1">
        <v>0</v>
      </c>
      <c r="D22" s="1">
        <v>1</v>
      </c>
      <c r="E22" s="1">
        <v>1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1</v>
      </c>
      <c r="E23" s="1">
        <v>1.1000000000000001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5</v>
      </c>
      <c r="D24" s="1">
        <v>0</v>
      </c>
      <c r="E24" s="1">
        <v>1.1000000000000001</v>
      </c>
      <c r="F24" s="1">
        <v>0</v>
      </c>
      <c r="G24" s="1">
        <v>9.9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5.0999999999999996</v>
      </c>
      <c r="F25" s="1">
        <v>3.1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5</v>
      </c>
      <c r="D26" s="1">
        <v>10</v>
      </c>
      <c r="E26" s="1">
        <v>3.8</v>
      </c>
      <c r="F26" s="1">
        <v>6.9</v>
      </c>
      <c r="G26" s="1">
        <v>0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50</v>
      </c>
      <c r="D29" s="3">
        <f t="shared" si="1"/>
        <v>0</v>
      </c>
      <c r="E29" s="3">
        <f t="shared" si="1"/>
        <v>11.000000000000002</v>
      </c>
      <c r="F29" s="3">
        <f t="shared" si="1"/>
        <v>0</v>
      </c>
      <c r="G29" s="3">
        <f t="shared" si="1"/>
        <v>100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51</v>
      </c>
      <c r="F30" s="3">
        <f t="shared" si="2"/>
        <v>31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50</v>
      </c>
      <c r="D31" s="3">
        <f t="shared" si="3"/>
        <v>100</v>
      </c>
      <c r="E31" s="3">
        <f t="shared" si="3"/>
        <v>38</v>
      </c>
      <c r="F31" s="3">
        <f t="shared" si="3"/>
        <v>69</v>
      </c>
      <c r="G31" s="3">
        <f t="shared" si="3"/>
        <v>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119.9</v>
      </c>
      <c r="C33" s="3">
        <v>2.5</v>
      </c>
      <c r="D33" s="3">
        <v>92.93</v>
      </c>
      <c r="E33" s="3">
        <v>14.57</v>
      </c>
      <c r="F33" s="3">
        <v>82.03</v>
      </c>
      <c r="G33" s="3">
        <v>-76.55</v>
      </c>
    </row>
    <row r="35" spans="1:7" x14ac:dyDescent="0.25">
      <c r="A35" s="3" t="s">
        <v>36</v>
      </c>
      <c r="B35" s="3"/>
      <c r="C35" s="3"/>
      <c r="D35" s="3">
        <f>D33-C33</f>
        <v>90.43</v>
      </c>
      <c r="E35" s="3"/>
      <c r="F35" s="3">
        <f>F33-E33</f>
        <v>67.460000000000008</v>
      </c>
      <c r="G35" s="3"/>
    </row>
    <row r="37" spans="1:7" x14ac:dyDescent="0.25">
      <c r="A37" s="3" t="s">
        <v>36</v>
      </c>
      <c r="B37" s="3"/>
      <c r="C37" s="3">
        <f>C33-B33</f>
        <v>-117.4</v>
      </c>
      <c r="D37" s="3"/>
      <c r="E37" s="3">
        <f>E33-D33</f>
        <v>-78.360000000000014</v>
      </c>
      <c r="F37" s="3"/>
      <c r="G37" s="3">
        <f>G33-F33</f>
        <v>-158.57999999999998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BCC58-6260-4A2A-8308-DC0B3E5A9C49}">
  <sheetPr codeName="Sheet7"/>
  <dimension ref="A1:G37"/>
  <sheetViews>
    <sheetView tabSelected="1" topLeftCell="A19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407</v>
      </c>
      <c r="C2" s="1">
        <v>395.12</v>
      </c>
      <c r="D2" s="1">
        <v>479.17</v>
      </c>
      <c r="E2" s="1">
        <v>367.76</v>
      </c>
      <c r="F2" s="1">
        <v>374.41</v>
      </c>
      <c r="G2" s="1">
        <v>377.8</v>
      </c>
    </row>
    <row r="3" spans="1:7" x14ac:dyDescent="0.25">
      <c r="A3" s="1" t="s">
        <v>7</v>
      </c>
      <c r="B3" s="1">
        <v>39.81</v>
      </c>
      <c r="C3" s="1">
        <v>41.43</v>
      </c>
      <c r="D3" s="1">
        <v>45.44</v>
      </c>
      <c r="E3" s="1">
        <v>38.03</v>
      </c>
      <c r="F3" s="1">
        <v>37.700000000000003</v>
      </c>
      <c r="G3" s="1">
        <v>37.86</v>
      </c>
    </row>
    <row r="4" spans="1:7" x14ac:dyDescent="0.25">
      <c r="A4" s="1" t="s">
        <v>8</v>
      </c>
      <c r="B4" s="1">
        <v>16488.68</v>
      </c>
      <c r="C4" s="1">
        <v>16618.849999999999</v>
      </c>
      <c r="D4" s="1">
        <v>22311.21</v>
      </c>
      <c r="E4" s="1">
        <v>14180.1</v>
      </c>
      <c r="F4" s="1">
        <v>14343.96</v>
      </c>
      <c r="G4" s="1">
        <v>14565.7</v>
      </c>
    </row>
    <row r="5" spans="1:7" x14ac:dyDescent="0.25">
      <c r="A5" s="1" t="s">
        <v>9</v>
      </c>
      <c r="B5" s="1">
        <v>1854.64</v>
      </c>
      <c r="C5" s="1">
        <v>1696.89</v>
      </c>
      <c r="D5" s="1">
        <v>1812.05</v>
      </c>
      <c r="E5" s="1">
        <v>1771.08</v>
      </c>
      <c r="F5" s="1">
        <v>1291.8699999999999</v>
      </c>
      <c r="G5" s="1">
        <v>1760.32</v>
      </c>
    </row>
    <row r="6" spans="1:7" x14ac:dyDescent="0.25">
      <c r="A6" s="3" t="s">
        <v>10</v>
      </c>
      <c r="B6" s="3">
        <v>185.46</v>
      </c>
      <c r="C6" s="3">
        <v>171.4</v>
      </c>
      <c r="D6" s="3">
        <v>183.04</v>
      </c>
      <c r="E6" s="3">
        <v>178.9</v>
      </c>
      <c r="F6" s="3">
        <v>130.49</v>
      </c>
      <c r="G6" s="3">
        <v>179.62</v>
      </c>
    </row>
    <row r="7" spans="1:7" x14ac:dyDescent="0.25">
      <c r="A7" s="1" t="s">
        <v>11</v>
      </c>
      <c r="B7" s="1">
        <v>1695.93</v>
      </c>
      <c r="C7" s="1">
        <v>1585.52</v>
      </c>
      <c r="D7" s="1">
        <v>1492.82</v>
      </c>
      <c r="E7" s="1">
        <v>1489.02</v>
      </c>
      <c r="F7" s="1">
        <v>1108.3</v>
      </c>
      <c r="G7" s="1">
        <v>1607.04</v>
      </c>
    </row>
    <row r="8" spans="1:7" x14ac:dyDescent="0.25">
      <c r="A8" s="1" t="s">
        <v>12</v>
      </c>
      <c r="B8" s="1">
        <v>169.59</v>
      </c>
      <c r="C8" s="1">
        <v>160.15</v>
      </c>
      <c r="D8" s="1">
        <v>150.79</v>
      </c>
      <c r="E8" s="1">
        <v>150.41</v>
      </c>
      <c r="F8" s="1">
        <v>111.95</v>
      </c>
      <c r="G8" s="1">
        <v>163.98</v>
      </c>
    </row>
    <row r="9" spans="1:7" x14ac:dyDescent="0.25">
      <c r="A9" s="1" t="s">
        <v>13</v>
      </c>
      <c r="B9" s="1">
        <v>1695.93</v>
      </c>
      <c r="C9" s="1">
        <v>1585.52</v>
      </c>
      <c r="D9" s="1">
        <v>1387.66</v>
      </c>
      <c r="E9" s="1">
        <v>1481.82</v>
      </c>
      <c r="F9" s="1">
        <v>1056.57</v>
      </c>
      <c r="G9" s="1">
        <v>1607.04</v>
      </c>
    </row>
    <row r="10" spans="1:7" x14ac:dyDescent="0.25">
      <c r="A10" s="1" t="s">
        <v>14</v>
      </c>
      <c r="B10" s="1">
        <v>169.59</v>
      </c>
      <c r="C10" s="1">
        <v>160.15</v>
      </c>
      <c r="D10" s="1">
        <v>140.16999999999999</v>
      </c>
      <c r="E10" s="1">
        <v>149.68</v>
      </c>
      <c r="F10" s="1">
        <v>106.72</v>
      </c>
      <c r="G10" s="1">
        <v>163.98</v>
      </c>
    </row>
    <row r="11" spans="1:7" x14ac:dyDescent="0.25">
      <c r="A11" s="1" t="s">
        <v>15</v>
      </c>
      <c r="B11" s="1">
        <v>1468.55</v>
      </c>
      <c r="C11" s="1">
        <v>1011.59</v>
      </c>
      <c r="D11" s="1">
        <v>1026.57</v>
      </c>
      <c r="E11" s="1">
        <v>1315.79</v>
      </c>
      <c r="F11" s="1">
        <v>714.16</v>
      </c>
      <c r="G11" s="1">
        <v>1406.5</v>
      </c>
    </row>
    <row r="12" spans="1:7" x14ac:dyDescent="0.25">
      <c r="A12" s="1" t="s">
        <v>16</v>
      </c>
      <c r="B12" s="1">
        <v>201</v>
      </c>
      <c r="C12" s="1">
        <v>192.81</v>
      </c>
      <c r="D12" s="1">
        <v>220.01</v>
      </c>
      <c r="E12" s="1">
        <v>228.19</v>
      </c>
      <c r="F12" s="1">
        <v>185.5</v>
      </c>
      <c r="G12" s="1">
        <v>204.07</v>
      </c>
    </row>
    <row r="13" spans="1:7" x14ac:dyDescent="0.25">
      <c r="A13" s="1" t="s">
        <v>17</v>
      </c>
      <c r="B13" s="1">
        <v>31.06</v>
      </c>
      <c r="C13" s="1">
        <v>47.43</v>
      </c>
      <c r="D13" s="1">
        <v>56.38</v>
      </c>
      <c r="E13" s="1">
        <v>31.86</v>
      </c>
      <c r="F13" s="1">
        <v>36.700000000000003</v>
      </c>
      <c r="G13" s="1">
        <v>32.340000000000003</v>
      </c>
    </row>
    <row r="14" spans="1:7" x14ac:dyDescent="0.25">
      <c r="A14" s="1" t="s">
        <v>18</v>
      </c>
      <c r="B14" s="1">
        <v>62.35</v>
      </c>
      <c r="C14" s="1">
        <v>90.38</v>
      </c>
      <c r="D14" s="1">
        <v>110.13</v>
      </c>
      <c r="E14" s="1">
        <v>70.900000000000006</v>
      </c>
      <c r="F14" s="1">
        <v>70.22</v>
      </c>
      <c r="G14" s="1">
        <v>64.180000000000007</v>
      </c>
    </row>
    <row r="15" spans="1:7" x14ac:dyDescent="0.25">
      <c r="A15" s="1" t="s">
        <v>19</v>
      </c>
      <c r="B15" s="1">
        <v>8</v>
      </c>
      <c r="C15" s="1">
        <v>10</v>
      </c>
      <c r="D15" s="1">
        <v>7</v>
      </c>
      <c r="E15" s="1">
        <v>7</v>
      </c>
      <c r="F15" s="1">
        <v>6</v>
      </c>
      <c r="G15" s="1">
        <v>10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1695.93</v>
      </c>
      <c r="C17" s="1">
        <v>1585.52</v>
      </c>
      <c r="D17" s="1">
        <v>1440.24</v>
      </c>
      <c r="E17" s="1">
        <v>1485.42</v>
      </c>
      <c r="F17" s="1">
        <v>1082.43</v>
      </c>
      <c r="G17" s="1">
        <v>1607.04</v>
      </c>
    </row>
    <row r="18" spans="1:7" x14ac:dyDescent="0.25">
      <c r="A18" s="1" t="s">
        <v>22</v>
      </c>
      <c r="B18" s="1">
        <v>0</v>
      </c>
      <c r="C18" s="1">
        <v>0</v>
      </c>
      <c r="D18" s="1">
        <v>52.58</v>
      </c>
      <c r="E18" s="1">
        <v>3.6</v>
      </c>
      <c r="F18" s="1">
        <v>25.87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1</v>
      </c>
      <c r="E19" s="1">
        <v>0</v>
      </c>
      <c r="F19" s="1">
        <v>1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0.9</v>
      </c>
      <c r="E20" s="1">
        <v>0</v>
      </c>
      <c r="F20" s="1">
        <v>0.6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9.1</v>
      </c>
      <c r="E21" s="1">
        <v>10</v>
      </c>
      <c r="F21" s="1">
        <v>9.4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180.47</v>
      </c>
      <c r="C33" s="3">
        <v>168.01</v>
      </c>
      <c r="D33" s="3">
        <v>151.33000000000001</v>
      </c>
      <c r="E33" s="3">
        <v>172.52</v>
      </c>
      <c r="F33" s="3">
        <v>123.25</v>
      </c>
      <c r="G33" s="3">
        <v>173.91</v>
      </c>
    </row>
    <row r="35" spans="1:7" x14ac:dyDescent="0.25">
      <c r="A35" s="3" t="s">
        <v>36</v>
      </c>
      <c r="B35" s="3"/>
      <c r="C35" s="3"/>
      <c r="D35" s="3">
        <f>D33-C33</f>
        <v>-16.679999999999978</v>
      </c>
      <c r="E35" s="3"/>
      <c r="F35" s="3">
        <f>F33-E33</f>
        <v>-49.27000000000001</v>
      </c>
      <c r="G35" s="3"/>
    </row>
    <row r="37" spans="1:7" x14ac:dyDescent="0.25">
      <c r="A37" s="3" t="s">
        <v>36</v>
      </c>
      <c r="B37" s="3"/>
      <c r="C37" s="3">
        <f>C33-B33</f>
        <v>-12.460000000000008</v>
      </c>
      <c r="D37" s="3"/>
      <c r="E37" s="3">
        <f>E33-D33</f>
        <v>21.189999999999998</v>
      </c>
      <c r="F37" s="3"/>
      <c r="G37" s="3">
        <f>G33-F33</f>
        <v>50.66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0D1F2-AEB8-4062-BBC1-3C9747E56E41}">
  <sheetPr codeName="Sheet4"/>
  <dimension ref="A1:G37"/>
  <sheetViews>
    <sheetView workbookViewId="0">
      <selection activeCell="I23" sqref="I23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/>
      <c r="C2" s="1"/>
      <c r="D2" s="1"/>
      <c r="E2" s="1"/>
      <c r="F2" s="1"/>
      <c r="G2" s="1"/>
    </row>
    <row r="3" spans="1:7" x14ac:dyDescent="0.25">
      <c r="A3" s="1" t="s">
        <v>7</v>
      </c>
      <c r="B3" s="1"/>
      <c r="C3" s="1"/>
      <c r="D3" s="1"/>
      <c r="E3" s="1"/>
      <c r="F3" s="1"/>
      <c r="G3" s="1"/>
    </row>
    <row r="4" spans="1:7" x14ac:dyDescent="0.25">
      <c r="A4" s="1" t="s">
        <v>8</v>
      </c>
      <c r="B4" s="1"/>
      <c r="C4" s="1"/>
      <c r="D4" s="1"/>
      <c r="E4" s="1"/>
      <c r="F4" s="1"/>
      <c r="G4" s="1"/>
    </row>
    <row r="5" spans="1:7" x14ac:dyDescent="0.25">
      <c r="A5" s="1" t="s">
        <v>9</v>
      </c>
      <c r="B5" s="1"/>
      <c r="C5" s="1"/>
      <c r="D5" s="1"/>
      <c r="E5" s="1"/>
      <c r="F5" s="1"/>
      <c r="G5" s="1"/>
    </row>
    <row r="6" spans="1:7" x14ac:dyDescent="0.25">
      <c r="A6" s="3" t="s">
        <v>10</v>
      </c>
      <c r="B6" s="3"/>
      <c r="C6" s="3"/>
      <c r="D6" s="3"/>
      <c r="E6" s="3"/>
      <c r="F6" s="3"/>
      <c r="G6" s="3"/>
    </row>
    <row r="7" spans="1:7" x14ac:dyDescent="0.25">
      <c r="A7" s="1" t="s">
        <v>11</v>
      </c>
      <c r="B7" s="1"/>
      <c r="C7" s="1"/>
      <c r="D7" s="1"/>
      <c r="E7" s="1"/>
      <c r="F7" s="1"/>
      <c r="G7" s="1"/>
    </row>
    <row r="8" spans="1:7" x14ac:dyDescent="0.25">
      <c r="A8" s="1" t="s">
        <v>12</v>
      </c>
      <c r="B8" s="1"/>
      <c r="C8" s="1"/>
      <c r="D8" s="1"/>
      <c r="E8" s="1"/>
      <c r="F8" s="1"/>
      <c r="G8" s="1"/>
    </row>
    <row r="9" spans="1:7" x14ac:dyDescent="0.25">
      <c r="A9" s="1" t="s">
        <v>13</v>
      </c>
      <c r="B9" s="1"/>
      <c r="C9" s="1"/>
      <c r="D9" s="1"/>
      <c r="E9" s="1"/>
      <c r="F9" s="1"/>
      <c r="G9" s="1"/>
    </row>
    <row r="10" spans="1:7" x14ac:dyDescent="0.25">
      <c r="A10" s="1" t="s">
        <v>14</v>
      </c>
      <c r="B10" s="1"/>
      <c r="C10" s="1"/>
      <c r="D10" s="1"/>
      <c r="E10" s="1"/>
      <c r="F10" s="1"/>
      <c r="G10" s="1"/>
    </row>
    <row r="11" spans="1:7" x14ac:dyDescent="0.25">
      <c r="A11" s="1" t="s">
        <v>15</v>
      </c>
      <c r="B11" s="1"/>
      <c r="C11" s="1"/>
      <c r="D11" s="1"/>
      <c r="E11" s="1"/>
      <c r="F11" s="1"/>
      <c r="G11" s="1"/>
    </row>
    <row r="12" spans="1:7" x14ac:dyDescent="0.25">
      <c r="A12" s="1" t="s">
        <v>16</v>
      </c>
      <c r="B12" s="1"/>
      <c r="C12" s="1"/>
      <c r="D12" s="1"/>
      <c r="E12" s="1"/>
      <c r="F12" s="1"/>
      <c r="G12" s="1"/>
    </row>
    <row r="13" spans="1:7" x14ac:dyDescent="0.25">
      <c r="A13" s="1" t="s">
        <v>17</v>
      </c>
      <c r="B13" s="1"/>
      <c r="C13" s="1"/>
      <c r="D13" s="1"/>
      <c r="E13" s="1"/>
      <c r="F13" s="1"/>
      <c r="G13" s="1"/>
    </row>
    <row r="14" spans="1:7" x14ac:dyDescent="0.25">
      <c r="A14" s="1" t="s">
        <v>18</v>
      </c>
      <c r="B14" s="1"/>
      <c r="C14" s="1"/>
      <c r="D14" s="1"/>
      <c r="E14" s="1"/>
      <c r="F14" s="1"/>
      <c r="G14" s="1"/>
    </row>
    <row r="15" spans="1:7" x14ac:dyDescent="0.25">
      <c r="A15" s="1" t="s">
        <v>19</v>
      </c>
      <c r="B15" s="1"/>
      <c r="C15" s="1"/>
      <c r="D15" s="1"/>
      <c r="E15" s="1"/>
      <c r="F15" s="1"/>
      <c r="G15" s="1"/>
    </row>
    <row r="16" spans="1:7" x14ac:dyDescent="0.25">
      <c r="A16" s="1" t="s">
        <v>20</v>
      </c>
      <c r="B16" s="1"/>
      <c r="C16" s="1"/>
      <c r="D16" s="1"/>
      <c r="E16" s="1"/>
      <c r="F16" s="1"/>
      <c r="G16" s="1"/>
    </row>
    <row r="17" spans="1:7" x14ac:dyDescent="0.25">
      <c r="A17" s="1" t="s">
        <v>21</v>
      </c>
      <c r="B17" s="1"/>
      <c r="C17" s="1"/>
      <c r="D17" s="1"/>
      <c r="E17" s="1"/>
      <c r="F17" s="1"/>
      <c r="G17" s="1"/>
    </row>
    <row r="18" spans="1:7" x14ac:dyDescent="0.25">
      <c r="A18" s="1" t="s">
        <v>22</v>
      </c>
      <c r="B18" s="1"/>
      <c r="C18" s="1"/>
      <c r="D18" s="1"/>
      <c r="E18" s="1"/>
      <c r="F18" s="1"/>
      <c r="G18" s="1"/>
    </row>
    <row r="19" spans="1:7" x14ac:dyDescent="0.25">
      <c r="A19" s="1" t="s">
        <v>23</v>
      </c>
      <c r="B19" s="1"/>
      <c r="C19" s="1"/>
      <c r="D19" s="1"/>
      <c r="E19" s="1"/>
      <c r="F19" s="1"/>
      <c r="G19" s="1"/>
    </row>
    <row r="20" spans="1:7" x14ac:dyDescent="0.25">
      <c r="A20" s="1" t="s">
        <v>24</v>
      </c>
      <c r="B20" s="1"/>
      <c r="C20" s="1"/>
      <c r="D20" s="1"/>
      <c r="E20" s="1"/>
      <c r="F20" s="1"/>
      <c r="G20" s="1"/>
    </row>
    <row r="21" spans="1:7" x14ac:dyDescent="0.25">
      <c r="A21" s="1" t="s">
        <v>25</v>
      </c>
      <c r="B21" s="1"/>
      <c r="C21" s="1"/>
      <c r="D21" s="1"/>
      <c r="E21" s="1"/>
      <c r="F21" s="1"/>
      <c r="G21" s="1"/>
    </row>
    <row r="22" spans="1:7" x14ac:dyDescent="0.25">
      <c r="A22" s="1" t="s">
        <v>26</v>
      </c>
      <c r="B22" s="1"/>
      <c r="C22" s="1"/>
      <c r="D22" s="1"/>
      <c r="E22" s="1"/>
      <c r="F22" s="1"/>
      <c r="G22" s="1"/>
    </row>
    <row r="23" spans="1:7" x14ac:dyDescent="0.25">
      <c r="A23" s="1" t="s">
        <v>27</v>
      </c>
      <c r="B23" s="1"/>
      <c r="C23" s="1"/>
      <c r="D23" s="1"/>
      <c r="E23" s="1"/>
      <c r="F23" s="1"/>
      <c r="G23" s="1"/>
    </row>
    <row r="24" spans="1:7" x14ac:dyDescent="0.25">
      <c r="A24" s="1" t="s">
        <v>28</v>
      </c>
      <c r="B24" s="1"/>
      <c r="C24" s="1"/>
      <c r="D24" s="1"/>
      <c r="E24" s="1"/>
      <c r="F24" s="1"/>
      <c r="G24" s="1"/>
    </row>
    <row r="25" spans="1:7" x14ac:dyDescent="0.25">
      <c r="A25" s="1" t="s">
        <v>29</v>
      </c>
      <c r="B25" s="1"/>
      <c r="C25" s="1"/>
      <c r="D25" s="1"/>
      <c r="E25" s="1"/>
      <c r="F25" s="1"/>
      <c r="G25" s="1"/>
    </row>
    <row r="26" spans="1:7" x14ac:dyDescent="0.25">
      <c r="A26" s="1" t="s">
        <v>30</v>
      </c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25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25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25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/>
      <c r="C33" s="3"/>
      <c r="D33" s="3"/>
      <c r="E33" s="3"/>
      <c r="F33" s="3"/>
      <c r="G33" s="3"/>
    </row>
    <row r="35" spans="1:7" x14ac:dyDescent="0.25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25">
      <c r="A37" s="3" t="s">
        <v>36</v>
      </c>
      <c r="B37" s="3"/>
      <c r="C37" s="3">
        <f>C33-B33</f>
        <v>0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231031A003.2</vt:lpstr>
      <vt:lpstr>231031A003.5</vt:lpstr>
      <vt:lpstr>231031A004.1</vt:lpstr>
      <vt:lpstr>231031A004.2</vt:lpstr>
      <vt:lpstr>231031A004.3</vt:lpstr>
      <vt:lpstr>231031A004.5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hallemlab</cp:lastModifiedBy>
  <dcterms:created xsi:type="dcterms:W3CDTF">2023-11-07T01:24:15Z</dcterms:created>
  <dcterms:modified xsi:type="dcterms:W3CDTF">2023-11-07T03:37:00Z</dcterms:modified>
</cp:coreProperties>
</file>