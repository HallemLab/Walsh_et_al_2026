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ratti\iL3s\wild-type\2023-1124\WormLab Data\"/>
    </mc:Choice>
  </mc:AlternateContent>
  <xr:revisionPtr revIDLastSave="0" documentId="13_ncr:1_{85713E21-F7C7-40E0-A6A4-82065DC85908}" xr6:coauthVersionLast="36" xr6:coauthVersionMax="36" xr10:uidLastSave="{00000000-0000-0000-0000-000000000000}"/>
  <bookViews>
    <workbookView xWindow="0" yWindow="0" windowWidth="21570" windowHeight="7920" firstSheet="3" activeTab="8" xr2:uid="{25169489-DE91-46D1-BD56-2324FB837329}"/>
  </bookViews>
  <sheets>
    <sheet name="231124A001.1" sheetId="2" r:id="rId1"/>
    <sheet name="231124A001.4" sheetId="3" r:id="rId2"/>
    <sheet name="231124A001.5" sheetId="4" r:id="rId3"/>
    <sheet name="231124A002.1" sheetId="5" r:id="rId4"/>
    <sheet name="231124A002.2" sheetId="6" r:id="rId5"/>
    <sheet name="231124A002.5" sheetId="7" r:id="rId6"/>
    <sheet name="231124A004.1" sheetId="8" r:id="rId7"/>
    <sheet name="231124A004.2" sheetId="9" r:id="rId8"/>
    <sheet name="231124A004.5" sheetId="10" r:id="rId9"/>
    <sheet name="template" sheetId="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0" l="1"/>
  <c r="E37" i="10"/>
  <c r="C37" i="10"/>
  <c r="F35" i="10"/>
  <c r="D35" i="10"/>
  <c r="F31" i="10"/>
  <c r="E31" i="10"/>
  <c r="D31" i="10"/>
  <c r="C31" i="10"/>
  <c r="G30" i="10"/>
  <c r="F30" i="10"/>
  <c r="E30" i="10"/>
  <c r="D30" i="10"/>
  <c r="C30" i="10"/>
  <c r="B30" i="10"/>
  <c r="G29" i="10"/>
  <c r="F29" i="10"/>
  <c r="E29" i="10"/>
  <c r="D29" i="10"/>
  <c r="G28" i="10"/>
  <c r="G31" i="10" s="1"/>
  <c r="F28" i="10"/>
  <c r="E28" i="10"/>
  <c r="D28" i="10"/>
  <c r="C28" i="10"/>
  <c r="C29" i="10" s="1"/>
  <c r="B28" i="10"/>
  <c r="B29" i="10" s="1"/>
  <c r="G37" i="9"/>
  <c r="E37" i="9"/>
  <c r="C37" i="9"/>
  <c r="F35" i="9"/>
  <c r="D35" i="9"/>
  <c r="G28" i="9"/>
  <c r="G29" i="9" s="1"/>
  <c r="F28" i="9"/>
  <c r="F30" i="9" s="1"/>
  <c r="E28" i="9"/>
  <c r="E29" i="9" s="1"/>
  <c r="D28" i="9"/>
  <c r="D29" i="9" s="1"/>
  <c r="C28" i="9"/>
  <c r="C31" i="9" s="1"/>
  <c r="B28" i="9"/>
  <c r="B31" i="9" s="1"/>
  <c r="G37" i="8"/>
  <c r="E37" i="8"/>
  <c r="C37" i="8"/>
  <c r="F35" i="8"/>
  <c r="D35" i="8"/>
  <c r="G28" i="8"/>
  <c r="G31" i="8" s="1"/>
  <c r="F28" i="8"/>
  <c r="F31" i="8" s="1"/>
  <c r="E28" i="8"/>
  <c r="E31" i="8" s="1"/>
  <c r="D28" i="8"/>
  <c r="D31" i="8" s="1"/>
  <c r="C28" i="8"/>
  <c r="C31" i="8" s="1"/>
  <c r="B28" i="8"/>
  <c r="B31" i="8" s="1"/>
  <c r="B31" i="10" l="1"/>
  <c r="D31" i="9"/>
  <c r="E31" i="9"/>
  <c r="F31" i="9"/>
  <c r="G31" i="9"/>
  <c r="B29" i="9"/>
  <c r="F29" i="9"/>
  <c r="B30" i="9"/>
  <c r="D30" i="9"/>
  <c r="E30" i="9"/>
  <c r="G30" i="9"/>
  <c r="C29" i="9"/>
  <c r="C30" i="9"/>
  <c r="F30" i="8"/>
  <c r="E29" i="8"/>
  <c r="D29" i="8"/>
  <c r="F29" i="8"/>
  <c r="G29" i="8"/>
  <c r="B30" i="8"/>
  <c r="C29" i="8"/>
  <c r="C30" i="8"/>
  <c r="D30" i="8"/>
  <c r="B29" i="8"/>
  <c r="E30" i="8"/>
  <c r="G30" i="8"/>
  <c r="G37" i="7"/>
  <c r="E37" i="7"/>
  <c r="C37" i="7"/>
  <c r="F35" i="7"/>
  <c r="D35" i="7"/>
  <c r="F30" i="7"/>
  <c r="C30" i="7"/>
  <c r="B30" i="7"/>
  <c r="G28" i="7"/>
  <c r="G31" i="7" s="1"/>
  <c r="F28" i="7"/>
  <c r="F31" i="7" s="1"/>
  <c r="E28" i="7"/>
  <c r="E29" i="7" s="1"/>
  <c r="D28" i="7"/>
  <c r="D31" i="7" s="1"/>
  <c r="C28" i="7"/>
  <c r="C29" i="7" s="1"/>
  <c r="B28" i="7"/>
  <c r="B29" i="7" s="1"/>
  <c r="G37" i="6"/>
  <c r="E37" i="6"/>
  <c r="C37" i="6"/>
  <c r="F35" i="6"/>
  <c r="D35" i="6"/>
  <c r="E31" i="6"/>
  <c r="D31" i="6"/>
  <c r="C31" i="6"/>
  <c r="B31" i="6"/>
  <c r="E30" i="6"/>
  <c r="D30" i="6"/>
  <c r="C30" i="6"/>
  <c r="B30" i="6"/>
  <c r="E29" i="6"/>
  <c r="G28" i="6"/>
  <c r="G31" i="6" s="1"/>
  <c r="F28" i="6"/>
  <c r="F31" i="6" s="1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F31" i="5"/>
  <c r="G30" i="5"/>
  <c r="G28" i="5"/>
  <c r="G29" i="5" s="1"/>
  <c r="F28" i="5"/>
  <c r="F29" i="5" s="1"/>
  <c r="E28" i="5"/>
  <c r="E30" i="5" s="1"/>
  <c r="D28" i="5"/>
  <c r="D29" i="5" s="1"/>
  <c r="C28" i="5"/>
  <c r="C30" i="5" s="1"/>
  <c r="B28" i="5"/>
  <c r="B31" i="5" s="1"/>
  <c r="E31" i="7" l="1"/>
  <c r="D29" i="7"/>
  <c r="F29" i="7"/>
  <c r="D30" i="7"/>
  <c r="E30" i="7"/>
  <c r="G30" i="7"/>
  <c r="G29" i="7"/>
  <c r="B31" i="7"/>
  <c r="C31" i="7"/>
  <c r="F30" i="6"/>
  <c r="G30" i="6"/>
  <c r="F29" i="6"/>
  <c r="G29" i="6"/>
  <c r="E29" i="5"/>
  <c r="F30" i="5"/>
  <c r="C31" i="5"/>
  <c r="E31" i="5"/>
  <c r="G31" i="5"/>
  <c r="D30" i="5"/>
  <c r="D31" i="5"/>
  <c r="B29" i="5"/>
  <c r="C29" i="5"/>
  <c r="B30" i="5"/>
  <c r="G37" i="4"/>
  <c r="E37" i="4"/>
  <c r="C37" i="4"/>
  <c r="F35" i="4"/>
  <c r="D35" i="4"/>
  <c r="B31" i="4"/>
  <c r="E30" i="4"/>
  <c r="B30" i="4"/>
  <c r="E29" i="4"/>
  <c r="G28" i="4"/>
  <c r="G31" i="4" s="1"/>
  <c r="F28" i="4"/>
  <c r="F31" i="4" s="1"/>
  <c r="E28" i="4"/>
  <c r="E31" i="4" s="1"/>
  <c r="D28" i="4"/>
  <c r="D29" i="4" s="1"/>
  <c r="C28" i="4"/>
  <c r="C29" i="4" s="1"/>
  <c r="B28" i="4"/>
  <c r="B29" i="4" s="1"/>
  <c r="G37" i="3"/>
  <c r="E37" i="3"/>
  <c r="C37" i="3"/>
  <c r="F35" i="3"/>
  <c r="D35" i="3"/>
  <c r="C31" i="3"/>
  <c r="B31" i="3"/>
  <c r="C30" i="3"/>
  <c r="B30" i="3"/>
  <c r="E29" i="3"/>
  <c r="D29" i="3"/>
  <c r="C29" i="3"/>
  <c r="B29" i="3"/>
  <c r="G28" i="3"/>
  <c r="G31" i="3" s="1"/>
  <c r="F28" i="3"/>
  <c r="F31" i="3" s="1"/>
  <c r="E28" i="3"/>
  <c r="E31" i="3" s="1"/>
  <c r="D28" i="3"/>
  <c r="D31" i="3" s="1"/>
  <c r="C28" i="3"/>
  <c r="B28" i="3"/>
  <c r="G37" i="2"/>
  <c r="E37" i="2"/>
  <c r="C37" i="2"/>
  <c r="F35" i="2"/>
  <c r="D35" i="2"/>
  <c r="E31" i="2"/>
  <c r="D31" i="2"/>
  <c r="C31" i="2"/>
  <c r="B31" i="2"/>
  <c r="E30" i="2"/>
  <c r="D30" i="2"/>
  <c r="C30" i="2"/>
  <c r="B30" i="2"/>
  <c r="G29" i="2"/>
  <c r="E29" i="2"/>
  <c r="G28" i="2"/>
  <c r="G31" i="2" s="1"/>
  <c r="F28" i="2"/>
  <c r="F29" i="2" s="1"/>
  <c r="E28" i="2"/>
  <c r="D28" i="2"/>
  <c r="D29" i="2" s="1"/>
  <c r="C28" i="2"/>
  <c r="C29" i="2" s="1"/>
  <c r="B28" i="2"/>
  <c r="B29" i="2" s="1"/>
  <c r="G37" i="1"/>
  <c r="E37" i="1"/>
  <c r="C37" i="1"/>
  <c r="F35" i="1"/>
  <c r="D35" i="1"/>
  <c r="B31" i="1"/>
  <c r="E30" i="1"/>
  <c r="E29" i="1"/>
  <c r="G28" i="1"/>
  <c r="G31" i="1" s="1"/>
  <c r="F28" i="1"/>
  <c r="F31" i="1" s="1"/>
  <c r="E28" i="1"/>
  <c r="E31" i="1" s="1"/>
  <c r="D28" i="1"/>
  <c r="D31" i="1" s="1"/>
  <c r="C28" i="1"/>
  <c r="C31" i="1" s="1"/>
  <c r="B28" i="1"/>
  <c r="B29" i="1" s="1"/>
  <c r="C30" i="4" l="1"/>
  <c r="F29" i="4"/>
  <c r="F30" i="4"/>
  <c r="D30" i="4"/>
  <c r="C31" i="4"/>
  <c r="D31" i="4"/>
  <c r="G29" i="4"/>
  <c r="G30" i="4"/>
  <c r="E30" i="3"/>
  <c r="D30" i="3"/>
  <c r="F29" i="3"/>
  <c r="F30" i="3"/>
  <c r="G29" i="3"/>
  <c r="G30" i="3"/>
  <c r="F30" i="2"/>
  <c r="F31" i="2"/>
  <c r="G30" i="2"/>
  <c r="F29" i="1"/>
  <c r="C29" i="1"/>
  <c r="G29" i="1"/>
  <c r="D29" i="1"/>
  <c r="B30" i="1"/>
  <c r="C30" i="1"/>
  <c r="D30" i="1"/>
  <c r="F30" i="1"/>
  <c r="G30" i="1"/>
</calcChain>
</file>

<file path=xl/sharedStrings.xml><?xml version="1.0" encoding="utf-8"?>
<sst xmlns="http://schemas.openxmlformats.org/spreadsheetml/2006/main" count="380" uniqueCount="37">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</sst>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94D9-A2E2-419E-8E2A-EF01FC9429A5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465.23</v>
      </c>
      <c r="C2" s="1">
        <v>493.42</v>
      </c>
      <c r="D2" s="1">
        <v>472.02</v>
      </c>
      <c r="E2" s="1">
        <v>460.38</v>
      </c>
      <c r="F2" s="1">
        <v>495.05</v>
      </c>
      <c r="G2" s="1">
        <v>472.54</v>
      </c>
    </row>
    <row r="3" spans="1:7" x14ac:dyDescent="0.25">
      <c r="A3" s="1" t="s">
        <v>7</v>
      </c>
      <c r="B3" s="1">
        <v>43.53</v>
      </c>
      <c r="C3" s="1">
        <v>46.62</v>
      </c>
      <c r="D3" s="1">
        <v>44.89</v>
      </c>
      <c r="E3" s="1">
        <v>50.74</v>
      </c>
      <c r="F3" s="1">
        <v>50.78</v>
      </c>
      <c r="G3" s="1">
        <v>46.39</v>
      </c>
    </row>
    <row r="4" spans="1:7" x14ac:dyDescent="0.25">
      <c r="A4" s="1" t="s">
        <v>8</v>
      </c>
      <c r="B4" s="1">
        <v>20549.7</v>
      </c>
      <c r="C4" s="1">
        <v>23400.62</v>
      </c>
      <c r="D4" s="1">
        <v>21556.53</v>
      </c>
      <c r="E4" s="1">
        <v>23789.21</v>
      </c>
      <c r="F4" s="1">
        <v>25560.14</v>
      </c>
      <c r="G4" s="1">
        <v>22340.48</v>
      </c>
    </row>
    <row r="5" spans="1:7" x14ac:dyDescent="0.25">
      <c r="A5" s="1" t="s">
        <v>9</v>
      </c>
      <c r="B5" s="1">
        <v>1672.51</v>
      </c>
      <c r="C5" s="1">
        <v>1772.74</v>
      </c>
      <c r="D5" s="1">
        <v>1581.2</v>
      </c>
      <c r="E5" s="1">
        <v>1926.03</v>
      </c>
      <c r="F5" s="1">
        <v>1686.81</v>
      </c>
      <c r="G5" s="1">
        <v>1670.37</v>
      </c>
    </row>
    <row r="6" spans="1:7" x14ac:dyDescent="0.25">
      <c r="A6" s="3" t="s">
        <v>10</v>
      </c>
      <c r="B6" s="3">
        <v>167.25</v>
      </c>
      <c r="C6" s="3">
        <v>179.06</v>
      </c>
      <c r="D6" s="3">
        <v>159.72</v>
      </c>
      <c r="E6" s="3">
        <v>194.55</v>
      </c>
      <c r="F6" s="3">
        <v>170.39</v>
      </c>
      <c r="G6" s="3">
        <v>170.45</v>
      </c>
    </row>
    <row r="7" spans="1:7" x14ac:dyDescent="0.25">
      <c r="A7" s="1" t="s">
        <v>11</v>
      </c>
      <c r="B7" s="1">
        <v>1553.59</v>
      </c>
      <c r="C7" s="1">
        <v>1603.1</v>
      </c>
      <c r="D7" s="1">
        <v>1415.46</v>
      </c>
      <c r="E7" s="1">
        <v>1706.76</v>
      </c>
      <c r="F7" s="1">
        <v>1523.89</v>
      </c>
      <c r="G7" s="1">
        <v>1516.63</v>
      </c>
    </row>
    <row r="8" spans="1:7" x14ac:dyDescent="0.25">
      <c r="A8" s="1" t="s">
        <v>12</v>
      </c>
      <c r="B8" s="1">
        <v>155.36000000000001</v>
      </c>
      <c r="C8" s="1">
        <v>161.93</v>
      </c>
      <c r="D8" s="1">
        <v>142.97999999999999</v>
      </c>
      <c r="E8" s="1">
        <v>172.4</v>
      </c>
      <c r="F8" s="1">
        <v>153.93</v>
      </c>
      <c r="G8" s="1">
        <v>154.76</v>
      </c>
    </row>
    <row r="9" spans="1:7" x14ac:dyDescent="0.25">
      <c r="A9" s="1" t="s">
        <v>13</v>
      </c>
      <c r="B9" s="1">
        <v>1553.59</v>
      </c>
      <c r="C9" s="1">
        <v>1603.1</v>
      </c>
      <c r="D9" s="1">
        <v>1400.51</v>
      </c>
      <c r="E9" s="1">
        <v>1706.76</v>
      </c>
      <c r="F9" s="1">
        <v>1523.89</v>
      </c>
      <c r="G9" s="1">
        <v>1516.63</v>
      </c>
    </row>
    <row r="10" spans="1:7" x14ac:dyDescent="0.25">
      <c r="A10" s="1" t="s">
        <v>14</v>
      </c>
      <c r="B10" s="1">
        <v>155.36000000000001</v>
      </c>
      <c r="C10" s="1">
        <v>161.93</v>
      </c>
      <c r="D10" s="1">
        <v>141.47</v>
      </c>
      <c r="E10" s="1">
        <v>172.4</v>
      </c>
      <c r="F10" s="1">
        <v>153.93</v>
      </c>
      <c r="G10" s="1">
        <v>154.76</v>
      </c>
    </row>
    <row r="11" spans="1:7" x14ac:dyDescent="0.25">
      <c r="A11" s="1" t="s">
        <v>15</v>
      </c>
      <c r="B11" s="1">
        <v>1291.21</v>
      </c>
      <c r="C11" s="1">
        <v>1472.44</v>
      </c>
      <c r="D11" s="1">
        <v>1198.76</v>
      </c>
      <c r="E11" s="1">
        <v>1696.08</v>
      </c>
      <c r="F11" s="1">
        <v>1089.78</v>
      </c>
      <c r="G11" s="1">
        <v>1289.25</v>
      </c>
    </row>
    <row r="12" spans="1:7" x14ac:dyDescent="0.25">
      <c r="A12" s="1" t="s">
        <v>16</v>
      </c>
      <c r="B12" s="1">
        <v>226.94</v>
      </c>
      <c r="C12" s="1">
        <v>227.71</v>
      </c>
      <c r="D12" s="1">
        <v>214.76</v>
      </c>
      <c r="E12" s="1">
        <v>252.13</v>
      </c>
      <c r="F12" s="1">
        <v>234.42</v>
      </c>
      <c r="G12" s="1">
        <v>229.11</v>
      </c>
    </row>
    <row r="13" spans="1:7" x14ac:dyDescent="0.25">
      <c r="A13" s="1" t="s">
        <v>17</v>
      </c>
      <c r="B13" s="1">
        <v>29.87</v>
      </c>
      <c r="C13" s="1">
        <v>25.92</v>
      </c>
      <c r="D13" s="1">
        <v>25.42</v>
      </c>
      <c r="E13" s="1">
        <v>28.31</v>
      </c>
      <c r="F13" s="1">
        <v>30.05</v>
      </c>
      <c r="G13" s="1">
        <v>28.74</v>
      </c>
    </row>
    <row r="14" spans="1:7" x14ac:dyDescent="0.25">
      <c r="A14" s="1" t="s">
        <v>18</v>
      </c>
      <c r="B14" s="1">
        <v>58</v>
      </c>
      <c r="C14" s="1">
        <v>60.03</v>
      </c>
      <c r="D14" s="1">
        <v>59.07</v>
      </c>
      <c r="E14" s="1">
        <v>53.41</v>
      </c>
      <c r="F14" s="1">
        <v>82.73</v>
      </c>
      <c r="G14" s="1">
        <v>65.44</v>
      </c>
    </row>
    <row r="15" spans="1:7" x14ac:dyDescent="0.25">
      <c r="A15" s="1" t="s">
        <v>19</v>
      </c>
      <c r="B15" s="1">
        <v>6</v>
      </c>
      <c r="C15" s="1">
        <v>2</v>
      </c>
      <c r="D15" s="1">
        <v>3</v>
      </c>
      <c r="E15" s="1">
        <v>10</v>
      </c>
      <c r="F15" s="1">
        <v>3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1553.59</v>
      </c>
      <c r="C17" s="1">
        <v>1603.1</v>
      </c>
      <c r="D17" s="1">
        <v>1407.99</v>
      </c>
      <c r="E17" s="1">
        <v>1706.76</v>
      </c>
      <c r="F17" s="1">
        <v>1523.89</v>
      </c>
      <c r="G17" s="1">
        <v>1516.63</v>
      </c>
    </row>
    <row r="18" spans="1:7" x14ac:dyDescent="0.25">
      <c r="A18" s="1" t="s">
        <v>22</v>
      </c>
      <c r="B18" s="1">
        <v>0</v>
      </c>
      <c r="C18" s="1">
        <v>0</v>
      </c>
      <c r="D18" s="1">
        <v>7.47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162.13</v>
      </c>
      <c r="C33" s="3">
        <v>177</v>
      </c>
      <c r="D33" s="3">
        <v>155.36000000000001</v>
      </c>
      <c r="E33" s="3">
        <v>189.78</v>
      </c>
      <c r="F33" s="3">
        <v>169.43</v>
      </c>
      <c r="G33" s="3">
        <v>167.59</v>
      </c>
    </row>
    <row r="35" spans="1:7" x14ac:dyDescent="0.25">
      <c r="A35" s="3" t="s">
        <v>36</v>
      </c>
      <c r="B35" s="3"/>
      <c r="C35" s="3"/>
      <c r="D35" s="3">
        <f>D33-C33</f>
        <v>-21.639999999999986</v>
      </c>
      <c r="E35" s="3"/>
      <c r="F35" s="3">
        <f>F33-E33</f>
        <v>-20.349999999999994</v>
      </c>
      <c r="G35" s="3"/>
    </row>
    <row r="37" spans="1:7" x14ac:dyDescent="0.25">
      <c r="A37" s="3" t="s">
        <v>36</v>
      </c>
      <c r="B37" s="3"/>
      <c r="C37" s="3">
        <f>C33-B33</f>
        <v>14.870000000000005</v>
      </c>
      <c r="D37" s="3"/>
      <c r="E37" s="3">
        <f>E33-D33</f>
        <v>34.419999999999987</v>
      </c>
      <c r="F37" s="3"/>
      <c r="G37" s="3">
        <f>G33-F33</f>
        <v>-1.8400000000000034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73D6-528D-425C-86B1-9DA9691F8DDB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450.24</v>
      </c>
      <c r="C2" s="1">
        <v>383.25</v>
      </c>
      <c r="D2" s="1">
        <v>439.67</v>
      </c>
      <c r="E2" s="1">
        <v>313.64</v>
      </c>
      <c r="F2" s="1">
        <v>386.46</v>
      </c>
      <c r="G2" s="1">
        <v>446.27</v>
      </c>
    </row>
    <row r="3" spans="1:7" x14ac:dyDescent="0.25">
      <c r="A3" s="1" t="s">
        <v>7</v>
      </c>
      <c r="B3" s="1">
        <v>35.770000000000003</v>
      </c>
      <c r="C3" s="1">
        <v>39.380000000000003</v>
      </c>
      <c r="D3" s="1">
        <v>35.85</v>
      </c>
      <c r="E3" s="1">
        <v>31.82</v>
      </c>
      <c r="F3" s="1">
        <v>36.07</v>
      </c>
      <c r="G3" s="1">
        <v>34.68</v>
      </c>
    </row>
    <row r="4" spans="1:7" x14ac:dyDescent="0.25">
      <c r="A4" s="1" t="s">
        <v>8</v>
      </c>
      <c r="B4" s="1">
        <v>16352.56</v>
      </c>
      <c r="C4" s="1">
        <v>15345.18</v>
      </c>
      <c r="D4" s="1">
        <v>16009.27</v>
      </c>
      <c r="E4" s="1">
        <v>10196.16</v>
      </c>
      <c r="F4" s="1">
        <v>14198.13</v>
      </c>
      <c r="G4" s="1">
        <v>15739.56</v>
      </c>
    </row>
    <row r="5" spans="1:7" x14ac:dyDescent="0.25">
      <c r="A5" s="1" t="s">
        <v>9</v>
      </c>
      <c r="B5" s="1">
        <v>1061.3900000000001</v>
      </c>
      <c r="C5" s="1">
        <v>706.08</v>
      </c>
      <c r="D5" s="1">
        <v>1001.73</v>
      </c>
      <c r="E5" s="1">
        <v>929.07</v>
      </c>
      <c r="F5" s="1">
        <v>721.36</v>
      </c>
      <c r="G5" s="1">
        <v>914.89</v>
      </c>
    </row>
    <row r="6" spans="1:7" x14ac:dyDescent="0.25">
      <c r="A6" s="3" t="s">
        <v>10</v>
      </c>
      <c r="B6" s="3">
        <v>106.14</v>
      </c>
      <c r="C6" s="3">
        <v>71.319999999999993</v>
      </c>
      <c r="D6" s="3">
        <v>101.18</v>
      </c>
      <c r="E6" s="3">
        <v>93.85</v>
      </c>
      <c r="F6" s="3">
        <v>72.87</v>
      </c>
      <c r="G6" s="3">
        <v>93.36</v>
      </c>
    </row>
    <row r="7" spans="1:7" x14ac:dyDescent="0.25">
      <c r="A7" s="1" t="s">
        <v>11</v>
      </c>
      <c r="B7" s="1">
        <v>999.26</v>
      </c>
      <c r="C7" s="1">
        <v>598.25</v>
      </c>
      <c r="D7" s="1">
        <v>875.1</v>
      </c>
      <c r="E7" s="1">
        <v>835.69</v>
      </c>
      <c r="F7" s="1">
        <v>672.89</v>
      </c>
      <c r="G7" s="1">
        <v>846.68</v>
      </c>
    </row>
    <row r="8" spans="1:7" x14ac:dyDescent="0.25">
      <c r="A8" s="1" t="s">
        <v>12</v>
      </c>
      <c r="B8" s="1">
        <v>99.93</v>
      </c>
      <c r="C8" s="1">
        <v>60.43</v>
      </c>
      <c r="D8" s="1">
        <v>88.39</v>
      </c>
      <c r="E8" s="1">
        <v>84.41</v>
      </c>
      <c r="F8" s="1">
        <v>67.97</v>
      </c>
      <c r="G8" s="1">
        <v>86.4</v>
      </c>
    </row>
    <row r="9" spans="1:7" x14ac:dyDescent="0.25">
      <c r="A9" s="1" t="s">
        <v>13</v>
      </c>
      <c r="B9" s="1">
        <v>-508.19</v>
      </c>
      <c r="C9" s="1">
        <v>189.89</v>
      </c>
      <c r="D9" s="1">
        <v>869.03</v>
      </c>
      <c r="E9" s="1">
        <v>385.19</v>
      </c>
      <c r="F9" s="1">
        <v>587.55999999999995</v>
      </c>
      <c r="G9" s="1">
        <v>-375.83</v>
      </c>
    </row>
    <row r="10" spans="1:7" x14ac:dyDescent="0.25">
      <c r="A10" s="1" t="s">
        <v>14</v>
      </c>
      <c r="B10" s="1">
        <v>-50.82</v>
      </c>
      <c r="C10" s="1">
        <v>19.18</v>
      </c>
      <c r="D10" s="1">
        <v>87.78</v>
      </c>
      <c r="E10" s="1">
        <v>38.909999999999997</v>
      </c>
      <c r="F10" s="1">
        <v>59.35</v>
      </c>
      <c r="G10" s="1">
        <v>-38.35</v>
      </c>
    </row>
    <row r="11" spans="1:7" x14ac:dyDescent="0.25">
      <c r="A11" s="1" t="s">
        <v>15</v>
      </c>
      <c r="B11" s="1">
        <v>160.29</v>
      </c>
      <c r="C11" s="1">
        <v>84.32</v>
      </c>
      <c r="D11" s="1">
        <v>860.66</v>
      </c>
      <c r="E11" s="1">
        <v>101.13</v>
      </c>
      <c r="F11" s="1">
        <v>546.13</v>
      </c>
      <c r="G11" s="1">
        <v>162.09</v>
      </c>
    </row>
    <row r="12" spans="1:7" x14ac:dyDescent="0.25">
      <c r="A12" s="1" t="s">
        <v>16</v>
      </c>
      <c r="B12" s="1">
        <v>212.81</v>
      </c>
      <c r="C12" s="1">
        <v>180.14</v>
      </c>
      <c r="D12" s="1">
        <v>209.02</v>
      </c>
      <c r="E12" s="1">
        <v>173.92</v>
      </c>
      <c r="F12" s="1">
        <v>192.77</v>
      </c>
      <c r="G12" s="1">
        <v>198.24</v>
      </c>
    </row>
    <row r="13" spans="1:7" x14ac:dyDescent="0.25">
      <c r="A13" s="1" t="s">
        <v>17</v>
      </c>
      <c r="B13" s="1">
        <v>41.84</v>
      </c>
      <c r="C13" s="1">
        <v>29.3</v>
      </c>
      <c r="D13" s="1">
        <v>29.18</v>
      </c>
      <c r="E13" s="1">
        <v>23.03</v>
      </c>
      <c r="F13" s="1">
        <v>26.75</v>
      </c>
      <c r="G13" s="1">
        <v>33.799999999999997</v>
      </c>
    </row>
    <row r="14" spans="1:7" x14ac:dyDescent="0.25">
      <c r="A14" s="1" t="s">
        <v>18</v>
      </c>
      <c r="B14" s="1">
        <v>96.93</v>
      </c>
      <c r="C14" s="1">
        <v>64.87</v>
      </c>
      <c r="D14" s="1">
        <v>71.209999999999994</v>
      </c>
      <c r="E14" s="1">
        <v>51.12</v>
      </c>
      <c r="F14" s="1">
        <v>69.09</v>
      </c>
      <c r="G14" s="1">
        <v>68.239999999999995</v>
      </c>
    </row>
    <row r="15" spans="1:7" x14ac:dyDescent="0.25">
      <c r="A15" s="1" t="s">
        <v>19</v>
      </c>
      <c r="B15" s="1">
        <v>2</v>
      </c>
      <c r="C15" s="1">
        <v>6</v>
      </c>
      <c r="D15" s="1">
        <v>3</v>
      </c>
      <c r="E15" s="1">
        <v>7</v>
      </c>
      <c r="F15" s="1">
        <v>4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245.54</v>
      </c>
      <c r="C17" s="1">
        <v>394.07</v>
      </c>
      <c r="D17" s="1">
        <v>872.07</v>
      </c>
      <c r="E17" s="1">
        <v>610.44000000000005</v>
      </c>
      <c r="F17" s="1">
        <v>630.23</v>
      </c>
      <c r="G17" s="1">
        <v>235.43</v>
      </c>
    </row>
    <row r="18" spans="1:7" x14ac:dyDescent="0.25">
      <c r="A18" s="1" t="s">
        <v>22</v>
      </c>
      <c r="B18" s="1">
        <v>753.73</v>
      </c>
      <c r="C18" s="1">
        <v>204.18</v>
      </c>
      <c r="D18" s="1">
        <v>3.04</v>
      </c>
      <c r="E18" s="1">
        <v>225.25</v>
      </c>
      <c r="F18" s="1">
        <v>42.66</v>
      </c>
      <c r="G18" s="1">
        <v>611.26</v>
      </c>
    </row>
    <row r="19" spans="1:7" x14ac:dyDescent="0.25">
      <c r="A19" s="1" t="s">
        <v>23</v>
      </c>
      <c r="B19" s="1">
        <v>1</v>
      </c>
      <c r="C19" s="1">
        <v>1</v>
      </c>
      <c r="D19" s="1">
        <v>0</v>
      </c>
      <c r="E19" s="1">
        <v>1</v>
      </c>
      <c r="F19" s="1">
        <v>0</v>
      </c>
      <c r="G19" s="1">
        <v>2</v>
      </c>
    </row>
    <row r="20" spans="1:7" x14ac:dyDescent="0.25">
      <c r="A20" s="1" t="s">
        <v>24</v>
      </c>
      <c r="B20" s="1">
        <v>4.3</v>
      </c>
      <c r="C20" s="1">
        <v>1.9</v>
      </c>
      <c r="D20" s="1">
        <v>0</v>
      </c>
      <c r="E20" s="1">
        <v>3.5</v>
      </c>
      <c r="F20" s="1">
        <v>0</v>
      </c>
      <c r="G20" s="1">
        <v>5.2</v>
      </c>
    </row>
    <row r="21" spans="1:7" x14ac:dyDescent="0.25">
      <c r="A21" s="1" t="s">
        <v>25</v>
      </c>
      <c r="B21" s="1">
        <v>5.8</v>
      </c>
      <c r="C21" s="1">
        <v>8.1</v>
      </c>
      <c r="D21" s="1">
        <v>10</v>
      </c>
      <c r="E21" s="1">
        <v>6.5</v>
      </c>
      <c r="F21" s="1">
        <v>10</v>
      </c>
      <c r="G21" s="1">
        <v>4.7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4</v>
      </c>
      <c r="C24" s="1">
        <v>1.5</v>
      </c>
      <c r="D24" s="1">
        <v>0</v>
      </c>
      <c r="E24" s="1">
        <v>3.2</v>
      </c>
      <c r="F24" s="1">
        <v>0</v>
      </c>
      <c r="G24" s="1">
        <v>3.6</v>
      </c>
    </row>
    <row r="25" spans="1:7" x14ac:dyDescent="0.25">
      <c r="A25" s="1" t="s">
        <v>29</v>
      </c>
      <c r="B25" s="1">
        <v>1.1000000000000001</v>
      </c>
      <c r="C25" s="1">
        <v>1.4</v>
      </c>
      <c r="D25" s="1">
        <v>1.2</v>
      </c>
      <c r="E25" s="1">
        <v>1.7</v>
      </c>
      <c r="F25" s="1">
        <v>3.4</v>
      </c>
      <c r="G25" s="1">
        <v>1.9</v>
      </c>
    </row>
    <row r="26" spans="1:7" x14ac:dyDescent="0.25">
      <c r="A26" s="1" t="s">
        <v>30</v>
      </c>
      <c r="B26" s="1">
        <v>5</v>
      </c>
      <c r="C26" s="1">
        <v>7.1</v>
      </c>
      <c r="D26" s="1">
        <v>8.8000000000000007</v>
      </c>
      <c r="E26" s="1">
        <v>5.0999999999999996</v>
      </c>
      <c r="F26" s="1">
        <v>6.6</v>
      </c>
      <c r="G26" s="1">
        <v>4.4000000000000004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39.603960396039604</v>
      </c>
      <c r="C29" s="3">
        <f t="shared" ref="C29:G29" si="1">C24/C28*100</f>
        <v>15</v>
      </c>
      <c r="D29" s="3">
        <f t="shared" si="1"/>
        <v>0</v>
      </c>
      <c r="E29" s="3">
        <f t="shared" si="1"/>
        <v>32</v>
      </c>
      <c r="F29" s="3">
        <f t="shared" si="1"/>
        <v>0</v>
      </c>
      <c r="G29" s="3">
        <f t="shared" si="1"/>
        <v>36.363636363636367</v>
      </c>
    </row>
    <row r="30" spans="1:7" x14ac:dyDescent="0.25">
      <c r="A30" s="3" t="s">
        <v>33</v>
      </c>
      <c r="B30" s="3">
        <f>B25/B28*100</f>
        <v>10.891089108910892</v>
      </c>
      <c r="C30" s="3">
        <f t="shared" ref="C30:G30" si="2">C25/C28*100</f>
        <v>13.999999999999998</v>
      </c>
      <c r="D30" s="3">
        <f t="shared" si="2"/>
        <v>12</v>
      </c>
      <c r="E30" s="3">
        <f t="shared" si="2"/>
        <v>17</v>
      </c>
      <c r="F30" s="3">
        <f t="shared" si="2"/>
        <v>34</v>
      </c>
      <c r="G30" s="3">
        <f t="shared" si="2"/>
        <v>19.19191919191919</v>
      </c>
    </row>
    <row r="31" spans="1:7" x14ac:dyDescent="0.25">
      <c r="A31" s="3" t="s">
        <v>34</v>
      </c>
      <c r="B31" s="3">
        <f>B26/B28*100</f>
        <v>49.504950495049506</v>
      </c>
      <c r="C31" s="3">
        <f t="shared" ref="C31:G31" si="3">C26/C28*100</f>
        <v>71</v>
      </c>
      <c r="D31" s="3">
        <f t="shared" si="3"/>
        <v>88.000000000000014</v>
      </c>
      <c r="E31" s="3">
        <f t="shared" si="3"/>
        <v>51</v>
      </c>
      <c r="F31" s="3">
        <f t="shared" si="3"/>
        <v>65.999999999999986</v>
      </c>
      <c r="G31" s="3">
        <f t="shared" si="3"/>
        <v>44.44444444444445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-11.96</v>
      </c>
      <c r="C33" s="3">
        <v>28.53</v>
      </c>
      <c r="D33" s="3">
        <v>98.41</v>
      </c>
      <c r="E33" s="3">
        <v>3.25</v>
      </c>
      <c r="F33" s="3">
        <v>62.17</v>
      </c>
      <c r="G33" s="3">
        <v>-10.39</v>
      </c>
    </row>
    <row r="35" spans="1:7" x14ac:dyDescent="0.25">
      <c r="A35" s="3" t="s">
        <v>36</v>
      </c>
      <c r="B35" s="3"/>
      <c r="C35" s="3"/>
      <c r="D35" s="3">
        <f>D33-C33</f>
        <v>69.88</v>
      </c>
      <c r="E35" s="3"/>
      <c r="F35" s="3">
        <f>F33-E33</f>
        <v>58.92</v>
      </c>
      <c r="G35" s="3"/>
    </row>
    <row r="37" spans="1:7" x14ac:dyDescent="0.25">
      <c r="A37" s="3" t="s">
        <v>36</v>
      </c>
      <c r="B37" s="3"/>
      <c r="C37" s="3">
        <f>C33-B33</f>
        <v>40.49</v>
      </c>
      <c r="D37" s="3"/>
      <c r="E37" s="3">
        <f>E33-D33</f>
        <v>-95.16</v>
      </c>
      <c r="F37" s="3"/>
      <c r="G37" s="3">
        <f>G33-F33</f>
        <v>-72.56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51D9-4E1B-4BB0-B817-96EA987697CC}">
  <dimension ref="A1:G37"/>
  <sheetViews>
    <sheetView topLeftCell="A22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469.2</v>
      </c>
      <c r="C2" s="1">
        <v>427.05</v>
      </c>
      <c r="D2" s="1">
        <v>395.77</v>
      </c>
      <c r="E2" s="1">
        <v>493.35</v>
      </c>
      <c r="F2" s="1">
        <v>444.8</v>
      </c>
      <c r="G2" s="1">
        <v>472.66</v>
      </c>
    </row>
    <row r="3" spans="1:7" x14ac:dyDescent="0.25">
      <c r="A3" s="1" t="s">
        <v>7</v>
      </c>
      <c r="B3" s="1">
        <v>42.48</v>
      </c>
      <c r="C3" s="1">
        <v>39.340000000000003</v>
      </c>
      <c r="D3" s="1">
        <v>41.56</v>
      </c>
      <c r="E3" s="1">
        <v>40.020000000000003</v>
      </c>
      <c r="F3" s="1">
        <v>39.200000000000003</v>
      </c>
      <c r="G3" s="1">
        <v>40.25</v>
      </c>
    </row>
    <row r="4" spans="1:7" x14ac:dyDescent="0.25">
      <c r="A4" s="1" t="s">
        <v>8</v>
      </c>
      <c r="B4" s="1">
        <v>20357.12</v>
      </c>
      <c r="C4" s="1">
        <v>17071.54</v>
      </c>
      <c r="D4" s="1">
        <v>16734.310000000001</v>
      </c>
      <c r="E4" s="1">
        <v>20061.91</v>
      </c>
      <c r="F4" s="1">
        <v>17777.05</v>
      </c>
      <c r="G4" s="1">
        <v>19345.11</v>
      </c>
    </row>
    <row r="5" spans="1:7" x14ac:dyDescent="0.25">
      <c r="A5" s="1" t="s">
        <v>9</v>
      </c>
      <c r="B5" s="1">
        <v>668.51</v>
      </c>
      <c r="C5" s="1">
        <v>585.42999999999995</v>
      </c>
      <c r="D5" s="1">
        <v>517.5</v>
      </c>
      <c r="E5" s="1">
        <v>587.03</v>
      </c>
      <c r="F5" s="1">
        <v>590.67999999999995</v>
      </c>
      <c r="G5" s="1">
        <v>484.15</v>
      </c>
    </row>
    <row r="6" spans="1:7" x14ac:dyDescent="0.25">
      <c r="A6" s="3" t="s">
        <v>10</v>
      </c>
      <c r="B6" s="3">
        <v>66.849999999999994</v>
      </c>
      <c r="C6" s="3">
        <v>59.13</v>
      </c>
      <c r="D6" s="3">
        <v>52.27</v>
      </c>
      <c r="E6" s="3">
        <v>59.3</v>
      </c>
      <c r="F6" s="3">
        <v>59.66</v>
      </c>
      <c r="G6" s="3">
        <v>49.4</v>
      </c>
    </row>
    <row r="7" spans="1:7" x14ac:dyDescent="0.25">
      <c r="A7" s="1" t="s">
        <v>11</v>
      </c>
      <c r="B7" s="1">
        <v>591.87</v>
      </c>
      <c r="C7" s="1">
        <v>491.47</v>
      </c>
      <c r="D7" s="1">
        <v>470.07</v>
      </c>
      <c r="E7" s="1">
        <v>563.78</v>
      </c>
      <c r="F7" s="1">
        <v>533.41</v>
      </c>
      <c r="G7" s="1">
        <v>466.98</v>
      </c>
    </row>
    <row r="8" spans="1:7" x14ac:dyDescent="0.25">
      <c r="A8" s="1" t="s">
        <v>12</v>
      </c>
      <c r="B8" s="1">
        <v>59.19</v>
      </c>
      <c r="C8" s="1">
        <v>49.64</v>
      </c>
      <c r="D8" s="1">
        <v>47.48</v>
      </c>
      <c r="E8" s="1">
        <v>56.95</v>
      </c>
      <c r="F8" s="1">
        <v>53.88</v>
      </c>
      <c r="G8" s="1">
        <v>47.65</v>
      </c>
    </row>
    <row r="9" spans="1:7" x14ac:dyDescent="0.25">
      <c r="A9" s="1" t="s">
        <v>13</v>
      </c>
      <c r="B9" s="1">
        <v>-349.09</v>
      </c>
      <c r="C9" s="1">
        <v>-150.02000000000001</v>
      </c>
      <c r="D9" s="1">
        <v>221.8</v>
      </c>
      <c r="E9" s="1">
        <v>386.33</v>
      </c>
      <c r="F9" s="1">
        <v>-207.46</v>
      </c>
      <c r="G9" s="1">
        <v>297.13</v>
      </c>
    </row>
    <row r="10" spans="1:7" x14ac:dyDescent="0.25">
      <c r="A10" s="1" t="s">
        <v>14</v>
      </c>
      <c r="B10" s="1">
        <v>-34.909999999999997</v>
      </c>
      <c r="C10" s="1">
        <v>-15.15</v>
      </c>
      <c r="D10" s="1">
        <v>22.4</v>
      </c>
      <c r="E10" s="1">
        <v>39.020000000000003</v>
      </c>
      <c r="F10" s="1">
        <v>-20.96</v>
      </c>
      <c r="G10" s="1">
        <v>30.32</v>
      </c>
    </row>
    <row r="11" spans="1:7" x14ac:dyDescent="0.25">
      <c r="A11" s="1" t="s">
        <v>15</v>
      </c>
      <c r="B11" s="1">
        <v>219.39</v>
      </c>
      <c r="C11" s="1">
        <v>70.47</v>
      </c>
      <c r="D11" s="1">
        <v>69.010000000000005</v>
      </c>
      <c r="E11" s="1">
        <v>355.49</v>
      </c>
      <c r="F11" s="1">
        <v>105.84</v>
      </c>
      <c r="G11" s="1">
        <v>273.24</v>
      </c>
    </row>
    <row r="12" spans="1:7" x14ac:dyDescent="0.25">
      <c r="A12" s="1" t="s">
        <v>16</v>
      </c>
      <c r="B12" s="1">
        <v>178.45</v>
      </c>
      <c r="C12" s="1">
        <v>143.19</v>
      </c>
      <c r="D12" s="1">
        <v>128.13999999999999</v>
      </c>
      <c r="E12" s="1">
        <v>239.49</v>
      </c>
      <c r="F12" s="1">
        <v>206.26</v>
      </c>
      <c r="G12" s="1">
        <v>236.63</v>
      </c>
    </row>
    <row r="13" spans="1:7" x14ac:dyDescent="0.25">
      <c r="A13" s="1" t="s">
        <v>17</v>
      </c>
      <c r="B13" s="1">
        <v>44.38</v>
      </c>
      <c r="C13" s="1">
        <v>48.85</v>
      </c>
      <c r="D13" s="1">
        <v>38.950000000000003</v>
      </c>
      <c r="E13" s="1">
        <v>28.05</v>
      </c>
      <c r="F13" s="1">
        <v>25.49</v>
      </c>
      <c r="G13" s="1">
        <v>19.13</v>
      </c>
    </row>
    <row r="14" spans="1:7" x14ac:dyDescent="0.25">
      <c r="A14" s="1" t="s">
        <v>18</v>
      </c>
      <c r="B14" s="1">
        <v>83.08</v>
      </c>
      <c r="C14" s="1">
        <v>84.01</v>
      </c>
      <c r="D14" s="1">
        <v>82.49</v>
      </c>
      <c r="E14" s="1">
        <v>58.13</v>
      </c>
      <c r="F14" s="1">
        <v>68.44</v>
      </c>
      <c r="G14" s="1">
        <v>38.659999999999997</v>
      </c>
    </row>
    <row r="15" spans="1:7" x14ac:dyDescent="0.25">
      <c r="A15" s="1" t="s">
        <v>19</v>
      </c>
      <c r="B15" s="1">
        <v>5</v>
      </c>
      <c r="C15" s="1">
        <v>3</v>
      </c>
      <c r="D15" s="1">
        <v>6</v>
      </c>
      <c r="E15" s="1">
        <v>3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121.39</v>
      </c>
      <c r="C17" s="1">
        <v>170.72</v>
      </c>
      <c r="D17" s="1">
        <v>345.93</v>
      </c>
      <c r="E17" s="1">
        <v>475.06</v>
      </c>
      <c r="F17" s="1">
        <v>162.97</v>
      </c>
      <c r="G17" s="1">
        <v>382.06</v>
      </c>
    </row>
    <row r="18" spans="1:7" x14ac:dyDescent="0.25">
      <c r="A18" s="1" t="s">
        <v>22</v>
      </c>
      <c r="B18" s="1">
        <v>470.48</v>
      </c>
      <c r="C18" s="1">
        <v>320.75</v>
      </c>
      <c r="D18" s="1">
        <v>124.14</v>
      </c>
      <c r="E18" s="1">
        <v>88.73</v>
      </c>
      <c r="F18" s="1">
        <v>370.44</v>
      </c>
      <c r="G18" s="1">
        <v>84.92</v>
      </c>
    </row>
    <row r="19" spans="1:7" x14ac:dyDescent="0.25">
      <c r="A19" s="1" t="s">
        <v>23</v>
      </c>
      <c r="B19" s="1">
        <v>1</v>
      </c>
      <c r="C19" s="1">
        <v>3</v>
      </c>
      <c r="D19" s="1">
        <v>2</v>
      </c>
      <c r="E19" s="1">
        <v>0</v>
      </c>
      <c r="F19" s="1">
        <v>2</v>
      </c>
      <c r="G19" s="1">
        <v>1</v>
      </c>
    </row>
    <row r="20" spans="1:7" x14ac:dyDescent="0.25">
      <c r="A20" s="1" t="s">
        <v>24</v>
      </c>
      <c r="B20" s="1">
        <v>4.8</v>
      </c>
      <c r="C20" s="1">
        <v>5.2</v>
      </c>
      <c r="D20" s="1">
        <v>3.9</v>
      </c>
      <c r="E20" s="1">
        <v>0</v>
      </c>
      <c r="F20" s="1">
        <v>4.5999999999999996</v>
      </c>
      <c r="G20" s="1">
        <v>1.9</v>
      </c>
    </row>
    <row r="21" spans="1:7" x14ac:dyDescent="0.25">
      <c r="A21" s="1" t="s">
        <v>25</v>
      </c>
      <c r="B21" s="1">
        <v>5.3</v>
      </c>
      <c r="C21" s="1">
        <v>4.8</v>
      </c>
      <c r="D21" s="1">
        <v>6.1</v>
      </c>
      <c r="E21" s="1">
        <v>10</v>
      </c>
      <c r="F21" s="1">
        <v>5.4</v>
      </c>
      <c r="G21" s="1">
        <v>8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4.0999999999999996</v>
      </c>
      <c r="C24" s="1">
        <v>2</v>
      </c>
      <c r="D24" s="1">
        <v>0</v>
      </c>
      <c r="E24" s="1">
        <v>0</v>
      </c>
      <c r="F24" s="1">
        <v>2.2999999999999998</v>
      </c>
      <c r="G24" s="1">
        <v>0</v>
      </c>
    </row>
    <row r="25" spans="1:7" x14ac:dyDescent="0.25">
      <c r="A25" s="1" t="s">
        <v>29</v>
      </c>
      <c r="B25" s="1">
        <v>6</v>
      </c>
      <c r="C25" s="1">
        <v>7</v>
      </c>
      <c r="D25" s="1">
        <v>7.9</v>
      </c>
      <c r="E25" s="1">
        <v>5.3</v>
      </c>
      <c r="F25" s="1">
        <v>5.3</v>
      </c>
      <c r="G25" s="1">
        <v>5.8</v>
      </c>
    </row>
    <row r="26" spans="1:7" x14ac:dyDescent="0.25">
      <c r="A26" s="1" t="s">
        <v>30</v>
      </c>
      <c r="B26" s="1">
        <v>0</v>
      </c>
      <c r="C26" s="1">
        <v>1</v>
      </c>
      <c r="D26" s="1">
        <v>2.1</v>
      </c>
      <c r="E26" s="1">
        <v>4.7</v>
      </c>
      <c r="F26" s="1">
        <v>2.4</v>
      </c>
      <c r="G26" s="1">
        <v>4.0999999999999996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40.594059405940591</v>
      </c>
      <c r="C29" s="3">
        <f t="shared" ref="C29:G29" si="1">C24/C28*100</f>
        <v>20</v>
      </c>
      <c r="D29" s="3">
        <f t="shared" si="1"/>
        <v>0</v>
      </c>
      <c r="E29" s="3">
        <f t="shared" si="1"/>
        <v>0</v>
      </c>
      <c r="F29" s="3">
        <f t="shared" si="1"/>
        <v>23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59.405940594059402</v>
      </c>
      <c r="C30" s="3">
        <f t="shared" ref="C30:G30" si="2">C25/C28*100</f>
        <v>70</v>
      </c>
      <c r="D30" s="3">
        <f t="shared" si="2"/>
        <v>79</v>
      </c>
      <c r="E30" s="3">
        <f t="shared" si="2"/>
        <v>53</v>
      </c>
      <c r="F30" s="3">
        <f t="shared" si="2"/>
        <v>53</v>
      </c>
      <c r="G30" s="3">
        <f t="shared" si="2"/>
        <v>58.585858585858595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10</v>
      </c>
      <c r="D31" s="3">
        <f t="shared" si="3"/>
        <v>21.000000000000004</v>
      </c>
      <c r="E31" s="3">
        <f t="shared" si="3"/>
        <v>47</v>
      </c>
      <c r="F31" s="3">
        <f t="shared" si="3"/>
        <v>24</v>
      </c>
      <c r="G31" s="3">
        <f t="shared" si="3"/>
        <v>41.414141414141412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-26.31</v>
      </c>
      <c r="C33" s="3">
        <v>-3.7</v>
      </c>
      <c r="D33" s="3">
        <v>17.52</v>
      </c>
      <c r="E33" s="3">
        <v>40.880000000000003</v>
      </c>
      <c r="F33" s="3">
        <v>-2.72</v>
      </c>
      <c r="G33" s="3">
        <v>32.19</v>
      </c>
    </row>
    <row r="35" spans="1:7" x14ac:dyDescent="0.25">
      <c r="A35" s="3" t="s">
        <v>36</v>
      </c>
      <c r="B35" s="3"/>
      <c r="C35" s="3"/>
      <c r="D35" s="3">
        <f>D33-C33</f>
        <v>21.22</v>
      </c>
      <c r="E35" s="3"/>
      <c r="F35" s="3">
        <f>F33-E33</f>
        <v>-43.6</v>
      </c>
      <c r="G35" s="3"/>
    </row>
    <row r="37" spans="1:7" x14ac:dyDescent="0.25">
      <c r="A37" s="3" t="s">
        <v>36</v>
      </c>
      <c r="B37" s="3"/>
      <c r="C37" s="3">
        <f>C33-B33</f>
        <v>22.61</v>
      </c>
      <c r="D37" s="3"/>
      <c r="E37" s="3">
        <f>E33-D33</f>
        <v>23.360000000000003</v>
      </c>
      <c r="F37" s="3"/>
      <c r="G37" s="3">
        <f>G33-F33</f>
        <v>34.909999999999997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7CF1-6962-45A4-A67B-2913C52B6AC9}">
  <dimension ref="A1:G37"/>
  <sheetViews>
    <sheetView topLeftCell="A16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522.42999999999995</v>
      </c>
      <c r="C2" s="1">
        <v>511.01</v>
      </c>
      <c r="D2" s="1">
        <v>503.28</v>
      </c>
      <c r="E2" s="1">
        <v>506.83</v>
      </c>
      <c r="F2" s="1">
        <v>501.8</v>
      </c>
      <c r="G2" s="1">
        <v>488.51</v>
      </c>
    </row>
    <row r="3" spans="1:7" x14ac:dyDescent="0.25">
      <c r="A3" s="1" t="s">
        <v>7</v>
      </c>
      <c r="B3" s="1">
        <v>46.03</v>
      </c>
      <c r="C3" s="1">
        <v>45.81</v>
      </c>
      <c r="D3" s="1">
        <v>44.5</v>
      </c>
      <c r="E3" s="1">
        <v>45.22</v>
      </c>
      <c r="F3" s="1">
        <v>44.89</v>
      </c>
      <c r="G3" s="1">
        <v>42.11</v>
      </c>
    </row>
    <row r="4" spans="1:7" x14ac:dyDescent="0.25">
      <c r="A4" s="1" t="s">
        <v>8</v>
      </c>
      <c r="B4" s="1">
        <v>24429.69</v>
      </c>
      <c r="C4" s="1">
        <v>23784.55</v>
      </c>
      <c r="D4" s="1">
        <v>22813.46</v>
      </c>
      <c r="E4" s="1">
        <v>23304.720000000001</v>
      </c>
      <c r="F4" s="1">
        <v>22907.53</v>
      </c>
      <c r="G4" s="1">
        <v>20904.93</v>
      </c>
    </row>
    <row r="5" spans="1:7" x14ac:dyDescent="0.25">
      <c r="A5" s="1" t="s">
        <v>9</v>
      </c>
      <c r="B5" s="1">
        <v>1970.91</v>
      </c>
      <c r="C5" s="1">
        <v>2298.12</v>
      </c>
      <c r="D5" s="1">
        <v>2183.27</v>
      </c>
      <c r="E5" s="1">
        <v>1957.76</v>
      </c>
      <c r="F5" s="1">
        <v>1967.8</v>
      </c>
      <c r="G5" s="1">
        <v>1598.2</v>
      </c>
    </row>
    <row r="6" spans="1:7" x14ac:dyDescent="0.25">
      <c r="A6" s="3" t="s">
        <v>10</v>
      </c>
      <c r="B6" s="3">
        <v>197.09</v>
      </c>
      <c r="C6" s="3">
        <v>232.13</v>
      </c>
      <c r="D6" s="3">
        <v>220.53</v>
      </c>
      <c r="E6" s="3">
        <v>197.75</v>
      </c>
      <c r="F6" s="3">
        <v>198.77</v>
      </c>
      <c r="G6" s="3">
        <v>163.08000000000001</v>
      </c>
    </row>
    <row r="7" spans="1:7" x14ac:dyDescent="0.25">
      <c r="A7" s="1" t="s">
        <v>11</v>
      </c>
      <c r="B7" s="1">
        <v>1837.2</v>
      </c>
      <c r="C7" s="1">
        <v>2185.41</v>
      </c>
      <c r="D7" s="1">
        <v>1974.66</v>
      </c>
      <c r="E7" s="1">
        <v>1738.98</v>
      </c>
      <c r="F7" s="1">
        <v>1714.06</v>
      </c>
      <c r="G7" s="1">
        <v>1403.68</v>
      </c>
    </row>
    <row r="8" spans="1:7" x14ac:dyDescent="0.25">
      <c r="A8" s="1" t="s">
        <v>12</v>
      </c>
      <c r="B8" s="1">
        <v>183.72</v>
      </c>
      <c r="C8" s="1">
        <v>220.75</v>
      </c>
      <c r="D8" s="1">
        <v>199.46</v>
      </c>
      <c r="E8" s="1">
        <v>175.65</v>
      </c>
      <c r="F8" s="1">
        <v>173.14</v>
      </c>
      <c r="G8" s="1">
        <v>143.22999999999999</v>
      </c>
    </row>
    <row r="9" spans="1:7" x14ac:dyDescent="0.25">
      <c r="A9" s="1" t="s">
        <v>13</v>
      </c>
      <c r="B9" s="1">
        <v>1837.2</v>
      </c>
      <c r="C9" s="1">
        <v>2185.41</v>
      </c>
      <c r="D9" s="1">
        <v>1973.44</v>
      </c>
      <c r="E9" s="1">
        <v>1738.98</v>
      </c>
      <c r="F9" s="1">
        <v>1714.06</v>
      </c>
      <c r="G9" s="1">
        <v>1403.68</v>
      </c>
    </row>
    <row r="10" spans="1:7" x14ac:dyDescent="0.25">
      <c r="A10" s="1" t="s">
        <v>14</v>
      </c>
      <c r="B10" s="1">
        <v>183.72</v>
      </c>
      <c r="C10" s="1">
        <v>220.75</v>
      </c>
      <c r="D10" s="1">
        <v>199.34</v>
      </c>
      <c r="E10" s="1">
        <v>175.65</v>
      </c>
      <c r="F10" s="1">
        <v>173.14</v>
      </c>
      <c r="G10" s="1">
        <v>143.22999999999999</v>
      </c>
    </row>
    <row r="11" spans="1:7" x14ac:dyDescent="0.25">
      <c r="A11" s="1" t="s">
        <v>15</v>
      </c>
      <c r="B11" s="1">
        <v>1585.53</v>
      </c>
      <c r="C11" s="1">
        <v>1814.48</v>
      </c>
      <c r="D11" s="1">
        <v>1778.85</v>
      </c>
      <c r="E11" s="1">
        <v>1596.18</v>
      </c>
      <c r="F11" s="1">
        <v>1589.44</v>
      </c>
      <c r="G11" s="1">
        <v>1361.59</v>
      </c>
    </row>
    <row r="12" spans="1:7" x14ac:dyDescent="0.25">
      <c r="A12" s="1" t="s">
        <v>16</v>
      </c>
      <c r="B12" s="1">
        <v>270.29000000000002</v>
      </c>
      <c r="C12" s="1">
        <v>276.01</v>
      </c>
      <c r="D12" s="1">
        <v>267.56</v>
      </c>
      <c r="E12" s="1">
        <v>281.35000000000002</v>
      </c>
      <c r="F12" s="1">
        <v>282.77</v>
      </c>
      <c r="G12" s="1">
        <v>278.52</v>
      </c>
    </row>
    <row r="13" spans="1:7" x14ac:dyDescent="0.25">
      <c r="A13" s="1" t="s">
        <v>17</v>
      </c>
      <c r="B13" s="1">
        <v>37.659999999999997</v>
      </c>
      <c r="C13" s="1">
        <v>45.44</v>
      </c>
      <c r="D13" s="1">
        <v>40.75</v>
      </c>
      <c r="E13" s="1">
        <v>31.74</v>
      </c>
      <c r="F13" s="1">
        <v>33.01</v>
      </c>
      <c r="G13" s="1">
        <v>28.11</v>
      </c>
    </row>
    <row r="14" spans="1:7" x14ac:dyDescent="0.25">
      <c r="A14" s="1" t="s">
        <v>18</v>
      </c>
      <c r="B14" s="1">
        <v>79.040000000000006</v>
      </c>
      <c r="C14" s="1">
        <v>74.11</v>
      </c>
      <c r="D14" s="1">
        <v>81.78</v>
      </c>
      <c r="E14" s="1">
        <v>82.63</v>
      </c>
      <c r="F14" s="1">
        <v>80.290000000000006</v>
      </c>
      <c r="G14" s="1">
        <v>64.53</v>
      </c>
    </row>
    <row r="15" spans="1:7" x14ac:dyDescent="0.25">
      <c r="A15" s="1" t="s">
        <v>19</v>
      </c>
      <c r="B15" s="1">
        <v>10</v>
      </c>
      <c r="C15" s="1">
        <v>13</v>
      </c>
      <c r="D15" s="1">
        <v>9</v>
      </c>
      <c r="E15" s="1">
        <v>9</v>
      </c>
      <c r="F15" s="1">
        <v>11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1837.2</v>
      </c>
      <c r="C17" s="1">
        <v>2185.41</v>
      </c>
      <c r="D17" s="1">
        <v>1974.05</v>
      </c>
      <c r="E17" s="1">
        <v>1738.98</v>
      </c>
      <c r="F17" s="1">
        <v>1714.06</v>
      </c>
      <c r="G17" s="1">
        <v>1403.68</v>
      </c>
    </row>
    <row r="18" spans="1:7" x14ac:dyDescent="0.25">
      <c r="A18" s="1" t="s">
        <v>22</v>
      </c>
      <c r="B18" s="1">
        <v>0</v>
      </c>
      <c r="C18" s="1">
        <v>0</v>
      </c>
      <c r="D18" s="1">
        <v>0.61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191.03</v>
      </c>
      <c r="C33" s="3">
        <v>227.69</v>
      </c>
      <c r="D33" s="3">
        <v>219.38</v>
      </c>
      <c r="E33" s="3">
        <v>194.74</v>
      </c>
      <c r="F33" s="3">
        <v>196.94</v>
      </c>
      <c r="G33" s="3">
        <v>160.04</v>
      </c>
    </row>
    <row r="35" spans="1:7" x14ac:dyDescent="0.25">
      <c r="A35" s="3" t="s">
        <v>36</v>
      </c>
      <c r="B35" s="3"/>
      <c r="C35" s="3"/>
      <c r="D35" s="3">
        <f>D33-C33</f>
        <v>-8.3100000000000023</v>
      </c>
      <c r="E35" s="3"/>
      <c r="F35" s="3">
        <f>F33-E33</f>
        <v>2.1999999999999886</v>
      </c>
      <c r="G35" s="3"/>
    </row>
    <row r="37" spans="1:7" x14ac:dyDescent="0.25">
      <c r="A37" s="3" t="s">
        <v>36</v>
      </c>
      <c r="B37" s="3"/>
      <c r="C37" s="3">
        <f>C33-B33</f>
        <v>36.659999999999997</v>
      </c>
      <c r="D37" s="3"/>
      <c r="E37" s="3">
        <f>E33-D33</f>
        <v>-24.639999999999986</v>
      </c>
      <c r="F37" s="3"/>
      <c r="G37" s="3">
        <f>G33-F33</f>
        <v>-36.900000000000006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77E8-3FE0-424A-BFE3-D43E985AB6D9}">
  <dimension ref="A1:G37"/>
  <sheetViews>
    <sheetView topLeftCell="A19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484.7</v>
      </c>
      <c r="C2" s="1">
        <v>486.71</v>
      </c>
      <c r="D2" s="1">
        <v>493.09</v>
      </c>
      <c r="E2" s="1">
        <v>476.56</v>
      </c>
      <c r="F2" s="1">
        <v>481.67</v>
      </c>
      <c r="G2" s="1">
        <v>496.79</v>
      </c>
    </row>
    <row r="3" spans="1:7" x14ac:dyDescent="0.25">
      <c r="A3" s="1" t="s">
        <v>7</v>
      </c>
      <c r="B3" s="1">
        <v>39.83</v>
      </c>
      <c r="C3" s="1">
        <v>39.18</v>
      </c>
      <c r="D3" s="1">
        <v>40.71</v>
      </c>
      <c r="E3" s="1">
        <v>39.840000000000003</v>
      </c>
      <c r="F3" s="1">
        <v>40.85</v>
      </c>
      <c r="G3" s="1">
        <v>44.72</v>
      </c>
    </row>
    <row r="4" spans="1:7" x14ac:dyDescent="0.25">
      <c r="A4" s="1" t="s">
        <v>8</v>
      </c>
      <c r="B4" s="1">
        <v>19616.919999999998</v>
      </c>
      <c r="C4" s="1">
        <v>19393.55</v>
      </c>
      <c r="D4" s="1">
        <v>20387.16</v>
      </c>
      <c r="E4" s="1">
        <v>19293.48</v>
      </c>
      <c r="F4" s="1">
        <v>19982.43</v>
      </c>
      <c r="G4" s="1">
        <v>22644.240000000002</v>
      </c>
    </row>
    <row r="5" spans="1:7" x14ac:dyDescent="0.25">
      <c r="A5" s="1" t="s">
        <v>9</v>
      </c>
      <c r="B5" s="1">
        <v>1925.87</v>
      </c>
      <c r="C5" s="1">
        <v>1762.73</v>
      </c>
      <c r="D5" s="1">
        <v>1679.06</v>
      </c>
      <c r="E5" s="1">
        <v>1139.6400000000001</v>
      </c>
      <c r="F5" s="1">
        <v>1377.59</v>
      </c>
      <c r="G5" s="1">
        <v>1352.82</v>
      </c>
    </row>
    <row r="6" spans="1:7" x14ac:dyDescent="0.25">
      <c r="A6" s="3" t="s">
        <v>10</v>
      </c>
      <c r="B6" s="3">
        <v>192.59</v>
      </c>
      <c r="C6" s="3">
        <v>178.05</v>
      </c>
      <c r="D6" s="3">
        <v>169.6</v>
      </c>
      <c r="E6" s="3">
        <v>115.12</v>
      </c>
      <c r="F6" s="3">
        <v>139.15</v>
      </c>
      <c r="G6" s="3">
        <v>138.04</v>
      </c>
    </row>
    <row r="7" spans="1:7" x14ac:dyDescent="0.25">
      <c r="A7" s="1" t="s">
        <v>11</v>
      </c>
      <c r="B7" s="1">
        <v>1818.24</v>
      </c>
      <c r="C7" s="1">
        <v>1640.77</v>
      </c>
      <c r="D7" s="1">
        <v>1543.12</v>
      </c>
      <c r="E7" s="1">
        <v>1049.07</v>
      </c>
      <c r="F7" s="1">
        <v>1274.27</v>
      </c>
      <c r="G7" s="1">
        <v>1312.17</v>
      </c>
    </row>
    <row r="8" spans="1:7" x14ac:dyDescent="0.25">
      <c r="A8" s="1" t="s">
        <v>12</v>
      </c>
      <c r="B8" s="1">
        <v>181.82</v>
      </c>
      <c r="C8" s="1">
        <v>165.73</v>
      </c>
      <c r="D8" s="1">
        <v>155.87</v>
      </c>
      <c r="E8" s="1">
        <v>105.97</v>
      </c>
      <c r="F8" s="1">
        <v>128.71</v>
      </c>
      <c r="G8" s="1">
        <v>133.9</v>
      </c>
    </row>
    <row r="9" spans="1:7" x14ac:dyDescent="0.25">
      <c r="A9" s="1" t="s">
        <v>13</v>
      </c>
      <c r="B9" s="1">
        <v>1818.24</v>
      </c>
      <c r="C9" s="1">
        <v>1640.77</v>
      </c>
      <c r="D9" s="1">
        <v>1543.12</v>
      </c>
      <c r="E9" s="1">
        <v>984.8</v>
      </c>
      <c r="F9" s="1">
        <v>1274.22</v>
      </c>
      <c r="G9" s="1">
        <v>1312.17</v>
      </c>
    </row>
    <row r="10" spans="1:7" x14ac:dyDescent="0.25">
      <c r="A10" s="1" t="s">
        <v>14</v>
      </c>
      <c r="B10" s="1">
        <v>181.82</v>
      </c>
      <c r="C10" s="1">
        <v>165.73</v>
      </c>
      <c r="D10" s="1">
        <v>155.87</v>
      </c>
      <c r="E10" s="1">
        <v>99.47</v>
      </c>
      <c r="F10" s="1">
        <v>128.71</v>
      </c>
      <c r="G10" s="1">
        <v>133.9</v>
      </c>
    </row>
    <row r="11" spans="1:7" x14ac:dyDescent="0.25">
      <c r="A11" s="1" t="s">
        <v>15</v>
      </c>
      <c r="B11" s="1">
        <v>1470.7</v>
      </c>
      <c r="C11" s="1">
        <v>1238.8399999999999</v>
      </c>
      <c r="D11" s="1">
        <v>1094.9100000000001</v>
      </c>
      <c r="E11" s="1">
        <v>750.84</v>
      </c>
      <c r="F11" s="1">
        <v>1010.83</v>
      </c>
      <c r="G11" s="1">
        <v>1028.42</v>
      </c>
    </row>
    <row r="12" spans="1:7" x14ac:dyDescent="0.25">
      <c r="A12" s="1" t="s">
        <v>16</v>
      </c>
      <c r="B12" s="1">
        <v>251.68</v>
      </c>
      <c r="C12" s="1">
        <v>258.82</v>
      </c>
      <c r="D12" s="1">
        <v>235.85</v>
      </c>
      <c r="E12" s="1">
        <v>233.64</v>
      </c>
      <c r="F12" s="1">
        <v>246.59</v>
      </c>
      <c r="G12" s="1">
        <v>236.8</v>
      </c>
    </row>
    <row r="13" spans="1:7" x14ac:dyDescent="0.25">
      <c r="A13" s="1" t="s">
        <v>17</v>
      </c>
      <c r="B13" s="1">
        <v>37.380000000000003</v>
      </c>
      <c r="C13" s="1">
        <v>44.66</v>
      </c>
      <c r="D13" s="1">
        <v>46.65</v>
      </c>
      <c r="E13" s="1">
        <v>33.409999999999997</v>
      </c>
      <c r="F13" s="1">
        <v>34.770000000000003</v>
      </c>
      <c r="G13" s="1">
        <v>32.61</v>
      </c>
    </row>
    <row r="14" spans="1:7" x14ac:dyDescent="0.25">
      <c r="A14" s="1" t="s">
        <v>18</v>
      </c>
      <c r="B14" s="1">
        <v>83.21</v>
      </c>
      <c r="C14" s="1">
        <v>86.74</v>
      </c>
      <c r="D14" s="1">
        <v>88.46</v>
      </c>
      <c r="E14" s="1">
        <v>84.88</v>
      </c>
      <c r="F14" s="1">
        <v>75.650000000000006</v>
      </c>
      <c r="G14" s="1">
        <v>59.87</v>
      </c>
    </row>
    <row r="15" spans="1:7" x14ac:dyDescent="0.25">
      <c r="A15" s="1" t="s">
        <v>19</v>
      </c>
      <c r="B15" s="1">
        <v>8</v>
      </c>
      <c r="C15" s="1">
        <v>9</v>
      </c>
      <c r="D15" s="1">
        <v>9</v>
      </c>
      <c r="E15" s="1">
        <v>7</v>
      </c>
      <c r="F15" s="1">
        <v>8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1818.24</v>
      </c>
      <c r="C17" s="1">
        <v>1640.77</v>
      </c>
      <c r="D17" s="1">
        <v>1543.12</v>
      </c>
      <c r="E17" s="1">
        <v>1016.93</v>
      </c>
      <c r="F17" s="1">
        <v>1274.24</v>
      </c>
      <c r="G17" s="1">
        <v>1312.17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32.130000000000003</v>
      </c>
      <c r="F18" s="1">
        <v>0.03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1.1000000000000001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8.9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11.000000000000002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89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183.71</v>
      </c>
      <c r="C33" s="3">
        <v>173.6</v>
      </c>
      <c r="D33" s="3">
        <v>165.92</v>
      </c>
      <c r="E33" s="3">
        <v>107.81</v>
      </c>
      <c r="F33" s="3">
        <v>136.32</v>
      </c>
      <c r="G33" s="3">
        <v>137.78</v>
      </c>
    </row>
    <row r="35" spans="1:7" x14ac:dyDescent="0.25">
      <c r="A35" s="3" t="s">
        <v>36</v>
      </c>
      <c r="B35" s="3"/>
      <c r="C35" s="3"/>
      <c r="D35" s="3">
        <f>D33-C33</f>
        <v>-7.6800000000000068</v>
      </c>
      <c r="E35" s="3"/>
      <c r="F35" s="3">
        <f>F33-E33</f>
        <v>28.509999999999991</v>
      </c>
      <c r="G35" s="3"/>
    </row>
    <row r="37" spans="1:7" x14ac:dyDescent="0.25">
      <c r="A37" s="3" t="s">
        <v>36</v>
      </c>
      <c r="B37" s="3"/>
      <c r="C37" s="3">
        <f>C33-B33</f>
        <v>-10.110000000000014</v>
      </c>
      <c r="D37" s="3"/>
      <c r="E37" s="3">
        <f>E33-D33</f>
        <v>-58.109999999999985</v>
      </c>
      <c r="F37" s="3"/>
      <c r="G37" s="3">
        <f>G33-F33</f>
        <v>1.460000000000008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2693-B31E-4624-96D4-B1398A07E7CA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468.27</v>
      </c>
      <c r="C2" s="1">
        <v>496.45</v>
      </c>
      <c r="D2" s="1">
        <v>480.04</v>
      </c>
      <c r="E2" s="1">
        <v>497.57</v>
      </c>
      <c r="F2" s="1">
        <v>508.07</v>
      </c>
      <c r="G2" s="1">
        <v>484.38</v>
      </c>
    </row>
    <row r="3" spans="1:7" x14ac:dyDescent="0.25">
      <c r="A3" s="1" t="s">
        <v>7</v>
      </c>
      <c r="B3" s="1">
        <v>45.38</v>
      </c>
      <c r="C3" s="1">
        <v>49.81</v>
      </c>
      <c r="D3" s="1">
        <v>50.18</v>
      </c>
      <c r="E3" s="1">
        <v>50</v>
      </c>
      <c r="F3" s="1">
        <v>52.59</v>
      </c>
      <c r="G3" s="1">
        <v>54.57</v>
      </c>
    </row>
    <row r="4" spans="1:7" x14ac:dyDescent="0.25">
      <c r="A4" s="1" t="s">
        <v>8</v>
      </c>
      <c r="B4" s="1">
        <v>21599.35</v>
      </c>
      <c r="C4" s="1">
        <v>25096.080000000002</v>
      </c>
      <c r="D4" s="1">
        <v>24420.92</v>
      </c>
      <c r="E4" s="1">
        <v>25266.63</v>
      </c>
      <c r="F4" s="1">
        <v>27153.42</v>
      </c>
      <c r="G4" s="1">
        <v>26754.34</v>
      </c>
    </row>
    <row r="5" spans="1:7" x14ac:dyDescent="0.25">
      <c r="A5" s="1" t="s">
        <v>9</v>
      </c>
      <c r="B5" s="1">
        <v>1334.07</v>
      </c>
      <c r="C5" s="1">
        <v>867.47</v>
      </c>
      <c r="D5" s="1">
        <v>1024.3499999999999</v>
      </c>
      <c r="E5" s="1">
        <v>1401.13</v>
      </c>
      <c r="F5" s="1">
        <v>1654.27</v>
      </c>
      <c r="G5" s="1">
        <v>1254.58</v>
      </c>
    </row>
    <row r="6" spans="1:7" x14ac:dyDescent="0.25">
      <c r="A6" s="3" t="s">
        <v>10</v>
      </c>
      <c r="B6" s="3">
        <v>133.41</v>
      </c>
      <c r="C6" s="3">
        <v>87.62</v>
      </c>
      <c r="D6" s="3">
        <v>103.47</v>
      </c>
      <c r="E6" s="3">
        <v>141.53</v>
      </c>
      <c r="F6" s="3">
        <v>167.1</v>
      </c>
      <c r="G6" s="3">
        <v>128.02000000000001</v>
      </c>
    </row>
    <row r="7" spans="1:7" x14ac:dyDescent="0.25">
      <c r="A7" s="1" t="s">
        <v>11</v>
      </c>
      <c r="B7" s="1">
        <v>1262.3599999999999</v>
      </c>
      <c r="C7" s="1">
        <v>806.71</v>
      </c>
      <c r="D7" s="1">
        <v>956.45</v>
      </c>
      <c r="E7" s="1">
        <v>1361.27</v>
      </c>
      <c r="F7" s="1">
        <v>1600.11</v>
      </c>
      <c r="G7" s="1">
        <v>1182.8699999999999</v>
      </c>
    </row>
    <row r="8" spans="1:7" x14ac:dyDescent="0.25">
      <c r="A8" s="1" t="s">
        <v>12</v>
      </c>
      <c r="B8" s="1">
        <v>126.24</v>
      </c>
      <c r="C8" s="1">
        <v>81.489999999999995</v>
      </c>
      <c r="D8" s="1">
        <v>96.61</v>
      </c>
      <c r="E8" s="1">
        <v>137.5</v>
      </c>
      <c r="F8" s="1">
        <v>161.63</v>
      </c>
      <c r="G8" s="1">
        <v>120.7</v>
      </c>
    </row>
    <row r="9" spans="1:7" x14ac:dyDescent="0.25">
      <c r="A9" s="1" t="s">
        <v>13</v>
      </c>
      <c r="B9" s="1">
        <v>1260.82</v>
      </c>
      <c r="C9" s="1">
        <v>734.36</v>
      </c>
      <c r="D9" s="1">
        <v>678.71</v>
      </c>
      <c r="E9" s="1">
        <v>1361.27</v>
      </c>
      <c r="F9" s="1">
        <v>1493.89</v>
      </c>
      <c r="G9" s="1">
        <v>998.56</v>
      </c>
    </row>
    <row r="10" spans="1:7" x14ac:dyDescent="0.25">
      <c r="A10" s="1" t="s">
        <v>14</v>
      </c>
      <c r="B10" s="1">
        <v>126.08</v>
      </c>
      <c r="C10" s="1">
        <v>74.180000000000007</v>
      </c>
      <c r="D10" s="1">
        <v>68.56</v>
      </c>
      <c r="E10" s="1">
        <v>137.5</v>
      </c>
      <c r="F10" s="1">
        <v>150.9</v>
      </c>
      <c r="G10" s="1">
        <v>101.89</v>
      </c>
    </row>
    <row r="11" spans="1:7" x14ac:dyDescent="0.25">
      <c r="A11" s="1" t="s">
        <v>15</v>
      </c>
      <c r="B11" s="1">
        <v>1138.51</v>
      </c>
      <c r="C11" s="1">
        <v>544.73</v>
      </c>
      <c r="D11" s="1">
        <v>425.17</v>
      </c>
      <c r="E11" s="1">
        <v>1040.1099999999999</v>
      </c>
      <c r="F11" s="1">
        <v>1215.3599999999999</v>
      </c>
      <c r="G11" s="1">
        <v>793.5</v>
      </c>
    </row>
    <row r="12" spans="1:7" x14ac:dyDescent="0.25">
      <c r="A12" s="1" t="s">
        <v>16</v>
      </c>
      <c r="B12" s="1">
        <v>226.08</v>
      </c>
      <c r="C12" s="1">
        <v>206.63</v>
      </c>
      <c r="D12" s="1">
        <v>208.5</v>
      </c>
      <c r="E12" s="1">
        <v>226.76</v>
      </c>
      <c r="F12" s="1">
        <v>245.04</v>
      </c>
      <c r="G12" s="1">
        <v>205.44</v>
      </c>
    </row>
    <row r="13" spans="1:7" x14ac:dyDescent="0.25">
      <c r="A13" s="1" t="s">
        <v>17</v>
      </c>
      <c r="B13" s="1">
        <v>29.21</v>
      </c>
      <c r="C13" s="1">
        <v>29.2</v>
      </c>
      <c r="D13" s="1">
        <v>30.83</v>
      </c>
      <c r="E13" s="1">
        <v>33.090000000000003</v>
      </c>
      <c r="F13" s="1">
        <v>32.21</v>
      </c>
      <c r="G13" s="1">
        <v>36.700000000000003</v>
      </c>
    </row>
    <row r="14" spans="1:7" x14ac:dyDescent="0.25">
      <c r="A14" s="1" t="s">
        <v>18</v>
      </c>
      <c r="B14" s="1">
        <v>59.58</v>
      </c>
      <c r="C14" s="1">
        <v>68.569999999999993</v>
      </c>
      <c r="D14" s="1">
        <v>67.040000000000006</v>
      </c>
      <c r="E14" s="1">
        <v>74.680000000000007</v>
      </c>
      <c r="F14" s="1">
        <v>68.430000000000007</v>
      </c>
      <c r="G14" s="1">
        <v>78.040000000000006</v>
      </c>
    </row>
    <row r="15" spans="1:7" x14ac:dyDescent="0.25">
      <c r="A15" s="1" t="s">
        <v>19</v>
      </c>
      <c r="B15" s="1">
        <v>5</v>
      </c>
      <c r="C15" s="1">
        <v>5</v>
      </c>
      <c r="D15" s="1">
        <v>5</v>
      </c>
      <c r="E15" s="1">
        <v>5</v>
      </c>
      <c r="F15" s="1">
        <v>4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1261.5899999999999</v>
      </c>
      <c r="C17" s="1">
        <v>770.54</v>
      </c>
      <c r="D17" s="1">
        <v>817.58</v>
      </c>
      <c r="E17" s="1">
        <v>1361.27</v>
      </c>
      <c r="F17" s="1">
        <v>1547</v>
      </c>
      <c r="G17" s="1">
        <v>1090.71</v>
      </c>
    </row>
    <row r="18" spans="1:7" x14ac:dyDescent="0.25">
      <c r="A18" s="1" t="s">
        <v>22</v>
      </c>
      <c r="B18" s="1">
        <v>0.77</v>
      </c>
      <c r="C18" s="1">
        <v>36.17</v>
      </c>
      <c r="D18" s="1">
        <v>138.87</v>
      </c>
      <c r="E18" s="1">
        <v>0</v>
      </c>
      <c r="F18" s="1">
        <v>53.11</v>
      </c>
      <c r="G18" s="1">
        <v>92.15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1.9</v>
      </c>
      <c r="E20" s="1">
        <v>0</v>
      </c>
      <c r="F20" s="1">
        <v>0</v>
      </c>
      <c r="G20" s="1">
        <v>1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8.1</v>
      </c>
      <c r="E21" s="1">
        <v>10</v>
      </c>
      <c r="F21" s="1">
        <v>10</v>
      </c>
      <c r="G21" s="1">
        <v>8.9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1.2</v>
      </c>
    </row>
    <row r="25" spans="1:7" x14ac:dyDescent="0.25">
      <c r="A25" s="1" t="s">
        <v>29</v>
      </c>
      <c r="B25" s="1">
        <v>0</v>
      </c>
      <c r="C25" s="1">
        <v>2.2999999999999998</v>
      </c>
      <c r="D25" s="1">
        <v>2.7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7.7</v>
      </c>
      <c r="D26" s="1">
        <v>7.3</v>
      </c>
      <c r="E26" s="1">
        <v>10</v>
      </c>
      <c r="F26" s="1">
        <v>10</v>
      </c>
      <c r="G26" s="1">
        <v>8.6999999999999993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12.121212121212123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23</v>
      </c>
      <c r="D30" s="3">
        <f t="shared" si="2"/>
        <v>27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77</v>
      </c>
      <c r="D31" s="3">
        <f t="shared" si="3"/>
        <v>73</v>
      </c>
      <c r="E31" s="3">
        <f t="shared" si="3"/>
        <v>100</v>
      </c>
      <c r="F31" s="3">
        <f t="shared" si="3"/>
        <v>100</v>
      </c>
      <c r="G31" s="3">
        <f t="shared" si="3"/>
        <v>87.87878787878789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127.92</v>
      </c>
      <c r="C33" s="3">
        <v>78.540000000000006</v>
      </c>
      <c r="D33" s="3">
        <v>63.51</v>
      </c>
      <c r="E33" s="3">
        <v>138.58000000000001</v>
      </c>
      <c r="F33" s="3">
        <v>152.69999999999999</v>
      </c>
      <c r="G33" s="3">
        <v>107.78</v>
      </c>
    </row>
    <row r="35" spans="1:7" x14ac:dyDescent="0.25">
      <c r="A35" s="3" t="s">
        <v>36</v>
      </c>
      <c r="B35" s="3"/>
      <c r="C35" s="3"/>
      <c r="D35" s="3">
        <f>D33-C33</f>
        <v>-15.030000000000008</v>
      </c>
      <c r="E35" s="3"/>
      <c r="F35" s="3">
        <f>F33-E33</f>
        <v>14.119999999999976</v>
      </c>
      <c r="G35" s="3"/>
    </row>
    <row r="37" spans="1:7" x14ac:dyDescent="0.25">
      <c r="A37" s="3" t="s">
        <v>36</v>
      </c>
      <c r="B37" s="3"/>
      <c r="C37" s="3">
        <f>C33-B33</f>
        <v>-49.379999999999995</v>
      </c>
      <c r="D37" s="3"/>
      <c r="E37" s="3">
        <f>E33-D33</f>
        <v>75.070000000000022</v>
      </c>
      <c r="F37" s="3"/>
      <c r="G37" s="3">
        <f>G33-F33</f>
        <v>-44.919999999999987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F575-9B57-4E10-8FB2-660D10ADF62A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456.16</v>
      </c>
      <c r="C2" s="1">
        <v>396.63</v>
      </c>
      <c r="D2" s="1">
        <v>471.85</v>
      </c>
      <c r="E2" s="1">
        <v>431.45</v>
      </c>
      <c r="F2" s="1">
        <v>425.17</v>
      </c>
      <c r="G2" s="1">
        <v>488.06</v>
      </c>
    </row>
    <row r="3" spans="1:7" x14ac:dyDescent="0.25">
      <c r="A3" s="1" t="s">
        <v>7</v>
      </c>
      <c r="B3" s="1">
        <v>35.29</v>
      </c>
      <c r="C3" s="1">
        <v>31.88</v>
      </c>
      <c r="D3" s="1">
        <v>33.869999999999997</v>
      </c>
      <c r="E3" s="1">
        <v>35.22</v>
      </c>
      <c r="F3" s="1">
        <v>34.909999999999997</v>
      </c>
      <c r="G3" s="1">
        <v>35.9</v>
      </c>
    </row>
    <row r="4" spans="1:7" x14ac:dyDescent="0.25">
      <c r="A4" s="1" t="s">
        <v>8</v>
      </c>
      <c r="B4" s="1">
        <v>16411.439999999999</v>
      </c>
      <c r="C4" s="1">
        <v>13005.22</v>
      </c>
      <c r="D4" s="1">
        <v>16240.19</v>
      </c>
      <c r="E4" s="1">
        <v>15460.94</v>
      </c>
      <c r="F4" s="1">
        <v>15098.27</v>
      </c>
      <c r="G4" s="1">
        <v>17846.78</v>
      </c>
    </row>
    <row r="5" spans="1:7" x14ac:dyDescent="0.25">
      <c r="A5" s="1" t="s">
        <v>9</v>
      </c>
      <c r="B5" s="1">
        <v>1856</v>
      </c>
      <c r="C5" s="1">
        <v>2005.32</v>
      </c>
      <c r="D5" s="1">
        <v>2121.5100000000002</v>
      </c>
      <c r="E5" s="1">
        <v>1717.07</v>
      </c>
      <c r="F5" s="1">
        <v>1775.1</v>
      </c>
      <c r="G5" s="1">
        <v>2340.1999999999998</v>
      </c>
    </row>
    <row r="6" spans="1:7" x14ac:dyDescent="0.25">
      <c r="A6" s="3" t="s">
        <v>10</v>
      </c>
      <c r="B6" s="3">
        <v>185.6</v>
      </c>
      <c r="C6" s="3">
        <v>202.56</v>
      </c>
      <c r="D6" s="3">
        <v>214.29</v>
      </c>
      <c r="E6" s="3">
        <v>173.44</v>
      </c>
      <c r="F6" s="3">
        <v>179.3</v>
      </c>
      <c r="G6" s="3">
        <v>238.8</v>
      </c>
    </row>
    <row r="7" spans="1:7" x14ac:dyDescent="0.25">
      <c r="A7" s="1" t="s">
        <v>11</v>
      </c>
      <c r="B7" s="1">
        <v>1716.38</v>
      </c>
      <c r="C7" s="1">
        <v>1754.85</v>
      </c>
      <c r="D7" s="1">
        <v>1894.89</v>
      </c>
      <c r="E7" s="1">
        <v>1468.16</v>
      </c>
      <c r="F7" s="1">
        <v>1560.02</v>
      </c>
      <c r="G7" s="1">
        <v>2169.08</v>
      </c>
    </row>
    <row r="8" spans="1:7" x14ac:dyDescent="0.25">
      <c r="A8" s="1" t="s">
        <v>12</v>
      </c>
      <c r="B8" s="1">
        <v>171.64</v>
      </c>
      <c r="C8" s="1">
        <v>177.26</v>
      </c>
      <c r="D8" s="1">
        <v>191.4</v>
      </c>
      <c r="E8" s="1">
        <v>148.30000000000001</v>
      </c>
      <c r="F8" s="1">
        <v>157.58000000000001</v>
      </c>
      <c r="G8" s="1">
        <v>221.33</v>
      </c>
    </row>
    <row r="9" spans="1:7" x14ac:dyDescent="0.25">
      <c r="A9" s="1" t="s">
        <v>13</v>
      </c>
      <c r="B9" s="1">
        <v>1716.38</v>
      </c>
      <c r="C9" s="1">
        <v>1738.66</v>
      </c>
      <c r="D9" s="1">
        <v>1894.89</v>
      </c>
      <c r="E9" s="1">
        <v>1468.16</v>
      </c>
      <c r="F9" s="1">
        <v>1560.02</v>
      </c>
      <c r="G9" s="1">
        <v>2169.08</v>
      </c>
    </row>
    <row r="10" spans="1:7" x14ac:dyDescent="0.25">
      <c r="A10" s="1" t="s">
        <v>14</v>
      </c>
      <c r="B10" s="1">
        <v>171.64</v>
      </c>
      <c r="C10" s="1">
        <v>175.62</v>
      </c>
      <c r="D10" s="1">
        <v>191.4</v>
      </c>
      <c r="E10" s="1">
        <v>148.30000000000001</v>
      </c>
      <c r="F10" s="1">
        <v>157.58000000000001</v>
      </c>
      <c r="G10" s="1">
        <v>221.33</v>
      </c>
    </row>
    <row r="11" spans="1:7" x14ac:dyDescent="0.25">
      <c r="A11" s="1" t="s">
        <v>15</v>
      </c>
      <c r="B11" s="1">
        <v>1536.2</v>
      </c>
      <c r="C11" s="1">
        <v>1682.52</v>
      </c>
      <c r="D11" s="1">
        <v>1824.44</v>
      </c>
      <c r="E11" s="1">
        <v>1222.58</v>
      </c>
      <c r="F11" s="1">
        <v>1453.24</v>
      </c>
      <c r="G11" s="1">
        <v>1946.95</v>
      </c>
    </row>
    <row r="12" spans="1:7" x14ac:dyDescent="0.25">
      <c r="A12" s="1" t="s">
        <v>16</v>
      </c>
      <c r="B12" s="1">
        <v>226.58</v>
      </c>
      <c r="C12" s="1">
        <v>213.41</v>
      </c>
      <c r="D12" s="1">
        <v>246.79</v>
      </c>
      <c r="E12" s="1">
        <v>226.33</v>
      </c>
      <c r="F12" s="1">
        <v>206.11</v>
      </c>
      <c r="G12" s="1">
        <v>246.14</v>
      </c>
    </row>
    <row r="13" spans="1:7" x14ac:dyDescent="0.25">
      <c r="A13" s="1" t="s">
        <v>17</v>
      </c>
      <c r="B13" s="1">
        <v>31.45</v>
      </c>
      <c r="C13" s="1">
        <v>30.93</v>
      </c>
      <c r="D13" s="1">
        <v>30.42</v>
      </c>
      <c r="E13" s="1">
        <v>36.630000000000003</v>
      </c>
      <c r="F13" s="1">
        <v>28.53</v>
      </c>
      <c r="G13" s="1">
        <v>40.869999999999997</v>
      </c>
    </row>
    <row r="14" spans="1:7" x14ac:dyDescent="0.25">
      <c r="A14" s="1" t="s">
        <v>18</v>
      </c>
      <c r="B14" s="1">
        <v>65.64</v>
      </c>
      <c r="C14" s="1">
        <v>64.84</v>
      </c>
      <c r="D14" s="1">
        <v>66.39</v>
      </c>
      <c r="E14" s="1">
        <v>73.3</v>
      </c>
      <c r="F14" s="1">
        <v>69.459999999999994</v>
      </c>
      <c r="G14" s="1">
        <v>80.16</v>
      </c>
    </row>
    <row r="15" spans="1:7" x14ac:dyDescent="0.25">
      <c r="A15" s="1" t="s">
        <v>19</v>
      </c>
      <c r="B15" s="1">
        <v>9</v>
      </c>
      <c r="C15" s="1">
        <v>9</v>
      </c>
      <c r="D15" s="1">
        <v>8</v>
      </c>
      <c r="E15" s="1">
        <v>7</v>
      </c>
      <c r="F15" s="1">
        <v>8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1716.38</v>
      </c>
      <c r="C17" s="1">
        <v>1746.75</v>
      </c>
      <c r="D17" s="1">
        <v>1894.89</v>
      </c>
      <c r="E17" s="1">
        <v>1468.16</v>
      </c>
      <c r="F17" s="1">
        <v>1560.02</v>
      </c>
      <c r="G17" s="1">
        <v>2169.08</v>
      </c>
    </row>
    <row r="18" spans="1:7" x14ac:dyDescent="0.25">
      <c r="A18" s="1" t="s">
        <v>22</v>
      </c>
      <c r="B18" s="1">
        <v>0</v>
      </c>
      <c r="C18" s="1">
        <v>8.1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177.58</v>
      </c>
      <c r="C33" s="3">
        <v>198.2</v>
      </c>
      <c r="D33" s="3">
        <v>213.08</v>
      </c>
      <c r="E33" s="3">
        <v>160.38</v>
      </c>
      <c r="F33" s="3">
        <v>172.89</v>
      </c>
      <c r="G33" s="3">
        <v>235.15</v>
      </c>
    </row>
    <row r="35" spans="1:7" x14ac:dyDescent="0.25">
      <c r="A35" s="3" t="s">
        <v>36</v>
      </c>
      <c r="B35" s="3"/>
      <c r="C35" s="3"/>
      <c r="D35" s="3">
        <f>D33-C33</f>
        <v>14.880000000000024</v>
      </c>
      <c r="E35" s="3"/>
      <c r="F35" s="3">
        <f>F33-E33</f>
        <v>12.509999999999991</v>
      </c>
      <c r="G35" s="3"/>
    </row>
    <row r="37" spans="1:7" x14ac:dyDescent="0.25">
      <c r="A37" s="3" t="s">
        <v>36</v>
      </c>
      <c r="B37" s="3"/>
      <c r="C37" s="3">
        <f>C33-B33</f>
        <v>20.619999999999976</v>
      </c>
      <c r="D37" s="3"/>
      <c r="E37" s="3">
        <f>E33-D33</f>
        <v>-52.700000000000017</v>
      </c>
      <c r="F37" s="3"/>
      <c r="G37" s="3">
        <f>G33-F33</f>
        <v>62.260000000000019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AFE9-F904-4724-AC23-BAD37D35FA13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499.88</v>
      </c>
      <c r="C2" s="1">
        <v>481.08</v>
      </c>
      <c r="D2" s="1">
        <v>464.43</v>
      </c>
      <c r="E2" s="1">
        <v>430.31</v>
      </c>
      <c r="F2" s="1">
        <v>421.82</v>
      </c>
      <c r="G2" s="1">
        <v>416.8</v>
      </c>
    </row>
    <row r="3" spans="1:7" x14ac:dyDescent="0.25">
      <c r="A3" s="1" t="s">
        <v>7</v>
      </c>
      <c r="B3" s="1">
        <v>43.21</v>
      </c>
      <c r="C3" s="1">
        <v>42.94</v>
      </c>
      <c r="D3" s="1">
        <v>37.99</v>
      </c>
      <c r="E3" s="1">
        <v>37.909999999999997</v>
      </c>
      <c r="F3" s="1">
        <v>35.409999999999997</v>
      </c>
      <c r="G3" s="1">
        <v>47</v>
      </c>
    </row>
    <row r="4" spans="1:7" x14ac:dyDescent="0.25">
      <c r="A4" s="1" t="s">
        <v>8</v>
      </c>
      <c r="B4" s="1">
        <v>21959.27</v>
      </c>
      <c r="C4" s="1">
        <v>21015.22</v>
      </c>
      <c r="D4" s="1">
        <v>17940.41</v>
      </c>
      <c r="E4" s="1">
        <v>16686.47</v>
      </c>
      <c r="F4" s="1">
        <v>15189.26</v>
      </c>
      <c r="G4" s="1">
        <v>19791.03</v>
      </c>
    </row>
    <row r="5" spans="1:7" x14ac:dyDescent="0.25">
      <c r="A5" s="1" t="s">
        <v>9</v>
      </c>
      <c r="B5" s="1">
        <v>1407.19</v>
      </c>
      <c r="C5" s="1">
        <v>1265.6500000000001</v>
      </c>
      <c r="D5" s="1">
        <v>1558.46</v>
      </c>
      <c r="E5" s="1">
        <v>1100.52</v>
      </c>
      <c r="F5" s="1">
        <v>1464.13</v>
      </c>
      <c r="G5" s="1">
        <v>732.88</v>
      </c>
    </row>
    <row r="6" spans="1:7" x14ac:dyDescent="0.25">
      <c r="A6" s="3" t="s">
        <v>10</v>
      </c>
      <c r="B6" s="3">
        <v>140.72</v>
      </c>
      <c r="C6" s="3">
        <v>127.84</v>
      </c>
      <c r="D6" s="3">
        <v>157.41999999999999</v>
      </c>
      <c r="E6" s="3">
        <v>111.16</v>
      </c>
      <c r="F6" s="3">
        <v>147.88999999999999</v>
      </c>
      <c r="G6" s="3">
        <v>74.78</v>
      </c>
    </row>
    <row r="7" spans="1:7" x14ac:dyDescent="0.25">
      <c r="A7" s="1" t="s">
        <v>11</v>
      </c>
      <c r="B7" s="1">
        <v>1237.48</v>
      </c>
      <c r="C7" s="1">
        <v>1040.54</v>
      </c>
      <c r="D7" s="1">
        <v>1416.1</v>
      </c>
      <c r="E7" s="1">
        <v>928.98</v>
      </c>
      <c r="F7" s="1">
        <v>1217.27</v>
      </c>
      <c r="G7" s="1">
        <v>640.66999999999996</v>
      </c>
    </row>
    <row r="8" spans="1:7" x14ac:dyDescent="0.25">
      <c r="A8" s="1" t="s">
        <v>12</v>
      </c>
      <c r="B8" s="1">
        <v>123.75</v>
      </c>
      <c r="C8" s="1">
        <v>105.11</v>
      </c>
      <c r="D8" s="1">
        <v>143.04</v>
      </c>
      <c r="E8" s="1">
        <v>93.84</v>
      </c>
      <c r="F8" s="1">
        <v>122.96</v>
      </c>
      <c r="G8" s="1">
        <v>65.37</v>
      </c>
    </row>
    <row r="9" spans="1:7" x14ac:dyDescent="0.25">
      <c r="A9" s="1" t="s">
        <v>13</v>
      </c>
      <c r="B9" s="1">
        <v>954.92</v>
      </c>
      <c r="C9" s="1">
        <v>515.45000000000005</v>
      </c>
      <c r="D9" s="1">
        <v>1385.71</v>
      </c>
      <c r="E9" s="1">
        <v>817.31</v>
      </c>
      <c r="F9" s="1">
        <v>956.13</v>
      </c>
      <c r="G9" s="1">
        <v>556.66999999999996</v>
      </c>
    </row>
    <row r="10" spans="1:7" x14ac:dyDescent="0.25">
      <c r="A10" s="1" t="s">
        <v>14</v>
      </c>
      <c r="B10" s="1">
        <v>95.49</v>
      </c>
      <c r="C10" s="1">
        <v>52.07</v>
      </c>
      <c r="D10" s="1">
        <v>139.97</v>
      </c>
      <c r="E10" s="1">
        <v>82.56</v>
      </c>
      <c r="F10" s="1">
        <v>96.58</v>
      </c>
      <c r="G10" s="1">
        <v>56.8</v>
      </c>
    </row>
    <row r="11" spans="1:7" x14ac:dyDescent="0.25">
      <c r="A11" s="1" t="s">
        <v>15</v>
      </c>
      <c r="B11" s="1">
        <v>602.24</v>
      </c>
      <c r="C11" s="1">
        <v>437.71</v>
      </c>
      <c r="D11" s="1">
        <v>1198.6300000000001</v>
      </c>
      <c r="E11" s="1">
        <v>689.28</v>
      </c>
      <c r="F11" s="1">
        <v>867.49</v>
      </c>
      <c r="G11" s="1">
        <v>515.79999999999995</v>
      </c>
    </row>
    <row r="12" spans="1:7" x14ac:dyDescent="0.25">
      <c r="A12" s="1" t="s">
        <v>16</v>
      </c>
      <c r="B12" s="1">
        <v>214.95</v>
      </c>
      <c r="C12" s="1">
        <v>178.46</v>
      </c>
      <c r="D12" s="1">
        <v>231.81</v>
      </c>
      <c r="E12" s="1">
        <v>175.42</v>
      </c>
      <c r="F12" s="1">
        <v>228.56</v>
      </c>
      <c r="G12" s="1">
        <v>170.56</v>
      </c>
    </row>
    <row r="13" spans="1:7" x14ac:dyDescent="0.25">
      <c r="A13" s="1" t="s">
        <v>17</v>
      </c>
      <c r="B13" s="1">
        <v>41.15</v>
      </c>
      <c r="C13" s="1">
        <v>49.5</v>
      </c>
      <c r="D13" s="1">
        <v>28.24</v>
      </c>
      <c r="E13" s="1">
        <v>31.93</v>
      </c>
      <c r="F13" s="1">
        <v>21.96</v>
      </c>
      <c r="G13" s="1">
        <v>33.49</v>
      </c>
    </row>
    <row r="14" spans="1:7" x14ac:dyDescent="0.25">
      <c r="A14" s="1" t="s">
        <v>18</v>
      </c>
      <c r="B14" s="1">
        <v>90.19</v>
      </c>
      <c r="C14" s="1">
        <v>99.58</v>
      </c>
      <c r="D14" s="1">
        <v>77.34</v>
      </c>
      <c r="E14" s="1">
        <v>70.319999999999993</v>
      </c>
      <c r="F14" s="1">
        <v>89.96</v>
      </c>
      <c r="G14" s="1">
        <v>70.430000000000007</v>
      </c>
    </row>
    <row r="15" spans="1:7" x14ac:dyDescent="0.25">
      <c r="A15" s="1" t="s">
        <v>19</v>
      </c>
      <c r="B15" s="1">
        <v>7</v>
      </c>
      <c r="C15" s="1">
        <v>5</v>
      </c>
      <c r="D15" s="1">
        <v>6</v>
      </c>
      <c r="E15" s="1">
        <v>6</v>
      </c>
      <c r="F15" s="1">
        <v>7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1096.2</v>
      </c>
      <c r="C17" s="1">
        <v>777.99</v>
      </c>
      <c r="D17" s="1">
        <v>1400.9</v>
      </c>
      <c r="E17" s="1">
        <v>873.15</v>
      </c>
      <c r="F17" s="1">
        <v>1086.7</v>
      </c>
      <c r="G17" s="1">
        <v>598.66999999999996</v>
      </c>
    </row>
    <row r="18" spans="1:7" x14ac:dyDescent="0.25">
      <c r="A18" s="1" t="s">
        <v>22</v>
      </c>
      <c r="B18" s="1">
        <v>141.28</v>
      </c>
      <c r="C18" s="1">
        <v>262.55</v>
      </c>
      <c r="D18" s="1">
        <v>15.19</v>
      </c>
      <c r="E18" s="1">
        <v>55.84</v>
      </c>
      <c r="F18" s="1">
        <v>130.57</v>
      </c>
      <c r="G18" s="1">
        <v>42</v>
      </c>
    </row>
    <row r="19" spans="1:7" x14ac:dyDescent="0.25">
      <c r="A19" s="1" t="s">
        <v>23</v>
      </c>
      <c r="B19" s="1">
        <v>1</v>
      </c>
      <c r="C19" s="1">
        <v>1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2.6</v>
      </c>
      <c r="C20" s="1">
        <v>1.9</v>
      </c>
      <c r="D20" s="1">
        <v>0</v>
      </c>
      <c r="E20" s="1">
        <v>0</v>
      </c>
      <c r="F20" s="1">
        <v>2.2000000000000002</v>
      </c>
      <c r="G20" s="1">
        <v>0</v>
      </c>
    </row>
    <row r="21" spans="1:7" x14ac:dyDescent="0.25">
      <c r="A21" s="1" t="s">
        <v>25</v>
      </c>
      <c r="B21" s="1">
        <v>7.5</v>
      </c>
      <c r="C21" s="1">
        <v>8.1</v>
      </c>
      <c r="D21" s="1">
        <v>10</v>
      </c>
      <c r="E21" s="1">
        <v>10</v>
      </c>
      <c r="F21" s="1">
        <v>7.8</v>
      </c>
      <c r="G21" s="1">
        <v>9.9</v>
      </c>
    </row>
    <row r="22" spans="1:7" x14ac:dyDescent="0.25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1.3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2.2000000000000002</v>
      </c>
      <c r="C24" s="1">
        <v>2.5</v>
      </c>
      <c r="D24" s="1">
        <v>0</v>
      </c>
      <c r="E24" s="1">
        <v>0</v>
      </c>
      <c r="F24" s="1">
        <v>2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2.6</v>
      </c>
      <c r="F25" s="1">
        <v>0</v>
      </c>
      <c r="G25" s="1">
        <v>3.1</v>
      </c>
    </row>
    <row r="26" spans="1:7" x14ac:dyDescent="0.25">
      <c r="A26" s="1" t="s">
        <v>30</v>
      </c>
      <c r="B26" s="1">
        <v>7.9</v>
      </c>
      <c r="C26" s="1">
        <v>7.5</v>
      </c>
      <c r="D26" s="1">
        <v>10</v>
      </c>
      <c r="E26" s="1">
        <v>7.4</v>
      </c>
      <c r="F26" s="1">
        <v>8</v>
      </c>
      <c r="G26" s="1">
        <v>6.8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21.782178217821784</v>
      </c>
      <c r="C29" s="3">
        <f t="shared" ref="C29:G29" si="1">C24/C28*100</f>
        <v>25</v>
      </c>
      <c r="D29" s="3">
        <f t="shared" si="1"/>
        <v>0</v>
      </c>
      <c r="E29" s="3">
        <f t="shared" si="1"/>
        <v>0</v>
      </c>
      <c r="F29" s="3">
        <f t="shared" si="1"/>
        <v>20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26</v>
      </c>
      <c r="F30" s="3">
        <f t="shared" si="2"/>
        <v>0</v>
      </c>
      <c r="G30" s="3">
        <f t="shared" si="2"/>
        <v>31.313131313131315</v>
      </c>
    </row>
    <row r="31" spans="1:7" x14ac:dyDescent="0.25">
      <c r="A31" s="3" t="s">
        <v>34</v>
      </c>
      <c r="B31" s="3">
        <f>B26/B28*100</f>
        <v>78.217821782178206</v>
      </c>
      <c r="C31" s="3">
        <f t="shared" ref="C31:G31" si="3">C26/C28*100</f>
        <v>75</v>
      </c>
      <c r="D31" s="3">
        <f t="shared" si="3"/>
        <v>100</v>
      </c>
      <c r="E31" s="3">
        <f t="shared" si="3"/>
        <v>74</v>
      </c>
      <c r="F31" s="3">
        <f t="shared" si="3"/>
        <v>80</v>
      </c>
      <c r="G31" s="3">
        <f t="shared" si="3"/>
        <v>68.686868686868678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73.06</v>
      </c>
      <c r="C33" s="3">
        <v>51.16</v>
      </c>
      <c r="D33" s="3">
        <v>150.49</v>
      </c>
      <c r="E33" s="3">
        <v>98.76</v>
      </c>
      <c r="F33" s="3">
        <v>95.87</v>
      </c>
      <c r="G33" s="3">
        <v>59.76</v>
      </c>
    </row>
    <row r="35" spans="1:7" x14ac:dyDescent="0.25">
      <c r="A35" s="3" t="s">
        <v>36</v>
      </c>
      <c r="B35" s="3"/>
      <c r="C35" s="3"/>
      <c r="D35" s="3">
        <f>D33-C33</f>
        <v>99.330000000000013</v>
      </c>
      <c r="E35" s="3"/>
      <c r="F35" s="3">
        <f>F33-E33</f>
        <v>-2.8900000000000006</v>
      </c>
      <c r="G35" s="3"/>
    </row>
    <row r="37" spans="1:7" x14ac:dyDescent="0.25">
      <c r="A37" s="3" t="s">
        <v>36</v>
      </c>
      <c r="B37" s="3"/>
      <c r="C37" s="3">
        <f>C33-B33</f>
        <v>-21.900000000000006</v>
      </c>
      <c r="D37" s="3"/>
      <c r="E37" s="3">
        <f>E33-D33</f>
        <v>-51.730000000000004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EB97-7975-455D-BE8D-3741E0DEAA7C}">
  <dimension ref="A1:G37"/>
  <sheetViews>
    <sheetView tabSelected="1"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453.19</v>
      </c>
      <c r="C2" s="1">
        <v>457.26</v>
      </c>
      <c r="D2" s="1">
        <v>494.48</v>
      </c>
      <c r="E2" s="1">
        <v>493.33</v>
      </c>
      <c r="F2" s="1">
        <v>470.18</v>
      </c>
      <c r="G2" s="1">
        <v>488.55</v>
      </c>
    </row>
    <row r="3" spans="1:7" x14ac:dyDescent="0.25">
      <c r="A3" s="1" t="s">
        <v>7</v>
      </c>
      <c r="B3" s="1">
        <v>42.69</v>
      </c>
      <c r="C3" s="1">
        <v>42.49</v>
      </c>
      <c r="D3" s="1">
        <v>42.67</v>
      </c>
      <c r="E3" s="1">
        <v>43.74</v>
      </c>
      <c r="F3" s="1">
        <v>42.22</v>
      </c>
      <c r="G3" s="1">
        <v>42.1</v>
      </c>
    </row>
    <row r="4" spans="1:7" x14ac:dyDescent="0.25">
      <c r="A4" s="1" t="s">
        <v>8</v>
      </c>
      <c r="B4" s="1">
        <v>19647.34</v>
      </c>
      <c r="C4" s="1">
        <v>19744.830000000002</v>
      </c>
      <c r="D4" s="1">
        <v>21447.88</v>
      </c>
      <c r="E4" s="1">
        <v>21943.02</v>
      </c>
      <c r="F4" s="1">
        <v>20195.759999999998</v>
      </c>
      <c r="G4" s="1">
        <v>20902.53</v>
      </c>
    </row>
    <row r="5" spans="1:7" x14ac:dyDescent="0.25">
      <c r="A5" s="1" t="s">
        <v>9</v>
      </c>
      <c r="B5" s="1">
        <v>1797.77</v>
      </c>
      <c r="C5" s="1">
        <v>1712.85</v>
      </c>
      <c r="D5" s="1">
        <v>2164.69</v>
      </c>
      <c r="E5" s="1">
        <v>2186.34</v>
      </c>
      <c r="F5" s="1">
        <v>1660.57</v>
      </c>
      <c r="G5" s="1">
        <v>1668.01</v>
      </c>
    </row>
    <row r="6" spans="1:7" x14ac:dyDescent="0.25">
      <c r="A6" s="3" t="s">
        <v>10</v>
      </c>
      <c r="B6" s="3">
        <v>179.78</v>
      </c>
      <c r="C6" s="3">
        <v>173.02</v>
      </c>
      <c r="D6" s="3">
        <v>218.66</v>
      </c>
      <c r="E6" s="3">
        <v>220.84</v>
      </c>
      <c r="F6" s="3">
        <v>167.73</v>
      </c>
      <c r="G6" s="3">
        <v>170.21</v>
      </c>
    </row>
    <row r="7" spans="1:7" x14ac:dyDescent="0.25">
      <c r="A7" s="1" t="s">
        <v>11</v>
      </c>
      <c r="B7" s="1">
        <v>1506.62</v>
      </c>
      <c r="C7" s="1">
        <v>1512.57</v>
      </c>
      <c r="D7" s="1">
        <v>1958.94</v>
      </c>
      <c r="E7" s="1">
        <v>2015.96</v>
      </c>
      <c r="F7" s="1">
        <v>1548.42</v>
      </c>
      <c r="G7" s="1">
        <v>1498.07</v>
      </c>
    </row>
    <row r="8" spans="1:7" x14ac:dyDescent="0.25">
      <c r="A8" s="1" t="s">
        <v>12</v>
      </c>
      <c r="B8" s="1">
        <v>150.66</v>
      </c>
      <c r="C8" s="1">
        <v>152.79</v>
      </c>
      <c r="D8" s="1">
        <v>197.87</v>
      </c>
      <c r="E8" s="1">
        <v>203.63</v>
      </c>
      <c r="F8" s="1">
        <v>156.41</v>
      </c>
      <c r="G8" s="1">
        <v>152.86000000000001</v>
      </c>
    </row>
    <row r="9" spans="1:7" x14ac:dyDescent="0.25">
      <c r="A9" s="1" t="s">
        <v>13</v>
      </c>
      <c r="B9" s="1">
        <v>1371.51</v>
      </c>
      <c r="C9" s="1">
        <v>1136.8800000000001</v>
      </c>
      <c r="D9" s="1">
        <v>1958.94</v>
      </c>
      <c r="E9" s="1">
        <v>2015.96</v>
      </c>
      <c r="F9" s="1">
        <v>1503.06</v>
      </c>
      <c r="G9" s="1">
        <v>1497.08</v>
      </c>
    </row>
    <row r="10" spans="1:7" x14ac:dyDescent="0.25">
      <c r="A10" s="1" t="s">
        <v>14</v>
      </c>
      <c r="B10" s="1">
        <v>137.15</v>
      </c>
      <c r="C10" s="1">
        <v>114.84</v>
      </c>
      <c r="D10" s="1">
        <v>197.87</v>
      </c>
      <c r="E10" s="1">
        <v>203.63</v>
      </c>
      <c r="F10" s="1">
        <v>151.82</v>
      </c>
      <c r="G10" s="1">
        <v>152.76</v>
      </c>
    </row>
    <row r="11" spans="1:7" x14ac:dyDescent="0.25">
      <c r="A11" s="1" t="s">
        <v>15</v>
      </c>
      <c r="B11" s="1">
        <v>1173.02</v>
      </c>
      <c r="C11" s="1">
        <v>599.41999999999996</v>
      </c>
      <c r="D11" s="1">
        <v>1653.87</v>
      </c>
      <c r="E11" s="1">
        <v>1511.23</v>
      </c>
      <c r="F11" s="1">
        <v>1155.47</v>
      </c>
      <c r="G11" s="1">
        <v>1255.7</v>
      </c>
    </row>
    <row r="12" spans="1:7" x14ac:dyDescent="0.25">
      <c r="A12" s="1" t="s">
        <v>16</v>
      </c>
      <c r="B12" s="1">
        <v>205.62</v>
      </c>
      <c r="C12" s="1">
        <v>196.93</v>
      </c>
      <c r="D12" s="1">
        <v>231.58</v>
      </c>
      <c r="E12" s="1">
        <v>229.66</v>
      </c>
      <c r="F12" s="1">
        <v>203.57</v>
      </c>
      <c r="G12" s="1">
        <v>220.65</v>
      </c>
    </row>
    <row r="13" spans="1:7" x14ac:dyDescent="0.25">
      <c r="A13" s="1" t="s">
        <v>17</v>
      </c>
      <c r="B13" s="1">
        <v>37.18</v>
      </c>
      <c r="C13" s="1">
        <v>40.76</v>
      </c>
      <c r="D13" s="1">
        <v>36.18</v>
      </c>
      <c r="E13" s="1">
        <v>33.28</v>
      </c>
      <c r="F13" s="1">
        <v>40.57</v>
      </c>
      <c r="G13" s="1">
        <v>35.01</v>
      </c>
    </row>
    <row r="14" spans="1:7" x14ac:dyDescent="0.25">
      <c r="A14" s="1" t="s">
        <v>18</v>
      </c>
      <c r="B14" s="1">
        <v>81.75</v>
      </c>
      <c r="C14" s="1">
        <v>83.47</v>
      </c>
      <c r="D14" s="1">
        <v>70.739999999999995</v>
      </c>
      <c r="E14" s="1">
        <v>73.709999999999994</v>
      </c>
      <c r="F14" s="1">
        <v>81.540000000000006</v>
      </c>
      <c r="G14" s="1">
        <v>72.19</v>
      </c>
    </row>
    <row r="15" spans="1:7" x14ac:dyDescent="0.25">
      <c r="A15" s="1" t="s">
        <v>19</v>
      </c>
      <c r="B15" s="1">
        <v>7</v>
      </c>
      <c r="C15" s="1">
        <v>9</v>
      </c>
      <c r="D15" s="1">
        <v>6</v>
      </c>
      <c r="E15" s="1">
        <v>6</v>
      </c>
      <c r="F15" s="1">
        <v>10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1439.06</v>
      </c>
      <c r="C17" s="1">
        <v>1324.73</v>
      </c>
      <c r="D17" s="1">
        <v>1958.94</v>
      </c>
      <c r="E17" s="1">
        <v>2015.96</v>
      </c>
      <c r="F17" s="1">
        <v>1525.74</v>
      </c>
      <c r="G17" s="1">
        <v>1497.57</v>
      </c>
    </row>
    <row r="18" spans="1:7" x14ac:dyDescent="0.25">
      <c r="A18" s="1" t="s">
        <v>22</v>
      </c>
      <c r="B18" s="1">
        <v>67.55</v>
      </c>
      <c r="C18" s="1">
        <v>187.85</v>
      </c>
      <c r="D18" s="1">
        <v>0</v>
      </c>
      <c r="E18" s="1">
        <v>0</v>
      </c>
      <c r="F18" s="1">
        <v>22.68</v>
      </c>
      <c r="G18" s="1">
        <v>0.5</v>
      </c>
    </row>
    <row r="19" spans="1:7" x14ac:dyDescent="0.25">
      <c r="A19" s="1" t="s">
        <v>23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1.5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8.5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</v>
      </c>
      <c r="C25" s="1">
        <v>2.9</v>
      </c>
      <c r="D25" s="1">
        <v>0</v>
      </c>
      <c r="E25" s="1">
        <v>0</v>
      </c>
      <c r="F25" s="1">
        <v>2.7</v>
      </c>
      <c r="G25" s="1">
        <v>0</v>
      </c>
    </row>
    <row r="26" spans="1:7" x14ac:dyDescent="0.25">
      <c r="A26" s="1" t="s">
        <v>30</v>
      </c>
      <c r="B26" s="1">
        <v>9.1</v>
      </c>
      <c r="C26" s="1">
        <v>7.1</v>
      </c>
      <c r="D26" s="1">
        <v>10</v>
      </c>
      <c r="E26" s="1">
        <v>10</v>
      </c>
      <c r="F26" s="1">
        <v>7.3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9.9009900990099009</v>
      </c>
      <c r="C30" s="3">
        <f t="shared" ref="C30:G30" si="2">C25/C28*100</f>
        <v>28.999999999999996</v>
      </c>
      <c r="D30" s="3">
        <f t="shared" si="2"/>
        <v>0</v>
      </c>
      <c r="E30" s="3">
        <f t="shared" si="2"/>
        <v>0</v>
      </c>
      <c r="F30" s="3">
        <f t="shared" si="2"/>
        <v>27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90.099009900990097</v>
      </c>
      <c r="C31" s="3">
        <f t="shared" ref="C31:G31" si="3">C26/C28*100</f>
        <v>71</v>
      </c>
      <c r="D31" s="3">
        <f t="shared" si="3"/>
        <v>100</v>
      </c>
      <c r="E31" s="3">
        <f t="shared" si="3"/>
        <v>100</v>
      </c>
      <c r="F31" s="3">
        <f t="shared" si="3"/>
        <v>73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154.24</v>
      </c>
      <c r="C33" s="3">
        <v>123.1</v>
      </c>
      <c r="D33" s="3">
        <v>211.17</v>
      </c>
      <c r="E33" s="3">
        <v>213.22</v>
      </c>
      <c r="F33" s="3">
        <v>160.62</v>
      </c>
      <c r="G33" s="3">
        <v>164.14</v>
      </c>
    </row>
    <row r="35" spans="1:7" x14ac:dyDescent="0.25">
      <c r="A35" s="3" t="s">
        <v>36</v>
      </c>
      <c r="B35" s="3"/>
      <c r="C35" s="3"/>
      <c r="D35" s="3">
        <f>D33-C33</f>
        <v>88.07</v>
      </c>
      <c r="E35" s="3"/>
      <c r="F35" s="3">
        <f>F33-E33</f>
        <v>-52.599999999999994</v>
      </c>
      <c r="G35" s="3"/>
    </row>
    <row r="37" spans="1:7" x14ac:dyDescent="0.25">
      <c r="A37" s="3" t="s">
        <v>36</v>
      </c>
      <c r="B37" s="3"/>
      <c r="C37" s="3">
        <f>C33-B33</f>
        <v>-31.140000000000015</v>
      </c>
      <c r="D37" s="3"/>
      <c r="E37" s="3">
        <f>E33-D33</f>
        <v>2.0500000000000114</v>
      </c>
      <c r="F37" s="3"/>
      <c r="G37" s="3">
        <f>G33-F33</f>
        <v>3.5199999999999818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3117-00DD-45D9-B002-3AFE5FF27054}">
  <dimension ref="A1:G37"/>
  <sheetViews>
    <sheetView workbookViewId="0">
      <selection activeCell="J13" sqref="J1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231124A001.1</vt:lpstr>
      <vt:lpstr>231124A001.4</vt:lpstr>
      <vt:lpstr>231124A001.5</vt:lpstr>
      <vt:lpstr>231124A002.1</vt:lpstr>
      <vt:lpstr>231124A002.2</vt:lpstr>
      <vt:lpstr>231124A002.5</vt:lpstr>
      <vt:lpstr>231124A004.1</vt:lpstr>
      <vt:lpstr>231124A004.2</vt:lpstr>
      <vt:lpstr>231124A004.5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2023-12-11T23:46:56Z</dcterms:created>
  <dcterms:modified xsi:type="dcterms:W3CDTF">2023-12-14T01:07:04Z</dcterms:modified>
</cp:coreProperties>
</file>